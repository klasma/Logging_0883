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007"/>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S 2250-2024</t>
        </is>
      </c>
      <c r="B2" t="inlineStr">
        <is>
          <t>samrådsanmälan</t>
        </is>
      </c>
      <c r="C2" t="inlineStr">
        <is>
          <t>Annan skogsbruksåtgärd</t>
        </is>
      </c>
      <c r="D2" s="1" t="n">
        <v>45461</v>
      </c>
      <c r="E2" s="1" t="n">
        <v>46323</v>
      </c>
      <c r="F2" t="inlineStr">
        <is>
          <t>KALMAR LÄN</t>
        </is>
      </c>
      <c r="G2" t="inlineStr">
        <is>
          <t>VÄSTERVIK</t>
        </is>
      </c>
      <c r="I2" t="n">
        <v>40.9</v>
      </c>
      <c r="J2" t="n">
        <v>28</v>
      </c>
      <c r="K2" t="n">
        <v>22</v>
      </c>
      <c r="L2" t="n">
        <v>28</v>
      </c>
      <c r="M2" t="n">
        <v>9</v>
      </c>
      <c r="N2" t="n">
        <v>3</v>
      </c>
      <c r="O2" t="n">
        <v>0</v>
      </c>
      <c r="P2" t="n">
        <v>0</v>
      </c>
      <c r="Q2" t="n">
        <v>40</v>
      </c>
      <c r="R2" t="n">
        <v>12</v>
      </c>
      <c r="S2" t="n">
        <v>77</v>
      </c>
      <c r="T2" t="n">
        <v>600</v>
      </c>
      <c r="U2" t="n">
        <v>44</v>
      </c>
      <c r="V2" s="2" t="inlineStr">
        <is>
          <t>Ejder
Havstrut
Skogsalm
Bergand
Ekspik
Glänsande blombagge
Gråtrut
Läderbagge
Matt mjölbagge
Stare
Tornseglare
Ädelkronlav
Apelsinticka
Armadillidium opacum
Blekticka
Blåmussla
Ekticka
Gammelekslav
Gul dropplav
Göktyta
Hjälmbrosklav
Jungfrulin
Korallticka
Korskovall
Mindre hackspett
Mindre tåtelsmygare
Oxtungssvamp
Reliktbock
Rosa skärelav
Scharlakansvaxing
Skeppsvarvsfluga
Skrattmås
Skuggorangelav
Sminkrot
Solvända
Strandskata
Sädesärla
Tallticka
Vintertagging
Åkerkulla
Blanksvart trämyra
Blodvaxing
Blompraktbagge
Blåmossa
Brun nållav
Ekoxe
Fällmossa
Grovticka
Grå skärelav
Guldlockmossa
Gulpudrad spiklav
Hasselsopp
Jättesvampmal
Lundvårlök
Lönnlav
Murgröna
Rostfläck
Rävticka
Scharlakansskål
Sotlav
Sprödvaxing
Vitvaxing agg.
Blåsippa
Spillkråka
Tjäder
Gröngöling
Grönsiska
Kråka
Kungsfågel
Näktergal
Svartvit flugsnappare
Sångsvan
Trädlärka
Ärtsångare
Huggorm
Kopparödla
Vanlig snok</t>
        </is>
      </c>
      <c r="W2">
        <f>HYPERLINK("https://klasma.github.io/Logging_0883/artfynd/S 2250-2024 artfynd.xlsx", "S 2250-2024")</f>
        <v/>
      </c>
      <c r="X2">
        <f>HYPERLINK("https://klasma.github.io/Logging_0883/kartor/S 2250-2024 karta.png", "S 2250-2024")</f>
        <v/>
      </c>
      <c r="Y2">
        <f>HYPERLINK("https://klasma.github.io/Logging_0883/kartor_geotiff/S 2250-2024 georefererad karta.tif", "S 2250-2024")</f>
        <v/>
      </c>
      <c r="AA2">
        <f>HYPERLINK("https://klasma.github.io/Logging_0883/klagomål/S 2250-2024 FSC-klagomål.docx", "S 2250-2024")</f>
        <v/>
      </c>
      <c r="AB2">
        <f>HYPERLINK("https://klasma.github.io/Logging_0883/klagomålsmail/S 2250-2024 FSC-klagomål mail.docx", "S 2250-2024")</f>
        <v/>
      </c>
      <c r="AC2">
        <f>HYPERLINK("https://klasma.github.io/Logging_0883/tillsyn/S 2250-2024 tillsynsbegäran.docx", "S 2250-2024")</f>
        <v/>
      </c>
      <c r="AD2">
        <f>HYPERLINK("https://klasma.github.io/Logging_0883/tillsynsmail/S 2250-2024 tillsynsbegäran mail.docx", "S 2250-2024")</f>
        <v/>
      </c>
      <c r="AE2">
        <f>HYPERLINK("https://klasma.github.io/Logging_0883/fåglar/S 2250-2024 prioriterade fågelarter.docx", "S 2250-2024")</f>
        <v/>
      </c>
    </row>
    <row r="3" ht="15" customHeight="1">
      <c r="A3" t="inlineStr">
        <is>
          <t>S 1878-2025</t>
        </is>
      </c>
      <c r="B3" t="inlineStr">
        <is>
          <t>samrådsanmälan</t>
        </is>
      </c>
      <c r="C3" t="inlineStr">
        <is>
          <t>Annan skogsbruksåtgärd</t>
        </is>
      </c>
      <c r="D3" s="1" t="n">
        <v>45824</v>
      </c>
      <c r="E3" s="1" t="n">
        <v>46323</v>
      </c>
      <c r="F3" t="inlineStr">
        <is>
          <t>KALMAR LÄN</t>
        </is>
      </c>
      <c r="G3" t="inlineStr">
        <is>
          <t>VÄSTERVIK</t>
        </is>
      </c>
      <c r="H3" t="inlineStr">
        <is>
          <t>Kommuner</t>
        </is>
      </c>
      <c r="I3" t="n">
        <v>15.4</v>
      </c>
      <c r="J3" t="n">
        <v>33</v>
      </c>
      <c r="K3" t="n">
        <v>15</v>
      </c>
      <c r="L3" t="n">
        <v>23</v>
      </c>
      <c r="M3" t="n">
        <v>6</v>
      </c>
      <c r="N3" t="n">
        <v>4</v>
      </c>
      <c r="O3" t="n">
        <v>0</v>
      </c>
      <c r="P3" t="n">
        <v>0</v>
      </c>
      <c r="Q3" t="n">
        <v>33</v>
      </c>
      <c r="R3" t="n">
        <v>10</v>
      </c>
      <c r="S3" t="n">
        <v>66</v>
      </c>
      <c r="T3" t="n">
        <v>298</v>
      </c>
      <c r="U3" t="n">
        <v>8</v>
      </c>
      <c r="V3" s="2" t="inlineStr">
        <is>
          <t>Ask
Havstrut
Klätt
Skogsalm
Grönfink
Hasselsnok
Igelkott
Läderbagge
Stare
Tornseglare
Blekticka
Ekticka
Gammelekslav
Gul dropplav
Hjälmbrosklav
Korallticka
Kricka
Ladusvala
Mindre hackspett
Nordfladdermus
Oxtungssvamp
Parknål
Reliktbock
Rosa skärelav
Rörsångare
Silltrut
Skeppsvarvsfluga
Skuggorangelav
Sparvuggla
Strandskata
Tallticka
Vårärt
Älg
Barkticka
Blanksvart trämyra
Blompraktbagge
Blåmossa
Brun nållav
Ekoxe
Ekskinn
Fällmossa
Gulpudrad spiklav
Lundvårlök
Lönnlav
Mindre märgborre
Murgröna
Myskbock
Rostfläck
Blåsippa
Spillkråka
Dvärgpipistrell
Gröngöling
Grönsiska
Halsbandsflugsnappare
Havsörn
Kråka
Kungsfågel
Näktergal
Stjärtand x gräsand
Trollpipistrell
Trädlärka
Huggorm
Kopparödla
Mindre vattensalamander
Vanlig padda
Vanlig snok</t>
        </is>
      </c>
      <c r="W3">
        <f>HYPERLINK("https://klasma.github.io/Logging_0883/artfynd/S 1878-2025 artfynd.xlsx", "S 1878-2025")</f>
        <v/>
      </c>
      <c r="X3">
        <f>HYPERLINK("https://klasma.github.io/Logging_0883/kartor/S 1878-2025 karta.png", "S 1878-2025")</f>
        <v/>
      </c>
      <c r="Y3">
        <f>HYPERLINK("https://klasma.github.io/Logging_0883/kartor_geotiff/S 1878-2025 georefererad karta.tif", "S 1878-2025")</f>
        <v/>
      </c>
      <c r="AA3">
        <f>HYPERLINK("https://klasma.github.io/Logging_0883/klagomål/S 1878-2025 FSC-klagomål.docx", "S 1878-2025")</f>
        <v/>
      </c>
      <c r="AB3">
        <f>HYPERLINK("https://klasma.github.io/Logging_0883/klagomålsmail/S 1878-2025 FSC-klagomål mail.docx", "S 1878-2025")</f>
        <v/>
      </c>
      <c r="AC3">
        <f>HYPERLINK("https://klasma.github.io/Logging_0883/tillsyn/S 1878-2025 tillsynsbegäran.docx", "S 1878-2025")</f>
        <v/>
      </c>
      <c r="AD3">
        <f>HYPERLINK("https://klasma.github.io/Logging_0883/tillsynsmail/S 1878-2025 tillsynsbegäran mail.docx", "S 1878-2025")</f>
        <v/>
      </c>
      <c r="AE3">
        <f>HYPERLINK("https://klasma.github.io/Logging_0883/fåglar/S 1878-2025 prioriterade fågelarter.docx", "S 1878-2025")</f>
        <v/>
      </c>
    </row>
    <row r="4" ht="15" customHeight="1">
      <c r="A4" t="inlineStr">
        <is>
          <t>S 216-2025</t>
        </is>
      </c>
      <c r="B4" t="inlineStr">
        <is>
          <t>samrådsanmälan</t>
        </is>
      </c>
      <c r="C4" t="inlineStr">
        <is>
          <t>Annan skogsbruksåtgärd</t>
        </is>
      </c>
      <c r="D4" s="1" t="n">
        <v>45680</v>
      </c>
      <c r="E4" s="1" t="n">
        <v>46323</v>
      </c>
      <c r="F4" t="inlineStr">
        <is>
          <t>KALMAR LÄN</t>
        </is>
      </c>
      <c r="G4" t="inlineStr">
        <is>
          <t>VÄSTERVIK</t>
        </is>
      </c>
      <c r="H4" t="inlineStr">
        <is>
          <t>Kommuner</t>
        </is>
      </c>
      <c r="I4" t="n">
        <v>12.4</v>
      </c>
      <c r="J4" t="n">
        <v>20</v>
      </c>
      <c r="K4" t="n">
        <v>14</v>
      </c>
      <c r="L4" t="n">
        <v>18</v>
      </c>
      <c r="M4" t="n">
        <v>3</v>
      </c>
      <c r="N4" t="n">
        <v>3</v>
      </c>
      <c r="O4" t="n">
        <v>0</v>
      </c>
      <c r="P4" t="n">
        <v>0</v>
      </c>
      <c r="Q4" t="n">
        <v>24</v>
      </c>
      <c r="R4" t="n">
        <v>6</v>
      </c>
      <c r="S4" t="n">
        <v>51</v>
      </c>
      <c r="T4" t="n">
        <v>277</v>
      </c>
      <c r="U4" t="n">
        <v>7</v>
      </c>
      <c r="V4" s="2" t="inlineStr">
        <is>
          <t>Ask
Klätt
Skogsalm
Hasselsnok
Läderbagge
Stare
Blekticka
Ekticka
Gammelekslav
Gul dropplav
Hjälmbrosklav
Korallticka
Nordfladdermus
Oxtungssvamp
Parknål
Reliktbock
Rosa skärelav
Rörsångare
Skeppsvarvsfluga
Skuggorangelav
Sparvuggla
Tallticka
Vårärt
Älg
Barkticka
Blanksvart trämyra
Blompraktbagge
Blåmossa
Brun nållav
Ekoxe
Ekskinn
Fällmossa
Gulpudrad spiklav
Lönnlav
Mindre märgborre
Murgröna
Myskbock
Rostfläck
Blåsippa
Spillkråka
Dvärgpipistrell
Gröngöling
Grönsiska
Halsbandsflugsnappare
Kungsfågel
Trollpipistrell
Huggorm
Kopparödla
Mindre vattensalamander
Vanlig padda
Vanlig snok</t>
        </is>
      </c>
      <c r="W4">
        <f>HYPERLINK("https://klasma.github.io/Logging_0883/artfynd/S 216-2025 artfynd.xlsx", "S 216-2025")</f>
        <v/>
      </c>
      <c r="X4">
        <f>HYPERLINK("https://klasma.github.io/Logging_0883/kartor/S 216-2025 karta.png", "S 216-2025")</f>
        <v/>
      </c>
      <c r="Y4">
        <f>HYPERLINK("https://klasma.github.io/Logging_0883/kartor_geotiff/S 216-2025 georefererad karta.tif", "S 216-2025")</f>
        <v/>
      </c>
      <c r="AA4">
        <f>HYPERLINK("https://klasma.github.io/Logging_0883/klagomål/S 216-2025 FSC-klagomål.docx", "S 216-2025")</f>
        <v/>
      </c>
      <c r="AB4">
        <f>HYPERLINK("https://klasma.github.io/Logging_0883/klagomålsmail/S 216-2025 FSC-klagomål mail.docx", "S 216-2025")</f>
        <v/>
      </c>
      <c r="AC4">
        <f>HYPERLINK("https://klasma.github.io/Logging_0883/tillsyn/S 216-2025 tillsynsbegäran.docx", "S 216-2025")</f>
        <v/>
      </c>
      <c r="AD4">
        <f>HYPERLINK("https://klasma.github.io/Logging_0883/tillsynsmail/S 216-2025 tillsynsbegäran mail.docx", "S 216-2025")</f>
        <v/>
      </c>
      <c r="AE4">
        <f>HYPERLINK("https://klasma.github.io/Logging_0883/fåglar/S 216-2025 prioriterade fågelarter.docx", "S 216-2025")</f>
        <v/>
      </c>
    </row>
    <row r="5" ht="15" customHeight="1">
      <c r="A5" t="inlineStr">
        <is>
          <t>A 58458-2022</t>
        </is>
      </c>
      <c r="B5" t="inlineStr">
        <is>
          <t>avverkningsanmälan</t>
        </is>
      </c>
      <c r="C5" t="inlineStr">
        <is>
          <t>Föryngringsavverkning</t>
        </is>
      </c>
      <c r="D5" s="1" t="n">
        <v>44902</v>
      </c>
      <c r="E5" s="1" t="n">
        <v>46323</v>
      </c>
      <c r="F5" t="inlineStr">
        <is>
          <t>KALMAR LÄN</t>
        </is>
      </c>
      <c r="G5" t="inlineStr">
        <is>
          <t>VÄSTERVIK</t>
        </is>
      </c>
      <c r="I5" t="n">
        <v>3.3</v>
      </c>
      <c r="J5" t="n">
        <v>23</v>
      </c>
      <c r="K5" t="n">
        <v>4</v>
      </c>
      <c r="L5" t="n">
        <v>10</v>
      </c>
      <c r="M5" t="n">
        <v>6</v>
      </c>
      <c r="N5" t="n">
        <v>1</v>
      </c>
      <c r="O5" t="n">
        <v>0</v>
      </c>
      <c r="P5" t="n">
        <v>0</v>
      </c>
      <c r="Q5" t="n">
        <v>17</v>
      </c>
      <c r="R5" t="n">
        <v>7</v>
      </c>
      <c r="S5" t="n">
        <v>38</v>
      </c>
      <c r="T5" t="n">
        <v>47</v>
      </c>
      <c r="U5" t="n">
        <v>16</v>
      </c>
      <c r="V5" s="2" t="inlineStr">
        <is>
          <t>Brandnäva
Bredbrämad bastardsvärmare
Brunfläckig pärlemorfjäril
Knärot
Mindre bastardsvärmare
Silverblåvinge
Smalsprötad bastardsvärmare
Duvhök
Grönsångare
Gulsparv
Järnsparv
Kandelabersvamp
Klubbsprötad bastardsvärmare
Mindre tåtelsmygare
Silversmygare
Svedjenäva
Vitfläckig guldvinge
Grovticka
Grönpyrola
Purpurknipprot
Tibast
Blåsippa
Mattlummer
Spillkråka
Stjärtmes
Tjäder
Gröngöling
Havsörn
Kungsfågel
Röd glada
Skogsduva
Sångsvan
Törnskata
Huggorm
Kopparödla
Skogsödla
Grönvit nattviol
Kärrknipprot</t>
        </is>
      </c>
      <c r="W5">
        <f>HYPERLINK("https://klasma.github.io/Logging_0883/artfynd/A 58458-2022 artfynd.xlsx", "A 58458-2022")</f>
        <v/>
      </c>
      <c r="X5">
        <f>HYPERLINK("https://klasma.github.io/Logging_0883/kartor/A 58458-2022 karta.png", "A 58458-2022")</f>
        <v/>
      </c>
      <c r="Y5">
        <f>HYPERLINK("https://klasma.github.io/Logging_0883/kartor_geotiff/A 58458-2022 georefererad karta.tif", "A 58458-2022")</f>
        <v/>
      </c>
      <c r="Z5">
        <f>HYPERLINK("https://klasma.github.io/Logging_0883/knärot/A 58458-2022 karta knärot.png", "A 58458-2022")</f>
        <v/>
      </c>
      <c r="AA5">
        <f>HYPERLINK("https://klasma.github.io/Logging_0883/klagomål/A 58458-2022 FSC-klagomål.docx", "A 58458-2022")</f>
        <v/>
      </c>
      <c r="AB5">
        <f>HYPERLINK("https://klasma.github.io/Logging_0883/klagomålsmail/A 58458-2022 FSC-klagomål mail.docx", "A 58458-2022")</f>
        <v/>
      </c>
      <c r="AC5">
        <f>HYPERLINK("https://klasma.github.io/Logging_0883/tillsyn/A 58458-2022 tillsynsbegäran.docx", "A 58458-2022")</f>
        <v/>
      </c>
      <c r="AD5">
        <f>HYPERLINK("https://klasma.github.io/Logging_0883/tillsynsmail/A 58458-2022 tillsynsbegäran mail.docx", "A 58458-2022")</f>
        <v/>
      </c>
      <c r="AE5">
        <f>HYPERLINK("https://klasma.github.io/Logging_0883/fåglar/A 58458-2022 prioriterade fågelarter.docx", "A 58458-2022")</f>
        <v/>
      </c>
    </row>
    <row r="6" ht="15" customHeight="1">
      <c r="A6" t="inlineStr">
        <is>
          <t>S 1019-2022</t>
        </is>
      </c>
      <c r="B6" t="inlineStr">
        <is>
          <t>samrådsanmälan</t>
        </is>
      </c>
      <c r="C6" t="inlineStr">
        <is>
          <t>Askåterföring</t>
        </is>
      </c>
      <c r="D6" s="1" t="n">
        <v>44610</v>
      </c>
      <c r="E6" s="1" t="n">
        <v>46323</v>
      </c>
      <c r="F6" t="inlineStr">
        <is>
          <t>KALMAR LÄN</t>
        </is>
      </c>
      <c r="G6" t="inlineStr">
        <is>
          <t>VÄSTERVIK</t>
        </is>
      </c>
      <c r="H6" t="inlineStr">
        <is>
          <t>Sveaskog</t>
        </is>
      </c>
      <c r="I6" t="n">
        <v>755.2</v>
      </c>
      <c r="J6" t="n">
        <v>17</v>
      </c>
      <c r="K6" t="n">
        <v>10</v>
      </c>
      <c r="L6" t="n">
        <v>13</v>
      </c>
      <c r="M6" t="n">
        <v>2</v>
      </c>
      <c r="N6" t="n">
        <v>0</v>
      </c>
      <c r="O6" t="n">
        <v>0</v>
      </c>
      <c r="P6" t="n">
        <v>0</v>
      </c>
      <c r="Q6" t="n">
        <v>15</v>
      </c>
      <c r="R6" t="n">
        <v>2</v>
      </c>
      <c r="S6" t="n">
        <v>34</v>
      </c>
      <c r="T6" t="n">
        <v>106</v>
      </c>
      <c r="U6" t="n">
        <v>35</v>
      </c>
      <c r="V6" s="2" t="inlineStr">
        <is>
          <t>Hasselsnok
Läderbagge
Barbastell
Brunlångöra
Ekticka
Fransfladdermus
Gammelekslav
Kattfotslav
Lunglav
Motaggsvamp
Nordfladdermus
Rosa skärelav
Rutskinn
Skuggorangelav
Tallticka
Blomskägglav
Ekoxe
Ekskinn
Flagellkvastmossa
Granbarkgnagare
Grå skärelav
Grön sköldmossa
Gulnål
Gulpudrad spiklav
Sotlav
Mattlummer
Tjäder
Dvärgpipistrell
Orre
Trana
Vattenfladdermus
Vanlig groda
Vanlig padda
Fläcknycklar</t>
        </is>
      </c>
      <c r="W6">
        <f>HYPERLINK("https://klasma.github.io/Logging_0883/artfynd/S 1019-2022 artfynd.xlsx", "S 1019-2022")</f>
        <v/>
      </c>
      <c r="X6">
        <f>HYPERLINK("https://klasma.github.io/Logging_0883/kartor/S 1019-2022 karta.png", "S 1019-2022")</f>
        <v/>
      </c>
      <c r="Y6">
        <f>HYPERLINK("https://klasma.github.io/Logging_0883/kartor_geotiff/S 1019-2022 georefererad karta.tif", "S 1019-2022")</f>
        <v/>
      </c>
      <c r="AA6">
        <f>HYPERLINK("https://klasma.github.io/Logging_0883/klagomål/S 1019-2022 FSC-klagomål.docx", "S 1019-2022")</f>
        <v/>
      </c>
      <c r="AB6">
        <f>HYPERLINK("https://klasma.github.io/Logging_0883/klagomålsmail/S 1019-2022 FSC-klagomål mail.docx", "S 1019-2022")</f>
        <v/>
      </c>
      <c r="AC6">
        <f>HYPERLINK("https://klasma.github.io/Logging_0883/tillsyn/S 1019-2022 tillsynsbegäran.docx", "S 1019-2022")</f>
        <v/>
      </c>
      <c r="AD6">
        <f>HYPERLINK("https://klasma.github.io/Logging_0883/tillsynsmail/S 1019-2022 tillsynsbegäran mail.docx", "S 1019-2022")</f>
        <v/>
      </c>
      <c r="AE6">
        <f>HYPERLINK("https://klasma.github.io/Logging_0883/fåglar/S 1019-2022 prioriterade fågelarter.docx", "S 1019-2022")</f>
        <v/>
      </c>
    </row>
    <row r="7" ht="15" customHeight="1">
      <c r="A7" t="inlineStr">
        <is>
          <t>A 58937-2022</t>
        </is>
      </c>
      <c r="B7" t="inlineStr">
        <is>
          <t>avverkningsanmälan</t>
        </is>
      </c>
      <c r="C7" t="inlineStr">
        <is>
          <t>Föryngringsavverkning</t>
        </is>
      </c>
      <c r="D7" s="1" t="n">
        <v>44896</v>
      </c>
      <c r="E7" s="1" t="n">
        <v>46323</v>
      </c>
      <c r="F7" t="inlineStr">
        <is>
          <t>KALMAR LÄN</t>
        </is>
      </c>
      <c r="G7" t="inlineStr">
        <is>
          <t>VÄSTERVIK</t>
        </is>
      </c>
      <c r="I7" t="n">
        <v>10.6</v>
      </c>
      <c r="J7" t="n">
        <v>9</v>
      </c>
      <c r="K7" t="n">
        <v>12</v>
      </c>
      <c r="L7" t="n">
        <v>8</v>
      </c>
      <c r="M7" t="n">
        <v>3</v>
      </c>
      <c r="N7" t="n">
        <v>0</v>
      </c>
      <c r="O7" t="n">
        <v>0</v>
      </c>
      <c r="P7" t="n">
        <v>0</v>
      </c>
      <c r="Q7" t="n">
        <v>11</v>
      </c>
      <c r="R7" t="n">
        <v>3</v>
      </c>
      <c r="S7" t="n">
        <v>29</v>
      </c>
      <c r="T7" t="n">
        <v>133</v>
      </c>
      <c r="U7" t="n">
        <v>133</v>
      </c>
      <c r="V7" s="2" t="inlineStr">
        <is>
          <t>Fransporing
Gränsticka
Knärot
Apelsinticka
Dvärgbägarlav
Grönsångare
Hornvaxskinn
Kolflarnlav
Tallticka
Talltita
Vedskivlav
Blodticka
Blåmossa
Bronshjon
Flagellkvastmossa
Grovticka
Grönpyrola
Kornknutmossa
Nästlav
Sotlav
Thomsons trägnagare
Vedticka
Vågbandad barkbock
Blåsippa
Spillkråka
Tofsmes
Kungsfågel
Svartvit flugsnappare
Revlummer</t>
        </is>
      </c>
      <c r="W7">
        <f>HYPERLINK("https://klasma.github.io/Logging_0883/artfynd/A 58937-2022 artfynd.xlsx", "A 58937-2022")</f>
        <v/>
      </c>
      <c r="X7">
        <f>HYPERLINK("https://klasma.github.io/Logging_0883/kartor/A 58937-2022 karta.png", "A 58937-2022")</f>
        <v/>
      </c>
      <c r="Y7">
        <f>HYPERLINK("https://klasma.github.io/Logging_0883/kartor_geotiff/A 58937-2022 georefererad karta.tif", "A 58937-2022")</f>
        <v/>
      </c>
      <c r="Z7">
        <f>HYPERLINK("https://klasma.github.io/Logging_0883/knärot/A 58937-2022 karta knärot.png", "A 58937-2022")</f>
        <v/>
      </c>
      <c r="AA7">
        <f>HYPERLINK("https://klasma.github.io/Logging_0883/klagomål/A 58937-2022 FSC-klagomål.docx", "A 58937-2022")</f>
        <v/>
      </c>
      <c r="AB7">
        <f>HYPERLINK("https://klasma.github.io/Logging_0883/klagomålsmail/A 58937-2022 FSC-klagomål mail.docx", "A 58937-2022")</f>
        <v/>
      </c>
      <c r="AC7">
        <f>HYPERLINK("https://klasma.github.io/Logging_0883/tillsyn/A 58937-2022 tillsynsbegäran.docx", "A 58937-2022")</f>
        <v/>
      </c>
      <c r="AD7">
        <f>HYPERLINK("https://klasma.github.io/Logging_0883/tillsynsmail/A 58937-2022 tillsynsbegäran mail.docx", "A 58937-2022")</f>
        <v/>
      </c>
      <c r="AE7">
        <f>HYPERLINK("https://klasma.github.io/Logging_0883/fåglar/A 58937-2022 prioriterade fågelarter.docx", "A 58937-2022")</f>
        <v/>
      </c>
    </row>
    <row r="8" ht="15" customHeight="1">
      <c r="A8" t="inlineStr">
        <is>
          <t>S 3790-2024</t>
        </is>
      </c>
      <c r="B8" t="inlineStr">
        <is>
          <t>samrådsanmälan</t>
        </is>
      </c>
      <c r="C8" t="inlineStr">
        <is>
          <t>Annan skogsbruksåtgärd</t>
        </is>
      </c>
      <c r="D8" s="1" t="n">
        <v>45558</v>
      </c>
      <c r="E8" s="1" t="n">
        <v>46323</v>
      </c>
      <c r="F8" t="inlineStr">
        <is>
          <t>KALMAR LÄN</t>
        </is>
      </c>
      <c r="G8" t="inlineStr">
        <is>
          <t>VÄSTERVIK</t>
        </is>
      </c>
      <c r="I8" t="n">
        <v>40.8</v>
      </c>
      <c r="J8" t="n">
        <v>6</v>
      </c>
      <c r="K8" t="n">
        <v>7</v>
      </c>
      <c r="L8" t="n">
        <v>8</v>
      </c>
      <c r="M8" t="n">
        <v>5</v>
      </c>
      <c r="N8" t="n">
        <v>3</v>
      </c>
      <c r="O8" t="n">
        <v>0</v>
      </c>
      <c r="P8" t="n">
        <v>0</v>
      </c>
      <c r="Q8" t="n">
        <v>16</v>
      </c>
      <c r="R8" t="n">
        <v>8</v>
      </c>
      <c r="S8" t="n">
        <v>27</v>
      </c>
      <c r="T8" t="n">
        <v>59</v>
      </c>
      <c r="U8" t="n">
        <v>3</v>
      </c>
      <c r="V8" s="2" t="inlineStr">
        <is>
          <t>Almlav
Ask
Skogsalm
Apelticka
Blek kraterlav
Gulvit blekspik
Läderbagge
Ädellav
Axveronika
Ekticka
Korskovall
Lunglav
Oxtungssvamp
Reliktbock
Skeppsvarvsfluga
Tallticka
Brun nållav
Ekoxe
Fällmossa
Guldlockmossa
Lönnlav
Myskmadra
Rostfläck
Blåsippa
Spillkråka
Kungsfågel
Grönvit nattviol</t>
        </is>
      </c>
      <c r="W8">
        <f>HYPERLINK("https://klasma.github.io/Logging_0883/artfynd/S 3790-2024 artfynd.xlsx", "S 3790-2024")</f>
        <v/>
      </c>
      <c r="X8">
        <f>HYPERLINK("https://klasma.github.io/Logging_0883/kartor/S 3790-2024 karta.png", "S 3790-2024")</f>
        <v/>
      </c>
      <c r="Y8">
        <f>HYPERLINK("https://klasma.github.io/Logging_0883/kartor_geotiff/S 3790-2024 georefererad karta.tif", "S 3790-2024")</f>
        <v/>
      </c>
      <c r="AA8">
        <f>HYPERLINK("https://klasma.github.io/Logging_0883/klagomål/S 3790-2024 FSC-klagomål.docx", "S 3790-2024")</f>
        <v/>
      </c>
      <c r="AB8">
        <f>HYPERLINK("https://klasma.github.io/Logging_0883/klagomålsmail/S 3790-2024 FSC-klagomål mail.docx", "S 3790-2024")</f>
        <v/>
      </c>
      <c r="AC8">
        <f>HYPERLINK("https://klasma.github.io/Logging_0883/tillsyn/S 3790-2024 tillsynsbegäran.docx", "S 3790-2024")</f>
        <v/>
      </c>
      <c r="AD8">
        <f>HYPERLINK("https://klasma.github.io/Logging_0883/tillsynsmail/S 3790-2024 tillsynsbegäran mail.docx", "S 3790-2024")</f>
        <v/>
      </c>
      <c r="AE8">
        <f>HYPERLINK("https://klasma.github.io/Logging_0883/fåglar/S 3790-2024 prioriterade fågelarter.docx", "S 3790-2024")</f>
        <v/>
      </c>
    </row>
    <row r="9" ht="15" customHeight="1">
      <c r="A9" t="inlineStr">
        <is>
          <t>S 1976-2023</t>
        </is>
      </c>
      <c r="B9" t="inlineStr">
        <is>
          <t>samrådsanmälan</t>
        </is>
      </c>
      <c r="C9" t="inlineStr">
        <is>
          <t>Annan skogsbruksåtgärd</t>
        </is>
      </c>
      <c r="D9" s="1" t="n">
        <v>45084</v>
      </c>
      <c r="E9" s="1" t="n">
        <v>46323</v>
      </c>
      <c r="F9" t="inlineStr">
        <is>
          <t>KALMAR LÄN</t>
        </is>
      </c>
      <c r="G9" t="inlineStr">
        <is>
          <t>VÄSTERVIK</t>
        </is>
      </c>
      <c r="I9" t="n">
        <v>23.3</v>
      </c>
      <c r="J9" t="n">
        <v>10</v>
      </c>
      <c r="K9" t="n">
        <v>11</v>
      </c>
      <c r="L9" t="n">
        <v>6</v>
      </c>
      <c r="M9" t="n">
        <v>2</v>
      </c>
      <c r="N9" t="n">
        <v>0</v>
      </c>
      <c r="O9" t="n">
        <v>0</v>
      </c>
      <c r="P9" t="n">
        <v>0</v>
      </c>
      <c r="Q9" t="n">
        <v>8</v>
      </c>
      <c r="R9" t="n">
        <v>2</v>
      </c>
      <c r="S9" t="n">
        <v>25</v>
      </c>
      <c r="T9" t="n">
        <v>219</v>
      </c>
      <c r="U9" t="n">
        <v>161</v>
      </c>
      <c r="V9" s="2" t="inlineStr">
        <is>
          <t>Knärot
Rotfingersvamp
Entita
Gropticka
Tallticka
Talltita
Ullticka
Vågticka
Barkticka
Blodticka
Blomkålssvamp
Blåmossa
Brandticka
Bronshjon
Grovticka
Grön sköldmossa
Grönpyrola
Rävticka
Vågbandad barkbock
Blåsippa
Järpe
Mattlummer
Spillkråka
Tjäder
Kungsfågel</t>
        </is>
      </c>
      <c r="W9">
        <f>HYPERLINK("https://klasma.github.io/Logging_0883/artfynd/S 1976-2023 artfynd.xlsx", "S 1976-2023")</f>
        <v/>
      </c>
      <c r="X9">
        <f>HYPERLINK("https://klasma.github.io/Logging_0883/kartor/S 1976-2023 karta.png", "S 1976-2023")</f>
        <v/>
      </c>
      <c r="Y9">
        <f>HYPERLINK("https://klasma.github.io/Logging_0883/kartor_geotiff/S 1976-2023 georefererad karta.tif", "S 1976-2023")</f>
        <v/>
      </c>
      <c r="Z9">
        <f>HYPERLINK("https://klasma.github.io/Logging_0883/knärot/S 1976-2023 karta knärot.png", "S 1976-2023")</f>
        <v/>
      </c>
      <c r="AA9">
        <f>HYPERLINK("https://klasma.github.io/Logging_0883/klagomål/S 1976-2023 FSC-klagomål.docx", "S 1976-2023")</f>
        <v/>
      </c>
      <c r="AB9">
        <f>HYPERLINK("https://klasma.github.io/Logging_0883/klagomålsmail/S 1976-2023 FSC-klagomål mail.docx", "S 1976-2023")</f>
        <v/>
      </c>
      <c r="AC9">
        <f>HYPERLINK("https://klasma.github.io/Logging_0883/tillsyn/S 1976-2023 tillsynsbegäran.docx", "S 1976-2023")</f>
        <v/>
      </c>
      <c r="AD9">
        <f>HYPERLINK("https://klasma.github.io/Logging_0883/tillsynsmail/S 1976-2023 tillsynsbegäran mail.docx", "S 1976-2023")</f>
        <v/>
      </c>
      <c r="AE9">
        <f>HYPERLINK("https://klasma.github.io/Logging_0883/fåglar/S 1976-2023 prioriterade fågelarter.docx", "S 1976-2023")</f>
        <v/>
      </c>
    </row>
    <row r="10" ht="15" customHeight="1">
      <c r="A10" t="inlineStr">
        <is>
          <t>A 42892-2025</t>
        </is>
      </c>
      <c r="B10" t="inlineStr">
        <is>
          <t>avverkningsanmälan</t>
        </is>
      </c>
      <c r="C10" t="inlineStr">
        <is>
          <t>Föryngringsavverkning</t>
        </is>
      </c>
      <c r="D10" s="1" t="n">
        <v>45908</v>
      </c>
      <c r="E10" s="1" t="n">
        <v>46323</v>
      </c>
      <c r="F10" t="inlineStr">
        <is>
          <t>KALMAR LÄN</t>
        </is>
      </c>
      <c r="G10" t="inlineStr">
        <is>
          <t>VÄSTERVIK</t>
        </is>
      </c>
      <c r="H10" t="inlineStr">
        <is>
          <t>Holmen skog AB</t>
        </is>
      </c>
      <c r="I10" t="n">
        <v>19.3</v>
      </c>
      <c r="J10" t="n">
        <v>5</v>
      </c>
      <c r="K10" t="n">
        <v>15</v>
      </c>
      <c r="L10" t="n">
        <v>5</v>
      </c>
      <c r="M10" t="n">
        <v>2</v>
      </c>
      <c r="N10" t="n">
        <v>0</v>
      </c>
      <c r="O10" t="n">
        <v>0</v>
      </c>
      <c r="P10" t="n">
        <v>0</v>
      </c>
      <c r="Q10" t="n">
        <v>7</v>
      </c>
      <c r="R10" t="n">
        <v>2</v>
      </c>
      <c r="S10" t="n">
        <v>24</v>
      </c>
      <c r="T10" t="n">
        <v>134</v>
      </c>
      <c r="U10" t="n">
        <v>133</v>
      </c>
      <c r="V10" s="2" t="inlineStr">
        <is>
          <t>Garnlav
Knärot
Ekticka
Spinnfingersvamp
Tallticka
Talltita
Ullticka
Blodticka
Blomkålssvamp
Blomskägglav
Brandticka
Bronshjon
Dolkstekelsglasvinge
Granbarkgnagare
Grön sköldmossa
Grönpyrola
Gullgröppa
Jättesvampmal
Trådticka
Vedticka
Vågbandad barkbock
Zontaggsvamp
Blåsippa
Spillkråka</t>
        </is>
      </c>
      <c r="W10">
        <f>HYPERLINK("https://klasma.github.io/Logging_0883/artfynd/A 42892-2025 artfynd.xlsx", "A 42892-2025")</f>
        <v/>
      </c>
      <c r="X10">
        <f>HYPERLINK("https://klasma.github.io/Logging_0883/kartor/A 42892-2025 karta.png", "A 42892-2025")</f>
        <v/>
      </c>
      <c r="Y10">
        <f>HYPERLINK("https://klasma.github.io/Logging_0883/kartor_geotiff/A 42892-2025 georefererad karta.tif", "A 42892-2025")</f>
        <v/>
      </c>
      <c r="Z10">
        <f>HYPERLINK("https://klasma.github.io/Logging_0883/knärot/A 42892-2025 karta knärot.png", "A 42892-2025")</f>
        <v/>
      </c>
      <c r="AA10">
        <f>HYPERLINK("https://klasma.github.io/Logging_0883/klagomål/A 42892-2025 FSC-klagomål.docx", "A 42892-2025")</f>
        <v/>
      </c>
      <c r="AB10">
        <f>HYPERLINK("https://klasma.github.io/Logging_0883/klagomålsmail/A 42892-2025 FSC-klagomål mail.docx", "A 42892-2025")</f>
        <v/>
      </c>
      <c r="AC10">
        <f>HYPERLINK("https://klasma.github.io/Logging_0883/tillsyn/A 42892-2025 tillsynsbegäran.docx", "A 42892-2025")</f>
        <v/>
      </c>
      <c r="AD10">
        <f>HYPERLINK("https://klasma.github.io/Logging_0883/tillsynsmail/A 42892-2025 tillsynsbegäran mail.docx", "A 42892-2025")</f>
        <v/>
      </c>
      <c r="AE10">
        <f>HYPERLINK("https://klasma.github.io/Logging_0883/fåglar/A 42892-2025 prioriterade fågelarter.docx", "A 42892-2025")</f>
        <v/>
      </c>
    </row>
    <row r="11" ht="15" customHeight="1">
      <c r="A11" t="inlineStr">
        <is>
          <t>A 61319-2021</t>
        </is>
      </c>
      <c r="B11" t="inlineStr">
        <is>
          <t>avverkningsanmälan</t>
        </is>
      </c>
      <c r="C11" t="inlineStr">
        <is>
          <t>Föryngringsavverkning</t>
        </is>
      </c>
      <c r="D11" s="1" t="n">
        <v>44498</v>
      </c>
      <c r="E11" s="1" t="n">
        <v>46323</v>
      </c>
      <c r="F11" t="inlineStr">
        <is>
          <t>KALMAR LÄN</t>
        </is>
      </c>
      <c r="G11" t="inlineStr">
        <is>
          <t>VÄSTERVIK</t>
        </is>
      </c>
      <c r="I11" t="n">
        <v>2.2</v>
      </c>
      <c r="J11" t="n">
        <v>18</v>
      </c>
      <c r="K11" t="n">
        <v>1</v>
      </c>
      <c r="L11" t="n">
        <v>5</v>
      </c>
      <c r="M11" t="n">
        <v>2</v>
      </c>
      <c r="N11" t="n">
        <v>3</v>
      </c>
      <c r="O11" t="n">
        <v>0</v>
      </c>
      <c r="P11" t="n">
        <v>0</v>
      </c>
      <c r="Q11" t="n">
        <v>10</v>
      </c>
      <c r="R11" t="n">
        <v>5</v>
      </c>
      <c r="S11" t="n">
        <v>21</v>
      </c>
      <c r="T11" t="n">
        <v>23</v>
      </c>
      <c r="U11" t="n">
        <v>22</v>
      </c>
      <c r="V11" s="2" t="inlineStr">
        <is>
          <t>Ask
Hornuggla
Klätt
Gråtrut
Sandödla
Ekträdlöpare
Entita
Kricka
Mindre hackspett
Sädesärla
Ekoxe
Gråsiska
Stjärtmes
Tofsmes
Fiskgjuse
Gröngöling
Grönsiska
Havsörn
Trana
Trädlärka
Vanlig padda</t>
        </is>
      </c>
      <c r="W11">
        <f>HYPERLINK("https://klasma.github.io/Logging_0883/artfynd/A 61319-2021 artfynd.xlsx", "A 61319-2021")</f>
        <v/>
      </c>
      <c r="X11">
        <f>HYPERLINK("https://klasma.github.io/Logging_0883/kartor/A 61319-2021 karta.png", "A 61319-2021")</f>
        <v/>
      </c>
      <c r="Y11">
        <f>HYPERLINK("https://klasma.github.io/Logging_0883/kartor_geotiff/A 61319-2021 georefererad karta.tif", "A 61319-2021")</f>
        <v/>
      </c>
      <c r="AA11">
        <f>HYPERLINK("https://klasma.github.io/Logging_0883/klagomål/A 61319-2021 FSC-klagomål.docx", "A 61319-2021")</f>
        <v/>
      </c>
      <c r="AB11">
        <f>HYPERLINK("https://klasma.github.io/Logging_0883/klagomålsmail/A 61319-2021 FSC-klagomål mail.docx", "A 61319-2021")</f>
        <v/>
      </c>
      <c r="AC11">
        <f>HYPERLINK("https://klasma.github.io/Logging_0883/tillsyn/A 61319-2021 tillsynsbegäran.docx", "A 61319-2021")</f>
        <v/>
      </c>
      <c r="AD11">
        <f>HYPERLINK("https://klasma.github.io/Logging_0883/tillsynsmail/A 61319-2021 tillsynsbegäran mail.docx", "A 61319-2021")</f>
        <v/>
      </c>
      <c r="AE11">
        <f>HYPERLINK("https://klasma.github.io/Logging_0883/fåglar/A 61319-2021 prioriterade fågelarter.docx", "A 61319-2021")</f>
        <v/>
      </c>
    </row>
    <row r="12" ht="15" customHeight="1">
      <c r="A12" t="inlineStr">
        <is>
          <t>S 2636-2022</t>
        </is>
      </c>
      <c r="B12" t="inlineStr">
        <is>
          <t>samrådsanmälan</t>
        </is>
      </c>
      <c r="C12" t="inlineStr">
        <is>
          <t>Åtgärd i nyckelbiotop</t>
        </is>
      </c>
      <c r="D12" s="1" t="n">
        <v>44699</v>
      </c>
      <c r="E12" s="1" t="n">
        <v>46323</v>
      </c>
      <c r="F12" t="inlineStr">
        <is>
          <t>KALMAR LÄN</t>
        </is>
      </c>
      <c r="G12" t="inlineStr">
        <is>
          <t>VÄSTERVIK</t>
        </is>
      </c>
      <c r="H12" t="inlineStr">
        <is>
          <t>Kommuner</t>
        </is>
      </c>
      <c r="I12" t="n">
        <v>13.9</v>
      </c>
      <c r="J12" t="n">
        <v>11</v>
      </c>
      <c r="K12" t="n">
        <v>4</v>
      </c>
      <c r="L12" t="n">
        <v>5</v>
      </c>
      <c r="M12" t="n">
        <v>4</v>
      </c>
      <c r="N12" t="n">
        <v>0</v>
      </c>
      <c r="O12" t="n">
        <v>0</v>
      </c>
      <c r="P12" t="n">
        <v>0</v>
      </c>
      <c r="Q12" t="n">
        <v>9</v>
      </c>
      <c r="R12" t="n">
        <v>4</v>
      </c>
      <c r="S12" t="n">
        <v>20</v>
      </c>
      <c r="T12" t="n">
        <v>43</v>
      </c>
      <c r="U12" t="n">
        <v>26</v>
      </c>
      <c r="V12" s="2" t="inlineStr">
        <is>
          <t>Hasselsnok
Sandödla
Skogskorn
Stortimjan
Blekticka
Desmeknopp
Mindre hackspett
Svinrot
Vårärt
Ekoxe
Myskmadra
Nästrot
Vätteros
Blåsippa
Mörk lungört
Gröngöling
Grönsiska
Skogsduva
Vanlig padda
Fläcknycklar</t>
        </is>
      </c>
      <c r="W12">
        <f>HYPERLINK("https://klasma.github.io/Logging_0883/artfynd/S 2636-2022 artfynd.xlsx", "S 2636-2022")</f>
        <v/>
      </c>
      <c r="X12">
        <f>HYPERLINK("https://klasma.github.io/Logging_0883/kartor/S 2636-2022 karta.png", "S 2636-2022")</f>
        <v/>
      </c>
      <c r="Y12">
        <f>HYPERLINK("https://klasma.github.io/Logging_0883/kartor_geotiff/S 2636-2022 georefererad karta.tif", "S 2636-2022")</f>
        <v/>
      </c>
      <c r="AA12">
        <f>HYPERLINK("https://klasma.github.io/Logging_0883/klagomål/S 2636-2022 FSC-klagomål.docx", "S 2636-2022")</f>
        <v/>
      </c>
      <c r="AB12">
        <f>HYPERLINK("https://klasma.github.io/Logging_0883/klagomålsmail/S 2636-2022 FSC-klagomål mail.docx", "S 2636-2022")</f>
        <v/>
      </c>
      <c r="AC12">
        <f>HYPERLINK("https://klasma.github.io/Logging_0883/tillsyn/S 2636-2022 tillsynsbegäran.docx", "S 2636-2022")</f>
        <v/>
      </c>
      <c r="AD12">
        <f>HYPERLINK("https://klasma.github.io/Logging_0883/tillsynsmail/S 2636-2022 tillsynsbegäran mail.docx", "S 2636-2022")</f>
        <v/>
      </c>
      <c r="AE12">
        <f>HYPERLINK("https://klasma.github.io/Logging_0883/fåglar/S 2636-2022 prioriterade fågelarter.docx", "S 2636-2022")</f>
        <v/>
      </c>
    </row>
    <row r="13" ht="15" customHeight="1">
      <c r="A13" t="inlineStr">
        <is>
          <t>A 60440-2024</t>
        </is>
      </c>
      <c r="B13" t="inlineStr">
        <is>
          <t>avverkningsanmälan</t>
        </is>
      </c>
      <c r="C13" t="inlineStr">
        <is>
          <t>Föryngringsavverkning</t>
        </is>
      </c>
      <c r="D13" s="1" t="n">
        <v>45643</v>
      </c>
      <c r="E13" s="1" t="n">
        <v>46323</v>
      </c>
      <c r="F13" t="inlineStr">
        <is>
          <t>KALMAR LÄN</t>
        </is>
      </c>
      <c r="G13" t="inlineStr">
        <is>
          <t>VÄSTERVIK</t>
        </is>
      </c>
      <c r="I13" t="n">
        <v>35.5</v>
      </c>
      <c r="J13" t="n">
        <v>7</v>
      </c>
      <c r="K13" t="n">
        <v>5</v>
      </c>
      <c r="L13" t="n">
        <v>10</v>
      </c>
      <c r="M13" t="n">
        <v>1</v>
      </c>
      <c r="N13" t="n">
        <v>0</v>
      </c>
      <c r="O13" t="n">
        <v>0</v>
      </c>
      <c r="P13" t="n">
        <v>0</v>
      </c>
      <c r="Q13" t="n">
        <v>11</v>
      </c>
      <c r="R13" t="n">
        <v>1</v>
      </c>
      <c r="S13" t="n">
        <v>19</v>
      </c>
      <c r="T13" t="n">
        <v>36</v>
      </c>
      <c r="U13" t="n">
        <v>35</v>
      </c>
      <c r="V13" s="2" t="inlineStr">
        <is>
          <t>Knärot
Apollofjäril
Dropptaggsvamp
Jungfrulin
Motaggsvamp
Reliktbock
Sommarfibbla
Svinrot
Tallticka
Talltita
Vintertagging
Blodticka
Blomkålssvamp
Blåmossa
Grönpyrola
Korallrot
Spillkråka
Kungsfågel
Trädlärka</t>
        </is>
      </c>
      <c r="W13">
        <f>HYPERLINK("https://klasma.github.io/Logging_0883/artfynd/A 60440-2024 artfynd.xlsx", "A 60440-2024")</f>
        <v/>
      </c>
      <c r="X13">
        <f>HYPERLINK("https://klasma.github.io/Logging_0883/kartor/A 60440-2024 karta.png", "A 60440-2024")</f>
        <v/>
      </c>
      <c r="Y13">
        <f>HYPERLINK("https://klasma.github.io/Logging_0883/kartor_geotiff/A 60440-2024 georefererad karta.tif", "A 60440-2024")</f>
        <v/>
      </c>
      <c r="Z13">
        <f>HYPERLINK("https://klasma.github.io/Logging_0883/knärot/A 60440-2024 karta knärot.png", "A 60440-2024")</f>
        <v/>
      </c>
      <c r="AA13">
        <f>HYPERLINK("https://klasma.github.io/Logging_0883/klagomål/A 60440-2024 FSC-klagomål.docx", "A 60440-2024")</f>
        <v/>
      </c>
      <c r="AB13">
        <f>HYPERLINK("https://klasma.github.io/Logging_0883/klagomålsmail/A 60440-2024 FSC-klagomål mail.docx", "A 60440-2024")</f>
        <v/>
      </c>
      <c r="AC13">
        <f>HYPERLINK("https://klasma.github.io/Logging_0883/tillsyn/A 60440-2024 tillsynsbegäran.docx", "A 60440-2024")</f>
        <v/>
      </c>
      <c r="AD13">
        <f>HYPERLINK("https://klasma.github.io/Logging_0883/tillsynsmail/A 60440-2024 tillsynsbegäran mail.docx", "A 60440-2024")</f>
        <v/>
      </c>
      <c r="AE13">
        <f>HYPERLINK("https://klasma.github.io/Logging_0883/fåglar/A 60440-2024 prioriterade fågelarter.docx", "A 60440-2024")</f>
        <v/>
      </c>
    </row>
    <row r="14" ht="15" customHeight="1">
      <c r="A14" t="inlineStr">
        <is>
          <t>A 27727-2024</t>
        </is>
      </c>
      <c r="B14" t="inlineStr">
        <is>
          <t>avverkningsanmälan</t>
        </is>
      </c>
      <c r="C14" t="inlineStr">
        <is>
          <t>Föryngringsavverkning</t>
        </is>
      </c>
      <c r="D14" s="1" t="n">
        <v>45475</v>
      </c>
      <c r="E14" s="1" t="n">
        <v>46323</v>
      </c>
      <c r="F14" t="inlineStr">
        <is>
          <t>KALMAR LÄN</t>
        </is>
      </c>
      <c r="G14" t="inlineStr">
        <is>
          <t>VÄSTERVIK</t>
        </is>
      </c>
      <c r="H14" t="inlineStr">
        <is>
          <t>Holmen skog AB</t>
        </is>
      </c>
      <c r="I14" t="n">
        <v>9.800000000000001</v>
      </c>
      <c r="J14" t="n">
        <v>10</v>
      </c>
      <c r="K14" t="n">
        <v>3</v>
      </c>
      <c r="L14" t="n">
        <v>8</v>
      </c>
      <c r="M14" t="n">
        <v>1</v>
      </c>
      <c r="N14" t="n">
        <v>0</v>
      </c>
      <c r="O14" t="n">
        <v>0</v>
      </c>
      <c r="P14" t="n">
        <v>0</v>
      </c>
      <c r="Q14" t="n">
        <v>9</v>
      </c>
      <c r="R14" t="n">
        <v>1</v>
      </c>
      <c r="S14" t="n">
        <v>19</v>
      </c>
      <c r="T14" t="n">
        <v>42</v>
      </c>
      <c r="U14" t="n">
        <v>41</v>
      </c>
      <c r="V14" s="2" t="inlineStr">
        <is>
          <t>Knärot
Ekticka
Entita
Kandelabersvamp
Mindre hackspett
Oxtungssvamp
Tallticka
Talltita
Ullticka
Blåmossa
Grön sköldmossa
Rostfläck
Bergfink
Blåsippa
Mattlummer
Skriftlav
Spillkråka
Timmerticka
Tofsmes</t>
        </is>
      </c>
      <c r="W14">
        <f>HYPERLINK("https://klasma.github.io/Logging_0883/artfynd/A 27727-2024 artfynd.xlsx", "A 27727-2024")</f>
        <v/>
      </c>
      <c r="X14">
        <f>HYPERLINK("https://klasma.github.io/Logging_0883/kartor/A 27727-2024 karta.png", "A 27727-2024")</f>
        <v/>
      </c>
      <c r="Y14">
        <f>HYPERLINK("https://klasma.github.io/Logging_0883/kartor_geotiff/A 27727-2024 georefererad karta.tif", "A 27727-2024")</f>
        <v/>
      </c>
      <c r="Z14">
        <f>HYPERLINK("https://klasma.github.io/Logging_0883/knärot/A 27727-2024 karta knärot.png", "A 27727-2024")</f>
        <v/>
      </c>
      <c r="AA14">
        <f>HYPERLINK("https://klasma.github.io/Logging_0883/klagomål/A 27727-2024 FSC-klagomål.docx", "A 27727-2024")</f>
        <v/>
      </c>
      <c r="AB14">
        <f>HYPERLINK("https://klasma.github.io/Logging_0883/klagomålsmail/A 27727-2024 FSC-klagomål mail.docx", "A 27727-2024")</f>
        <v/>
      </c>
      <c r="AC14">
        <f>HYPERLINK("https://klasma.github.io/Logging_0883/tillsyn/A 27727-2024 tillsynsbegäran.docx", "A 27727-2024")</f>
        <v/>
      </c>
      <c r="AD14">
        <f>HYPERLINK("https://klasma.github.io/Logging_0883/tillsynsmail/A 27727-2024 tillsynsbegäran mail.docx", "A 27727-2024")</f>
        <v/>
      </c>
      <c r="AE14">
        <f>HYPERLINK("https://klasma.github.io/Logging_0883/fåglar/A 27727-2024 prioriterade fågelarter.docx", "A 27727-2024")</f>
        <v/>
      </c>
    </row>
    <row r="15" ht="15" customHeight="1">
      <c r="A15" t="inlineStr">
        <is>
          <t>A 54601-2022</t>
        </is>
      </c>
      <c r="B15" t="inlineStr">
        <is>
          <t>avverkningsanmälan</t>
        </is>
      </c>
      <c r="C15" t="inlineStr">
        <is>
          <t>Föryngringsavverkning</t>
        </is>
      </c>
      <c r="D15" s="1" t="n">
        <v>44883</v>
      </c>
      <c r="E15" s="1" t="n">
        <v>46323</v>
      </c>
      <c r="F15" t="inlineStr">
        <is>
          <t>KALMAR LÄN</t>
        </is>
      </c>
      <c r="G15" t="inlineStr">
        <is>
          <t>VÄSTERVIK</t>
        </is>
      </c>
      <c r="I15" t="n">
        <v>3.4</v>
      </c>
      <c r="J15" t="n">
        <v>7</v>
      </c>
      <c r="K15" t="n">
        <v>3</v>
      </c>
      <c r="L15" t="n">
        <v>9</v>
      </c>
      <c r="M15" t="n">
        <v>0</v>
      </c>
      <c r="N15" t="n">
        <v>1</v>
      </c>
      <c r="O15" t="n">
        <v>0</v>
      </c>
      <c r="P15" t="n">
        <v>0</v>
      </c>
      <c r="Q15" t="n">
        <v>10</v>
      </c>
      <c r="R15" t="n">
        <v>1</v>
      </c>
      <c r="S15" t="n">
        <v>18</v>
      </c>
      <c r="T15" t="n">
        <v>25</v>
      </c>
      <c r="U15" t="n">
        <v>13</v>
      </c>
      <c r="V15" s="2" t="inlineStr">
        <is>
          <t>Tallharticka
Dropptaggsvamp
Fjällig taggsvamp s.str.
Göktyta
Kandelabersvamp
Koralltaggsvamp
Mindre hackspett
Orange taggsvamp
Ullticka
Vårstarr
Grönpyrola
Rävticka
Zontaggsvamp
Spillkråka
Havsörn
Kungsfågel
Skogsduva
Skogsödla</t>
        </is>
      </c>
      <c r="W15">
        <f>HYPERLINK("https://klasma.github.io/Logging_0883/artfynd/A 54601-2022 artfynd.xlsx", "A 54601-2022")</f>
        <v/>
      </c>
      <c r="X15">
        <f>HYPERLINK("https://klasma.github.io/Logging_0883/kartor/A 54601-2022 karta.png", "A 54601-2022")</f>
        <v/>
      </c>
      <c r="Y15">
        <f>HYPERLINK("https://klasma.github.io/Logging_0883/kartor_geotiff/A 54601-2022 georefererad karta.tif", "A 54601-2022")</f>
        <v/>
      </c>
      <c r="AA15">
        <f>HYPERLINK("https://klasma.github.io/Logging_0883/klagomål/A 54601-2022 FSC-klagomål.docx", "A 54601-2022")</f>
        <v/>
      </c>
      <c r="AB15">
        <f>HYPERLINK("https://klasma.github.io/Logging_0883/klagomålsmail/A 54601-2022 FSC-klagomål mail.docx", "A 54601-2022")</f>
        <v/>
      </c>
      <c r="AC15">
        <f>HYPERLINK("https://klasma.github.io/Logging_0883/tillsyn/A 54601-2022 tillsynsbegäran.docx", "A 54601-2022")</f>
        <v/>
      </c>
      <c r="AD15">
        <f>HYPERLINK("https://klasma.github.io/Logging_0883/tillsynsmail/A 54601-2022 tillsynsbegäran mail.docx", "A 54601-2022")</f>
        <v/>
      </c>
      <c r="AE15">
        <f>HYPERLINK("https://klasma.github.io/Logging_0883/fåglar/A 54601-2022 prioriterade fågelarter.docx", "A 54601-2022")</f>
        <v/>
      </c>
    </row>
    <row r="16" ht="15" customHeight="1">
      <c r="A16" t="inlineStr">
        <is>
          <t>A 14086-2025</t>
        </is>
      </c>
      <c r="B16" t="inlineStr">
        <is>
          <t>avverkningsanmälan</t>
        </is>
      </c>
      <c r="C16" t="inlineStr">
        <is>
          <t>Föryngringsavverkning</t>
        </is>
      </c>
      <c r="D16" s="1" t="n">
        <v>45740</v>
      </c>
      <c r="E16" s="1" t="n">
        <v>46323</v>
      </c>
      <c r="F16" t="inlineStr">
        <is>
          <t>KALMAR LÄN</t>
        </is>
      </c>
      <c r="G16" t="inlineStr">
        <is>
          <t>VÄSTERVIK</t>
        </is>
      </c>
      <c r="H16" t="inlineStr">
        <is>
          <t>Sveaskog</t>
        </is>
      </c>
      <c r="I16" t="n">
        <v>3.2</v>
      </c>
      <c r="J16" t="n">
        <v>16</v>
      </c>
      <c r="K16" t="n">
        <v>2</v>
      </c>
      <c r="L16" t="n">
        <v>3</v>
      </c>
      <c r="M16" t="n">
        <v>3</v>
      </c>
      <c r="N16" t="n">
        <v>0</v>
      </c>
      <c r="O16" t="n">
        <v>0</v>
      </c>
      <c r="P16" t="n">
        <v>0</v>
      </c>
      <c r="Q16" t="n">
        <v>6</v>
      </c>
      <c r="R16" t="n">
        <v>3</v>
      </c>
      <c r="S16" t="n">
        <v>18</v>
      </c>
      <c r="T16" t="n">
        <v>18</v>
      </c>
      <c r="U16" t="n">
        <v>6</v>
      </c>
      <c r="V16" s="2" t="inlineStr">
        <is>
          <t>Bredbrämad bastardsvärmare
Grönfink
Sandödla
Brunlångöra
Entita
Nordfladdermus
Ekoxe
Skogsbräsma
Grönsiska
Kungsfågel
Svartvit flugsnappare
Åkergroda
Huggorm
Kopparödla
Skogsödla
Vanlig groda
Vanlig padda
Vanlig snok</t>
        </is>
      </c>
      <c r="W16">
        <f>HYPERLINK("https://klasma.github.io/Logging_0883/artfynd/A 14086-2025 artfynd.xlsx", "A 14086-2025")</f>
        <v/>
      </c>
      <c r="X16">
        <f>HYPERLINK("https://klasma.github.io/Logging_0883/kartor/A 14086-2025 karta.png", "A 14086-2025")</f>
        <v/>
      </c>
      <c r="Y16">
        <f>HYPERLINK("https://klasma.github.io/Logging_0883/kartor_geotiff/A 14086-2025 georefererad karta.tif", "A 14086-2025")</f>
        <v/>
      </c>
      <c r="AA16">
        <f>HYPERLINK("https://klasma.github.io/Logging_0883/klagomål/A 14086-2025 FSC-klagomål.docx", "A 14086-2025")</f>
        <v/>
      </c>
      <c r="AB16">
        <f>HYPERLINK("https://klasma.github.io/Logging_0883/klagomålsmail/A 14086-2025 FSC-klagomål mail.docx", "A 14086-2025")</f>
        <v/>
      </c>
      <c r="AC16">
        <f>HYPERLINK("https://klasma.github.io/Logging_0883/tillsyn/A 14086-2025 tillsynsbegäran.docx", "A 14086-2025")</f>
        <v/>
      </c>
      <c r="AD16">
        <f>HYPERLINK("https://klasma.github.io/Logging_0883/tillsynsmail/A 14086-2025 tillsynsbegäran mail.docx", "A 14086-2025")</f>
        <v/>
      </c>
      <c r="AE16">
        <f>HYPERLINK("https://klasma.github.io/Logging_0883/fåglar/A 14086-2025 prioriterade fågelarter.docx", "A 14086-2025")</f>
        <v/>
      </c>
    </row>
    <row r="17" ht="15" customHeight="1">
      <c r="A17" t="inlineStr">
        <is>
          <t>A 30779-2023</t>
        </is>
      </c>
      <c r="B17" t="inlineStr">
        <is>
          <t>avverkningsanmälan</t>
        </is>
      </c>
      <c r="C17" t="inlineStr">
        <is>
          <t>Föryngringsavverkning</t>
        </is>
      </c>
      <c r="D17" s="1" t="n">
        <v>45112</v>
      </c>
      <c r="E17" s="1" t="n">
        <v>46323</v>
      </c>
      <c r="F17" t="inlineStr">
        <is>
          <t>KALMAR LÄN</t>
        </is>
      </c>
      <c r="G17" t="inlineStr">
        <is>
          <t>VÄSTERVIK</t>
        </is>
      </c>
      <c r="I17" t="n">
        <v>14.5</v>
      </c>
      <c r="J17" t="n">
        <v>5</v>
      </c>
      <c r="K17" t="n">
        <v>3</v>
      </c>
      <c r="L17" t="n">
        <v>8</v>
      </c>
      <c r="M17" t="n">
        <v>3</v>
      </c>
      <c r="N17" t="n">
        <v>0</v>
      </c>
      <c r="O17" t="n">
        <v>0</v>
      </c>
      <c r="P17" t="n">
        <v>0</v>
      </c>
      <c r="Q17" t="n">
        <v>11</v>
      </c>
      <c r="R17" t="n">
        <v>3</v>
      </c>
      <c r="S17" t="n">
        <v>16</v>
      </c>
      <c r="T17" t="n">
        <v>71</v>
      </c>
      <c r="U17" t="n">
        <v>71</v>
      </c>
      <c r="V17" s="2" t="inlineStr">
        <is>
          <t>Apelticka
Knärot
Sandödla
Knölspindel
Koralltaggsvamp
Motaggsvamp
Orange taggsvamp
Svartvit taggsvamp
Tallticka
Talltita
Tjockfotad fingersvamp
Blåmossa
Grovticka
Grönpyrola
Spillkråka
Kungsfågel</t>
        </is>
      </c>
      <c r="W17">
        <f>HYPERLINK("https://klasma.github.io/Logging_0883/artfynd/A 30779-2023 artfynd.xlsx", "A 30779-2023")</f>
        <v/>
      </c>
      <c r="X17">
        <f>HYPERLINK("https://klasma.github.io/Logging_0883/kartor/A 30779-2023 karta.png", "A 30779-2023")</f>
        <v/>
      </c>
      <c r="Y17">
        <f>HYPERLINK("https://klasma.github.io/Logging_0883/kartor_geotiff/A 30779-2023 georefererad karta.tif", "A 30779-2023")</f>
        <v/>
      </c>
      <c r="Z17">
        <f>HYPERLINK("https://klasma.github.io/Logging_0883/knärot/A 30779-2023 karta knärot.png", "A 30779-2023")</f>
        <v/>
      </c>
      <c r="AA17">
        <f>HYPERLINK("https://klasma.github.io/Logging_0883/klagomål/A 30779-2023 FSC-klagomål.docx", "A 30779-2023")</f>
        <v/>
      </c>
      <c r="AB17">
        <f>HYPERLINK("https://klasma.github.io/Logging_0883/klagomålsmail/A 30779-2023 FSC-klagomål mail.docx", "A 30779-2023")</f>
        <v/>
      </c>
      <c r="AC17">
        <f>HYPERLINK("https://klasma.github.io/Logging_0883/tillsyn/A 30779-2023 tillsynsbegäran.docx", "A 30779-2023")</f>
        <v/>
      </c>
      <c r="AD17">
        <f>HYPERLINK("https://klasma.github.io/Logging_0883/tillsynsmail/A 30779-2023 tillsynsbegäran mail.docx", "A 30779-2023")</f>
        <v/>
      </c>
      <c r="AE17">
        <f>HYPERLINK("https://klasma.github.io/Logging_0883/fåglar/A 30779-2023 prioriterade fågelarter.docx", "A 30779-2023")</f>
        <v/>
      </c>
    </row>
    <row r="18" ht="15" customHeight="1">
      <c r="A18" t="inlineStr">
        <is>
          <t>S 2637-2022</t>
        </is>
      </c>
      <c r="B18" t="inlineStr">
        <is>
          <t>samrådsanmälan</t>
        </is>
      </c>
      <c r="C18" t="inlineStr">
        <is>
          <t>Åtgärd i nyckelbiotop</t>
        </is>
      </c>
      <c r="D18" s="1" t="n">
        <v>44699</v>
      </c>
      <c r="E18" s="1" t="n">
        <v>46323</v>
      </c>
      <c r="F18" t="inlineStr">
        <is>
          <t>KALMAR LÄN</t>
        </is>
      </c>
      <c r="G18" t="inlineStr">
        <is>
          <t>VÄSTERVIK</t>
        </is>
      </c>
      <c r="H18" t="inlineStr">
        <is>
          <t>Kommuner</t>
        </is>
      </c>
      <c r="I18" t="n">
        <v>8.300000000000001</v>
      </c>
      <c r="J18" t="n">
        <v>4</v>
      </c>
      <c r="K18" t="n">
        <v>4</v>
      </c>
      <c r="L18" t="n">
        <v>5</v>
      </c>
      <c r="M18" t="n">
        <v>4</v>
      </c>
      <c r="N18" t="n">
        <v>1</v>
      </c>
      <c r="O18" t="n">
        <v>0</v>
      </c>
      <c r="P18" t="n">
        <v>0</v>
      </c>
      <c r="Q18" t="n">
        <v>10</v>
      </c>
      <c r="R18" t="n">
        <v>5</v>
      </c>
      <c r="S18" t="n">
        <v>16</v>
      </c>
      <c r="T18" t="n">
        <v>23</v>
      </c>
      <c r="U18" t="n">
        <v>7</v>
      </c>
      <c r="V18" s="2" t="inlineStr">
        <is>
          <t>Skogsalm
Ekspik
Hasselsnok
Kortskaftad parasitspik
Linddyna
Blekticka
Ekticka
Gul dropplav
Skuggorangelav
Tallticka
Ekoxe
Ekskinn
Gulnål
Gulpudrad spiklav
Huggorm
Vanlig snok</t>
        </is>
      </c>
      <c r="W18">
        <f>HYPERLINK("https://klasma.github.io/Logging_0883/artfynd/S 2637-2022 artfynd.xlsx", "S 2637-2022")</f>
        <v/>
      </c>
      <c r="X18">
        <f>HYPERLINK("https://klasma.github.io/Logging_0883/kartor/S 2637-2022 karta.png", "S 2637-2022")</f>
        <v/>
      </c>
      <c r="Y18">
        <f>HYPERLINK("https://klasma.github.io/Logging_0883/kartor_geotiff/S 2637-2022 georefererad karta.tif", "S 2637-2022")</f>
        <v/>
      </c>
      <c r="AA18">
        <f>HYPERLINK("https://klasma.github.io/Logging_0883/klagomål/S 2637-2022 FSC-klagomål.docx", "S 2637-2022")</f>
        <v/>
      </c>
      <c r="AB18">
        <f>HYPERLINK("https://klasma.github.io/Logging_0883/klagomålsmail/S 2637-2022 FSC-klagomål mail.docx", "S 2637-2022")</f>
        <v/>
      </c>
      <c r="AC18">
        <f>HYPERLINK("https://klasma.github.io/Logging_0883/tillsyn/S 2637-2022 tillsynsbegäran.docx", "S 2637-2022")</f>
        <v/>
      </c>
      <c r="AD18">
        <f>HYPERLINK("https://klasma.github.io/Logging_0883/tillsynsmail/S 2637-2022 tillsynsbegäran mail.docx", "S 2637-2022")</f>
        <v/>
      </c>
    </row>
    <row r="19" ht="15" customHeight="1">
      <c r="A19" t="inlineStr">
        <is>
          <t>S 1522-2023</t>
        </is>
      </c>
      <c r="B19" t="inlineStr">
        <is>
          <t>samrådsanmälan</t>
        </is>
      </c>
      <c r="C19" t="inlineStr">
        <is>
          <t>Annan skogsbruksåtgärd</t>
        </is>
      </c>
      <c r="D19" s="1" t="n">
        <v>45055</v>
      </c>
      <c r="E19" s="1" t="n">
        <v>46323</v>
      </c>
      <c r="F19" t="inlineStr">
        <is>
          <t>KALMAR LÄN</t>
        </is>
      </c>
      <c r="G19" t="inlineStr">
        <is>
          <t>VÄSTERVIK</t>
        </is>
      </c>
      <c r="H19" t="inlineStr">
        <is>
          <t>Kommuner</t>
        </is>
      </c>
      <c r="I19" t="n">
        <v>10.6</v>
      </c>
      <c r="J19" t="n">
        <v>1</v>
      </c>
      <c r="K19" t="n">
        <v>4</v>
      </c>
      <c r="L19" t="n">
        <v>8</v>
      </c>
      <c r="M19" t="n">
        <v>0</v>
      </c>
      <c r="N19" t="n">
        <v>2</v>
      </c>
      <c r="O19" t="n">
        <v>0</v>
      </c>
      <c r="P19" t="n">
        <v>0</v>
      </c>
      <c r="Q19" t="n">
        <v>10</v>
      </c>
      <c r="R19" t="n">
        <v>2</v>
      </c>
      <c r="S19" t="n">
        <v>16</v>
      </c>
      <c r="T19" t="n">
        <v>26</v>
      </c>
      <c r="U19" t="n">
        <v>13</v>
      </c>
      <c r="V19" s="2" t="inlineStr">
        <is>
          <t>Ask
Skogsalm
Desmeknopp
Ekticka
Gammelekslav
Hålskenknäppare
Korallticka
Sårläka
Vippärt
Vårärt
Dorcatoma dresdensis
Myskmadra
Vätteros
Ängsvaxing agg.
Blåsippa
Tandrot</t>
        </is>
      </c>
      <c r="W19">
        <f>HYPERLINK("https://klasma.github.io/Logging_0883/artfynd/S 1522-2023 artfynd.xlsx", "S 1522-2023")</f>
        <v/>
      </c>
      <c r="X19">
        <f>HYPERLINK("https://klasma.github.io/Logging_0883/kartor/S 1522-2023 karta.png", "S 1522-2023")</f>
        <v/>
      </c>
      <c r="Y19">
        <f>HYPERLINK("https://klasma.github.io/Logging_0883/kartor_geotiff/S 1522-2023 georefererad karta.tif", "S 1522-2023")</f>
        <v/>
      </c>
      <c r="AA19">
        <f>HYPERLINK("https://klasma.github.io/Logging_0883/klagomål/S 1522-2023 FSC-klagomål.docx", "S 1522-2023")</f>
        <v/>
      </c>
      <c r="AB19">
        <f>HYPERLINK("https://klasma.github.io/Logging_0883/klagomålsmail/S 1522-2023 FSC-klagomål mail.docx", "S 1522-2023")</f>
        <v/>
      </c>
      <c r="AC19">
        <f>HYPERLINK("https://klasma.github.io/Logging_0883/tillsyn/S 1522-2023 tillsynsbegäran.docx", "S 1522-2023")</f>
        <v/>
      </c>
      <c r="AD19">
        <f>HYPERLINK("https://klasma.github.io/Logging_0883/tillsynsmail/S 1522-2023 tillsynsbegäran mail.docx", "S 1522-2023")</f>
        <v/>
      </c>
    </row>
    <row r="20" ht="15" customHeight="1">
      <c r="A20" t="inlineStr">
        <is>
          <t>A 48739-2025</t>
        </is>
      </c>
      <c r="B20" t="inlineStr">
        <is>
          <t>avverkningsanmälan</t>
        </is>
      </c>
      <c r="C20" t="inlineStr">
        <is>
          <t>Föryngringsavverkning</t>
        </is>
      </c>
      <c r="D20" s="1" t="n">
        <v>45936</v>
      </c>
      <c r="E20" s="1" t="n">
        <v>46323</v>
      </c>
      <c r="F20" t="inlineStr">
        <is>
          <t>KALMAR LÄN</t>
        </is>
      </c>
      <c r="G20" t="inlineStr">
        <is>
          <t>VÄSTERVIK</t>
        </is>
      </c>
      <c r="I20" t="n">
        <v>5.6</v>
      </c>
      <c r="J20" t="n">
        <v>9</v>
      </c>
      <c r="K20" t="n">
        <v>3</v>
      </c>
      <c r="L20" t="n">
        <v>4</v>
      </c>
      <c r="M20" t="n">
        <v>1</v>
      </c>
      <c r="N20" t="n">
        <v>0</v>
      </c>
      <c r="O20" t="n">
        <v>0</v>
      </c>
      <c r="P20" t="n">
        <v>0</v>
      </c>
      <c r="Q20" t="n">
        <v>5</v>
      </c>
      <c r="R20" t="n">
        <v>1</v>
      </c>
      <c r="S20" t="n">
        <v>14</v>
      </c>
      <c r="T20" t="n">
        <v>54</v>
      </c>
      <c r="U20" t="n">
        <v>53</v>
      </c>
      <c r="V20" s="2" t="inlineStr">
        <is>
          <t>Knärot
Dropptaggsvamp
Motaggsvamp
Nötkråka
Talltita
Blomkålssvamp
Grönpyrola
Purpurknipprot
Mattlummer
Spillkråka
Timmerticka
Tofsmes
Grönsiska
Kungsfågel</t>
        </is>
      </c>
      <c r="W20">
        <f>HYPERLINK("https://klasma.github.io/Logging_0883/artfynd/A 48739-2025 artfynd.xlsx", "A 48739-2025")</f>
        <v/>
      </c>
      <c r="X20">
        <f>HYPERLINK("https://klasma.github.io/Logging_0883/kartor/A 48739-2025 karta.png", "A 48739-2025")</f>
        <v/>
      </c>
      <c r="Y20">
        <f>HYPERLINK("https://klasma.github.io/Logging_0883/kartor_geotiff/A 48739-2025 georefererad karta.tif", "A 48739-2025")</f>
        <v/>
      </c>
      <c r="Z20">
        <f>HYPERLINK("https://klasma.github.io/Logging_0883/knärot/A 48739-2025 karta knärot.png", "A 48739-2025")</f>
        <v/>
      </c>
      <c r="AA20">
        <f>HYPERLINK("https://klasma.github.io/Logging_0883/klagomål/A 48739-2025 FSC-klagomål.docx", "A 48739-2025")</f>
        <v/>
      </c>
      <c r="AB20">
        <f>HYPERLINK("https://klasma.github.io/Logging_0883/klagomålsmail/A 48739-2025 FSC-klagomål mail.docx", "A 48739-2025")</f>
        <v/>
      </c>
      <c r="AC20">
        <f>HYPERLINK("https://klasma.github.io/Logging_0883/tillsyn/A 48739-2025 tillsynsbegäran.docx", "A 48739-2025")</f>
        <v/>
      </c>
      <c r="AD20">
        <f>HYPERLINK("https://klasma.github.io/Logging_0883/tillsynsmail/A 48739-2025 tillsynsbegäran mail.docx", "A 48739-2025")</f>
        <v/>
      </c>
      <c r="AE20">
        <f>HYPERLINK("https://klasma.github.io/Logging_0883/fåglar/A 48739-2025 prioriterade fågelarter.docx", "A 48739-2025")</f>
        <v/>
      </c>
    </row>
    <row r="21" ht="15" customHeight="1">
      <c r="A21" t="inlineStr">
        <is>
          <t>A 37525-2025</t>
        </is>
      </c>
      <c r="B21" t="inlineStr">
        <is>
          <t>avverkningsanmälan</t>
        </is>
      </c>
      <c r="C21" t="inlineStr">
        <is>
          <t>Föryngringsavverkning</t>
        </is>
      </c>
      <c r="D21" s="1" t="n">
        <v>45877</v>
      </c>
      <c r="E21" s="1" t="n">
        <v>46323</v>
      </c>
      <c r="F21" t="inlineStr">
        <is>
          <t>KALMAR LÄN</t>
        </is>
      </c>
      <c r="G21" t="inlineStr">
        <is>
          <t>VÄSTERVIK</t>
        </is>
      </c>
      <c r="I21" t="n">
        <v>2.4</v>
      </c>
      <c r="J21" t="n">
        <v>8</v>
      </c>
      <c r="K21" t="n">
        <v>2</v>
      </c>
      <c r="L21" t="n">
        <v>5</v>
      </c>
      <c r="M21" t="n">
        <v>1</v>
      </c>
      <c r="N21" t="n">
        <v>1</v>
      </c>
      <c r="O21" t="n">
        <v>0</v>
      </c>
      <c r="P21" t="n">
        <v>0</v>
      </c>
      <c r="Q21" t="n">
        <v>7</v>
      </c>
      <c r="R21" t="n">
        <v>2</v>
      </c>
      <c r="S21" t="n">
        <v>13</v>
      </c>
      <c r="T21" t="n">
        <v>19</v>
      </c>
      <c r="U21" t="n">
        <v>19</v>
      </c>
      <c r="V21" s="2" t="inlineStr">
        <is>
          <t>Tallharticka
Knärot
Entita
Mindre hackspett
Persiljespindling
Tallticka
Talltita
Blomkålssvamp
Grönpyrola
Spillkråka
Tjäder
Gröngöling
Kungsfågel</t>
        </is>
      </c>
      <c r="W21">
        <f>HYPERLINK("https://klasma.github.io/Logging_0883/artfynd/A 37525-2025 artfynd.xlsx", "A 37525-2025")</f>
        <v/>
      </c>
      <c r="X21">
        <f>HYPERLINK("https://klasma.github.io/Logging_0883/kartor/A 37525-2025 karta.png", "A 37525-2025")</f>
        <v/>
      </c>
      <c r="Y21">
        <f>HYPERLINK("https://klasma.github.io/Logging_0883/kartor_geotiff/A 37525-2025 georefererad karta.tif", "A 37525-2025")</f>
        <v/>
      </c>
      <c r="Z21">
        <f>HYPERLINK("https://klasma.github.io/Logging_0883/knärot/A 37525-2025 karta knärot.png", "A 37525-2025")</f>
        <v/>
      </c>
      <c r="AA21">
        <f>HYPERLINK("https://klasma.github.io/Logging_0883/klagomål/A 37525-2025 FSC-klagomål.docx", "A 37525-2025")</f>
        <v/>
      </c>
      <c r="AB21">
        <f>HYPERLINK("https://klasma.github.io/Logging_0883/klagomålsmail/A 37525-2025 FSC-klagomål mail.docx", "A 37525-2025")</f>
        <v/>
      </c>
      <c r="AC21">
        <f>HYPERLINK("https://klasma.github.io/Logging_0883/tillsyn/A 37525-2025 tillsynsbegäran.docx", "A 37525-2025")</f>
        <v/>
      </c>
      <c r="AD21">
        <f>HYPERLINK("https://klasma.github.io/Logging_0883/tillsynsmail/A 37525-2025 tillsynsbegäran mail.docx", "A 37525-2025")</f>
        <v/>
      </c>
      <c r="AE21">
        <f>HYPERLINK("https://klasma.github.io/Logging_0883/fåglar/A 37525-2025 prioriterade fågelarter.docx", "A 37525-2025")</f>
        <v/>
      </c>
    </row>
    <row r="22" ht="15" customHeight="1">
      <c r="A22" t="inlineStr">
        <is>
          <t>A 23021-2025</t>
        </is>
      </c>
      <c r="B22" t="inlineStr">
        <is>
          <t>avverkningsanmälan</t>
        </is>
      </c>
      <c r="C22" t="inlineStr">
        <is>
          <t>Föryngringsavverkning</t>
        </is>
      </c>
      <c r="D22" s="1" t="n">
        <v>45790</v>
      </c>
      <c r="E22" s="1" t="n">
        <v>46323</v>
      </c>
      <c r="F22" t="inlineStr">
        <is>
          <t>KALMAR LÄN</t>
        </is>
      </c>
      <c r="G22" t="inlineStr">
        <is>
          <t>VÄSTERVIK</t>
        </is>
      </c>
      <c r="I22" t="n">
        <v>5</v>
      </c>
      <c r="J22" t="n">
        <v>6</v>
      </c>
      <c r="K22" t="n">
        <v>1</v>
      </c>
      <c r="L22" t="n">
        <v>8</v>
      </c>
      <c r="M22" t="n">
        <v>1</v>
      </c>
      <c r="N22" t="n">
        <v>0</v>
      </c>
      <c r="O22" t="n">
        <v>0</v>
      </c>
      <c r="P22" t="n">
        <v>0</v>
      </c>
      <c r="Q22" t="n">
        <v>9</v>
      </c>
      <c r="R22" t="n">
        <v>1</v>
      </c>
      <c r="S22" t="n">
        <v>12</v>
      </c>
      <c r="T22" t="n">
        <v>28</v>
      </c>
      <c r="U22" t="n">
        <v>28</v>
      </c>
      <c r="V22" s="2" t="inlineStr">
        <is>
          <t>Stare
Entita
Grönsångare
Kandelabersvamp
Koralltaggsvamp
Mindre hackspett
Tallticka
Vintertagging
Vågticka
Mandelriska
Spillkråka
Skogsduva</t>
        </is>
      </c>
      <c r="W22">
        <f>HYPERLINK("https://klasma.github.io/Logging_0883/artfynd/A 23021-2025 artfynd.xlsx", "A 23021-2025")</f>
        <v/>
      </c>
      <c r="X22">
        <f>HYPERLINK("https://klasma.github.io/Logging_0883/kartor/A 23021-2025 karta.png", "A 23021-2025")</f>
        <v/>
      </c>
      <c r="Y22">
        <f>HYPERLINK("https://klasma.github.io/Logging_0883/kartor_geotiff/A 23021-2025 georefererad karta.tif", "A 23021-2025")</f>
        <v/>
      </c>
      <c r="AA22">
        <f>HYPERLINK("https://klasma.github.io/Logging_0883/klagomål/A 23021-2025 FSC-klagomål.docx", "A 23021-2025")</f>
        <v/>
      </c>
      <c r="AB22">
        <f>HYPERLINK("https://klasma.github.io/Logging_0883/klagomålsmail/A 23021-2025 FSC-klagomål mail.docx", "A 23021-2025")</f>
        <v/>
      </c>
      <c r="AC22">
        <f>HYPERLINK("https://klasma.github.io/Logging_0883/tillsyn/A 23021-2025 tillsynsbegäran.docx", "A 23021-2025")</f>
        <v/>
      </c>
      <c r="AD22">
        <f>HYPERLINK("https://klasma.github.io/Logging_0883/tillsynsmail/A 23021-2025 tillsynsbegäran mail.docx", "A 23021-2025")</f>
        <v/>
      </c>
      <c r="AE22">
        <f>HYPERLINK("https://klasma.github.io/Logging_0883/fåglar/A 23021-2025 prioriterade fågelarter.docx", "A 23021-2025")</f>
        <v/>
      </c>
    </row>
    <row r="23" ht="15" customHeight="1">
      <c r="A23" t="inlineStr">
        <is>
          <t>A 16996-2025</t>
        </is>
      </c>
      <c r="B23" t="inlineStr">
        <is>
          <t>avverkningsanmälan</t>
        </is>
      </c>
      <c r="C23" t="inlineStr">
        <is>
          <t>Föryngringsavverkning</t>
        </is>
      </c>
      <c r="D23" s="1" t="n">
        <v>45755</v>
      </c>
      <c r="E23" s="1" t="n">
        <v>46323</v>
      </c>
      <c r="F23" t="inlineStr">
        <is>
          <t>KALMAR LÄN</t>
        </is>
      </c>
      <c r="G23" t="inlineStr">
        <is>
          <t>VÄSTERVIK</t>
        </is>
      </c>
      <c r="I23" t="n">
        <v>2.1</v>
      </c>
      <c r="J23" t="n">
        <v>3</v>
      </c>
      <c r="K23" t="n">
        <v>7</v>
      </c>
      <c r="L23" t="n">
        <v>3</v>
      </c>
      <c r="M23" t="n">
        <v>1</v>
      </c>
      <c r="N23" t="n">
        <v>0</v>
      </c>
      <c r="O23" t="n">
        <v>0</v>
      </c>
      <c r="P23" t="n">
        <v>0</v>
      </c>
      <c r="Q23" t="n">
        <v>4</v>
      </c>
      <c r="R23" t="n">
        <v>1</v>
      </c>
      <c r="S23" t="n">
        <v>12</v>
      </c>
      <c r="T23" t="n">
        <v>21</v>
      </c>
      <c r="U23" t="n">
        <v>7</v>
      </c>
      <c r="V23" s="2" t="inlineStr">
        <is>
          <t>Knärot
Tallticka
Vedskivlav
Vippärt
Blomkålssvamp
Fällmossa
Grön sköldmossa
Grönpyrola
Guldlockmossa
Platt fjädermossa
Trädporella
Blåsippa</t>
        </is>
      </c>
      <c r="W23">
        <f>HYPERLINK("https://klasma.github.io/Logging_0883/artfynd/A 16996-2025 artfynd.xlsx", "A 16996-2025")</f>
        <v/>
      </c>
      <c r="X23">
        <f>HYPERLINK("https://klasma.github.io/Logging_0883/kartor/A 16996-2025 karta.png", "A 16996-2025")</f>
        <v/>
      </c>
      <c r="Y23">
        <f>HYPERLINK("https://klasma.github.io/Logging_0883/kartor_geotiff/A 16996-2025 georefererad karta.tif", "A 16996-2025")</f>
        <v/>
      </c>
      <c r="Z23">
        <f>HYPERLINK("https://klasma.github.io/Logging_0883/knärot/A 16996-2025 karta knärot.png", "A 16996-2025")</f>
        <v/>
      </c>
      <c r="AA23">
        <f>HYPERLINK("https://klasma.github.io/Logging_0883/klagomål/A 16996-2025 FSC-klagomål.docx", "A 16996-2025")</f>
        <v/>
      </c>
      <c r="AB23">
        <f>HYPERLINK("https://klasma.github.io/Logging_0883/klagomålsmail/A 16996-2025 FSC-klagomål mail.docx", "A 16996-2025")</f>
        <v/>
      </c>
      <c r="AC23">
        <f>HYPERLINK("https://klasma.github.io/Logging_0883/tillsyn/A 16996-2025 tillsynsbegäran.docx", "A 16996-2025")</f>
        <v/>
      </c>
      <c r="AD23">
        <f>HYPERLINK("https://klasma.github.io/Logging_0883/tillsynsmail/A 16996-2025 tillsynsbegäran mail.docx", "A 16996-2025")</f>
        <v/>
      </c>
    </row>
    <row r="24" ht="15" customHeight="1">
      <c r="A24" t="inlineStr">
        <is>
          <t>A 27737-2024</t>
        </is>
      </c>
      <c r="B24" t="inlineStr">
        <is>
          <t>avverkningsanmälan</t>
        </is>
      </c>
      <c r="C24" t="inlineStr">
        <is>
          <t>Föryngringsavverkning</t>
        </is>
      </c>
      <c r="D24" s="1" t="n">
        <v>45475</v>
      </c>
      <c r="E24" s="1" t="n">
        <v>46323</v>
      </c>
      <c r="F24" t="inlineStr">
        <is>
          <t>KALMAR LÄN</t>
        </is>
      </c>
      <c r="G24" t="inlineStr">
        <is>
          <t>VÄSTERVIK</t>
        </is>
      </c>
      <c r="H24" t="inlineStr">
        <is>
          <t>Holmen skog AB</t>
        </is>
      </c>
      <c r="I24" t="n">
        <v>2.7</v>
      </c>
      <c r="J24" t="n">
        <v>7</v>
      </c>
      <c r="K24" t="n">
        <v>2</v>
      </c>
      <c r="L24" t="n">
        <v>5</v>
      </c>
      <c r="M24" t="n">
        <v>0</v>
      </c>
      <c r="N24" t="n">
        <v>0</v>
      </c>
      <c r="O24" t="n">
        <v>0</v>
      </c>
      <c r="P24" t="n">
        <v>0</v>
      </c>
      <c r="Q24" t="n">
        <v>5</v>
      </c>
      <c r="R24" t="n">
        <v>0</v>
      </c>
      <c r="S24" t="n">
        <v>12</v>
      </c>
      <c r="T24" t="n">
        <v>19</v>
      </c>
      <c r="U24" t="n">
        <v>17</v>
      </c>
      <c r="V24" s="2" t="inlineStr">
        <is>
          <t>Ekticka
Mindre hackspett
Oxtungssvamp
Talltita
Ullticka
Grön sköldmossa
Rostfläck
Blåsippa
Kransmossa
Mattlummer
Spillkråka
Tofsmes</t>
        </is>
      </c>
      <c r="W24">
        <f>HYPERLINK("https://klasma.github.io/Logging_0883/artfynd/A 27737-2024 artfynd.xlsx", "A 27737-2024")</f>
        <v/>
      </c>
      <c r="X24">
        <f>HYPERLINK("https://klasma.github.io/Logging_0883/kartor/A 27737-2024 karta.png", "A 27737-2024")</f>
        <v/>
      </c>
      <c r="Y24">
        <f>HYPERLINK("https://klasma.github.io/Logging_0883/kartor_geotiff/A 27737-2024 georefererad karta.tif", "A 27737-2024")</f>
        <v/>
      </c>
      <c r="AA24">
        <f>HYPERLINK("https://klasma.github.io/Logging_0883/klagomål/A 27737-2024 FSC-klagomål.docx", "A 27737-2024")</f>
        <v/>
      </c>
      <c r="AB24">
        <f>HYPERLINK("https://klasma.github.io/Logging_0883/klagomålsmail/A 27737-2024 FSC-klagomål mail.docx", "A 27737-2024")</f>
        <v/>
      </c>
      <c r="AC24">
        <f>HYPERLINK("https://klasma.github.io/Logging_0883/tillsyn/A 27737-2024 tillsynsbegäran.docx", "A 27737-2024")</f>
        <v/>
      </c>
      <c r="AD24">
        <f>HYPERLINK("https://klasma.github.io/Logging_0883/tillsynsmail/A 27737-2024 tillsynsbegäran mail.docx", "A 27737-2024")</f>
        <v/>
      </c>
      <c r="AE24">
        <f>HYPERLINK("https://klasma.github.io/Logging_0883/fåglar/A 27737-2024 prioriterade fågelarter.docx", "A 27737-2024")</f>
        <v/>
      </c>
    </row>
    <row r="25" ht="15" customHeight="1">
      <c r="A25" t="inlineStr">
        <is>
          <t>S 4436-2023</t>
        </is>
      </c>
      <c r="B25" t="inlineStr">
        <is>
          <t>samrådsanmälan</t>
        </is>
      </c>
      <c r="C25" t="inlineStr">
        <is>
          <t>Annan skogsbruksåtgärd</t>
        </is>
      </c>
      <c r="D25" s="1" t="n">
        <v>45267</v>
      </c>
      <c r="E25" s="1" t="n">
        <v>46323</v>
      </c>
      <c r="F25" t="inlineStr">
        <is>
          <t>KALMAR LÄN</t>
        </is>
      </c>
      <c r="G25" t="inlineStr">
        <is>
          <t>VÄSTERVIK</t>
        </is>
      </c>
      <c r="I25" t="n">
        <v>7.9</v>
      </c>
      <c r="J25" t="n">
        <v>1</v>
      </c>
      <c r="K25" t="n">
        <v>6</v>
      </c>
      <c r="L25" t="n">
        <v>4</v>
      </c>
      <c r="M25" t="n">
        <v>1</v>
      </c>
      <c r="N25" t="n">
        <v>0</v>
      </c>
      <c r="O25" t="n">
        <v>0</v>
      </c>
      <c r="P25" t="n">
        <v>0</v>
      </c>
      <c r="Q25" t="n">
        <v>5</v>
      </c>
      <c r="R25" t="n">
        <v>1</v>
      </c>
      <c r="S25" t="n">
        <v>12</v>
      </c>
      <c r="T25" t="n">
        <v>14</v>
      </c>
      <c r="U25" t="n">
        <v>0</v>
      </c>
      <c r="V25" s="2" t="inlineStr">
        <is>
          <t>Västlig njurlav
Grynig filtlav
Lunglav
Skumticka
Vårärt
Blomskägglav
Fällmossa
Guldlockmossa
Scytinium lichenoides s.lat.
Slanklav
Trädporella
Blåsippa</t>
        </is>
      </c>
      <c r="W25">
        <f>HYPERLINK("https://klasma.github.io/Logging_0883/artfynd/S 4436-2023 artfynd.xlsx", "S 4436-2023")</f>
        <v/>
      </c>
      <c r="X25">
        <f>HYPERLINK("https://klasma.github.io/Logging_0883/kartor/S 4436-2023 karta.png", "S 4436-2023")</f>
        <v/>
      </c>
      <c r="Y25">
        <f>HYPERLINK("https://klasma.github.io/Logging_0883/kartor_geotiff/S 4436-2023 georefererad karta.tif", "S 4436-2023")</f>
        <v/>
      </c>
      <c r="AA25">
        <f>HYPERLINK("https://klasma.github.io/Logging_0883/klagomål/S 4436-2023 FSC-klagomål.docx", "S 4436-2023")</f>
        <v/>
      </c>
      <c r="AB25">
        <f>HYPERLINK("https://klasma.github.io/Logging_0883/klagomålsmail/S 4436-2023 FSC-klagomål mail.docx", "S 4436-2023")</f>
        <v/>
      </c>
      <c r="AC25">
        <f>HYPERLINK("https://klasma.github.io/Logging_0883/tillsyn/S 4436-2023 tillsynsbegäran.docx", "S 4436-2023")</f>
        <v/>
      </c>
      <c r="AD25">
        <f>HYPERLINK("https://klasma.github.io/Logging_0883/tillsynsmail/S 4436-2023 tillsynsbegäran mail.docx", "S 4436-2023")</f>
        <v/>
      </c>
    </row>
    <row r="26" ht="15" customHeight="1">
      <c r="A26" t="inlineStr">
        <is>
          <t>A 11444-2025</t>
        </is>
      </c>
      <c r="B26" t="inlineStr">
        <is>
          <t>avverkningsanmälan</t>
        </is>
      </c>
      <c r="C26" t="inlineStr">
        <is>
          <t>Föryngringsavverkning</t>
        </is>
      </c>
      <c r="D26" s="1" t="n">
        <v>45726</v>
      </c>
      <c r="E26" s="1" t="n">
        <v>46323</v>
      </c>
      <c r="F26" t="inlineStr">
        <is>
          <t>KALMAR LÄN</t>
        </is>
      </c>
      <c r="G26" t="inlineStr">
        <is>
          <t>VÄSTERVIK</t>
        </is>
      </c>
      <c r="I26" t="n">
        <v>8.800000000000001</v>
      </c>
      <c r="J26" t="n">
        <v>5</v>
      </c>
      <c r="K26" t="n">
        <v>3</v>
      </c>
      <c r="L26" t="n">
        <v>4</v>
      </c>
      <c r="M26" t="n">
        <v>1</v>
      </c>
      <c r="N26" t="n">
        <v>0</v>
      </c>
      <c r="O26" t="n">
        <v>0</v>
      </c>
      <c r="P26" t="n">
        <v>0</v>
      </c>
      <c r="Q26" t="n">
        <v>5</v>
      </c>
      <c r="R26" t="n">
        <v>1</v>
      </c>
      <c r="S26" t="n">
        <v>11</v>
      </c>
      <c r="T26" t="n">
        <v>53</v>
      </c>
      <c r="U26" t="n">
        <v>53</v>
      </c>
      <c r="V26" s="2" t="inlineStr">
        <is>
          <t>Knärot
Dropptaggsvamp
Tallticka
Talltita
Ullticka
Blåmossa
Grovticka
Grönpyrola
Spillkråka
Kungsfågel
Revlummer</t>
        </is>
      </c>
      <c r="W26">
        <f>HYPERLINK("https://klasma.github.io/Logging_0883/artfynd/A 11444-2025 artfynd.xlsx", "A 11444-2025")</f>
        <v/>
      </c>
      <c r="X26">
        <f>HYPERLINK("https://klasma.github.io/Logging_0883/kartor/A 11444-2025 karta.png", "A 11444-2025")</f>
        <v/>
      </c>
      <c r="Y26">
        <f>HYPERLINK("https://klasma.github.io/Logging_0883/kartor_geotiff/A 11444-2025 georefererad karta.tif", "A 11444-2025")</f>
        <v/>
      </c>
      <c r="Z26">
        <f>HYPERLINK("https://klasma.github.io/Logging_0883/knärot/A 11444-2025 karta knärot.png", "A 11444-2025")</f>
        <v/>
      </c>
      <c r="AA26">
        <f>HYPERLINK("https://klasma.github.io/Logging_0883/klagomål/A 11444-2025 FSC-klagomål.docx", "A 11444-2025")</f>
        <v/>
      </c>
      <c r="AB26">
        <f>HYPERLINK("https://klasma.github.io/Logging_0883/klagomålsmail/A 11444-2025 FSC-klagomål mail.docx", "A 11444-2025")</f>
        <v/>
      </c>
      <c r="AC26">
        <f>HYPERLINK("https://klasma.github.io/Logging_0883/tillsyn/A 11444-2025 tillsynsbegäran.docx", "A 11444-2025")</f>
        <v/>
      </c>
      <c r="AD26">
        <f>HYPERLINK("https://klasma.github.io/Logging_0883/tillsynsmail/A 11444-2025 tillsynsbegäran mail.docx", "A 11444-2025")</f>
        <v/>
      </c>
      <c r="AE26">
        <f>HYPERLINK("https://klasma.github.io/Logging_0883/fåglar/A 11444-2025 prioriterade fågelarter.docx", "A 11444-2025")</f>
        <v/>
      </c>
    </row>
    <row r="27" ht="15" customHeight="1">
      <c r="A27" t="inlineStr">
        <is>
          <t>A 56737-2023</t>
        </is>
      </c>
      <c r="B27" t="inlineStr">
        <is>
          <t>avverkningsanmälan</t>
        </is>
      </c>
      <c r="C27" t="inlineStr">
        <is>
          <t>Föryngringsavverkning</t>
        </is>
      </c>
      <c r="D27" s="1" t="n">
        <v>45244</v>
      </c>
      <c r="E27" s="1" t="n">
        <v>46323</v>
      </c>
      <c r="F27" t="inlineStr">
        <is>
          <t>KALMAR LÄN</t>
        </is>
      </c>
      <c r="G27" t="inlineStr">
        <is>
          <t>VÄSTERVIK</t>
        </is>
      </c>
      <c r="I27" t="n">
        <v>5.5</v>
      </c>
      <c r="J27" t="n">
        <v>2</v>
      </c>
      <c r="K27" t="n">
        <v>5</v>
      </c>
      <c r="L27" t="n">
        <v>4</v>
      </c>
      <c r="M27" t="n">
        <v>1</v>
      </c>
      <c r="N27" t="n">
        <v>0</v>
      </c>
      <c r="O27" t="n">
        <v>0</v>
      </c>
      <c r="P27" t="n">
        <v>0</v>
      </c>
      <c r="Q27" t="n">
        <v>5</v>
      </c>
      <c r="R27" t="n">
        <v>1</v>
      </c>
      <c r="S27" t="n">
        <v>11</v>
      </c>
      <c r="T27" t="n">
        <v>68</v>
      </c>
      <c r="U27" t="n">
        <v>58</v>
      </c>
      <c r="V27" s="2" t="inlineStr">
        <is>
          <t>Knärot
Dropptaggsvamp
Motaggsvamp
Tallticka
Ullticka
Blomskägglav
Bronshjon
Fällmossa
Grovticka
Grönpyrola
Spillkråka</t>
        </is>
      </c>
      <c r="W27">
        <f>HYPERLINK("https://klasma.github.io/Logging_0883/artfynd/A 56737-2023 artfynd.xlsx", "A 56737-2023")</f>
        <v/>
      </c>
      <c r="X27">
        <f>HYPERLINK("https://klasma.github.io/Logging_0883/kartor/A 56737-2023 karta.png", "A 56737-2023")</f>
        <v/>
      </c>
      <c r="Y27">
        <f>HYPERLINK("https://klasma.github.io/Logging_0883/kartor_geotiff/A 56737-2023 georefererad karta.tif", "A 56737-2023")</f>
        <v/>
      </c>
      <c r="Z27">
        <f>HYPERLINK("https://klasma.github.io/Logging_0883/knärot/A 56737-2023 karta knärot.png", "A 56737-2023")</f>
        <v/>
      </c>
      <c r="AA27">
        <f>HYPERLINK("https://klasma.github.io/Logging_0883/klagomål/A 56737-2023 FSC-klagomål.docx", "A 56737-2023")</f>
        <v/>
      </c>
      <c r="AB27">
        <f>HYPERLINK("https://klasma.github.io/Logging_0883/klagomålsmail/A 56737-2023 FSC-klagomål mail.docx", "A 56737-2023")</f>
        <v/>
      </c>
      <c r="AC27">
        <f>HYPERLINK("https://klasma.github.io/Logging_0883/tillsyn/A 56737-2023 tillsynsbegäran.docx", "A 56737-2023")</f>
        <v/>
      </c>
      <c r="AD27">
        <f>HYPERLINK("https://klasma.github.io/Logging_0883/tillsynsmail/A 56737-2023 tillsynsbegäran mail.docx", "A 56737-2023")</f>
        <v/>
      </c>
      <c r="AE27">
        <f>HYPERLINK("https://klasma.github.io/Logging_0883/fåglar/A 56737-2023 prioriterade fågelarter.docx", "A 56737-2023")</f>
        <v/>
      </c>
    </row>
    <row r="28" ht="15" customHeight="1">
      <c r="A28" t="inlineStr">
        <is>
          <t>A 11756-2026</t>
        </is>
      </c>
      <c r="B28" t="inlineStr">
        <is>
          <t>avverkningsanmälan</t>
        </is>
      </c>
      <c r="C28" t="inlineStr">
        <is>
          <t>Föryngringsavverkning</t>
        </is>
      </c>
      <c r="D28" s="1" t="n">
        <v>46084</v>
      </c>
      <c r="E28" s="1" t="n">
        <v>46323</v>
      </c>
      <c r="F28" t="inlineStr">
        <is>
          <t>KALMAR LÄN</t>
        </is>
      </c>
      <c r="G28" t="inlineStr">
        <is>
          <t>VÄSTERVIK</t>
        </is>
      </c>
      <c r="H28" t="inlineStr">
        <is>
          <t>Kyrkan</t>
        </is>
      </c>
      <c r="I28" t="n">
        <v>26</v>
      </c>
      <c r="J28" t="n">
        <v>5</v>
      </c>
      <c r="K28" t="n">
        <v>3</v>
      </c>
      <c r="L28" t="n">
        <v>3</v>
      </c>
      <c r="M28" t="n">
        <v>2</v>
      </c>
      <c r="N28" t="n">
        <v>0</v>
      </c>
      <c r="O28" t="n">
        <v>0</v>
      </c>
      <c r="P28" t="n">
        <v>0</v>
      </c>
      <c r="Q28" t="n">
        <v>5</v>
      </c>
      <c r="R28" t="n">
        <v>2</v>
      </c>
      <c r="S28" t="n">
        <v>11</v>
      </c>
      <c r="T28" t="n">
        <v>26</v>
      </c>
      <c r="U28" t="n">
        <v>26</v>
      </c>
      <c r="V28" s="2" t="inlineStr">
        <is>
          <t>Knärot
Laxporing
Mindre hackspett
Talltita
Vedskivlav
Blomkålssvamp
Blåmossa
Murgröna
Spillkråka
Timmerticka
Tofsmes</t>
        </is>
      </c>
      <c r="W28">
        <f>HYPERLINK("https://klasma.github.io/Logging_0883/artfynd/A 11756-2026 artfynd.xlsx", "A 11756-2026")</f>
        <v/>
      </c>
      <c r="X28">
        <f>HYPERLINK("https://klasma.github.io/Logging_0883/kartor/A 11756-2026 karta.png", "A 11756-2026")</f>
        <v/>
      </c>
      <c r="Y28">
        <f>HYPERLINK("https://klasma.github.io/Logging_0883/kartor_geotiff/A 11756-2026 georefererad karta.tif", "A 11756-2026")</f>
        <v/>
      </c>
      <c r="Z28">
        <f>HYPERLINK("https://klasma.github.io/Logging_0883/knärot/A 11756-2026 karta knärot.png", "A 11756-2026")</f>
        <v/>
      </c>
      <c r="AA28">
        <f>HYPERLINK("https://klasma.github.io/Logging_0883/klagomål/A 11756-2026 FSC-klagomål.docx", "A 11756-2026")</f>
        <v/>
      </c>
      <c r="AB28">
        <f>HYPERLINK("https://klasma.github.io/Logging_0883/klagomålsmail/A 11756-2026 FSC-klagomål mail.docx", "A 11756-2026")</f>
        <v/>
      </c>
      <c r="AC28">
        <f>HYPERLINK("https://klasma.github.io/Logging_0883/tillsyn/A 11756-2026 tillsynsbegäran.docx", "A 11756-2026")</f>
        <v/>
      </c>
      <c r="AD28">
        <f>HYPERLINK("https://klasma.github.io/Logging_0883/tillsynsmail/A 11756-2026 tillsynsbegäran mail.docx", "A 11756-2026")</f>
        <v/>
      </c>
      <c r="AE28">
        <f>HYPERLINK("https://klasma.github.io/Logging_0883/fåglar/A 11756-2026 prioriterade fågelarter.docx", "A 11756-2026")</f>
        <v/>
      </c>
    </row>
    <row r="29" ht="15" customHeight="1">
      <c r="A29" t="inlineStr">
        <is>
          <t>A 51234-2025</t>
        </is>
      </c>
      <c r="B29" t="inlineStr">
        <is>
          <t>avverkningsanmälan</t>
        </is>
      </c>
      <c r="C29" t="inlineStr">
        <is>
          <t>Föryngringsavverkning</t>
        </is>
      </c>
      <c r="D29" s="1" t="n">
        <v>45947</v>
      </c>
      <c r="E29" s="1" t="n">
        <v>46323</v>
      </c>
      <c r="F29" t="inlineStr">
        <is>
          <t>KALMAR LÄN</t>
        </is>
      </c>
      <c r="G29" t="inlineStr">
        <is>
          <t>VÄSTERVIK</t>
        </is>
      </c>
      <c r="I29" t="n">
        <v>11.7</v>
      </c>
      <c r="J29" t="n">
        <v>8</v>
      </c>
      <c r="K29" t="n">
        <v>3</v>
      </c>
      <c r="L29" t="n">
        <v>1</v>
      </c>
      <c r="M29" t="n">
        <v>1</v>
      </c>
      <c r="N29" t="n">
        <v>0</v>
      </c>
      <c r="O29" t="n">
        <v>0</v>
      </c>
      <c r="P29" t="n">
        <v>0</v>
      </c>
      <c r="Q29" t="n">
        <v>2</v>
      </c>
      <c r="R29" t="n">
        <v>1</v>
      </c>
      <c r="S29" t="n">
        <v>11</v>
      </c>
      <c r="T29" t="n">
        <v>56</v>
      </c>
      <c r="U29" t="n">
        <v>56</v>
      </c>
      <c r="V29" s="2" t="inlineStr">
        <is>
          <t>Knärot
Talltita
Blodticka
Blomkålssvamp
Murgröna
Blåsippa
Järpe
Spillkråka
Tofsmes
Kungsfågel
Trana</t>
        </is>
      </c>
      <c r="W29">
        <f>HYPERLINK("https://klasma.github.io/Logging_0883/artfynd/A 51234-2025 artfynd.xlsx", "A 51234-2025")</f>
        <v/>
      </c>
      <c r="X29">
        <f>HYPERLINK("https://klasma.github.io/Logging_0883/kartor/A 51234-2025 karta.png", "A 51234-2025")</f>
        <v/>
      </c>
      <c r="Y29">
        <f>HYPERLINK("https://klasma.github.io/Logging_0883/kartor_geotiff/A 51234-2025 georefererad karta.tif", "A 51234-2025")</f>
        <v/>
      </c>
      <c r="Z29">
        <f>HYPERLINK("https://klasma.github.io/Logging_0883/knärot/A 51234-2025 karta knärot.png", "A 51234-2025")</f>
        <v/>
      </c>
      <c r="AA29">
        <f>HYPERLINK("https://klasma.github.io/Logging_0883/klagomål/A 51234-2025 FSC-klagomål.docx", "A 51234-2025")</f>
        <v/>
      </c>
      <c r="AB29">
        <f>HYPERLINK("https://klasma.github.io/Logging_0883/klagomålsmail/A 51234-2025 FSC-klagomål mail.docx", "A 51234-2025")</f>
        <v/>
      </c>
      <c r="AC29">
        <f>HYPERLINK("https://klasma.github.io/Logging_0883/tillsyn/A 51234-2025 tillsynsbegäran.docx", "A 51234-2025")</f>
        <v/>
      </c>
      <c r="AD29">
        <f>HYPERLINK("https://klasma.github.io/Logging_0883/tillsynsmail/A 51234-2025 tillsynsbegäran mail.docx", "A 51234-2025")</f>
        <v/>
      </c>
      <c r="AE29">
        <f>HYPERLINK("https://klasma.github.io/Logging_0883/fåglar/A 51234-2025 prioriterade fågelarter.docx", "A 51234-2025")</f>
        <v/>
      </c>
    </row>
    <row r="30" ht="15" customHeight="1">
      <c r="A30" t="inlineStr">
        <is>
          <t>A 58927-2022</t>
        </is>
      </c>
      <c r="B30" t="inlineStr">
        <is>
          <t>avverkningsanmälan</t>
        </is>
      </c>
      <c r="C30" t="inlineStr">
        <is>
          <t>Föryngringsavverkning</t>
        </is>
      </c>
      <c r="D30" s="1" t="n">
        <v>44896</v>
      </c>
      <c r="E30" s="1" t="n">
        <v>46323</v>
      </c>
      <c r="F30" t="inlineStr">
        <is>
          <t>KALMAR LÄN</t>
        </is>
      </c>
      <c r="G30" t="inlineStr">
        <is>
          <t>VÄSTERVIK</t>
        </is>
      </c>
      <c r="I30" t="n">
        <v>2.5</v>
      </c>
      <c r="J30" t="n">
        <v>0</v>
      </c>
      <c r="K30" t="n">
        <v>7</v>
      </c>
      <c r="L30" t="n">
        <v>4</v>
      </c>
      <c r="M30" t="n">
        <v>0</v>
      </c>
      <c r="N30" t="n">
        <v>0</v>
      </c>
      <c r="O30" t="n">
        <v>0</v>
      </c>
      <c r="P30" t="n">
        <v>0</v>
      </c>
      <c r="Q30" t="n">
        <v>4</v>
      </c>
      <c r="R30" t="n">
        <v>0</v>
      </c>
      <c r="S30" t="n">
        <v>11</v>
      </c>
      <c r="T30" t="n">
        <v>13</v>
      </c>
      <c r="U30" t="n">
        <v>13</v>
      </c>
      <c r="V30" s="2" t="inlineStr">
        <is>
          <t>Ekticka
Grynig filtlav
Lunglav
Vit vedfingersvamp
Barkkornlav
Fällmossa
Guldlockmossa
Gulpudrad spiklav
Liten baronmossa
Platt fjädermossa
Trädporella</t>
        </is>
      </c>
      <c r="W30">
        <f>HYPERLINK("https://klasma.github.io/Logging_0883/artfynd/A 58927-2022 artfynd.xlsx", "A 58927-2022")</f>
        <v/>
      </c>
      <c r="X30">
        <f>HYPERLINK("https://klasma.github.io/Logging_0883/kartor/A 58927-2022 karta.png", "A 58927-2022")</f>
        <v/>
      </c>
      <c r="Y30">
        <f>HYPERLINK("https://klasma.github.io/Logging_0883/kartor_geotiff/A 58927-2022 georefererad karta.tif", "A 58927-2022")</f>
        <v/>
      </c>
      <c r="AA30">
        <f>HYPERLINK("https://klasma.github.io/Logging_0883/klagomål/A 58927-2022 FSC-klagomål.docx", "A 58927-2022")</f>
        <v/>
      </c>
      <c r="AB30">
        <f>HYPERLINK("https://klasma.github.io/Logging_0883/klagomålsmail/A 58927-2022 FSC-klagomål mail.docx", "A 58927-2022")</f>
        <v/>
      </c>
      <c r="AC30">
        <f>HYPERLINK("https://klasma.github.io/Logging_0883/tillsyn/A 58927-2022 tillsynsbegäran.docx", "A 58927-2022")</f>
        <v/>
      </c>
      <c r="AD30">
        <f>HYPERLINK("https://klasma.github.io/Logging_0883/tillsynsmail/A 58927-2022 tillsynsbegäran mail.docx", "A 58927-2022")</f>
        <v/>
      </c>
    </row>
    <row r="31" ht="15" customHeight="1">
      <c r="A31" t="inlineStr">
        <is>
          <t>S 3342-2024</t>
        </is>
      </c>
      <c r="B31" t="inlineStr">
        <is>
          <t>samrådsanmälan</t>
        </is>
      </c>
      <c r="C31" t="inlineStr">
        <is>
          <t>Annan skogsbruksåtgärd</t>
        </is>
      </c>
      <c r="D31" s="1" t="n">
        <v>45531</v>
      </c>
      <c r="E31" s="1" t="n">
        <v>46323</v>
      </c>
      <c r="F31" t="inlineStr">
        <is>
          <t>KALMAR LÄN</t>
        </is>
      </c>
      <c r="G31" t="inlineStr">
        <is>
          <t>VÄSTERVIK</t>
        </is>
      </c>
      <c r="H31" t="inlineStr">
        <is>
          <t>Kommuner</t>
        </is>
      </c>
      <c r="I31" t="n">
        <v>4.7</v>
      </c>
      <c r="J31" t="n">
        <v>4</v>
      </c>
      <c r="K31" t="n">
        <v>1</v>
      </c>
      <c r="L31" t="n">
        <v>6</v>
      </c>
      <c r="M31" t="n">
        <v>0</v>
      </c>
      <c r="N31" t="n">
        <v>1</v>
      </c>
      <c r="O31" t="n">
        <v>1</v>
      </c>
      <c r="P31" t="n">
        <v>0</v>
      </c>
      <c r="Q31" t="n">
        <v>8</v>
      </c>
      <c r="R31" t="n">
        <v>2</v>
      </c>
      <c r="S31" t="n">
        <v>11</v>
      </c>
      <c r="T31" t="n">
        <v>17</v>
      </c>
      <c r="U31" t="n">
        <v>1</v>
      </c>
      <c r="V31" s="2" t="inlineStr">
        <is>
          <t>Naverlönn
Ask
Adam och eva
Apollofjäril
Flikros
Lamellsnäcka
Myskmåra
Tallticka
Guldlockmossa
Blåsippa
Gullviva</t>
        </is>
      </c>
      <c r="W31">
        <f>HYPERLINK("https://klasma.github.io/Logging_0883/artfynd/S 3342-2024 artfynd.xlsx", "S 3342-2024")</f>
        <v/>
      </c>
      <c r="X31">
        <f>HYPERLINK("https://klasma.github.io/Logging_0883/kartor/S 3342-2024 karta.png", "S 3342-2024")</f>
        <v/>
      </c>
      <c r="Y31">
        <f>HYPERLINK("https://klasma.github.io/Logging_0883/kartor_geotiff/S 3342-2024 georefererad karta.tif", "S 3342-2024")</f>
        <v/>
      </c>
      <c r="AA31">
        <f>HYPERLINK("https://klasma.github.io/Logging_0883/klagomål/S 3342-2024 FSC-klagomål.docx", "S 3342-2024")</f>
        <v/>
      </c>
      <c r="AB31">
        <f>HYPERLINK("https://klasma.github.io/Logging_0883/klagomålsmail/S 3342-2024 FSC-klagomål mail.docx", "S 3342-2024")</f>
        <v/>
      </c>
      <c r="AC31">
        <f>HYPERLINK("https://klasma.github.io/Logging_0883/tillsyn/S 3342-2024 tillsynsbegäran.docx", "S 3342-2024")</f>
        <v/>
      </c>
      <c r="AD31">
        <f>HYPERLINK("https://klasma.github.io/Logging_0883/tillsynsmail/S 3342-2024 tillsynsbegäran mail.docx", "S 3342-2024")</f>
        <v/>
      </c>
    </row>
    <row r="32" ht="15" customHeight="1">
      <c r="A32" t="inlineStr">
        <is>
          <t>S 2346-2024</t>
        </is>
      </c>
      <c r="B32" t="inlineStr">
        <is>
          <t>samrådsanmälan</t>
        </is>
      </c>
      <c r="C32" t="inlineStr">
        <is>
          <t>Annan skogsbruksåtgärd</t>
        </is>
      </c>
      <c r="D32" s="1" t="n">
        <v>45467</v>
      </c>
      <c r="E32" s="1" t="n">
        <v>46323</v>
      </c>
      <c r="F32" t="inlineStr">
        <is>
          <t>KALMAR LÄN</t>
        </is>
      </c>
      <c r="G32" t="inlineStr">
        <is>
          <t>VÄSTERVIK</t>
        </is>
      </c>
      <c r="H32" t="inlineStr">
        <is>
          <t>Kommuner</t>
        </is>
      </c>
      <c r="I32" t="n">
        <v>3.4</v>
      </c>
      <c r="J32" t="n">
        <v>3</v>
      </c>
      <c r="K32" t="n">
        <v>3</v>
      </c>
      <c r="L32" t="n">
        <v>5</v>
      </c>
      <c r="M32" t="n">
        <v>1</v>
      </c>
      <c r="N32" t="n">
        <v>0</v>
      </c>
      <c r="O32" t="n">
        <v>0</v>
      </c>
      <c r="P32" t="n">
        <v>0</v>
      </c>
      <c r="Q32" t="n">
        <v>6</v>
      </c>
      <c r="R32" t="n">
        <v>1</v>
      </c>
      <c r="S32" t="n">
        <v>11</v>
      </c>
      <c r="T32" t="n">
        <v>29</v>
      </c>
      <c r="U32" t="n">
        <v>15</v>
      </c>
      <c r="V32" s="2" t="inlineStr">
        <is>
          <t>Skogskorn
Blekticka
Desmeknopp
Mindre hackspett
Svinrot
Vårärt
Myskmadra
Nästrot
Vätteros
Blåsippa
Mörk lungört</t>
        </is>
      </c>
      <c r="W32">
        <f>HYPERLINK("https://klasma.github.io/Logging_0883/artfynd/S 2346-2024 artfynd.xlsx", "S 2346-2024")</f>
        <v/>
      </c>
      <c r="X32">
        <f>HYPERLINK("https://klasma.github.io/Logging_0883/kartor/S 2346-2024 karta.png", "S 2346-2024")</f>
        <v/>
      </c>
      <c r="Y32">
        <f>HYPERLINK("https://klasma.github.io/Logging_0883/kartor_geotiff/S 2346-2024 georefererad karta.tif", "S 2346-2024")</f>
        <v/>
      </c>
      <c r="AA32">
        <f>HYPERLINK("https://klasma.github.io/Logging_0883/klagomål/S 2346-2024 FSC-klagomål.docx", "S 2346-2024")</f>
        <v/>
      </c>
      <c r="AB32">
        <f>HYPERLINK("https://klasma.github.io/Logging_0883/klagomålsmail/S 2346-2024 FSC-klagomål mail.docx", "S 2346-2024")</f>
        <v/>
      </c>
      <c r="AC32">
        <f>HYPERLINK("https://klasma.github.io/Logging_0883/tillsyn/S 2346-2024 tillsynsbegäran.docx", "S 2346-2024")</f>
        <v/>
      </c>
      <c r="AD32">
        <f>HYPERLINK("https://klasma.github.io/Logging_0883/tillsynsmail/S 2346-2024 tillsynsbegäran mail.docx", "S 2346-2024")</f>
        <v/>
      </c>
      <c r="AE32">
        <f>HYPERLINK("https://klasma.github.io/Logging_0883/fåglar/S 2346-2024 prioriterade fågelarter.docx", "S 2346-2024")</f>
        <v/>
      </c>
    </row>
    <row r="33" ht="15" customHeight="1">
      <c r="A33" t="inlineStr">
        <is>
          <t>A 14121-2025</t>
        </is>
      </c>
      <c r="B33" t="inlineStr">
        <is>
          <t>avverkningsanmälan</t>
        </is>
      </c>
      <c r="C33" t="inlineStr">
        <is>
          <t>Avverkning för att bevara och utveckla /försöksver</t>
        </is>
      </c>
      <c r="D33" s="1" t="n">
        <v>45740</v>
      </c>
      <c r="E33" s="1" t="n">
        <v>46323</v>
      </c>
      <c r="F33" t="inlineStr">
        <is>
          <t>KALMAR LÄN</t>
        </is>
      </c>
      <c r="G33" t="inlineStr">
        <is>
          <t>VÄSTERVIK</t>
        </is>
      </c>
      <c r="H33" t="inlineStr">
        <is>
          <t>Sveaskog</t>
        </is>
      </c>
      <c r="I33" t="n">
        <v>3.4</v>
      </c>
      <c r="J33" t="n">
        <v>6</v>
      </c>
      <c r="K33" t="n">
        <v>3</v>
      </c>
      <c r="L33" t="n">
        <v>3</v>
      </c>
      <c r="M33" t="n">
        <v>2</v>
      </c>
      <c r="N33" t="n">
        <v>0</v>
      </c>
      <c r="O33" t="n">
        <v>0</v>
      </c>
      <c r="P33" t="n">
        <v>0</v>
      </c>
      <c r="Q33" t="n">
        <v>5</v>
      </c>
      <c r="R33" t="n">
        <v>2</v>
      </c>
      <c r="S33" t="n">
        <v>10</v>
      </c>
      <c r="T33" t="n">
        <v>11</v>
      </c>
      <c r="U33" t="n">
        <v>8</v>
      </c>
      <c r="V33" s="2" t="inlineStr">
        <is>
          <t>Bredbrämad bastardsvärmare
Smalsprötad bastardsvärmare
Entita
Grönsångare
Mindre hackspett
Myskmadra
Purpurknipprot
Tibast
Spillkråka
Skogsduva</t>
        </is>
      </c>
      <c r="W33">
        <f>HYPERLINK("https://klasma.github.io/Logging_0883/artfynd/A 14121-2025 artfynd.xlsx", "A 14121-2025")</f>
        <v/>
      </c>
      <c r="X33">
        <f>HYPERLINK("https://klasma.github.io/Logging_0883/kartor/A 14121-2025 karta.png", "A 14121-2025")</f>
        <v/>
      </c>
      <c r="Y33">
        <f>HYPERLINK("https://klasma.github.io/Logging_0883/kartor_geotiff/A 14121-2025 georefererad karta.tif", "A 14121-2025")</f>
        <v/>
      </c>
      <c r="AA33">
        <f>HYPERLINK("https://klasma.github.io/Logging_0883/klagomål/A 14121-2025 FSC-klagomål.docx", "A 14121-2025")</f>
        <v/>
      </c>
      <c r="AB33">
        <f>HYPERLINK("https://klasma.github.io/Logging_0883/klagomålsmail/A 14121-2025 FSC-klagomål mail.docx", "A 14121-2025")</f>
        <v/>
      </c>
      <c r="AC33">
        <f>HYPERLINK("https://klasma.github.io/Logging_0883/tillsyn/A 14121-2025 tillsynsbegäran.docx", "A 14121-2025")</f>
        <v/>
      </c>
      <c r="AD33">
        <f>HYPERLINK("https://klasma.github.io/Logging_0883/tillsynsmail/A 14121-2025 tillsynsbegäran mail.docx", "A 14121-2025")</f>
        <v/>
      </c>
      <c r="AE33">
        <f>HYPERLINK("https://klasma.github.io/Logging_0883/fåglar/A 14121-2025 prioriterade fågelarter.docx", "A 14121-2025")</f>
        <v/>
      </c>
    </row>
    <row r="34" ht="15" customHeight="1">
      <c r="A34" t="inlineStr">
        <is>
          <t>A 34414-2024</t>
        </is>
      </c>
      <c r="B34" t="inlineStr">
        <is>
          <t>avverkningsanmälan</t>
        </is>
      </c>
      <c r="C34" t="inlineStr">
        <is>
          <t>Föryngringsavverkning</t>
        </is>
      </c>
      <c r="D34" s="1" t="n">
        <v>45525</v>
      </c>
      <c r="E34" s="1" t="n">
        <v>46323</v>
      </c>
      <c r="F34" t="inlineStr">
        <is>
          <t>KALMAR LÄN</t>
        </is>
      </c>
      <c r="G34" t="inlineStr">
        <is>
          <t>VÄSTERVIK</t>
        </is>
      </c>
      <c r="H34" t="inlineStr">
        <is>
          <t>Holmen skog AB</t>
        </is>
      </c>
      <c r="I34" t="n">
        <v>8.9</v>
      </c>
      <c r="J34" t="n">
        <v>3</v>
      </c>
      <c r="K34" t="n">
        <v>4</v>
      </c>
      <c r="L34" t="n">
        <v>4</v>
      </c>
      <c r="M34" t="n">
        <v>1</v>
      </c>
      <c r="N34" t="n">
        <v>0</v>
      </c>
      <c r="O34" t="n">
        <v>0</v>
      </c>
      <c r="P34" t="n">
        <v>0</v>
      </c>
      <c r="Q34" t="n">
        <v>5</v>
      </c>
      <c r="R34" t="n">
        <v>1</v>
      </c>
      <c r="S34" t="n">
        <v>10</v>
      </c>
      <c r="T34" t="n">
        <v>31</v>
      </c>
      <c r="U34" t="n">
        <v>30</v>
      </c>
      <c r="V34" s="2" t="inlineStr">
        <is>
          <t>Knärot
Dropptaggsvamp
Orange taggsvamp
Tallticka
Talltita
Blomkålssvamp
Blåmossa
Brandticka
Zontaggsvamp
Tjäder</t>
        </is>
      </c>
      <c r="W34">
        <f>HYPERLINK("https://klasma.github.io/Logging_0883/artfynd/A 34414-2024 artfynd.xlsx", "A 34414-2024")</f>
        <v/>
      </c>
      <c r="X34">
        <f>HYPERLINK("https://klasma.github.io/Logging_0883/kartor/A 34414-2024 karta.png", "A 34414-2024")</f>
        <v/>
      </c>
      <c r="Y34">
        <f>HYPERLINK("https://klasma.github.io/Logging_0883/kartor_geotiff/A 34414-2024 georefererad karta.tif", "A 34414-2024")</f>
        <v/>
      </c>
      <c r="Z34">
        <f>HYPERLINK("https://klasma.github.io/Logging_0883/knärot/A 34414-2024 karta knärot.png", "A 34414-2024")</f>
        <v/>
      </c>
      <c r="AA34">
        <f>HYPERLINK("https://klasma.github.io/Logging_0883/klagomål/A 34414-2024 FSC-klagomål.docx", "A 34414-2024")</f>
        <v/>
      </c>
      <c r="AB34">
        <f>HYPERLINK("https://klasma.github.io/Logging_0883/klagomålsmail/A 34414-2024 FSC-klagomål mail.docx", "A 34414-2024")</f>
        <v/>
      </c>
      <c r="AC34">
        <f>HYPERLINK("https://klasma.github.io/Logging_0883/tillsyn/A 34414-2024 tillsynsbegäran.docx", "A 34414-2024")</f>
        <v/>
      </c>
      <c r="AD34">
        <f>HYPERLINK("https://klasma.github.io/Logging_0883/tillsynsmail/A 34414-2024 tillsynsbegäran mail.docx", "A 34414-2024")</f>
        <v/>
      </c>
      <c r="AE34">
        <f>HYPERLINK("https://klasma.github.io/Logging_0883/fåglar/A 34414-2024 prioriterade fågelarter.docx", "A 34414-2024")</f>
        <v/>
      </c>
    </row>
    <row r="35" ht="15" customHeight="1">
      <c r="A35" t="inlineStr">
        <is>
          <t>A 47936-2023</t>
        </is>
      </c>
      <c r="B35" t="inlineStr">
        <is>
          <t>avverkningsanmälan</t>
        </is>
      </c>
      <c r="C35" t="inlineStr">
        <is>
          <t>Föryngringsavverkning</t>
        </is>
      </c>
      <c r="D35" s="1" t="n">
        <v>45204</v>
      </c>
      <c r="E35" s="1" t="n">
        <v>46323</v>
      </c>
      <c r="F35" t="inlineStr">
        <is>
          <t>KALMAR LÄN</t>
        </is>
      </c>
      <c r="G35" t="inlineStr">
        <is>
          <t>VÄSTERVIK</t>
        </is>
      </c>
      <c r="I35" t="n">
        <v>6.3</v>
      </c>
      <c r="J35" t="n">
        <v>4</v>
      </c>
      <c r="K35" t="n">
        <v>4</v>
      </c>
      <c r="L35" t="n">
        <v>3</v>
      </c>
      <c r="M35" t="n">
        <v>2</v>
      </c>
      <c r="N35" t="n">
        <v>0</v>
      </c>
      <c r="O35" t="n">
        <v>0</v>
      </c>
      <c r="P35" t="n">
        <v>0</v>
      </c>
      <c r="Q35" t="n">
        <v>5</v>
      </c>
      <c r="R35" t="n">
        <v>2</v>
      </c>
      <c r="S35" t="n">
        <v>10</v>
      </c>
      <c r="T35" t="n">
        <v>55</v>
      </c>
      <c r="U35" t="n">
        <v>54</v>
      </c>
      <c r="V35" s="2" t="inlineStr">
        <is>
          <t>Knärot
Läderbagge
Motaggsvamp
Tallticka
Talltita
Blomkålssvamp
Blåmossa
Grovticka
Grönpyrola
Blåsippa</t>
        </is>
      </c>
      <c r="W35">
        <f>HYPERLINK("https://klasma.github.io/Logging_0883/artfynd/A 47936-2023 artfynd.xlsx", "A 47936-2023")</f>
        <v/>
      </c>
      <c r="X35">
        <f>HYPERLINK("https://klasma.github.io/Logging_0883/kartor/A 47936-2023 karta.png", "A 47936-2023")</f>
        <v/>
      </c>
      <c r="Y35">
        <f>HYPERLINK("https://klasma.github.io/Logging_0883/kartor_geotiff/A 47936-2023 georefererad karta.tif", "A 47936-2023")</f>
        <v/>
      </c>
      <c r="Z35">
        <f>HYPERLINK("https://klasma.github.io/Logging_0883/knärot/A 47936-2023 karta knärot.png", "A 47936-2023")</f>
        <v/>
      </c>
      <c r="AA35">
        <f>HYPERLINK("https://klasma.github.io/Logging_0883/klagomål/A 47936-2023 FSC-klagomål.docx", "A 47936-2023")</f>
        <v/>
      </c>
      <c r="AB35">
        <f>HYPERLINK("https://klasma.github.io/Logging_0883/klagomålsmail/A 47936-2023 FSC-klagomål mail.docx", "A 47936-2023")</f>
        <v/>
      </c>
      <c r="AC35">
        <f>HYPERLINK("https://klasma.github.io/Logging_0883/tillsyn/A 47936-2023 tillsynsbegäran.docx", "A 47936-2023")</f>
        <v/>
      </c>
      <c r="AD35">
        <f>HYPERLINK("https://klasma.github.io/Logging_0883/tillsynsmail/A 47936-2023 tillsynsbegäran mail.docx", "A 47936-2023")</f>
        <v/>
      </c>
      <c r="AE35">
        <f>HYPERLINK("https://klasma.github.io/Logging_0883/fåglar/A 47936-2023 prioriterade fågelarter.docx", "A 47936-2023")</f>
        <v/>
      </c>
    </row>
    <row r="36" ht="15" customHeight="1">
      <c r="A36" t="inlineStr">
        <is>
          <t>S 1022-2022</t>
        </is>
      </c>
      <c r="B36" t="inlineStr">
        <is>
          <t>samrådsanmälan</t>
        </is>
      </c>
      <c r="C36" t="inlineStr">
        <is>
          <t>Askåterföring</t>
        </is>
      </c>
      <c r="D36" s="1" t="n">
        <v>44610</v>
      </c>
      <c r="E36" s="1" t="n">
        <v>46323</v>
      </c>
      <c r="F36" t="inlineStr">
        <is>
          <t>KALMAR LÄN</t>
        </is>
      </c>
      <c r="G36" t="inlineStr">
        <is>
          <t>VÄSTERVIK</t>
        </is>
      </c>
      <c r="H36" t="inlineStr">
        <is>
          <t>Sveaskog</t>
        </is>
      </c>
      <c r="I36" t="n">
        <v>106.2</v>
      </c>
      <c r="J36" t="n">
        <v>9</v>
      </c>
      <c r="K36" t="n">
        <v>1</v>
      </c>
      <c r="L36" t="n">
        <v>2</v>
      </c>
      <c r="M36" t="n">
        <v>0</v>
      </c>
      <c r="N36" t="n">
        <v>0</v>
      </c>
      <c r="O36" t="n">
        <v>0</v>
      </c>
      <c r="P36" t="n">
        <v>0</v>
      </c>
      <c r="Q36" t="n">
        <v>2</v>
      </c>
      <c r="R36" t="n">
        <v>0</v>
      </c>
      <c r="S36" t="n">
        <v>10</v>
      </c>
      <c r="T36" t="n">
        <v>22</v>
      </c>
      <c r="U36" t="n">
        <v>22</v>
      </c>
      <c r="V36" s="2" t="inlineStr">
        <is>
          <t>Drillsnäppa
Talltita
Blomskägglav
Blåsippa
Nattskärra
Spillkråka
Gröngöling
Havsörn
Svartvit flugsnappare
Revlummer</t>
        </is>
      </c>
      <c r="W36">
        <f>HYPERLINK("https://klasma.github.io/Logging_0883/artfynd/S 1022-2022 artfynd.xlsx", "S 1022-2022")</f>
        <v/>
      </c>
      <c r="X36">
        <f>HYPERLINK("https://klasma.github.io/Logging_0883/kartor/S 1022-2022 karta.png", "S 1022-2022")</f>
        <v/>
      </c>
      <c r="Y36">
        <f>HYPERLINK("https://klasma.github.io/Logging_0883/kartor_geotiff/S 1022-2022 georefererad karta.tif", "S 1022-2022")</f>
        <v/>
      </c>
      <c r="AA36">
        <f>HYPERLINK("https://klasma.github.io/Logging_0883/klagomål/S 1022-2022 FSC-klagomål.docx", "S 1022-2022")</f>
        <v/>
      </c>
      <c r="AB36">
        <f>HYPERLINK("https://klasma.github.io/Logging_0883/klagomålsmail/S 1022-2022 FSC-klagomål mail.docx", "S 1022-2022")</f>
        <v/>
      </c>
      <c r="AC36">
        <f>HYPERLINK("https://klasma.github.io/Logging_0883/tillsyn/S 1022-2022 tillsynsbegäran.docx", "S 1022-2022")</f>
        <v/>
      </c>
      <c r="AD36">
        <f>HYPERLINK("https://klasma.github.io/Logging_0883/tillsynsmail/S 1022-2022 tillsynsbegäran mail.docx", "S 1022-2022")</f>
        <v/>
      </c>
      <c r="AE36">
        <f>HYPERLINK("https://klasma.github.io/Logging_0883/fåglar/S 1022-2022 prioriterade fågelarter.docx", "S 1022-2022")</f>
        <v/>
      </c>
    </row>
    <row r="37" ht="15" customHeight="1">
      <c r="A37" t="inlineStr">
        <is>
          <t>S 932-2025</t>
        </is>
      </c>
      <c r="B37" t="inlineStr">
        <is>
          <t>samrådsanmälan</t>
        </is>
      </c>
      <c r="C37" t="inlineStr">
        <is>
          <t>Annan skogsbruksåtgärd</t>
        </is>
      </c>
      <c r="D37" s="1" t="n">
        <v>45740</v>
      </c>
      <c r="E37" s="1" t="n">
        <v>46323</v>
      </c>
      <c r="F37" t="inlineStr">
        <is>
          <t>KALMAR LÄN</t>
        </is>
      </c>
      <c r="G37" t="inlineStr">
        <is>
          <t>VÄSTERVIK</t>
        </is>
      </c>
      <c r="H37" t="inlineStr">
        <is>
          <t>Sveaskog</t>
        </is>
      </c>
      <c r="I37" t="n">
        <v>3.4</v>
      </c>
      <c r="J37" t="n">
        <v>6</v>
      </c>
      <c r="K37" t="n">
        <v>3</v>
      </c>
      <c r="L37" t="n">
        <v>3</v>
      </c>
      <c r="M37" t="n">
        <v>2</v>
      </c>
      <c r="N37" t="n">
        <v>0</v>
      </c>
      <c r="O37" t="n">
        <v>0</v>
      </c>
      <c r="P37" t="n">
        <v>0</v>
      </c>
      <c r="Q37" t="n">
        <v>5</v>
      </c>
      <c r="R37" t="n">
        <v>2</v>
      </c>
      <c r="S37" t="n">
        <v>10</v>
      </c>
      <c r="T37" t="n">
        <v>11</v>
      </c>
      <c r="U37" t="n">
        <v>8</v>
      </c>
      <c r="V37" s="2" t="inlineStr">
        <is>
          <t>Bredbrämad bastardsvärmare
Smalsprötad bastardsvärmare
Entita
Grönsångare
Mindre hackspett
Myskmadra
Purpurknipprot
Tibast
Spillkråka
Skogsduva</t>
        </is>
      </c>
      <c r="W37">
        <f>HYPERLINK("https://klasma.github.io/Logging_0883/artfynd/S 932-2025 artfynd.xlsx", "S 932-2025")</f>
        <v/>
      </c>
      <c r="X37">
        <f>HYPERLINK("https://klasma.github.io/Logging_0883/kartor/S 932-2025 karta.png", "S 932-2025")</f>
        <v/>
      </c>
      <c r="Y37">
        <f>HYPERLINK("https://klasma.github.io/Logging_0883/kartor_geotiff/S 932-2025 georefererad karta.tif", "S 932-2025")</f>
        <v/>
      </c>
      <c r="AA37">
        <f>HYPERLINK("https://klasma.github.io/Logging_0883/klagomål/S 932-2025 FSC-klagomål.docx", "S 932-2025")</f>
        <v/>
      </c>
      <c r="AB37">
        <f>HYPERLINK("https://klasma.github.io/Logging_0883/klagomålsmail/S 932-2025 FSC-klagomål mail.docx", "S 932-2025")</f>
        <v/>
      </c>
      <c r="AC37">
        <f>HYPERLINK("https://klasma.github.io/Logging_0883/tillsyn/S 932-2025 tillsynsbegäran.docx", "S 932-2025")</f>
        <v/>
      </c>
      <c r="AD37">
        <f>HYPERLINK("https://klasma.github.io/Logging_0883/tillsynsmail/S 932-2025 tillsynsbegäran mail.docx", "S 932-2025")</f>
        <v/>
      </c>
      <c r="AE37">
        <f>HYPERLINK("https://klasma.github.io/Logging_0883/fåglar/S 932-2025 prioriterade fågelarter.docx", "S 932-2025")</f>
        <v/>
      </c>
    </row>
    <row r="38" ht="15" customHeight="1">
      <c r="A38" t="inlineStr">
        <is>
          <t>S 2259-2026</t>
        </is>
      </c>
      <c r="B38" t="inlineStr">
        <is>
          <t>samrådsanmälan</t>
        </is>
      </c>
      <c r="C38" t="inlineStr">
        <is>
          <t>Annan skogsbruksåtgärd</t>
        </is>
      </c>
      <c r="D38" s="1" t="n">
        <v>46262</v>
      </c>
      <c r="E38" s="1" t="n">
        <v>46323</v>
      </c>
      <c r="F38" t="inlineStr">
        <is>
          <t>KALMAR LÄN</t>
        </is>
      </c>
      <c r="G38" t="inlineStr">
        <is>
          <t>VÄSTERVIK</t>
        </is>
      </c>
      <c r="H38" t="inlineStr">
        <is>
          <t>Kommuner</t>
        </is>
      </c>
      <c r="I38" t="n">
        <v>4.9</v>
      </c>
      <c r="J38" t="n">
        <v>3</v>
      </c>
      <c r="K38" t="n">
        <v>2</v>
      </c>
      <c r="L38" t="n">
        <v>4</v>
      </c>
      <c r="M38" t="n">
        <v>1</v>
      </c>
      <c r="N38" t="n">
        <v>1</v>
      </c>
      <c r="O38" t="n">
        <v>0</v>
      </c>
      <c r="P38" t="n">
        <v>0</v>
      </c>
      <c r="Q38" t="n">
        <v>6</v>
      </c>
      <c r="R38" t="n">
        <v>2</v>
      </c>
      <c r="S38" t="n">
        <v>10</v>
      </c>
      <c r="T38" t="n">
        <v>15</v>
      </c>
      <c r="U38" t="n">
        <v>0</v>
      </c>
      <c r="V38" s="2" t="inlineStr">
        <is>
          <t>Skogsalm
Hasselsnok
Blekticka
Ekticka
Rosa skärelav
Skuggorangelav
Gulnål
Gulpudrad spiklav
Huggorm
Vanlig snok</t>
        </is>
      </c>
      <c r="W38">
        <f>HYPERLINK("https://klasma.github.io/Logging_0883/artfynd/S 2259-2026 artfynd.xlsx", "S 2259-2026")</f>
        <v/>
      </c>
      <c r="X38">
        <f>HYPERLINK("https://klasma.github.io/Logging_0883/kartor/S 2259-2026 karta.png", "S 2259-2026")</f>
        <v/>
      </c>
      <c r="Y38">
        <f>HYPERLINK("https://klasma.github.io/Logging_0883/kartor_geotiff/S 2259-2026 georefererad karta.tif", "S 2259-2026")</f>
        <v/>
      </c>
      <c r="AA38">
        <f>HYPERLINK("https://klasma.github.io/Logging_0883/klagomål/S 2259-2026 FSC-klagomål.docx", "S 2259-2026")</f>
        <v/>
      </c>
      <c r="AB38">
        <f>HYPERLINK("https://klasma.github.io/Logging_0883/klagomålsmail/S 2259-2026 FSC-klagomål mail.docx", "S 2259-2026")</f>
        <v/>
      </c>
      <c r="AC38">
        <f>HYPERLINK("https://klasma.github.io/Logging_0883/tillsyn/S 2259-2026 tillsynsbegäran.docx", "S 2259-2026")</f>
        <v/>
      </c>
      <c r="AD38">
        <f>HYPERLINK("https://klasma.github.io/Logging_0883/tillsynsmail/S 2259-2026 tillsynsbegäran mail.docx", "S 2259-2026")</f>
        <v/>
      </c>
    </row>
    <row r="39" ht="15" customHeight="1">
      <c r="A39" t="inlineStr">
        <is>
          <t>S 2795-2026</t>
        </is>
      </c>
      <c r="B39" t="inlineStr">
        <is>
          <t>samrådsanmälan</t>
        </is>
      </c>
      <c r="C39" t="inlineStr">
        <is>
          <t>Annan skogsbruksåtgärd</t>
        </is>
      </c>
      <c r="D39" s="1" t="n">
        <v>46322</v>
      </c>
      <c r="E39" s="1" t="n">
        <v>46323</v>
      </c>
      <c r="F39" t="inlineStr">
        <is>
          <t>KALMAR LÄN</t>
        </is>
      </c>
      <c r="G39" t="inlineStr">
        <is>
          <t>VÄSTERVIK</t>
        </is>
      </c>
      <c r="H39" t="inlineStr">
        <is>
          <t>Kommuner</t>
        </is>
      </c>
      <c r="I39" t="n">
        <v>15.4</v>
      </c>
      <c r="J39" t="n">
        <v>3</v>
      </c>
      <c r="K39" t="n">
        <v>1</v>
      </c>
      <c r="L39" t="n">
        <v>5</v>
      </c>
      <c r="M39" t="n">
        <v>2</v>
      </c>
      <c r="N39" t="n">
        <v>1</v>
      </c>
      <c r="O39" t="n">
        <v>0</v>
      </c>
      <c r="P39" t="n">
        <v>0</v>
      </c>
      <c r="Q39" t="n">
        <v>8</v>
      </c>
      <c r="R39" t="n">
        <v>3</v>
      </c>
      <c r="S39" t="n">
        <v>10</v>
      </c>
      <c r="T39" t="n">
        <v>28</v>
      </c>
      <c r="U39" t="n">
        <v>0</v>
      </c>
      <c r="V39" s="2" t="inlineStr">
        <is>
          <t>Rosensopp
Kvistkrabbspindel
Kärnticka
Blekticka
Ekticka
Gammelekslav
Mindre hackspett
Oxtungssvamp
Ekoxe
Gröngöling</t>
        </is>
      </c>
      <c r="W39">
        <f>HYPERLINK("https://klasma.github.io/Logging_0883/artfynd/S 2795-2026 artfynd.xlsx", "S 2795-2026")</f>
        <v/>
      </c>
      <c r="X39">
        <f>HYPERLINK("https://klasma.github.io/Logging_0883/kartor/S 2795-2026 karta.png", "S 2795-2026")</f>
        <v/>
      </c>
      <c r="Y39">
        <f>HYPERLINK("https://klasma.github.io/Logging_0883/kartor_geotiff/S 2795-2026 georefererad karta.tif", "S 2795-2026")</f>
        <v/>
      </c>
      <c r="AA39">
        <f>HYPERLINK("https://klasma.github.io/Logging_0883/klagomål/S 2795-2026 FSC-klagomål.docx", "S 2795-2026")</f>
        <v/>
      </c>
      <c r="AB39">
        <f>HYPERLINK("https://klasma.github.io/Logging_0883/klagomålsmail/S 2795-2026 FSC-klagomål mail.docx", "S 2795-2026")</f>
        <v/>
      </c>
      <c r="AC39">
        <f>HYPERLINK("https://klasma.github.io/Logging_0883/tillsyn/S 2795-2026 tillsynsbegäran.docx", "S 2795-2026")</f>
        <v/>
      </c>
      <c r="AD39">
        <f>HYPERLINK("https://klasma.github.io/Logging_0883/tillsynsmail/S 2795-2026 tillsynsbegäran mail.docx", "S 2795-2026")</f>
        <v/>
      </c>
      <c r="AE39">
        <f>HYPERLINK("https://klasma.github.io/Logging_0883/fåglar/S 2795-2026 prioriterade fågelarter.docx", "S 2795-2026")</f>
        <v/>
      </c>
    </row>
    <row r="40" ht="15" customHeight="1">
      <c r="A40" t="inlineStr">
        <is>
          <t>A 31431-2024</t>
        </is>
      </c>
      <c r="B40" t="inlineStr">
        <is>
          <t>avverkningsanmälan</t>
        </is>
      </c>
      <c r="C40" t="inlineStr">
        <is>
          <t>Föryngringsavverkning</t>
        </is>
      </c>
      <c r="D40" s="1" t="n">
        <v>45505</v>
      </c>
      <c r="E40" s="1" t="n">
        <v>46323</v>
      </c>
      <c r="F40" t="inlineStr">
        <is>
          <t>KALMAR LÄN</t>
        </is>
      </c>
      <c r="G40" t="inlineStr">
        <is>
          <t>VÄSTERVIK</t>
        </is>
      </c>
      <c r="I40" t="n">
        <v>1.3</v>
      </c>
      <c r="J40" t="n">
        <v>0</v>
      </c>
      <c r="K40" t="n">
        <v>6</v>
      </c>
      <c r="L40" t="n">
        <v>2</v>
      </c>
      <c r="M40" t="n">
        <v>0</v>
      </c>
      <c r="N40" t="n">
        <v>1</v>
      </c>
      <c r="O40" t="n">
        <v>0</v>
      </c>
      <c r="P40" t="n">
        <v>0</v>
      </c>
      <c r="Q40" t="n">
        <v>3</v>
      </c>
      <c r="R40" t="n">
        <v>1</v>
      </c>
      <c r="S40" t="n">
        <v>9</v>
      </c>
      <c r="T40" t="n">
        <v>16</v>
      </c>
      <c r="U40" t="n">
        <v>1</v>
      </c>
      <c r="V40" s="2" t="inlineStr">
        <is>
          <t>Skogsalm
Ekticka
Skeppsvarvsfluga
Fällmossa
Guldlockmossa
Gulpudrad spiklav
Myskmadra
Rostfläck
Trädporella</t>
        </is>
      </c>
      <c r="W40">
        <f>HYPERLINK("https://klasma.github.io/Logging_0883/artfynd/A 31431-2024 artfynd.xlsx", "A 31431-2024")</f>
        <v/>
      </c>
      <c r="X40">
        <f>HYPERLINK("https://klasma.github.io/Logging_0883/kartor/A 31431-2024 karta.png", "A 31431-2024")</f>
        <v/>
      </c>
      <c r="Y40">
        <f>HYPERLINK("https://klasma.github.io/Logging_0883/kartor_geotiff/A 31431-2024 georefererad karta.tif", "A 31431-2024")</f>
        <v/>
      </c>
      <c r="AA40">
        <f>HYPERLINK("https://klasma.github.io/Logging_0883/klagomål/A 31431-2024 FSC-klagomål.docx", "A 31431-2024")</f>
        <v/>
      </c>
      <c r="AB40">
        <f>HYPERLINK("https://klasma.github.io/Logging_0883/klagomålsmail/A 31431-2024 FSC-klagomål mail.docx", "A 31431-2024")</f>
        <v/>
      </c>
      <c r="AC40">
        <f>HYPERLINK("https://klasma.github.io/Logging_0883/tillsyn/A 31431-2024 tillsynsbegäran.docx", "A 31431-2024")</f>
        <v/>
      </c>
      <c r="AD40">
        <f>HYPERLINK("https://klasma.github.io/Logging_0883/tillsynsmail/A 31431-2024 tillsynsbegäran mail.docx", "A 31431-2024")</f>
        <v/>
      </c>
    </row>
    <row r="41" ht="15" customHeight="1">
      <c r="A41" t="inlineStr">
        <is>
          <t>A 1773-2025</t>
        </is>
      </c>
      <c r="B41" t="inlineStr">
        <is>
          <t>avverkningsanmälan</t>
        </is>
      </c>
      <c r="C41" t="inlineStr">
        <is>
          <t>Föryngringsavverkning</t>
        </is>
      </c>
      <c r="D41" s="1" t="n">
        <v>45671</v>
      </c>
      <c r="E41" s="1" t="n">
        <v>46323</v>
      </c>
      <c r="F41" t="inlineStr">
        <is>
          <t>KALMAR LÄN</t>
        </is>
      </c>
      <c r="G41" t="inlineStr">
        <is>
          <t>VÄSTERVIK</t>
        </is>
      </c>
      <c r="I41" t="n">
        <v>1.9</v>
      </c>
      <c r="J41" t="n">
        <v>4</v>
      </c>
      <c r="K41" t="n">
        <v>3</v>
      </c>
      <c r="L41" t="n">
        <v>2</v>
      </c>
      <c r="M41" t="n">
        <v>2</v>
      </c>
      <c r="N41" t="n">
        <v>0</v>
      </c>
      <c r="O41" t="n">
        <v>0</v>
      </c>
      <c r="P41" t="n">
        <v>0</v>
      </c>
      <c r="Q41" t="n">
        <v>4</v>
      </c>
      <c r="R41" t="n">
        <v>2</v>
      </c>
      <c r="S41" t="n">
        <v>9</v>
      </c>
      <c r="T41" t="n">
        <v>13</v>
      </c>
      <c r="U41" t="n">
        <v>13</v>
      </c>
      <c r="V41" s="2" t="inlineStr">
        <is>
          <t>Garnlav
Knärot
Talltita
Ullticka
Blåmossa
Granbräken
Grönpyrola
Mattlummer
Kungsfågel</t>
        </is>
      </c>
      <c r="W41">
        <f>HYPERLINK("https://klasma.github.io/Logging_0883/artfynd/A 1773-2025 artfynd.xlsx", "A 1773-2025")</f>
        <v/>
      </c>
      <c r="X41">
        <f>HYPERLINK("https://klasma.github.io/Logging_0883/kartor/A 1773-2025 karta.png", "A 1773-2025")</f>
        <v/>
      </c>
      <c r="Y41">
        <f>HYPERLINK("https://klasma.github.io/Logging_0883/kartor_geotiff/A 1773-2025 georefererad karta.tif", "A 1773-2025")</f>
        <v/>
      </c>
      <c r="Z41">
        <f>HYPERLINK("https://klasma.github.io/Logging_0883/knärot/A 1773-2025 karta knärot.png", "A 1773-2025")</f>
        <v/>
      </c>
      <c r="AA41">
        <f>HYPERLINK("https://klasma.github.io/Logging_0883/klagomål/A 1773-2025 FSC-klagomål.docx", "A 1773-2025")</f>
        <v/>
      </c>
      <c r="AB41">
        <f>HYPERLINK("https://klasma.github.io/Logging_0883/klagomålsmail/A 1773-2025 FSC-klagomål mail.docx", "A 1773-2025")</f>
        <v/>
      </c>
      <c r="AC41">
        <f>HYPERLINK("https://klasma.github.io/Logging_0883/tillsyn/A 1773-2025 tillsynsbegäran.docx", "A 1773-2025")</f>
        <v/>
      </c>
      <c r="AD41">
        <f>HYPERLINK("https://klasma.github.io/Logging_0883/tillsynsmail/A 1773-2025 tillsynsbegäran mail.docx", "A 1773-2025")</f>
        <v/>
      </c>
      <c r="AE41">
        <f>HYPERLINK("https://klasma.github.io/Logging_0883/fåglar/A 1773-2025 prioriterade fågelarter.docx", "A 1773-2025")</f>
        <v/>
      </c>
    </row>
    <row r="42" ht="15" customHeight="1">
      <c r="A42" t="inlineStr">
        <is>
          <t>A 27067-2024</t>
        </is>
      </c>
      <c r="B42" t="inlineStr">
        <is>
          <t>avverkningsanmälan</t>
        </is>
      </c>
      <c r="C42" t="inlineStr">
        <is>
          <t>Föryngringsavverkning</t>
        </is>
      </c>
      <c r="D42" s="1" t="n">
        <v>45471</v>
      </c>
      <c r="E42" s="1" t="n">
        <v>46323</v>
      </c>
      <c r="F42" t="inlineStr">
        <is>
          <t>KALMAR LÄN</t>
        </is>
      </c>
      <c r="G42" t="inlineStr">
        <is>
          <t>VÄSTERVIK</t>
        </is>
      </c>
      <c r="H42" t="inlineStr">
        <is>
          <t>Holmen skog AB</t>
        </is>
      </c>
      <c r="I42" t="n">
        <v>8.4</v>
      </c>
      <c r="J42" t="n">
        <v>5</v>
      </c>
      <c r="K42" t="n">
        <v>1</v>
      </c>
      <c r="L42" t="n">
        <v>6</v>
      </c>
      <c r="M42" t="n">
        <v>0</v>
      </c>
      <c r="N42" t="n">
        <v>0</v>
      </c>
      <c r="O42" t="n">
        <v>0</v>
      </c>
      <c r="P42" t="n">
        <v>0</v>
      </c>
      <c r="Q42" t="n">
        <v>6</v>
      </c>
      <c r="R42" t="n">
        <v>0</v>
      </c>
      <c r="S42" t="n">
        <v>9</v>
      </c>
      <c r="T42" t="n">
        <v>23</v>
      </c>
      <c r="U42" t="n">
        <v>23</v>
      </c>
      <c r="V42" s="2" t="inlineStr">
        <is>
          <t>Ekticka
Mindre hackspett
Nötkråka
Rutskinn
Svartvit taggsvamp
Talltita
Blompraktbagge
Spillkråka
Tofsmes</t>
        </is>
      </c>
      <c r="W42">
        <f>HYPERLINK("https://klasma.github.io/Logging_0883/artfynd/A 27067-2024 artfynd.xlsx", "A 27067-2024")</f>
        <v/>
      </c>
      <c r="X42">
        <f>HYPERLINK("https://klasma.github.io/Logging_0883/kartor/A 27067-2024 karta.png", "A 27067-2024")</f>
        <v/>
      </c>
      <c r="Y42">
        <f>HYPERLINK("https://klasma.github.io/Logging_0883/kartor_geotiff/A 27067-2024 georefererad karta.tif", "A 27067-2024")</f>
        <v/>
      </c>
      <c r="AA42">
        <f>HYPERLINK("https://klasma.github.io/Logging_0883/klagomål/A 27067-2024 FSC-klagomål.docx", "A 27067-2024")</f>
        <v/>
      </c>
      <c r="AB42">
        <f>HYPERLINK("https://klasma.github.io/Logging_0883/klagomålsmail/A 27067-2024 FSC-klagomål mail.docx", "A 27067-2024")</f>
        <v/>
      </c>
      <c r="AC42">
        <f>HYPERLINK("https://klasma.github.io/Logging_0883/tillsyn/A 27067-2024 tillsynsbegäran.docx", "A 27067-2024")</f>
        <v/>
      </c>
      <c r="AD42">
        <f>HYPERLINK("https://klasma.github.io/Logging_0883/tillsynsmail/A 27067-2024 tillsynsbegäran mail.docx", "A 27067-2024")</f>
        <v/>
      </c>
      <c r="AE42">
        <f>HYPERLINK("https://klasma.github.io/Logging_0883/fåglar/A 27067-2024 prioriterade fågelarter.docx", "A 27067-2024")</f>
        <v/>
      </c>
    </row>
    <row r="43" ht="15" customHeight="1">
      <c r="A43" t="inlineStr">
        <is>
          <t>A 14039-2026</t>
        </is>
      </c>
      <c r="B43" t="inlineStr">
        <is>
          <t>avverkningsanmälan</t>
        </is>
      </c>
      <c r="C43" t="inlineStr">
        <is>
          <t>Föryngringsavverkning</t>
        </is>
      </c>
      <c r="D43" s="1" t="n">
        <v>46098</v>
      </c>
      <c r="E43" s="1" t="n">
        <v>46323</v>
      </c>
      <c r="F43" t="inlineStr">
        <is>
          <t>KALMAR LÄN</t>
        </is>
      </c>
      <c r="G43" t="inlineStr">
        <is>
          <t>VÄSTERVIK</t>
        </is>
      </c>
      <c r="H43" t="inlineStr">
        <is>
          <t>Holmen skog AB</t>
        </is>
      </c>
      <c r="I43" t="n">
        <v>2.3</v>
      </c>
      <c r="J43" t="n">
        <v>7</v>
      </c>
      <c r="K43" t="n">
        <v>2</v>
      </c>
      <c r="L43" t="n">
        <v>3</v>
      </c>
      <c r="M43" t="n">
        <v>1</v>
      </c>
      <c r="N43" t="n">
        <v>0</v>
      </c>
      <c r="O43" t="n">
        <v>0</v>
      </c>
      <c r="P43" t="n">
        <v>0</v>
      </c>
      <c r="Q43" t="n">
        <v>4</v>
      </c>
      <c r="R43" t="n">
        <v>1</v>
      </c>
      <c r="S43" t="n">
        <v>9</v>
      </c>
      <c r="T43" t="n">
        <v>11</v>
      </c>
      <c r="U43" t="n">
        <v>11</v>
      </c>
      <c r="V43" s="2" t="inlineStr">
        <is>
          <t>Knärot
Duvhök
Entita
Mindre hackspett
Blodticka
Rävticka
Blåsippa
Grönsiska
Kungsfågel</t>
        </is>
      </c>
      <c r="W43">
        <f>HYPERLINK("https://klasma.github.io/Logging_0883/artfynd/A 14039-2026 artfynd.xlsx", "A 14039-2026")</f>
        <v/>
      </c>
      <c r="X43">
        <f>HYPERLINK("https://klasma.github.io/Logging_0883/kartor/A 14039-2026 karta.png", "A 14039-2026")</f>
        <v/>
      </c>
      <c r="Y43">
        <f>HYPERLINK("https://klasma.github.io/Logging_0883/kartor_geotiff/A 14039-2026 georefererad karta.tif", "A 14039-2026")</f>
        <v/>
      </c>
      <c r="Z43">
        <f>HYPERLINK("https://klasma.github.io/Logging_0883/knärot/A 14039-2026 karta knärot.png", "A 14039-2026")</f>
        <v/>
      </c>
      <c r="AA43">
        <f>HYPERLINK("https://klasma.github.io/Logging_0883/klagomål/A 14039-2026 FSC-klagomål.docx", "A 14039-2026")</f>
        <v/>
      </c>
      <c r="AB43">
        <f>HYPERLINK("https://klasma.github.io/Logging_0883/klagomålsmail/A 14039-2026 FSC-klagomål mail.docx", "A 14039-2026")</f>
        <v/>
      </c>
      <c r="AC43">
        <f>HYPERLINK("https://klasma.github.io/Logging_0883/tillsyn/A 14039-2026 tillsynsbegäran.docx", "A 14039-2026")</f>
        <v/>
      </c>
      <c r="AD43">
        <f>HYPERLINK("https://klasma.github.io/Logging_0883/tillsynsmail/A 14039-2026 tillsynsbegäran mail.docx", "A 14039-2026")</f>
        <v/>
      </c>
      <c r="AE43">
        <f>HYPERLINK("https://klasma.github.io/Logging_0883/fåglar/A 14039-2026 prioriterade fågelarter.docx", "A 14039-2026")</f>
        <v/>
      </c>
    </row>
    <row r="44" ht="15" customHeight="1">
      <c r="A44" t="inlineStr">
        <is>
          <t>A 56370-2025</t>
        </is>
      </c>
      <c r="B44" t="inlineStr">
        <is>
          <t>avverkningsanmälan</t>
        </is>
      </c>
      <c r="C44" t="inlineStr">
        <is>
          <t>Föryngringsavverkning</t>
        </is>
      </c>
      <c r="D44" s="1" t="n">
        <v>45974</v>
      </c>
      <c r="E44" s="1" t="n">
        <v>46323</v>
      </c>
      <c r="F44" t="inlineStr">
        <is>
          <t>KALMAR LÄN</t>
        </is>
      </c>
      <c r="G44" t="inlineStr">
        <is>
          <t>VÄSTERVIK</t>
        </is>
      </c>
      <c r="H44" t="inlineStr">
        <is>
          <t>Holmen skog AB</t>
        </is>
      </c>
      <c r="I44" t="n">
        <v>5.2</v>
      </c>
      <c r="J44" t="n">
        <v>3</v>
      </c>
      <c r="K44" t="n">
        <v>4</v>
      </c>
      <c r="L44" t="n">
        <v>3</v>
      </c>
      <c r="M44" t="n">
        <v>1</v>
      </c>
      <c r="N44" t="n">
        <v>0</v>
      </c>
      <c r="O44" t="n">
        <v>0</v>
      </c>
      <c r="P44" t="n">
        <v>0</v>
      </c>
      <c r="Q44" t="n">
        <v>4</v>
      </c>
      <c r="R44" t="n">
        <v>1</v>
      </c>
      <c r="S44" t="n">
        <v>9</v>
      </c>
      <c r="T44" t="n">
        <v>22</v>
      </c>
      <c r="U44" t="n">
        <v>22</v>
      </c>
      <c r="V44" s="2" t="inlineStr">
        <is>
          <t>Knärot
Dropptaggsvamp
Kandelabersvamp
Talltita
Blomkålssvamp
Grönpyrola
Murgröna
Rävticka
Spillkråka</t>
        </is>
      </c>
      <c r="W44">
        <f>HYPERLINK("https://klasma.github.io/Logging_0883/artfynd/A 56370-2025 artfynd.xlsx", "A 56370-2025")</f>
        <v/>
      </c>
      <c r="X44">
        <f>HYPERLINK("https://klasma.github.io/Logging_0883/kartor/A 56370-2025 karta.png", "A 56370-2025")</f>
        <v/>
      </c>
      <c r="Y44">
        <f>HYPERLINK("https://klasma.github.io/Logging_0883/kartor_geotiff/A 56370-2025 georefererad karta.tif", "A 56370-2025")</f>
        <v/>
      </c>
      <c r="Z44">
        <f>HYPERLINK("https://klasma.github.io/Logging_0883/knärot/A 56370-2025 karta knärot.png", "A 56370-2025")</f>
        <v/>
      </c>
      <c r="AA44">
        <f>HYPERLINK("https://klasma.github.io/Logging_0883/klagomål/A 56370-2025 FSC-klagomål.docx", "A 56370-2025")</f>
        <v/>
      </c>
      <c r="AB44">
        <f>HYPERLINK("https://klasma.github.io/Logging_0883/klagomålsmail/A 56370-2025 FSC-klagomål mail.docx", "A 56370-2025")</f>
        <v/>
      </c>
      <c r="AC44">
        <f>HYPERLINK("https://klasma.github.io/Logging_0883/tillsyn/A 56370-2025 tillsynsbegäran.docx", "A 56370-2025")</f>
        <v/>
      </c>
      <c r="AD44">
        <f>HYPERLINK("https://klasma.github.io/Logging_0883/tillsynsmail/A 56370-2025 tillsynsbegäran mail.docx", "A 56370-2025")</f>
        <v/>
      </c>
      <c r="AE44">
        <f>HYPERLINK("https://klasma.github.io/Logging_0883/fåglar/A 56370-2025 prioriterade fågelarter.docx", "A 56370-2025")</f>
        <v/>
      </c>
    </row>
    <row r="45" ht="15" customHeight="1">
      <c r="A45" t="inlineStr">
        <is>
          <t>A 42888-2025</t>
        </is>
      </c>
      <c r="B45" t="inlineStr">
        <is>
          <t>avverkningsanmälan</t>
        </is>
      </c>
      <c r="C45" t="inlineStr">
        <is>
          <t>Föryngringsavverkning</t>
        </is>
      </c>
      <c r="D45" s="1" t="n">
        <v>45908</v>
      </c>
      <c r="E45" s="1" t="n">
        <v>46323</v>
      </c>
      <c r="F45" t="inlineStr">
        <is>
          <t>KALMAR LÄN</t>
        </is>
      </c>
      <c r="G45" t="inlineStr">
        <is>
          <t>VÄSTERVIK</t>
        </is>
      </c>
      <c r="H45" t="inlineStr">
        <is>
          <t>Holmen skog AB</t>
        </is>
      </c>
      <c r="I45" t="n">
        <v>4.2</v>
      </c>
      <c r="J45" t="n">
        <v>3</v>
      </c>
      <c r="K45" t="n">
        <v>3</v>
      </c>
      <c r="L45" t="n">
        <v>3</v>
      </c>
      <c r="M45" t="n">
        <v>1</v>
      </c>
      <c r="N45" t="n">
        <v>0</v>
      </c>
      <c r="O45" t="n">
        <v>0</v>
      </c>
      <c r="P45" t="n">
        <v>0</v>
      </c>
      <c r="Q45" t="n">
        <v>4</v>
      </c>
      <c r="R45" t="n">
        <v>1</v>
      </c>
      <c r="S45" t="n">
        <v>9</v>
      </c>
      <c r="T45" t="n">
        <v>19</v>
      </c>
      <c r="U45" t="n">
        <v>19</v>
      </c>
      <c r="V45" s="2" t="inlineStr">
        <is>
          <t>Knärot
Ekticka
Tallticka
Ullticka
Bronshjon
Grön sköldmossa
Vågbandad barkbock
Blåsippa
Krushättemossa</t>
        </is>
      </c>
      <c r="W45">
        <f>HYPERLINK("https://klasma.github.io/Logging_0883/artfynd/A 42888-2025 artfynd.xlsx", "A 42888-2025")</f>
        <v/>
      </c>
      <c r="X45">
        <f>HYPERLINK("https://klasma.github.io/Logging_0883/kartor/A 42888-2025 karta.png", "A 42888-2025")</f>
        <v/>
      </c>
      <c r="Y45">
        <f>HYPERLINK("https://klasma.github.io/Logging_0883/kartor_geotiff/A 42888-2025 georefererad karta.tif", "A 42888-2025")</f>
        <v/>
      </c>
      <c r="Z45">
        <f>HYPERLINK("https://klasma.github.io/Logging_0883/knärot/A 42888-2025 karta knärot.png", "A 42888-2025")</f>
        <v/>
      </c>
      <c r="AA45">
        <f>HYPERLINK("https://klasma.github.io/Logging_0883/klagomål/A 42888-2025 FSC-klagomål.docx", "A 42888-2025")</f>
        <v/>
      </c>
      <c r="AB45">
        <f>HYPERLINK("https://klasma.github.io/Logging_0883/klagomålsmail/A 42888-2025 FSC-klagomål mail.docx", "A 42888-2025")</f>
        <v/>
      </c>
      <c r="AC45">
        <f>HYPERLINK("https://klasma.github.io/Logging_0883/tillsyn/A 42888-2025 tillsynsbegäran.docx", "A 42888-2025")</f>
        <v/>
      </c>
      <c r="AD45">
        <f>HYPERLINK("https://klasma.github.io/Logging_0883/tillsynsmail/A 42888-2025 tillsynsbegäran mail.docx", "A 42888-2025")</f>
        <v/>
      </c>
    </row>
    <row r="46" ht="15" customHeight="1">
      <c r="A46" t="inlineStr">
        <is>
          <t>A 35134-2024</t>
        </is>
      </c>
      <c r="B46" t="inlineStr">
        <is>
          <t>avverkningsanmälan</t>
        </is>
      </c>
      <c r="C46" t="inlineStr">
        <is>
          <t>Föryngringsavverkning</t>
        </is>
      </c>
      <c r="D46" s="1" t="n">
        <v>45530</v>
      </c>
      <c r="E46" s="1" t="n">
        <v>46323</v>
      </c>
      <c r="F46" t="inlineStr">
        <is>
          <t>KALMAR LÄN</t>
        </is>
      </c>
      <c r="G46" t="inlineStr">
        <is>
          <t>VÄSTERVIK</t>
        </is>
      </c>
      <c r="I46" t="n">
        <v>1.9</v>
      </c>
      <c r="J46" t="n">
        <v>4</v>
      </c>
      <c r="K46" t="n">
        <v>4</v>
      </c>
      <c r="L46" t="n">
        <v>3</v>
      </c>
      <c r="M46" t="n">
        <v>1</v>
      </c>
      <c r="N46" t="n">
        <v>0</v>
      </c>
      <c r="O46" t="n">
        <v>0</v>
      </c>
      <c r="P46" t="n">
        <v>0</v>
      </c>
      <c r="Q46" t="n">
        <v>4</v>
      </c>
      <c r="R46" t="n">
        <v>1</v>
      </c>
      <c r="S46" t="n">
        <v>9</v>
      </c>
      <c r="T46" t="n">
        <v>18</v>
      </c>
      <c r="U46" t="n">
        <v>16</v>
      </c>
      <c r="V46" s="2" t="inlineStr">
        <is>
          <t>Knärot
Dropptaggsvamp
Entita
Orange taggsvamp
Blomkålssvamp
Grönpyrola
Murgröna
Purpurknipprot
Spillkråka</t>
        </is>
      </c>
      <c r="W46">
        <f>HYPERLINK("https://klasma.github.io/Logging_0883/artfynd/A 35134-2024 artfynd.xlsx", "A 35134-2024")</f>
        <v/>
      </c>
      <c r="X46">
        <f>HYPERLINK("https://klasma.github.io/Logging_0883/kartor/A 35134-2024 karta.png", "A 35134-2024")</f>
        <v/>
      </c>
      <c r="Y46">
        <f>HYPERLINK("https://klasma.github.io/Logging_0883/kartor_geotiff/A 35134-2024 georefererad karta.tif", "A 35134-2024")</f>
        <v/>
      </c>
      <c r="Z46">
        <f>HYPERLINK("https://klasma.github.io/Logging_0883/knärot/A 35134-2024 karta knärot.png", "A 35134-2024")</f>
        <v/>
      </c>
      <c r="AA46">
        <f>HYPERLINK("https://klasma.github.io/Logging_0883/klagomål/A 35134-2024 FSC-klagomål.docx", "A 35134-2024")</f>
        <v/>
      </c>
      <c r="AB46">
        <f>HYPERLINK("https://klasma.github.io/Logging_0883/klagomålsmail/A 35134-2024 FSC-klagomål mail.docx", "A 35134-2024")</f>
        <v/>
      </c>
      <c r="AC46">
        <f>HYPERLINK("https://klasma.github.io/Logging_0883/tillsyn/A 35134-2024 tillsynsbegäran.docx", "A 35134-2024")</f>
        <v/>
      </c>
      <c r="AD46">
        <f>HYPERLINK("https://klasma.github.io/Logging_0883/tillsynsmail/A 35134-2024 tillsynsbegäran mail.docx", "A 35134-2024")</f>
        <v/>
      </c>
      <c r="AE46">
        <f>HYPERLINK("https://klasma.github.io/Logging_0883/fåglar/A 35134-2024 prioriterade fågelarter.docx", "A 35134-2024")</f>
        <v/>
      </c>
    </row>
    <row r="47" ht="15" customHeight="1">
      <c r="A47" t="inlineStr">
        <is>
          <t>A 56001-2025</t>
        </is>
      </c>
      <c r="B47" t="inlineStr">
        <is>
          <t>avverkningsanmälan</t>
        </is>
      </c>
      <c r="C47" t="inlineStr">
        <is>
          <t>Föryngringsavverkning</t>
        </is>
      </c>
      <c r="D47" s="1" t="n">
        <v>45973</v>
      </c>
      <c r="E47" s="1" t="n">
        <v>46323</v>
      </c>
      <c r="F47" t="inlineStr">
        <is>
          <t>KALMAR LÄN</t>
        </is>
      </c>
      <c r="G47" t="inlineStr">
        <is>
          <t>VÄSTERVIK</t>
        </is>
      </c>
      <c r="I47" t="n">
        <v>2.7</v>
      </c>
      <c r="J47" t="n">
        <v>6</v>
      </c>
      <c r="K47" t="n">
        <v>2</v>
      </c>
      <c r="L47" t="n">
        <v>3</v>
      </c>
      <c r="M47" t="n">
        <v>1</v>
      </c>
      <c r="N47" t="n">
        <v>0</v>
      </c>
      <c r="O47" t="n">
        <v>0</v>
      </c>
      <c r="P47" t="n">
        <v>0</v>
      </c>
      <c r="Q47" t="n">
        <v>4</v>
      </c>
      <c r="R47" t="n">
        <v>1</v>
      </c>
      <c r="S47" t="n">
        <v>9</v>
      </c>
      <c r="T47" t="n">
        <v>9</v>
      </c>
      <c r="U47" t="n">
        <v>8</v>
      </c>
      <c r="V47" s="2" t="inlineStr">
        <is>
          <t>Knärot
Mindre hackspett
Talltita
Vedskivlav
Blåmossa
Grönpyrola
Spillkråka
Tjäder
Gullviva</t>
        </is>
      </c>
      <c r="W47">
        <f>HYPERLINK("https://klasma.github.io/Logging_0883/artfynd/A 56001-2025 artfynd.xlsx", "A 56001-2025")</f>
        <v/>
      </c>
      <c r="X47">
        <f>HYPERLINK("https://klasma.github.io/Logging_0883/kartor/A 56001-2025 karta.png", "A 56001-2025")</f>
        <v/>
      </c>
      <c r="Y47">
        <f>HYPERLINK("https://klasma.github.io/Logging_0883/kartor_geotiff/A 56001-2025 georefererad karta.tif", "A 56001-2025")</f>
        <v/>
      </c>
      <c r="Z47">
        <f>HYPERLINK("https://klasma.github.io/Logging_0883/knärot/A 56001-2025 karta knärot.png", "A 56001-2025")</f>
        <v/>
      </c>
      <c r="AA47">
        <f>HYPERLINK("https://klasma.github.io/Logging_0883/klagomål/A 56001-2025 FSC-klagomål.docx", "A 56001-2025")</f>
        <v/>
      </c>
      <c r="AB47">
        <f>HYPERLINK("https://klasma.github.io/Logging_0883/klagomålsmail/A 56001-2025 FSC-klagomål mail.docx", "A 56001-2025")</f>
        <v/>
      </c>
      <c r="AC47">
        <f>HYPERLINK("https://klasma.github.io/Logging_0883/tillsyn/A 56001-2025 tillsynsbegäran.docx", "A 56001-2025")</f>
        <v/>
      </c>
      <c r="AD47">
        <f>HYPERLINK("https://klasma.github.io/Logging_0883/tillsynsmail/A 56001-2025 tillsynsbegäran mail.docx", "A 56001-2025")</f>
        <v/>
      </c>
      <c r="AE47">
        <f>HYPERLINK("https://klasma.github.io/Logging_0883/fåglar/A 56001-2025 prioriterade fågelarter.docx", "A 56001-2025")</f>
        <v/>
      </c>
    </row>
    <row r="48" ht="15" customHeight="1">
      <c r="A48" t="inlineStr">
        <is>
          <t>S 1516-2023</t>
        </is>
      </c>
      <c r="B48" t="inlineStr">
        <is>
          <t>samrådsanmälan</t>
        </is>
      </c>
      <c r="C48" t="inlineStr">
        <is>
          <t>Annan skogsbruksåtgärd</t>
        </is>
      </c>
      <c r="D48" s="1" t="n">
        <v>45055</v>
      </c>
      <c r="E48" s="1" t="n">
        <v>46323</v>
      </c>
      <c r="F48" t="inlineStr">
        <is>
          <t>KALMAR LÄN</t>
        </is>
      </c>
      <c r="G48" t="inlineStr">
        <is>
          <t>VÄSTERVIK</t>
        </is>
      </c>
      <c r="H48" t="inlineStr">
        <is>
          <t>Kommuner</t>
        </is>
      </c>
      <c r="I48" t="n">
        <v>4.1</v>
      </c>
      <c r="J48" t="n">
        <v>3</v>
      </c>
      <c r="K48" t="n">
        <v>1</v>
      </c>
      <c r="L48" t="n">
        <v>4</v>
      </c>
      <c r="M48" t="n">
        <v>0</v>
      </c>
      <c r="N48" t="n">
        <v>1</v>
      </c>
      <c r="O48" t="n">
        <v>1</v>
      </c>
      <c r="P48" t="n">
        <v>0</v>
      </c>
      <c r="Q48" t="n">
        <v>6</v>
      </c>
      <c r="R48" t="n">
        <v>2</v>
      </c>
      <c r="S48" t="n">
        <v>9</v>
      </c>
      <c r="T48" t="n">
        <v>15</v>
      </c>
      <c r="U48" t="n">
        <v>1</v>
      </c>
      <c r="V48" s="2" t="inlineStr">
        <is>
          <t>Naverlönn
Ask
Adam och eva
Lamellsnäcka
Myskmåra
Tallticka
Guldlockmossa
Blåsippa
Gullviva</t>
        </is>
      </c>
      <c r="W48">
        <f>HYPERLINK("https://klasma.github.io/Logging_0883/artfynd/S 1516-2023 artfynd.xlsx", "S 1516-2023")</f>
        <v/>
      </c>
      <c r="X48">
        <f>HYPERLINK("https://klasma.github.io/Logging_0883/kartor/S 1516-2023 karta.png", "S 1516-2023")</f>
        <v/>
      </c>
      <c r="Y48">
        <f>HYPERLINK("https://klasma.github.io/Logging_0883/kartor_geotiff/S 1516-2023 georefererad karta.tif", "S 1516-2023")</f>
        <v/>
      </c>
      <c r="AA48">
        <f>HYPERLINK("https://klasma.github.io/Logging_0883/klagomål/S 1516-2023 FSC-klagomål.docx", "S 1516-2023")</f>
        <v/>
      </c>
      <c r="AB48">
        <f>HYPERLINK("https://klasma.github.io/Logging_0883/klagomålsmail/S 1516-2023 FSC-klagomål mail.docx", "S 1516-2023")</f>
        <v/>
      </c>
      <c r="AC48">
        <f>HYPERLINK("https://klasma.github.io/Logging_0883/tillsyn/S 1516-2023 tillsynsbegäran.docx", "S 1516-2023")</f>
        <v/>
      </c>
      <c r="AD48">
        <f>HYPERLINK("https://klasma.github.io/Logging_0883/tillsynsmail/S 1516-2023 tillsynsbegäran mail.docx", "S 1516-2023")</f>
        <v/>
      </c>
    </row>
    <row r="49" ht="15" customHeight="1">
      <c r="A49" t="inlineStr">
        <is>
          <t>S 2933-2024</t>
        </is>
      </c>
      <c r="B49" t="inlineStr">
        <is>
          <t>samrådsanmälan</t>
        </is>
      </c>
      <c r="C49" t="inlineStr">
        <is>
          <t>Annan skogsbruksåtgärd</t>
        </is>
      </c>
      <c r="D49" s="1" t="n">
        <v>45505</v>
      </c>
      <c r="E49" s="1" t="n">
        <v>46323</v>
      </c>
      <c r="F49" t="inlineStr">
        <is>
          <t>KALMAR LÄN</t>
        </is>
      </c>
      <c r="G49" t="inlineStr">
        <is>
          <t>VÄSTERVIK</t>
        </is>
      </c>
      <c r="I49" t="n">
        <v>1.3</v>
      </c>
      <c r="J49" t="n">
        <v>0</v>
      </c>
      <c r="K49" t="n">
        <v>6</v>
      </c>
      <c r="L49" t="n">
        <v>2</v>
      </c>
      <c r="M49" t="n">
        <v>0</v>
      </c>
      <c r="N49" t="n">
        <v>1</v>
      </c>
      <c r="O49" t="n">
        <v>0</v>
      </c>
      <c r="P49" t="n">
        <v>0</v>
      </c>
      <c r="Q49" t="n">
        <v>3</v>
      </c>
      <c r="R49" t="n">
        <v>1</v>
      </c>
      <c r="S49" t="n">
        <v>9</v>
      </c>
      <c r="T49" t="n">
        <v>16</v>
      </c>
      <c r="U49" t="n">
        <v>1</v>
      </c>
      <c r="V49" s="2" t="inlineStr">
        <is>
          <t>Skogsalm
Ekticka
Skeppsvarvsfluga
Fällmossa
Guldlockmossa
Gulpudrad spiklav
Myskmadra
Rostfläck
Trädporella</t>
        </is>
      </c>
      <c r="W49">
        <f>HYPERLINK("https://klasma.github.io/Logging_0883/artfynd/S 2933-2024 artfynd.xlsx", "S 2933-2024")</f>
        <v/>
      </c>
      <c r="X49">
        <f>HYPERLINK("https://klasma.github.io/Logging_0883/kartor/S 2933-2024 karta.png", "S 2933-2024")</f>
        <v/>
      </c>
      <c r="Y49">
        <f>HYPERLINK("https://klasma.github.io/Logging_0883/kartor_geotiff/S 2933-2024 georefererad karta.tif", "S 2933-2024")</f>
        <v/>
      </c>
      <c r="AA49">
        <f>HYPERLINK("https://klasma.github.io/Logging_0883/klagomål/S 2933-2024 FSC-klagomål.docx", "S 2933-2024")</f>
        <v/>
      </c>
      <c r="AB49">
        <f>HYPERLINK("https://klasma.github.io/Logging_0883/klagomålsmail/S 2933-2024 FSC-klagomål mail.docx", "S 2933-2024")</f>
        <v/>
      </c>
      <c r="AC49">
        <f>HYPERLINK("https://klasma.github.io/Logging_0883/tillsyn/S 2933-2024 tillsynsbegäran.docx", "S 2933-2024")</f>
        <v/>
      </c>
      <c r="AD49">
        <f>HYPERLINK("https://klasma.github.io/Logging_0883/tillsynsmail/S 2933-2024 tillsynsbegäran mail.docx", "S 2933-2024")</f>
        <v/>
      </c>
    </row>
    <row r="50" ht="15" customHeight="1">
      <c r="A50" t="inlineStr">
        <is>
          <t>S 2229-2026</t>
        </is>
      </c>
      <c r="B50" t="inlineStr">
        <is>
          <t>samrådsanmälan</t>
        </is>
      </c>
      <c r="C50" t="inlineStr">
        <is>
          <t>Annan skogsbruksåtgärd</t>
        </is>
      </c>
      <c r="D50" s="1" t="n">
        <v>46259</v>
      </c>
      <c r="E50" s="1" t="n">
        <v>46323</v>
      </c>
      <c r="F50" t="inlineStr">
        <is>
          <t>KALMAR LÄN</t>
        </is>
      </c>
      <c r="G50" t="inlineStr">
        <is>
          <t>VÄSTERVIK</t>
        </is>
      </c>
      <c r="H50" t="inlineStr">
        <is>
          <t>Kommuner</t>
        </is>
      </c>
      <c r="I50" t="n">
        <v>4.9</v>
      </c>
      <c r="J50" t="n">
        <v>1</v>
      </c>
      <c r="K50" t="n">
        <v>3</v>
      </c>
      <c r="L50" t="n">
        <v>5</v>
      </c>
      <c r="M50" t="n">
        <v>0</v>
      </c>
      <c r="N50" t="n">
        <v>0</v>
      </c>
      <c r="O50" t="n">
        <v>0</v>
      </c>
      <c r="P50" t="n">
        <v>0</v>
      </c>
      <c r="Q50" t="n">
        <v>5</v>
      </c>
      <c r="R50" t="n">
        <v>0</v>
      </c>
      <c r="S50" t="n">
        <v>9</v>
      </c>
      <c r="T50" t="n">
        <v>13</v>
      </c>
      <c r="U50" t="n">
        <v>10</v>
      </c>
      <c r="V50" s="2" t="inlineStr">
        <is>
          <t>Blekticka
Ekticka
Korallticka
Rosa skärelav
Skuggorangelav
Blomskägglav
Toppvaxing
Vitvaxing agg.
Grönvit nattviol</t>
        </is>
      </c>
      <c r="W50">
        <f>HYPERLINK("https://klasma.github.io/Logging_0883/artfynd/S 2229-2026 artfynd.xlsx", "S 2229-2026")</f>
        <v/>
      </c>
      <c r="X50">
        <f>HYPERLINK("https://klasma.github.io/Logging_0883/kartor/S 2229-2026 karta.png", "S 2229-2026")</f>
        <v/>
      </c>
      <c r="Y50">
        <f>HYPERLINK("https://klasma.github.io/Logging_0883/kartor_geotiff/S 2229-2026 georefererad karta.tif", "S 2229-2026")</f>
        <v/>
      </c>
      <c r="AA50">
        <f>HYPERLINK("https://klasma.github.io/Logging_0883/klagomål/S 2229-2026 FSC-klagomål.docx", "S 2229-2026")</f>
        <v/>
      </c>
      <c r="AB50">
        <f>HYPERLINK("https://klasma.github.io/Logging_0883/klagomålsmail/S 2229-2026 FSC-klagomål mail.docx", "S 2229-2026")</f>
        <v/>
      </c>
      <c r="AC50">
        <f>HYPERLINK("https://klasma.github.io/Logging_0883/tillsyn/S 2229-2026 tillsynsbegäran.docx", "S 2229-2026")</f>
        <v/>
      </c>
      <c r="AD50">
        <f>HYPERLINK("https://klasma.github.io/Logging_0883/tillsynsmail/S 2229-2026 tillsynsbegäran mail.docx", "S 2229-2026")</f>
        <v/>
      </c>
    </row>
    <row r="51" ht="15" customHeight="1">
      <c r="A51" t="inlineStr">
        <is>
          <t>A 60996-2021</t>
        </is>
      </c>
      <c r="B51" t="inlineStr">
        <is>
          <t>avverkningsanmälan</t>
        </is>
      </c>
      <c r="C51" t="inlineStr">
        <is>
          <t>Föryngringsavverkning</t>
        </is>
      </c>
      <c r="D51" s="1" t="n">
        <v>44497</v>
      </c>
      <c r="E51" s="1" t="n">
        <v>46323</v>
      </c>
      <c r="F51" t="inlineStr">
        <is>
          <t>KALMAR LÄN</t>
        </is>
      </c>
      <c r="G51" t="inlineStr">
        <is>
          <t>VÄSTERVIK</t>
        </is>
      </c>
      <c r="H51" t="inlineStr">
        <is>
          <t>Kyrkan</t>
        </is>
      </c>
      <c r="I51" t="n">
        <v>7.2</v>
      </c>
      <c r="J51" t="n">
        <v>3</v>
      </c>
      <c r="K51" t="n">
        <v>2</v>
      </c>
      <c r="L51" t="n">
        <v>4</v>
      </c>
      <c r="M51" t="n">
        <v>1</v>
      </c>
      <c r="N51" t="n">
        <v>0</v>
      </c>
      <c r="O51" t="n">
        <v>0</v>
      </c>
      <c r="P51" t="n">
        <v>0</v>
      </c>
      <c r="Q51" t="n">
        <v>5</v>
      </c>
      <c r="R51" t="n">
        <v>1</v>
      </c>
      <c r="S51" t="n">
        <v>8</v>
      </c>
      <c r="T51" t="n">
        <v>16</v>
      </c>
      <c r="U51" t="n">
        <v>10</v>
      </c>
      <c r="V51" s="2" t="inlineStr">
        <is>
          <t>Knärot
Jungfrulin
Tallticka
Talltita
Vedtrappmossa
Grönpyrola
Platt fjädermossa
Revlummer</t>
        </is>
      </c>
      <c r="W51">
        <f>HYPERLINK("https://klasma.github.io/Logging_0883/artfynd/A 60996-2021 artfynd.xlsx", "A 60996-2021")</f>
        <v/>
      </c>
      <c r="X51">
        <f>HYPERLINK("https://klasma.github.io/Logging_0883/kartor/A 60996-2021 karta.png", "A 60996-2021")</f>
        <v/>
      </c>
      <c r="Y51">
        <f>HYPERLINK("https://klasma.github.io/Logging_0883/kartor_geotiff/A 60996-2021 georefererad karta.tif", "A 60996-2021")</f>
        <v/>
      </c>
      <c r="Z51">
        <f>HYPERLINK("https://klasma.github.io/Logging_0883/knärot/A 60996-2021 karta knärot.png", "A 60996-2021")</f>
        <v/>
      </c>
      <c r="AA51">
        <f>HYPERLINK("https://klasma.github.io/Logging_0883/klagomål/A 60996-2021 FSC-klagomål.docx", "A 60996-2021")</f>
        <v/>
      </c>
      <c r="AB51">
        <f>HYPERLINK("https://klasma.github.io/Logging_0883/klagomålsmail/A 60996-2021 FSC-klagomål mail.docx", "A 60996-2021")</f>
        <v/>
      </c>
      <c r="AC51">
        <f>HYPERLINK("https://klasma.github.io/Logging_0883/tillsyn/A 60996-2021 tillsynsbegäran.docx", "A 60996-2021")</f>
        <v/>
      </c>
      <c r="AD51">
        <f>HYPERLINK("https://klasma.github.io/Logging_0883/tillsynsmail/A 60996-2021 tillsynsbegäran mail.docx", "A 60996-2021")</f>
        <v/>
      </c>
      <c r="AE51">
        <f>HYPERLINK("https://klasma.github.io/Logging_0883/fåglar/A 60996-2021 prioriterade fågelarter.docx", "A 60996-2021")</f>
        <v/>
      </c>
    </row>
    <row r="52" ht="15" customHeight="1">
      <c r="A52" t="inlineStr">
        <is>
          <t>A 63850-2021</t>
        </is>
      </c>
      <c r="B52" t="inlineStr">
        <is>
          <t>avverkningsanmälan</t>
        </is>
      </c>
      <c r="C52" t="inlineStr">
        <is>
          <t>Föryngringsavverkning</t>
        </is>
      </c>
      <c r="D52" s="1" t="n">
        <v>44505</v>
      </c>
      <c r="E52" s="1" t="n">
        <v>46323</v>
      </c>
      <c r="F52" t="inlineStr">
        <is>
          <t>KALMAR LÄN</t>
        </is>
      </c>
      <c r="G52" t="inlineStr">
        <is>
          <t>VÄSTERVIK</t>
        </is>
      </c>
      <c r="I52" t="n">
        <v>2.7</v>
      </c>
      <c r="J52" t="n">
        <v>4</v>
      </c>
      <c r="K52" t="n">
        <v>3</v>
      </c>
      <c r="L52" t="n">
        <v>3</v>
      </c>
      <c r="M52" t="n">
        <v>1</v>
      </c>
      <c r="N52" t="n">
        <v>0</v>
      </c>
      <c r="O52" t="n">
        <v>0</v>
      </c>
      <c r="P52" t="n">
        <v>0</v>
      </c>
      <c r="Q52" t="n">
        <v>4</v>
      </c>
      <c r="R52" t="n">
        <v>1</v>
      </c>
      <c r="S52" t="n">
        <v>8</v>
      </c>
      <c r="T52" t="n">
        <v>30</v>
      </c>
      <c r="U52" t="n">
        <v>30</v>
      </c>
      <c r="V52" s="2" t="inlineStr">
        <is>
          <t>Knärot
Tallticka
Talltita
Ullticka
Grovticka
Grön sköldmossa
Grönpyrola
Spillkråka</t>
        </is>
      </c>
      <c r="W52">
        <f>HYPERLINK("https://klasma.github.io/Logging_0883/artfynd/A 63850-2021 artfynd.xlsx", "A 63850-2021")</f>
        <v/>
      </c>
      <c r="X52">
        <f>HYPERLINK("https://klasma.github.io/Logging_0883/kartor/A 63850-2021 karta.png", "A 63850-2021")</f>
        <v/>
      </c>
      <c r="Y52">
        <f>HYPERLINK("https://klasma.github.io/Logging_0883/kartor_geotiff/A 63850-2021 georefererad karta.tif", "A 63850-2021")</f>
        <v/>
      </c>
      <c r="Z52">
        <f>HYPERLINK("https://klasma.github.io/Logging_0883/knärot/A 63850-2021 karta knärot.png", "A 63850-2021")</f>
        <v/>
      </c>
      <c r="AA52">
        <f>HYPERLINK("https://klasma.github.io/Logging_0883/klagomål/A 63850-2021 FSC-klagomål.docx", "A 63850-2021")</f>
        <v/>
      </c>
      <c r="AB52">
        <f>HYPERLINK("https://klasma.github.io/Logging_0883/klagomålsmail/A 63850-2021 FSC-klagomål mail.docx", "A 63850-2021")</f>
        <v/>
      </c>
      <c r="AC52">
        <f>HYPERLINK("https://klasma.github.io/Logging_0883/tillsyn/A 63850-2021 tillsynsbegäran.docx", "A 63850-2021")</f>
        <v/>
      </c>
      <c r="AD52">
        <f>HYPERLINK("https://klasma.github.io/Logging_0883/tillsynsmail/A 63850-2021 tillsynsbegäran mail.docx", "A 63850-2021")</f>
        <v/>
      </c>
      <c r="AE52">
        <f>HYPERLINK("https://klasma.github.io/Logging_0883/fåglar/A 63850-2021 prioriterade fågelarter.docx", "A 63850-2021")</f>
        <v/>
      </c>
    </row>
    <row r="53" ht="15" customHeight="1">
      <c r="A53" t="inlineStr">
        <is>
          <t>A 42900-2025</t>
        </is>
      </c>
      <c r="B53" t="inlineStr">
        <is>
          <t>avverkningsanmälan</t>
        </is>
      </c>
      <c r="C53" t="inlineStr">
        <is>
          <t>Föryngringsavverkning</t>
        </is>
      </c>
      <c r="D53" s="1" t="n">
        <v>45908</v>
      </c>
      <c r="E53" s="1" t="n">
        <v>46323</v>
      </c>
      <c r="F53" t="inlineStr">
        <is>
          <t>KALMAR LÄN</t>
        </is>
      </c>
      <c r="G53" t="inlineStr">
        <is>
          <t>VÄSTERVIK</t>
        </is>
      </c>
      <c r="H53" t="inlineStr">
        <is>
          <t>Holmen skog AB</t>
        </is>
      </c>
      <c r="I53" t="n">
        <v>2.6</v>
      </c>
      <c r="J53" t="n">
        <v>3</v>
      </c>
      <c r="K53" t="n">
        <v>3</v>
      </c>
      <c r="L53" t="n">
        <v>2</v>
      </c>
      <c r="M53" t="n">
        <v>0</v>
      </c>
      <c r="N53" t="n">
        <v>0</v>
      </c>
      <c r="O53" t="n">
        <v>0</v>
      </c>
      <c r="P53" t="n">
        <v>0</v>
      </c>
      <c r="Q53" t="n">
        <v>2</v>
      </c>
      <c r="R53" t="n">
        <v>0</v>
      </c>
      <c r="S53" t="n">
        <v>8</v>
      </c>
      <c r="T53" t="n">
        <v>9</v>
      </c>
      <c r="U53" t="n">
        <v>9</v>
      </c>
      <c r="V53" s="2" t="inlineStr">
        <is>
          <t>Ullticka
Vaddporing
Barkticka
Blomkålssvamp
Blomskägglav
Spillkråka
Havsörn
Kungsfågel</t>
        </is>
      </c>
      <c r="W53">
        <f>HYPERLINK("https://klasma.github.io/Logging_0883/artfynd/A 42900-2025 artfynd.xlsx", "A 42900-2025")</f>
        <v/>
      </c>
      <c r="X53">
        <f>HYPERLINK("https://klasma.github.io/Logging_0883/kartor/A 42900-2025 karta.png", "A 42900-2025")</f>
        <v/>
      </c>
      <c r="Y53">
        <f>HYPERLINK("https://klasma.github.io/Logging_0883/kartor_geotiff/A 42900-2025 georefererad karta.tif", "A 42900-2025")</f>
        <v/>
      </c>
      <c r="AA53">
        <f>HYPERLINK("https://klasma.github.io/Logging_0883/klagomål/A 42900-2025 FSC-klagomål.docx", "A 42900-2025")</f>
        <v/>
      </c>
      <c r="AB53">
        <f>HYPERLINK("https://klasma.github.io/Logging_0883/klagomålsmail/A 42900-2025 FSC-klagomål mail.docx", "A 42900-2025")</f>
        <v/>
      </c>
      <c r="AC53">
        <f>HYPERLINK("https://klasma.github.io/Logging_0883/tillsyn/A 42900-2025 tillsynsbegäran.docx", "A 42900-2025")</f>
        <v/>
      </c>
      <c r="AD53">
        <f>HYPERLINK("https://klasma.github.io/Logging_0883/tillsynsmail/A 42900-2025 tillsynsbegäran mail.docx", "A 42900-2025")</f>
        <v/>
      </c>
      <c r="AE53">
        <f>HYPERLINK("https://klasma.github.io/Logging_0883/fåglar/A 42900-2025 prioriterade fågelarter.docx", "A 42900-2025")</f>
        <v/>
      </c>
    </row>
    <row r="54" ht="15" customHeight="1">
      <c r="A54" t="inlineStr">
        <is>
          <t>A 26992-2024</t>
        </is>
      </c>
      <c r="B54" t="inlineStr">
        <is>
          <t>avverkningsanmälan</t>
        </is>
      </c>
      <c r="C54" t="inlineStr">
        <is>
          <t>Föryngringsavverkning</t>
        </is>
      </c>
      <c r="D54" s="1" t="n">
        <v>45471</v>
      </c>
      <c r="E54" s="1" t="n">
        <v>46323</v>
      </c>
      <c r="F54" t="inlineStr">
        <is>
          <t>KALMAR LÄN</t>
        </is>
      </c>
      <c r="G54" t="inlineStr">
        <is>
          <t>VÄSTERVIK</t>
        </is>
      </c>
      <c r="H54" t="inlineStr">
        <is>
          <t>Holmen skog AB</t>
        </is>
      </c>
      <c r="I54" t="n">
        <v>4.6</v>
      </c>
      <c r="J54" t="n">
        <v>6</v>
      </c>
      <c r="K54" t="n">
        <v>0</v>
      </c>
      <c r="L54" t="n">
        <v>3</v>
      </c>
      <c r="M54" t="n">
        <v>0</v>
      </c>
      <c r="N54" t="n">
        <v>0</v>
      </c>
      <c r="O54" t="n">
        <v>0</v>
      </c>
      <c r="P54" t="n">
        <v>0</v>
      </c>
      <c r="Q54" t="n">
        <v>3</v>
      </c>
      <c r="R54" t="n">
        <v>0</v>
      </c>
      <c r="S54" t="n">
        <v>8</v>
      </c>
      <c r="T54" t="n">
        <v>16</v>
      </c>
      <c r="U54" t="n">
        <v>16</v>
      </c>
      <c r="V54" s="2" t="inlineStr">
        <is>
          <t>Kandelabersvamp
Mindre hackspett
Talltita
Bergfink
Spillkråka
Stjärtmes
Timmerticka
Tofsmes</t>
        </is>
      </c>
      <c r="W54">
        <f>HYPERLINK("https://klasma.github.io/Logging_0883/artfynd/A 26992-2024 artfynd.xlsx", "A 26992-2024")</f>
        <v/>
      </c>
      <c r="X54">
        <f>HYPERLINK("https://klasma.github.io/Logging_0883/kartor/A 26992-2024 karta.png", "A 26992-2024")</f>
        <v/>
      </c>
      <c r="Y54">
        <f>HYPERLINK("https://klasma.github.io/Logging_0883/kartor_geotiff/A 26992-2024 georefererad karta.tif", "A 26992-2024")</f>
        <v/>
      </c>
      <c r="AA54">
        <f>HYPERLINK("https://klasma.github.io/Logging_0883/klagomål/A 26992-2024 FSC-klagomål.docx", "A 26992-2024")</f>
        <v/>
      </c>
      <c r="AB54">
        <f>HYPERLINK("https://klasma.github.io/Logging_0883/klagomålsmail/A 26992-2024 FSC-klagomål mail.docx", "A 26992-2024")</f>
        <v/>
      </c>
      <c r="AC54">
        <f>HYPERLINK("https://klasma.github.io/Logging_0883/tillsyn/A 26992-2024 tillsynsbegäran.docx", "A 26992-2024")</f>
        <v/>
      </c>
      <c r="AD54">
        <f>HYPERLINK("https://klasma.github.io/Logging_0883/tillsynsmail/A 26992-2024 tillsynsbegäran mail.docx", "A 26992-2024")</f>
        <v/>
      </c>
      <c r="AE54">
        <f>HYPERLINK("https://klasma.github.io/Logging_0883/fåglar/A 26992-2024 prioriterade fågelarter.docx", "A 26992-2024")</f>
        <v/>
      </c>
    </row>
    <row r="55" ht="15" customHeight="1">
      <c r="A55" t="inlineStr">
        <is>
          <t>A 29055-2026</t>
        </is>
      </c>
      <c r="B55" t="inlineStr">
        <is>
          <t>avverkningsanmälan</t>
        </is>
      </c>
      <c r="C55" t="inlineStr">
        <is>
          <t>Föryngringsavverkning</t>
        </is>
      </c>
      <c r="D55" s="1" t="n">
        <v>46199</v>
      </c>
      <c r="E55" s="1" t="n">
        <v>46323</v>
      </c>
      <c r="F55" t="inlineStr">
        <is>
          <t>KALMAR LÄN</t>
        </is>
      </c>
      <c r="G55" t="inlineStr">
        <is>
          <t>VÄSTERVIK</t>
        </is>
      </c>
      <c r="H55" t="inlineStr">
        <is>
          <t>Holmen skog AB</t>
        </is>
      </c>
      <c r="I55" t="n">
        <v>3.3</v>
      </c>
      <c r="J55" t="n">
        <v>4</v>
      </c>
      <c r="K55" t="n">
        <v>2</v>
      </c>
      <c r="L55" t="n">
        <v>4</v>
      </c>
      <c r="M55" t="n">
        <v>1</v>
      </c>
      <c r="N55" t="n">
        <v>0</v>
      </c>
      <c r="O55" t="n">
        <v>0</v>
      </c>
      <c r="P55" t="n">
        <v>0</v>
      </c>
      <c r="Q55" t="n">
        <v>5</v>
      </c>
      <c r="R55" t="n">
        <v>1</v>
      </c>
      <c r="S55" t="n">
        <v>8</v>
      </c>
      <c r="T55" t="n">
        <v>28</v>
      </c>
      <c r="U55" t="n">
        <v>25</v>
      </c>
      <c r="V55" s="2" t="inlineStr">
        <is>
          <t>Knärot
Motaggsvamp
Tallriska
Talltita
Vedskivlav
Blåmossa
Grön sköldmossa
Tjäder</t>
        </is>
      </c>
      <c r="W55">
        <f>HYPERLINK("https://klasma.github.io/Logging_0883/artfynd/A 29055-2026 artfynd.xlsx", "A 29055-2026")</f>
        <v/>
      </c>
      <c r="X55">
        <f>HYPERLINK("https://klasma.github.io/Logging_0883/kartor/A 29055-2026 karta.png", "A 29055-2026")</f>
        <v/>
      </c>
      <c r="Y55">
        <f>HYPERLINK("https://klasma.github.io/Logging_0883/kartor_geotiff/A 29055-2026 georefererad karta.tif", "A 29055-2026")</f>
        <v/>
      </c>
      <c r="Z55">
        <f>HYPERLINK("https://klasma.github.io/Logging_0883/knärot/A 29055-2026 karta knärot.png", "A 29055-2026")</f>
        <v/>
      </c>
      <c r="AA55">
        <f>HYPERLINK("https://klasma.github.io/Logging_0883/klagomål/A 29055-2026 FSC-klagomål.docx", "A 29055-2026")</f>
        <v/>
      </c>
      <c r="AB55">
        <f>HYPERLINK("https://klasma.github.io/Logging_0883/klagomålsmail/A 29055-2026 FSC-klagomål mail.docx", "A 29055-2026")</f>
        <v/>
      </c>
      <c r="AC55">
        <f>HYPERLINK("https://klasma.github.io/Logging_0883/tillsyn/A 29055-2026 tillsynsbegäran.docx", "A 29055-2026")</f>
        <v/>
      </c>
      <c r="AD55">
        <f>HYPERLINK("https://klasma.github.io/Logging_0883/tillsynsmail/A 29055-2026 tillsynsbegäran mail.docx", "A 29055-2026")</f>
        <v/>
      </c>
      <c r="AE55">
        <f>HYPERLINK("https://klasma.github.io/Logging_0883/fåglar/A 29055-2026 prioriterade fågelarter.docx", "A 29055-2026")</f>
        <v/>
      </c>
    </row>
    <row r="56" ht="15" customHeight="1">
      <c r="A56" t="inlineStr">
        <is>
          <t>A 1779-2025</t>
        </is>
      </c>
      <c r="B56" t="inlineStr">
        <is>
          <t>avverkningsanmälan</t>
        </is>
      </c>
      <c r="C56" t="inlineStr">
        <is>
          <t>Föryngringsavverkning</t>
        </is>
      </c>
      <c r="D56" s="1" t="n">
        <v>45671</v>
      </c>
      <c r="E56" s="1" t="n">
        <v>46323</v>
      </c>
      <c r="F56" t="inlineStr">
        <is>
          <t>KALMAR LÄN</t>
        </is>
      </c>
      <c r="G56" t="inlineStr">
        <is>
          <t>VÄSTERVIK</t>
        </is>
      </c>
      <c r="I56" t="n">
        <v>2.1</v>
      </c>
      <c r="J56" t="n">
        <v>4</v>
      </c>
      <c r="K56" t="n">
        <v>2</v>
      </c>
      <c r="L56" t="n">
        <v>2</v>
      </c>
      <c r="M56" t="n">
        <v>2</v>
      </c>
      <c r="N56" t="n">
        <v>0</v>
      </c>
      <c r="O56" t="n">
        <v>0</v>
      </c>
      <c r="P56" t="n">
        <v>0</v>
      </c>
      <c r="Q56" t="n">
        <v>4</v>
      </c>
      <c r="R56" t="n">
        <v>2</v>
      </c>
      <c r="S56" t="n">
        <v>8</v>
      </c>
      <c r="T56" t="n">
        <v>13</v>
      </c>
      <c r="U56" t="n">
        <v>13</v>
      </c>
      <c r="V56" s="2" t="inlineStr">
        <is>
          <t>Knärot
Ryl
Fyrflikig jordstjärna
Talltita
Bronshjon
Granbräken
Spillkråka
Kungsfågel</t>
        </is>
      </c>
      <c r="W56">
        <f>HYPERLINK("https://klasma.github.io/Logging_0883/artfynd/A 1779-2025 artfynd.xlsx", "A 1779-2025")</f>
        <v/>
      </c>
      <c r="X56">
        <f>HYPERLINK("https://klasma.github.io/Logging_0883/kartor/A 1779-2025 karta.png", "A 1779-2025")</f>
        <v/>
      </c>
      <c r="Y56">
        <f>HYPERLINK("https://klasma.github.io/Logging_0883/kartor_geotiff/A 1779-2025 georefererad karta.tif", "A 1779-2025")</f>
        <v/>
      </c>
      <c r="Z56">
        <f>HYPERLINK("https://klasma.github.io/Logging_0883/knärot/A 1779-2025 karta knärot.png", "A 1779-2025")</f>
        <v/>
      </c>
      <c r="AA56">
        <f>HYPERLINK("https://klasma.github.io/Logging_0883/klagomål/A 1779-2025 FSC-klagomål.docx", "A 1779-2025")</f>
        <v/>
      </c>
      <c r="AB56">
        <f>HYPERLINK("https://klasma.github.io/Logging_0883/klagomålsmail/A 1779-2025 FSC-klagomål mail.docx", "A 1779-2025")</f>
        <v/>
      </c>
      <c r="AC56">
        <f>HYPERLINK("https://klasma.github.io/Logging_0883/tillsyn/A 1779-2025 tillsynsbegäran.docx", "A 1779-2025")</f>
        <v/>
      </c>
      <c r="AD56">
        <f>HYPERLINK("https://klasma.github.io/Logging_0883/tillsynsmail/A 1779-2025 tillsynsbegäran mail.docx", "A 1779-2025")</f>
        <v/>
      </c>
      <c r="AE56">
        <f>HYPERLINK("https://klasma.github.io/Logging_0883/fåglar/A 1779-2025 prioriterade fågelarter.docx", "A 1779-2025")</f>
        <v/>
      </c>
    </row>
    <row r="57" ht="15" customHeight="1">
      <c r="A57" t="inlineStr">
        <is>
          <t>A 59198-2025</t>
        </is>
      </c>
      <c r="B57" t="inlineStr">
        <is>
          <t>avverkningsanmälan</t>
        </is>
      </c>
      <c r="C57" t="inlineStr">
        <is>
          <t>Föryngringsavverkning</t>
        </is>
      </c>
      <c r="D57" s="1" t="n">
        <v>45988</v>
      </c>
      <c r="E57" s="1" t="n">
        <v>46323</v>
      </c>
      <c r="F57" t="inlineStr">
        <is>
          <t>KALMAR LÄN</t>
        </is>
      </c>
      <c r="G57" t="inlineStr">
        <is>
          <t>VÄSTERVIK</t>
        </is>
      </c>
      <c r="H57" t="inlineStr">
        <is>
          <t>Holmen skog AB</t>
        </is>
      </c>
      <c r="I57" t="n">
        <v>0.8</v>
      </c>
      <c r="J57" t="n">
        <v>2</v>
      </c>
      <c r="K57" t="n">
        <v>5</v>
      </c>
      <c r="L57" t="n">
        <v>2</v>
      </c>
      <c r="M57" t="n">
        <v>1</v>
      </c>
      <c r="N57" t="n">
        <v>0</v>
      </c>
      <c r="O57" t="n">
        <v>0</v>
      </c>
      <c r="P57" t="n">
        <v>0</v>
      </c>
      <c r="Q57" t="n">
        <v>3</v>
      </c>
      <c r="R57" t="n">
        <v>1</v>
      </c>
      <c r="S57" t="n">
        <v>8</v>
      </c>
      <c r="T57" t="n">
        <v>10</v>
      </c>
      <c r="U57" t="n">
        <v>10</v>
      </c>
      <c r="V57" s="2" t="inlineStr">
        <is>
          <t>Knärot
Ekticka
Grönsångare
Barkticka
Blomskägglav
Fällmossa
Hasselticka
Rödbrun jordstjärna</t>
        </is>
      </c>
      <c r="W57">
        <f>HYPERLINK("https://klasma.github.io/Logging_0883/artfynd/A 59198-2025 artfynd.xlsx", "A 59198-2025")</f>
        <v/>
      </c>
      <c r="X57">
        <f>HYPERLINK("https://klasma.github.io/Logging_0883/kartor/A 59198-2025 karta.png", "A 59198-2025")</f>
        <v/>
      </c>
      <c r="Y57">
        <f>HYPERLINK("https://klasma.github.io/Logging_0883/kartor_geotiff/A 59198-2025 georefererad karta.tif", "A 59198-2025")</f>
        <v/>
      </c>
      <c r="Z57">
        <f>HYPERLINK("https://klasma.github.io/Logging_0883/knärot/A 59198-2025 karta knärot.png", "A 59198-2025")</f>
        <v/>
      </c>
      <c r="AA57">
        <f>HYPERLINK("https://klasma.github.io/Logging_0883/klagomål/A 59198-2025 FSC-klagomål.docx", "A 59198-2025")</f>
        <v/>
      </c>
      <c r="AB57">
        <f>HYPERLINK("https://klasma.github.io/Logging_0883/klagomålsmail/A 59198-2025 FSC-klagomål mail.docx", "A 59198-2025")</f>
        <v/>
      </c>
      <c r="AC57">
        <f>HYPERLINK("https://klasma.github.io/Logging_0883/tillsyn/A 59198-2025 tillsynsbegäran.docx", "A 59198-2025")</f>
        <v/>
      </c>
      <c r="AD57">
        <f>HYPERLINK("https://klasma.github.io/Logging_0883/tillsynsmail/A 59198-2025 tillsynsbegäran mail.docx", "A 59198-2025")</f>
        <v/>
      </c>
      <c r="AE57">
        <f>HYPERLINK("https://klasma.github.io/Logging_0883/fåglar/A 59198-2025 prioriterade fågelarter.docx", "A 59198-2025")</f>
        <v/>
      </c>
    </row>
    <row r="58" ht="15" customHeight="1">
      <c r="A58" t="inlineStr">
        <is>
          <t>S 1519-2023</t>
        </is>
      </c>
      <c r="B58" t="inlineStr">
        <is>
          <t>samrådsanmälan</t>
        </is>
      </c>
      <c r="C58" t="inlineStr">
        <is>
          <t>Annan skogsbruksåtgärd</t>
        </is>
      </c>
      <c r="D58" s="1" t="n">
        <v>45055</v>
      </c>
      <c r="E58" s="1" t="n">
        <v>46323</v>
      </c>
      <c r="F58" t="inlineStr">
        <is>
          <t>KALMAR LÄN</t>
        </is>
      </c>
      <c r="G58" t="inlineStr">
        <is>
          <t>VÄSTERVIK</t>
        </is>
      </c>
      <c r="H58" t="inlineStr">
        <is>
          <t>Kommuner</t>
        </is>
      </c>
      <c r="I58" t="n">
        <v>12.1</v>
      </c>
      <c r="J58" t="n">
        <v>3</v>
      </c>
      <c r="K58" t="n">
        <v>2</v>
      </c>
      <c r="L58" t="n">
        <v>3</v>
      </c>
      <c r="M58" t="n">
        <v>1</v>
      </c>
      <c r="N58" t="n">
        <v>1</v>
      </c>
      <c r="O58" t="n">
        <v>0</v>
      </c>
      <c r="P58" t="n">
        <v>0</v>
      </c>
      <c r="Q58" t="n">
        <v>5</v>
      </c>
      <c r="R58" t="n">
        <v>2</v>
      </c>
      <c r="S58" t="n">
        <v>8</v>
      </c>
      <c r="T58" t="n">
        <v>20</v>
      </c>
      <c r="U58" t="n">
        <v>11</v>
      </c>
      <c r="V58" s="2" t="inlineStr">
        <is>
          <t>Ask
Igelkott
Apollofjäril
Reliktbock
Tallticka
Blompraktbagge
Ekoxe
Spillkråka</t>
        </is>
      </c>
      <c r="W58">
        <f>HYPERLINK("https://klasma.github.io/Logging_0883/artfynd/S 1519-2023 artfynd.xlsx", "S 1519-2023")</f>
        <v/>
      </c>
      <c r="X58">
        <f>HYPERLINK("https://klasma.github.io/Logging_0883/kartor/S 1519-2023 karta.png", "S 1519-2023")</f>
        <v/>
      </c>
      <c r="Y58">
        <f>HYPERLINK("https://klasma.github.io/Logging_0883/kartor_geotiff/S 1519-2023 georefererad karta.tif", "S 1519-2023")</f>
        <v/>
      </c>
      <c r="AA58">
        <f>HYPERLINK("https://klasma.github.io/Logging_0883/klagomål/S 1519-2023 FSC-klagomål.docx", "S 1519-2023")</f>
        <v/>
      </c>
      <c r="AB58">
        <f>HYPERLINK("https://klasma.github.io/Logging_0883/klagomålsmail/S 1519-2023 FSC-klagomål mail.docx", "S 1519-2023")</f>
        <v/>
      </c>
      <c r="AC58">
        <f>HYPERLINK("https://klasma.github.io/Logging_0883/tillsyn/S 1519-2023 tillsynsbegäran.docx", "S 1519-2023")</f>
        <v/>
      </c>
      <c r="AD58">
        <f>HYPERLINK("https://klasma.github.io/Logging_0883/tillsynsmail/S 1519-2023 tillsynsbegäran mail.docx", "S 1519-2023")</f>
        <v/>
      </c>
      <c r="AE58">
        <f>HYPERLINK("https://klasma.github.io/Logging_0883/fåglar/S 1519-2023 prioriterade fågelarter.docx", "S 1519-2023")</f>
        <v/>
      </c>
    </row>
    <row r="59" ht="15" customHeight="1">
      <c r="A59" t="inlineStr">
        <is>
          <t>S 1387-2026</t>
        </is>
      </c>
      <c r="B59" t="inlineStr">
        <is>
          <t>samrådsanmälan</t>
        </is>
      </c>
      <c r="C59" t="inlineStr">
        <is>
          <t>Askåterföring</t>
        </is>
      </c>
      <c r="D59" s="1" t="n">
        <v>46154</v>
      </c>
      <c r="E59" s="1" t="n">
        <v>46323</v>
      </c>
      <c r="F59" t="inlineStr">
        <is>
          <t>KALMAR LÄN</t>
        </is>
      </c>
      <c r="G59" t="inlineStr">
        <is>
          <t>VÄSTERVIK</t>
        </is>
      </c>
      <c r="I59" t="n">
        <v>36.7</v>
      </c>
      <c r="J59" t="n">
        <v>4</v>
      </c>
      <c r="K59" t="n">
        <v>2</v>
      </c>
      <c r="L59" t="n">
        <v>3</v>
      </c>
      <c r="M59" t="n">
        <v>2</v>
      </c>
      <c r="N59" t="n">
        <v>1</v>
      </c>
      <c r="O59" t="n">
        <v>0</v>
      </c>
      <c r="P59" t="n">
        <v>0</v>
      </c>
      <c r="Q59" t="n">
        <v>6</v>
      </c>
      <c r="R59" t="n">
        <v>3</v>
      </c>
      <c r="S59" t="n">
        <v>8</v>
      </c>
      <c r="T59" t="n">
        <v>28</v>
      </c>
      <c r="U59" t="n">
        <v>0</v>
      </c>
      <c r="V59" s="2" t="inlineStr">
        <is>
          <t>Mosippa
Knärot
Sorgfibbla
Jungfrulin
Sparvuggla
Svedjenäva
Dvärghäxört
Purpurknipprot</t>
        </is>
      </c>
      <c r="W59">
        <f>HYPERLINK("https://klasma.github.io/Logging_0883/artfynd/S 1387-2026 artfynd.xlsx", "S 1387-2026")</f>
        <v/>
      </c>
      <c r="X59">
        <f>HYPERLINK("https://klasma.github.io/Logging_0883/kartor/S 1387-2026 karta.png", "S 1387-2026")</f>
        <v/>
      </c>
      <c r="Y59">
        <f>HYPERLINK("https://klasma.github.io/Logging_0883/kartor_geotiff/S 1387-2026 georefererad karta.tif", "S 1387-2026")</f>
        <v/>
      </c>
      <c r="Z59">
        <f>HYPERLINK("https://klasma.github.io/Logging_0883/knärot/S 1387-2026 karta knärot.png", "S 1387-2026")</f>
        <v/>
      </c>
      <c r="AA59">
        <f>HYPERLINK("https://klasma.github.io/Logging_0883/klagomål/S 1387-2026 FSC-klagomål.docx", "S 1387-2026")</f>
        <v/>
      </c>
      <c r="AB59">
        <f>HYPERLINK("https://klasma.github.io/Logging_0883/klagomålsmail/S 1387-2026 FSC-klagomål mail.docx", "S 1387-2026")</f>
        <v/>
      </c>
      <c r="AC59">
        <f>HYPERLINK("https://klasma.github.io/Logging_0883/tillsyn/S 1387-2026 tillsynsbegäran.docx", "S 1387-2026")</f>
        <v/>
      </c>
      <c r="AD59">
        <f>HYPERLINK("https://klasma.github.io/Logging_0883/tillsynsmail/S 1387-2026 tillsynsbegäran mail.docx", "S 1387-2026")</f>
        <v/>
      </c>
      <c r="AE59">
        <f>HYPERLINK("https://klasma.github.io/Logging_0883/fåglar/S 1387-2026 prioriterade fågelarter.docx", "S 1387-2026")</f>
        <v/>
      </c>
    </row>
    <row r="60" ht="15" customHeight="1">
      <c r="A60" t="inlineStr">
        <is>
          <t>A 51923-2022</t>
        </is>
      </c>
      <c r="B60" t="inlineStr">
        <is>
          <t>avverkningsanmälan</t>
        </is>
      </c>
      <c r="C60" t="inlineStr">
        <is>
          <t>Avverkning för att bevara och utveckla /försöksver</t>
        </is>
      </c>
      <c r="D60" s="1" t="n">
        <v>44868</v>
      </c>
      <c r="E60" s="1" t="n">
        <v>46323</v>
      </c>
      <c r="F60" t="inlineStr">
        <is>
          <t>KALMAR LÄN</t>
        </is>
      </c>
      <c r="G60" t="inlineStr">
        <is>
          <t>VÄSTERVIK</t>
        </is>
      </c>
      <c r="I60" t="n">
        <v>6.5</v>
      </c>
      <c r="J60" t="n">
        <v>3</v>
      </c>
      <c r="K60" t="n">
        <v>3</v>
      </c>
      <c r="L60" t="n">
        <v>2</v>
      </c>
      <c r="M60" t="n">
        <v>0</v>
      </c>
      <c r="N60" t="n">
        <v>0</v>
      </c>
      <c r="O60" t="n">
        <v>0</v>
      </c>
      <c r="P60" t="n">
        <v>0</v>
      </c>
      <c r="Q60" t="n">
        <v>2</v>
      </c>
      <c r="R60" t="n">
        <v>0</v>
      </c>
      <c r="S60" t="n">
        <v>7</v>
      </c>
      <c r="T60" t="n">
        <v>12</v>
      </c>
      <c r="U60" t="n">
        <v>12</v>
      </c>
      <c r="V60" s="2" t="inlineStr">
        <is>
          <t>Apollofjäril
Kandelabersvamp
Hasselticka
Svart trolldruva
Vätteros
Blåsippa
Gröngöling</t>
        </is>
      </c>
      <c r="W60">
        <f>HYPERLINK("https://klasma.github.io/Logging_0883/artfynd/A 51923-2022 artfynd.xlsx", "A 51923-2022")</f>
        <v/>
      </c>
      <c r="X60">
        <f>HYPERLINK("https://klasma.github.io/Logging_0883/kartor/A 51923-2022 karta.png", "A 51923-2022")</f>
        <v/>
      </c>
      <c r="Y60">
        <f>HYPERLINK("https://klasma.github.io/Logging_0883/kartor_geotiff/A 51923-2022 georefererad karta.tif", "A 51923-2022")</f>
        <v/>
      </c>
      <c r="AA60">
        <f>HYPERLINK("https://klasma.github.io/Logging_0883/klagomål/A 51923-2022 FSC-klagomål.docx", "A 51923-2022")</f>
        <v/>
      </c>
      <c r="AB60">
        <f>HYPERLINK("https://klasma.github.io/Logging_0883/klagomålsmail/A 51923-2022 FSC-klagomål mail.docx", "A 51923-2022")</f>
        <v/>
      </c>
      <c r="AC60">
        <f>HYPERLINK("https://klasma.github.io/Logging_0883/tillsyn/A 51923-2022 tillsynsbegäran.docx", "A 51923-2022")</f>
        <v/>
      </c>
      <c r="AD60">
        <f>HYPERLINK("https://klasma.github.io/Logging_0883/tillsynsmail/A 51923-2022 tillsynsbegäran mail.docx", "A 51923-2022")</f>
        <v/>
      </c>
    </row>
    <row r="61" ht="15" customHeight="1">
      <c r="A61" t="inlineStr">
        <is>
          <t>A 53846-2025</t>
        </is>
      </c>
      <c r="B61" t="inlineStr">
        <is>
          <t>avverkningsanmälan</t>
        </is>
      </c>
      <c r="C61" t="inlineStr">
        <is>
          <t>Avverkning för att bevara och utveckla /försöksver</t>
        </is>
      </c>
      <c r="D61" s="1" t="n">
        <v>45961</v>
      </c>
      <c r="E61" s="1" t="n">
        <v>46323</v>
      </c>
      <c r="F61" t="inlineStr">
        <is>
          <t>KALMAR LÄN</t>
        </is>
      </c>
      <c r="G61" t="inlineStr">
        <is>
          <t>VÄSTERVIK</t>
        </is>
      </c>
      <c r="H61" t="inlineStr">
        <is>
          <t>Sveaskog</t>
        </is>
      </c>
      <c r="I61" t="n">
        <v>2.1</v>
      </c>
      <c r="J61" t="n">
        <v>3</v>
      </c>
      <c r="K61" t="n">
        <v>3</v>
      </c>
      <c r="L61" t="n">
        <v>2</v>
      </c>
      <c r="M61" t="n">
        <v>0</v>
      </c>
      <c r="N61" t="n">
        <v>0</v>
      </c>
      <c r="O61" t="n">
        <v>0</v>
      </c>
      <c r="P61" t="n">
        <v>0</v>
      </c>
      <c r="Q61" t="n">
        <v>2</v>
      </c>
      <c r="R61" t="n">
        <v>0</v>
      </c>
      <c r="S61" t="n">
        <v>7</v>
      </c>
      <c r="T61" t="n">
        <v>8</v>
      </c>
      <c r="U61" t="n">
        <v>4</v>
      </c>
      <c r="V61" s="2" t="inlineStr">
        <is>
          <t>Tallticka
Talltita
Blåmossa
Flagellkvastmossa
Fällmossa
Blåsippa
Spillkråka</t>
        </is>
      </c>
      <c r="W61">
        <f>HYPERLINK("https://klasma.github.io/Logging_0883/artfynd/A 53846-2025 artfynd.xlsx", "A 53846-2025")</f>
        <v/>
      </c>
      <c r="X61">
        <f>HYPERLINK("https://klasma.github.io/Logging_0883/kartor/A 53846-2025 karta.png", "A 53846-2025")</f>
        <v/>
      </c>
      <c r="Y61">
        <f>HYPERLINK("https://klasma.github.io/Logging_0883/kartor_geotiff/A 53846-2025 georefererad karta.tif", "A 53846-2025")</f>
        <v/>
      </c>
      <c r="AA61">
        <f>HYPERLINK("https://klasma.github.io/Logging_0883/klagomål/A 53846-2025 FSC-klagomål.docx", "A 53846-2025")</f>
        <v/>
      </c>
      <c r="AB61">
        <f>HYPERLINK("https://klasma.github.io/Logging_0883/klagomålsmail/A 53846-2025 FSC-klagomål mail.docx", "A 53846-2025")</f>
        <v/>
      </c>
      <c r="AC61">
        <f>HYPERLINK("https://klasma.github.io/Logging_0883/tillsyn/A 53846-2025 tillsynsbegäran.docx", "A 53846-2025")</f>
        <v/>
      </c>
      <c r="AD61">
        <f>HYPERLINK("https://klasma.github.io/Logging_0883/tillsynsmail/A 53846-2025 tillsynsbegäran mail.docx", "A 53846-2025")</f>
        <v/>
      </c>
      <c r="AE61">
        <f>HYPERLINK("https://klasma.github.io/Logging_0883/fåglar/A 53846-2025 prioriterade fågelarter.docx", "A 53846-2025")</f>
        <v/>
      </c>
    </row>
    <row r="62" ht="15" customHeight="1">
      <c r="A62" t="inlineStr">
        <is>
          <t>A 9952-2026</t>
        </is>
      </c>
      <c r="B62" t="inlineStr">
        <is>
          <t>avverkningsanmälan</t>
        </is>
      </c>
      <c r="C62" t="inlineStr">
        <is>
          <t>Föryngringsavverkning</t>
        </is>
      </c>
      <c r="D62" s="1" t="n">
        <v>46073</v>
      </c>
      <c r="E62" s="1" t="n">
        <v>46323</v>
      </c>
      <c r="F62" t="inlineStr">
        <is>
          <t>KALMAR LÄN</t>
        </is>
      </c>
      <c r="G62" t="inlineStr">
        <is>
          <t>VÄSTERVIK</t>
        </is>
      </c>
      <c r="I62" t="n">
        <v>3.4</v>
      </c>
      <c r="J62" t="n">
        <v>5</v>
      </c>
      <c r="K62" t="n">
        <v>0</v>
      </c>
      <c r="L62" t="n">
        <v>3</v>
      </c>
      <c r="M62" t="n">
        <v>0</v>
      </c>
      <c r="N62" t="n">
        <v>0</v>
      </c>
      <c r="O62" t="n">
        <v>0</v>
      </c>
      <c r="P62" t="n">
        <v>0</v>
      </c>
      <c r="Q62" t="n">
        <v>3</v>
      </c>
      <c r="R62" t="n">
        <v>0</v>
      </c>
      <c r="S62" t="n">
        <v>7</v>
      </c>
      <c r="T62" t="n">
        <v>12</v>
      </c>
      <c r="U62" t="n">
        <v>11</v>
      </c>
      <c r="V62" s="2" t="inlineStr">
        <is>
          <t>Entita
Krusfrö
Tallticka
Blåsippa
Spillkråka
Stjärtmes
Grönsiska</t>
        </is>
      </c>
      <c r="W62">
        <f>HYPERLINK("https://klasma.github.io/Logging_0883/artfynd/A 9952-2026 artfynd.xlsx", "A 9952-2026")</f>
        <v/>
      </c>
      <c r="X62">
        <f>HYPERLINK("https://klasma.github.io/Logging_0883/kartor/A 9952-2026 karta.png", "A 9952-2026")</f>
        <v/>
      </c>
      <c r="Y62">
        <f>HYPERLINK("https://klasma.github.io/Logging_0883/kartor_geotiff/A 9952-2026 georefererad karta.tif", "A 9952-2026")</f>
        <v/>
      </c>
      <c r="AA62">
        <f>HYPERLINK("https://klasma.github.io/Logging_0883/klagomål/A 9952-2026 FSC-klagomål.docx", "A 9952-2026")</f>
        <v/>
      </c>
      <c r="AB62">
        <f>HYPERLINK("https://klasma.github.io/Logging_0883/klagomålsmail/A 9952-2026 FSC-klagomål mail.docx", "A 9952-2026")</f>
        <v/>
      </c>
      <c r="AC62">
        <f>HYPERLINK("https://klasma.github.io/Logging_0883/tillsyn/A 9952-2026 tillsynsbegäran.docx", "A 9952-2026")</f>
        <v/>
      </c>
      <c r="AD62">
        <f>HYPERLINK("https://klasma.github.io/Logging_0883/tillsynsmail/A 9952-2026 tillsynsbegäran mail.docx", "A 9952-2026")</f>
        <v/>
      </c>
      <c r="AE62">
        <f>HYPERLINK("https://klasma.github.io/Logging_0883/fåglar/A 9952-2026 prioriterade fågelarter.docx", "A 9952-2026")</f>
        <v/>
      </c>
    </row>
    <row r="63" ht="15" customHeight="1">
      <c r="A63" t="inlineStr">
        <is>
          <t>A 59457-2024</t>
        </is>
      </c>
      <c r="B63" t="inlineStr">
        <is>
          <t>avverkningsanmälan</t>
        </is>
      </c>
      <c r="C63" t="inlineStr">
        <is>
          <t>Föryngringsavverkning</t>
        </is>
      </c>
      <c r="D63" s="1" t="n">
        <v>45638</v>
      </c>
      <c r="E63" s="1" t="n">
        <v>46323</v>
      </c>
      <c r="F63" t="inlineStr">
        <is>
          <t>KALMAR LÄN</t>
        </is>
      </c>
      <c r="G63" t="inlineStr">
        <is>
          <t>VÄSTERVIK</t>
        </is>
      </c>
      <c r="H63" t="inlineStr">
        <is>
          <t>Holmen skog AB</t>
        </is>
      </c>
      <c r="I63" t="n">
        <v>1.3</v>
      </c>
      <c r="J63" t="n">
        <v>4</v>
      </c>
      <c r="K63" t="n">
        <v>2</v>
      </c>
      <c r="L63" t="n">
        <v>2</v>
      </c>
      <c r="M63" t="n">
        <v>0</v>
      </c>
      <c r="N63" t="n">
        <v>0</v>
      </c>
      <c r="O63" t="n">
        <v>0</v>
      </c>
      <c r="P63" t="n">
        <v>0</v>
      </c>
      <c r="Q63" t="n">
        <v>2</v>
      </c>
      <c r="R63" t="n">
        <v>0</v>
      </c>
      <c r="S63" t="n">
        <v>7</v>
      </c>
      <c r="T63" t="n">
        <v>9</v>
      </c>
      <c r="U63" t="n">
        <v>9</v>
      </c>
      <c r="V63" s="2" t="inlineStr">
        <is>
          <t>Tallticka
Talltita
Blåmossa
Flagellkvastmossa
Spillkråka
Kungsfågel
Revlummer</t>
        </is>
      </c>
      <c r="W63">
        <f>HYPERLINK("https://klasma.github.io/Logging_0883/artfynd/A 59457-2024 artfynd.xlsx", "A 59457-2024")</f>
        <v/>
      </c>
      <c r="X63">
        <f>HYPERLINK("https://klasma.github.io/Logging_0883/kartor/A 59457-2024 karta.png", "A 59457-2024")</f>
        <v/>
      </c>
      <c r="Y63">
        <f>HYPERLINK("https://klasma.github.io/Logging_0883/kartor_geotiff/A 59457-2024 georefererad karta.tif", "A 59457-2024")</f>
        <v/>
      </c>
      <c r="AA63">
        <f>HYPERLINK("https://klasma.github.io/Logging_0883/klagomål/A 59457-2024 FSC-klagomål.docx", "A 59457-2024")</f>
        <v/>
      </c>
      <c r="AB63">
        <f>HYPERLINK("https://klasma.github.io/Logging_0883/klagomålsmail/A 59457-2024 FSC-klagomål mail.docx", "A 59457-2024")</f>
        <v/>
      </c>
      <c r="AC63">
        <f>HYPERLINK("https://klasma.github.io/Logging_0883/tillsyn/A 59457-2024 tillsynsbegäran.docx", "A 59457-2024")</f>
        <v/>
      </c>
      <c r="AD63">
        <f>HYPERLINK("https://klasma.github.io/Logging_0883/tillsynsmail/A 59457-2024 tillsynsbegäran mail.docx", "A 59457-2024")</f>
        <v/>
      </c>
      <c r="AE63">
        <f>HYPERLINK("https://klasma.github.io/Logging_0883/fåglar/A 59457-2024 prioriterade fågelarter.docx", "A 59457-2024")</f>
        <v/>
      </c>
    </row>
    <row r="64" ht="15" customHeight="1">
      <c r="A64" t="inlineStr">
        <is>
          <t>A 40004-2026</t>
        </is>
      </c>
      <c r="B64" t="inlineStr">
        <is>
          <t>avverkningsanmälan</t>
        </is>
      </c>
      <c r="C64" t="inlineStr">
        <is>
          <t>Föryngringsavverkning</t>
        </is>
      </c>
      <c r="D64" s="1" t="n">
        <v>46293</v>
      </c>
      <c r="E64" s="1" t="n">
        <v>46323</v>
      </c>
      <c r="F64" t="inlineStr">
        <is>
          <t>KALMAR LÄN</t>
        </is>
      </c>
      <c r="G64" t="inlineStr">
        <is>
          <t>VÄSTERVIK</t>
        </is>
      </c>
      <c r="I64" t="n">
        <v>2.1</v>
      </c>
      <c r="J64" t="n">
        <v>5</v>
      </c>
      <c r="K64" t="n">
        <v>2</v>
      </c>
      <c r="L64" t="n">
        <v>2</v>
      </c>
      <c r="M64" t="n">
        <v>0</v>
      </c>
      <c r="N64" t="n">
        <v>1</v>
      </c>
      <c r="O64" t="n">
        <v>0</v>
      </c>
      <c r="P64" t="n">
        <v>0</v>
      </c>
      <c r="Q64" t="n">
        <v>3</v>
      </c>
      <c r="R64" t="n">
        <v>1</v>
      </c>
      <c r="S64" t="n">
        <v>7</v>
      </c>
      <c r="T64" t="n">
        <v>7</v>
      </c>
      <c r="U64" t="n">
        <v>0</v>
      </c>
      <c r="V64" s="2" t="inlineStr">
        <is>
          <t>Pärluggla
Mindre hackspett
Silversmygare
Ekoxe
Större aspvedbock
Spillkråka
Orre</t>
        </is>
      </c>
      <c r="W64">
        <f>HYPERLINK("https://klasma.github.io/Logging_0883/artfynd/A 40004-2026 artfynd.xlsx", "A 40004-2026")</f>
        <v/>
      </c>
      <c r="X64">
        <f>HYPERLINK("https://klasma.github.io/Logging_0883/kartor/A 40004-2026 karta.png", "A 40004-2026")</f>
        <v/>
      </c>
      <c r="Y64">
        <f>HYPERLINK("https://klasma.github.io/Logging_0883/kartor_geotiff/A 40004-2026 georefererad karta.tif", "A 40004-2026")</f>
        <v/>
      </c>
      <c r="AA64">
        <f>HYPERLINK("https://klasma.github.io/Logging_0883/klagomål/A 40004-2026 FSC-klagomål.docx", "A 40004-2026")</f>
        <v/>
      </c>
      <c r="AB64">
        <f>HYPERLINK("https://klasma.github.io/Logging_0883/klagomålsmail/A 40004-2026 FSC-klagomål mail.docx", "A 40004-2026")</f>
        <v/>
      </c>
      <c r="AC64">
        <f>HYPERLINK("https://klasma.github.io/Logging_0883/tillsyn/A 40004-2026 tillsynsbegäran.docx", "A 40004-2026")</f>
        <v/>
      </c>
      <c r="AD64">
        <f>HYPERLINK("https://klasma.github.io/Logging_0883/tillsynsmail/A 40004-2026 tillsynsbegäran mail.docx", "A 40004-2026")</f>
        <v/>
      </c>
      <c r="AE64">
        <f>HYPERLINK("https://klasma.github.io/Logging_0883/fåglar/A 40004-2026 prioriterade fågelarter.docx", "A 40004-2026")</f>
        <v/>
      </c>
    </row>
    <row r="65" ht="15" customHeight="1">
      <c r="A65" t="inlineStr">
        <is>
          <t>A 56162-2025</t>
        </is>
      </c>
      <c r="B65" t="inlineStr">
        <is>
          <t>avverkningsanmälan</t>
        </is>
      </c>
      <c r="C65" t="inlineStr">
        <is>
          <t>Föryngringsavverkning</t>
        </is>
      </c>
      <c r="D65" s="1" t="n">
        <v>45974</v>
      </c>
      <c r="E65" s="1" t="n">
        <v>46323</v>
      </c>
      <c r="F65" t="inlineStr">
        <is>
          <t>KALMAR LÄN</t>
        </is>
      </c>
      <c r="G65" t="inlineStr">
        <is>
          <t>VÄSTERVIK</t>
        </is>
      </c>
      <c r="H65" t="inlineStr">
        <is>
          <t>Holmen skog AB</t>
        </is>
      </c>
      <c r="I65" t="n">
        <v>11.2</v>
      </c>
      <c r="J65" t="n">
        <v>3</v>
      </c>
      <c r="K65" t="n">
        <v>2</v>
      </c>
      <c r="L65" t="n">
        <v>3</v>
      </c>
      <c r="M65" t="n">
        <v>1</v>
      </c>
      <c r="N65" t="n">
        <v>0</v>
      </c>
      <c r="O65" t="n">
        <v>0</v>
      </c>
      <c r="P65" t="n">
        <v>0</v>
      </c>
      <c r="Q65" t="n">
        <v>4</v>
      </c>
      <c r="R65" t="n">
        <v>1</v>
      </c>
      <c r="S65" t="n">
        <v>7</v>
      </c>
      <c r="T65" t="n">
        <v>36</v>
      </c>
      <c r="U65" t="n">
        <v>36</v>
      </c>
      <c r="V65" s="2" t="inlineStr">
        <is>
          <t>Knärot
Dropptaggsvamp
Tallticka
Talltita
Blåmossa
Grönpyrola
Spillkråka</t>
        </is>
      </c>
      <c r="W65">
        <f>HYPERLINK("https://klasma.github.io/Logging_0883/artfynd/A 56162-2025 artfynd.xlsx", "A 56162-2025")</f>
        <v/>
      </c>
      <c r="X65">
        <f>HYPERLINK("https://klasma.github.io/Logging_0883/kartor/A 56162-2025 karta.png", "A 56162-2025")</f>
        <v/>
      </c>
      <c r="Y65">
        <f>HYPERLINK("https://klasma.github.io/Logging_0883/kartor_geotiff/A 56162-2025 georefererad karta.tif", "A 56162-2025")</f>
        <v/>
      </c>
      <c r="Z65">
        <f>HYPERLINK("https://klasma.github.io/Logging_0883/knärot/A 56162-2025 karta knärot.png", "A 56162-2025")</f>
        <v/>
      </c>
      <c r="AA65">
        <f>HYPERLINK("https://klasma.github.io/Logging_0883/klagomål/A 56162-2025 FSC-klagomål.docx", "A 56162-2025")</f>
        <v/>
      </c>
      <c r="AB65">
        <f>HYPERLINK("https://klasma.github.io/Logging_0883/klagomålsmail/A 56162-2025 FSC-klagomål mail.docx", "A 56162-2025")</f>
        <v/>
      </c>
      <c r="AC65">
        <f>HYPERLINK("https://klasma.github.io/Logging_0883/tillsyn/A 56162-2025 tillsynsbegäran.docx", "A 56162-2025")</f>
        <v/>
      </c>
      <c r="AD65">
        <f>HYPERLINK("https://klasma.github.io/Logging_0883/tillsynsmail/A 56162-2025 tillsynsbegäran mail.docx", "A 56162-2025")</f>
        <v/>
      </c>
      <c r="AE65">
        <f>HYPERLINK("https://klasma.github.io/Logging_0883/fåglar/A 56162-2025 prioriterade fågelarter.docx", "A 56162-2025")</f>
        <v/>
      </c>
    </row>
    <row r="66" ht="15" customHeight="1">
      <c r="A66" t="inlineStr">
        <is>
          <t>A 56968-2025</t>
        </is>
      </c>
      <c r="B66" t="inlineStr">
        <is>
          <t>avverkningsanmälan</t>
        </is>
      </c>
      <c r="C66" t="inlineStr">
        <is>
          <t>Föryngringsavverkning</t>
        </is>
      </c>
      <c r="D66" s="1" t="n">
        <v>45978</v>
      </c>
      <c r="E66" s="1" t="n">
        <v>46323</v>
      </c>
      <c r="F66" t="inlineStr">
        <is>
          <t>KALMAR LÄN</t>
        </is>
      </c>
      <c r="G66" t="inlineStr">
        <is>
          <t>VÄSTERVIK</t>
        </is>
      </c>
      <c r="H66" t="inlineStr">
        <is>
          <t>Holmen skog AB</t>
        </is>
      </c>
      <c r="I66" t="n">
        <v>4.1</v>
      </c>
      <c r="J66" t="n">
        <v>4</v>
      </c>
      <c r="K66" t="n">
        <v>1</v>
      </c>
      <c r="L66" t="n">
        <v>4</v>
      </c>
      <c r="M66" t="n">
        <v>0</v>
      </c>
      <c r="N66" t="n">
        <v>0</v>
      </c>
      <c r="O66" t="n">
        <v>0</v>
      </c>
      <c r="P66" t="n">
        <v>0</v>
      </c>
      <c r="Q66" t="n">
        <v>4</v>
      </c>
      <c r="R66" t="n">
        <v>0</v>
      </c>
      <c r="S66" t="n">
        <v>7</v>
      </c>
      <c r="T66" t="n">
        <v>9</v>
      </c>
      <c r="U66" t="n">
        <v>9</v>
      </c>
      <c r="V66" s="2" t="inlineStr">
        <is>
          <t>Blekticka
Ekticka
Mindre hackspett
Talltita
Barkticka
Spillkråka
Grönvit nattviol</t>
        </is>
      </c>
      <c r="W66">
        <f>HYPERLINK("https://klasma.github.io/Logging_0883/artfynd/A 56968-2025 artfynd.xlsx", "A 56968-2025")</f>
        <v/>
      </c>
      <c r="X66">
        <f>HYPERLINK("https://klasma.github.io/Logging_0883/kartor/A 56968-2025 karta.png", "A 56968-2025")</f>
        <v/>
      </c>
      <c r="Y66">
        <f>HYPERLINK("https://klasma.github.io/Logging_0883/kartor_geotiff/A 56968-2025 georefererad karta.tif", "A 56968-2025")</f>
        <v/>
      </c>
      <c r="AA66">
        <f>HYPERLINK("https://klasma.github.io/Logging_0883/klagomål/A 56968-2025 FSC-klagomål.docx", "A 56968-2025")</f>
        <v/>
      </c>
      <c r="AB66">
        <f>HYPERLINK("https://klasma.github.io/Logging_0883/klagomålsmail/A 56968-2025 FSC-klagomål mail.docx", "A 56968-2025")</f>
        <v/>
      </c>
      <c r="AC66">
        <f>HYPERLINK("https://klasma.github.io/Logging_0883/tillsyn/A 56968-2025 tillsynsbegäran.docx", "A 56968-2025")</f>
        <v/>
      </c>
      <c r="AD66">
        <f>HYPERLINK("https://klasma.github.io/Logging_0883/tillsynsmail/A 56968-2025 tillsynsbegäran mail.docx", "A 56968-2025")</f>
        <v/>
      </c>
      <c r="AE66">
        <f>HYPERLINK("https://klasma.github.io/Logging_0883/fåglar/A 56968-2025 prioriterade fågelarter.docx", "A 56968-2025")</f>
        <v/>
      </c>
    </row>
    <row r="67" ht="15" customHeight="1">
      <c r="A67" t="inlineStr">
        <is>
          <t>A 4397-2025</t>
        </is>
      </c>
      <c r="B67" t="inlineStr">
        <is>
          <t>avverkningsanmälan</t>
        </is>
      </c>
      <c r="C67" t="inlineStr">
        <is>
          <t>Föryngringsavverkning</t>
        </is>
      </c>
      <c r="D67" s="1" t="n">
        <v>45686</v>
      </c>
      <c r="E67" s="1" t="n">
        <v>46323</v>
      </c>
      <c r="F67" t="inlineStr">
        <is>
          <t>KALMAR LÄN</t>
        </is>
      </c>
      <c r="G67" t="inlineStr">
        <is>
          <t>VÄSTERVIK</t>
        </is>
      </c>
      <c r="H67" t="inlineStr">
        <is>
          <t>Holmen skog AB</t>
        </is>
      </c>
      <c r="I67" t="n">
        <v>10</v>
      </c>
      <c r="J67" t="n">
        <v>7</v>
      </c>
      <c r="K67" t="n">
        <v>0</v>
      </c>
      <c r="L67" t="n">
        <v>4</v>
      </c>
      <c r="M67" t="n">
        <v>1</v>
      </c>
      <c r="N67" t="n">
        <v>0</v>
      </c>
      <c r="O67" t="n">
        <v>0</v>
      </c>
      <c r="P67" t="n">
        <v>0</v>
      </c>
      <c r="Q67" t="n">
        <v>5</v>
      </c>
      <c r="R67" t="n">
        <v>1</v>
      </c>
      <c r="S67" t="n">
        <v>7</v>
      </c>
      <c r="T67" t="n">
        <v>18</v>
      </c>
      <c r="U67" t="n">
        <v>18</v>
      </c>
      <c r="V67" s="2" t="inlineStr">
        <is>
          <t>Knärot
Entita
Grönsångare
Mindre hackspett
Talltita
Kungsfågel
Skogsduva</t>
        </is>
      </c>
      <c r="W67">
        <f>HYPERLINK("https://klasma.github.io/Logging_0883/artfynd/A 4397-2025 artfynd.xlsx", "A 4397-2025")</f>
        <v/>
      </c>
      <c r="X67">
        <f>HYPERLINK("https://klasma.github.io/Logging_0883/kartor/A 4397-2025 karta.png", "A 4397-2025")</f>
        <v/>
      </c>
      <c r="Y67">
        <f>HYPERLINK("https://klasma.github.io/Logging_0883/kartor_geotiff/A 4397-2025 georefererad karta.tif", "A 4397-2025")</f>
        <v/>
      </c>
      <c r="Z67">
        <f>HYPERLINK("https://klasma.github.io/Logging_0883/knärot/A 4397-2025 karta knärot.png", "A 4397-2025")</f>
        <v/>
      </c>
      <c r="AA67">
        <f>HYPERLINK("https://klasma.github.io/Logging_0883/klagomål/A 4397-2025 FSC-klagomål.docx", "A 4397-2025")</f>
        <v/>
      </c>
      <c r="AB67">
        <f>HYPERLINK("https://klasma.github.io/Logging_0883/klagomålsmail/A 4397-2025 FSC-klagomål mail.docx", "A 4397-2025")</f>
        <v/>
      </c>
      <c r="AC67">
        <f>HYPERLINK("https://klasma.github.io/Logging_0883/tillsyn/A 4397-2025 tillsynsbegäran.docx", "A 4397-2025")</f>
        <v/>
      </c>
      <c r="AD67">
        <f>HYPERLINK("https://klasma.github.io/Logging_0883/tillsynsmail/A 4397-2025 tillsynsbegäran mail.docx", "A 4397-2025")</f>
        <v/>
      </c>
      <c r="AE67">
        <f>HYPERLINK("https://klasma.github.io/Logging_0883/fåglar/A 4397-2025 prioriterade fågelarter.docx", "A 4397-2025")</f>
        <v/>
      </c>
    </row>
    <row r="68" ht="15" customHeight="1">
      <c r="A68" t="inlineStr">
        <is>
          <t>A 20366-2024</t>
        </is>
      </c>
      <c r="B68" t="inlineStr">
        <is>
          <t>avverkningsanmälan</t>
        </is>
      </c>
      <c r="C68" t="inlineStr">
        <is>
          <t>Föryngringsavverkning</t>
        </is>
      </c>
      <c r="D68" s="1" t="n">
        <v>45435</v>
      </c>
      <c r="E68" s="1" t="n">
        <v>46323</v>
      </c>
      <c r="F68" t="inlineStr">
        <is>
          <t>KALMAR LÄN</t>
        </is>
      </c>
      <c r="G68" t="inlineStr">
        <is>
          <t>VÄSTERVIK</t>
        </is>
      </c>
      <c r="I68" t="n">
        <v>0.8</v>
      </c>
      <c r="J68" t="n">
        <v>5</v>
      </c>
      <c r="K68" t="n">
        <v>2</v>
      </c>
      <c r="L68" t="n">
        <v>3</v>
      </c>
      <c r="M68" t="n">
        <v>1</v>
      </c>
      <c r="N68" t="n">
        <v>0</v>
      </c>
      <c r="O68" t="n">
        <v>0</v>
      </c>
      <c r="P68" t="n">
        <v>0</v>
      </c>
      <c r="Q68" t="n">
        <v>4</v>
      </c>
      <c r="R68" t="n">
        <v>1</v>
      </c>
      <c r="S68" t="n">
        <v>7</v>
      </c>
      <c r="T68" t="n">
        <v>16</v>
      </c>
      <c r="U68" t="n">
        <v>16</v>
      </c>
      <c r="V68" s="2" t="inlineStr">
        <is>
          <t>Smalsprötad bastardsvärmare
Entita
Tallticka
Talltita
Ekoxe
Purpurknipprot
Spillkråka</t>
        </is>
      </c>
      <c r="W68">
        <f>HYPERLINK("https://klasma.github.io/Logging_0883/artfynd/A 20366-2024 artfynd.xlsx", "A 20366-2024")</f>
        <v/>
      </c>
      <c r="X68">
        <f>HYPERLINK("https://klasma.github.io/Logging_0883/kartor/A 20366-2024 karta.png", "A 20366-2024")</f>
        <v/>
      </c>
      <c r="Y68">
        <f>HYPERLINK("https://klasma.github.io/Logging_0883/kartor_geotiff/A 20366-2024 georefererad karta.tif", "A 20366-2024")</f>
        <v/>
      </c>
      <c r="AA68">
        <f>HYPERLINK("https://klasma.github.io/Logging_0883/klagomål/A 20366-2024 FSC-klagomål.docx", "A 20366-2024")</f>
        <v/>
      </c>
      <c r="AB68">
        <f>HYPERLINK("https://klasma.github.io/Logging_0883/klagomålsmail/A 20366-2024 FSC-klagomål mail.docx", "A 20366-2024")</f>
        <v/>
      </c>
      <c r="AC68">
        <f>HYPERLINK("https://klasma.github.io/Logging_0883/tillsyn/A 20366-2024 tillsynsbegäran.docx", "A 20366-2024")</f>
        <v/>
      </c>
      <c r="AD68">
        <f>HYPERLINK("https://klasma.github.io/Logging_0883/tillsynsmail/A 20366-2024 tillsynsbegäran mail.docx", "A 20366-2024")</f>
        <v/>
      </c>
      <c r="AE68">
        <f>HYPERLINK("https://klasma.github.io/Logging_0883/fåglar/A 20366-2024 prioriterade fågelarter.docx", "A 20366-2024")</f>
        <v/>
      </c>
    </row>
    <row r="69" ht="15" customHeight="1">
      <c r="A69" t="inlineStr">
        <is>
          <t>S 2360-2024</t>
        </is>
      </c>
      <c r="B69" t="inlineStr">
        <is>
          <t>samrådsanmälan</t>
        </is>
      </c>
      <c r="C69" t="inlineStr">
        <is>
          <t>Annan skogsbruksåtgärd</t>
        </is>
      </c>
      <c r="D69" s="1" t="n">
        <v>45467</v>
      </c>
      <c r="E69" s="1" t="n">
        <v>46323</v>
      </c>
      <c r="F69" t="inlineStr">
        <is>
          <t>KALMAR LÄN</t>
        </is>
      </c>
      <c r="G69" t="inlineStr">
        <is>
          <t>VÄSTERVIK</t>
        </is>
      </c>
      <c r="H69" t="inlineStr">
        <is>
          <t>Kommuner</t>
        </is>
      </c>
      <c r="I69" t="n">
        <v>1.7</v>
      </c>
      <c r="J69" t="n">
        <v>0</v>
      </c>
      <c r="K69" t="n">
        <v>3</v>
      </c>
      <c r="L69" t="n">
        <v>4</v>
      </c>
      <c r="M69" t="n">
        <v>0</v>
      </c>
      <c r="N69" t="n">
        <v>0</v>
      </c>
      <c r="O69" t="n">
        <v>0</v>
      </c>
      <c r="P69" t="n">
        <v>0</v>
      </c>
      <c r="Q69" t="n">
        <v>4</v>
      </c>
      <c r="R69" t="n">
        <v>0</v>
      </c>
      <c r="S69" t="n">
        <v>7</v>
      </c>
      <c r="T69" t="n">
        <v>16</v>
      </c>
      <c r="U69" t="n">
        <v>0</v>
      </c>
      <c r="V69" s="2" t="inlineStr">
        <is>
          <t>Ekticka
Gammelekslav
Oxtungssvamp
Tallticka
Grå skärelav
Svart trolldruva
Tibast</t>
        </is>
      </c>
      <c r="W69">
        <f>HYPERLINK("https://klasma.github.io/Logging_0883/artfynd/S 2360-2024 artfynd.xlsx", "S 2360-2024")</f>
        <v/>
      </c>
      <c r="X69">
        <f>HYPERLINK("https://klasma.github.io/Logging_0883/kartor/S 2360-2024 karta.png", "S 2360-2024")</f>
        <v/>
      </c>
      <c r="Y69">
        <f>HYPERLINK("https://klasma.github.io/Logging_0883/kartor_geotiff/S 2360-2024 georefererad karta.tif", "S 2360-2024")</f>
        <v/>
      </c>
      <c r="AA69">
        <f>HYPERLINK("https://klasma.github.io/Logging_0883/klagomål/S 2360-2024 FSC-klagomål.docx", "S 2360-2024")</f>
        <v/>
      </c>
      <c r="AB69">
        <f>HYPERLINK("https://klasma.github.io/Logging_0883/klagomålsmail/S 2360-2024 FSC-klagomål mail.docx", "S 2360-2024")</f>
        <v/>
      </c>
      <c r="AC69">
        <f>HYPERLINK("https://klasma.github.io/Logging_0883/tillsyn/S 2360-2024 tillsynsbegäran.docx", "S 2360-2024")</f>
        <v/>
      </c>
      <c r="AD69">
        <f>HYPERLINK("https://klasma.github.io/Logging_0883/tillsynsmail/S 2360-2024 tillsynsbegäran mail.docx", "S 2360-2024")</f>
        <v/>
      </c>
    </row>
    <row r="70" ht="15" customHeight="1">
      <c r="A70" t="inlineStr">
        <is>
          <t>S 3034-2025</t>
        </is>
      </c>
      <c r="B70" t="inlineStr">
        <is>
          <t>samrådsanmälan</t>
        </is>
      </c>
      <c r="C70" t="inlineStr">
        <is>
          <t>Annan skogsbruksåtgärd</t>
        </is>
      </c>
      <c r="D70" s="1" t="n">
        <v>45961</v>
      </c>
      <c r="E70" s="1" t="n">
        <v>46323</v>
      </c>
      <c r="F70" t="inlineStr">
        <is>
          <t>KALMAR LÄN</t>
        </is>
      </c>
      <c r="G70" t="inlineStr">
        <is>
          <t>VÄSTERVIK</t>
        </is>
      </c>
      <c r="H70" t="inlineStr">
        <is>
          <t>Sveaskog</t>
        </is>
      </c>
      <c r="I70" t="n">
        <v>2.1</v>
      </c>
      <c r="J70" t="n">
        <v>3</v>
      </c>
      <c r="K70" t="n">
        <v>3</v>
      </c>
      <c r="L70" t="n">
        <v>2</v>
      </c>
      <c r="M70" t="n">
        <v>0</v>
      </c>
      <c r="N70" t="n">
        <v>0</v>
      </c>
      <c r="O70" t="n">
        <v>0</v>
      </c>
      <c r="P70" t="n">
        <v>0</v>
      </c>
      <c r="Q70" t="n">
        <v>2</v>
      </c>
      <c r="R70" t="n">
        <v>0</v>
      </c>
      <c r="S70" t="n">
        <v>7</v>
      </c>
      <c r="T70" t="n">
        <v>8</v>
      </c>
      <c r="U70" t="n">
        <v>4</v>
      </c>
      <c r="V70" s="2" t="inlineStr">
        <is>
          <t>Tallticka
Talltita
Blåmossa
Flagellkvastmossa
Fällmossa
Blåsippa
Spillkråka</t>
        </is>
      </c>
      <c r="W70">
        <f>HYPERLINK("https://klasma.github.io/Logging_0883/artfynd/S 3034-2025 artfynd.xlsx", "S 3034-2025")</f>
        <v/>
      </c>
      <c r="X70">
        <f>HYPERLINK("https://klasma.github.io/Logging_0883/kartor/S 3034-2025 karta.png", "S 3034-2025")</f>
        <v/>
      </c>
      <c r="Y70">
        <f>HYPERLINK("https://klasma.github.io/Logging_0883/kartor_geotiff/S 3034-2025 georefererad karta.tif", "S 3034-2025")</f>
        <v/>
      </c>
      <c r="AA70">
        <f>HYPERLINK("https://klasma.github.io/Logging_0883/klagomål/S 3034-2025 FSC-klagomål.docx", "S 3034-2025")</f>
        <v/>
      </c>
      <c r="AB70">
        <f>HYPERLINK("https://klasma.github.io/Logging_0883/klagomålsmail/S 3034-2025 FSC-klagomål mail.docx", "S 3034-2025")</f>
        <v/>
      </c>
      <c r="AC70">
        <f>HYPERLINK("https://klasma.github.io/Logging_0883/tillsyn/S 3034-2025 tillsynsbegäran.docx", "S 3034-2025")</f>
        <v/>
      </c>
      <c r="AD70">
        <f>HYPERLINK("https://klasma.github.io/Logging_0883/tillsynsmail/S 3034-2025 tillsynsbegäran mail.docx", "S 3034-2025")</f>
        <v/>
      </c>
      <c r="AE70">
        <f>HYPERLINK("https://klasma.github.io/Logging_0883/fåglar/S 3034-2025 prioriterade fågelarter.docx", "S 3034-2025")</f>
        <v/>
      </c>
    </row>
    <row r="71" ht="15" customHeight="1">
      <c r="A71" t="inlineStr">
        <is>
          <t>A 71188-2021</t>
        </is>
      </c>
      <c r="B71" t="inlineStr">
        <is>
          <t>avverkningsanmälan</t>
        </is>
      </c>
      <c r="C71" t="inlineStr">
        <is>
          <t>Föryngringsavverkning</t>
        </is>
      </c>
      <c r="D71" s="1" t="n">
        <v>44539</v>
      </c>
      <c r="E71" s="1" t="n">
        <v>46323</v>
      </c>
      <c r="F71" t="inlineStr">
        <is>
          <t>KALMAR LÄN</t>
        </is>
      </c>
      <c r="G71" t="inlineStr">
        <is>
          <t>VÄSTERVIK</t>
        </is>
      </c>
      <c r="I71" t="n">
        <v>0.6</v>
      </c>
      <c r="J71" t="n">
        <v>0</v>
      </c>
      <c r="K71" t="n">
        <v>2</v>
      </c>
      <c r="L71" t="n">
        <v>4</v>
      </c>
      <c r="M71" t="n">
        <v>0</v>
      </c>
      <c r="N71" t="n">
        <v>0</v>
      </c>
      <c r="O71" t="n">
        <v>0</v>
      </c>
      <c r="P71" t="n">
        <v>0</v>
      </c>
      <c r="Q71" t="n">
        <v>4</v>
      </c>
      <c r="R71" t="n">
        <v>0</v>
      </c>
      <c r="S71" t="n">
        <v>6</v>
      </c>
      <c r="T71" t="n">
        <v>10</v>
      </c>
      <c r="U71" t="n">
        <v>0</v>
      </c>
      <c r="V71" s="2" t="inlineStr">
        <is>
          <t>Blå taggsvamp
Dropptaggsvamp
Motaggsvamp
Svartvit taggsvamp
Blomkålssvamp
Grovticka</t>
        </is>
      </c>
      <c r="W71">
        <f>HYPERLINK("https://klasma.github.io/Logging_0883/artfynd/A 71188-2021 artfynd.xlsx", "A 71188-2021")</f>
        <v/>
      </c>
      <c r="X71">
        <f>HYPERLINK("https://klasma.github.io/Logging_0883/kartor/A 71188-2021 karta.png", "A 71188-2021")</f>
        <v/>
      </c>
      <c r="Y71">
        <f>HYPERLINK("https://klasma.github.io/Logging_0883/kartor_geotiff/A 71188-2021 georefererad karta.tif", "A 71188-2021")</f>
        <v/>
      </c>
      <c r="AA71">
        <f>HYPERLINK("https://klasma.github.io/Logging_0883/klagomål/A 71188-2021 FSC-klagomål.docx", "A 71188-2021")</f>
        <v/>
      </c>
      <c r="AB71">
        <f>HYPERLINK("https://klasma.github.io/Logging_0883/klagomålsmail/A 71188-2021 FSC-klagomål mail.docx", "A 71188-2021")</f>
        <v/>
      </c>
      <c r="AC71">
        <f>HYPERLINK("https://klasma.github.io/Logging_0883/tillsyn/A 71188-2021 tillsynsbegäran.docx", "A 71188-2021")</f>
        <v/>
      </c>
      <c r="AD71">
        <f>HYPERLINK("https://klasma.github.io/Logging_0883/tillsynsmail/A 71188-2021 tillsynsbegäran mail.docx", "A 71188-2021")</f>
        <v/>
      </c>
    </row>
    <row r="72" ht="15" customHeight="1">
      <c r="A72" t="inlineStr">
        <is>
          <t>A 974-2023</t>
        </is>
      </c>
      <c r="B72" t="inlineStr">
        <is>
          <t>avverkningsanmälan</t>
        </is>
      </c>
      <c r="C72" t="inlineStr">
        <is>
          <t>Avverkning för annat ändamål</t>
        </is>
      </c>
      <c r="D72" s="1" t="n">
        <v>44935</v>
      </c>
      <c r="E72" s="1" t="n">
        <v>46323</v>
      </c>
      <c r="F72" t="inlineStr">
        <is>
          <t>KALMAR LÄN</t>
        </is>
      </c>
      <c r="G72" t="inlineStr">
        <is>
          <t>VÄSTERVIK</t>
        </is>
      </c>
      <c r="I72" t="n">
        <v>7.2</v>
      </c>
      <c r="J72" t="n">
        <v>1</v>
      </c>
      <c r="K72" t="n">
        <v>5</v>
      </c>
      <c r="L72" t="n">
        <v>0</v>
      </c>
      <c r="M72" t="n">
        <v>1</v>
      </c>
      <c r="N72" t="n">
        <v>0</v>
      </c>
      <c r="O72" t="n">
        <v>0</v>
      </c>
      <c r="P72" t="n">
        <v>0</v>
      </c>
      <c r="Q72" t="n">
        <v>1</v>
      </c>
      <c r="R72" t="n">
        <v>1</v>
      </c>
      <c r="S72" t="n">
        <v>6</v>
      </c>
      <c r="T72" t="n">
        <v>6</v>
      </c>
      <c r="U72" t="n">
        <v>1</v>
      </c>
      <c r="V72" s="2" t="inlineStr">
        <is>
          <t>Läderbagge
Blanksvart trämyra
Fällmossa
Guldlockmossa
Gulpudrad spiklav
Myskmadra</t>
        </is>
      </c>
      <c r="W72">
        <f>HYPERLINK("https://klasma.github.io/Logging_0883/artfynd/A 974-2023 artfynd.xlsx", "A 974-2023")</f>
        <v/>
      </c>
      <c r="X72">
        <f>HYPERLINK("https://klasma.github.io/Logging_0883/kartor/A 974-2023 karta.png", "A 974-2023")</f>
        <v/>
      </c>
      <c r="Y72">
        <f>HYPERLINK("https://klasma.github.io/Logging_0883/kartor_geotiff/A 974-2023 georefererad karta.tif", "A 974-2023")</f>
        <v/>
      </c>
      <c r="AA72">
        <f>HYPERLINK("https://klasma.github.io/Logging_0883/klagomål/A 974-2023 FSC-klagomål.docx", "A 974-2023")</f>
        <v/>
      </c>
      <c r="AB72">
        <f>HYPERLINK("https://klasma.github.io/Logging_0883/klagomålsmail/A 974-2023 FSC-klagomål mail.docx", "A 974-2023")</f>
        <v/>
      </c>
      <c r="AC72">
        <f>HYPERLINK("https://klasma.github.io/Logging_0883/tillsyn/A 974-2023 tillsynsbegäran.docx", "A 974-2023")</f>
        <v/>
      </c>
      <c r="AD72">
        <f>HYPERLINK("https://klasma.github.io/Logging_0883/tillsynsmail/A 974-2023 tillsynsbegäran mail.docx", "A 974-2023")</f>
        <v/>
      </c>
    </row>
    <row r="73" ht="15" customHeight="1">
      <c r="A73" t="inlineStr">
        <is>
          <t>A 9975-2024</t>
        </is>
      </c>
      <c r="B73" t="inlineStr">
        <is>
          <t>avverkningsanmälan</t>
        </is>
      </c>
      <c r="C73" t="inlineStr">
        <is>
          <t>Föryngringsavverkning</t>
        </is>
      </c>
      <c r="D73" s="1" t="n">
        <v>45363</v>
      </c>
      <c r="E73" s="1" t="n">
        <v>46323</v>
      </c>
      <c r="F73" t="inlineStr">
        <is>
          <t>KALMAR LÄN</t>
        </is>
      </c>
      <c r="G73" t="inlineStr">
        <is>
          <t>VÄSTERVIK</t>
        </is>
      </c>
      <c r="I73" t="n">
        <v>2.2</v>
      </c>
      <c r="J73" t="n">
        <v>5</v>
      </c>
      <c r="K73" t="n">
        <v>0</v>
      </c>
      <c r="L73" t="n">
        <v>2</v>
      </c>
      <c r="M73" t="n">
        <v>1</v>
      </c>
      <c r="N73" t="n">
        <v>0</v>
      </c>
      <c r="O73" t="n">
        <v>0</v>
      </c>
      <c r="P73" t="n">
        <v>0</v>
      </c>
      <c r="Q73" t="n">
        <v>3</v>
      </c>
      <c r="R73" t="n">
        <v>1</v>
      </c>
      <c r="S73" t="n">
        <v>6</v>
      </c>
      <c r="T73" t="n">
        <v>27</v>
      </c>
      <c r="U73" t="n">
        <v>26</v>
      </c>
      <c r="V73" s="2" t="inlineStr">
        <is>
          <t>Knärot
Tallticka
Talltita
Järpe
Spillkråka
Kungsfågel</t>
        </is>
      </c>
      <c r="W73">
        <f>HYPERLINK("https://klasma.github.io/Logging_0883/artfynd/A 9975-2024 artfynd.xlsx", "A 9975-2024")</f>
        <v/>
      </c>
      <c r="X73">
        <f>HYPERLINK("https://klasma.github.io/Logging_0883/kartor/A 9975-2024 karta.png", "A 9975-2024")</f>
        <v/>
      </c>
      <c r="Y73">
        <f>HYPERLINK("https://klasma.github.io/Logging_0883/kartor_geotiff/A 9975-2024 georefererad karta.tif", "A 9975-2024")</f>
        <v/>
      </c>
      <c r="Z73">
        <f>HYPERLINK("https://klasma.github.io/Logging_0883/knärot/A 9975-2024 karta knärot.png", "A 9975-2024")</f>
        <v/>
      </c>
      <c r="AA73">
        <f>HYPERLINK("https://klasma.github.io/Logging_0883/klagomål/A 9975-2024 FSC-klagomål.docx", "A 9975-2024")</f>
        <v/>
      </c>
      <c r="AB73">
        <f>HYPERLINK("https://klasma.github.io/Logging_0883/klagomålsmail/A 9975-2024 FSC-klagomål mail.docx", "A 9975-2024")</f>
        <v/>
      </c>
      <c r="AC73">
        <f>HYPERLINK("https://klasma.github.io/Logging_0883/tillsyn/A 9975-2024 tillsynsbegäran.docx", "A 9975-2024")</f>
        <v/>
      </c>
      <c r="AD73">
        <f>HYPERLINK("https://klasma.github.io/Logging_0883/tillsynsmail/A 9975-2024 tillsynsbegäran mail.docx", "A 9975-2024")</f>
        <v/>
      </c>
      <c r="AE73">
        <f>HYPERLINK("https://klasma.github.io/Logging_0883/fåglar/A 9975-2024 prioriterade fågelarter.docx", "A 9975-2024")</f>
        <v/>
      </c>
    </row>
    <row r="74" ht="15" customHeight="1">
      <c r="A74" t="inlineStr">
        <is>
          <t>A 55286-2023</t>
        </is>
      </c>
      <c r="B74" t="inlineStr">
        <is>
          <t>avverkningsanmälan</t>
        </is>
      </c>
      <c r="C74" t="inlineStr">
        <is>
          <t>Föryngringsavverkning</t>
        </is>
      </c>
      <c r="D74" s="1" t="n">
        <v>45237</v>
      </c>
      <c r="E74" s="1" t="n">
        <v>46323</v>
      </c>
      <c r="F74" t="inlineStr">
        <is>
          <t>KALMAR LÄN</t>
        </is>
      </c>
      <c r="G74" t="inlineStr">
        <is>
          <t>VÄSTERVIK</t>
        </is>
      </c>
      <c r="I74" t="n">
        <v>5.9</v>
      </c>
      <c r="J74" t="n">
        <v>2</v>
      </c>
      <c r="K74" t="n">
        <v>3</v>
      </c>
      <c r="L74" t="n">
        <v>0</v>
      </c>
      <c r="M74" t="n">
        <v>1</v>
      </c>
      <c r="N74" t="n">
        <v>1</v>
      </c>
      <c r="O74" t="n">
        <v>0</v>
      </c>
      <c r="P74" t="n">
        <v>0</v>
      </c>
      <c r="Q74" t="n">
        <v>2</v>
      </c>
      <c r="R74" t="n">
        <v>2</v>
      </c>
      <c r="S74" t="n">
        <v>6</v>
      </c>
      <c r="T74" t="n">
        <v>18</v>
      </c>
      <c r="U74" t="n">
        <v>18</v>
      </c>
      <c r="V74" s="2" t="inlineStr">
        <is>
          <t>Koppartaggsvamp
Knärot
Blomskägglav
Blåmossa
Grovticka
Spillkråka</t>
        </is>
      </c>
      <c r="W74">
        <f>HYPERLINK("https://klasma.github.io/Logging_0883/artfynd/A 55286-2023 artfynd.xlsx", "A 55286-2023")</f>
        <v/>
      </c>
      <c r="X74">
        <f>HYPERLINK("https://klasma.github.io/Logging_0883/kartor/A 55286-2023 karta.png", "A 55286-2023")</f>
        <v/>
      </c>
      <c r="Y74">
        <f>HYPERLINK("https://klasma.github.io/Logging_0883/kartor_geotiff/A 55286-2023 georefererad karta.tif", "A 55286-2023")</f>
        <v/>
      </c>
      <c r="Z74">
        <f>HYPERLINK("https://klasma.github.io/Logging_0883/knärot/A 55286-2023 karta knärot.png", "A 55286-2023")</f>
        <v/>
      </c>
      <c r="AA74">
        <f>HYPERLINK("https://klasma.github.io/Logging_0883/klagomål/A 55286-2023 FSC-klagomål.docx", "A 55286-2023")</f>
        <v/>
      </c>
      <c r="AB74">
        <f>HYPERLINK("https://klasma.github.io/Logging_0883/klagomålsmail/A 55286-2023 FSC-klagomål mail.docx", "A 55286-2023")</f>
        <v/>
      </c>
      <c r="AC74">
        <f>HYPERLINK("https://klasma.github.io/Logging_0883/tillsyn/A 55286-2023 tillsynsbegäran.docx", "A 55286-2023")</f>
        <v/>
      </c>
      <c r="AD74">
        <f>HYPERLINK("https://klasma.github.io/Logging_0883/tillsynsmail/A 55286-2023 tillsynsbegäran mail.docx", "A 55286-2023")</f>
        <v/>
      </c>
      <c r="AE74">
        <f>HYPERLINK("https://klasma.github.io/Logging_0883/fåglar/A 55286-2023 prioriterade fågelarter.docx", "A 55286-2023")</f>
        <v/>
      </c>
    </row>
    <row r="75" ht="15" customHeight="1">
      <c r="A75" t="inlineStr">
        <is>
          <t>A 53849-2025</t>
        </is>
      </c>
      <c r="B75" t="inlineStr">
        <is>
          <t>avverkningsanmälan</t>
        </is>
      </c>
      <c r="C75" t="inlineStr">
        <is>
          <t>Avverkning för att bevara och utveckla /försöksver</t>
        </is>
      </c>
      <c r="D75" s="1" t="n">
        <v>45961</v>
      </c>
      <c r="E75" s="1" t="n">
        <v>46323</v>
      </c>
      <c r="F75" t="inlineStr">
        <is>
          <t>KALMAR LÄN</t>
        </is>
      </c>
      <c r="G75" t="inlineStr">
        <is>
          <t>VÄSTERVIK</t>
        </is>
      </c>
      <c r="H75" t="inlineStr">
        <is>
          <t>Sveaskog</t>
        </is>
      </c>
      <c r="I75" t="n">
        <v>3.4</v>
      </c>
      <c r="J75" t="n">
        <v>4</v>
      </c>
      <c r="K75" t="n">
        <v>2</v>
      </c>
      <c r="L75" t="n">
        <v>1</v>
      </c>
      <c r="M75" t="n">
        <v>0</v>
      </c>
      <c r="N75" t="n">
        <v>0</v>
      </c>
      <c r="O75" t="n">
        <v>0</v>
      </c>
      <c r="P75" t="n">
        <v>0</v>
      </c>
      <c r="Q75" t="n">
        <v>1</v>
      </c>
      <c r="R75" t="n">
        <v>0</v>
      </c>
      <c r="S75" t="n">
        <v>6</v>
      </c>
      <c r="T75" t="n">
        <v>7</v>
      </c>
      <c r="U75" t="n">
        <v>4</v>
      </c>
      <c r="V75" s="2" t="inlineStr">
        <is>
          <t>Talltita
Fällmossa
Murgröna
Blåsippa
Spillkråka
Kungsfågel</t>
        </is>
      </c>
      <c r="W75">
        <f>HYPERLINK("https://klasma.github.io/Logging_0883/artfynd/A 53849-2025 artfynd.xlsx", "A 53849-2025")</f>
        <v/>
      </c>
      <c r="X75">
        <f>HYPERLINK("https://klasma.github.io/Logging_0883/kartor/A 53849-2025 karta.png", "A 53849-2025")</f>
        <v/>
      </c>
      <c r="Y75">
        <f>HYPERLINK("https://klasma.github.io/Logging_0883/kartor_geotiff/A 53849-2025 georefererad karta.tif", "A 53849-2025")</f>
        <v/>
      </c>
      <c r="AA75">
        <f>HYPERLINK("https://klasma.github.io/Logging_0883/klagomål/A 53849-2025 FSC-klagomål.docx", "A 53849-2025")</f>
        <v/>
      </c>
      <c r="AB75">
        <f>HYPERLINK("https://klasma.github.io/Logging_0883/klagomålsmail/A 53849-2025 FSC-klagomål mail.docx", "A 53849-2025")</f>
        <v/>
      </c>
      <c r="AC75">
        <f>HYPERLINK("https://klasma.github.io/Logging_0883/tillsyn/A 53849-2025 tillsynsbegäran.docx", "A 53849-2025")</f>
        <v/>
      </c>
      <c r="AD75">
        <f>HYPERLINK("https://klasma.github.io/Logging_0883/tillsynsmail/A 53849-2025 tillsynsbegäran mail.docx", "A 53849-2025")</f>
        <v/>
      </c>
      <c r="AE75">
        <f>HYPERLINK("https://klasma.github.io/Logging_0883/fåglar/A 53849-2025 prioriterade fågelarter.docx", "A 53849-2025")</f>
        <v/>
      </c>
    </row>
    <row r="76" ht="15" customHeight="1">
      <c r="A76" t="inlineStr">
        <is>
          <t>A 2806-2025</t>
        </is>
      </c>
      <c r="B76" t="inlineStr">
        <is>
          <t>avverkningsanmälan</t>
        </is>
      </c>
      <c r="C76" t="inlineStr">
        <is>
          <t>Föryngringsavverkning</t>
        </is>
      </c>
      <c r="D76" s="1" t="n">
        <v>45677</v>
      </c>
      <c r="E76" s="1" t="n">
        <v>46323</v>
      </c>
      <c r="F76" t="inlineStr">
        <is>
          <t>KALMAR LÄN</t>
        </is>
      </c>
      <c r="G76" t="inlineStr">
        <is>
          <t>VÄSTERVIK</t>
        </is>
      </c>
      <c r="I76" t="n">
        <v>1.5</v>
      </c>
      <c r="J76" t="n">
        <v>3</v>
      </c>
      <c r="K76" t="n">
        <v>1</v>
      </c>
      <c r="L76" t="n">
        <v>2</v>
      </c>
      <c r="M76" t="n">
        <v>2</v>
      </c>
      <c r="N76" t="n">
        <v>0</v>
      </c>
      <c r="O76" t="n">
        <v>0</v>
      </c>
      <c r="P76" t="n">
        <v>0</v>
      </c>
      <c r="Q76" t="n">
        <v>4</v>
      </c>
      <c r="R76" t="n">
        <v>2</v>
      </c>
      <c r="S76" t="n">
        <v>6</v>
      </c>
      <c r="T76" t="n">
        <v>17</v>
      </c>
      <c r="U76" t="n">
        <v>17</v>
      </c>
      <c r="V76" s="2" t="inlineStr">
        <is>
          <t>Knärot
Ryl
Talltita
Ullticka
Grönpyrola
Kungsfågel</t>
        </is>
      </c>
      <c r="W76">
        <f>HYPERLINK("https://klasma.github.io/Logging_0883/artfynd/A 2806-2025 artfynd.xlsx", "A 2806-2025")</f>
        <v/>
      </c>
      <c r="X76">
        <f>HYPERLINK("https://klasma.github.io/Logging_0883/kartor/A 2806-2025 karta.png", "A 2806-2025")</f>
        <v/>
      </c>
      <c r="Y76">
        <f>HYPERLINK("https://klasma.github.io/Logging_0883/kartor_geotiff/A 2806-2025 georefererad karta.tif", "A 2806-2025")</f>
        <v/>
      </c>
      <c r="Z76">
        <f>HYPERLINK("https://klasma.github.io/Logging_0883/knärot/A 2806-2025 karta knärot.png", "A 2806-2025")</f>
        <v/>
      </c>
      <c r="AA76">
        <f>HYPERLINK("https://klasma.github.io/Logging_0883/klagomål/A 2806-2025 FSC-klagomål.docx", "A 2806-2025")</f>
        <v/>
      </c>
      <c r="AB76">
        <f>HYPERLINK("https://klasma.github.io/Logging_0883/klagomålsmail/A 2806-2025 FSC-klagomål mail.docx", "A 2806-2025")</f>
        <v/>
      </c>
      <c r="AC76">
        <f>HYPERLINK("https://klasma.github.io/Logging_0883/tillsyn/A 2806-2025 tillsynsbegäran.docx", "A 2806-2025")</f>
        <v/>
      </c>
      <c r="AD76">
        <f>HYPERLINK("https://klasma.github.io/Logging_0883/tillsynsmail/A 2806-2025 tillsynsbegäran mail.docx", "A 2806-2025")</f>
        <v/>
      </c>
      <c r="AE76">
        <f>HYPERLINK("https://klasma.github.io/Logging_0883/fåglar/A 2806-2025 prioriterade fågelarter.docx", "A 2806-2025")</f>
        <v/>
      </c>
    </row>
    <row r="77" ht="15" customHeight="1">
      <c r="A77" t="inlineStr">
        <is>
          <t>A 58727-2024</t>
        </is>
      </c>
      <c r="B77" t="inlineStr">
        <is>
          <t>avverkningsanmälan</t>
        </is>
      </c>
      <c r="C77" t="inlineStr">
        <is>
          <t>Föryngringsavverkning</t>
        </is>
      </c>
      <c r="D77" s="1" t="n">
        <v>45635</v>
      </c>
      <c r="E77" s="1" t="n">
        <v>46323</v>
      </c>
      <c r="F77" t="inlineStr">
        <is>
          <t>KALMAR LÄN</t>
        </is>
      </c>
      <c r="G77" t="inlineStr">
        <is>
          <t>VÄSTERVIK</t>
        </is>
      </c>
      <c r="H77" t="inlineStr">
        <is>
          <t>Holmen skog AB</t>
        </is>
      </c>
      <c r="I77" t="n">
        <v>2.8</v>
      </c>
      <c r="J77" t="n">
        <v>5</v>
      </c>
      <c r="K77" t="n">
        <v>1</v>
      </c>
      <c r="L77" t="n">
        <v>3</v>
      </c>
      <c r="M77" t="n">
        <v>0</v>
      </c>
      <c r="N77" t="n">
        <v>0</v>
      </c>
      <c r="O77" t="n">
        <v>0</v>
      </c>
      <c r="P77" t="n">
        <v>0</v>
      </c>
      <c r="Q77" t="n">
        <v>3</v>
      </c>
      <c r="R77" t="n">
        <v>0</v>
      </c>
      <c r="S77" t="n">
        <v>6</v>
      </c>
      <c r="T77" t="n">
        <v>6</v>
      </c>
      <c r="U77" t="n">
        <v>6</v>
      </c>
      <c r="V77" s="2" t="inlineStr">
        <is>
          <t>Entita
Nötkråka
Talltita
Blåmossa
Spillkråka
Havsörn</t>
        </is>
      </c>
      <c r="W77">
        <f>HYPERLINK("https://klasma.github.io/Logging_0883/artfynd/A 58727-2024 artfynd.xlsx", "A 58727-2024")</f>
        <v/>
      </c>
      <c r="X77">
        <f>HYPERLINK("https://klasma.github.io/Logging_0883/kartor/A 58727-2024 karta.png", "A 58727-2024")</f>
        <v/>
      </c>
      <c r="Y77">
        <f>HYPERLINK("https://klasma.github.io/Logging_0883/kartor_geotiff/A 58727-2024 georefererad karta.tif", "A 58727-2024")</f>
        <v/>
      </c>
      <c r="AA77">
        <f>HYPERLINK("https://klasma.github.io/Logging_0883/klagomål/A 58727-2024 FSC-klagomål.docx", "A 58727-2024")</f>
        <v/>
      </c>
      <c r="AB77">
        <f>HYPERLINK("https://klasma.github.io/Logging_0883/klagomålsmail/A 58727-2024 FSC-klagomål mail.docx", "A 58727-2024")</f>
        <v/>
      </c>
      <c r="AC77">
        <f>HYPERLINK("https://klasma.github.io/Logging_0883/tillsyn/A 58727-2024 tillsynsbegäran.docx", "A 58727-2024")</f>
        <v/>
      </c>
      <c r="AD77">
        <f>HYPERLINK("https://klasma.github.io/Logging_0883/tillsynsmail/A 58727-2024 tillsynsbegäran mail.docx", "A 58727-2024")</f>
        <v/>
      </c>
      <c r="AE77">
        <f>HYPERLINK("https://klasma.github.io/Logging_0883/fåglar/A 58727-2024 prioriterade fågelarter.docx", "A 58727-2024")</f>
        <v/>
      </c>
    </row>
    <row r="78" ht="15" customHeight="1">
      <c r="A78" t="inlineStr">
        <is>
          <t>A 34624-2022</t>
        </is>
      </c>
      <c r="B78" t="inlineStr">
        <is>
          <t>avverkningsanmälan</t>
        </is>
      </c>
      <c r="C78" t="inlineStr">
        <is>
          <t>Föryngringsavverkning</t>
        </is>
      </c>
      <c r="D78" s="1" t="n">
        <v>44795</v>
      </c>
      <c r="E78" s="1" t="n">
        <v>46323</v>
      </c>
      <c r="F78" t="inlineStr">
        <is>
          <t>KALMAR LÄN</t>
        </is>
      </c>
      <c r="G78" t="inlineStr">
        <is>
          <t>VÄSTERVIK</t>
        </is>
      </c>
      <c r="I78" t="n">
        <v>14</v>
      </c>
      <c r="J78" t="n">
        <v>2</v>
      </c>
      <c r="K78" t="n">
        <v>3</v>
      </c>
      <c r="L78" t="n">
        <v>2</v>
      </c>
      <c r="M78" t="n">
        <v>1</v>
      </c>
      <c r="N78" t="n">
        <v>0</v>
      </c>
      <c r="O78" t="n">
        <v>0</v>
      </c>
      <c r="P78" t="n">
        <v>0</v>
      </c>
      <c r="Q78" t="n">
        <v>3</v>
      </c>
      <c r="R78" t="n">
        <v>1</v>
      </c>
      <c r="S78" t="n">
        <v>6</v>
      </c>
      <c r="T78" t="n">
        <v>33</v>
      </c>
      <c r="U78" t="n">
        <v>31</v>
      </c>
      <c r="V78" s="2" t="inlineStr">
        <is>
          <t>Knärot
Tallticka
Talltita
Blomkålssvamp
Blåmossa
Grönpyrola</t>
        </is>
      </c>
      <c r="W78">
        <f>HYPERLINK("https://klasma.github.io/Logging_0883/artfynd/A 34624-2022 artfynd.xlsx", "A 34624-2022")</f>
        <v/>
      </c>
      <c r="X78">
        <f>HYPERLINK("https://klasma.github.io/Logging_0883/kartor/A 34624-2022 karta.png", "A 34624-2022")</f>
        <v/>
      </c>
      <c r="Y78">
        <f>HYPERLINK("https://klasma.github.io/Logging_0883/kartor_geotiff/A 34624-2022 georefererad karta.tif", "A 34624-2022")</f>
        <v/>
      </c>
      <c r="Z78">
        <f>HYPERLINK("https://klasma.github.io/Logging_0883/knärot/A 34624-2022 karta knärot.png", "A 34624-2022")</f>
        <v/>
      </c>
      <c r="AA78">
        <f>HYPERLINK("https://klasma.github.io/Logging_0883/klagomål/A 34624-2022 FSC-klagomål.docx", "A 34624-2022")</f>
        <v/>
      </c>
      <c r="AB78">
        <f>HYPERLINK("https://klasma.github.io/Logging_0883/klagomålsmail/A 34624-2022 FSC-klagomål mail.docx", "A 34624-2022")</f>
        <v/>
      </c>
      <c r="AC78">
        <f>HYPERLINK("https://klasma.github.io/Logging_0883/tillsyn/A 34624-2022 tillsynsbegäran.docx", "A 34624-2022")</f>
        <v/>
      </c>
      <c r="AD78">
        <f>HYPERLINK("https://klasma.github.io/Logging_0883/tillsynsmail/A 34624-2022 tillsynsbegäran mail.docx", "A 34624-2022")</f>
        <v/>
      </c>
      <c r="AE78">
        <f>HYPERLINK("https://klasma.github.io/Logging_0883/fåglar/A 34624-2022 prioriterade fågelarter.docx", "A 34624-2022")</f>
        <v/>
      </c>
    </row>
    <row r="79" ht="15" customHeight="1">
      <c r="A79" t="inlineStr">
        <is>
          <t>A 60670-2025</t>
        </is>
      </c>
      <c r="B79" t="inlineStr">
        <is>
          <t>avverkningsanmälan</t>
        </is>
      </c>
      <c r="C79" t="inlineStr">
        <is>
          <t>Föryngringsavverkning</t>
        </is>
      </c>
      <c r="D79" s="1" t="n">
        <v>45996</v>
      </c>
      <c r="E79" s="1" t="n">
        <v>46323</v>
      </c>
      <c r="F79" t="inlineStr">
        <is>
          <t>KALMAR LÄN</t>
        </is>
      </c>
      <c r="G79" t="inlineStr">
        <is>
          <t>VÄSTERVIK</t>
        </is>
      </c>
      <c r="I79" t="n">
        <v>3.1</v>
      </c>
      <c r="J79" t="n">
        <v>3</v>
      </c>
      <c r="K79" t="n">
        <v>2</v>
      </c>
      <c r="L79" t="n">
        <v>2</v>
      </c>
      <c r="M79" t="n">
        <v>1</v>
      </c>
      <c r="N79" t="n">
        <v>0</v>
      </c>
      <c r="O79" t="n">
        <v>0</v>
      </c>
      <c r="P79" t="n">
        <v>0</v>
      </c>
      <c r="Q79" t="n">
        <v>3</v>
      </c>
      <c r="R79" t="n">
        <v>1</v>
      </c>
      <c r="S79" t="n">
        <v>6</v>
      </c>
      <c r="T79" t="n">
        <v>11</v>
      </c>
      <c r="U79" t="n">
        <v>11</v>
      </c>
      <c r="V79" s="2" t="inlineStr">
        <is>
          <t>Knärot
Motaggsvamp
Talltita
Grovticka
Grönpyrola
Spillkråka</t>
        </is>
      </c>
      <c r="W79">
        <f>HYPERLINK("https://klasma.github.io/Logging_0883/artfynd/A 60670-2025 artfynd.xlsx", "A 60670-2025")</f>
        <v/>
      </c>
      <c r="X79">
        <f>HYPERLINK("https://klasma.github.io/Logging_0883/kartor/A 60670-2025 karta.png", "A 60670-2025")</f>
        <v/>
      </c>
      <c r="Y79">
        <f>HYPERLINK("https://klasma.github.io/Logging_0883/kartor_geotiff/A 60670-2025 georefererad karta.tif", "A 60670-2025")</f>
        <v/>
      </c>
      <c r="Z79">
        <f>HYPERLINK("https://klasma.github.io/Logging_0883/knärot/A 60670-2025 karta knärot.png", "A 60670-2025")</f>
        <v/>
      </c>
      <c r="AA79">
        <f>HYPERLINK("https://klasma.github.io/Logging_0883/klagomål/A 60670-2025 FSC-klagomål.docx", "A 60670-2025")</f>
        <v/>
      </c>
      <c r="AB79">
        <f>HYPERLINK("https://klasma.github.io/Logging_0883/klagomålsmail/A 60670-2025 FSC-klagomål mail.docx", "A 60670-2025")</f>
        <v/>
      </c>
      <c r="AC79">
        <f>HYPERLINK("https://klasma.github.io/Logging_0883/tillsyn/A 60670-2025 tillsynsbegäran.docx", "A 60670-2025")</f>
        <v/>
      </c>
      <c r="AD79">
        <f>HYPERLINK("https://klasma.github.io/Logging_0883/tillsynsmail/A 60670-2025 tillsynsbegäran mail.docx", "A 60670-2025")</f>
        <v/>
      </c>
      <c r="AE79">
        <f>HYPERLINK("https://klasma.github.io/Logging_0883/fåglar/A 60670-2025 prioriterade fågelarter.docx", "A 60670-2025")</f>
        <v/>
      </c>
    </row>
    <row r="80" ht="15" customHeight="1">
      <c r="A80" t="inlineStr">
        <is>
          <t>A 52046-2024</t>
        </is>
      </c>
      <c r="B80" t="inlineStr">
        <is>
          <t>avverkningsanmälan</t>
        </is>
      </c>
      <c r="C80" t="inlineStr">
        <is>
          <t>Föryngringsavverkning</t>
        </is>
      </c>
      <c r="D80" s="1" t="n">
        <v>45608</v>
      </c>
      <c r="E80" s="1" t="n">
        <v>46323</v>
      </c>
      <c r="F80" t="inlineStr">
        <is>
          <t>KALMAR LÄN</t>
        </is>
      </c>
      <c r="G80" t="inlineStr">
        <is>
          <t>VÄSTERVIK</t>
        </is>
      </c>
      <c r="I80" t="n">
        <v>4.6</v>
      </c>
      <c r="J80" t="n">
        <v>1</v>
      </c>
      <c r="K80" t="n">
        <v>2</v>
      </c>
      <c r="L80" t="n">
        <v>4</v>
      </c>
      <c r="M80" t="n">
        <v>0</v>
      </c>
      <c r="N80" t="n">
        <v>0</v>
      </c>
      <c r="O80" t="n">
        <v>0</v>
      </c>
      <c r="P80" t="n">
        <v>0</v>
      </c>
      <c r="Q80" t="n">
        <v>4</v>
      </c>
      <c r="R80" t="n">
        <v>0</v>
      </c>
      <c r="S80" t="n">
        <v>6</v>
      </c>
      <c r="T80" t="n">
        <v>13</v>
      </c>
      <c r="U80" t="n">
        <v>13</v>
      </c>
      <c r="V80" s="2" t="inlineStr">
        <is>
          <t>Dropptaggsvamp
Motaggsvamp
Tallticka
Talltita
Blåmossa
Grovticka</t>
        </is>
      </c>
      <c r="W80">
        <f>HYPERLINK("https://klasma.github.io/Logging_0883/artfynd/A 52046-2024 artfynd.xlsx", "A 52046-2024")</f>
        <v/>
      </c>
      <c r="X80">
        <f>HYPERLINK("https://klasma.github.io/Logging_0883/kartor/A 52046-2024 karta.png", "A 52046-2024")</f>
        <v/>
      </c>
      <c r="Y80">
        <f>HYPERLINK("https://klasma.github.io/Logging_0883/kartor_geotiff/A 52046-2024 georefererad karta.tif", "A 52046-2024")</f>
        <v/>
      </c>
      <c r="AA80">
        <f>HYPERLINK("https://klasma.github.io/Logging_0883/klagomål/A 52046-2024 FSC-klagomål.docx", "A 52046-2024")</f>
        <v/>
      </c>
      <c r="AB80">
        <f>HYPERLINK("https://klasma.github.io/Logging_0883/klagomålsmail/A 52046-2024 FSC-klagomål mail.docx", "A 52046-2024")</f>
        <v/>
      </c>
      <c r="AC80">
        <f>HYPERLINK("https://klasma.github.io/Logging_0883/tillsyn/A 52046-2024 tillsynsbegäran.docx", "A 52046-2024")</f>
        <v/>
      </c>
      <c r="AD80">
        <f>HYPERLINK("https://klasma.github.io/Logging_0883/tillsynsmail/A 52046-2024 tillsynsbegäran mail.docx", "A 52046-2024")</f>
        <v/>
      </c>
      <c r="AE80">
        <f>HYPERLINK("https://klasma.github.io/Logging_0883/fåglar/A 52046-2024 prioriterade fågelarter.docx", "A 52046-2024")</f>
        <v/>
      </c>
    </row>
    <row r="81" ht="15" customHeight="1">
      <c r="A81" t="inlineStr">
        <is>
          <t>A 47774-2025</t>
        </is>
      </c>
      <c r="B81" t="inlineStr">
        <is>
          <t>avverkningsanmälan</t>
        </is>
      </c>
      <c r="C81" t="inlineStr">
        <is>
          <t>Föryngringsavverkning</t>
        </is>
      </c>
      <c r="D81" s="1" t="n">
        <v>45931</v>
      </c>
      <c r="E81" s="1" t="n">
        <v>46323</v>
      </c>
      <c r="F81" t="inlineStr">
        <is>
          <t>KALMAR LÄN</t>
        </is>
      </c>
      <c r="G81" t="inlineStr">
        <is>
          <t>VÄSTERVIK</t>
        </is>
      </c>
      <c r="I81" t="n">
        <v>2.8</v>
      </c>
      <c r="J81" t="n">
        <v>2</v>
      </c>
      <c r="K81" t="n">
        <v>1</v>
      </c>
      <c r="L81" t="n">
        <v>4</v>
      </c>
      <c r="M81" t="n">
        <v>0</v>
      </c>
      <c r="N81" t="n">
        <v>0</v>
      </c>
      <c r="O81" t="n">
        <v>0</v>
      </c>
      <c r="P81" t="n">
        <v>0</v>
      </c>
      <c r="Q81" t="n">
        <v>4</v>
      </c>
      <c r="R81" t="n">
        <v>0</v>
      </c>
      <c r="S81" t="n">
        <v>6</v>
      </c>
      <c r="T81" t="n">
        <v>7</v>
      </c>
      <c r="U81" t="n">
        <v>7</v>
      </c>
      <c r="V81" s="2" t="inlineStr">
        <is>
          <t>Fjällig taggsvamp s.str.
Rynkskinn
Talltita
Vaddporing
Grovticka
Spillkråka</t>
        </is>
      </c>
      <c r="W81">
        <f>HYPERLINK("https://klasma.github.io/Logging_0883/artfynd/A 47774-2025 artfynd.xlsx", "A 47774-2025")</f>
        <v/>
      </c>
      <c r="X81">
        <f>HYPERLINK("https://klasma.github.io/Logging_0883/kartor/A 47774-2025 karta.png", "A 47774-2025")</f>
        <v/>
      </c>
      <c r="Y81">
        <f>HYPERLINK("https://klasma.github.io/Logging_0883/kartor_geotiff/A 47774-2025 georefererad karta.tif", "A 47774-2025")</f>
        <v/>
      </c>
      <c r="AA81">
        <f>HYPERLINK("https://klasma.github.io/Logging_0883/klagomål/A 47774-2025 FSC-klagomål.docx", "A 47774-2025")</f>
        <v/>
      </c>
      <c r="AB81">
        <f>HYPERLINK("https://klasma.github.io/Logging_0883/klagomålsmail/A 47774-2025 FSC-klagomål mail.docx", "A 47774-2025")</f>
        <v/>
      </c>
      <c r="AC81">
        <f>HYPERLINK("https://klasma.github.io/Logging_0883/tillsyn/A 47774-2025 tillsynsbegäran.docx", "A 47774-2025")</f>
        <v/>
      </c>
      <c r="AD81">
        <f>HYPERLINK("https://klasma.github.io/Logging_0883/tillsynsmail/A 47774-2025 tillsynsbegäran mail.docx", "A 47774-2025")</f>
        <v/>
      </c>
      <c r="AE81">
        <f>HYPERLINK("https://klasma.github.io/Logging_0883/fåglar/A 47774-2025 prioriterade fågelarter.docx", "A 47774-2025")</f>
        <v/>
      </c>
    </row>
    <row r="82" ht="15" customHeight="1">
      <c r="A82" t="inlineStr">
        <is>
          <t>A 59178-2022</t>
        </is>
      </c>
      <c r="B82" t="inlineStr">
        <is>
          <t>avverkningsanmälan</t>
        </is>
      </c>
      <c r="C82" t="inlineStr">
        <is>
          <t>Föryngringsavverkning</t>
        </is>
      </c>
      <c r="D82" s="1" t="n">
        <v>44904</v>
      </c>
      <c r="E82" s="1" t="n">
        <v>46323</v>
      </c>
      <c r="F82" t="inlineStr">
        <is>
          <t>KALMAR LÄN</t>
        </is>
      </c>
      <c r="G82" t="inlineStr">
        <is>
          <t>VÄSTERVIK</t>
        </is>
      </c>
      <c r="I82" t="n">
        <v>3.3</v>
      </c>
      <c r="J82" t="n">
        <v>5</v>
      </c>
      <c r="K82" t="n">
        <v>0</v>
      </c>
      <c r="L82" t="n">
        <v>4</v>
      </c>
      <c r="M82" t="n">
        <v>0</v>
      </c>
      <c r="N82" t="n">
        <v>0</v>
      </c>
      <c r="O82" t="n">
        <v>0</v>
      </c>
      <c r="P82" t="n">
        <v>0</v>
      </c>
      <c r="Q82" t="n">
        <v>4</v>
      </c>
      <c r="R82" t="n">
        <v>0</v>
      </c>
      <c r="S82" t="n">
        <v>6</v>
      </c>
      <c r="T82" t="n">
        <v>9</v>
      </c>
      <c r="U82" t="n">
        <v>9</v>
      </c>
      <c r="V82" s="2" t="inlineStr">
        <is>
          <t>Entita
Grönsångare
Tallticka
Talltita
Spillkråka
Kungsfågel</t>
        </is>
      </c>
      <c r="W82">
        <f>HYPERLINK("https://klasma.github.io/Logging_0883/artfynd/A 59178-2022 artfynd.xlsx", "A 59178-2022")</f>
        <v/>
      </c>
      <c r="X82">
        <f>HYPERLINK("https://klasma.github.io/Logging_0883/kartor/A 59178-2022 karta.png", "A 59178-2022")</f>
        <v/>
      </c>
      <c r="Y82">
        <f>HYPERLINK("https://klasma.github.io/Logging_0883/kartor_geotiff/A 59178-2022 georefererad karta.tif", "A 59178-2022")</f>
        <v/>
      </c>
      <c r="AA82">
        <f>HYPERLINK("https://klasma.github.io/Logging_0883/klagomål/A 59178-2022 FSC-klagomål.docx", "A 59178-2022")</f>
        <v/>
      </c>
      <c r="AB82">
        <f>HYPERLINK("https://klasma.github.io/Logging_0883/klagomålsmail/A 59178-2022 FSC-klagomål mail.docx", "A 59178-2022")</f>
        <v/>
      </c>
      <c r="AC82">
        <f>HYPERLINK("https://klasma.github.io/Logging_0883/tillsyn/A 59178-2022 tillsynsbegäran.docx", "A 59178-2022")</f>
        <v/>
      </c>
      <c r="AD82">
        <f>HYPERLINK("https://klasma.github.io/Logging_0883/tillsynsmail/A 59178-2022 tillsynsbegäran mail.docx", "A 59178-2022")</f>
        <v/>
      </c>
      <c r="AE82">
        <f>HYPERLINK("https://klasma.github.io/Logging_0883/fåglar/A 59178-2022 prioriterade fågelarter.docx", "A 59178-2022")</f>
        <v/>
      </c>
    </row>
    <row r="83" ht="15" customHeight="1">
      <c r="A83" t="inlineStr">
        <is>
          <t>A 5067-2025</t>
        </is>
      </c>
      <c r="B83" t="inlineStr">
        <is>
          <t>avverkningsanmälan</t>
        </is>
      </c>
      <c r="C83" t="inlineStr">
        <is>
          <t>Föryngringsavverkning</t>
        </is>
      </c>
      <c r="D83" s="1" t="n">
        <v>45691</v>
      </c>
      <c r="E83" s="1" t="n">
        <v>46323</v>
      </c>
      <c r="F83" t="inlineStr">
        <is>
          <t>KALMAR LÄN</t>
        </is>
      </c>
      <c r="G83" t="inlineStr">
        <is>
          <t>VÄSTERVIK</t>
        </is>
      </c>
      <c r="H83" t="inlineStr">
        <is>
          <t>Holmen skog AB</t>
        </is>
      </c>
      <c r="I83" t="n">
        <v>3.1</v>
      </c>
      <c r="J83" t="n">
        <v>4</v>
      </c>
      <c r="K83" t="n">
        <v>0</v>
      </c>
      <c r="L83" t="n">
        <v>3</v>
      </c>
      <c r="M83" t="n">
        <v>0</v>
      </c>
      <c r="N83" t="n">
        <v>0</v>
      </c>
      <c r="O83" t="n">
        <v>0</v>
      </c>
      <c r="P83" t="n">
        <v>0</v>
      </c>
      <c r="Q83" t="n">
        <v>3</v>
      </c>
      <c r="R83" t="n">
        <v>0</v>
      </c>
      <c r="S83" t="n">
        <v>6</v>
      </c>
      <c r="T83" t="n">
        <v>6</v>
      </c>
      <c r="U83" t="n">
        <v>6</v>
      </c>
      <c r="V83" s="2" t="inlineStr">
        <is>
          <t>Dropptaggsvamp
Orange taggsvamp
Talltita
Spillkråka
Kungsfågel
Revlummer</t>
        </is>
      </c>
      <c r="W83">
        <f>HYPERLINK("https://klasma.github.io/Logging_0883/artfynd/A 5067-2025 artfynd.xlsx", "A 5067-2025")</f>
        <v/>
      </c>
      <c r="X83">
        <f>HYPERLINK("https://klasma.github.io/Logging_0883/kartor/A 5067-2025 karta.png", "A 5067-2025")</f>
        <v/>
      </c>
      <c r="Y83">
        <f>HYPERLINK("https://klasma.github.io/Logging_0883/kartor_geotiff/A 5067-2025 georefererad karta.tif", "A 5067-2025")</f>
        <v/>
      </c>
      <c r="AA83">
        <f>HYPERLINK("https://klasma.github.io/Logging_0883/klagomål/A 5067-2025 FSC-klagomål.docx", "A 5067-2025")</f>
        <v/>
      </c>
      <c r="AB83">
        <f>HYPERLINK("https://klasma.github.io/Logging_0883/klagomålsmail/A 5067-2025 FSC-klagomål mail.docx", "A 5067-2025")</f>
        <v/>
      </c>
      <c r="AC83">
        <f>HYPERLINK("https://klasma.github.io/Logging_0883/tillsyn/A 5067-2025 tillsynsbegäran.docx", "A 5067-2025")</f>
        <v/>
      </c>
      <c r="AD83">
        <f>HYPERLINK("https://klasma.github.io/Logging_0883/tillsynsmail/A 5067-2025 tillsynsbegäran mail.docx", "A 5067-2025")</f>
        <v/>
      </c>
      <c r="AE83">
        <f>HYPERLINK("https://klasma.github.io/Logging_0883/fåglar/A 5067-2025 prioriterade fågelarter.docx", "A 5067-2025")</f>
        <v/>
      </c>
    </row>
    <row r="84" ht="15" customHeight="1">
      <c r="A84" t="inlineStr">
        <is>
          <t>A 24632-2026</t>
        </is>
      </c>
      <c r="B84" t="inlineStr">
        <is>
          <t>avverkningsanmälan</t>
        </is>
      </c>
      <c r="C84" t="inlineStr">
        <is>
          <t>Föryngringsavverkning</t>
        </is>
      </c>
      <c r="D84" s="1" t="n">
        <v>46171</v>
      </c>
      <c r="E84" s="1" t="n">
        <v>46323</v>
      </c>
      <c r="F84" t="inlineStr">
        <is>
          <t>KALMAR LÄN</t>
        </is>
      </c>
      <c r="G84" t="inlineStr">
        <is>
          <t>VÄSTERVIK</t>
        </is>
      </c>
      <c r="H84" t="inlineStr">
        <is>
          <t>Kyrkan</t>
        </is>
      </c>
      <c r="I84" t="n">
        <v>4.6</v>
      </c>
      <c r="J84" t="n">
        <v>3</v>
      </c>
      <c r="K84" t="n">
        <v>2</v>
      </c>
      <c r="L84" t="n">
        <v>2</v>
      </c>
      <c r="M84" t="n">
        <v>0</v>
      </c>
      <c r="N84" t="n">
        <v>0</v>
      </c>
      <c r="O84" t="n">
        <v>0</v>
      </c>
      <c r="P84" t="n">
        <v>0</v>
      </c>
      <c r="Q84" t="n">
        <v>2</v>
      </c>
      <c r="R84" t="n">
        <v>0</v>
      </c>
      <c r="S84" t="n">
        <v>6</v>
      </c>
      <c r="T84" t="n">
        <v>6</v>
      </c>
      <c r="U84" t="n">
        <v>4</v>
      </c>
      <c r="V84" s="2" t="inlineStr">
        <is>
          <t>Grönsångare
Motaggsvamp
Blåmossa
Grön sköldmossa
Spillkråka
Timmerticka</t>
        </is>
      </c>
      <c r="W84">
        <f>HYPERLINK("https://klasma.github.io/Logging_0883/artfynd/A 24632-2026 artfynd.xlsx", "A 24632-2026")</f>
        <v/>
      </c>
      <c r="X84">
        <f>HYPERLINK("https://klasma.github.io/Logging_0883/kartor/A 24632-2026 karta.png", "A 24632-2026")</f>
        <v/>
      </c>
      <c r="Y84">
        <f>HYPERLINK("https://klasma.github.io/Logging_0883/kartor_geotiff/A 24632-2026 georefererad karta.tif", "A 24632-2026")</f>
        <v/>
      </c>
      <c r="AA84">
        <f>HYPERLINK("https://klasma.github.io/Logging_0883/klagomål/A 24632-2026 FSC-klagomål.docx", "A 24632-2026")</f>
        <v/>
      </c>
      <c r="AB84">
        <f>HYPERLINK("https://klasma.github.io/Logging_0883/klagomålsmail/A 24632-2026 FSC-klagomål mail.docx", "A 24632-2026")</f>
        <v/>
      </c>
      <c r="AC84">
        <f>HYPERLINK("https://klasma.github.io/Logging_0883/tillsyn/A 24632-2026 tillsynsbegäran.docx", "A 24632-2026")</f>
        <v/>
      </c>
      <c r="AD84">
        <f>HYPERLINK("https://klasma.github.io/Logging_0883/tillsynsmail/A 24632-2026 tillsynsbegäran mail.docx", "A 24632-2026")</f>
        <v/>
      </c>
      <c r="AE84">
        <f>HYPERLINK("https://klasma.github.io/Logging_0883/fåglar/A 24632-2026 prioriterade fågelarter.docx", "A 24632-2026")</f>
        <v/>
      </c>
    </row>
    <row r="85" ht="15" customHeight="1">
      <c r="A85" t="inlineStr">
        <is>
          <t>S 3918-2023</t>
        </is>
      </c>
      <c r="B85" t="inlineStr">
        <is>
          <t>samrådsanmälan</t>
        </is>
      </c>
      <c r="C85" t="inlineStr">
        <is>
          <t>Annan skogsbruksåtgärd</t>
        </is>
      </c>
      <c r="D85" s="1" t="n">
        <v>45233</v>
      </c>
      <c r="E85" s="1" t="n">
        <v>46323</v>
      </c>
      <c r="F85" t="inlineStr">
        <is>
          <t>KALMAR LÄN</t>
        </is>
      </c>
      <c r="G85" t="inlineStr">
        <is>
          <t>VÄSTERVIK</t>
        </is>
      </c>
      <c r="H85" t="inlineStr">
        <is>
          <t>Kommuner</t>
        </is>
      </c>
      <c r="I85" t="n">
        <v>1.8</v>
      </c>
      <c r="J85" t="n">
        <v>0</v>
      </c>
      <c r="K85" t="n">
        <v>2</v>
      </c>
      <c r="L85" t="n">
        <v>4</v>
      </c>
      <c r="M85" t="n">
        <v>0</v>
      </c>
      <c r="N85" t="n">
        <v>0</v>
      </c>
      <c r="O85" t="n">
        <v>0</v>
      </c>
      <c r="P85" t="n">
        <v>0</v>
      </c>
      <c r="Q85" t="n">
        <v>4</v>
      </c>
      <c r="R85" t="n">
        <v>0</v>
      </c>
      <c r="S85" t="n">
        <v>6</v>
      </c>
      <c r="T85" t="n">
        <v>12</v>
      </c>
      <c r="U85" t="n">
        <v>0</v>
      </c>
      <c r="V85" s="2" t="inlineStr">
        <is>
          <t>Ekticka
Gammelekslav
Oxtungssvamp
Tallticka
Grå skärelav
Svart trolldruva</t>
        </is>
      </c>
      <c r="W85">
        <f>HYPERLINK("https://klasma.github.io/Logging_0883/artfynd/S 3918-2023 artfynd.xlsx", "S 3918-2023")</f>
        <v/>
      </c>
      <c r="X85">
        <f>HYPERLINK("https://klasma.github.io/Logging_0883/kartor/S 3918-2023 karta.png", "S 3918-2023")</f>
        <v/>
      </c>
      <c r="Y85">
        <f>HYPERLINK("https://klasma.github.io/Logging_0883/kartor_geotiff/S 3918-2023 georefererad karta.tif", "S 3918-2023")</f>
        <v/>
      </c>
      <c r="AA85">
        <f>HYPERLINK("https://klasma.github.io/Logging_0883/klagomål/S 3918-2023 FSC-klagomål.docx", "S 3918-2023")</f>
        <v/>
      </c>
      <c r="AB85">
        <f>HYPERLINK("https://klasma.github.io/Logging_0883/klagomålsmail/S 3918-2023 FSC-klagomål mail.docx", "S 3918-2023")</f>
        <v/>
      </c>
      <c r="AC85">
        <f>HYPERLINK("https://klasma.github.io/Logging_0883/tillsyn/S 3918-2023 tillsynsbegäran.docx", "S 3918-2023")</f>
        <v/>
      </c>
      <c r="AD85">
        <f>HYPERLINK("https://klasma.github.io/Logging_0883/tillsynsmail/S 3918-2023 tillsynsbegäran mail.docx", "S 3918-2023")</f>
        <v/>
      </c>
    </row>
    <row r="86" ht="15" customHeight="1">
      <c r="A86" t="inlineStr">
        <is>
          <t>S 3035-2025</t>
        </is>
      </c>
      <c r="B86" t="inlineStr">
        <is>
          <t>samrådsanmälan</t>
        </is>
      </c>
      <c r="C86" t="inlineStr">
        <is>
          <t>Annan skogsbruksåtgärd</t>
        </is>
      </c>
      <c r="D86" s="1" t="n">
        <v>45961</v>
      </c>
      <c r="E86" s="1" t="n">
        <v>46323</v>
      </c>
      <c r="F86" t="inlineStr">
        <is>
          <t>KALMAR LÄN</t>
        </is>
      </c>
      <c r="G86" t="inlineStr">
        <is>
          <t>VÄSTERVIK</t>
        </is>
      </c>
      <c r="H86" t="inlineStr">
        <is>
          <t>Sveaskog</t>
        </is>
      </c>
      <c r="I86" t="n">
        <v>3.4</v>
      </c>
      <c r="J86" t="n">
        <v>4</v>
      </c>
      <c r="K86" t="n">
        <v>2</v>
      </c>
      <c r="L86" t="n">
        <v>1</v>
      </c>
      <c r="M86" t="n">
        <v>0</v>
      </c>
      <c r="N86" t="n">
        <v>0</v>
      </c>
      <c r="O86" t="n">
        <v>0</v>
      </c>
      <c r="P86" t="n">
        <v>0</v>
      </c>
      <c r="Q86" t="n">
        <v>1</v>
      </c>
      <c r="R86" t="n">
        <v>0</v>
      </c>
      <c r="S86" t="n">
        <v>6</v>
      </c>
      <c r="T86" t="n">
        <v>7</v>
      </c>
      <c r="U86" t="n">
        <v>4</v>
      </c>
      <c r="V86" s="2" t="inlineStr">
        <is>
          <t>Talltita
Fällmossa
Murgröna
Blåsippa
Spillkråka
Kungsfågel</t>
        </is>
      </c>
      <c r="W86">
        <f>HYPERLINK("https://klasma.github.io/Logging_0883/artfynd/S 3035-2025 artfynd.xlsx", "S 3035-2025")</f>
        <v/>
      </c>
      <c r="X86">
        <f>HYPERLINK("https://klasma.github.io/Logging_0883/kartor/S 3035-2025 karta.png", "S 3035-2025")</f>
        <v/>
      </c>
      <c r="Y86">
        <f>HYPERLINK("https://klasma.github.io/Logging_0883/kartor_geotiff/S 3035-2025 georefererad karta.tif", "S 3035-2025")</f>
        <v/>
      </c>
      <c r="AA86">
        <f>HYPERLINK("https://klasma.github.io/Logging_0883/klagomål/S 3035-2025 FSC-klagomål.docx", "S 3035-2025")</f>
        <v/>
      </c>
      <c r="AB86">
        <f>HYPERLINK("https://klasma.github.io/Logging_0883/klagomålsmail/S 3035-2025 FSC-klagomål mail.docx", "S 3035-2025")</f>
        <v/>
      </c>
      <c r="AC86">
        <f>HYPERLINK("https://klasma.github.io/Logging_0883/tillsyn/S 3035-2025 tillsynsbegäran.docx", "S 3035-2025")</f>
        <v/>
      </c>
      <c r="AD86">
        <f>HYPERLINK("https://klasma.github.io/Logging_0883/tillsynsmail/S 3035-2025 tillsynsbegäran mail.docx", "S 3035-2025")</f>
        <v/>
      </c>
      <c r="AE86">
        <f>HYPERLINK("https://klasma.github.io/Logging_0883/fåglar/S 3035-2025 prioriterade fågelarter.docx", "S 3035-2025")</f>
        <v/>
      </c>
    </row>
    <row r="87" ht="15" customHeight="1">
      <c r="A87" t="inlineStr">
        <is>
          <t>S 1388-2026</t>
        </is>
      </c>
      <c r="B87" t="inlineStr">
        <is>
          <t>samrådsanmälan</t>
        </is>
      </c>
      <c r="C87" t="inlineStr">
        <is>
          <t>Askåterföring</t>
        </is>
      </c>
      <c r="D87" s="1" t="n">
        <v>46154</v>
      </c>
      <c r="E87" s="1" t="n">
        <v>46323</v>
      </c>
      <c r="F87" t="inlineStr">
        <is>
          <t>KALMAR LÄN</t>
        </is>
      </c>
      <c r="G87" t="inlineStr">
        <is>
          <t>VÄSTERVIK</t>
        </is>
      </c>
      <c r="I87" t="n">
        <v>27</v>
      </c>
      <c r="J87" t="n">
        <v>4</v>
      </c>
      <c r="K87" t="n">
        <v>0</v>
      </c>
      <c r="L87" t="n">
        <v>3</v>
      </c>
      <c r="M87" t="n">
        <v>0</v>
      </c>
      <c r="N87" t="n">
        <v>0</v>
      </c>
      <c r="O87" t="n">
        <v>0</v>
      </c>
      <c r="P87" t="n">
        <v>0</v>
      </c>
      <c r="Q87" t="n">
        <v>3</v>
      </c>
      <c r="R87" t="n">
        <v>0</v>
      </c>
      <c r="S87" t="n">
        <v>6</v>
      </c>
      <c r="T87" t="n">
        <v>7</v>
      </c>
      <c r="U87" t="n">
        <v>0</v>
      </c>
      <c r="V87" s="2" t="inlineStr">
        <is>
          <t>Ekticka
Tallticka
Talltita
Tjäder
Havsörn
Trädlärka</t>
        </is>
      </c>
      <c r="W87">
        <f>HYPERLINK("https://klasma.github.io/Logging_0883/artfynd/S 1388-2026 artfynd.xlsx", "S 1388-2026")</f>
        <v/>
      </c>
      <c r="X87">
        <f>HYPERLINK("https://klasma.github.io/Logging_0883/kartor/S 1388-2026 karta.png", "S 1388-2026")</f>
        <v/>
      </c>
      <c r="Y87">
        <f>HYPERLINK("https://klasma.github.io/Logging_0883/kartor_geotiff/S 1388-2026 georefererad karta.tif", "S 1388-2026")</f>
        <v/>
      </c>
      <c r="Z87">
        <f>HYPERLINK("https://klasma.github.io/Logging_0883/knärot/S 1388-2026 karta knärot.png", "S 1388-2026")</f>
        <v/>
      </c>
      <c r="AA87">
        <f>HYPERLINK("https://klasma.github.io/Logging_0883/klagomål/S 1388-2026 FSC-klagomål.docx", "S 1388-2026")</f>
        <v/>
      </c>
      <c r="AB87">
        <f>HYPERLINK("https://klasma.github.io/Logging_0883/klagomålsmail/S 1388-2026 FSC-klagomål mail.docx", "S 1388-2026")</f>
        <v/>
      </c>
      <c r="AC87">
        <f>HYPERLINK("https://klasma.github.io/Logging_0883/tillsyn/S 1388-2026 tillsynsbegäran.docx", "S 1388-2026")</f>
        <v/>
      </c>
      <c r="AD87">
        <f>HYPERLINK("https://klasma.github.io/Logging_0883/tillsynsmail/S 1388-2026 tillsynsbegäran mail.docx", "S 1388-2026")</f>
        <v/>
      </c>
      <c r="AE87">
        <f>HYPERLINK("https://klasma.github.io/Logging_0883/fåglar/S 1388-2026 prioriterade fågelarter.docx", "S 1388-2026")</f>
        <v/>
      </c>
    </row>
    <row r="88" ht="15" customHeight="1">
      <c r="A88" t="inlineStr">
        <is>
          <t>A 781-2023</t>
        </is>
      </c>
      <c r="B88" t="inlineStr">
        <is>
          <t>avverkningsanmälan</t>
        </is>
      </c>
      <c r="C88" t="inlineStr">
        <is>
          <t>Avverkning för att bevara och utveckla /försöksver</t>
        </is>
      </c>
      <c r="D88" s="1" t="n">
        <v>44931</v>
      </c>
      <c r="E88" s="1" t="n">
        <v>46323</v>
      </c>
      <c r="F88" t="inlineStr">
        <is>
          <t>KALMAR LÄN</t>
        </is>
      </c>
      <c r="G88" t="inlineStr">
        <is>
          <t>VÄSTERVIK</t>
        </is>
      </c>
      <c r="H88" t="inlineStr">
        <is>
          <t>Holmen skog AB</t>
        </is>
      </c>
      <c r="I88" t="n">
        <v>4.3</v>
      </c>
      <c r="J88" t="n">
        <v>0</v>
      </c>
      <c r="K88" t="n">
        <v>3</v>
      </c>
      <c r="L88" t="n">
        <v>2</v>
      </c>
      <c r="M88" t="n">
        <v>0</v>
      </c>
      <c r="N88" t="n">
        <v>0</v>
      </c>
      <c r="O88" t="n">
        <v>0</v>
      </c>
      <c r="P88" t="n">
        <v>0</v>
      </c>
      <c r="Q88" t="n">
        <v>2</v>
      </c>
      <c r="R88" t="n">
        <v>0</v>
      </c>
      <c r="S88" t="n">
        <v>5</v>
      </c>
      <c r="T88" t="n">
        <v>10</v>
      </c>
      <c r="U88" t="n">
        <v>10</v>
      </c>
      <c r="V88" s="2" t="inlineStr">
        <is>
          <t>Ekticka
Oxtungssvamp
Hasselticka
Läderskål
Stor aspticka</t>
        </is>
      </c>
      <c r="W88">
        <f>HYPERLINK("https://klasma.github.io/Logging_0883/artfynd/A 781-2023 artfynd.xlsx", "A 781-2023")</f>
        <v/>
      </c>
      <c r="X88">
        <f>HYPERLINK("https://klasma.github.io/Logging_0883/kartor/A 781-2023 karta.png", "A 781-2023")</f>
        <v/>
      </c>
      <c r="Y88">
        <f>HYPERLINK("https://klasma.github.io/Logging_0883/kartor_geotiff/A 781-2023 georefererad karta.tif", "A 781-2023")</f>
        <v/>
      </c>
      <c r="AA88">
        <f>HYPERLINK("https://klasma.github.io/Logging_0883/klagomål/A 781-2023 FSC-klagomål.docx", "A 781-2023")</f>
        <v/>
      </c>
      <c r="AB88">
        <f>HYPERLINK("https://klasma.github.io/Logging_0883/klagomålsmail/A 781-2023 FSC-klagomål mail.docx", "A 781-2023")</f>
        <v/>
      </c>
      <c r="AC88">
        <f>HYPERLINK("https://klasma.github.io/Logging_0883/tillsyn/A 781-2023 tillsynsbegäran.docx", "A 781-2023")</f>
        <v/>
      </c>
      <c r="AD88">
        <f>HYPERLINK("https://klasma.github.io/Logging_0883/tillsynsmail/A 781-2023 tillsynsbegäran mail.docx", "A 781-2023")</f>
        <v/>
      </c>
    </row>
    <row r="89" ht="15" customHeight="1">
      <c r="A89" t="inlineStr">
        <is>
          <t>A 12708-2023</t>
        </is>
      </c>
      <c r="B89" t="inlineStr">
        <is>
          <t>avverkningsanmälan</t>
        </is>
      </c>
      <c r="C89" t="inlineStr">
        <is>
          <t>Föryngringsavverkning</t>
        </is>
      </c>
      <c r="D89" s="1" t="n">
        <v>45000</v>
      </c>
      <c r="E89" s="1" t="n">
        <v>46323</v>
      </c>
      <c r="F89" t="inlineStr">
        <is>
          <t>KALMAR LÄN</t>
        </is>
      </c>
      <c r="G89" t="inlineStr">
        <is>
          <t>VÄSTERVIK</t>
        </is>
      </c>
      <c r="I89" t="n">
        <v>8.6</v>
      </c>
      <c r="J89" t="n">
        <v>3</v>
      </c>
      <c r="K89" t="n">
        <v>1</v>
      </c>
      <c r="L89" t="n">
        <v>2</v>
      </c>
      <c r="M89" t="n">
        <v>1</v>
      </c>
      <c r="N89" t="n">
        <v>0</v>
      </c>
      <c r="O89" t="n">
        <v>0</v>
      </c>
      <c r="P89" t="n">
        <v>0</v>
      </c>
      <c r="Q89" t="n">
        <v>3</v>
      </c>
      <c r="R89" t="n">
        <v>1</v>
      </c>
      <c r="S89" t="n">
        <v>5</v>
      </c>
      <c r="T89" t="n">
        <v>9</v>
      </c>
      <c r="U89" t="n">
        <v>9</v>
      </c>
      <c r="V89" s="2" t="inlineStr">
        <is>
          <t>Knärot
Tallticka
Talltita
Grovticka
Trädlärka</t>
        </is>
      </c>
      <c r="W89">
        <f>HYPERLINK("https://klasma.github.io/Logging_0883/artfynd/A 12708-2023 artfynd.xlsx", "A 12708-2023")</f>
        <v/>
      </c>
      <c r="X89">
        <f>HYPERLINK("https://klasma.github.io/Logging_0883/kartor/A 12708-2023 karta.png", "A 12708-2023")</f>
        <v/>
      </c>
      <c r="Y89">
        <f>HYPERLINK("https://klasma.github.io/Logging_0883/kartor_geotiff/A 12708-2023 georefererad karta.tif", "A 12708-2023")</f>
        <v/>
      </c>
      <c r="Z89">
        <f>HYPERLINK("https://klasma.github.io/Logging_0883/knärot/A 12708-2023 karta knärot.png", "A 12708-2023")</f>
        <v/>
      </c>
      <c r="AA89">
        <f>HYPERLINK("https://klasma.github.io/Logging_0883/klagomål/A 12708-2023 FSC-klagomål.docx", "A 12708-2023")</f>
        <v/>
      </c>
      <c r="AB89">
        <f>HYPERLINK("https://klasma.github.io/Logging_0883/klagomålsmail/A 12708-2023 FSC-klagomål mail.docx", "A 12708-2023")</f>
        <v/>
      </c>
      <c r="AC89">
        <f>HYPERLINK("https://klasma.github.io/Logging_0883/tillsyn/A 12708-2023 tillsynsbegäran.docx", "A 12708-2023")</f>
        <v/>
      </c>
      <c r="AD89">
        <f>HYPERLINK("https://klasma.github.io/Logging_0883/tillsynsmail/A 12708-2023 tillsynsbegäran mail.docx", "A 12708-2023")</f>
        <v/>
      </c>
      <c r="AE89">
        <f>HYPERLINK("https://klasma.github.io/Logging_0883/fåglar/A 12708-2023 prioriterade fågelarter.docx", "A 12708-2023")</f>
        <v/>
      </c>
    </row>
    <row r="90" ht="15" customHeight="1">
      <c r="A90" t="inlineStr">
        <is>
          <t>A 49412-2025</t>
        </is>
      </c>
      <c r="B90" t="inlineStr">
        <is>
          <t>avverkningsanmälan</t>
        </is>
      </c>
      <c r="C90" t="inlineStr">
        <is>
          <t>Föryngringsavverkning</t>
        </is>
      </c>
      <c r="D90" s="1" t="n">
        <v>45938</v>
      </c>
      <c r="E90" s="1" t="n">
        <v>46323</v>
      </c>
      <c r="F90" t="inlineStr">
        <is>
          <t>KALMAR LÄN</t>
        </is>
      </c>
      <c r="G90" t="inlineStr">
        <is>
          <t>VÄSTERVIK</t>
        </is>
      </c>
      <c r="I90" t="n">
        <v>0.7</v>
      </c>
      <c r="J90" t="n">
        <v>4</v>
      </c>
      <c r="K90" t="n">
        <v>0</v>
      </c>
      <c r="L90" t="n">
        <v>2</v>
      </c>
      <c r="M90" t="n">
        <v>1</v>
      </c>
      <c r="N90" t="n">
        <v>0</v>
      </c>
      <c r="O90" t="n">
        <v>0</v>
      </c>
      <c r="P90" t="n">
        <v>0</v>
      </c>
      <c r="Q90" t="n">
        <v>3</v>
      </c>
      <c r="R90" t="n">
        <v>1</v>
      </c>
      <c r="S90" t="n">
        <v>5</v>
      </c>
      <c r="T90" t="n">
        <v>7</v>
      </c>
      <c r="U90" t="n">
        <v>7</v>
      </c>
      <c r="V90" s="2" t="inlineStr">
        <is>
          <t>Knärot
Motaggsvamp
Talltita
Spillkråka
Kungsfågel</t>
        </is>
      </c>
      <c r="W90">
        <f>HYPERLINK("https://klasma.github.io/Logging_0883/artfynd/A 49412-2025 artfynd.xlsx", "A 49412-2025")</f>
        <v/>
      </c>
      <c r="X90">
        <f>HYPERLINK("https://klasma.github.io/Logging_0883/kartor/A 49412-2025 karta.png", "A 49412-2025")</f>
        <v/>
      </c>
      <c r="Y90">
        <f>HYPERLINK("https://klasma.github.io/Logging_0883/kartor_geotiff/A 49412-2025 georefererad karta.tif", "A 49412-2025")</f>
        <v/>
      </c>
      <c r="Z90">
        <f>HYPERLINK("https://klasma.github.io/Logging_0883/knärot/A 49412-2025 karta knärot.png", "A 49412-2025")</f>
        <v/>
      </c>
      <c r="AA90">
        <f>HYPERLINK("https://klasma.github.io/Logging_0883/klagomål/A 49412-2025 FSC-klagomål.docx", "A 49412-2025")</f>
        <v/>
      </c>
      <c r="AB90">
        <f>HYPERLINK("https://klasma.github.io/Logging_0883/klagomålsmail/A 49412-2025 FSC-klagomål mail.docx", "A 49412-2025")</f>
        <v/>
      </c>
      <c r="AC90">
        <f>HYPERLINK("https://klasma.github.io/Logging_0883/tillsyn/A 49412-2025 tillsynsbegäran.docx", "A 49412-2025")</f>
        <v/>
      </c>
      <c r="AD90">
        <f>HYPERLINK("https://klasma.github.io/Logging_0883/tillsynsmail/A 49412-2025 tillsynsbegäran mail.docx", "A 49412-2025")</f>
        <v/>
      </c>
      <c r="AE90">
        <f>HYPERLINK("https://klasma.github.io/Logging_0883/fåglar/A 49412-2025 prioriterade fågelarter.docx", "A 49412-2025")</f>
        <v/>
      </c>
    </row>
    <row r="91" ht="15" customHeight="1">
      <c r="A91" t="inlineStr">
        <is>
          <t>A 53877-2025</t>
        </is>
      </c>
      <c r="B91" t="inlineStr">
        <is>
          <t>avverkningsanmälan</t>
        </is>
      </c>
      <c r="C91" t="inlineStr">
        <is>
          <t>Avverkning för att bevara och utveckla /försöksver</t>
        </is>
      </c>
      <c r="D91" s="1" t="n">
        <v>45961</v>
      </c>
      <c r="E91" s="1" t="n">
        <v>46323</v>
      </c>
      <c r="F91" t="inlineStr">
        <is>
          <t>KALMAR LÄN</t>
        </is>
      </c>
      <c r="G91" t="inlineStr">
        <is>
          <t>VÄSTERVIK</t>
        </is>
      </c>
      <c r="H91" t="inlineStr">
        <is>
          <t>Sveaskog</t>
        </is>
      </c>
      <c r="I91" t="n">
        <v>2.2</v>
      </c>
      <c r="J91" t="n">
        <v>4</v>
      </c>
      <c r="K91" t="n">
        <v>0</v>
      </c>
      <c r="L91" t="n">
        <v>4</v>
      </c>
      <c r="M91" t="n">
        <v>0</v>
      </c>
      <c r="N91" t="n">
        <v>0</v>
      </c>
      <c r="O91" t="n">
        <v>0</v>
      </c>
      <c r="P91" t="n">
        <v>0</v>
      </c>
      <c r="Q91" t="n">
        <v>4</v>
      </c>
      <c r="R91" t="n">
        <v>0</v>
      </c>
      <c r="S91" t="n">
        <v>5</v>
      </c>
      <c r="T91" t="n">
        <v>6</v>
      </c>
      <c r="U91" t="n">
        <v>0</v>
      </c>
      <c r="V91" s="2" t="inlineStr">
        <is>
          <t>Barbastell
Brunlångöra
Nordfladdermus
Pilblad
Blåsippa</t>
        </is>
      </c>
      <c r="W91">
        <f>HYPERLINK("https://klasma.github.io/Logging_0883/artfynd/A 53877-2025 artfynd.xlsx", "A 53877-2025")</f>
        <v/>
      </c>
      <c r="X91">
        <f>HYPERLINK("https://klasma.github.io/Logging_0883/kartor/A 53877-2025 karta.png", "A 53877-2025")</f>
        <v/>
      </c>
      <c r="Y91">
        <f>HYPERLINK("https://klasma.github.io/Logging_0883/kartor_geotiff/A 53877-2025 georefererad karta.tif", "A 53877-2025")</f>
        <v/>
      </c>
      <c r="AA91">
        <f>HYPERLINK("https://klasma.github.io/Logging_0883/klagomål/A 53877-2025 FSC-klagomål.docx", "A 53877-2025")</f>
        <v/>
      </c>
      <c r="AB91">
        <f>HYPERLINK("https://klasma.github.io/Logging_0883/klagomålsmail/A 53877-2025 FSC-klagomål mail.docx", "A 53877-2025")</f>
        <v/>
      </c>
      <c r="AC91">
        <f>HYPERLINK("https://klasma.github.io/Logging_0883/tillsyn/A 53877-2025 tillsynsbegäran.docx", "A 53877-2025")</f>
        <v/>
      </c>
      <c r="AD91">
        <f>HYPERLINK("https://klasma.github.io/Logging_0883/tillsynsmail/A 53877-2025 tillsynsbegäran mail.docx", "A 53877-2025")</f>
        <v/>
      </c>
    </row>
    <row r="92" ht="15" customHeight="1">
      <c r="A92" t="inlineStr">
        <is>
          <t>A 55518-2025</t>
        </is>
      </c>
      <c r="B92" t="inlineStr">
        <is>
          <t>avverkningsanmälan</t>
        </is>
      </c>
      <c r="C92" t="inlineStr">
        <is>
          <t>Föryngringsavverkning</t>
        </is>
      </c>
      <c r="D92" s="1" t="n">
        <v>45971</v>
      </c>
      <c r="E92" s="1" t="n">
        <v>46323</v>
      </c>
      <c r="F92" t="inlineStr">
        <is>
          <t>KALMAR LÄN</t>
        </is>
      </c>
      <c r="G92" t="inlineStr">
        <is>
          <t>VÄSTERVIK</t>
        </is>
      </c>
      <c r="H92" t="inlineStr">
        <is>
          <t>Holmen skog AB</t>
        </is>
      </c>
      <c r="I92" t="n">
        <v>15</v>
      </c>
      <c r="J92" t="n">
        <v>1</v>
      </c>
      <c r="K92" t="n">
        <v>0</v>
      </c>
      <c r="L92" t="n">
        <v>3</v>
      </c>
      <c r="M92" t="n">
        <v>1</v>
      </c>
      <c r="N92" t="n">
        <v>0</v>
      </c>
      <c r="O92" t="n">
        <v>0</v>
      </c>
      <c r="P92" t="n">
        <v>0</v>
      </c>
      <c r="Q92" t="n">
        <v>4</v>
      </c>
      <c r="R92" t="n">
        <v>1</v>
      </c>
      <c r="S92" t="n">
        <v>5</v>
      </c>
      <c r="T92" t="n">
        <v>5</v>
      </c>
      <c r="U92" t="n">
        <v>0</v>
      </c>
      <c r="V92" s="2" t="inlineStr">
        <is>
          <t>Ljungsnärja
Korskovall
Krusfrö
Vippärt
Grönvit nattviol</t>
        </is>
      </c>
      <c r="W92">
        <f>HYPERLINK("https://klasma.github.io/Logging_0883/artfynd/A 55518-2025 artfynd.xlsx", "A 55518-2025")</f>
        <v/>
      </c>
      <c r="X92">
        <f>HYPERLINK("https://klasma.github.io/Logging_0883/kartor/A 55518-2025 karta.png", "A 55518-2025")</f>
        <v/>
      </c>
      <c r="Y92">
        <f>HYPERLINK("https://klasma.github.io/Logging_0883/kartor_geotiff/A 55518-2025 georefererad karta.tif", "A 55518-2025")</f>
        <v/>
      </c>
      <c r="AA92">
        <f>HYPERLINK("https://klasma.github.io/Logging_0883/klagomål/A 55518-2025 FSC-klagomål.docx", "A 55518-2025")</f>
        <v/>
      </c>
      <c r="AB92">
        <f>HYPERLINK("https://klasma.github.io/Logging_0883/klagomålsmail/A 55518-2025 FSC-klagomål mail.docx", "A 55518-2025")</f>
        <v/>
      </c>
      <c r="AC92">
        <f>HYPERLINK("https://klasma.github.io/Logging_0883/tillsyn/A 55518-2025 tillsynsbegäran.docx", "A 55518-2025")</f>
        <v/>
      </c>
      <c r="AD92">
        <f>HYPERLINK("https://klasma.github.io/Logging_0883/tillsynsmail/A 55518-2025 tillsynsbegäran mail.docx", "A 55518-2025")</f>
        <v/>
      </c>
    </row>
    <row r="93" ht="15" customHeight="1">
      <c r="A93" t="inlineStr">
        <is>
          <t>A 58378-2025</t>
        </is>
      </c>
      <c r="B93" t="inlineStr">
        <is>
          <t>avverkningsanmälan</t>
        </is>
      </c>
      <c r="C93" t="inlineStr">
        <is>
          <t>Föryngringsavverkning</t>
        </is>
      </c>
      <c r="D93" s="1" t="n">
        <v>45985</v>
      </c>
      <c r="E93" s="1" t="n">
        <v>46323</v>
      </c>
      <c r="F93" t="inlineStr">
        <is>
          <t>KALMAR LÄN</t>
        </is>
      </c>
      <c r="G93" t="inlineStr">
        <is>
          <t>VÄSTERVIK</t>
        </is>
      </c>
      <c r="I93" t="n">
        <v>4.1</v>
      </c>
      <c r="J93" t="n">
        <v>2</v>
      </c>
      <c r="K93" t="n">
        <v>0</v>
      </c>
      <c r="L93" t="n">
        <v>3</v>
      </c>
      <c r="M93" t="n">
        <v>0</v>
      </c>
      <c r="N93" t="n">
        <v>0</v>
      </c>
      <c r="O93" t="n">
        <v>0</v>
      </c>
      <c r="P93" t="n">
        <v>0</v>
      </c>
      <c r="Q93" t="n">
        <v>3</v>
      </c>
      <c r="R93" t="n">
        <v>0</v>
      </c>
      <c r="S93" t="n">
        <v>5</v>
      </c>
      <c r="T93" t="n">
        <v>6</v>
      </c>
      <c r="U93" t="n">
        <v>6</v>
      </c>
      <c r="V93" s="2" t="inlineStr">
        <is>
          <t>Gropticka
Motaggsvamp
Vedskivlav
Spillkråka
Tjäder</t>
        </is>
      </c>
      <c r="W93">
        <f>HYPERLINK("https://klasma.github.io/Logging_0883/artfynd/A 58378-2025 artfynd.xlsx", "A 58378-2025")</f>
        <v/>
      </c>
      <c r="X93">
        <f>HYPERLINK("https://klasma.github.io/Logging_0883/kartor/A 58378-2025 karta.png", "A 58378-2025")</f>
        <v/>
      </c>
      <c r="Y93">
        <f>HYPERLINK("https://klasma.github.io/Logging_0883/kartor_geotiff/A 58378-2025 georefererad karta.tif", "A 58378-2025")</f>
        <v/>
      </c>
      <c r="AA93">
        <f>HYPERLINK("https://klasma.github.io/Logging_0883/klagomål/A 58378-2025 FSC-klagomål.docx", "A 58378-2025")</f>
        <v/>
      </c>
      <c r="AB93">
        <f>HYPERLINK("https://klasma.github.io/Logging_0883/klagomålsmail/A 58378-2025 FSC-klagomål mail.docx", "A 58378-2025")</f>
        <v/>
      </c>
      <c r="AC93">
        <f>HYPERLINK("https://klasma.github.io/Logging_0883/tillsyn/A 58378-2025 tillsynsbegäran.docx", "A 58378-2025")</f>
        <v/>
      </c>
      <c r="AD93">
        <f>HYPERLINK("https://klasma.github.io/Logging_0883/tillsynsmail/A 58378-2025 tillsynsbegäran mail.docx", "A 58378-2025")</f>
        <v/>
      </c>
      <c r="AE93">
        <f>HYPERLINK("https://klasma.github.io/Logging_0883/fåglar/A 58378-2025 prioriterade fågelarter.docx", "A 58378-2025")</f>
        <v/>
      </c>
    </row>
    <row r="94" ht="15" customHeight="1">
      <c r="A94" t="inlineStr">
        <is>
          <t>A 41931-2026</t>
        </is>
      </c>
      <c r="B94" t="inlineStr">
        <is>
          <t>avverkningsanmälan</t>
        </is>
      </c>
      <c r="C94" t="inlineStr">
        <is>
          <t>Föryngringsavverkning</t>
        </is>
      </c>
      <c r="D94" s="1" t="n">
        <v>46303</v>
      </c>
      <c r="E94" s="1" t="n">
        <v>46323</v>
      </c>
      <c r="F94" t="inlineStr">
        <is>
          <t>KALMAR LÄN</t>
        </is>
      </c>
      <c r="G94" t="inlineStr">
        <is>
          <t>VÄSTERVIK</t>
        </is>
      </c>
      <c r="H94" t="inlineStr">
        <is>
          <t>Sveaskog</t>
        </is>
      </c>
      <c r="I94" t="n">
        <v>5.3</v>
      </c>
      <c r="J94" t="n">
        <v>3</v>
      </c>
      <c r="K94" t="n">
        <v>0</v>
      </c>
      <c r="L94" t="n">
        <v>3</v>
      </c>
      <c r="M94" t="n">
        <v>0</v>
      </c>
      <c r="N94" t="n">
        <v>0</v>
      </c>
      <c r="O94" t="n">
        <v>0</v>
      </c>
      <c r="P94" t="n">
        <v>0</v>
      </c>
      <c r="Q94" t="n">
        <v>3</v>
      </c>
      <c r="R94" t="n">
        <v>0</v>
      </c>
      <c r="S94" t="n">
        <v>5</v>
      </c>
      <c r="T94" t="n">
        <v>11</v>
      </c>
      <c r="U94" t="n">
        <v>0</v>
      </c>
      <c r="V94" s="2" t="inlineStr">
        <is>
          <t>Ekticka
Motaggsvamp
Talltita
Spillkråka
Tjäder</t>
        </is>
      </c>
      <c r="W94">
        <f>HYPERLINK("https://klasma.github.io/Logging_0883/artfynd/A 41931-2026 artfynd.xlsx", "A 41931-2026")</f>
        <v/>
      </c>
      <c r="X94">
        <f>HYPERLINK("https://klasma.github.io/Logging_0883/kartor/A 41931-2026 karta.png", "A 41931-2026")</f>
        <v/>
      </c>
      <c r="Y94">
        <f>HYPERLINK("https://klasma.github.io/Logging_0883/kartor_geotiff/A 41931-2026 georefererad karta.tif", "A 41931-2026")</f>
        <v/>
      </c>
      <c r="AA94">
        <f>HYPERLINK("https://klasma.github.io/Logging_0883/klagomål/A 41931-2026 FSC-klagomål.docx", "A 41931-2026")</f>
        <v/>
      </c>
      <c r="AB94">
        <f>HYPERLINK("https://klasma.github.io/Logging_0883/klagomålsmail/A 41931-2026 FSC-klagomål mail.docx", "A 41931-2026")</f>
        <v/>
      </c>
      <c r="AC94">
        <f>HYPERLINK("https://klasma.github.io/Logging_0883/tillsyn/A 41931-2026 tillsynsbegäran.docx", "A 41931-2026")</f>
        <v/>
      </c>
      <c r="AD94">
        <f>HYPERLINK("https://klasma.github.io/Logging_0883/tillsynsmail/A 41931-2026 tillsynsbegäran mail.docx", "A 41931-2026")</f>
        <v/>
      </c>
      <c r="AE94">
        <f>HYPERLINK("https://klasma.github.io/Logging_0883/fåglar/A 41931-2026 prioriterade fågelarter.docx", "A 41931-2026")</f>
        <v/>
      </c>
    </row>
    <row r="95" ht="15" customHeight="1">
      <c r="A95" t="inlineStr">
        <is>
          <t>A 42486-2026</t>
        </is>
      </c>
      <c r="B95" t="inlineStr">
        <is>
          <t>avverkningsanmälan</t>
        </is>
      </c>
      <c r="C95" t="inlineStr">
        <is>
          <t>Föryngringsavverkning</t>
        </is>
      </c>
      <c r="D95" s="1" t="n">
        <v>46308</v>
      </c>
      <c r="E95" s="1" t="n">
        <v>46323</v>
      </c>
      <c r="F95" t="inlineStr">
        <is>
          <t>KALMAR LÄN</t>
        </is>
      </c>
      <c r="G95" t="inlineStr">
        <is>
          <t>VÄSTERVIK</t>
        </is>
      </c>
      <c r="I95" t="n">
        <v>3.6</v>
      </c>
      <c r="J95" t="n">
        <v>1</v>
      </c>
      <c r="K95" t="n">
        <v>0</v>
      </c>
      <c r="L95" t="n">
        <v>3</v>
      </c>
      <c r="M95" t="n">
        <v>2</v>
      </c>
      <c r="N95" t="n">
        <v>0</v>
      </c>
      <c r="O95" t="n">
        <v>0</v>
      </c>
      <c r="P95" t="n">
        <v>0</v>
      </c>
      <c r="Q95" t="n">
        <v>5</v>
      </c>
      <c r="R95" t="n">
        <v>2</v>
      </c>
      <c r="S95" t="n">
        <v>5</v>
      </c>
      <c r="T95" t="n">
        <v>6</v>
      </c>
      <c r="U95" t="n">
        <v>0</v>
      </c>
      <c r="V95" s="2" t="inlineStr">
        <is>
          <t>Bredbrämad bastardsvärmare
Silverblåvinge
Apollofjäril
Klubbsprötad bastardsvärmare
Mindre tåtelsmygare</t>
        </is>
      </c>
      <c r="W95">
        <f>HYPERLINK("https://klasma.github.io/Logging_0883/artfynd/A 42486-2026 artfynd.xlsx", "A 42486-2026")</f>
        <v/>
      </c>
      <c r="X95">
        <f>HYPERLINK("https://klasma.github.io/Logging_0883/kartor/A 42486-2026 karta.png", "A 42486-2026")</f>
        <v/>
      </c>
      <c r="Y95">
        <f>HYPERLINK("https://klasma.github.io/Logging_0883/kartor_geotiff/A 42486-2026 georefererad karta.tif", "A 42486-2026")</f>
        <v/>
      </c>
      <c r="AA95">
        <f>HYPERLINK("https://klasma.github.io/Logging_0883/klagomål/A 42486-2026 FSC-klagomål.docx", "A 42486-2026")</f>
        <v/>
      </c>
      <c r="AB95">
        <f>HYPERLINK("https://klasma.github.io/Logging_0883/klagomålsmail/A 42486-2026 FSC-klagomål mail.docx", "A 42486-2026")</f>
        <v/>
      </c>
      <c r="AC95">
        <f>HYPERLINK("https://klasma.github.io/Logging_0883/tillsyn/A 42486-2026 tillsynsbegäran.docx", "A 42486-2026")</f>
        <v/>
      </c>
      <c r="AD95">
        <f>HYPERLINK("https://klasma.github.io/Logging_0883/tillsynsmail/A 42486-2026 tillsynsbegäran mail.docx", "A 42486-2026")</f>
        <v/>
      </c>
    </row>
    <row r="96" ht="15" customHeight="1">
      <c r="A96" t="inlineStr">
        <is>
          <t>A 31060-2024</t>
        </is>
      </c>
      <c r="B96" t="inlineStr">
        <is>
          <t>avverkningsanmälan</t>
        </is>
      </c>
      <c r="C96" t="inlineStr">
        <is>
          <t>Föryngringsavverkning</t>
        </is>
      </c>
      <c r="D96" s="1" t="n">
        <v>45502</v>
      </c>
      <c r="E96" s="1" t="n">
        <v>46323</v>
      </c>
      <c r="F96" t="inlineStr">
        <is>
          <t>KALMAR LÄN</t>
        </is>
      </c>
      <c r="G96" t="inlineStr">
        <is>
          <t>VÄSTERVIK</t>
        </is>
      </c>
      <c r="H96" t="inlineStr">
        <is>
          <t>Holmen skog AB</t>
        </is>
      </c>
      <c r="I96" t="n">
        <v>2.8</v>
      </c>
      <c r="J96" t="n">
        <v>3</v>
      </c>
      <c r="K96" t="n">
        <v>1</v>
      </c>
      <c r="L96" t="n">
        <v>2</v>
      </c>
      <c r="M96" t="n">
        <v>1</v>
      </c>
      <c r="N96" t="n">
        <v>0</v>
      </c>
      <c r="O96" t="n">
        <v>0</v>
      </c>
      <c r="P96" t="n">
        <v>0</v>
      </c>
      <c r="Q96" t="n">
        <v>3</v>
      </c>
      <c r="R96" t="n">
        <v>1</v>
      </c>
      <c r="S96" t="n">
        <v>5</v>
      </c>
      <c r="T96" t="n">
        <v>7</v>
      </c>
      <c r="U96" t="n">
        <v>7</v>
      </c>
      <c r="V96" s="2" t="inlineStr">
        <is>
          <t>Knärot
Tallticka
Talltita
Blåmossa
Spillkråka</t>
        </is>
      </c>
      <c r="W96">
        <f>HYPERLINK("https://klasma.github.io/Logging_0883/artfynd/A 31060-2024 artfynd.xlsx", "A 31060-2024")</f>
        <v/>
      </c>
      <c r="X96">
        <f>HYPERLINK("https://klasma.github.io/Logging_0883/kartor/A 31060-2024 karta.png", "A 31060-2024")</f>
        <v/>
      </c>
      <c r="Y96">
        <f>HYPERLINK("https://klasma.github.io/Logging_0883/kartor_geotiff/A 31060-2024 georefererad karta.tif", "A 31060-2024")</f>
        <v/>
      </c>
      <c r="Z96">
        <f>HYPERLINK("https://klasma.github.io/Logging_0883/knärot/A 31060-2024 karta knärot.png", "A 31060-2024")</f>
        <v/>
      </c>
      <c r="AA96">
        <f>HYPERLINK("https://klasma.github.io/Logging_0883/klagomål/A 31060-2024 FSC-klagomål.docx", "A 31060-2024")</f>
        <v/>
      </c>
      <c r="AB96">
        <f>HYPERLINK("https://klasma.github.io/Logging_0883/klagomålsmail/A 31060-2024 FSC-klagomål mail.docx", "A 31060-2024")</f>
        <v/>
      </c>
      <c r="AC96">
        <f>HYPERLINK("https://klasma.github.io/Logging_0883/tillsyn/A 31060-2024 tillsynsbegäran.docx", "A 31060-2024")</f>
        <v/>
      </c>
      <c r="AD96">
        <f>HYPERLINK("https://klasma.github.io/Logging_0883/tillsynsmail/A 31060-2024 tillsynsbegäran mail.docx", "A 31060-2024")</f>
        <v/>
      </c>
      <c r="AE96">
        <f>HYPERLINK("https://klasma.github.io/Logging_0883/fåglar/A 31060-2024 prioriterade fågelarter.docx", "A 31060-2024")</f>
        <v/>
      </c>
    </row>
    <row r="97" ht="15" customHeight="1">
      <c r="A97" t="inlineStr">
        <is>
          <t>A 51488-2024</t>
        </is>
      </c>
      <c r="B97" t="inlineStr">
        <is>
          <t>avverkningsanmälan</t>
        </is>
      </c>
      <c r="C97" t="inlineStr">
        <is>
          <t>Föryngringsavverkning</t>
        </is>
      </c>
      <c r="D97" s="1" t="n">
        <v>45604</v>
      </c>
      <c r="E97" s="1" t="n">
        <v>46323</v>
      </c>
      <c r="F97" t="inlineStr">
        <is>
          <t>KALMAR LÄN</t>
        </is>
      </c>
      <c r="G97" t="inlineStr">
        <is>
          <t>VÄSTERVIK</t>
        </is>
      </c>
      <c r="H97" t="inlineStr">
        <is>
          <t>Övriga Aktiebolag</t>
        </is>
      </c>
      <c r="I97" t="n">
        <v>2.9</v>
      </c>
      <c r="J97" t="n">
        <v>1</v>
      </c>
      <c r="K97" t="n">
        <v>2</v>
      </c>
      <c r="L97" t="n">
        <v>3</v>
      </c>
      <c r="M97" t="n">
        <v>0</v>
      </c>
      <c r="N97" t="n">
        <v>0</v>
      </c>
      <c r="O97" t="n">
        <v>0</v>
      </c>
      <c r="P97" t="n">
        <v>0</v>
      </c>
      <c r="Q97" t="n">
        <v>3</v>
      </c>
      <c r="R97" t="n">
        <v>0</v>
      </c>
      <c r="S97" t="n">
        <v>5</v>
      </c>
      <c r="T97" t="n">
        <v>7</v>
      </c>
      <c r="U97" t="n">
        <v>3</v>
      </c>
      <c r="V97" s="2" t="inlineStr">
        <is>
          <t>Entita
Gullpudra
Tallticka
Murgröna
Praktscharlakansskål</t>
        </is>
      </c>
      <c r="W97">
        <f>HYPERLINK("https://klasma.github.io/Logging_0883/artfynd/A 51488-2024 artfynd.xlsx", "A 51488-2024")</f>
        <v/>
      </c>
      <c r="X97">
        <f>HYPERLINK("https://klasma.github.io/Logging_0883/kartor/A 51488-2024 karta.png", "A 51488-2024")</f>
        <v/>
      </c>
      <c r="Y97">
        <f>HYPERLINK("https://klasma.github.io/Logging_0883/kartor_geotiff/A 51488-2024 georefererad karta.tif", "A 51488-2024")</f>
        <v/>
      </c>
      <c r="AA97">
        <f>HYPERLINK("https://klasma.github.io/Logging_0883/klagomål/A 51488-2024 FSC-klagomål.docx", "A 51488-2024")</f>
        <v/>
      </c>
      <c r="AB97">
        <f>HYPERLINK("https://klasma.github.io/Logging_0883/klagomålsmail/A 51488-2024 FSC-klagomål mail.docx", "A 51488-2024")</f>
        <v/>
      </c>
      <c r="AC97">
        <f>HYPERLINK("https://klasma.github.io/Logging_0883/tillsyn/A 51488-2024 tillsynsbegäran.docx", "A 51488-2024")</f>
        <v/>
      </c>
      <c r="AD97">
        <f>HYPERLINK("https://klasma.github.io/Logging_0883/tillsynsmail/A 51488-2024 tillsynsbegäran mail.docx", "A 51488-2024")</f>
        <v/>
      </c>
      <c r="AE97">
        <f>HYPERLINK("https://klasma.github.io/Logging_0883/fåglar/A 51488-2024 prioriterade fågelarter.docx", "A 51488-2024")</f>
        <v/>
      </c>
    </row>
    <row r="98" ht="15" customHeight="1">
      <c r="A98" t="inlineStr">
        <is>
          <t>A 12199-2026</t>
        </is>
      </c>
      <c r="B98" t="inlineStr">
        <is>
          <t>avverkningsanmälan</t>
        </is>
      </c>
      <c r="C98" t="inlineStr">
        <is>
          <t>Föryngringsavverkning</t>
        </is>
      </c>
      <c r="D98" s="1" t="n">
        <v>46086</v>
      </c>
      <c r="E98" s="1" t="n">
        <v>46323</v>
      </c>
      <c r="F98" t="inlineStr">
        <is>
          <t>KALMAR LÄN</t>
        </is>
      </c>
      <c r="G98" t="inlineStr">
        <is>
          <t>VÄSTERVIK</t>
        </is>
      </c>
      <c r="H98" t="inlineStr">
        <is>
          <t>Övriga Aktiebolag</t>
        </is>
      </c>
      <c r="I98" t="n">
        <v>6.2</v>
      </c>
      <c r="J98" t="n">
        <v>5</v>
      </c>
      <c r="K98" t="n">
        <v>0</v>
      </c>
      <c r="L98" t="n">
        <v>3</v>
      </c>
      <c r="M98" t="n">
        <v>0</v>
      </c>
      <c r="N98" t="n">
        <v>0</v>
      </c>
      <c r="O98" t="n">
        <v>0</v>
      </c>
      <c r="P98" t="n">
        <v>0</v>
      </c>
      <c r="Q98" t="n">
        <v>3</v>
      </c>
      <c r="R98" t="n">
        <v>0</v>
      </c>
      <c r="S98" t="n">
        <v>5</v>
      </c>
      <c r="T98" t="n">
        <v>5</v>
      </c>
      <c r="U98" t="n">
        <v>1</v>
      </c>
      <c r="V98" s="2" t="inlineStr">
        <is>
          <t>Barbastell
Brunlångöra
Nordfladdermus
Tjäder
Större brunfladdermus</t>
        </is>
      </c>
      <c r="W98">
        <f>HYPERLINK("https://klasma.github.io/Logging_0883/artfynd/A 12199-2026 artfynd.xlsx", "A 12199-2026")</f>
        <v/>
      </c>
      <c r="X98">
        <f>HYPERLINK("https://klasma.github.io/Logging_0883/kartor/A 12199-2026 karta.png", "A 12199-2026")</f>
        <v/>
      </c>
      <c r="Y98">
        <f>HYPERLINK("https://klasma.github.io/Logging_0883/kartor_geotiff/A 12199-2026 georefererad karta.tif", "A 12199-2026")</f>
        <v/>
      </c>
      <c r="AA98">
        <f>HYPERLINK("https://klasma.github.io/Logging_0883/klagomål/A 12199-2026 FSC-klagomål.docx", "A 12199-2026")</f>
        <v/>
      </c>
      <c r="AB98">
        <f>HYPERLINK("https://klasma.github.io/Logging_0883/klagomålsmail/A 12199-2026 FSC-klagomål mail.docx", "A 12199-2026")</f>
        <v/>
      </c>
      <c r="AC98">
        <f>HYPERLINK("https://klasma.github.io/Logging_0883/tillsyn/A 12199-2026 tillsynsbegäran.docx", "A 12199-2026")</f>
        <v/>
      </c>
      <c r="AD98">
        <f>HYPERLINK("https://klasma.github.io/Logging_0883/tillsynsmail/A 12199-2026 tillsynsbegäran mail.docx", "A 12199-2026")</f>
        <v/>
      </c>
      <c r="AE98">
        <f>HYPERLINK("https://klasma.github.io/Logging_0883/fåglar/A 12199-2026 prioriterade fågelarter.docx", "A 12199-2026")</f>
        <v/>
      </c>
    </row>
    <row r="99" ht="15" customHeight="1">
      <c r="A99" t="inlineStr">
        <is>
          <t>A 37887-2026</t>
        </is>
      </c>
      <c r="B99" t="inlineStr">
        <is>
          <t>avverkningsanmälan</t>
        </is>
      </c>
      <c r="C99" t="inlineStr">
        <is>
          <t>Föryngringsavverkning</t>
        </is>
      </c>
      <c r="D99" s="1" t="n">
        <v>46279</v>
      </c>
      <c r="E99" s="1" t="n">
        <v>46323</v>
      </c>
      <c r="F99" t="inlineStr">
        <is>
          <t>KALMAR LÄN</t>
        </is>
      </c>
      <c r="G99" t="inlineStr">
        <is>
          <t>VÄSTERVIK</t>
        </is>
      </c>
      <c r="I99" t="n">
        <v>2.6</v>
      </c>
      <c r="J99" t="n">
        <v>3</v>
      </c>
      <c r="K99" t="n">
        <v>1</v>
      </c>
      <c r="L99" t="n">
        <v>2</v>
      </c>
      <c r="M99" t="n">
        <v>1</v>
      </c>
      <c r="N99" t="n">
        <v>0</v>
      </c>
      <c r="O99" t="n">
        <v>0</v>
      </c>
      <c r="P99" t="n">
        <v>0</v>
      </c>
      <c r="Q99" t="n">
        <v>3</v>
      </c>
      <c r="R99" t="n">
        <v>1</v>
      </c>
      <c r="S99" t="n">
        <v>5</v>
      </c>
      <c r="T99" t="n">
        <v>5</v>
      </c>
      <c r="U99" t="n">
        <v>5</v>
      </c>
      <c r="V99" s="2" t="inlineStr">
        <is>
          <t>Knärot
Talltita
Ullticka
Blåmossa
Tofsmes</t>
        </is>
      </c>
      <c r="W99">
        <f>HYPERLINK("https://klasma.github.io/Logging_0883/artfynd/A 37887-2026 artfynd.xlsx", "A 37887-2026")</f>
        <v/>
      </c>
      <c r="X99">
        <f>HYPERLINK("https://klasma.github.io/Logging_0883/kartor/A 37887-2026 karta.png", "A 37887-2026")</f>
        <v/>
      </c>
      <c r="Y99">
        <f>HYPERLINK("https://klasma.github.io/Logging_0883/kartor_geotiff/A 37887-2026 georefererad karta.tif", "A 37887-2026")</f>
        <v/>
      </c>
      <c r="Z99">
        <f>HYPERLINK("https://klasma.github.io/Logging_0883/knärot/A 37887-2026 karta knärot.png", "A 37887-2026")</f>
        <v/>
      </c>
      <c r="AA99">
        <f>HYPERLINK("https://klasma.github.io/Logging_0883/klagomål/A 37887-2026 FSC-klagomål.docx", "A 37887-2026")</f>
        <v/>
      </c>
      <c r="AB99">
        <f>HYPERLINK("https://klasma.github.io/Logging_0883/klagomålsmail/A 37887-2026 FSC-klagomål mail.docx", "A 37887-2026")</f>
        <v/>
      </c>
      <c r="AC99">
        <f>HYPERLINK("https://klasma.github.io/Logging_0883/tillsyn/A 37887-2026 tillsynsbegäran.docx", "A 37887-2026")</f>
        <v/>
      </c>
      <c r="AD99">
        <f>HYPERLINK("https://klasma.github.io/Logging_0883/tillsynsmail/A 37887-2026 tillsynsbegäran mail.docx", "A 37887-2026")</f>
        <v/>
      </c>
      <c r="AE99">
        <f>HYPERLINK("https://klasma.github.io/Logging_0883/fåglar/A 37887-2026 prioriterade fågelarter.docx", "A 37887-2026")</f>
        <v/>
      </c>
    </row>
    <row r="100" ht="15" customHeight="1">
      <c r="A100" t="inlineStr">
        <is>
          <t>S 4828-2024</t>
        </is>
      </c>
      <c r="B100" t="inlineStr">
        <is>
          <t>samrådsanmälan</t>
        </is>
      </c>
      <c r="C100" t="inlineStr">
        <is>
          <t>Annan skogsbruksåtgärd</t>
        </is>
      </c>
      <c r="D100" s="1" t="n">
        <v>45615</v>
      </c>
      <c r="E100" s="1" t="n">
        <v>46323</v>
      </c>
      <c r="F100" t="inlineStr">
        <is>
          <t>KALMAR LÄN</t>
        </is>
      </c>
      <c r="G100" t="inlineStr">
        <is>
          <t>VÄSTERVIK</t>
        </is>
      </c>
      <c r="H100" t="inlineStr">
        <is>
          <t>Kommuner</t>
        </is>
      </c>
      <c r="I100" t="n">
        <v>3.4</v>
      </c>
      <c r="J100" t="n">
        <v>0</v>
      </c>
      <c r="K100" t="n">
        <v>1</v>
      </c>
      <c r="L100" t="n">
        <v>4</v>
      </c>
      <c r="M100" t="n">
        <v>0</v>
      </c>
      <c r="N100" t="n">
        <v>0</v>
      </c>
      <c r="O100" t="n">
        <v>0</v>
      </c>
      <c r="P100" t="n">
        <v>0</v>
      </c>
      <c r="Q100" t="n">
        <v>4</v>
      </c>
      <c r="R100" t="n">
        <v>0</v>
      </c>
      <c r="S100" t="n">
        <v>5</v>
      </c>
      <c r="T100" t="n">
        <v>6</v>
      </c>
      <c r="U100" t="n">
        <v>0</v>
      </c>
      <c r="V100" s="2" t="inlineStr">
        <is>
          <t>Blekticka
Ekticka
Rosa skärelav
Tallticka
Ekskinn</t>
        </is>
      </c>
      <c r="W100">
        <f>HYPERLINK("https://klasma.github.io/Logging_0883/artfynd/S 4828-2024 artfynd.xlsx", "S 4828-2024")</f>
        <v/>
      </c>
      <c r="X100">
        <f>HYPERLINK("https://klasma.github.io/Logging_0883/kartor/S 4828-2024 karta.png", "S 4828-2024")</f>
        <v/>
      </c>
      <c r="Y100">
        <f>HYPERLINK("https://klasma.github.io/Logging_0883/kartor_geotiff/S 4828-2024 georefererad karta.tif", "S 4828-2024")</f>
        <v/>
      </c>
      <c r="AA100">
        <f>HYPERLINK("https://klasma.github.io/Logging_0883/klagomål/S 4828-2024 FSC-klagomål.docx", "S 4828-2024")</f>
        <v/>
      </c>
      <c r="AB100">
        <f>HYPERLINK("https://klasma.github.io/Logging_0883/klagomålsmail/S 4828-2024 FSC-klagomål mail.docx", "S 4828-2024")</f>
        <v/>
      </c>
      <c r="AC100">
        <f>HYPERLINK("https://klasma.github.io/Logging_0883/tillsyn/S 4828-2024 tillsynsbegäran.docx", "S 4828-2024")</f>
        <v/>
      </c>
      <c r="AD100">
        <f>HYPERLINK("https://klasma.github.io/Logging_0883/tillsynsmail/S 4828-2024 tillsynsbegäran mail.docx", "S 4828-2024")</f>
        <v/>
      </c>
    </row>
    <row r="101" ht="15" customHeight="1">
      <c r="A101" t="inlineStr">
        <is>
          <t>S 446-2023</t>
        </is>
      </c>
      <c r="B101" t="inlineStr">
        <is>
          <t>samrådsanmälan</t>
        </is>
      </c>
      <c r="C101" t="inlineStr">
        <is>
          <t>Annan skogsbruksåtgärd</t>
        </is>
      </c>
      <c r="D101" s="1" t="n">
        <v>44963</v>
      </c>
      <c r="E101" s="1" t="n">
        <v>46323</v>
      </c>
      <c r="F101" t="inlineStr">
        <is>
          <t>KALMAR LÄN</t>
        </is>
      </c>
      <c r="G101" t="inlineStr">
        <is>
          <t>VÄSTERVIK</t>
        </is>
      </c>
      <c r="H101" t="inlineStr">
        <is>
          <t>Kommuner</t>
        </is>
      </c>
      <c r="I101" t="n">
        <v>0.3</v>
      </c>
      <c r="J101" t="n">
        <v>1</v>
      </c>
      <c r="K101" t="n">
        <v>0</v>
      </c>
      <c r="L101" t="n">
        <v>2</v>
      </c>
      <c r="M101" t="n">
        <v>0</v>
      </c>
      <c r="N101" t="n">
        <v>1</v>
      </c>
      <c r="O101" t="n">
        <v>1</v>
      </c>
      <c r="P101" t="n">
        <v>0</v>
      </c>
      <c r="Q101" t="n">
        <v>4</v>
      </c>
      <c r="R101" t="n">
        <v>2</v>
      </c>
      <c r="S101" t="n">
        <v>5</v>
      </c>
      <c r="T101" t="n">
        <v>6</v>
      </c>
      <c r="U101" t="n">
        <v>0</v>
      </c>
      <c r="V101" s="2" t="inlineStr">
        <is>
          <t>Naverlönn
Ask
Kavelhirs
Sydspärgel
Gullviva</t>
        </is>
      </c>
      <c r="W101">
        <f>HYPERLINK("https://klasma.github.io/Logging_0883/artfynd/S 446-2023 artfynd.xlsx", "S 446-2023")</f>
        <v/>
      </c>
      <c r="X101">
        <f>HYPERLINK("https://klasma.github.io/Logging_0883/kartor/S 446-2023 karta.png", "S 446-2023")</f>
        <v/>
      </c>
      <c r="Y101">
        <f>HYPERLINK("https://klasma.github.io/Logging_0883/kartor_geotiff/S 446-2023 georefererad karta.tif", "S 446-2023")</f>
        <v/>
      </c>
      <c r="AA101">
        <f>HYPERLINK("https://klasma.github.io/Logging_0883/klagomål/S 446-2023 FSC-klagomål.docx", "S 446-2023")</f>
        <v/>
      </c>
      <c r="AB101">
        <f>HYPERLINK("https://klasma.github.io/Logging_0883/klagomålsmail/S 446-2023 FSC-klagomål mail.docx", "S 446-2023")</f>
        <v/>
      </c>
      <c r="AC101">
        <f>HYPERLINK("https://klasma.github.io/Logging_0883/tillsyn/S 446-2023 tillsynsbegäran.docx", "S 446-2023")</f>
        <v/>
      </c>
      <c r="AD101">
        <f>HYPERLINK("https://klasma.github.io/Logging_0883/tillsynsmail/S 446-2023 tillsynsbegäran mail.docx", "S 446-2023")</f>
        <v/>
      </c>
    </row>
    <row r="102" ht="15" customHeight="1">
      <c r="A102" t="inlineStr">
        <is>
          <t>S 1521-2023</t>
        </is>
      </c>
      <c r="B102" t="inlineStr">
        <is>
          <t>samrådsanmälan</t>
        </is>
      </c>
      <c r="C102" t="inlineStr">
        <is>
          <t>Annan skogsbruksåtgärd</t>
        </is>
      </c>
      <c r="D102" s="1" t="n">
        <v>45055</v>
      </c>
      <c r="E102" s="1" t="n">
        <v>46323</v>
      </c>
      <c r="F102" t="inlineStr">
        <is>
          <t>KALMAR LÄN</t>
        </is>
      </c>
      <c r="G102" t="inlineStr">
        <is>
          <t>VÄSTERVIK</t>
        </is>
      </c>
      <c r="H102" t="inlineStr">
        <is>
          <t>Kommuner</t>
        </is>
      </c>
      <c r="I102" t="n">
        <v>4.3</v>
      </c>
      <c r="J102" t="n">
        <v>2</v>
      </c>
      <c r="K102" t="n">
        <v>2</v>
      </c>
      <c r="L102" t="n">
        <v>3</v>
      </c>
      <c r="M102" t="n">
        <v>0</v>
      </c>
      <c r="N102" t="n">
        <v>0</v>
      </c>
      <c r="O102" t="n">
        <v>0</v>
      </c>
      <c r="P102" t="n">
        <v>0</v>
      </c>
      <c r="Q102" t="n">
        <v>3</v>
      </c>
      <c r="R102" t="n">
        <v>0</v>
      </c>
      <c r="S102" t="n">
        <v>5</v>
      </c>
      <c r="T102" t="n">
        <v>5</v>
      </c>
      <c r="U102" t="n">
        <v>1</v>
      </c>
      <c r="V102" s="2" t="inlineStr">
        <is>
          <t>Mindre hackspett
Rosa skärelav
Tallticka
Bokoxe
Ekoxe</t>
        </is>
      </c>
      <c r="W102">
        <f>HYPERLINK("https://klasma.github.io/Logging_0883/artfynd/S 1521-2023 artfynd.xlsx", "S 1521-2023")</f>
        <v/>
      </c>
      <c r="X102">
        <f>HYPERLINK("https://klasma.github.io/Logging_0883/kartor/S 1521-2023 karta.png", "S 1521-2023")</f>
        <v/>
      </c>
      <c r="Y102">
        <f>HYPERLINK("https://klasma.github.io/Logging_0883/kartor_geotiff/S 1521-2023 georefererad karta.tif", "S 1521-2023")</f>
        <v/>
      </c>
      <c r="AA102">
        <f>HYPERLINK("https://klasma.github.io/Logging_0883/klagomål/S 1521-2023 FSC-klagomål.docx", "S 1521-2023")</f>
        <v/>
      </c>
      <c r="AB102">
        <f>HYPERLINK("https://klasma.github.io/Logging_0883/klagomålsmail/S 1521-2023 FSC-klagomål mail.docx", "S 1521-2023")</f>
        <v/>
      </c>
      <c r="AC102">
        <f>HYPERLINK("https://klasma.github.io/Logging_0883/tillsyn/S 1521-2023 tillsynsbegäran.docx", "S 1521-2023")</f>
        <v/>
      </c>
      <c r="AD102">
        <f>HYPERLINK("https://klasma.github.io/Logging_0883/tillsynsmail/S 1521-2023 tillsynsbegäran mail.docx", "S 1521-2023")</f>
        <v/>
      </c>
      <c r="AE102">
        <f>HYPERLINK("https://klasma.github.io/Logging_0883/fåglar/S 1521-2023 prioriterade fågelarter.docx", "S 1521-2023")</f>
        <v/>
      </c>
    </row>
    <row r="103" ht="15" customHeight="1">
      <c r="A103" t="inlineStr">
        <is>
          <t>S 3041-2025</t>
        </is>
      </c>
      <c r="B103" t="inlineStr">
        <is>
          <t>samrådsanmälan</t>
        </is>
      </c>
      <c r="C103" t="inlineStr">
        <is>
          <t>Annan skogsbruksåtgärd</t>
        </is>
      </c>
      <c r="D103" s="1" t="n">
        <v>45961</v>
      </c>
      <c r="E103" s="1" t="n">
        <v>46323</v>
      </c>
      <c r="F103" t="inlineStr">
        <is>
          <t>KALMAR LÄN</t>
        </is>
      </c>
      <c r="G103" t="inlineStr">
        <is>
          <t>VÄSTERVIK</t>
        </is>
      </c>
      <c r="H103" t="inlineStr">
        <is>
          <t>Sveaskog</t>
        </is>
      </c>
      <c r="I103" t="n">
        <v>2.2</v>
      </c>
      <c r="J103" t="n">
        <v>4</v>
      </c>
      <c r="K103" t="n">
        <v>0</v>
      </c>
      <c r="L103" t="n">
        <v>4</v>
      </c>
      <c r="M103" t="n">
        <v>0</v>
      </c>
      <c r="N103" t="n">
        <v>0</v>
      </c>
      <c r="O103" t="n">
        <v>0</v>
      </c>
      <c r="P103" t="n">
        <v>0</v>
      </c>
      <c r="Q103" t="n">
        <v>4</v>
      </c>
      <c r="R103" t="n">
        <v>0</v>
      </c>
      <c r="S103" t="n">
        <v>5</v>
      </c>
      <c r="T103" t="n">
        <v>6</v>
      </c>
      <c r="U103" t="n">
        <v>0</v>
      </c>
      <c r="V103" s="2" t="inlineStr">
        <is>
          <t>Barbastell
Brunlångöra
Nordfladdermus
Pilblad
Blåsippa</t>
        </is>
      </c>
      <c r="W103">
        <f>HYPERLINK("https://klasma.github.io/Logging_0883/artfynd/S 3041-2025 artfynd.xlsx", "S 3041-2025")</f>
        <v/>
      </c>
      <c r="X103">
        <f>HYPERLINK("https://klasma.github.io/Logging_0883/kartor/S 3041-2025 karta.png", "S 3041-2025")</f>
        <v/>
      </c>
      <c r="Y103">
        <f>HYPERLINK("https://klasma.github.io/Logging_0883/kartor_geotiff/S 3041-2025 georefererad karta.tif", "S 3041-2025")</f>
        <v/>
      </c>
      <c r="AA103">
        <f>HYPERLINK("https://klasma.github.io/Logging_0883/klagomål/S 3041-2025 FSC-klagomål.docx", "S 3041-2025")</f>
        <v/>
      </c>
      <c r="AB103">
        <f>HYPERLINK("https://klasma.github.io/Logging_0883/klagomålsmail/S 3041-2025 FSC-klagomål mail.docx", "S 3041-2025")</f>
        <v/>
      </c>
      <c r="AC103">
        <f>HYPERLINK("https://klasma.github.io/Logging_0883/tillsyn/S 3041-2025 tillsynsbegäran.docx", "S 3041-2025")</f>
        <v/>
      </c>
      <c r="AD103">
        <f>HYPERLINK("https://klasma.github.io/Logging_0883/tillsynsmail/S 3041-2025 tillsynsbegäran mail.docx", "S 3041-2025")</f>
        <v/>
      </c>
    </row>
    <row r="104" ht="15" customHeight="1">
      <c r="A104" t="inlineStr">
        <is>
          <t>A 33206-2022</t>
        </is>
      </c>
      <c r="B104" t="inlineStr">
        <is>
          <t>avverkningsanmälan</t>
        </is>
      </c>
      <c r="C104" t="inlineStr">
        <is>
          <t>Föryngringsavverkning</t>
        </is>
      </c>
      <c r="D104" s="1" t="n">
        <v>44785</v>
      </c>
      <c r="E104" s="1" t="n">
        <v>46323</v>
      </c>
      <c r="F104" t="inlineStr">
        <is>
          <t>KALMAR LÄN</t>
        </is>
      </c>
      <c r="G104" t="inlineStr">
        <is>
          <t>VÄSTERVIK</t>
        </is>
      </c>
      <c r="I104" t="n">
        <v>1.8</v>
      </c>
      <c r="J104" t="n">
        <v>3</v>
      </c>
      <c r="K104" t="n">
        <v>0</v>
      </c>
      <c r="L104" t="n">
        <v>2</v>
      </c>
      <c r="M104" t="n">
        <v>0</v>
      </c>
      <c r="N104" t="n">
        <v>0</v>
      </c>
      <c r="O104" t="n">
        <v>0</v>
      </c>
      <c r="P104" t="n">
        <v>0</v>
      </c>
      <c r="Q104" t="n">
        <v>2</v>
      </c>
      <c r="R104" t="n">
        <v>0</v>
      </c>
      <c r="S104" t="n">
        <v>4</v>
      </c>
      <c r="T104" t="n">
        <v>4</v>
      </c>
      <c r="U104" t="n">
        <v>4</v>
      </c>
      <c r="V104" s="2" t="inlineStr">
        <is>
          <t>Tallticka
Talltita
Mattlummer
Tofsmes</t>
        </is>
      </c>
      <c r="W104">
        <f>HYPERLINK("https://klasma.github.io/Logging_0883/artfynd/A 33206-2022 artfynd.xlsx", "A 33206-2022")</f>
        <v/>
      </c>
      <c r="X104">
        <f>HYPERLINK("https://klasma.github.io/Logging_0883/kartor/A 33206-2022 karta.png", "A 33206-2022")</f>
        <v/>
      </c>
      <c r="Y104">
        <f>HYPERLINK("https://klasma.github.io/Logging_0883/kartor_geotiff/A 33206-2022 georefererad karta.tif", "A 33206-2022")</f>
        <v/>
      </c>
      <c r="AA104">
        <f>HYPERLINK("https://klasma.github.io/Logging_0883/klagomål/A 33206-2022 FSC-klagomål.docx", "A 33206-2022")</f>
        <v/>
      </c>
      <c r="AB104">
        <f>HYPERLINK("https://klasma.github.io/Logging_0883/klagomålsmail/A 33206-2022 FSC-klagomål mail.docx", "A 33206-2022")</f>
        <v/>
      </c>
      <c r="AC104">
        <f>HYPERLINK("https://klasma.github.io/Logging_0883/tillsyn/A 33206-2022 tillsynsbegäran.docx", "A 33206-2022")</f>
        <v/>
      </c>
      <c r="AD104">
        <f>HYPERLINK("https://klasma.github.io/Logging_0883/tillsynsmail/A 33206-2022 tillsynsbegäran mail.docx", "A 33206-2022")</f>
        <v/>
      </c>
      <c r="AE104">
        <f>HYPERLINK("https://klasma.github.io/Logging_0883/fåglar/A 33206-2022 prioriterade fågelarter.docx", "A 33206-2022")</f>
        <v/>
      </c>
    </row>
    <row r="105" ht="15" customHeight="1">
      <c r="A105" t="inlineStr">
        <is>
          <t>A 2126-2024</t>
        </is>
      </c>
      <c r="B105" t="inlineStr">
        <is>
          <t>avverkningsanmälan</t>
        </is>
      </c>
      <c r="C105" t="inlineStr">
        <is>
          <t>Föryngringsavverkning</t>
        </is>
      </c>
      <c r="D105" s="1" t="n">
        <v>45309</v>
      </c>
      <c r="E105" s="1" t="n">
        <v>46323</v>
      </c>
      <c r="F105" t="inlineStr">
        <is>
          <t>KALMAR LÄN</t>
        </is>
      </c>
      <c r="G105" t="inlineStr">
        <is>
          <t>VÄSTERVIK</t>
        </is>
      </c>
      <c r="I105" t="n">
        <v>3.8</v>
      </c>
      <c r="J105" t="n">
        <v>3</v>
      </c>
      <c r="K105" t="n">
        <v>0</v>
      </c>
      <c r="L105" t="n">
        <v>2</v>
      </c>
      <c r="M105" t="n">
        <v>1</v>
      </c>
      <c r="N105" t="n">
        <v>0</v>
      </c>
      <c r="O105" t="n">
        <v>0</v>
      </c>
      <c r="P105" t="n">
        <v>0</v>
      </c>
      <c r="Q105" t="n">
        <v>3</v>
      </c>
      <c r="R105" t="n">
        <v>1</v>
      </c>
      <c r="S105" t="n">
        <v>4</v>
      </c>
      <c r="T105" t="n">
        <v>7</v>
      </c>
      <c r="U105" t="n">
        <v>6</v>
      </c>
      <c r="V105" s="2" t="inlineStr">
        <is>
          <t>Knärot
Tallticka
Talltita
Tjäder</t>
        </is>
      </c>
      <c r="W105">
        <f>HYPERLINK("https://klasma.github.io/Logging_0883/artfynd/A 2126-2024 artfynd.xlsx", "A 2126-2024")</f>
        <v/>
      </c>
      <c r="X105">
        <f>HYPERLINK("https://klasma.github.io/Logging_0883/kartor/A 2126-2024 karta.png", "A 2126-2024")</f>
        <v/>
      </c>
      <c r="Y105">
        <f>HYPERLINK("https://klasma.github.io/Logging_0883/kartor_geotiff/A 2126-2024 georefererad karta.tif", "A 2126-2024")</f>
        <v/>
      </c>
      <c r="Z105">
        <f>HYPERLINK("https://klasma.github.io/Logging_0883/knärot/A 2126-2024 karta knärot.png", "A 2126-2024")</f>
        <v/>
      </c>
      <c r="AA105">
        <f>HYPERLINK("https://klasma.github.io/Logging_0883/klagomål/A 2126-2024 FSC-klagomål.docx", "A 2126-2024")</f>
        <v/>
      </c>
      <c r="AB105">
        <f>HYPERLINK("https://klasma.github.io/Logging_0883/klagomålsmail/A 2126-2024 FSC-klagomål mail.docx", "A 2126-2024")</f>
        <v/>
      </c>
      <c r="AC105">
        <f>HYPERLINK("https://klasma.github.io/Logging_0883/tillsyn/A 2126-2024 tillsynsbegäran.docx", "A 2126-2024")</f>
        <v/>
      </c>
      <c r="AD105">
        <f>HYPERLINK("https://klasma.github.io/Logging_0883/tillsynsmail/A 2126-2024 tillsynsbegäran mail.docx", "A 2126-2024")</f>
        <v/>
      </c>
      <c r="AE105">
        <f>HYPERLINK("https://klasma.github.io/Logging_0883/fåglar/A 2126-2024 prioriterade fågelarter.docx", "A 2126-2024")</f>
        <v/>
      </c>
    </row>
    <row r="106" ht="15" customHeight="1">
      <c r="A106" t="inlineStr">
        <is>
          <t>A 35214-2025</t>
        </is>
      </c>
      <c r="B106" t="inlineStr">
        <is>
          <t>avverkningsanmälan</t>
        </is>
      </c>
      <c r="C106" t="inlineStr">
        <is>
          <t>Föryngringsavverkning</t>
        </is>
      </c>
      <c r="D106" s="1" t="n">
        <v>45853</v>
      </c>
      <c r="E106" s="1" t="n">
        <v>46323</v>
      </c>
      <c r="F106" t="inlineStr">
        <is>
          <t>KALMAR LÄN</t>
        </is>
      </c>
      <c r="G106" t="inlineStr">
        <is>
          <t>VÄSTERVIK</t>
        </is>
      </c>
      <c r="I106" t="n">
        <v>10.7</v>
      </c>
      <c r="J106" t="n">
        <v>3</v>
      </c>
      <c r="K106" t="n">
        <v>1</v>
      </c>
      <c r="L106" t="n">
        <v>2</v>
      </c>
      <c r="M106" t="n">
        <v>0</v>
      </c>
      <c r="N106" t="n">
        <v>0</v>
      </c>
      <c r="O106" t="n">
        <v>0</v>
      </c>
      <c r="P106" t="n">
        <v>0</v>
      </c>
      <c r="Q106" t="n">
        <v>2</v>
      </c>
      <c r="R106" t="n">
        <v>0</v>
      </c>
      <c r="S106" t="n">
        <v>4</v>
      </c>
      <c r="T106" t="n">
        <v>5</v>
      </c>
      <c r="U106" t="n">
        <v>5</v>
      </c>
      <c r="V106" s="2" t="inlineStr">
        <is>
          <t>Entita
Talltita
Blåmossa
Kungsfågel</t>
        </is>
      </c>
      <c r="W106">
        <f>HYPERLINK("https://klasma.github.io/Logging_0883/artfynd/A 35214-2025 artfynd.xlsx", "A 35214-2025")</f>
        <v/>
      </c>
      <c r="X106">
        <f>HYPERLINK("https://klasma.github.io/Logging_0883/kartor/A 35214-2025 karta.png", "A 35214-2025")</f>
        <v/>
      </c>
      <c r="Y106">
        <f>HYPERLINK("https://klasma.github.io/Logging_0883/kartor_geotiff/A 35214-2025 georefererad karta.tif", "A 35214-2025")</f>
        <v/>
      </c>
      <c r="AA106">
        <f>HYPERLINK("https://klasma.github.io/Logging_0883/klagomål/A 35214-2025 FSC-klagomål.docx", "A 35214-2025")</f>
        <v/>
      </c>
      <c r="AB106">
        <f>HYPERLINK("https://klasma.github.io/Logging_0883/klagomålsmail/A 35214-2025 FSC-klagomål mail.docx", "A 35214-2025")</f>
        <v/>
      </c>
      <c r="AC106">
        <f>HYPERLINK("https://klasma.github.io/Logging_0883/tillsyn/A 35214-2025 tillsynsbegäran.docx", "A 35214-2025")</f>
        <v/>
      </c>
      <c r="AD106">
        <f>HYPERLINK("https://klasma.github.io/Logging_0883/tillsynsmail/A 35214-2025 tillsynsbegäran mail.docx", "A 35214-2025")</f>
        <v/>
      </c>
      <c r="AE106">
        <f>HYPERLINK("https://klasma.github.io/Logging_0883/fåglar/A 35214-2025 prioriterade fågelarter.docx", "A 35214-2025")</f>
        <v/>
      </c>
    </row>
    <row r="107" ht="15" customHeight="1">
      <c r="A107" t="inlineStr">
        <is>
          <t>A 54569-2023</t>
        </is>
      </c>
      <c r="B107" t="inlineStr">
        <is>
          <t>avverkningsanmälan</t>
        </is>
      </c>
      <c r="C107" t="inlineStr">
        <is>
          <t>Föryngringsavverkning</t>
        </is>
      </c>
      <c r="D107" s="1" t="n">
        <v>45233</v>
      </c>
      <c r="E107" s="1" t="n">
        <v>46323</v>
      </c>
      <c r="F107" t="inlineStr">
        <is>
          <t>KALMAR LÄN</t>
        </is>
      </c>
      <c r="G107" t="inlineStr">
        <is>
          <t>VÄSTERVIK</t>
        </is>
      </c>
      <c r="H107" t="inlineStr">
        <is>
          <t>Holmen skog AB</t>
        </is>
      </c>
      <c r="I107" t="n">
        <v>1.4</v>
      </c>
      <c r="J107" t="n">
        <v>3</v>
      </c>
      <c r="K107" t="n">
        <v>1</v>
      </c>
      <c r="L107" t="n">
        <v>1</v>
      </c>
      <c r="M107" t="n">
        <v>1</v>
      </c>
      <c r="N107" t="n">
        <v>0</v>
      </c>
      <c r="O107" t="n">
        <v>0</v>
      </c>
      <c r="P107" t="n">
        <v>0</v>
      </c>
      <c r="Q107" t="n">
        <v>2</v>
      </c>
      <c r="R107" t="n">
        <v>1</v>
      </c>
      <c r="S107" t="n">
        <v>4</v>
      </c>
      <c r="T107" t="n">
        <v>4</v>
      </c>
      <c r="U107" t="n">
        <v>4</v>
      </c>
      <c r="V107" s="2" t="inlineStr">
        <is>
          <t>Knärot
Duvhök
Rävticka
Grönsiska</t>
        </is>
      </c>
      <c r="W107">
        <f>HYPERLINK("https://klasma.github.io/Logging_0883/artfynd/A 54569-2023 artfynd.xlsx", "A 54569-2023")</f>
        <v/>
      </c>
      <c r="X107">
        <f>HYPERLINK("https://klasma.github.io/Logging_0883/kartor/A 54569-2023 karta.png", "A 54569-2023")</f>
        <v/>
      </c>
      <c r="Y107">
        <f>HYPERLINK("https://klasma.github.io/Logging_0883/kartor_geotiff/A 54569-2023 georefererad karta.tif", "A 54569-2023")</f>
        <v/>
      </c>
      <c r="Z107">
        <f>HYPERLINK("https://klasma.github.io/Logging_0883/knärot/A 54569-2023 karta knärot.png", "A 54569-2023")</f>
        <v/>
      </c>
      <c r="AA107">
        <f>HYPERLINK("https://klasma.github.io/Logging_0883/klagomål/A 54569-2023 FSC-klagomål.docx", "A 54569-2023")</f>
        <v/>
      </c>
      <c r="AB107">
        <f>HYPERLINK("https://klasma.github.io/Logging_0883/klagomålsmail/A 54569-2023 FSC-klagomål mail.docx", "A 54569-2023")</f>
        <v/>
      </c>
      <c r="AC107">
        <f>HYPERLINK("https://klasma.github.io/Logging_0883/tillsyn/A 54569-2023 tillsynsbegäran.docx", "A 54569-2023")</f>
        <v/>
      </c>
      <c r="AD107">
        <f>HYPERLINK("https://klasma.github.io/Logging_0883/tillsynsmail/A 54569-2023 tillsynsbegäran mail.docx", "A 54569-2023")</f>
        <v/>
      </c>
      <c r="AE107">
        <f>HYPERLINK("https://klasma.github.io/Logging_0883/fåglar/A 54569-2023 prioriterade fågelarter.docx", "A 54569-2023")</f>
        <v/>
      </c>
    </row>
    <row r="108" ht="15" customHeight="1">
      <c r="A108" t="inlineStr">
        <is>
          <t>A 14301-2023</t>
        </is>
      </c>
      <c r="B108" t="inlineStr">
        <is>
          <t>avverkningsanmälan</t>
        </is>
      </c>
      <c r="C108" t="inlineStr">
        <is>
          <t>Föryngringsavverkning</t>
        </is>
      </c>
      <c r="D108" s="1" t="n">
        <v>45011</v>
      </c>
      <c r="E108" s="1" t="n">
        <v>46323</v>
      </c>
      <c r="F108" t="inlineStr">
        <is>
          <t>KALMAR LÄN</t>
        </is>
      </c>
      <c r="G108" t="inlineStr">
        <is>
          <t>VÄSTERVIK</t>
        </is>
      </c>
      <c r="I108" t="n">
        <v>4.4</v>
      </c>
      <c r="J108" t="n">
        <v>1</v>
      </c>
      <c r="K108" t="n">
        <v>1</v>
      </c>
      <c r="L108" t="n">
        <v>2</v>
      </c>
      <c r="M108" t="n">
        <v>1</v>
      </c>
      <c r="N108" t="n">
        <v>0</v>
      </c>
      <c r="O108" t="n">
        <v>0</v>
      </c>
      <c r="P108" t="n">
        <v>0</v>
      </c>
      <c r="Q108" t="n">
        <v>3</v>
      </c>
      <c r="R108" t="n">
        <v>1</v>
      </c>
      <c r="S108" t="n">
        <v>4</v>
      </c>
      <c r="T108" t="n">
        <v>19</v>
      </c>
      <c r="U108" t="n">
        <v>19</v>
      </c>
      <c r="V108" s="2" t="inlineStr">
        <is>
          <t>Knärot
Tallticka
Ullticka
Grönpyrola</t>
        </is>
      </c>
      <c r="W108">
        <f>HYPERLINK("https://klasma.github.io/Logging_0883/artfynd/A 14301-2023 artfynd.xlsx", "A 14301-2023")</f>
        <v/>
      </c>
      <c r="X108">
        <f>HYPERLINK("https://klasma.github.io/Logging_0883/kartor/A 14301-2023 karta.png", "A 14301-2023")</f>
        <v/>
      </c>
      <c r="Y108">
        <f>HYPERLINK("https://klasma.github.io/Logging_0883/kartor_geotiff/A 14301-2023 georefererad karta.tif", "A 14301-2023")</f>
        <v/>
      </c>
      <c r="Z108">
        <f>HYPERLINK("https://klasma.github.io/Logging_0883/knärot/A 14301-2023 karta knärot.png", "A 14301-2023")</f>
        <v/>
      </c>
      <c r="AA108">
        <f>HYPERLINK("https://klasma.github.io/Logging_0883/klagomål/A 14301-2023 FSC-klagomål.docx", "A 14301-2023")</f>
        <v/>
      </c>
      <c r="AB108">
        <f>HYPERLINK("https://klasma.github.io/Logging_0883/klagomålsmail/A 14301-2023 FSC-klagomål mail.docx", "A 14301-2023")</f>
        <v/>
      </c>
      <c r="AC108">
        <f>HYPERLINK("https://klasma.github.io/Logging_0883/tillsyn/A 14301-2023 tillsynsbegäran.docx", "A 14301-2023")</f>
        <v/>
      </c>
      <c r="AD108">
        <f>HYPERLINK("https://klasma.github.io/Logging_0883/tillsynsmail/A 14301-2023 tillsynsbegäran mail.docx", "A 14301-2023")</f>
        <v/>
      </c>
    </row>
    <row r="109" ht="15" customHeight="1">
      <c r="A109" t="inlineStr">
        <is>
          <t>A 52030-2025</t>
        </is>
      </c>
      <c r="B109" t="inlineStr">
        <is>
          <t>avverkningsanmälan</t>
        </is>
      </c>
      <c r="C109" t="inlineStr">
        <is>
          <t>Föryngringsavverkning</t>
        </is>
      </c>
      <c r="D109" s="1" t="n">
        <v>45952</v>
      </c>
      <c r="E109" s="1" t="n">
        <v>46323</v>
      </c>
      <c r="F109" t="inlineStr">
        <is>
          <t>KALMAR LÄN</t>
        </is>
      </c>
      <c r="G109" t="inlineStr">
        <is>
          <t>VÄSTERVIK</t>
        </is>
      </c>
      <c r="H109" t="inlineStr">
        <is>
          <t>Holmen skog AB</t>
        </is>
      </c>
      <c r="I109" t="n">
        <v>7.3</v>
      </c>
      <c r="J109" t="n">
        <v>0</v>
      </c>
      <c r="K109" t="n">
        <v>2</v>
      </c>
      <c r="L109" t="n">
        <v>2</v>
      </c>
      <c r="M109" t="n">
        <v>0</v>
      </c>
      <c r="N109" t="n">
        <v>0</v>
      </c>
      <c r="O109" t="n">
        <v>0</v>
      </c>
      <c r="P109" t="n">
        <v>0</v>
      </c>
      <c r="Q109" t="n">
        <v>2</v>
      </c>
      <c r="R109" t="n">
        <v>0</v>
      </c>
      <c r="S109" t="n">
        <v>4</v>
      </c>
      <c r="T109" t="n">
        <v>5</v>
      </c>
      <c r="U109" t="n">
        <v>0</v>
      </c>
      <c r="V109" s="2" t="inlineStr">
        <is>
          <t>Ekticka
Oxtungssvamp
Hasselticka
Stor aspticka</t>
        </is>
      </c>
      <c r="W109">
        <f>HYPERLINK("https://klasma.github.io/Logging_0883/artfynd/A 52030-2025 artfynd.xlsx", "A 52030-2025")</f>
        <v/>
      </c>
      <c r="X109">
        <f>HYPERLINK("https://klasma.github.io/Logging_0883/kartor/A 52030-2025 karta.png", "A 52030-2025")</f>
        <v/>
      </c>
      <c r="Y109">
        <f>HYPERLINK("https://klasma.github.io/Logging_0883/kartor_geotiff/A 52030-2025 georefererad karta.tif", "A 52030-2025")</f>
        <v/>
      </c>
      <c r="AA109">
        <f>HYPERLINK("https://klasma.github.io/Logging_0883/klagomål/A 52030-2025 FSC-klagomål.docx", "A 52030-2025")</f>
        <v/>
      </c>
      <c r="AB109">
        <f>HYPERLINK("https://klasma.github.io/Logging_0883/klagomålsmail/A 52030-2025 FSC-klagomål mail.docx", "A 52030-2025")</f>
        <v/>
      </c>
      <c r="AC109">
        <f>HYPERLINK("https://klasma.github.io/Logging_0883/tillsyn/A 52030-2025 tillsynsbegäran.docx", "A 52030-2025")</f>
        <v/>
      </c>
      <c r="AD109">
        <f>HYPERLINK("https://klasma.github.io/Logging_0883/tillsynsmail/A 52030-2025 tillsynsbegäran mail.docx", "A 52030-2025")</f>
        <v/>
      </c>
    </row>
    <row r="110" ht="15" customHeight="1">
      <c r="A110" t="inlineStr">
        <is>
          <t>A 53842-2025</t>
        </is>
      </c>
      <c r="B110" t="inlineStr">
        <is>
          <t>avverkningsanmälan</t>
        </is>
      </c>
      <c r="C110" t="inlineStr">
        <is>
          <t>Avverkning för att bevara och utveckla /försöksver</t>
        </is>
      </c>
      <c r="D110" s="1" t="n">
        <v>45961</v>
      </c>
      <c r="E110" s="1" t="n">
        <v>46323</v>
      </c>
      <c r="F110" t="inlineStr">
        <is>
          <t>KALMAR LÄN</t>
        </is>
      </c>
      <c r="G110" t="inlineStr">
        <is>
          <t>VÄSTERVIK</t>
        </is>
      </c>
      <c r="H110" t="inlineStr">
        <is>
          <t>Sveaskog</t>
        </is>
      </c>
      <c r="I110" t="n">
        <v>4.9</v>
      </c>
      <c r="J110" t="n">
        <v>1</v>
      </c>
      <c r="K110" t="n">
        <v>2</v>
      </c>
      <c r="L110" t="n">
        <v>1</v>
      </c>
      <c r="M110" t="n">
        <v>0</v>
      </c>
      <c r="N110" t="n">
        <v>0</v>
      </c>
      <c r="O110" t="n">
        <v>0</v>
      </c>
      <c r="P110" t="n">
        <v>0</v>
      </c>
      <c r="Q110" t="n">
        <v>1</v>
      </c>
      <c r="R110" t="n">
        <v>0</v>
      </c>
      <c r="S110" t="n">
        <v>4</v>
      </c>
      <c r="T110" t="n">
        <v>4</v>
      </c>
      <c r="U110" t="n">
        <v>0</v>
      </c>
      <c r="V110" s="2" t="inlineStr">
        <is>
          <t>Vårärt
Fällmossa
Platt fjädermossa
Blåsippa</t>
        </is>
      </c>
      <c r="W110">
        <f>HYPERLINK("https://klasma.github.io/Logging_0883/artfynd/A 53842-2025 artfynd.xlsx", "A 53842-2025")</f>
        <v/>
      </c>
      <c r="X110">
        <f>HYPERLINK("https://klasma.github.io/Logging_0883/kartor/A 53842-2025 karta.png", "A 53842-2025")</f>
        <v/>
      </c>
      <c r="Y110">
        <f>HYPERLINK("https://klasma.github.io/Logging_0883/kartor_geotiff/A 53842-2025 georefererad karta.tif", "A 53842-2025")</f>
        <v/>
      </c>
      <c r="AA110">
        <f>HYPERLINK("https://klasma.github.io/Logging_0883/klagomål/A 53842-2025 FSC-klagomål.docx", "A 53842-2025")</f>
        <v/>
      </c>
      <c r="AB110">
        <f>HYPERLINK("https://klasma.github.io/Logging_0883/klagomålsmail/A 53842-2025 FSC-klagomål mail.docx", "A 53842-2025")</f>
        <v/>
      </c>
      <c r="AC110">
        <f>HYPERLINK("https://klasma.github.io/Logging_0883/tillsyn/A 53842-2025 tillsynsbegäran.docx", "A 53842-2025")</f>
        <v/>
      </c>
      <c r="AD110">
        <f>HYPERLINK("https://klasma.github.io/Logging_0883/tillsynsmail/A 53842-2025 tillsynsbegäran mail.docx", "A 53842-2025")</f>
        <v/>
      </c>
    </row>
    <row r="111" ht="15" customHeight="1">
      <c r="A111" t="inlineStr">
        <is>
          <t>A 61551-2025</t>
        </is>
      </c>
      <c r="B111" t="inlineStr">
        <is>
          <t>avverkningsanmälan</t>
        </is>
      </c>
      <c r="C111" t="inlineStr">
        <is>
          <t>Föryngringsavverkning</t>
        </is>
      </c>
      <c r="D111" s="1" t="n">
        <v>46001</v>
      </c>
      <c r="E111" s="1" t="n">
        <v>46323</v>
      </c>
      <c r="F111" t="inlineStr">
        <is>
          <t>KALMAR LÄN</t>
        </is>
      </c>
      <c r="G111" t="inlineStr">
        <is>
          <t>VÄSTERVIK</t>
        </is>
      </c>
      <c r="H111" t="inlineStr">
        <is>
          <t>Sveaskog</t>
        </is>
      </c>
      <c r="I111" t="n">
        <v>10.4</v>
      </c>
      <c r="J111" t="n">
        <v>3</v>
      </c>
      <c r="K111" t="n">
        <v>0</v>
      </c>
      <c r="L111" t="n">
        <v>2</v>
      </c>
      <c r="M111" t="n">
        <v>0</v>
      </c>
      <c r="N111" t="n">
        <v>0</v>
      </c>
      <c r="O111" t="n">
        <v>0</v>
      </c>
      <c r="P111" t="n">
        <v>0</v>
      </c>
      <c r="Q111" t="n">
        <v>2</v>
      </c>
      <c r="R111" t="n">
        <v>0</v>
      </c>
      <c r="S111" t="n">
        <v>4</v>
      </c>
      <c r="T111" t="n">
        <v>8</v>
      </c>
      <c r="U111" t="n">
        <v>8</v>
      </c>
      <c r="V111" s="2" t="inlineStr">
        <is>
          <t>Ekticka
Talltita
Havsörn
Kungsfågel</t>
        </is>
      </c>
      <c r="W111">
        <f>HYPERLINK("https://klasma.github.io/Logging_0883/artfynd/A 61551-2025 artfynd.xlsx", "A 61551-2025")</f>
        <v/>
      </c>
      <c r="X111">
        <f>HYPERLINK("https://klasma.github.io/Logging_0883/kartor/A 61551-2025 karta.png", "A 61551-2025")</f>
        <v/>
      </c>
      <c r="Y111">
        <f>HYPERLINK("https://klasma.github.io/Logging_0883/kartor_geotiff/A 61551-2025 georefererad karta.tif", "A 61551-2025")</f>
        <v/>
      </c>
      <c r="AA111">
        <f>HYPERLINK("https://klasma.github.io/Logging_0883/klagomål/A 61551-2025 FSC-klagomål.docx", "A 61551-2025")</f>
        <v/>
      </c>
      <c r="AB111">
        <f>HYPERLINK("https://klasma.github.io/Logging_0883/klagomålsmail/A 61551-2025 FSC-klagomål mail.docx", "A 61551-2025")</f>
        <v/>
      </c>
      <c r="AC111">
        <f>HYPERLINK("https://klasma.github.io/Logging_0883/tillsyn/A 61551-2025 tillsynsbegäran.docx", "A 61551-2025")</f>
        <v/>
      </c>
      <c r="AD111">
        <f>HYPERLINK("https://klasma.github.io/Logging_0883/tillsynsmail/A 61551-2025 tillsynsbegäran mail.docx", "A 61551-2025")</f>
        <v/>
      </c>
      <c r="AE111">
        <f>HYPERLINK("https://klasma.github.io/Logging_0883/fåglar/A 61551-2025 prioriterade fågelarter.docx", "A 61551-2025")</f>
        <v/>
      </c>
    </row>
    <row r="112" ht="15" customHeight="1">
      <c r="A112" t="inlineStr">
        <is>
          <t>A 42868-2025</t>
        </is>
      </c>
      <c r="B112" t="inlineStr">
        <is>
          <t>avverkningsanmälan</t>
        </is>
      </c>
      <c r="C112" t="inlineStr">
        <is>
          <t>Föryngringsavverkning</t>
        </is>
      </c>
      <c r="D112" s="1" t="n">
        <v>45908</v>
      </c>
      <c r="E112" s="1" t="n">
        <v>46323</v>
      </c>
      <c r="F112" t="inlineStr">
        <is>
          <t>KALMAR LÄN</t>
        </is>
      </c>
      <c r="G112" t="inlineStr">
        <is>
          <t>VÄSTERVIK</t>
        </is>
      </c>
      <c r="H112" t="inlineStr">
        <is>
          <t>Holmen skog AB</t>
        </is>
      </c>
      <c r="I112" t="n">
        <v>3.7</v>
      </c>
      <c r="J112" t="n">
        <v>1</v>
      </c>
      <c r="K112" t="n">
        <v>3</v>
      </c>
      <c r="L112" t="n">
        <v>0</v>
      </c>
      <c r="M112" t="n">
        <v>1</v>
      </c>
      <c r="N112" t="n">
        <v>0</v>
      </c>
      <c r="O112" t="n">
        <v>0</v>
      </c>
      <c r="P112" t="n">
        <v>0</v>
      </c>
      <c r="Q112" t="n">
        <v>1</v>
      </c>
      <c r="R112" t="n">
        <v>1</v>
      </c>
      <c r="S112" t="n">
        <v>4</v>
      </c>
      <c r="T112" t="n">
        <v>10</v>
      </c>
      <c r="U112" t="n">
        <v>10</v>
      </c>
      <c r="V112" s="2" t="inlineStr">
        <is>
          <t>Knärot
Brandticka
Grönpyrola
Trådticka</t>
        </is>
      </c>
      <c r="W112">
        <f>HYPERLINK("https://klasma.github.io/Logging_0883/artfynd/A 42868-2025 artfynd.xlsx", "A 42868-2025")</f>
        <v/>
      </c>
      <c r="X112">
        <f>HYPERLINK("https://klasma.github.io/Logging_0883/kartor/A 42868-2025 karta.png", "A 42868-2025")</f>
        <v/>
      </c>
      <c r="Y112">
        <f>HYPERLINK("https://klasma.github.io/Logging_0883/kartor_geotiff/A 42868-2025 georefererad karta.tif", "A 42868-2025")</f>
        <v/>
      </c>
      <c r="Z112">
        <f>HYPERLINK("https://klasma.github.io/Logging_0883/knärot/A 42868-2025 karta knärot.png", "A 42868-2025")</f>
        <v/>
      </c>
      <c r="AA112">
        <f>HYPERLINK("https://klasma.github.io/Logging_0883/klagomål/A 42868-2025 FSC-klagomål.docx", "A 42868-2025")</f>
        <v/>
      </c>
      <c r="AB112">
        <f>HYPERLINK("https://klasma.github.io/Logging_0883/klagomålsmail/A 42868-2025 FSC-klagomål mail.docx", "A 42868-2025")</f>
        <v/>
      </c>
      <c r="AC112">
        <f>HYPERLINK("https://klasma.github.io/Logging_0883/tillsyn/A 42868-2025 tillsynsbegäran.docx", "A 42868-2025")</f>
        <v/>
      </c>
      <c r="AD112">
        <f>HYPERLINK("https://klasma.github.io/Logging_0883/tillsynsmail/A 42868-2025 tillsynsbegäran mail.docx", "A 42868-2025")</f>
        <v/>
      </c>
    </row>
    <row r="113" ht="15" customHeight="1">
      <c r="A113" t="inlineStr">
        <is>
          <t>A 11856-2024</t>
        </is>
      </c>
      <c r="B113" t="inlineStr">
        <is>
          <t>avverkningsanmälan</t>
        </is>
      </c>
      <c r="C113" t="inlineStr">
        <is>
          <t>Föryngringsavverkning</t>
        </is>
      </c>
      <c r="D113" s="1" t="n">
        <v>45376</v>
      </c>
      <c r="E113" s="1" t="n">
        <v>46323</v>
      </c>
      <c r="F113" t="inlineStr">
        <is>
          <t>KALMAR LÄN</t>
        </is>
      </c>
      <c r="G113" t="inlineStr">
        <is>
          <t>VÄSTERVIK</t>
        </is>
      </c>
      <c r="H113" t="inlineStr">
        <is>
          <t>Sveaskog</t>
        </is>
      </c>
      <c r="I113" t="n">
        <v>3.4</v>
      </c>
      <c r="J113" t="n">
        <v>1</v>
      </c>
      <c r="K113" t="n">
        <v>2</v>
      </c>
      <c r="L113" t="n">
        <v>1</v>
      </c>
      <c r="M113" t="n">
        <v>0</v>
      </c>
      <c r="N113" t="n">
        <v>0</v>
      </c>
      <c r="O113" t="n">
        <v>0</v>
      </c>
      <c r="P113" t="n">
        <v>0</v>
      </c>
      <c r="Q113" t="n">
        <v>1</v>
      </c>
      <c r="R113" t="n">
        <v>0</v>
      </c>
      <c r="S113" t="n">
        <v>4</v>
      </c>
      <c r="T113" t="n">
        <v>4</v>
      </c>
      <c r="U113" t="n">
        <v>0</v>
      </c>
      <c r="V113" s="2" t="inlineStr">
        <is>
          <t>Lunglav
Fällmossa
Platt fjädermossa
Blåsippa</t>
        </is>
      </c>
      <c r="W113">
        <f>HYPERLINK("https://klasma.github.io/Logging_0883/artfynd/A 11856-2024 artfynd.xlsx", "A 11856-2024")</f>
        <v/>
      </c>
      <c r="X113">
        <f>HYPERLINK("https://klasma.github.io/Logging_0883/kartor/A 11856-2024 karta.png", "A 11856-2024")</f>
        <v/>
      </c>
      <c r="Y113">
        <f>HYPERLINK("https://klasma.github.io/Logging_0883/kartor_geotiff/A 11856-2024 georefererad karta.tif", "A 11856-2024")</f>
        <v/>
      </c>
      <c r="AA113">
        <f>HYPERLINK("https://klasma.github.io/Logging_0883/klagomål/A 11856-2024 FSC-klagomål.docx", "A 11856-2024")</f>
        <v/>
      </c>
      <c r="AB113">
        <f>HYPERLINK("https://klasma.github.io/Logging_0883/klagomålsmail/A 11856-2024 FSC-klagomål mail.docx", "A 11856-2024")</f>
        <v/>
      </c>
      <c r="AC113">
        <f>HYPERLINK("https://klasma.github.io/Logging_0883/tillsyn/A 11856-2024 tillsynsbegäran.docx", "A 11856-2024")</f>
        <v/>
      </c>
      <c r="AD113">
        <f>HYPERLINK("https://klasma.github.io/Logging_0883/tillsynsmail/A 11856-2024 tillsynsbegäran mail.docx", "A 11856-2024")</f>
        <v/>
      </c>
    </row>
    <row r="114" ht="15" customHeight="1">
      <c r="A114" t="inlineStr">
        <is>
          <t>A 58343-2025</t>
        </is>
      </c>
      <c r="B114" t="inlineStr">
        <is>
          <t>avverkningsanmälan</t>
        </is>
      </c>
      <c r="C114" t="inlineStr">
        <is>
          <t>Föryngringsavverkning</t>
        </is>
      </c>
      <c r="D114" s="1" t="n">
        <v>45985</v>
      </c>
      <c r="E114" s="1" t="n">
        <v>46323</v>
      </c>
      <c r="F114" t="inlineStr">
        <is>
          <t>KALMAR LÄN</t>
        </is>
      </c>
      <c r="G114" t="inlineStr">
        <is>
          <t>VÄSTERVIK</t>
        </is>
      </c>
      <c r="I114" t="n">
        <v>5.2</v>
      </c>
      <c r="J114" t="n">
        <v>3</v>
      </c>
      <c r="K114" t="n">
        <v>0</v>
      </c>
      <c r="L114" t="n">
        <v>2</v>
      </c>
      <c r="M114" t="n">
        <v>1</v>
      </c>
      <c r="N114" t="n">
        <v>0</v>
      </c>
      <c r="O114" t="n">
        <v>0</v>
      </c>
      <c r="P114" t="n">
        <v>0</v>
      </c>
      <c r="Q114" t="n">
        <v>3</v>
      </c>
      <c r="R114" t="n">
        <v>1</v>
      </c>
      <c r="S114" t="n">
        <v>4</v>
      </c>
      <c r="T114" t="n">
        <v>7</v>
      </c>
      <c r="U114" t="n">
        <v>7</v>
      </c>
      <c r="V114" s="2" t="inlineStr">
        <is>
          <t>Knärot
Tallticka
Talltita
Spillkråka</t>
        </is>
      </c>
      <c r="W114">
        <f>HYPERLINK("https://klasma.github.io/Logging_0883/artfynd/A 58343-2025 artfynd.xlsx", "A 58343-2025")</f>
        <v/>
      </c>
      <c r="X114">
        <f>HYPERLINK("https://klasma.github.io/Logging_0883/kartor/A 58343-2025 karta.png", "A 58343-2025")</f>
        <v/>
      </c>
      <c r="Y114">
        <f>HYPERLINK("https://klasma.github.io/Logging_0883/kartor_geotiff/A 58343-2025 georefererad karta.tif", "A 58343-2025")</f>
        <v/>
      </c>
      <c r="Z114">
        <f>HYPERLINK("https://klasma.github.io/Logging_0883/knärot/A 58343-2025 karta knärot.png", "A 58343-2025")</f>
        <v/>
      </c>
      <c r="AA114">
        <f>HYPERLINK("https://klasma.github.io/Logging_0883/klagomål/A 58343-2025 FSC-klagomål.docx", "A 58343-2025")</f>
        <v/>
      </c>
      <c r="AB114">
        <f>HYPERLINK("https://klasma.github.io/Logging_0883/klagomålsmail/A 58343-2025 FSC-klagomål mail.docx", "A 58343-2025")</f>
        <v/>
      </c>
      <c r="AC114">
        <f>HYPERLINK("https://klasma.github.io/Logging_0883/tillsyn/A 58343-2025 tillsynsbegäran.docx", "A 58343-2025")</f>
        <v/>
      </c>
      <c r="AD114">
        <f>HYPERLINK("https://klasma.github.io/Logging_0883/tillsynsmail/A 58343-2025 tillsynsbegäran mail.docx", "A 58343-2025")</f>
        <v/>
      </c>
      <c r="AE114">
        <f>HYPERLINK("https://klasma.github.io/Logging_0883/fåglar/A 58343-2025 prioriterade fågelarter.docx", "A 58343-2025")</f>
        <v/>
      </c>
    </row>
    <row r="115" ht="15" customHeight="1">
      <c r="A115" t="inlineStr">
        <is>
          <t>A 58955-2022</t>
        </is>
      </c>
      <c r="B115" t="inlineStr">
        <is>
          <t>avverkningsanmälan</t>
        </is>
      </c>
      <c r="C115" t="inlineStr">
        <is>
          <t>Föryngringsavverkning</t>
        </is>
      </c>
      <c r="D115" s="1" t="n">
        <v>44896</v>
      </c>
      <c r="E115" s="1" t="n">
        <v>46323</v>
      </c>
      <c r="F115" t="inlineStr">
        <is>
          <t>KALMAR LÄN</t>
        </is>
      </c>
      <c r="G115" t="inlineStr">
        <is>
          <t>VÄSTERVIK</t>
        </is>
      </c>
      <c r="I115" t="n">
        <v>4.5</v>
      </c>
      <c r="J115" t="n">
        <v>2</v>
      </c>
      <c r="K115" t="n">
        <v>1</v>
      </c>
      <c r="L115" t="n">
        <v>1</v>
      </c>
      <c r="M115" t="n">
        <v>1</v>
      </c>
      <c r="N115" t="n">
        <v>0</v>
      </c>
      <c r="O115" t="n">
        <v>0</v>
      </c>
      <c r="P115" t="n">
        <v>0</v>
      </c>
      <c r="Q115" t="n">
        <v>2</v>
      </c>
      <c r="R115" t="n">
        <v>1</v>
      </c>
      <c r="S115" t="n">
        <v>4</v>
      </c>
      <c r="T115" t="n">
        <v>7</v>
      </c>
      <c r="U115" t="n">
        <v>7</v>
      </c>
      <c r="V115" s="2" t="inlineStr">
        <is>
          <t>Knärot
Tallticka
Hasselticka
Blåsippa</t>
        </is>
      </c>
      <c r="W115">
        <f>HYPERLINK("https://klasma.github.io/Logging_0883/artfynd/A 58955-2022 artfynd.xlsx", "A 58955-2022")</f>
        <v/>
      </c>
      <c r="X115">
        <f>HYPERLINK("https://klasma.github.io/Logging_0883/kartor/A 58955-2022 karta.png", "A 58955-2022")</f>
        <v/>
      </c>
      <c r="Y115">
        <f>HYPERLINK("https://klasma.github.io/Logging_0883/kartor_geotiff/A 58955-2022 georefererad karta.tif", "A 58955-2022")</f>
        <v/>
      </c>
      <c r="Z115">
        <f>HYPERLINK("https://klasma.github.io/Logging_0883/knärot/A 58955-2022 karta knärot.png", "A 58955-2022")</f>
        <v/>
      </c>
      <c r="AA115">
        <f>HYPERLINK("https://klasma.github.io/Logging_0883/klagomål/A 58955-2022 FSC-klagomål.docx", "A 58955-2022")</f>
        <v/>
      </c>
      <c r="AB115">
        <f>HYPERLINK("https://klasma.github.io/Logging_0883/klagomålsmail/A 58955-2022 FSC-klagomål mail.docx", "A 58955-2022")</f>
        <v/>
      </c>
      <c r="AC115">
        <f>HYPERLINK("https://klasma.github.io/Logging_0883/tillsyn/A 58955-2022 tillsynsbegäran.docx", "A 58955-2022")</f>
        <v/>
      </c>
      <c r="AD115">
        <f>HYPERLINK("https://klasma.github.io/Logging_0883/tillsynsmail/A 58955-2022 tillsynsbegäran mail.docx", "A 58955-2022")</f>
        <v/>
      </c>
    </row>
    <row r="116" ht="15" customHeight="1">
      <c r="A116" t="inlineStr">
        <is>
          <t>A 63366-2023</t>
        </is>
      </c>
      <c r="B116" t="inlineStr">
        <is>
          <t>avverkningsanmälan</t>
        </is>
      </c>
      <c r="C116" t="inlineStr">
        <is>
          <t>Föryngringsavverkning</t>
        </is>
      </c>
      <c r="D116" s="1" t="n">
        <v>45274</v>
      </c>
      <c r="E116" s="1" t="n">
        <v>46323</v>
      </c>
      <c r="F116" t="inlineStr">
        <is>
          <t>KALMAR LÄN</t>
        </is>
      </c>
      <c r="G116" t="inlineStr">
        <is>
          <t>VÄSTERVIK</t>
        </is>
      </c>
      <c r="I116" t="n">
        <v>4.1</v>
      </c>
      <c r="J116" t="n">
        <v>3</v>
      </c>
      <c r="K116" t="n">
        <v>0</v>
      </c>
      <c r="L116" t="n">
        <v>2</v>
      </c>
      <c r="M116" t="n">
        <v>1</v>
      </c>
      <c r="N116" t="n">
        <v>0</v>
      </c>
      <c r="O116" t="n">
        <v>0</v>
      </c>
      <c r="P116" t="n">
        <v>0</v>
      </c>
      <c r="Q116" t="n">
        <v>3</v>
      </c>
      <c r="R116" t="n">
        <v>1</v>
      </c>
      <c r="S116" t="n">
        <v>4</v>
      </c>
      <c r="T116" t="n">
        <v>6</v>
      </c>
      <c r="U116" t="n">
        <v>6</v>
      </c>
      <c r="V116" s="2" t="inlineStr">
        <is>
          <t>Knärot
Tallticka
Talltita
Spillkråka</t>
        </is>
      </c>
      <c r="W116">
        <f>HYPERLINK("https://klasma.github.io/Logging_0883/artfynd/A 63366-2023 artfynd.xlsx", "A 63366-2023")</f>
        <v/>
      </c>
      <c r="X116">
        <f>HYPERLINK("https://klasma.github.io/Logging_0883/kartor/A 63366-2023 karta.png", "A 63366-2023")</f>
        <v/>
      </c>
      <c r="Y116">
        <f>HYPERLINK("https://klasma.github.io/Logging_0883/kartor_geotiff/A 63366-2023 georefererad karta.tif", "A 63366-2023")</f>
        <v/>
      </c>
      <c r="Z116">
        <f>HYPERLINK("https://klasma.github.io/Logging_0883/knärot/A 63366-2023 karta knärot.png", "A 63366-2023")</f>
        <v/>
      </c>
      <c r="AA116">
        <f>HYPERLINK("https://klasma.github.io/Logging_0883/klagomål/A 63366-2023 FSC-klagomål.docx", "A 63366-2023")</f>
        <v/>
      </c>
      <c r="AB116">
        <f>HYPERLINK("https://klasma.github.io/Logging_0883/klagomålsmail/A 63366-2023 FSC-klagomål mail.docx", "A 63366-2023")</f>
        <v/>
      </c>
      <c r="AC116">
        <f>HYPERLINK("https://klasma.github.io/Logging_0883/tillsyn/A 63366-2023 tillsynsbegäran.docx", "A 63366-2023")</f>
        <v/>
      </c>
      <c r="AD116">
        <f>HYPERLINK("https://klasma.github.io/Logging_0883/tillsynsmail/A 63366-2023 tillsynsbegäran mail.docx", "A 63366-2023")</f>
        <v/>
      </c>
      <c r="AE116">
        <f>HYPERLINK("https://klasma.github.io/Logging_0883/fåglar/A 63366-2023 prioriterade fågelarter.docx", "A 63366-2023")</f>
        <v/>
      </c>
    </row>
    <row r="117" ht="15" customHeight="1">
      <c r="A117" t="inlineStr">
        <is>
          <t>A 47935-2023</t>
        </is>
      </c>
      <c r="B117" t="inlineStr">
        <is>
          <t>avverkningsanmälan</t>
        </is>
      </c>
      <c r="C117" t="inlineStr">
        <is>
          <t>Föryngringsavverkning</t>
        </is>
      </c>
      <c r="D117" s="1" t="n">
        <v>45204</v>
      </c>
      <c r="E117" s="1" t="n">
        <v>46323</v>
      </c>
      <c r="F117" t="inlineStr">
        <is>
          <t>KALMAR LÄN</t>
        </is>
      </c>
      <c r="G117" t="inlineStr">
        <is>
          <t>VÄSTERVIK</t>
        </is>
      </c>
      <c r="I117" t="n">
        <v>4.3</v>
      </c>
      <c r="J117" t="n">
        <v>2</v>
      </c>
      <c r="K117" t="n">
        <v>1</v>
      </c>
      <c r="L117" t="n">
        <v>1</v>
      </c>
      <c r="M117" t="n">
        <v>1</v>
      </c>
      <c r="N117" t="n">
        <v>0</v>
      </c>
      <c r="O117" t="n">
        <v>0</v>
      </c>
      <c r="P117" t="n">
        <v>0</v>
      </c>
      <c r="Q117" t="n">
        <v>2</v>
      </c>
      <c r="R117" t="n">
        <v>1</v>
      </c>
      <c r="S117" t="n">
        <v>4</v>
      </c>
      <c r="T117" t="n">
        <v>20</v>
      </c>
      <c r="U117" t="n">
        <v>20</v>
      </c>
      <c r="V117" s="2" t="inlineStr">
        <is>
          <t>Knärot
Tallticka
Blåmossa
Spillkråka</t>
        </is>
      </c>
      <c r="W117">
        <f>HYPERLINK("https://klasma.github.io/Logging_0883/artfynd/A 47935-2023 artfynd.xlsx", "A 47935-2023")</f>
        <v/>
      </c>
      <c r="X117">
        <f>HYPERLINK("https://klasma.github.io/Logging_0883/kartor/A 47935-2023 karta.png", "A 47935-2023")</f>
        <v/>
      </c>
      <c r="Y117">
        <f>HYPERLINK("https://klasma.github.io/Logging_0883/kartor_geotiff/A 47935-2023 georefererad karta.tif", "A 47935-2023")</f>
        <v/>
      </c>
      <c r="Z117">
        <f>HYPERLINK("https://klasma.github.io/Logging_0883/knärot/A 47935-2023 karta knärot.png", "A 47935-2023")</f>
        <v/>
      </c>
      <c r="AA117">
        <f>HYPERLINK("https://klasma.github.io/Logging_0883/klagomål/A 47935-2023 FSC-klagomål.docx", "A 47935-2023")</f>
        <v/>
      </c>
      <c r="AB117">
        <f>HYPERLINK("https://klasma.github.io/Logging_0883/klagomålsmail/A 47935-2023 FSC-klagomål mail.docx", "A 47935-2023")</f>
        <v/>
      </c>
      <c r="AC117">
        <f>HYPERLINK("https://klasma.github.io/Logging_0883/tillsyn/A 47935-2023 tillsynsbegäran.docx", "A 47935-2023")</f>
        <v/>
      </c>
      <c r="AD117">
        <f>HYPERLINK("https://klasma.github.io/Logging_0883/tillsynsmail/A 47935-2023 tillsynsbegäran mail.docx", "A 47935-2023")</f>
        <v/>
      </c>
      <c r="AE117">
        <f>HYPERLINK("https://klasma.github.io/Logging_0883/fåglar/A 47935-2023 prioriterade fågelarter.docx", "A 47935-2023")</f>
        <v/>
      </c>
    </row>
    <row r="118" ht="15" customHeight="1">
      <c r="A118" t="inlineStr">
        <is>
          <t>A 24950-2026</t>
        </is>
      </c>
      <c r="B118" t="inlineStr">
        <is>
          <t>avverkningsanmälan</t>
        </is>
      </c>
      <c r="C118" t="inlineStr">
        <is>
          <t>Föryngringsavverkning</t>
        </is>
      </c>
      <c r="D118" s="1" t="n">
        <v>46174</v>
      </c>
      <c r="E118" s="1" t="n">
        <v>46323</v>
      </c>
      <c r="F118" t="inlineStr">
        <is>
          <t>KALMAR LÄN</t>
        </is>
      </c>
      <c r="G118" t="inlineStr">
        <is>
          <t>VÄSTERVIK</t>
        </is>
      </c>
      <c r="I118" t="n">
        <v>3</v>
      </c>
      <c r="J118" t="n">
        <v>3</v>
      </c>
      <c r="K118" t="n">
        <v>0</v>
      </c>
      <c r="L118" t="n">
        <v>1</v>
      </c>
      <c r="M118" t="n">
        <v>0</v>
      </c>
      <c r="N118" t="n">
        <v>0</v>
      </c>
      <c r="O118" t="n">
        <v>0</v>
      </c>
      <c r="P118" t="n">
        <v>0</v>
      </c>
      <c r="Q118" t="n">
        <v>1</v>
      </c>
      <c r="R118" t="n">
        <v>0</v>
      </c>
      <c r="S118" t="n">
        <v>4</v>
      </c>
      <c r="T118" t="n">
        <v>7</v>
      </c>
      <c r="U118" t="n">
        <v>7</v>
      </c>
      <c r="V118" s="2" t="inlineStr">
        <is>
          <t>Talltita
Spillkråka
Timmerticka
Tjäder</t>
        </is>
      </c>
      <c r="W118">
        <f>HYPERLINK("https://klasma.github.io/Logging_0883/artfynd/A 24950-2026 artfynd.xlsx", "A 24950-2026")</f>
        <v/>
      </c>
      <c r="X118">
        <f>HYPERLINK("https://klasma.github.io/Logging_0883/kartor/A 24950-2026 karta.png", "A 24950-2026")</f>
        <v/>
      </c>
      <c r="Y118">
        <f>HYPERLINK("https://klasma.github.io/Logging_0883/kartor_geotiff/A 24950-2026 georefererad karta.tif", "A 24950-2026")</f>
        <v/>
      </c>
      <c r="AA118">
        <f>HYPERLINK("https://klasma.github.io/Logging_0883/klagomål/A 24950-2026 FSC-klagomål.docx", "A 24950-2026")</f>
        <v/>
      </c>
      <c r="AB118">
        <f>HYPERLINK("https://klasma.github.io/Logging_0883/klagomålsmail/A 24950-2026 FSC-klagomål mail.docx", "A 24950-2026")</f>
        <v/>
      </c>
      <c r="AC118">
        <f>HYPERLINK("https://klasma.github.io/Logging_0883/tillsyn/A 24950-2026 tillsynsbegäran.docx", "A 24950-2026")</f>
        <v/>
      </c>
      <c r="AD118">
        <f>HYPERLINK("https://klasma.github.io/Logging_0883/tillsynsmail/A 24950-2026 tillsynsbegäran mail.docx", "A 24950-2026")</f>
        <v/>
      </c>
      <c r="AE118">
        <f>HYPERLINK("https://klasma.github.io/Logging_0883/fåglar/A 24950-2026 prioriterade fågelarter.docx", "A 24950-2026")</f>
        <v/>
      </c>
    </row>
    <row r="119" ht="15" customHeight="1">
      <c r="A119" t="inlineStr">
        <is>
          <t>A 21858-2026</t>
        </is>
      </c>
      <c r="B119" t="inlineStr">
        <is>
          <t>avverkningsanmälan</t>
        </is>
      </c>
      <c r="C119" t="inlineStr">
        <is>
          <t>Föryngringsavverkning</t>
        </is>
      </c>
      <c r="D119" s="1" t="n">
        <v>46150</v>
      </c>
      <c r="E119" s="1" t="n">
        <v>46323</v>
      </c>
      <c r="F119" t="inlineStr">
        <is>
          <t>KALMAR LÄN</t>
        </is>
      </c>
      <c r="G119" t="inlineStr">
        <is>
          <t>VÄSTERVIK</t>
        </is>
      </c>
      <c r="I119" t="n">
        <v>1.3</v>
      </c>
      <c r="J119" t="n">
        <v>2</v>
      </c>
      <c r="K119" t="n">
        <v>1</v>
      </c>
      <c r="L119" t="n">
        <v>1</v>
      </c>
      <c r="M119" t="n">
        <v>0</v>
      </c>
      <c r="N119" t="n">
        <v>0</v>
      </c>
      <c r="O119" t="n">
        <v>0</v>
      </c>
      <c r="P119" t="n">
        <v>0</v>
      </c>
      <c r="Q119" t="n">
        <v>1</v>
      </c>
      <c r="R119" t="n">
        <v>0</v>
      </c>
      <c r="S119" t="n">
        <v>4</v>
      </c>
      <c r="T119" t="n">
        <v>6</v>
      </c>
      <c r="U119" t="n">
        <v>5</v>
      </c>
      <c r="V119" s="2" t="inlineStr">
        <is>
          <t>Svinrot
Björksplintborre
Blåsippa
Svartvit flugsnappare</t>
        </is>
      </c>
      <c r="W119">
        <f>HYPERLINK("https://klasma.github.io/Logging_0883/artfynd/A 21858-2026 artfynd.xlsx", "A 21858-2026")</f>
        <v/>
      </c>
      <c r="X119">
        <f>HYPERLINK("https://klasma.github.io/Logging_0883/kartor/A 21858-2026 karta.png", "A 21858-2026")</f>
        <v/>
      </c>
      <c r="Y119">
        <f>HYPERLINK("https://klasma.github.io/Logging_0883/kartor_geotiff/A 21858-2026 georefererad karta.tif", "A 21858-2026")</f>
        <v/>
      </c>
      <c r="AA119">
        <f>HYPERLINK("https://klasma.github.io/Logging_0883/klagomål/A 21858-2026 FSC-klagomål.docx", "A 21858-2026")</f>
        <v/>
      </c>
      <c r="AB119">
        <f>HYPERLINK("https://klasma.github.io/Logging_0883/klagomålsmail/A 21858-2026 FSC-klagomål mail.docx", "A 21858-2026")</f>
        <v/>
      </c>
      <c r="AC119">
        <f>HYPERLINK("https://klasma.github.io/Logging_0883/tillsyn/A 21858-2026 tillsynsbegäran.docx", "A 21858-2026")</f>
        <v/>
      </c>
      <c r="AD119">
        <f>HYPERLINK("https://klasma.github.io/Logging_0883/tillsynsmail/A 21858-2026 tillsynsbegäran mail.docx", "A 21858-2026")</f>
        <v/>
      </c>
    </row>
    <row r="120" ht="15" customHeight="1">
      <c r="A120" t="inlineStr">
        <is>
          <t>A 15162-2026</t>
        </is>
      </c>
      <c r="B120" t="inlineStr">
        <is>
          <t>avverkningsanmälan</t>
        </is>
      </c>
      <c r="C120" t="inlineStr">
        <is>
          <t>Föryngringsavverkning</t>
        </is>
      </c>
      <c r="D120" s="1" t="n">
        <v>46105</v>
      </c>
      <c r="E120" s="1" t="n">
        <v>46323</v>
      </c>
      <c r="F120" t="inlineStr">
        <is>
          <t>KALMAR LÄN</t>
        </is>
      </c>
      <c r="G120" t="inlineStr">
        <is>
          <t>VÄSTERVIK</t>
        </is>
      </c>
      <c r="H120" t="inlineStr">
        <is>
          <t>Sveaskog</t>
        </is>
      </c>
      <c r="I120" t="n">
        <v>1.4</v>
      </c>
      <c r="J120" t="n">
        <v>4</v>
      </c>
      <c r="K120" t="n">
        <v>0</v>
      </c>
      <c r="L120" t="n">
        <v>1</v>
      </c>
      <c r="M120" t="n">
        <v>0</v>
      </c>
      <c r="N120" t="n">
        <v>0</v>
      </c>
      <c r="O120" t="n">
        <v>0</v>
      </c>
      <c r="P120" t="n">
        <v>0</v>
      </c>
      <c r="Q120" t="n">
        <v>1</v>
      </c>
      <c r="R120" t="n">
        <v>0</v>
      </c>
      <c r="S120" t="n">
        <v>4</v>
      </c>
      <c r="T120" t="n">
        <v>8</v>
      </c>
      <c r="U120" t="n">
        <v>8</v>
      </c>
      <c r="V120" s="2" t="inlineStr">
        <is>
          <t>Mindre hackspett
Spillkråka
Grönsiska
Kråka</t>
        </is>
      </c>
      <c r="W120">
        <f>HYPERLINK("https://klasma.github.io/Logging_0883/artfynd/A 15162-2026 artfynd.xlsx", "A 15162-2026")</f>
        <v/>
      </c>
      <c r="X120">
        <f>HYPERLINK("https://klasma.github.io/Logging_0883/kartor/A 15162-2026 karta.png", "A 15162-2026")</f>
        <v/>
      </c>
      <c r="Y120">
        <f>HYPERLINK("https://klasma.github.io/Logging_0883/kartor_geotiff/A 15162-2026 georefererad karta.tif", "A 15162-2026")</f>
        <v/>
      </c>
      <c r="AA120">
        <f>HYPERLINK("https://klasma.github.io/Logging_0883/klagomål/A 15162-2026 FSC-klagomål.docx", "A 15162-2026")</f>
        <v/>
      </c>
      <c r="AB120">
        <f>HYPERLINK("https://klasma.github.io/Logging_0883/klagomålsmail/A 15162-2026 FSC-klagomål mail.docx", "A 15162-2026")</f>
        <v/>
      </c>
      <c r="AC120">
        <f>HYPERLINK("https://klasma.github.io/Logging_0883/tillsyn/A 15162-2026 tillsynsbegäran.docx", "A 15162-2026")</f>
        <v/>
      </c>
      <c r="AD120">
        <f>HYPERLINK("https://klasma.github.io/Logging_0883/tillsynsmail/A 15162-2026 tillsynsbegäran mail.docx", "A 15162-2026")</f>
        <v/>
      </c>
      <c r="AE120">
        <f>HYPERLINK("https://klasma.github.io/Logging_0883/fåglar/A 15162-2026 prioriterade fågelarter.docx", "A 15162-2026")</f>
        <v/>
      </c>
    </row>
    <row r="121" ht="15" customHeight="1">
      <c r="A121" t="inlineStr">
        <is>
          <t>A 27094-2024</t>
        </is>
      </c>
      <c r="B121" t="inlineStr">
        <is>
          <t>avverkningsanmälan</t>
        </is>
      </c>
      <c r="C121" t="inlineStr">
        <is>
          <t>Föryngringsavverkning</t>
        </is>
      </c>
      <c r="D121" s="1" t="n">
        <v>45471</v>
      </c>
      <c r="E121" s="1" t="n">
        <v>46323</v>
      </c>
      <c r="F121" t="inlineStr">
        <is>
          <t>KALMAR LÄN</t>
        </is>
      </c>
      <c r="G121" t="inlineStr">
        <is>
          <t>VÄSTERVIK</t>
        </is>
      </c>
      <c r="H121" t="inlineStr">
        <is>
          <t>Holmen skog AB</t>
        </is>
      </c>
      <c r="I121" t="n">
        <v>2.4</v>
      </c>
      <c r="J121" t="n">
        <v>0</v>
      </c>
      <c r="K121" t="n">
        <v>2</v>
      </c>
      <c r="L121" t="n">
        <v>2</v>
      </c>
      <c r="M121" t="n">
        <v>0</v>
      </c>
      <c r="N121" t="n">
        <v>0</v>
      </c>
      <c r="O121" t="n">
        <v>0</v>
      </c>
      <c r="P121" t="n">
        <v>0</v>
      </c>
      <c r="Q121" t="n">
        <v>2</v>
      </c>
      <c r="R121" t="n">
        <v>0</v>
      </c>
      <c r="S121" t="n">
        <v>4</v>
      </c>
      <c r="T121" t="n">
        <v>4</v>
      </c>
      <c r="U121" t="n">
        <v>4</v>
      </c>
      <c r="V121" s="2" t="inlineStr">
        <is>
          <t>Bronspraktbagge
Dvärgbägarlav
Blåmossa
Jättesvampmal</t>
        </is>
      </c>
      <c r="W121">
        <f>HYPERLINK("https://klasma.github.io/Logging_0883/artfynd/A 27094-2024 artfynd.xlsx", "A 27094-2024")</f>
        <v/>
      </c>
      <c r="X121">
        <f>HYPERLINK("https://klasma.github.io/Logging_0883/kartor/A 27094-2024 karta.png", "A 27094-2024")</f>
        <v/>
      </c>
      <c r="Y121">
        <f>HYPERLINK("https://klasma.github.io/Logging_0883/kartor_geotiff/A 27094-2024 georefererad karta.tif", "A 27094-2024")</f>
        <v/>
      </c>
      <c r="Z121">
        <f>HYPERLINK("https://klasma.github.io/Logging_0883/knärot/A 27094-2024 karta knärot.png", "A 27094-2024")</f>
        <v/>
      </c>
      <c r="AA121">
        <f>HYPERLINK("https://klasma.github.io/Logging_0883/klagomål/A 27094-2024 FSC-klagomål.docx", "A 27094-2024")</f>
        <v/>
      </c>
      <c r="AB121">
        <f>HYPERLINK("https://klasma.github.io/Logging_0883/klagomålsmail/A 27094-2024 FSC-klagomål mail.docx", "A 27094-2024")</f>
        <v/>
      </c>
      <c r="AC121">
        <f>HYPERLINK("https://klasma.github.io/Logging_0883/tillsyn/A 27094-2024 tillsynsbegäran.docx", "A 27094-2024")</f>
        <v/>
      </c>
      <c r="AD121">
        <f>HYPERLINK("https://klasma.github.io/Logging_0883/tillsynsmail/A 27094-2024 tillsynsbegäran mail.docx", "A 27094-2024")</f>
        <v/>
      </c>
    </row>
    <row r="122" ht="15" customHeight="1">
      <c r="A122" t="inlineStr">
        <is>
          <t>A 59319-2023</t>
        </is>
      </c>
      <c r="B122" t="inlineStr">
        <is>
          <t>avverkningsanmälan</t>
        </is>
      </c>
      <c r="C122" t="inlineStr">
        <is>
          <t>Föryngringsavverkning</t>
        </is>
      </c>
      <c r="D122" s="1" t="n">
        <v>45253</v>
      </c>
      <c r="E122" s="1" t="n">
        <v>46323</v>
      </c>
      <c r="F122" t="inlineStr">
        <is>
          <t>KALMAR LÄN</t>
        </is>
      </c>
      <c r="G122" t="inlineStr">
        <is>
          <t>VÄSTERVIK</t>
        </is>
      </c>
      <c r="I122" t="n">
        <v>1</v>
      </c>
      <c r="J122" t="n">
        <v>1</v>
      </c>
      <c r="K122" t="n">
        <v>2</v>
      </c>
      <c r="L122" t="n">
        <v>0</v>
      </c>
      <c r="M122" t="n">
        <v>1</v>
      </c>
      <c r="N122" t="n">
        <v>1</v>
      </c>
      <c r="O122" t="n">
        <v>0</v>
      </c>
      <c r="P122" t="n">
        <v>0</v>
      </c>
      <c r="Q122" t="n">
        <v>2</v>
      </c>
      <c r="R122" t="n">
        <v>2</v>
      </c>
      <c r="S122" t="n">
        <v>4</v>
      </c>
      <c r="T122" t="n">
        <v>20</v>
      </c>
      <c r="U122" t="n">
        <v>20</v>
      </c>
      <c r="V122" s="2" t="inlineStr">
        <is>
          <t>Tallharticka
Knärot
Blomkålssvamp
Grönpyrola</t>
        </is>
      </c>
      <c r="W122">
        <f>HYPERLINK("https://klasma.github.io/Logging_0883/artfynd/A 59319-2023 artfynd.xlsx", "A 59319-2023")</f>
        <v/>
      </c>
      <c r="X122">
        <f>HYPERLINK("https://klasma.github.io/Logging_0883/kartor/A 59319-2023 karta.png", "A 59319-2023")</f>
        <v/>
      </c>
      <c r="Y122">
        <f>HYPERLINK("https://klasma.github.io/Logging_0883/kartor_geotiff/A 59319-2023 georefererad karta.tif", "A 59319-2023")</f>
        <v/>
      </c>
      <c r="Z122">
        <f>HYPERLINK("https://klasma.github.io/Logging_0883/knärot/A 59319-2023 karta knärot.png", "A 59319-2023")</f>
        <v/>
      </c>
      <c r="AA122">
        <f>HYPERLINK("https://klasma.github.io/Logging_0883/klagomål/A 59319-2023 FSC-klagomål.docx", "A 59319-2023")</f>
        <v/>
      </c>
      <c r="AB122">
        <f>HYPERLINK("https://klasma.github.io/Logging_0883/klagomålsmail/A 59319-2023 FSC-klagomål mail.docx", "A 59319-2023")</f>
        <v/>
      </c>
      <c r="AC122">
        <f>HYPERLINK("https://klasma.github.io/Logging_0883/tillsyn/A 59319-2023 tillsynsbegäran.docx", "A 59319-2023")</f>
        <v/>
      </c>
      <c r="AD122">
        <f>HYPERLINK("https://klasma.github.io/Logging_0883/tillsynsmail/A 59319-2023 tillsynsbegäran mail.docx", "A 59319-2023")</f>
        <v/>
      </c>
    </row>
    <row r="123" ht="15" customHeight="1">
      <c r="A123" t="inlineStr">
        <is>
          <t>A 2340-2025</t>
        </is>
      </c>
      <c r="B123" t="inlineStr">
        <is>
          <t>avverkningsanmälan</t>
        </is>
      </c>
      <c r="C123" t="inlineStr">
        <is>
          <t>Föryngringsavverkning</t>
        </is>
      </c>
      <c r="D123" s="1" t="n">
        <v>45673</v>
      </c>
      <c r="E123" s="1" t="n">
        <v>46323</v>
      </c>
      <c r="F123" t="inlineStr">
        <is>
          <t>KALMAR LÄN</t>
        </is>
      </c>
      <c r="G123" t="inlineStr">
        <is>
          <t>VÄSTERVIK</t>
        </is>
      </c>
      <c r="I123" t="n">
        <v>3.5</v>
      </c>
      <c r="J123" t="n">
        <v>4</v>
      </c>
      <c r="K123" t="n">
        <v>0</v>
      </c>
      <c r="L123" t="n">
        <v>1</v>
      </c>
      <c r="M123" t="n">
        <v>1</v>
      </c>
      <c r="N123" t="n">
        <v>0</v>
      </c>
      <c r="O123" t="n">
        <v>0</v>
      </c>
      <c r="P123" t="n">
        <v>0</v>
      </c>
      <c r="Q123" t="n">
        <v>2</v>
      </c>
      <c r="R123" t="n">
        <v>1</v>
      </c>
      <c r="S123" t="n">
        <v>4</v>
      </c>
      <c r="T123" t="n">
        <v>7</v>
      </c>
      <c r="U123" t="n">
        <v>4</v>
      </c>
      <c r="V123" s="2" t="inlineStr">
        <is>
          <t>Knärot
Talltita
Spillkråka
Kungsfågel</t>
        </is>
      </c>
      <c r="W123">
        <f>HYPERLINK("https://klasma.github.io/Logging_0883/artfynd/A 2340-2025 artfynd.xlsx", "A 2340-2025")</f>
        <v/>
      </c>
      <c r="X123">
        <f>HYPERLINK("https://klasma.github.io/Logging_0883/kartor/A 2340-2025 karta.png", "A 2340-2025")</f>
        <v/>
      </c>
      <c r="Y123">
        <f>HYPERLINK("https://klasma.github.io/Logging_0883/kartor_geotiff/A 2340-2025 georefererad karta.tif", "A 2340-2025")</f>
        <v/>
      </c>
      <c r="Z123">
        <f>HYPERLINK("https://klasma.github.io/Logging_0883/knärot/A 2340-2025 karta knärot.png", "A 2340-2025")</f>
        <v/>
      </c>
      <c r="AA123">
        <f>HYPERLINK("https://klasma.github.io/Logging_0883/klagomål/A 2340-2025 FSC-klagomål.docx", "A 2340-2025")</f>
        <v/>
      </c>
      <c r="AB123">
        <f>HYPERLINK("https://klasma.github.io/Logging_0883/klagomålsmail/A 2340-2025 FSC-klagomål mail.docx", "A 2340-2025")</f>
        <v/>
      </c>
      <c r="AC123">
        <f>HYPERLINK("https://klasma.github.io/Logging_0883/tillsyn/A 2340-2025 tillsynsbegäran.docx", "A 2340-2025")</f>
        <v/>
      </c>
      <c r="AD123">
        <f>HYPERLINK("https://klasma.github.io/Logging_0883/tillsynsmail/A 2340-2025 tillsynsbegäran mail.docx", "A 2340-2025")</f>
        <v/>
      </c>
      <c r="AE123">
        <f>HYPERLINK("https://klasma.github.io/Logging_0883/fåglar/A 2340-2025 prioriterade fågelarter.docx", "A 2340-2025")</f>
        <v/>
      </c>
    </row>
    <row r="124" ht="15" customHeight="1">
      <c r="A124" t="inlineStr">
        <is>
          <t>A 1373-2024</t>
        </is>
      </c>
      <c r="B124" t="inlineStr">
        <is>
          <t>avverkningsanmälan</t>
        </is>
      </c>
      <c r="C124" t="inlineStr">
        <is>
          <t>Föryngringsavverkning</t>
        </is>
      </c>
      <c r="D124" s="1" t="n">
        <v>45303</v>
      </c>
      <c r="E124" s="1" t="n">
        <v>46323</v>
      </c>
      <c r="F124" t="inlineStr">
        <is>
          <t>KALMAR LÄN</t>
        </is>
      </c>
      <c r="G124" t="inlineStr">
        <is>
          <t>VÄSTERVIK</t>
        </is>
      </c>
      <c r="I124" t="n">
        <v>1.2</v>
      </c>
      <c r="J124" t="n">
        <v>1</v>
      </c>
      <c r="K124" t="n">
        <v>1</v>
      </c>
      <c r="L124" t="n">
        <v>3</v>
      </c>
      <c r="M124" t="n">
        <v>0</v>
      </c>
      <c r="N124" t="n">
        <v>0</v>
      </c>
      <c r="O124" t="n">
        <v>0</v>
      </c>
      <c r="P124" t="n">
        <v>0</v>
      </c>
      <c r="Q124" t="n">
        <v>3</v>
      </c>
      <c r="R124" t="n">
        <v>0</v>
      </c>
      <c r="S124" t="n">
        <v>4</v>
      </c>
      <c r="T124" t="n">
        <v>6</v>
      </c>
      <c r="U124" t="n">
        <v>1</v>
      </c>
      <c r="V124" s="2" t="inlineStr">
        <is>
          <t>Kattfotslav
Tallticka
Talltita
Vågbandad barkbock</t>
        </is>
      </c>
      <c r="W124">
        <f>HYPERLINK("https://klasma.github.io/Logging_0883/artfynd/A 1373-2024 artfynd.xlsx", "A 1373-2024")</f>
        <v/>
      </c>
      <c r="X124">
        <f>HYPERLINK("https://klasma.github.io/Logging_0883/kartor/A 1373-2024 karta.png", "A 1373-2024")</f>
        <v/>
      </c>
      <c r="Y124">
        <f>HYPERLINK("https://klasma.github.io/Logging_0883/kartor_geotiff/A 1373-2024 georefererad karta.tif", "A 1373-2024")</f>
        <v/>
      </c>
      <c r="AA124">
        <f>HYPERLINK("https://klasma.github.io/Logging_0883/klagomål/A 1373-2024 FSC-klagomål.docx", "A 1373-2024")</f>
        <v/>
      </c>
      <c r="AB124">
        <f>HYPERLINK("https://klasma.github.io/Logging_0883/klagomålsmail/A 1373-2024 FSC-klagomål mail.docx", "A 1373-2024")</f>
        <v/>
      </c>
      <c r="AC124">
        <f>HYPERLINK("https://klasma.github.io/Logging_0883/tillsyn/A 1373-2024 tillsynsbegäran.docx", "A 1373-2024")</f>
        <v/>
      </c>
      <c r="AD124">
        <f>HYPERLINK("https://klasma.github.io/Logging_0883/tillsynsmail/A 1373-2024 tillsynsbegäran mail.docx", "A 1373-2024")</f>
        <v/>
      </c>
      <c r="AE124">
        <f>HYPERLINK("https://klasma.github.io/Logging_0883/fåglar/A 1373-2024 prioriterade fågelarter.docx", "A 1373-2024")</f>
        <v/>
      </c>
    </row>
    <row r="125" ht="15" customHeight="1">
      <c r="A125" t="inlineStr">
        <is>
          <t>A 27700-2024</t>
        </is>
      </c>
      <c r="B125" t="inlineStr">
        <is>
          <t>avverkningsanmälan</t>
        </is>
      </c>
      <c r="C125" t="inlineStr">
        <is>
          <t>Föryngringsavverkning</t>
        </is>
      </c>
      <c r="D125" s="1" t="n">
        <v>45475</v>
      </c>
      <c r="E125" s="1" t="n">
        <v>46323</v>
      </c>
      <c r="F125" t="inlineStr">
        <is>
          <t>KALMAR LÄN</t>
        </is>
      </c>
      <c r="G125" t="inlineStr">
        <is>
          <t>VÄSTERVIK</t>
        </is>
      </c>
      <c r="H125" t="inlineStr">
        <is>
          <t>Holmen skog AB</t>
        </is>
      </c>
      <c r="I125" t="n">
        <v>1.1</v>
      </c>
      <c r="J125" t="n">
        <v>2</v>
      </c>
      <c r="K125" t="n">
        <v>2</v>
      </c>
      <c r="L125" t="n">
        <v>1</v>
      </c>
      <c r="M125" t="n">
        <v>0</v>
      </c>
      <c r="N125" t="n">
        <v>0</v>
      </c>
      <c r="O125" t="n">
        <v>0</v>
      </c>
      <c r="P125" t="n">
        <v>0</v>
      </c>
      <c r="Q125" t="n">
        <v>1</v>
      </c>
      <c r="R125" t="n">
        <v>0</v>
      </c>
      <c r="S125" t="n">
        <v>4</v>
      </c>
      <c r="T125" t="n">
        <v>4</v>
      </c>
      <c r="U125" t="n">
        <v>4</v>
      </c>
      <c r="V125" s="2" t="inlineStr">
        <is>
          <t>Talltita
Blåmossa
Zontaggsvamp
Spillkråka</t>
        </is>
      </c>
      <c r="W125">
        <f>HYPERLINK("https://klasma.github.io/Logging_0883/artfynd/A 27700-2024 artfynd.xlsx", "A 27700-2024")</f>
        <v/>
      </c>
      <c r="X125">
        <f>HYPERLINK("https://klasma.github.io/Logging_0883/kartor/A 27700-2024 karta.png", "A 27700-2024")</f>
        <v/>
      </c>
      <c r="Y125">
        <f>HYPERLINK("https://klasma.github.io/Logging_0883/kartor_geotiff/A 27700-2024 georefererad karta.tif", "A 27700-2024")</f>
        <v/>
      </c>
      <c r="AA125">
        <f>HYPERLINK("https://klasma.github.io/Logging_0883/klagomål/A 27700-2024 FSC-klagomål.docx", "A 27700-2024")</f>
        <v/>
      </c>
      <c r="AB125">
        <f>HYPERLINK("https://klasma.github.io/Logging_0883/klagomålsmail/A 27700-2024 FSC-klagomål mail.docx", "A 27700-2024")</f>
        <v/>
      </c>
      <c r="AC125">
        <f>HYPERLINK("https://klasma.github.io/Logging_0883/tillsyn/A 27700-2024 tillsynsbegäran.docx", "A 27700-2024")</f>
        <v/>
      </c>
      <c r="AD125">
        <f>HYPERLINK("https://klasma.github.io/Logging_0883/tillsynsmail/A 27700-2024 tillsynsbegäran mail.docx", "A 27700-2024")</f>
        <v/>
      </c>
      <c r="AE125">
        <f>HYPERLINK("https://klasma.github.io/Logging_0883/fåglar/A 27700-2024 prioriterade fågelarter.docx", "A 27700-2024")</f>
        <v/>
      </c>
    </row>
    <row r="126" ht="15" customHeight="1">
      <c r="A126" t="inlineStr">
        <is>
          <t>A 36595-2026</t>
        </is>
      </c>
      <c r="B126" t="inlineStr">
        <is>
          <t>avverkningsanmälan</t>
        </is>
      </c>
      <c r="C126" t="inlineStr">
        <is>
          <t>Föryngringsavverkning</t>
        </is>
      </c>
      <c r="D126" s="1" t="n">
        <v>46269</v>
      </c>
      <c r="E126" s="1" t="n">
        <v>46323</v>
      </c>
      <c r="F126" t="inlineStr">
        <is>
          <t>KALMAR LÄN</t>
        </is>
      </c>
      <c r="G126" t="inlineStr">
        <is>
          <t>VÄSTERVIK</t>
        </is>
      </c>
      <c r="H126" t="inlineStr">
        <is>
          <t>Kyrkan</t>
        </is>
      </c>
      <c r="I126" t="n">
        <v>2</v>
      </c>
      <c r="J126" t="n">
        <v>2</v>
      </c>
      <c r="K126" t="n">
        <v>2</v>
      </c>
      <c r="L126" t="n">
        <v>1</v>
      </c>
      <c r="M126" t="n">
        <v>0</v>
      </c>
      <c r="N126" t="n">
        <v>0</v>
      </c>
      <c r="O126" t="n">
        <v>0</v>
      </c>
      <c r="P126" t="n">
        <v>0</v>
      </c>
      <c r="Q126" t="n">
        <v>1</v>
      </c>
      <c r="R126" t="n">
        <v>0</v>
      </c>
      <c r="S126" t="n">
        <v>4</v>
      </c>
      <c r="T126" t="n">
        <v>8</v>
      </c>
      <c r="U126" t="n">
        <v>8</v>
      </c>
      <c r="V126" s="2" t="inlineStr">
        <is>
          <t>Entita
Granbräken
Tibast
Spillkråka</t>
        </is>
      </c>
      <c r="W126">
        <f>HYPERLINK("https://klasma.github.io/Logging_0883/artfynd/A 36595-2026 artfynd.xlsx", "A 36595-2026")</f>
        <v/>
      </c>
      <c r="X126">
        <f>HYPERLINK("https://klasma.github.io/Logging_0883/kartor/A 36595-2026 karta.png", "A 36595-2026")</f>
        <v/>
      </c>
      <c r="Y126">
        <f>HYPERLINK("https://klasma.github.io/Logging_0883/kartor_geotiff/A 36595-2026 georefererad karta.tif", "A 36595-2026")</f>
        <v/>
      </c>
      <c r="AA126">
        <f>HYPERLINK("https://klasma.github.io/Logging_0883/klagomål/A 36595-2026 FSC-klagomål.docx", "A 36595-2026")</f>
        <v/>
      </c>
      <c r="AB126">
        <f>HYPERLINK("https://klasma.github.io/Logging_0883/klagomålsmail/A 36595-2026 FSC-klagomål mail.docx", "A 36595-2026")</f>
        <v/>
      </c>
      <c r="AC126">
        <f>HYPERLINK("https://klasma.github.io/Logging_0883/tillsyn/A 36595-2026 tillsynsbegäran.docx", "A 36595-2026")</f>
        <v/>
      </c>
      <c r="AD126">
        <f>HYPERLINK("https://klasma.github.io/Logging_0883/tillsynsmail/A 36595-2026 tillsynsbegäran mail.docx", "A 36595-2026")</f>
        <v/>
      </c>
      <c r="AE126">
        <f>HYPERLINK("https://klasma.github.io/Logging_0883/fåglar/A 36595-2026 prioriterade fågelarter.docx", "A 36595-2026")</f>
        <v/>
      </c>
    </row>
    <row r="127" ht="15" customHeight="1">
      <c r="A127" t="inlineStr">
        <is>
          <t>A 34644-2025</t>
        </is>
      </c>
      <c r="B127" t="inlineStr">
        <is>
          <t>avverkningsanmälan</t>
        </is>
      </c>
      <c r="C127" t="inlineStr">
        <is>
          <t>Föryngringsavverkning</t>
        </is>
      </c>
      <c r="D127" s="1" t="n">
        <v>45848</v>
      </c>
      <c r="E127" s="1" t="n">
        <v>46323</v>
      </c>
      <c r="F127" t="inlineStr">
        <is>
          <t>KALMAR LÄN</t>
        </is>
      </c>
      <c r="G127" t="inlineStr">
        <is>
          <t>VÄSTERVIK</t>
        </is>
      </c>
      <c r="I127" t="n">
        <v>0.5</v>
      </c>
      <c r="J127" t="n">
        <v>2</v>
      </c>
      <c r="K127" t="n">
        <v>1</v>
      </c>
      <c r="L127" t="n">
        <v>2</v>
      </c>
      <c r="M127" t="n">
        <v>1</v>
      </c>
      <c r="N127" t="n">
        <v>0</v>
      </c>
      <c r="O127" t="n">
        <v>0</v>
      </c>
      <c r="P127" t="n">
        <v>0</v>
      </c>
      <c r="Q127" t="n">
        <v>3</v>
      </c>
      <c r="R127" t="n">
        <v>1</v>
      </c>
      <c r="S127" t="n">
        <v>4</v>
      </c>
      <c r="T127" t="n">
        <v>9</v>
      </c>
      <c r="U127" t="n">
        <v>9</v>
      </c>
      <c r="V127" s="2" t="inlineStr">
        <is>
          <t>Knärot
Fyrflikig jordstjärna
Talltita
Blåmossa</t>
        </is>
      </c>
      <c r="W127">
        <f>HYPERLINK("https://klasma.github.io/Logging_0883/artfynd/A 34644-2025 artfynd.xlsx", "A 34644-2025")</f>
        <v/>
      </c>
      <c r="X127">
        <f>HYPERLINK("https://klasma.github.io/Logging_0883/kartor/A 34644-2025 karta.png", "A 34644-2025")</f>
        <v/>
      </c>
      <c r="Y127">
        <f>HYPERLINK("https://klasma.github.io/Logging_0883/kartor_geotiff/A 34644-2025 georefererad karta.tif", "A 34644-2025")</f>
        <v/>
      </c>
      <c r="Z127">
        <f>HYPERLINK("https://klasma.github.io/Logging_0883/knärot/A 34644-2025 karta knärot.png", "A 34644-2025")</f>
        <v/>
      </c>
      <c r="AA127">
        <f>HYPERLINK("https://klasma.github.io/Logging_0883/klagomål/A 34644-2025 FSC-klagomål.docx", "A 34644-2025")</f>
        <v/>
      </c>
      <c r="AB127">
        <f>HYPERLINK("https://klasma.github.io/Logging_0883/klagomålsmail/A 34644-2025 FSC-klagomål mail.docx", "A 34644-2025")</f>
        <v/>
      </c>
      <c r="AC127">
        <f>HYPERLINK("https://klasma.github.io/Logging_0883/tillsyn/A 34644-2025 tillsynsbegäran.docx", "A 34644-2025")</f>
        <v/>
      </c>
      <c r="AD127">
        <f>HYPERLINK("https://klasma.github.io/Logging_0883/tillsynsmail/A 34644-2025 tillsynsbegäran mail.docx", "A 34644-2025")</f>
        <v/>
      </c>
      <c r="AE127">
        <f>HYPERLINK("https://klasma.github.io/Logging_0883/fåglar/A 34644-2025 prioriterade fågelarter.docx", "A 34644-2025")</f>
        <v/>
      </c>
    </row>
    <row r="128" ht="15" customHeight="1">
      <c r="A128" t="inlineStr">
        <is>
          <t>A 25010-2026</t>
        </is>
      </c>
      <c r="B128" t="inlineStr">
        <is>
          <t>avverkningsanmälan</t>
        </is>
      </c>
      <c r="C128" t="inlineStr">
        <is>
          <t>Föryngringsavverkning</t>
        </is>
      </c>
      <c r="D128" s="1" t="n">
        <v>46174</v>
      </c>
      <c r="E128" s="1" t="n">
        <v>46323</v>
      </c>
      <c r="F128" t="inlineStr">
        <is>
          <t>KALMAR LÄN</t>
        </is>
      </c>
      <c r="G128" t="inlineStr">
        <is>
          <t>VÄSTERVIK</t>
        </is>
      </c>
      <c r="H128" t="inlineStr">
        <is>
          <t>Kyrkan</t>
        </is>
      </c>
      <c r="I128" t="n">
        <v>5</v>
      </c>
      <c r="J128" t="n">
        <v>2</v>
      </c>
      <c r="K128" t="n">
        <v>1</v>
      </c>
      <c r="L128" t="n">
        <v>2</v>
      </c>
      <c r="M128" t="n">
        <v>0</v>
      </c>
      <c r="N128" t="n">
        <v>0</v>
      </c>
      <c r="O128" t="n">
        <v>0</v>
      </c>
      <c r="P128" t="n">
        <v>0</v>
      </c>
      <c r="Q128" t="n">
        <v>2</v>
      </c>
      <c r="R128" t="n">
        <v>0</v>
      </c>
      <c r="S128" t="n">
        <v>4</v>
      </c>
      <c r="T128" t="n">
        <v>4</v>
      </c>
      <c r="U128" t="n">
        <v>4</v>
      </c>
      <c r="V128" s="2" t="inlineStr">
        <is>
          <t>Grönsångare
Tallticka
Björksplintborre
Spillkråka</t>
        </is>
      </c>
      <c r="W128">
        <f>HYPERLINK("https://klasma.github.io/Logging_0883/artfynd/A 25010-2026 artfynd.xlsx", "A 25010-2026")</f>
        <v/>
      </c>
      <c r="X128">
        <f>HYPERLINK("https://klasma.github.io/Logging_0883/kartor/A 25010-2026 karta.png", "A 25010-2026")</f>
        <v/>
      </c>
      <c r="Y128">
        <f>HYPERLINK("https://klasma.github.io/Logging_0883/kartor_geotiff/A 25010-2026 georefererad karta.tif", "A 25010-2026")</f>
        <v/>
      </c>
      <c r="AA128">
        <f>HYPERLINK("https://klasma.github.io/Logging_0883/klagomål/A 25010-2026 FSC-klagomål.docx", "A 25010-2026")</f>
        <v/>
      </c>
      <c r="AB128">
        <f>HYPERLINK("https://klasma.github.io/Logging_0883/klagomålsmail/A 25010-2026 FSC-klagomål mail.docx", "A 25010-2026")</f>
        <v/>
      </c>
      <c r="AC128">
        <f>HYPERLINK("https://klasma.github.io/Logging_0883/tillsyn/A 25010-2026 tillsynsbegäran.docx", "A 25010-2026")</f>
        <v/>
      </c>
      <c r="AD128">
        <f>HYPERLINK("https://klasma.github.io/Logging_0883/tillsynsmail/A 25010-2026 tillsynsbegäran mail.docx", "A 25010-2026")</f>
        <v/>
      </c>
      <c r="AE128">
        <f>HYPERLINK("https://klasma.github.io/Logging_0883/fåglar/A 25010-2026 prioriterade fågelarter.docx", "A 25010-2026")</f>
        <v/>
      </c>
    </row>
    <row r="129" ht="15" customHeight="1">
      <c r="A129" t="inlineStr">
        <is>
          <t>A 10781-2025</t>
        </is>
      </c>
      <c r="B129" t="inlineStr">
        <is>
          <t>avverkningsanmälan</t>
        </is>
      </c>
      <c r="C129" t="inlineStr">
        <is>
          <t>Föryngringsavverkning</t>
        </is>
      </c>
      <c r="D129" s="1" t="n">
        <v>45722</v>
      </c>
      <c r="E129" s="1" t="n">
        <v>46323</v>
      </c>
      <c r="F129" t="inlineStr">
        <is>
          <t>KALMAR LÄN</t>
        </is>
      </c>
      <c r="G129" t="inlineStr">
        <is>
          <t>VÄSTERVIK</t>
        </is>
      </c>
      <c r="I129" t="n">
        <v>2.8</v>
      </c>
      <c r="J129" t="n">
        <v>3</v>
      </c>
      <c r="K129" t="n">
        <v>1</v>
      </c>
      <c r="L129" t="n">
        <v>1</v>
      </c>
      <c r="M129" t="n">
        <v>0</v>
      </c>
      <c r="N129" t="n">
        <v>0</v>
      </c>
      <c r="O129" t="n">
        <v>0</v>
      </c>
      <c r="P129" t="n">
        <v>0</v>
      </c>
      <c r="Q129" t="n">
        <v>1</v>
      </c>
      <c r="R129" t="n">
        <v>0</v>
      </c>
      <c r="S129" t="n">
        <v>4</v>
      </c>
      <c r="T129" t="n">
        <v>4</v>
      </c>
      <c r="U129" t="n">
        <v>4</v>
      </c>
      <c r="V129" s="2" t="inlineStr">
        <is>
          <t>Talltita
Grovticka
Spillkråka
Kungsfågel</t>
        </is>
      </c>
      <c r="W129">
        <f>HYPERLINK("https://klasma.github.io/Logging_0883/artfynd/A 10781-2025 artfynd.xlsx", "A 10781-2025")</f>
        <v/>
      </c>
      <c r="X129">
        <f>HYPERLINK("https://klasma.github.io/Logging_0883/kartor/A 10781-2025 karta.png", "A 10781-2025")</f>
        <v/>
      </c>
      <c r="Y129">
        <f>HYPERLINK("https://klasma.github.io/Logging_0883/kartor_geotiff/A 10781-2025 georefererad karta.tif", "A 10781-2025")</f>
        <v/>
      </c>
      <c r="AA129">
        <f>HYPERLINK("https://klasma.github.io/Logging_0883/klagomål/A 10781-2025 FSC-klagomål.docx", "A 10781-2025")</f>
        <v/>
      </c>
      <c r="AB129">
        <f>HYPERLINK("https://klasma.github.io/Logging_0883/klagomålsmail/A 10781-2025 FSC-klagomål mail.docx", "A 10781-2025")</f>
        <v/>
      </c>
      <c r="AC129">
        <f>HYPERLINK("https://klasma.github.io/Logging_0883/tillsyn/A 10781-2025 tillsynsbegäran.docx", "A 10781-2025")</f>
        <v/>
      </c>
      <c r="AD129">
        <f>HYPERLINK("https://klasma.github.io/Logging_0883/tillsynsmail/A 10781-2025 tillsynsbegäran mail.docx", "A 10781-2025")</f>
        <v/>
      </c>
      <c r="AE129">
        <f>HYPERLINK("https://klasma.github.io/Logging_0883/fåglar/A 10781-2025 prioriterade fågelarter.docx", "A 10781-2025")</f>
        <v/>
      </c>
    </row>
    <row r="130" ht="15" customHeight="1">
      <c r="A130" t="inlineStr">
        <is>
          <t>A 6472-2025</t>
        </is>
      </c>
      <c r="B130" t="inlineStr">
        <is>
          <t>avverkningsanmälan</t>
        </is>
      </c>
      <c r="C130" t="inlineStr">
        <is>
          <t>Föryngringsavverkning</t>
        </is>
      </c>
      <c r="D130" s="1" t="n">
        <v>45699</v>
      </c>
      <c r="E130" s="1" t="n">
        <v>46323</v>
      </c>
      <c r="F130" t="inlineStr">
        <is>
          <t>KALMAR LÄN</t>
        </is>
      </c>
      <c r="G130" t="inlineStr">
        <is>
          <t>VÄSTERVIK</t>
        </is>
      </c>
      <c r="H130" t="inlineStr">
        <is>
          <t>Holmen skog AB</t>
        </is>
      </c>
      <c r="I130" t="n">
        <v>4.3</v>
      </c>
      <c r="J130" t="n">
        <v>4</v>
      </c>
      <c r="K130" t="n">
        <v>0</v>
      </c>
      <c r="L130" t="n">
        <v>1</v>
      </c>
      <c r="M130" t="n">
        <v>0</v>
      </c>
      <c r="N130" t="n">
        <v>0</v>
      </c>
      <c r="O130" t="n">
        <v>0</v>
      </c>
      <c r="P130" t="n">
        <v>0</v>
      </c>
      <c r="Q130" t="n">
        <v>1</v>
      </c>
      <c r="R130" t="n">
        <v>0</v>
      </c>
      <c r="S130" t="n">
        <v>4</v>
      </c>
      <c r="T130" t="n">
        <v>5</v>
      </c>
      <c r="U130" t="n">
        <v>5</v>
      </c>
      <c r="V130" s="2" t="inlineStr">
        <is>
          <t>Talltita
Spillkråka
Kungsfågel
Revlummer</t>
        </is>
      </c>
      <c r="W130">
        <f>HYPERLINK("https://klasma.github.io/Logging_0883/artfynd/A 6472-2025 artfynd.xlsx", "A 6472-2025")</f>
        <v/>
      </c>
      <c r="X130">
        <f>HYPERLINK("https://klasma.github.io/Logging_0883/kartor/A 6472-2025 karta.png", "A 6472-2025")</f>
        <v/>
      </c>
      <c r="Y130">
        <f>HYPERLINK("https://klasma.github.io/Logging_0883/kartor_geotiff/A 6472-2025 georefererad karta.tif", "A 6472-2025")</f>
        <v/>
      </c>
      <c r="AA130">
        <f>HYPERLINK("https://klasma.github.io/Logging_0883/klagomål/A 6472-2025 FSC-klagomål.docx", "A 6472-2025")</f>
        <v/>
      </c>
      <c r="AB130">
        <f>HYPERLINK("https://klasma.github.io/Logging_0883/klagomålsmail/A 6472-2025 FSC-klagomål mail.docx", "A 6472-2025")</f>
        <v/>
      </c>
      <c r="AC130">
        <f>HYPERLINK("https://klasma.github.io/Logging_0883/tillsyn/A 6472-2025 tillsynsbegäran.docx", "A 6472-2025")</f>
        <v/>
      </c>
      <c r="AD130">
        <f>HYPERLINK("https://klasma.github.io/Logging_0883/tillsynsmail/A 6472-2025 tillsynsbegäran mail.docx", "A 6472-2025")</f>
        <v/>
      </c>
      <c r="AE130">
        <f>HYPERLINK("https://klasma.github.io/Logging_0883/fåglar/A 6472-2025 prioriterade fågelarter.docx", "A 6472-2025")</f>
        <v/>
      </c>
    </row>
    <row r="131" ht="15" customHeight="1">
      <c r="A131" t="inlineStr">
        <is>
          <t>S 1557-2023</t>
        </is>
      </c>
      <c r="B131" t="inlineStr">
        <is>
          <t>samrådsanmälan</t>
        </is>
      </c>
      <c r="C131" t="inlineStr">
        <is>
          <t>Annan skogsbruksåtgärd</t>
        </is>
      </c>
      <c r="D131" s="1" t="n">
        <v>45055</v>
      </c>
      <c r="E131" s="1" t="n">
        <v>46323</v>
      </c>
      <c r="F131" t="inlineStr">
        <is>
          <t>KALMAR LÄN</t>
        </is>
      </c>
      <c r="G131" t="inlineStr">
        <is>
          <t>VÄSTERVIK</t>
        </is>
      </c>
      <c r="H131" t="inlineStr">
        <is>
          <t>Kommuner</t>
        </is>
      </c>
      <c r="I131" t="n">
        <v>2.9</v>
      </c>
      <c r="J131" t="n">
        <v>1</v>
      </c>
      <c r="K131" t="n">
        <v>1</v>
      </c>
      <c r="L131" t="n">
        <v>2</v>
      </c>
      <c r="M131" t="n">
        <v>0</v>
      </c>
      <c r="N131" t="n">
        <v>0</v>
      </c>
      <c r="O131" t="n">
        <v>0</v>
      </c>
      <c r="P131" t="n">
        <v>0</v>
      </c>
      <c r="Q131" t="n">
        <v>2</v>
      </c>
      <c r="R131" t="n">
        <v>0</v>
      </c>
      <c r="S131" t="n">
        <v>4</v>
      </c>
      <c r="T131" t="n">
        <v>9</v>
      </c>
      <c r="U131" t="n">
        <v>5</v>
      </c>
      <c r="V131" s="2" t="inlineStr">
        <is>
          <t>Ekticka
Sprengelsbjörnbär
Lundvårlök
Havsörn</t>
        </is>
      </c>
      <c r="W131">
        <f>HYPERLINK("https://klasma.github.io/Logging_0883/artfynd/S 1557-2023 artfynd.xlsx", "S 1557-2023")</f>
        <v/>
      </c>
      <c r="X131">
        <f>HYPERLINK("https://klasma.github.io/Logging_0883/kartor/S 1557-2023 karta.png", "S 1557-2023")</f>
        <v/>
      </c>
      <c r="Y131">
        <f>HYPERLINK("https://klasma.github.io/Logging_0883/kartor_geotiff/S 1557-2023 georefererad karta.tif", "S 1557-2023")</f>
        <v/>
      </c>
      <c r="AA131">
        <f>HYPERLINK("https://klasma.github.io/Logging_0883/klagomål/S 1557-2023 FSC-klagomål.docx", "S 1557-2023")</f>
        <v/>
      </c>
      <c r="AB131">
        <f>HYPERLINK("https://klasma.github.io/Logging_0883/klagomålsmail/S 1557-2023 FSC-klagomål mail.docx", "S 1557-2023")</f>
        <v/>
      </c>
      <c r="AC131">
        <f>HYPERLINK("https://klasma.github.io/Logging_0883/tillsyn/S 1557-2023 tillsynsbegäran.docx", "S 1557-2023")</f>
        <v/>
      </c>
      <c r="AD131">
        <f>HYPERLINK("https://klasma.github.io/Logging_0883/tillsynsmail/S 1557-2023 tillsynsbegäran mail.docx", "S 1557-2023")</f>
        <v/>
      </c>
      <c r="AE131">
        <f>HYPERLINK("https://klasma.github.io/Logging_0883/fåglar/S 1557-2023 prioriterade fågelarter.docx", "S 1557-2023")</f>
        <v/>
      </c>
    </row>
    <row r="132" ht="15" customHeight="1">
      <c r="A132" t="inlineStr">
        <is>
          <t>S 3032-2025</t>
        </is>
      </c>
      <c r="B132" t="inlineStr">
        <is>
          <t>samrådsanmälan</t>
        </is>
      </c>
      <c r="C132" t="inlineStr">
        <is>
          <t>Annan skogsbruksåtgärd</t>
        </is>
      </c>
      <c r="D132" s="1" t="n">
        <v>45961</v>
      </c>
      <c r="E132" s="1" t="n">
        <v>46323</v>
      </c>
      <c r="F132" t="inlineStr">
        <is>
          <t>KALMAR LÄN</t>
        </is>
      </c>
      <c r="G132" t="inlineStr">
        <is>
          <t>VÄSTERVIK</t>
        </is>
      </c>
      <c r="H132" t="inlineStr">
        <is>
          <t>Sveaskog</t>
        </is>
      </c>
      <c r="I132" t="n">
        <v>4.9</v>
      </c>
      <c r="J132" t="n">
        <v>1</v>
      </c>
      <c r="K132" t="n">
        <v>2</v>
      </c>
      <c r="L132" t="n">
        <v>1</v>
      </c>
      <c r="M132" t="n">
        <v>0</v>
      </c>
      <c r="N132" t="n">
        <v>0</v>
      </c>
      <c r="O132" t="n">
        <v>0</v>
      </c>
      <c r="P132" t="n">
        <v>0</v>
      </c>
      <c r="Q132" t="n">
        <v>1</v>
      </c>
      <c r="R132" t="n">
        <v>0</v>
      </c>
      <c r="S132" t="n">
        <v>4</v>
      </c>
      <c r="T132" t="n">
        <v>4</v>
      </c>
      <c r="U132" t="n">
        <v>0</v>
      </c>
      <c r="V132" s="2" t="inlineStr">
        <is>
          <t>Vårärt
Fällmossa
Platt fjädermossa
Blåsippa</t>
        </is>
      </c>
      <c r="W132">
        <f>HYPERLINK("https://klasma.github.io/Logging_0883/artfynd/S 3032-2025 artfynd.xlsx", "S 3032-2025")</f>
        <v/>
      </c>
      <c r="X132">
        <f>HYPERLINK("https://klasma.github.io/Logging_0883/kartor/S 3032-2025 karta.png", "S 3032-2025")</f>
        <v/>
      </c>
      <c r="Y132">
        <f>HYPERLINK("https://klasma.github.io/Logging_0883/kartor_geotiff/S 3032-2025 georefererad karta.tif", "S 3032-2025")</f>
        <v/>
      </c>
      <c r="AA132">
        <f>HYPERLINK("https://klasma.github.io/Logging_0883/klagomål/S 3032-2025 FSC-klagomål.docx", "S 3032-2025")</f>
        <v/>
      </c>
      <c r="AB132">
        <f>HYPERLINK("https://klasma.github.io/Logging_0883/klagomålsmail/S 3032-2025 FSC-klagomål mail.docx", "S 3032-2025")</f>
        <v/>
      </c>
      <c r="AC132">
        <f>HYPERLINK("https://klasma.github.io/Logging_0883/tillsyn/S 3032-2025 tillsynsbegäran.docx", "S 3032-2025")</f>
        <v/>
      </c>
      <c r="AD132">
        <f>HYPERLINK("https://klasma.github.io/Logging_0883/tillsynsmail/S 3032-2025 tillsynsbegäran mail.docx", "S 3032-2025")</f>
        <v/>
      </c>
    </row>
    <row r="133" ht="15" customHeight="1">
      <c r="A133" t="inlineStr">
        <is>
          <t>A 63361-2023</t>
        </is>
      </c>
      <c r="B133" t="inlineStr">
        <is>
          <t>avverkningsanmälan</t>
        </is>
      </c>
      <c r="C133" t="inlineStr">
        <is>
          <t>Föryngringsavverkning</t>
        </is>
      </c>
      <c r="D133" s="1" t="n">
        <v>45274</v>
      </c>
      <c r="E133" s="1" t="n">
        <v>46323</v>
      </c>
      <c r="F133" t="inlineStr">
        <is>
          <t>KALMAR LÄN</t>
        </is>
      </c>
      <c r="G133" t="inlineStr">
        <is>
          <t>VÄSTERVIK</t>
        </is>
      </c>
      <c r="I133" t="n">
        <v>2.2</v>
      </c>
      <c r="J133" t="n">
        <v>0</v>
      </c>
      <c r="K133" t="n">
        <v>0</v>
      </c>
      <c r="L133" t="n">
        <v>1</v>
      </c>
      <c r="M133" t="n">
        <v>2</v>
      </c>
      <c r="N133" t="n">
        <v>0</v>
      </c>
      <c r="O133" t="n">
        <v>0</v>
      </c>
      <c r="P133" t="n">
        <v>0</v>
      </c>
      <c r="Q133" t="n">
        <v>3</v>
      </c>
      <c r="R133" t="n">
        <v>2</v>
      </c>
      <c r="S133" t="n">
        <v>3</v>
      </c>
      <c r="T133" t="n">
        <v>3</v>
      </c>
      <c r="U133" t="n">
        <v>0</v>
      </c>
      <c r="V133" s="2" t="inlineStr">
        <is>
          <t>Sorgfibbla
Växeltandsfibbla
Aspelandsfibbla</t>
        </is>
      </c>
      <c r="W133">
        <f>HYPERLINK("https://klasma.github.io/Logging_0883/artfynd/A 63361-2023 artfynd.xlsx", "A 63361-2023")</f>
        <v/>
      </c>
      <c r="X133">
        <f>HYPERLINK("https://klasma.github.io/Logging_0883/kartor/A 63361-2023 karta.png", "A 63361-2023")</f>
        <v/>
      </c>
      <c r="Y133">
        <f>HYPERLINK("https://klasma.github.io/Logging_0883/kartor_geotiff/A 63361-2023 georefererad karta.tif", "A 63361-2023")</f>
        <v/>
      </c>
      <c r="AA133">
        <f>HYPERLINK("https://klasma.github.io/Logging_0883/klagomål/A 63361-2023 FSC-klagomål.docx", "A 63361-2023")</f>
        <v/>
      </c>
      <c r="AB133">
        <f>HYPERLINK("https://klasma.github.io/Logging_0883/klagomålsmail/A 63361-2023 FSC-klagomål mail.docx", "A 63361-2023")</f>
        <v/>
      </c>
      <c r="AC133">
        <f>HYPERLINK("https://klasma.github.io/Logging_0883/tillsyn/A 63361-2023 tillsynsbegäran.docx", "A 63361-2023")</f>
        <v/>
      </c>
      <c r="AD133">
        <f>HYPERLINK("https://klasma.github.io/Logging_0883/tillsynsmail/A 63361-2023 tillsynsbegäran mail.docx", "A 63361-2023")</f>
        <v/>
      </c>
    </row>
    <row r="134" ht="15" customHeight="1">
      <c r="A134" t="inlineStr">
        <is>
          <t>A 14089-2025</t>
        </is>
      </c>
      <c r="B134" t="inlineStr">
        <is>
          <t>avverkningsanmälan</t>
        </is>
      </c>
      <c r="C134" t="inlineStr">
        <is>
          <t>Föryngringsavverkning</t>
        </is>
      </c>
      <c r="D134" s="1" t="n">
        <v>45740</v>
      </c>
      <c r="E134" s="1" t="n">
        <v>46323</v>
      </c>
      <c r="F134" t="inlineStr">
        <is>
          <t>KALMAR LÄN</t>
        </is>
      </c>
      <c r="G134" t="inlineStr">
        <is>
          <t>VÄSTERVIK</t>
        </is>
      </c>
      <c r="H134" t="inlineStr">
        <is>
          <t>Sveaskog</t>
        </is>
      </c>
      <c r="I134" t="n">
        <v>1.3</v>
      </c>
      <c r="J134" t="n">
        <v>3</v>
      </c>
      <c r="K134" t="n">
        <v>0</v>
      </c>
      <c r="L134" t="n">
        <v>1</v>
      </c>
      <c r="M134" t="n">
        <v>0</v>
      </c>
      <c r="N134" t="n">
        <v>0</v>
      </c>
      <c r="O134" t="n">
        <v>0</v>
      </c>
      <c r="P134" t="n">
        <v>0</v>
      </c>
      <c r="Q134" t="n">
        <v>1</v>
      </c>
      <c r="R134" t="n">
        <v>0</v>
      </c>
      <c r="S134" t="n">
        <v>3</v>
      </c>
      <c r="T134" t="n">
        <v>4</v>
      </c>
      <c r="U134" t="n">
        <v>4</v>
      </c>
      <c r="V134" s="2" t="inlineStr">
        <is>
          <t>Mindre hackspett
Spillkråka
Kungsfågel</t>
        </is>
      </c>
      <c r="W134">
        <f>HYPERLINK("https://klasma.github.io/Logging_0883/artfynd/A 14089-2025 artfynd.xlsx", "A 14089-2025")</f>
        <v/>
      </c>
      <c r="X134">
        <f>HYPERLINK("https://klasma.github.io/Logging_0883/kartor/A 14089-2025 karta.png", "A 14089-2025")</f>
        <v/>
      </c>
      <c r="Y134">
        <f>HYPERLINK("https://klasma.github.io/Logging_0883/kartor_geotiff/A 14089-2025 georefererad karta.tif", "A 14089-2025")</f>
        <v/>
      </c>
      <c r="AA134">
        <f>HYPERLINK("https://klasma.github.io/Logging_0883/klagomål/A 14089-2025 FSC-klagomål.docx", "A 14089-2025")</f>
        <v/>
      </c>
      <c r="AB134">
        <f>HYPERLINK("https://klasma.github.io/Logging_0883/klagomålsmail/A 14089-2025 FSC-klagomål mail.docx", "A 14089-2025")</f>
        <v/>
      </c>
      <c r="AC134">
        <f>HYPERLINK("https://klasma.github.io/Logging_0883/tillsyn/A 14089-2025 tillsynsbegäran.docx", "A 14089-2025")</f>
        <v/>
      </c>
      <c r="AD134">
        <f>HYPERLINK("https://klasma.github.io/Logging_0883/tillsynsmail/A 14089-2025 tillsynsbegäran mail.docx", "A 14089-2025")</f>
        <v/>
      </c>
      <c r="AE134">
        <f>HYPERLINK("https://klasma.github.io/Logging_0883/fåglar/A 14089-2025 prioriterade fågelarter.docx", "A 14089-2025")</f>
        <v/>
      </c>
    </row>
    <row r="135" ht="15" customHeight="1">
      <c r="A135" t="inlineStr">
        <is>
          <t>A 61804-2023</t>
        </is>
      </c>
      <c r="B135" t="inlineStr">
        <is>
          <t>avverkningsanmälan</t>
        </is>
      </c>
      <c r="C135" t="inlineStr">
        <is>
          <t>Föryngringsavverkning</t>
        </is>
      </c>
      <c r="D135" s="1" t="n">
        <v>45266</v>
      </c>
      <c r="E135" s="1" t="n">
        <v>46323</v>
      </c>
      <c r="F135" t="inlineStr">
        <is>
          <t>KALMAR LÄN</t>
        </is>
      </c>
      <c r="G135" t="inlineStr">
        <is>
          <t>VÄSTERVIK</t>
        </is>
      </c>
      <c r="I135" t="n">
        <v>2.3</v>
      </c>
      <c r="J135" t="n">
        <v>0</v>
      </c>
      <c r="K135" t="n">
        <v>0</v>
      </c>
      <c r="L135" t="n">
        <v>0</v>
      </c>
      <c r="M135" t="n">
        <v>3</v>
      </c>
      <c r="N135" t="n">
        <v>0</v>
      </c>
      <c r="O135" t="n">
        <v>0</v>
      </c>
      <c r="P135" t="n">
        <v>0</v>
      </c>
      <c r="Q135" t="n">
        <v>3</v>
      </c>
      <c r="R135" t="n">
        <v>3</v>
      </c>
      <c r="S135" t="n">
        <v>3</v>
      </c>
      <c r="T135" t="n">
        <v>3</v>
      </c>
      <c r="U135" t="n">
        <v>0</v>
      </c>
      <c r="V135" s="2" t="inlineStr">
        <is>
          <t>Bredbrämad bastardsvärmare
Mindre bastardsvärmare
Smalsprötad bastardsvärmare</t>
        </is>
      </c>
      <c r="W135">
        <f>HYPERLINK("https://klasma.github.io/Logging_0883/artfynd/A 61804-2023 artfynd.xlsx", "A 61804-2023")</f>
        <v/>
      </c>
      <c r="X135">
        <f>HYPERLINK("https://klasma.github.io/Logging_0883/kartor/A 61804-2023 karta.png", "A 61804-2023")</f>
        <v/>
      </c>
      <c r="Y135">
        <f>HYPERLINK("https://klasma.github.io/Logging_0883/kartor_geotiff/A 61804-2023 georefererad karta.tif", "A 61804-2023")</f>
        <v/>
      </c>
      <c r="AA135">
        <f>HYPERLINK("https://klasma.github.io/Logging_0883/klagomål/A 61804-2023 FSC-klagomål.docx", "A 61804-2023")</f>
        <v/>
      </c>
      <c r="AB135">
        <f>HYPERLINK("https://klasma.github.io/Logging_0883/klagomålsmail/A 61804-2023 FSC-klagomål mail.docx", "A 61804-2023")</f>
        <v/>
      </c>
      <c r="AC135">
        <f>HYPERLINK("https://klasma.github.io/Logging_0883/tillsyn/A 61804-2023 tillsynsbegäran.docx", "A 61804-2023")</f>
        <v/>
      </c>
      <c r="AD135">
        <f>HYPERLINK("https://klasma.github.io/Logging_0883/tillsynsmail/A 61804-2023 tillsynsbegäran mail.docx", "A 61804-2023")</f>
        <v/>
      </c>
    </row>
    <row r="136" ht="15" customHeight="1">
      <c r="A136" t="inlineStr">
        <is>
          <t>A 35939-2024</t>
        </is>
      </c>
      <c r="B136" t="inlineStr">
        <is>
          <t>avverkningsanmälan</t>
        </is>
      </c>
      <c r="C136" t="inlineStr">
        <is>
          <t>Föryngringsavverkning</t>
        </is>
      </c>
      <c r="D136" s="1" t="n">
        <v>45533</v>
      </c>
      <c r="E136" s="1" t="n">
        <v>46323</v>
      </c>
      <c r="F136" t="inlineStr">
        <is>
          <t>KALMAR LÄN</t>
        </is>
      </c>
      <c r="G136" t="inlineStr">
        <is>
          <t>VÄSTERVIK</t>
        </is>
      </c>
      <c r="I136" t="n">
        <v>3.8</v>
      </c>
      <c r="J136" t="n">
        <v>1</v>
      </c>
      <c r="K136" t="n">
        <v>1</v>
      </c>
      <c r="L136" t="n">
        <v>2</v>
      </c>
      <c r="M136" t="n">
        <v>0</v>
      </c>
      <c r="N136" t="n">
        <v>0</v>
      </c>
      <c r="O136" t="n">
        <v>0</v>
      </c>
      <c r="P136" t="n">
        <v>0</v>
      </c>
      <c r="Q136" t="n">
        <v>2</v>
      </c>
      <c r="R136" t="n">
        <v>0</v>
      </c>
      <c r="S136" t="n">
        <v>3</v>
      </c>
      <c r="T136" t="n">
        <v>3</v>
      </c>
      <c r="U136" t="n">
        <v>3</v>
      </c>
      <c r="V136" s="2" t="inlineStr">
        <is>
          <t>Tallticka
Talltita
Blåmossa</t>
        </is>
      </c>
      <c r="W136">
        <f>HYPERLINK("https://klasma.github.io/Logging_0883/artfynd/A 35939-2024 artfynd.xlsx", "A 35939-2024")</f>
        <v/>
      </c>
      <c r="X136">
        <f>HYPERLINK("https://klasma.github.io/Logging_0883/kartor/A 35939-2024 karta.png", "A 35939-2024")</f>
        <v/>
      </c>
      <c r="Y136">
        <f>HYPERLINK("https://klasma.github.io/Logging_0883/kartor_geotiff/A 35939-2024 georefererad karta.tif", "A 35939-2024")</f>
        <v/>
      </c>
      <c r="AA136">
        <f>HYPERLINK("https://klasma.github.io/Logging_0883/klagomål/A 35939-2024 FSC-klagomål.docx", "A 35939-2024")</f>
        <v/>
      </c>
      <c r="AB136">
        <f>HYPERLINK("https://klasma.github.io/Logging_0883/klagomålsmail/A 35939-2024 FSC-klagomål mail.docx", "A 35939-2024")</f>
        <v/>
      </c>
      <c r="AC136">
        <f>HYPERLINK("https://klasma.github.io/Logging_0883/tillsyn/A 35939-2024 tillsynsbegäran.docx", "A 35939-2024")</f>
        <v/>
      </c>
      <c r="AD136">
        <f>HYPERLINK("https://klasma.github.io/Logging_0883/tillsynsmail/A 35939-2024 tillsynsbegäran mail.docx", "A 35939-2024")</f>
        <v/>
      </c>
      <c r="AE136">
        <f>HYPERLINK("https://klasma.github.io/Logging_0883/fåglar/A 35939-2024 prioriterade fågelarter.docx", "A 35939-2024")</f>
        <v/>
      </c>
    </row>
    <row r="137" ht="15" customHeight="1">
      <c r="A137" t="inlineStr">
        <is>
          <t>A 3173-2023</t>
        </is>
      </c>
      <c r="B137" t="inlineStr">
        <is>
          <t>avverkningsanmälan</t>
        </is>
      </c>
      <c r="C137" t="inlineStr">
        <is>
          <t>Föryngringsavverkning</t>
        </is>
      </c>
      <c r="D137" s="1" t="n">
        <v>44946</v>
      </c>
      <c r="E137" s="1" t="n">
        <v>46323</v>
      </c>
      <c r="F137" t="inlineStr">
        <is>
          <t>KALMAR LÄN</t>
        </is>
      </c>
      <c r="G137" t="inlineStr">
        <is>
          <t>VÄSTERVIK</t>
        </is>
      </c>
      <c r="I137" t="n">
        <v>4</v>
      </c>
      <c r="J137" t="n">
        <v>2</v>
      </c>
      <c r="K137" t="n">
        <v>0</v>
      </c>
      <c r="L137" t="n">
        <v>1</v>
      </c>
      <c r="M137" t="n">
        <v>1</v>
      </c>
      <c r="N137" t="n">
        <v>0</v>
      </c>
      <c r="O137" t="n">
        <v>0</v>
      </c>
      <c r="P137" t="n">
        <v>0</v>
      </c>
      <c r="Q137" t="n">
        <v>2</v>
      </c>
      <c r="R137" t="n">
        <v>1</v>
      </c>
      <c r="S137" t="n">
        <v>3</v>
      </c>
      <c r="T137" t="n">
        <v>8</v>
      </c>
      <c r="U137" t="n">
        <v>8</v>
      </c>
      <c r="V137" s="2" t="inlineStr">
        <is>
          <t>Knärot
Tallticka
Tjäder</t>
        </is>
      </c>
      <c r="W137">
        <f>HYPERLINK("https://klasma.github.io/Logging_0883/artfynd/A 3173-2023 artfynd.xlsx", "A 3173-2023")</f>
        <v/>
      </c>
      <c r="X137">
        <f>HYPERLINK("https://klasma.github.io/Logging_0883/kartor/A 3173-2023 karta.png", "A 3173-2023")</f>
        <v/>
      </c>
      <c r="Y137">
        <f>HYPERLINK("https://klasma.github.io/Logging_0883/kartor_geotiff/A 3173-2023 georefererad karta.tif", "A 3173-2023")</f>
        <v/>
      </c>
      <c r="Z137">
        <f>HYPERLINK("https://klasma.github.io/Logging_0883/knärot/A 3173-2023 karta knärot.png", "A 3173-2023")</f>
        <v/>
      </c>
      <c r="AA137">
        <f>HYPERLINK("https://klasma.github.io/Logging_0883/klagomål/A 3173-2023 FSC-klagomål.docx", "A 3173-2023")</f>
        <v/>
      </c>
      <c r="AB137">
        <f>HYPERLINK("https://klasma.github.io/Logging_0883/klagomålsmail/A 3173-2023 FSC-klagomål mail.docx", "A 3173-2023")</f>
        <v/>
      </c>
      <c r="AC137">
        <f>HYPERLINK("https://klasma.github.io/Logging_0883/tillsyn/A 3173-2023 tillsynsbegäran.docx", "A 3173-2023")</f>
        <v/>
      </c>
      <c r="AD137">
        <f>HYPERLINK("https://klasma.github.io/Logging_0883/tillsynsmail/A 3173-2023 tillsynsbegäran mail.docx", "A 3173-2023")</f>
        <v/>
      </c>
      <c r="AE137">
        <f>HYPERLINK("https://klasma.github.io/Logging_0883/fåglar/A 3173-2023 prioriterade fågelarter.docx", "A 3173-2023")</f>
        <v/>
      </c>
    </row>
    <row r="138" ht="15" customHeight="1">
      <c r="A138" t="inlineStr">
        <is>
          <t>A 804-2023</t>
        </is>
      </c>
      <c r="B138" t="inlineStr">
        <is>
          <t>avverkningsanmälan</t>
        </is>
      </c>
      <c r="C138" t="inlineStr">
        <is>
          <t>Avverkning för att bevara och utveckla /försöksver</t>
        </is>
      </c>
      <c r="D138" s="1" t="n">
        <v>44931</v>
      </c>
      <c r="E138" s="1" t="n">
        <v>46323</v>
      </c>
      <c r="F138" t="inlineStr">
        <is>
          <t>KALMAR LÄN</t>
        </is>
      </c>
      <c r="G138" t="inlineStr">
        <is>
          <t>VÄSTERVIK</t>
        </is>
      </c>
      <c r="H138" t="inlineStr">
        <is>
          <t>Holmen skog AB</t>
        </is>
      </c>
      <c r="I138" t="n">
        <v>5.2</v>
      </c>
      <c r="J138" t="n">
        <v>1</v>
      </c>
      <c r="K138" t="n">
        <v>1</v>
      </c>
      <c r="L138" t="n">
        <v>1</v>
      </c>
      <c r="M138" t="n">
        <v>1</v>
      </c>
      <c r="N138" t="n">
        <v>0</v>
      </c>
      <c r="O138" t="n">
        <v>0</v>
      </c>
      <c r="P138" t="n">
        <v>0</v>
      </c>
      <c r="Q138" t="n">
        <v>2</v>
      </c>
      <c r="R138" t="n">
        <v>1</v>
      </c>
      <c r="S138" t="n">
        <v>3</v>
      </c>
      <c r="T138" t="n">
        <v>3</v>
      </c>
      <c r="U138" t="n">
        <v>2</v>
      </c>
      <c r="V138" s="2" t="inlineStr">
        <is>
          <t>Violett fingersvamp
Ekticka
Ekoxe</t>
        </is>
      </c>
      <c r="W138">
        <f>HYPERLINK("https://klasma.github.io/Logging_0883/artfynd/A 804-2023 artfynd.xlsx", "A 804-2023")</f>
        <v/>
      </c>
      <c r="X138">
        <f>HYPERLINK("https://klasma.github.io/Logging_0883/kartor/A 804-2023 karta.png", "A 804-2023")</f>
        <v/>
      </c>
      <c r="Y138">
        <f>HYPERLINK("https://klasma.github.io/Logging_0883/kartor_geotiff/A 804-2023 georefererad karta.tif", "A 804-2023")</f>
        <v/>
      </c>
      <c r="AA138">
        <f>HYPERLINK("https://klasma.github.io/Logging_0883/klagomål/A 804-2023 FSC-klagomål.docx", "A 804-2023")</f>
        <v/>
      </c>
      <c r="AB138">
        <f>HYPERLINK("https://klasma.github.io/Logging_0883/klagomålsmail/A 804-2023 FSC-klagomål mail.docx", "A 804-2023")</f>
        <v/>
      </c>
      <c r="AC138">
        <f>HYPERLINK("https://klasma.github.io/Logging_0883/tillsyn/A 804-2023 tillsynsbegäran.docx", "A 804-2023")</f>
        <v/>
      </c>
      <c r="AD138">
        <f>HYPERLINK("https://klasma.github.io/Logging_0883/tillsynsmail/A 804-2023 tillsynsbegäran mail.docx", "A 804-2023")</f>
        <v/>
      </c>
    </row>
    <row r="139" ht="15" customHeight="1">
      <c r="A139" t="inlineStr">
        <is>
          <t>A 42353-2023</t>
        </is>
      </c>
      <c r="B139" t="inlineStr">
        <is>
          <t>avverkningsanmälan</t>
        </is>
      </c>
      <c r="C139" t="inlineStr">
        <is>
          <t>Föryngringsavverkning</t>
        </is>
      </c>
      <c r="D139" s="1" t="n">
        <v>45180</v>
      </c>
      <c r="E139" s="1" t="n">
        <v>46323</v>
      </c>
      <c r="F139" t="inlineStr">
        <is>
          <t>KALMAR LÄN</t>
        </is>
      </c>
      <c r="G139" t="inlineStr">
        <is>
          <t>VÄSTERVIK</t>
        </is>
      </c>
      <c r="I139" t="n">
        <v>11.3</v>
      </c>
      <c r="J139" t="n">
        <v>1</v>
      </c>
      <c r="K139" t="n">
        <v>1</v>
      </c>
      <c r="L139" t="n">
        <v>1</v>
      </c>
      <c r="M139" t="n">
        <v>1</v>
      </c>
      <c r="N139" t="n">
        <v>0</v>
      </c>
      <c r="O139" t="n">
        <v>0</v>
      </c>
      <c r="P139" t="n">
        <v>0</v>
      </c>
      <c r="Q139" t="n">
        <v>2</v>
      </c>
      <c r="R139" t="n">
        <v>1</v>
      </c>
      <c r="S139" t="n">
        <v>3</v>
      </c>
      <c r="T139" t="n">
        <v>17</v>
      </c>
      <c r="U139" t="n">
        <v>17</v>
      </c>
      <c r="V139" s="2" t="inlineStr">
        <is>
          <t>Knärot
Tallticka
Blomkålssvamp</t>
        </is>
      </c>
      <c r="W139">
        <f>HYPERLINK("https://klasma.github.io/Logging_0883/artfynd/A 42353-2023 artfynd.xlsx", "A 42353-2023")</f>
        <v/>
      </c>
      <c r="X139">
        <f>HYPERLINK("https://klasma.github.io/Logging_0883/kartor/A 42353-2023 karta.png", "A 42353-2023")</f>
        <v/>
      </c>
      <c r="Y139">
        <f>HYPERLINK("https://klasma.github.io/Logging_0883/kartor_geotiff/A 42353-2023 georefererad karta.tif", "A 42353-2023")</f>
        <v/>
      </c>
      <c r="Z139">
        <f>HYPERLINK("https://klasma.github.io/Logging_0883/knärot/A 42353-2023 karta knärot.png", "A 42353-2023")</f>
        <v/>
      </c>
      <c r="AA139">
        <f>HYPERLINK("https://klasma.github.io/Logging_0883/klagomål/A 42353-2023 FSC-klagomål.docx", "A 42353-2023")</f>
        <v/>
      </c>
      <c r="AB139">
        <f>HYPERLINK("https://klasma.github.io/Logging_0883/klagomålsmail/A 42353-2023 FSC-klagomål mail.docx", "A 42353-2023")</f>
        <v/>
      </c>
      <c r="AC139">
        <f>HYPERLINK("https://klasma.github.io/Logging_0883/tillsyn/A 42353-2023 tillsynsbegäran.docx", "A 42353-2023")</f>
        <v/>
      </c>
      <c r="AD139">
        <f>HYPERLINK("https://klasma.github.io/Logging_0883/tillsynsmail/A 42353-2023 tillsynsbegäran mail.docx", "A 42353-2023")</f>
        <v/>
      </c>
    </row>
    <row r="140" ht="15" customHeight="1">
      <c r="A140" t="inlineStr">
        <is>
          <t>A 38373-2022</t>
        </is>
      </c>
      <c r="B140" t="inlineStr">
        <is>
          <t>avverkningsanmälan</t>
        </is>
      </c>
      <c r="C140" t="inlineStr">
        <is>
          <t>Föryngringsavverkning</t>
        </is>
      </c>
      <c r="D140" s="1" t="n">
        <v>44812</v>
      </c>
      <c r="E140" s="1" t="n">
        <v>46323</v>
      </c>
      <c r="F140" t="inlineStr">
        <is>
          <t>KALMAR LÄN</t>
        </is>
      </c>
      <c r="G140" t="inlineStr">
        <is>
          <t>VÄSTERVIK</t>
        </is>
      </c>
      <c r="I140" t="n">
        <v>3.1</v>
      </c>
      <c r="J140" t="n">
        <v>2</v>
      </c>
      <c r="K140" t="n">
        <v>1</v>
      </c>
      <c r="L140" t="n">
        <v>0</v>
      </c>
      <c r="M140" t="n">
        <v>1</v>
      </c>
      <c r="N140" t="n">
        <v>0</v>
      </c>
      <c r="O140" t="n">
        <v>0</v>
      </c>
      <c r="P140" t="n">
        <v>0</v>
      </c>
      <c r="Q140" t="n">
        <v>1</v>
      </c>
      <c r="R140" t="n">
        <v>1</v>
      </c>
      <c r="S140" t="n">
        <v>3</v>
      </c>
      <c r="T140" t="n">
        <v>4</v>
      </c>
      <c r="U140" t="n">
        <v>4</v>
      </c>
      <c r="V140" s="2" t="inlineStr">
        <is>
          <t>Knärot
Blåmossa
Tjäder</t>
        </is>
      </c>
      <c r="W140">
        <f>HYPERLINK("https://klasma.github.io/Logging_0883/artfynd/A 38373-2022 artfynd.xlsx", "A 38373-2022")</f>
        <v/>
      </c>
      <c r="X140">
        <f>HYPERLINK("https://klasma.github.io/Logging_0883/kartor/A 38373-2022 karta.png", "A 38373-2022")</f>
        <v/>
      </c>
      <c r="Y140">
        <f>HYPERLINK("https://klasma.github.io/Logging_0883/kartor_geotiff/A 38373-2022 georefererad karta.tif", "A 38373-2022")</f>
        <v/>
      </c>
      <c r="Z140">
        <f>HYPERLINK("https://klasma.github.io/Logging_0883/knärot/A 38373-2022 karta knärot.png", "A 38373-2022")</f>
        <v/>
      </c>
      <c r="AA140">
        <f>HYPERLINK("https://klasma.github.io/Logging_0883/klagomål/A 38373-2022 FSC-klagomål.docx", "A 38373-2022")</f>
        <v/>
      </c>
      <c r="AB140">
        <f>HYPERLINK("https://klasma.github.io/Logging_0883/klagomålsmail/A 38373-2022 FSC-klagomål mail.docx", "A 38373-2022")</f>
        <v/>
      </c>
      <c r="AC140">
        <f>HYPERLINK("https://klasma.github.io/Logging_0883/tillsyn/A 38373-2022 tillsynsbegäran.docx", "A 38373-2022")</f>
        <v/>
      </c>
      <c r="AD140">
        <f>HYPERLINK("https://klasma.github.io/Logging_0883/tillsynsmail/A 38373-2022 tillsynsbegäran mail.docx", "A 38373-2022")</f>
        <v/>
      </c>
      <c r="AE140">
        <f>HYPERLINK("https://klasma.github.io/Logging_0883/fåglar/A 38373-2022 prioriterade fågelarter.docx", "A 38373-2022")</f>
        <v/>
      </c>
    </row>
    <row r="141" ht="15" customHeight="1">
      <c r="A141" t="inlineStr">
        <is>
          <t>A 1370-2024</t>
        </is>
      </c>
      <c r="B141" t="inlineStr">
        <is>
          <t>avverkningsanmälan</t>
        </is>
      </c>
      <c r="C141" t="inlineStr">
        <is>
          <t>Föryngringsavverkning</t>
        </is>
      </c>
      <c r="D141" s="1" t="n">
        <v>45303</v>
      </c>
      <c r="E141" s="1" t="n">
        <v>46323</v>
      </c>
      <c r="F141" t="inlineStr">
        <is>
          <t>KALMAR LÄN</t>
        </is>
      </c>
      <c r="G141" t="inlineStr">
        <is>
          <t>VÄSTERVIK</t>
        </is>
      </c>
      <c r="I141" t="n">
        <v>0.4</v>
      </c>
      <c r="J141" t="n">
        <v>2</v>
      </c>
      <c r="K141" t="n">
        <v>1</v>
      </c>
      <c r="L141" t="n">
        <v>1</v>
      </c>
      <c r="M141" t="n">
        <v>0</v>
      </c>
      <c r="N141" t="n">
        <v>0</v>
      </c>
      <c r="O141" t="n">
        <v>0</v>
      </c>
      <c r="P141" t="n">
        <v>0</v>
      </c>
      <c r="Q141" t="n">
        <v>1</v>
      </c>
      <c r="R141" t="n">
        <v>0</v>
      </c>
      <c r="S141" t="n">
        <v>3</v>
      </c>
      <c r="T141" t="n">
        <v>3</v>
      </c>
      <c r="U141" t="n">
        <v>2</v>
      </c>
      <c r="V141" s="2" t="inlineStr">
        <is>
          <t>Talltita
Brandticka
Järpe</t>
        </is>
      </c>
      <c r="W141">
        <f>HYPERLINK("https://klasma.github.io/Logging_0883/artfynd/A 1370-2024 artfynd.xlsx", "A 1370-2024")</f>
        <v/>
      </c>
      <c r="X141">
        <f>HYPERLINK("https://klasma.github.io/Logging_0883/kartor/A 1370-2024 karta.png", "A 1370-2024")</f>
        <v/>
      </c>
      <c r="Y141">
        <f>HYPERLINK("https://klasma.github.io/Logging_0883/kartor_geotiff/A 1370-2024 georefererad karta.tif", "A 1370-2024")</f>
        <v/>
      </c>
      <c r="AA141">
        <f>HYPERLINK("https://klasma.github.io/Logging_0883/klagomål/A 1370-2024 FSC-klagomål.docx", "A 1370-2024")</f>
        <v/>
      </c>
      <c r="AB141">
        <f>HYPERLINK("https://klasma.github.io/Logging_0883/klagomålsmail/A 1370-2024 FSC-klagomål mail.docx", "A 1370-2024")</f>
        <v/>
      </c>
      <c r="AC141">
        <f>HYPERLINK("https://klasma.github.io/Logging_0883/tillsyn/A 1370-2024 tillsynsbegäran.docx", "A 1370-2024")</f>
        <v/>
      </c>
      <c r="AD141">
        <f>HYPERLINK("https://klasma.github.io/Logging_0883/tillsynsmail/A 1370-2024 tillsynsbegäran mail.docx", "A 1370-2024")</f>
        <v/>
      </c>
      <c r="AE141">
        <f>HYPERLINK("https://klasma.github.io/Logging_0883/fåglar/A 1370-2024 prioriterade fågelarter.docx", "A 1370-2024")</f>
        <v/>
      </c>
    </row>
    <row r="142" ht="15" customHeight="1">
      <c r="A142" t="inlineStr">
        <is>
          <t>A 49607-2025</t>
        </is>
      </c>
      <c r="B142" t="inlineStr">
        <is>
          <t>avverkningsanmälan</t>
        </is>
      </c>
      <c r="C142" t="inlineStr">
        <is>
          <t>Föryngringsavverkning</t>
        </is>
      </c>
      <c r="D142" s="1" t="n">
        <v>45939</v>
      </c>
      <c r="E142" s="1" t="n">
        <v>46323</v>
      </c>
      <c r="F142" t="inlineStr">
        <is>
          <t>KALMAR LÄN</t>
        </is>
      </c>
      <c r="G142" t="inlineStr">
        <is>
          <t>VÄSTERVIK</t>
        </is>
      </c>
      <c r="H142" t="inlineStr">
        <is>
          <t>Holmen skog AB</t>
        </is>
      </c>
      <c r="I142" t="n">
        <v>1.2</v>
      </c>
      <c r="J142" t="n">
        <v>3</v>
      </c>
      <c r="K142" t="n">
        <v>0</v>
      </c>
      <c r="L142" t="n">
        <v>1</v>
      </c>
      <c r="M142" t="n">
        <v>0</v>
      </c>
      <c r="N142" t="n">
        <v>0</v>
      </c>
      <c r="O142" t="n">
        <v>0</v>
      </c>
      <c r="P142" t="n">
        <v>0</v>
      </c>
      <c r="Q142" t="n">
        <v>1</v>
      </c>
      <c r="R142" t="n">
        <v>0</v>
      </c>
      <c r="S142" t="n">
        <v>3</v>
      </c>
      <c r="T142" t="n">
        <v>3</v>
      </c>
      <c r="U142" t="n">
        <v>3</v>
      </c>
      <c r="V142" s="2" t="inlineStr">
        <is>
          <t>Talltita
Spillkråka
Tjäder</t>
        </is>
      </c>
      <c r="W142">
        <f>HYPERLINK("https://klasma.github.io/Logging_0883/artfynd/A 49607-2025 artfynd.xlsx", "A 49607-2025")</f>
        <v/>
      </c>
      <c r="X142">
        <f>HYPERLINK("https://klasma.github.io/Logging_0883/kartor/A 49607-2025 karta.png", "A 49607-2025")</f>
        <v/>
      </c>
      <c r="Y142">
        <f>HYPERLINK("https://klasma.github.io/Logging_0883/kartor_geotiff/A 49607-2025 georefererad karta.tif", "A 49607-2025")</f>
        <v/>
      </c>
      <c r="AA142">
        <f>HYPERLINK("https://klasma.github.io/Logging_0883/klagomål/A 49607-2025 FSC-klagomål.docx", "A 49607-2025")</f>
        <v/>
      </c>
      <c r="AB142">
        <f>HYPERLINK("https://klasma.github.io/Logging_0883/klagomålsmail/A 49607-2025 FSC-klagomål mail.docx", "A 49607-2025")</f>
        <v/>
      </c>
      <c r="AC142">
        <f>HYPERLINK("https://klasma.github.io/Logging_0883/tillsyn/A 49607-2025 tillsynsbegäran.docx", "A 49607-2025")</f>
        <v/>
      </c>
      <c r="AD142">
        <f>HYPERLINK("https://klasma.github.io/Logging_0883/tillsynsmail/A 49607-2025 tillsynsbegäran mail.docx", "A 49607-2025")</f>
        <v/>
      </c>
      <c r="AE142">
        <f>HYPERLINK("https://klasma.github.io/Logging_0883/fåglar/A 49607-2025 prioriterade fågelarter.docx", "A 49607-2025")</f>
        <v/>
      </c>
    </row>
    <row r="143" ht="15" customHeight="1">
      <c r="A143" t="inlineStr">
        <is>
          <t>A 55506-2022</t>
        </is>
      </c>
      <c r="B143" t="inlineStr">
        <is>
          <t>avverkningsanmälan</t>
        </is>
      </c>
      <c r="C143" t="inlineStr">
        <is>
          <t>Föryngringsavverkning</t>
        </is>
      </c>
      <c r="D143" s="1" t="n">
        <v>44887</v>
      </c>
      <c r="E143" s="1" t="n">
        <v>46323</v>
      </c>
      <c r="F143" t="inlineStr">
        <is>
          <t>KALMAR LÄN</t>
        </is>
      </c>
      <c r="G143" t="inlineStr">
        <is>
          <t>VÄSTERVIK</t>
        </is>
      </c>
      <c r="I143" t="n">
        <v>3.4</v>
      </c>
      <c r="J143" t="n">
        <v>0</v>
      </c>
      <c r="K143" t="n">
        <v>1</v>
      </c>
      <c r="L143" t="n">
        <v>2</v>
      </c>
      <c r="M143" t="n">
        <v>0</v>
      </c>
      <c r="N143" t="n">
        <v>0</v>
      </c>
      <c r="O143" t="n">
        <v>0</v>
      </c>
      <c r="P143" t="n">
        <v>0</v>
      </c>
      <c r="Q143" t="n">
        <v>2</v>
      </c>
      <c r="R143" t="n">
        <v>0</v>
      </c>
      <c r="S143" t="n">
        <v>3</v>
      </c>
      <c r="T143" t="n">
        <v>3</v>
      </c>
      <c r="U143" t="n">
        <v>2</v>
      </c>
      <c r="V143" s="2" t="inlineStr">
        <is>
          <t>Tallticka
Ullticka
Trädporella</t>
        </is>
      </c>
      <c r="W143">
        <f>HYPERLINK("https://klasma.github.io/Logging_0883/artfynd/A 55506-2022 artfynd.xlsx", "A 55506-2022")</f>
        <v/>
      </c>
      <c r="X143">
        <f>HYPERLINK("https://klasma.github.io/Logging_0883/kartor/A 55506-2022 karta.png", "A 55506-2022")</f>
        <v/>
      </c>
      <c r="Y143">
        <f>HYPERLINK("https://klasma.github.io/Logging_0883/kartor_geotiff/A 55506-2022 georefererad karta.tif", "A 55506-2022")</f>
        <v/>
      </c>
      <c r="AA143">
        <f>HYPERLINK("https://klasma.github.io/Logging_0883/klagomål/A 55506-2022 FSC-klagomål.docx", "A 55506-2022")</f>
        <v/>
      </c>
      <c r="AB143">
        <f>HYPERLINK("https://klasma.github.io/Logging_0883/klagomålsmail/A 55506-2022 FSC-klagomål mail.docx", "A 55506-2022")</f>
        <v/>
      </c>
      <c r="AC143">
        <f>HYPERLINK("https://klasma.github.io/Logging_0883/tillsyn/A 55506-2022 tillsynsbegäran.docx", "A 55506-2022")</f>
        <v/>
      </c>
      <c r="AD143">
        <f>HYPERLINK("https://klasma.github.io/Logging_0883/tillsynsmail/A 55506-2022 tillsynsbegäran mail.docx", "A 55506-2022")</f>
        <v/>
      </c>
    </row>
    <row r="144" ht="15" customHeight="1">
      <c r="A144" t="inlineStr">
        <is>
          <t>A 58750-2024</t>
        </is>
      </c>
      <c r="B144" t="inlineStr">
        <is>
          <t>avverkningsanmälan</t>
        </is>
      </c>
      <c r="C144" t="inlineStr">
        <is>
          <t>Föryngringsavverkning</t>
        </is>
      </c>
      <c r="D144" s="1" t="n">
        <v>45635</v>
      </c>
      <c r="E144" s="1" t="n">
        <v>46323</v>
      </c>
      <c r="F144" t="inlineStr">
        <is>
          <t>KALMAR LÄN</t>
        </is>
      </c>
      <c r="G144" t="inlineStr">
        <is>
          <t>VÄSTERVIK</t>
        </is>
      </c>
      <c r="I144" t="n">
        <v>6.7</v>
      </c>
      <c r="J144" t="n">
        <v>1</v>
      </c>
      <c r="K144" t="n">
        <v>1</v>
      </c>
      <c r="L144" t="n">
        <v>1</v>
      </c>
      <c r="M144" t="n">
        <v>1</v>
      </c>
      <c r="N144" t="n">
        <v>0</v>
      </c>
      <c r="O144" t="n">
        <v>0</v>
      </c>
      <c r="P144" t="n">
        <v>0</v>
      </c>
      <c r="Q144" t="n">
        <v>2</v>
      </c>
      <c r="R144" t="n">
        <v>1</v>
      </c>
      <c r="S144" t="n">
        <v>3</v>
      </c>
      <c r="T144" t="n">
        <v>15</v>
      </c>
      <c r="U144" t="n">
        <v>15</v>
      </c>
      <c r="V144" s="2" t="inlineStr">
        <is>
          <t>Knärot
Tallticka
Blåmossa</t>
        </is>
      </c>
      <c r="W144">
        <f>HYPERLINK("https://klasma.github.io/Logging_0883/artfynd/A 58750-2024 artfynd.xlsx", "A 58750-2024")</f>
        <v/>
      </c>
      <c r="X144">
        <f>HYPERLINK("https://klasma.github.io/Logging_0883/kartor/A 58750-2024 karta.png", "A 58750-2024")</f>
        <v/>
      </c>
      <c r="Y144">
        <f>HYPERLINK("https://klasma.github.io/Logging_0883/kartor_geotiff/A 58750-2024 georefererad karta.tif", "A 58750-2024")</f>
        <v/>
      </c>
      <c r="Z144">
        <f>HYPERLINK("https://klasma.github.io/Logging_0883/knärot/A 58750-2024 karta knärot.png", "A 58750-2024")</f>
        <v/>
      </c>
      <c r="AA144">
        <f>HYPERLINK("https://klasma.github.io/Logging_0883/klagomål/A 58750-2024 FSC-klagomål.docx", "A 58750-2024")</f>
        <v/>
      </c>
      <c r="AB144">
        <f>HYPERLINK("https://klasma.github.io/Logging_0883/klagomålsmail/A 58750-2024 FSC-klagomål mail.docx", "A 58750-2024")</f>
        <v/>
      </c>
      <c r="AC144">
        <f>HYPERLINK("https://klasma.github.io/Logging_0883/tillsyn/A 58750-2024 tillsynsbegäran.docx", "A 58750-2024")</f>
        <v/>
      </c>
      <c r="AD144">
        <f>HYPERLINK("https://klasma.github.io/Logging_0883/tillsynsmail/A 58750-2024 tillsynsbegäran mail.docx", "A 58750-2024")</f>
        <v/>
      </c>
    </row>
    <row r="145" ht="15" customHeight="1">
      <c r="A145" t="inlineStr">
        <is>
          <t>A 43788-2023</t>
        </is>
      </c>
      <c r="B145" t="inlineStr">
        <is>
          <t>avverkningsanmälan</t>
        </is>
      </c>
      <c r="C145" t="inlineStr">
        <is>
          <t>Föryngringsavverkning</t>
        </is>
      </c>
      <c r="D145" s="1" t="n">
        <v>45187</v>
      </c>
      <c r="E145" s="1" t="n">
        <v>46323</v>
      </c>
      <c r="F145" t="inlineStr">
        <is>
          <t>KALMAR LÄN</t>
        </is>
      </c>
      <c r="G145" t="inlineStr">
        <is>
          <t>VÄSTERVIK</t>
        </is>
      </c>
      <c r="I145" t="n">
        <v>4.5</v>
      </c>
      <c r="J145" t="n">
        <v>1</v>
      </c>
      <c r="K145" t="n">
        <v>0</v>
      </c>
      <c r="L145" t="n">
        <v>2</v>
      </c>
      <c r="M145" t="n">
        <v>0</v>
      </c>
      <c r="N145" t="n">
        <v>0</v>
      </c>
      <c r="O145" t="n">
        <v>0</v>
      </c>
      <c r="P145" t="n">
        <v>0</v>
      </c>
      <c r="Q145" t="n">
        <v>2</v>
      </c>
      <c r="R145" t="n">
        <v>0</v>
      </c>
      <c r="S145" t="n">
        <v>3</v>
      </c>
      <c r="T145" t="n">
        <v>6</v>
      </c>
      <c r="U145" t="n">
        <v>5</v>
      </c>
      <c r="V145" s="2" t="inlineStr">
        <is>
          <t>Motaggsvamp
Tallticka
Tjäder</t>
        </is>
      </c>
      <c r="W145">
        <f>HYPERLINK("https://klasma.github.io/Logging_0883/artfynd/A 43788-2023 artfynd.xlsx", "A 43788-2023")</f>
        <v/>
      </c>
      <c r="X145">
        <f>HYPERLINK("https://klasma.github.io/Logging_0883/kartor/A 43788-2023 karta.png", "A 43788-2023")</f>
        <v/>
      </c>
      <c r="Y145">
        <f>HYPERLINK("https://klasma.github.io/Logging_0883/kartor_geotiff/A 43788-2023 georefererad karta.tif", "A 43788-2023")</f>
        <v/>
      </c>
      <c r="AA145">
        <f>HYPERLINK("https://klasma.github.io/Logging_0883/klagomål/A 43788-2023 FSC-klagomål.docx", "A 43788-2023")</f>
        <v/>
      </c>
      <c r="AB145">
        <f>HYPERLINK("https://klasma.github.io/Logging_0883/klagomålsmail/A 43788-2023 FSC-klagomål mail.docx", "A 43788-2023")</f>
        <v/>
      </c>
      <c r="AC145">
        <f>HYPERLINK("https://klasma.github.io/Logging_0883/tillsyn/A 43788-2023 tillsynsbegäran.docx", "A 43788-2023")</f>
        <v/>
      </c>
      <c r="AD145">
        <f>HYPERLINK("https://klasma.github.io/Logging_0883/tillsynsmail/A 43788-2023 tillsynsbegäran mail.docx", "A 43788-2023")</f>
        <v/>
      </c>
      <c r="AE145">
        <f>HYPERLINK("https://klasma.github.io/Logging_0883/fåglar/A 43788-2023 prioriterade fågelarter.docx", "A 43788-2023")</f>
        <v/>
      </c>
    </row>
    <row r="146" ht="15" customHeight="1">
      <c r="A146" t="inlineStr">
        <is>
          <t>A 63387-2025</t>
        </is>
      </c>
      <c r="B146" t="inlineStr">
        <is>
          <t>avverkningsanmälan</t>
        </is>
      </c>
      <c r="C146" t="inlineStr">
        <is>
          <t>Föryngringsavverkning</t>
        </is>
      </c>
      <c r="D146" s="1" t="n">
        <v>46011</v>
      </c>
      <c r="E146" s="1" t="n">
        <v>46323</v>
      </c>
      <c r="F146" t="inlineStr">
        <is>
          <t>KALMAR LÄN</t>
        </is>
      </c>
      <c r="G146" t="inlineStr">
        <is>
          <t>VÄSTERVIK</t>
        </is>
      </c>
      <c r="I146" t="n">
        <v>1.3</v>
      </c>
      <c r="J146" t="n">
        <v>1</v>
      </c>
      <c r="K146" t="n">
        <v>2</v>
      </c>
      <c r="L146" t="n">
        <v>0</v>
      </c>
      <c r="M146" t="n">
        <v>0</v>
      </c>
      <c r="N146" t="n">
        <v>0</v>
      </c>
      <c r="O146" t="n">
        <v>0</v>
      </c>
      <c r="P146" t="n">
        <v>0</v>
      </c>
      <c r="Q146" t="n">
        <v>0</v>
      </c>
      <c r="R146" t="n">
        <v>0</v>
      </c>
      <c r="S146" t="n">
        <v>3</v>
      </c>
      <c r="T146" t="n">
        <v>3</v>
      </c>
      <c r="U146" t="n">
        <v>0</v>
      </c>
      <c r="V146" s="2" t="inlineStr">
        <is>
          <t>Guldlockmossa
Platt fjädermossa
Blåsippa</t>
        </is>
      </c>
      <c r="W146">
        <f>HYPERLINK("https://klasma.github.io/Logging_0883/artfynd/A 63387-2025 artfynd.xlsx", "A 63387-2025")</f>
        <v/>
      </c>
      <c r="X146">
        <f>HYPERLINK("https://klasma.github.io/Logging_0883/kartor/A 63387-2025 karta.png", "A 63387-2025")</f>
        <v/>
      </c>
      <c r="Y146">
        <f>HYPERLINK("https://klasma.github.io/Logging_0883/kartor_geotiff/A 63387-2025 georefererad karta.tif", "A 63387-2025")</f>
        <v/>
      </c>
      <c r="AA146">
        <f>HYPERLINK("https://klasma.github.io/Logging_0883/klagomål/A 63387-2025 FSC-klagomål.docx", "A 63387-2025")</f>
        <v/>
      </c>
      <c r="AB146">
        <f>HYPERLINK("https://klasma.github.io/Logging_0883/klagomålsmail/A 63387-2025 FSC-klagomål mail.docx", "A 63387-2025")</f>
        <v/>
      </c>
      <c r="AC146">
        <f>HYPERLINK("https://klasma.github.io/Logging_0883/tillsyn/A 63387-2025 tillsynsbegäran.docx", "A 63387-2025")</f>
        <v/>
      </c>
      <c r="AD146">
        <f>HYPERLINK("https://klasma.github.io/Logging_0883/tillsynsmail/A 63387-2025 tillsynsbegäran mail.docx", "A 63387-2025")</f>
        <v/>
      </c>
    </row>
    <row r="147" ht="15" customHeight="1">
      <c r="A147" t="inlineStr">
        <is>
          <t>A 28240-2026</t>
        </is>
      </c>
      <c r="B147" t="inlineStr">
        <is>
          <t>avverkningsanmälan</t>
        </is>
      </c>
      <c r="C147" t="inlineStr">
        <is>
          <t>Föryngringsavverkning</t>
        </is>
      </c>
      <c r="D147" s="1" t="n">
        <v>46196</v>
      </c>
      <c r="E147" s="1" t="n">
        <v>46323</v>
      </c>
      <c r="F147" t="inlineStr">
        <is>
          <t>KALMAR LÄN</t>
        </is>
      </c>
      <c r="G147" t="inlineStr">
        <is>
          <t>VÄSTERVIK</t>
        </is>
      </c>
      <c r="H147" t="inlineStr">
        <is>
          <t>Kyrkan</t>
        </is>
      </c>
      <c r="I147" t="n">
        <v>13.9</v>
      </c>
      <c r="J147" t="n">
        <v>1</v>
      </c>
      <c r="K147" t="n">
        <v>1</v>
      </c>
      <c r="L147" t="n">
        <v>0</v>
      </c>
      <c r="M147" t="n">
        <v>1</v>
      </c>
      <c r="N147" t="n">
        <v>0</v>
      </c>
      <c r="O147" t="n">
        <v>1</v>
      </c>
      <c r="P147" t="n">
        <v>0</v>
      </c>
      <c r="Q147" t="n">
        <v>2</v>
      </c>
      <c r="R147" t="n">
        <v>2</v>
      </c>
      <c r="S147" t="n">
        <v>3</v>
      </c>
      <c r="T147" t="n">
        <v>3</v>
      </c>
      <c r="U147" t="n">
        <v>3</v>
      </c>
      <c r="V147" s="2" t="inlineStr">
        <is>
          <t>Saffransticka
Smalsprötad bastardsvärmare
Stor aspticka</t>
        </is>
      </c>
      <c r="W147">
        <f>HYPERLINK("https://klasma.github.io/Logging_0883/artfynd/A 28240-2026 artfynd.xlsx", "A 28240-2026")</f>
        <v/>
      </c>
      <c r="X147">
        <f>HYPERLINK("https://klasma.github.io/Logging_0883/kartor/A 28240-2026 karta.png", "A 28240-2026")</f>
        <v/>
      </c>
      <c r="Y147">
        <f>HYPERLINK("https://klasma.github.io/Logging_0883/kartor_geotiff/A 28240-2026 georefererad karta.tif", "A 28240-2026")</f>
        <v/>
      </c>
      <c r="AA147">
        <f>HYPERLINK("https://klasma.github.io/Logging_0883/klagomål/A 28240-2026 FSC-klagomål.docx", "A 28240-2026")</f>
        <v/>
      </c>
      <c r="AB147">
        <f>HYPERLINK("https://klasma.github.io/Logging_0883/klagomålsmail/A 28240-2026 FSC-klagomål mail.docx", "A 28240-2026")</f>
        <v/>
      </c>
      <c r="AC147">
        <f>HYPERLINK("https://klasma.github.io/Logging_0883/tillsyn/A 28240-2026 tillsynsbegäran.docx", "A 28240-2026")</f>
        <v/>
      </c>
      <c r="AD147">
        <f>HYPERLINK("https://klasma.github.io/Logging_0883/tillsynsmail/A 28240-2026 tillsynsbegäran mail.docx", "A 28240-2026")</f>
        <v/>
      </c>
    </row>
    <row r="148" ht="15" customHeight="1">
      <c r="A148" t="inlineStr">
        <is>
          <t>A 29039-2026</t>
        </is>
      </c>
      <c r="B148" t="inlineStr">
        <is>
          <t>avverkningsanmälan</t>
        </is>
      </c>
      <c r="C148" t="inlineStr">
        <is>
          <t>Föryngringsavverkning</t>
        </is>
      </c>
      <c r="D148" s="1" t="n">
        <v>46199</v>
      </c>
      <c r="E148" s="1" t="n">
        <v>46323</v>
      </c>
      <c r="F148" t="inlineStr">
        <is>
          <t>KALMAR LÄN</t>
        </is>
      </c>
      <c r="G148" t="inlineStr">
        <is>
          <t>VÄSTERVIK</t>
        </is>
      </c>
      <c r="I148" t="n">
        <v>4.6</v>
      </c>
      <c r="J148" t="n">
        <v>0</v>
      </c>
      <c r="K148" t="n">
        <v>1</v>
      </c>
      <c r="L148" t="n">
        <v>2</v>
      </c>
      <c r="M148" t="n">
        <v>0</v>
      </c>
      <c r="N148" t="n">
        <v>0</v>
      </c>
      <c r="O148" t="n">
        <v>0</v>
      </c>
      <c r="P148" t="n">
        <v>0</v>
      </c>
      <c r="Q148" t="n">
        <v>2</v>
      </c>
      <c r="R148" t="n">
        <v>0</v>
      </c>
      <c r="S148" t="n">
        <v>3</v>
      </c>
      <c r="T148" t="n">
        <v>4</v>
      </c>
      <c r="U148" t="n">
        <v>4</v>
      </c>
      <c r="V148" s="2" t="inlineStr">
        <is>
          <t>Tallticka
Vedskivlav
Blåmossa</t>
        </is>
      </c>
      <c r="W148">
        <f>HYPERLINK("https://klasma.github.io/Logging_0883/artfynd/A 29039-2026 artfynd.xlsx", "A 29039-2026")</f>
        <v/>
      </c>
      <c r="X148">
        <f>HYPERLINK("https://klasma.github.io/Logging_0883/kartor/A 29039-2026 karta.png", "A 29039-2026")</f>
        <v/>
      </c>
      <c r="Y148">
        <f>HYPERLINK("https://klasma.github.io/Logging_0883/kartor_geotiff/A 29039-2026 georefererad karta.tif", "A 29039-2026")</f>
        <v/>
      </c>
      <c r="AA148">
        <f>HYPERLINK("https://klasma.github.io/Logging_0883/klagomål/A 29039-2026 FSC-klagomål.docx", "A 29039-2026")</f>
        <v/>
      </c>
      <c r="AB148">
        <f>HYPERLINK("https://klasma.github.io/Logging_0883/klagomålsmail/A 29039-2026 FSC-klagomål mail.docx", "A 29039-2026")</f>
        <v/>
      </c>
      <c r="AC148">
        <f>HYPERLINK("https://klasma.github.io/Logging_0883/tillsyn/A 29039-2026 tillsynsbegäran.docx", "A 29039-2026")</f>
        <v/>
      </c>
      <c r="AD148">
        <f>HYPERLINK("https://klasma.github.io/Logging_0883/tillsynsmail/A 29039-2026 tillsynsbegäran mail.docx", "A 29039-2026")</f>
        <v/>
      </c>
    </row>
    <row r="149" ht="15" customHeight="1">
      <c r="A149" t="inlineStr">
        <is>
          <t>A 958-2025</t>
        </is>
      </c>
      <c r="B149" t="inlineStr">
        <is>
          <t>avverkningsanmälan</t>
        </is>
      </c>
      <c r="C149" t="inlineStr">
        <is>
          <t>Föryngringsavverkning</t>
        </is>
      </c>
      <c r="D149" s="1" t="n">
        <v>45666</v>
      </c>
      <c r="E149" s="1" t="n">
        <v>46323</v>
      </c>
      <c r="F149" t="inlineStr">
        <is>
          <t>KALMAR LÄN</t>
        </is>
      </c>
      <c r="G149" t="inlineStr">
        <is>
          <t>VÄSTERVIK</t>
        </is>
      </c>
      <c r="I149" t="n">
        <v>2.8</v>
      </c>
      <c r="J149" t="n">
        <v>1</v>
      </c>
      <c r="K149" t="n">
        <v>0</v>
      </c>
      <c r="L149" t="n">
        <v>2</v>
      </c>
      <c r="M149" t="n">
        <v>0</v>
      </c>
      <c r="N149" t="n">
        <v>0</v>
      </c>
      <c r="O149" t="n">
        <v>0</v>
      </c>
      <c r="P149" t="n">
        <v>0</v>
      </c>
      <c r="Q149" t="n">
        <v>2</v>
      </c>
      <c r="R149" t="n">
        <v>0</v>
      </c>
      <c r="S149" t="n">
        <v>3</v>
      </c>
      <c r="T149" t="n">
        <v>3</v>
      </c>
      <c r="U149" t="n">
        <v>2</v>
      </c>
      <c r="V149" s="2" t="inlineStr">
        <is>
          <t>Orange taggsvamp
Älg
Spillkråka</t>
        </is>
      </c>
      <c r="W149">
        <f>HYPERLINK("https://klasma.github.io/Logging_0883/artfynd/A 958-2025 artfynd.xlsx", "A 958-2025")</f>
        <v/>
      </c>
      <c r="X149">
        <f>HYPERLINK("https://klasma.github.io/Logging_0883/kartor/A 958-2025 karta.png", "A 958-2025")</f>
        <v/>
      </c>
      <c r="Y149">
        <f>HYPERLINK("https://klasma.github.io/Logging_0883/kartor_geotiff/A 958-2025 georefererad karta.tif", "A 958-2025")</f>
        <v/>
      </c>
      <c r="AA149">
        <f>HYPERLINK("https://klasma.github.io/Logging_0883/klagomål/A 958-2025 FSC-klagomål.docx", "A 958-2025")</f>
        <v/>
      </c>
      <c r="AB149">
        <f>HYPERLINK("https://klasma.github.io/Logging_0883/klagomålsmail/A 958-2025 FSC-klagomål mail.docx", "A 958-2025")</f>
        <v/>
      </c>
      <c r="AC149">
        <f>HYPERLINK("https://klasma.github.io/Logging_0883/tillsyn/A 958-2025 tillsynsbegäran.docx", "A 958-2025")</f>
        <v/>
      </c>
      <c r="AD149">
        <f>HYPERLINK("https://klasma.github.io/Logging_0883/tillsynsmail/A 958-2025 tillsynsbegäran mail.docx", "A 958-2025")</f>
        <v/>
      </c>
      <c r="AE149">
        <f>HYPERLINK("https://klasma.github.io/Logging_0883/fåglar/A 958-2025 prioriterade fågelarter.docx", "A 958-2025")</f>
        <v/>
      </c>
    </row>
    <row r="150" ht="15" customHeight="1">
      <c r="A150" t="inlineStr">
        <is>
          <t>A 41271-2025</t>
        </is>
      </c>
      <c r="B150" t="inlineStr">
        <is>
          <t>avverkningsanmälan</t>
        </is>
      </c>
      <c r="C150" t="inlineStr">
        <is>
          <t>Föryngringsavverkning</t>
        </is>
      </c>
      <c r="D150" s="1" t="n">
        <v>45898</v>
      </c>
      <c r="E150" s="1" t="n">
        <v>46323</v>
      </c>
      <c r="F150" t="inlineStr">
        <is>
          <t>KALMAR LÄN</t>
        </is>
      </c>
      <c r="G150" t="inlineStr">
        <is>
          <t>VÄSTERVIK</t>
        </is>
      </c>
      <c r="I150" t="n">
        <v>1.1</v>
      </c>
      <c r="J150" t="n">
        <v>2</v>
      </c>
      <c r="K150" t="n">
        <v>0</v>
      </c>
      <c r="L150" t="n">
        <v>2</v>
      </c>
      <c r="M150" t="n">
        <v>1</v>
      </c>
      <c r="N150" t="n">
        <v>0</v>
      </c>
      <c r="O150" t="n">
        <v>0</v>
      </c>
      <c r="P150" t="n">
        <v>0</v>
      </c>
      <c r="Q150" t="n">
        <v>3</v>
      </c>
      <c r="R150" t="n">
        <v>1</v>
      </c>
      <c r="S150" t="n">
        <v>3</v>
      </c>
      <c r="T150" t="n">
        <v>20</v>
      </c>
      <c r="U150" t="n">
        <v>20</v>
      </c>
      <c r="V150" s="2" t="inlineStr">
        <is>
          <t>Knärot
Motaggsvamp
Talltita</t>
        </is>
      </c>
      <c r="W150">
        <f>HYPERLINK("https://klasma.github.io/Logging_0883/artfynd/A 41271-2025 artfynd.xlsx", "A 41271-2025")</f>
        <v/>
      </c>
      <c r="X150">
        <f>HYPERLINK("https://klasma.github.io/Logging_0883/kartor/A 41271-2025 karta.png", "A 41271-2025")</f>
        <v/>
      </c>
      <c r="Y150">
        <f>HYPERLINK("https://klasma.github.io/Logging_0883/kartor_geotiff/A 41271-2025 georefererad karta.tif", "A 41271-2025")</f>
        <v/>
      </c>
      <c r="Z150">
        <f>HYPERLINK("https://klasma.github.io/Logging_0883/knärot/A 41271-2025 karta knärot.png", "A 41271-2025")</f>
        <v/>
      </c>
      <c r="AA150">
        <f>HYPERLINK("https://klasma.github.io/Logging_0883/klagomål/A 41271-2025 FSC-klagomål.docx", "A 41271-2025")</f>
        <v/>
      </c>
      <c r="AB150">
        <f>HYPERLINK("https://klasma.github.io/Logging_0883/klagomålsmail/A 41271-2025 FSC-klagomål mail.docx", "A 41271-2025")</f>
        <v/>
      </c>
      <c r="AC150">
        <f>HYPERLINK("https://klasma.github.io/Logging_0883/tillsyn/A 41271-2025 tillsynsbegäran.docx", "A 41271-2025")</f>
        <v/>
      </c>
      <c r="AD150">
        <f>HYPERLINK("https://klasma.github.io/Logging_0883/tillsynsmail/A 41271-2025 tillsynsbegäran mail.docx", "A 41271-2025")</f>
        <v/>
      </c>
      <c r="AE150">
        <f>HYPERLINK("https://klasma.github.io/Logging_0883/fåglar/A 41271-2025 prioriterade fågelarter.docx", "A 41271-2025")</f>
        <v/>
      </c>
    </row>
    <row r="151" ht="15" customHeight="1">
      <c r="A151" t="inlineStr">
        <is>
          <t>A 31216-2026</t>
        </is>
      </c>
      <c r="B151" t="inlineStr">
        <is>
          <t>avverkningsanmälan</t>
        </is>
      </c>
      <c r="C151" t="inlineStr">
        <is>
          <t>Föryngringsavverkning</t>
        </is>
      </c>
      <c r="D151" s="1" t="n">
        <v>46217</v>
      </c>
      <c r="E151" s="1" t="n">
        <v>46323</v>
      </c>
      <c r="F151" t="inlineStr">
        <is>
          <t>KALMAR LÄN</t>
        </is>
      </c>
      <c r="G151" t="inlineStr">
        <is>
          <t>VÄSTERVIK</t>
        </is>
      </c>
      <c r="I151" t="n">
        <v>1.1</v>
      </c>
      <c r="J151" t="n">
        <v>2</v>
      </c>
      <c r="K151" t="n">
        <v>3</v>
      </c>
      <c r="L151" t="n">
        <v>0</v>
      </c>
      <c r="M151" t="n">
        <v>0</v>
      </c>
      <c r="N151" t="n">
        <v>0</v>
      </c>
      <c r="O151" t="n">
        <v>0</v>
      </c>
      <c r="P151" t="n">
        <v>0</v>
      </c>
      <c r="Q151" t="n">
        <v>0</v>
      </c>
      <c r="R151" t="n">
        <v>0</v>
      </c>
      <c r="S151" t="n">
        <v>3</v>
      </c>
      <c r="T151" t="n">
        <v>3</v>
      </c>
      <c r="U151" t="n">
        <v>2</v>
      </c>
      <c r="V151" s="2" t="inlineStr">
        <is>
          <t>Ekoxe
Guldlockmossa
Skogsknipprot</t>
        </is>
      </c>
      <c r="W151">
        <f>HYPERLINK("https://klasma.github.io/Logging_0883/artfynd/A 31216-2026 artfynd.xlsx", "A 31216-2026")</f>
        <v/>
      </c>
      <c r="X151">
        <f>HYPERLINK("https://klasma.github.io/Logging_0883/kartor/A 31216-2026 karta.png", "A 31216-2026")</f>
        <v/>
      </c>
      <c r="Y151">
        <f>HYPERLINK("https://klasma.github.io/Logging_0883/kartor_geotiff/A 31216-2026 georefererad karta.tif", "A 31216-2026")</f>
        <v/>
      </c>
      <c r="AA151">
        <f>HYPERLINK("https://klasma.github.io/Logging_0883/klagomål/A 31216-2026 FSC-klagomål.docx", "A 31216-2026")</f>
        <v/>
      </c>
      <c r="AB151">
        <f>HYPERLINK("https://klasma.github.io/Logging_0883/klagomålsmail/A 31216-2026 FSC-klagomål mail.docx", "A 31216-2026")</f>
        <v/>
      </c>
      <c r="AC151">
        <f>HYPERLINK("https://klasma.github.io/Logging_0883/tillsyn/A 31216-2026 tillsynsbegäran.docx", "A 31216-2026")</f>
        <v/>
      </c>
      <c r="AD151">
        <f>HYPERLINK("https://klasma.github.io/Logging_0883/tillsynsmail/A 31216-2026 tillsynsbegäran mail.docx", "A 31216-2026")</f>
        <v/>
      </c>
    </row>
    <row r="152" ht="15" customHeight="1">
      <c r="A152" t="inlineStr">
        <is>
          <t>A 46722-2023</t>
        </is>
      </c>
      <c r="B152" t="inlineStr">
        <is>
          <t>avverkningsanmälan</t>
        </is>
      </c>
      <c r="C152" t="inlineStr">
        <is>
          <t>Föryngringsavverkning</t>
        </is>
      </c>
      <c r="D152" s="1" t="n">
        <v>45194</v>
      </c>
      <c r="E152" s="1" t="n">
        <v>46323</v>
      </c>
      <c r="F152" t="inlineStr">
        <is>
          <t>KALMAR LÄN</t>
        </is>
      </c>
      <c r="G152" t="inlineStr">
        <is>
          <t>VÄSTERVIK</t>
        </is>
      </c>
      <c r="I152" t="n">
        <v>0.9</v>
      </c>
      <c r="J152" t="n">
        <v>2</v>
      </c>
      <c r="K152" t="n">
        <v>1</v>
      </c>
      <c r="L152" t="n">
        <v>1</v>
      </c>
      <c r="M152" t="n">
        <v>1</v>
      </c>
      <c r="N152" t="n">
        <v>0</v>
      </c>
      <c r="O152" t="n">
        <v>0</v>
      </c>
      <c r="P152" t="n">
        <v>0</v>
      </c>
      <c r="Q152" t="n">
        <v>2</v>
      </c>
      <c r="R152" t="n">
        <v>1</v>
      </c>
      <c r="S152" t="n">
        <v>3</v>
      </c>
      <c r="T152" t="n">
        <v>5</v>
      </c>
      <c r="U152" t="n">
        <v>0</v>
      </c>
      <c r="V152" s="2" t="inlineStr">
        <is>
          <t>Knärot
Dropptaggsvamp
Grön sköldmossa</t>
        </is>
      </c>
      <c r="W152">
        <f>HYPERLINK("https://klasma.github.io/Logging_0883/artfynd/A 46722-2023 artfynd.xlsx", "A 46722-2023")</f>
        <v/>
      </c>
      <c r="X152">
        <f>HYPERLINK("https://klasma.github.io/Logging_0883/kartor/A 46722-2023 karta.png", "A 46722-2023")</f>
        <v/>
      </c>
      <c r="Y152">
        <f>HYPERLINK("https://klasma.github.io/Logging_0883/kartor_geotiff/A 46722-2023 georefererad karta.tif", "A 46722-2023")</f>
        <v/>
      </c>
      <c r="Z152">
        <f>HYPERLINK("https://klasma.github.io/Logging_0883/knärot/A 46722-2023 karta knärot.png", "A 46722-2023")</f>
        <v/>
      </c>
      <c r="AA152">
        <f>HYPERLINK("https://klasma.github.io/Logging_0883/klagomål/A 46722-2023 FSC-klagomål.docx", "A 46722-2023")</f>
        <v/>
      </c>
      <c r="AB152">
        <f>HYPERLINK("https://klasma.github.io/Logging_0883/klagomålsmail/A 46722-2023 FSC-klagomål mail.docx", "A 46722-2023")</f>
        <v/>
      </c>
      <c r="AC152">
        <f>HYPERLINK("https://klasma.github.io/Logging_0883/tillsyn/A 46722-2023 tillsynsbegäran.docx", "A 46722-2023")</f>
        <v/>
      </c>
      <c r="AD152">
        <f>HYPERLINK("https://klasma.github.io/Logging_0883/tillsynsmail/A 46722-2023 tillsynsbegäran mail.docx", "A 46722-2023")</f>
        <v/>
      </c>
    </row>
    <row r="153" ht="15" customHeight="1">
      <c r="A153" t="inlineStr">
        <is>
          <t>A 37524-2025</t>
        </is>
      </c>
      <c r="B153" t="inlineStr">
        <is>
          <t>avverkningsanmälan</t>
        </is>
      </c>
      <c r="C153" t="inlineStr">
        <is>
          <t>Föryngringsavverkning</t>
        </is>
      </c>
      <c r="D153" s="1" t="n">
        <v>45877</v>
      </c>
      <c r="E153" s="1" t="n">
        <v>46323</v>
      </c>
      <c r="F153" t="inlineStr">
        <is>
          <t>KALMAR LÄN</t>
        </is>
      </c>
      <c r="G153" t="inlineStr">
        <is>
          <t>VÄSTERVIK</t>
        </is>
      </c>
      <c r="I153" t="n">
        <v>3.3</v>
      </c>
      <c r="J153" t="n">
        <v>2</v>
      </c>
      <c r="K153" t="n">
        <v>1</v>
      </c>
      <c r="L153" t="n">
        <v>1</v>
      </c>
      <c r="M153" t="n">
        <v>1</v>
      </c>
      <c r="N153" t="n">
        <v>0</v>
      </c>
      <c r="O153" t="n">
        <v>0</v>
      </c>
      <c r="P153" t="n">
        <v>0</v>
      </c>
      <c r="Q153" t="n">
        <v>2</v>
      </c>
      <c r="R153" t="n">
        <v>1</v>
      </c>
      <c r="S153" t="n">
        <v>3</v>
      </c>
      <c r="T153" t="n">
        <v>24</v>
      </c>
      <c r="U153" t="n">
        <v>24</v>
      </c>
      <c r="V153" s="2" t="inlineStr">
        <is>
          <t>Knärot
Talltita
Blomkålssvamp</t>
        </is>
      </c>
      <c r="W153">
        <f>HYPERLINK("https://klasma.github.io/Logging_0883/artfynd/A 37524-2025 artfynd.xlsx", "A 37524-2025")</f>
        <v/>
      </c>
      <c r="X153">
        <f>HYPERLINK("https://klasma.github.io/Logging_0883/kartor/A 37524-2025 karta.png", "A 37524-2025")</f>
        <v/>
      </c>
      <c r="Y153">
        <f>HYPERLINK("https://klasma.github.io/Logging_0883/kartor_geotiff/A 37524-2025 georefererad karta.tif", "A 37524-2025")</f>
        <v/>
      </c>
      <c r="Z153">
        <f>HYPERLINK("https://klasma.github.io/Logging_0883/knärot/A 37524-2025 karta knärot.png", "A 37524-2025")</f>
        <v/>
      </c>
      <c r="AA153">
        <f>HYPERLINK("https://klasma.github.io/Logging_0883/klagomål/A 37524-2025 FSC-klagomål.docx", "A 37524-2025")</f>
        <v/>
      </c>
      <c r="AB153">
        <f>HYPERLINK("https://klasma.github.io/Logging_0883/klagomålsmail/A 37524-2025 FSC-klagomål mail.docx", "A 37524-2025")</f>
        <v/>
      </c>
      <c r="AC153">
        <f>HYPERLINK("https://klasma.github.io/Logging_0883/tillsyn/A 37524-2025 tillsynsbegäran.docx", "A 37524-2025")</f>
        <v/>
      </c>
      <c r="AD153">
        <f>HYPERLINK("https://klasma.github.io/Logging_0883/tillsynsmail/A 37524-2025 tillsynsbegäran mail.docx", "A 37524-2025")</f>
        <v/>
      </c>
      <c r="AE153">
        <f>HYPERLINK("https://klasma.github.io/Logging_0883/fåglar/A 37524-2025 prioriterade fågelarter.docx", "A 37524-2025")</f>
        <v/>
      </c>
    </row>
    <row r="154" ht="15" customHeight="1">
      <c r="A154" t="inlineStr">
        <is>
          <t>A 2657-2024</t>
        </is>
      </c>
      <c r="B154" t="inlineStr">
        <is>
          <t>avverkningsanmälan</t>
        </is>
      </c>
      <c r="C154" t="inlineStr">
        <is>
          <t>Föryngringsavverkning</t>
        </is>
      </c>
      <c r="D154" s="1" t="n">
        <v>45314</v>
      </c>
      <c r="E154" s="1" t="n">
        <v>46323</v>
      </c>
      <c r="F154" t="inlineStr">
        <is>
          <t>KALMAR LÄN</t>
        </is>
      </c>
      <c r="G154" t="inlineStr">
        <is>
          <t>VÄSTERVIK</t>
        </is>
      </c>
      <c r="I154" t="n">
        <v>5.9</v>
      </c>
      <c r="J154" t="n">
        <v>2</v>
      </c>
      <c r="K154" t="n">
        <v>1</v>
      </c>
      <c r="L154" t="n">
        <v>0</v>
      </c>
      <c r="M154" t="n">
        <v>1</v>
      </c>
      <c r="N154" t="n">
        <v>0</v>
      </c>
      <c r="O154" t="n">
        <v>0</v>
      </c>
      <c r="P154" t="n">
        <v>0</v>
      </c>
      <c r="Q154" t="n">
        <v>1</v>
      </c>
      <c r="R154" t="n">
        <v>1</v>
      </c>
      <c r="S154" t="n">
        <v>3</v>
      </c>
      <c r="T154" t="n">
        <v>13</v>
      </c>
      <c r="U154" t="n">
        <v>12</v>
      </c>
      <c r="V154" s="2" t="inlineStr">
        <is>
          <t>Knärot
Grönpyrola
Spillkråka</t>
        </is>
      </c>
      <c r="W154">
        <f>HYPERLINK("https://klasma.github.io/Logging_0883/artfynd/A 2657-2024 artfynd.xlsx", "A 2657-2024")</f>
        <v/>
      </c>
      <c r="X154">
        <f>HYPERLINK("https://klasma.github.io/Logging_0883/kartor/A 2657-2024 karta.png", "A 2657-2024")</f>
        <v/>
      </c>
      <c r="Y154">
        <f>HYPERLINK("https://klasma.github.io/Logging_0883/kartor_geotiff/A 2657-2024 georefererad karta.tif", "A 2657-2024")</f>
        <v/>
      </c>
      <c r="Z154">
        <f>HYPERLINK("https://klasma.github.io/Logging_0883/knärot/A 2657-2024 karta knärot.png", "A 2657-2024")</f>
        <v/>
      </c>
      <c r="AA154">
        <f>HYPERLINK("https://klasma.github.io/Logging_0883/klagomål/A 2657-2024 FSC-klagomål.docx", "A 2657-2024")</f>
        <v/>
      </c>
      <c r="AB154">
        <f>HYPERLINK("https://klasma.github.io/Logging_0883/klagomålsmail/A 2657-2024 FSC-klagomål mail.docx", "A 2657-2024")</f>
        <v/>
      </c>
      <c r="AC154">
        <f>HYPERLINK("https://klasma.github.io/Logging_0883/tillsyn/A 2657-2024 tillsynsbegäran.docx", "A 2657-2024")</f>
        <v/>
      </c>
      <c r="AD154">
        <f>HYPERLINK("https://klasma.github.io/Logging_0883/tillsynsmail/A 2657-2024 tillsynsbegäran mail.docx", "A 2657-2024")</f>
        <v/>
      </c>
      <c r="AE154">
        <f>HYPERLINK("https://klasma.github.io/Logging_0883/fåglar/A 2657-2024 prioriterade fågelarter.docx", "A 2657-2024")</f>
        <v/>
      </c>
    </row>
    <row r="155" ht="15" customHeight="1">
      <c r="A155" t="inlineStr">
        <is>
          <t>A 8654-2026</t>
        </is>
      </c>
      <c r="B155" t="inlineStr">
        <is>
          <t>avverkningsanmälan</t>
        </is>
      </c>
      <c r="C155" t="inlineStr">
        <is>
          <t>Föryngringsavverkning</t>
        </is>
      </c>
      <c r="D155" s="1" t="n">
        <v>46066</v>
      </c>
      <c r="E155" s="1" t="n">
        <v>46323</v>
      </c>
      <c r="F155" t="inlineStr">
        <is>
          <t>KALMAR LÄN</t>
        </is>
      </c>
      <c r="G155" t="inlineStr">
        <is>
          <t>VÄSTERVIK</t>
        </is>
      </c>
      <c r="I155" t="n">
        <v>2.6</v>
      </c>
      <c r="J155" t="n">
        <v>3</v>
      </c>
      <c r="K155" t="n">
        <v>0</v>
      </c>
      <c r="L155" t="n">
        <v>1</v>
      </c>
      <c r="M155" t="n">
        <v>0</v>
      </c>
      <c r="N155" t="n">
        <v>0</v>
      </c>
      <c r="O155" t="n">
        <v>0</v>
      </c>
      <c r="P155" t="n">
        <v>0</v>
      </c>
      <c r="Q155" t="n">
        <v>1</v>
      </c>
      <c r="R155" t="n">
        <v>0</v>
      </c>
      <c r="S155" t="n">
        <v>3</v>
      </c>
      <c r="T155" t="n">
        <v>3</v>
      </c>
      <c r="U155" t="n">
        <v>3</v>
      </c>
      <c r="V155" s="2" t="inlineStr">
        <is>
          <t>Entita
Spillkråka
Kungsfågel</t>
        </is>
      </c>
      <c r="W155">
        <f>HYPERLINK("https://klasma.github.io/Logging_0883/artfynd/A 8654-2026 artfynd.xlsx", "A 8654-2026")</f>
        <v/>
      </c>
      <c r="X155">
        <f>HYPERLINK("https://klasma.github.io/Logging_0883/kartor/A 8654-2026 karta.png", "A 8654-2026")</f>
        <v/>
      </c>
      <c r="Y155">
        <f>HYPERLINK("https://klasma.github.io/Logging_0883/kartor_geotiff/A 8654-2026 georefererad karta.tif", "A 8654-2026")</f>
        <v/>
      </c>
      <c r="AA155">
        <f>HYPERLINK("https://klasma.github.io/Logging_0883/klagomål/A 8654-2026 FSC-klagomål.docx", "A 8654-2026")</f>
        <v/>
      </c>
      <c r="AB155">
        <f>HYPERLINK("https://klasma.github.io/Logging_0883/klagomålsmail/A 8654-2026 FSC-klagomål mail.docx", "A 8654-2026")</f>
        <v/>
      </c>
      <c r="AC155">
        <f>HYPERLINK("https://klasma.github.io/Logging_0883/tillsyn/A 8654-2026 tillsynsbegäran.docx", "A 8654-2026")</f>
        <v/>
      </c>
      <c r="AD155">
        <f>HYPERLINK("https://klasma.github.io/Logging_0883/tillsynsmail/A 8654-2026 tillsynsbegäran mail.docx", "A 8654-2026")</f>
        <v/>
      </c>
      <c r="AE155">
        <f>HYPERLINK("https://klasma.github.io/Logging_0883/fåglar/A 8654-2026 prioriterade fågelarter.docx", "A 8654-2026")</f>
        <v/>
      </c>
    </row>
    <row r="156" ht="15" customHeight="1">
      <c r="A156" t="inlineStr">
        <is>
          <t>A 39753-2026</t>
        </is>
      </c>
      <c r="B156" t="inlineStr">
        <is>
          <t>avverkningsanmälan</t>
        </is>
      </c>
      <c r="C156" t="inlineStr">
        <is>
          <t>Föryngringsavverkning</t>
        </is>
      </c>
      <c r="D156" s="1" t="n">
        <v>46290</v>
      </c>
      <c r="E156" s="1" t="n">
        <v>46323</v>
      </c>
      <c r="F156" t="inlineStr">
        <is>
          <t>KALMAR LÄN</t>
        </is>
      </c>
      <c r="G156" t="inlineStr">
        <is>
          <t>VÄSTERVIK</t>
        </is>
      </c>
      <c r="H156" t="inlineStr">
        <is>
          <t>Sveaskog</t>
        </is>
      </c>
      <c r="I156" t="n">
        <v>6.6</v>
      </c>
      <c r="J156" t="n">
        <v>2</v>
      </c>
      <c r="K156" t="n">
        <v>1</v>
      </c>
      <c r="L156" t="n">
        <v>1</v>
      </c>
      <c r="M156" t="n">
        <v>0</v>
      </c>
      <c r="N156" t="n">
        <v>0</v>
      </c>
      <c r="O156" t="n">
        <v>0</v>
      </c>
      <c r="P156" t="n">
        <v>0</v>
      </c>
      <c r="Q156" t="n">
        <v>1</v>
      </c>
      <c r="R156" t="n">
        <v>0</v>
      </c>
      <c r="S156" t="n">
        <v>3</v>
      </c>
      <c r="T156" t="n">
        <v>3</v>
      </c>
      <c r="U156" t="n">
        <v>0</v>
      </c>
      <c r="V156" s="2" t="inlineStr">
        <is>
          <t>Entita
Grönpyrola
Fläcknycklar</t>
        </is>
      </c>
      <c r="W156">
        <f>HYPERLINK("https://klasma.github.io/Logging_0883/artfynd/A 39753-2026 artfynd.xlsx", "A 39753-2026")</f>
        <v/>
      </c>
      <c r="X156">
        <f>HYPERLINK("https://klasma.github.io/Logging_0883/kartor/A 39753-2026 karta.png", "A 39753-2026")</f>
        <v/>
      </c>
      <c r="Y156">
        <f>HYPERLINK("https://klasma.github.io/Logging_0883/kartor_geotiff/A 39753-2026 georefererad karta.tif", "A 39753-2026")</f>
        <v/>
      </c>
      <c r="AA156">
        <f>HYPERLINK("https://klasma.github.io/Logging_0883/klagomål/A 39753-2026 FSC-klagomål.docx", "A 39753-2026")</f>
        <v/>
      </c>
      <c r="AB156">
        <f>HYPERLINK("https://klasma.github.io/Logging_0883/klagomålsmail/A 39753-2026 FSC-klagomål mail.docx", "A 39753-2026")</f>
        <v/>
      </c>
      <c r="AC156">
        <f>HYPERLINK("https://klasma.github.io/Logging_0883/tillsyn/A 39753-2026 tillsynsbegäran.docx", "A 39753-2026")</f>
        <v/>
      </c>
      <c r="AD156">
        <f>HYPERLINK("https://klasma.github.io/Logging_0883/tillsynsmail/A 39753-2026 tillsynsbegäran mail.docx", "A 39753-2026")</f>
        <v/>
      </c>
      <c r="AE156">
        <f>HYPERLINK("https://klasma.github.io/Logging_0883/fåglar/A 39753-2026 prioriterade fågelarter.docx", "A 39753-2026")</f>
        <v/>
      </c>
    </row>
    <row r="157" ht="15" customHeight="1">
      <c r="A157" t="inlineStr">
        <is>
          <t>A 31854-2025</t>
        </is>
      </c>
      <c r="B157" t="inlineStr">
        <is>
          <t>avverkningsanmälan</t>
        </is>
      </c>
      <c r="C157" t="inlineStr">
        <is>
          <t>Föryngringsavverkning</t>
        </is>
      </c>
      <c r="D157" s="1" t="n">
        <v>45834</v>
      </c>
      <c r="E157" s="1" t="n">
        <v>46323</v>
      </c>
      <c r="F157" t="inlineStr">
        <is>
          <t>KALMAR LÄN</t>
        </is>
      </c>
      <c r="G157" t="inlineStr">
        <is>
          <t>VÄSTERVIK</t>
        </is>
      </c>
      <c r="H157" t="inlineStr">
        <is>
          <t>Holmen skog AB</t>
        </is>
      </c>
      <c r="I157" t="n">
        <v>4.3</v>
      </c>
      <c r="J157" t="n">
        <v>2</v>
      </c>
      <c r="K157" t="n">
        <v>1</v>
      </c>
      <c r="L157" t="n">
        <v>1</v>
      </c>
      <c r="M157" t="n">
        <v>1</v>
      </c>
      <c r="N157" t="n">
        <v>0</v>
      </c>
      <c r="O157" t="n">
        <v>0</v>
      </c>
      <c r="P157" t="n">
        <v>0</v>
      </c>
      <c r="Q157" t="n">
        <v>2</v>
      </c>
      <c r="R157" t="n">
        <v>1</v>
      </c>
      <c r="S157" t="n">
        <v>3</v>
      </c>
      <c r="T157" t="n">
        <v>6</v>
      </c>
      <c r="U157" t="n">
        <v>6</v>
      </c>
      <c r="V157" s="2" t="inlineStr">
        <is>
          <t>Knärot
Talltita
Grönpyrola</t>
        </is>
      </c>
      <c r="W157">
        <f>HYPERLINK("https://klasma.github.io/Logging_0883/artfynd/A 31854-2025 artfynd.xlsx", "A 31854-2025")</f>
        <v/>
      </c>
      <c r="X157">
        <f>HYPERLINK("https://klasma.github.io/Logging_0883/kartor/A 31854-2025 karta.png", "A 31854-2025")</f>
        <v/>
      </c>
      <c r="Y157">
        <f>HYPERLINK("https://klasma.github.io/Logging_0883/kartor_geotiff/A 31854-2025 georefererad karta.tif", "A 31854-2025")</f>
        <v/>
      </c>
      <c r="Z157">
        <f>HYPERLINK("https://klasma.github.io/Logging_0883/knärot/A 31854-2025 karta knärot.png", "A 31854-2025")</f>
        <v/>
      </c>
      <c r="AA157">
        <f>HYPERLINK("https://klasma.github.io/Logging_0883/klagomål/A 31854-2025 FSC-klagomål.docx", "A 31854-2025")</f>
        <v/>
      </c>
      <c r="AB157">
        <f>HYPERLINK("https://klasma.github.io/Logging_0883/klagomålsmail/A 31854-2025 FSC-klagomål mail.docx", "A 31854-2025")</f>
        <v/>
      </c>
      <c r="AC157">
        <f>HYPERLINK("https://klasma.github.io/Logging_0883/tillsyn/A 31854-2025 tillsynsbegäran.docx", "A 31854-2025")</f>
        <v/>
      </c>
      <c r="AD157">
        <f>HYPERLINK("https://klasma.github.io/Logging_0883/tillsynsmail/A 31854-2025 tillsynsbegäran mail.docx", "A 31854-2025")</f>
        <v/>
      </c>
      <c r="AE157">
        <f>HYPERLINK("https://klasma.github.io/Logging_0883/fåglar/A 31854-2025 prioriterade fågelarter.docx", "A 31854-2025")</f>
        <v/>
      </c>
    </row>
    <row r="158" ht="15" customHeight="1">
      <c r="A158" t="inlineStr">
        <is>
          <t>A 60671-2025</t>
        </is>
      </c>
      <c r="B158" t="inlineStr">
        <is>
          <t>avverkningsanmälan</t>
        </is>
      </c>
      <c r="C158" t="inlineStr">
        <is>
          <t>Föryngringsavverkning</t>
        </is>
      </c>
      <c r="D158" s="1" t="n">
        <v>45996</v>
      </c>
      <c r="E158" s="1" t="n">
        <v>46323</v>
      </c>
      <c r="F158" t="inlineStr">
        <is>
          <t>KALMAR LÄN</t>
        </is>
      </c>
      <c r="G158" t="inlineStr">
        <is>
          <t>VÄSTERVIK</t>
        </is>
      </c>
      <c r="I158" t="n">
        <v>1.8</v>
      </c>
      <c r="J158" t="n">
        <v>1</v>
      </c>
      <c r="K158" t="n">
        <v>1</v>
      </c>
      <c r="L158" t="n">
        <v>1</v>
      </c>
      <c r="M158" t="n">
        <v>1</v>
      </c>
      <c r="N158" t="n">
        <v>0</v>
      </c>
      <c r="O158" t="n">
        <v>0</v>
      </c>
      <c r="P158" t="n">
        <v>0</v>
      </c>
      <c r="Q158" t="n">
        <v>2</v>
      </c>
      <c r="R158" t="n">
        <v>1</v>
      </c>
      <c r="S158" t="n">
        <v>3</v>
      </c>
      <c r="T158" t="n">
        <v>6</v>
      </c>
      <c r="U158" t="n">
        <v>6</v>
      </c>
      <c r="V158" s="2" t="inlineStr">
        <is>
          <t>Knärot
Motaggsvamp
Grönpyrola</t>
        </is>
      </c>
      <c r="W158">
        <f>HYPERLINK("https://klasma.github.io/Logging_0883/artfynd/A 60671-2025 artfynd.xlsx", "A 60671-2025")</f>
        <v/>
      </c>
      <c r="X158">
        <f>HYPERLINK("https://klasma.github.io/Logging_0883/kartor/A 60671-2025 karta.png", "A 60671-2025")</f>
        <v/>
      </c>
      <c r="Y158">
        <f>HYPERLINK("https://klasma.github.io/Logging_0883/kartor_geotiff/A 60671-2025 georefererad karta.tif", "A 60671-2025")</f>
        <v/>
      </c>
      <c r="Z158">
        <f>HYPERLINK("https://klasma.github.io/Logging_0883/knärot/A 60671-2025 karta knärot.png", "A 60671-2025")</f>
        <v/>
      </c>
      <c r="AA158">
        <f>HYPERLINK("https://klasma.github.io/Logging_0883/klagomål/A 60671-2025 FSC-klagomål.docx", "A 60671-2025")</f>
        <v/>
      </c>
      <c r="AB158">
        <f>HYPERLINK("https://klasma.github.io/Logging_0883/klagomålsmail/A 60671-2025 FSC-klagomål mail.docx", "A 60671-2025")</f>
        <v/>
      </c>
      <c r="AC158">
        <f>HYPERLINK("https://klasma.github.io/Logging_0883/tillsyn/A 60671-2025 tillsynsbegäran.docx", "A 60671-2025")</f>
        <v/>
      </c>
      <c r="AD158">
        <f>HYPERLINK("https://klasma.github.io/Logging_0883/tillsynsmail/A 60671-2025 tillsynsbegäran mail.docx", "A 60671-2025")</f>
        <v/>
      </c>
    </row>
    <row r="159" ht="15" customHeight="1">
      <c r="A159" t="inlineStr">
        <is>
          <t>A 948-2024</t>
        </is>
      </c>
      <c r="B159" t="inlineStr">
        <is>
          <t>avverkningsanmälan</t>
        </is>
      </c>
      <c r="C159" t="inlineStr">
        <is>
          <t>Föryngringsavverkning</t>
        </is>
      </c>
      <c r="D159" s="1" t="n">
        <v>45301</v>
      </c>
      <c r="E159" s="1" t="n">
        <v>46323</v>
      </c>
      <c r="F159" t="inlineStr">
        <is>
          <t>KALMAR LÄN</t>
        </is>
      </c>
      <c r="G159" t="inlineStr">
        <is>
          <t>VÄSTERVIK</t>
        </is>
      </c>
      <c r="I159" t="n">
        <v>4.5</v>
      </c>
      <c r="J159" t="n">
        <v>2</v>
      </c>
      <c r="K159" t="n">
        <v>0</v>
      </c>
      <c r="L159" t="n">
        <v>2</v>
      </c>
      <c r="M159" t="n">
        <v>0</v>
      </c>
      <c r="N159" t="n">
        <v>0</v>
      </c>
      <c r="O159" t="n">
        <v>0</v>
      </c>
      <c r="P159" t="n">
        <v>0</v>
      </c>
      <c r="Q159" t="n">
        <v>2</v>
      </c>
      <c r="R159" t="n">
        <v>0</v>
      </c>
      <c r="S159" t="n">
        <v>3</v>
      </c>
      <c r="T159" t="n">
        <v>3</v>
      </c>
      <c r="U159" t="n">
        <v>3</v>
      </c>
      <c r="V159" s="2" t="inlineStr">
        <is>
          <t>Dropptaggsvamp
Talltita
Tjäder</t>
        </is>
      </c>
      <c r="W159">
        <f>HYPERLINK("https://klasma.github.io/Logging_0883/artfynd/A 948-2024 artfynd.xlsx", "A 948-2024")</f>
        <v/>
      </c>
      <c r="X159">
        <f>HYPERLINK("https://klasma.github.io/Logging_0883/kartor/A 948-2024 karta.png", "A 948-2024")</f>
        <v/>
      </c>
      <c r="Y159">
        <f>HYPERLINK("https://klasma.github.io/Logging_0883/kartor_geotiff/A 948-2024 georefererad karta.tif", "A 948-2024")</f>
        <v/>
      </c>
      <c r="AA159">
        <f>HYPERLINK("https://klasma.github.io/Logging_0883/klagomål/A 948-2024 FSC-klagomål.docx", "A 948-2024")</f>
        <v/>
      </c>
      <c r="AB159">
        <f>HYPERLINK("https://klasma.github.io/Logging_0883/klagomålsmail/A 948-2024 FSC-klagomål mail.docx", "A 948-2024")</f>
        <v/>
      </c>
      <c r="AC159">
        <f>HYPERLINK("https://klasma.github.io/Logging_0883/tillsyn/A 948-2024 tillsynsbegäran.docx", "A 948-2024")</f>
        <v/>
      </c>
      <c r="AD159">
        <f>HYPERLINK("https://klasma.github.io/Logging_0883/tillsynsmail/A 948-2024 tillsynsbegäran mail.docx", "A 948-2024")</f>
        <v/>
      </c>
      <c r="AE159">
        <f>HYPERLINK("https://klasma.github.io/Logging_0883/fåglar/A 948-2024 prioriterade fågelarter.docx", "A 948-2024")</f>
        <v/>
      </c>
    </row>
    <row r="160" ht="15" customHeight="1">
      <c r="A160" t="inlineStr">
        <is>
          <t>A 27419-2026</t>
        </is>
      </c>
      <c r="B160" t="inlineStr">
        <is>
          <t>avverkningsanmälan</t>
        </is>
      </c>
      <c r="C160" t="inlineStr">
        <is>
          <t>Föryngringsavverkning</t>
        </is>
      </c>
      <c r="D160" s="1" t="n">
        <v>46189</v>
      </c>
      <c r="E160" s="1" t="n">
        <v>46323</v>
      </c>
      <c r="F160" t="inlineStr">
        <is>
          <t>KALMAR LÄN</t>
        </is>
      </c>
      <c r="G160" t="inlineStr">
        <is>
          <t>VÄSTERVIK</t>
        </is>
      </c>
      <c r="I160" t="n">
        <v>3.6</v>
      </c>
      <c r="J160" t="n">
        <v>2</v>
      </c>
      <c r="K160" t="n">
        <v>0</v>
      </c>
      <c r="L160" t="n">
        <v>2</v>
      </c>
      <c r="M160" t="n">
        <v>1</v>
      </c>
      <c r="N160" t="n">
        <v>0</v>
      </c>
      <c r="O160" t="n">
        <v>0</v>
      </c>
      <c r="P160" t="n">
        <v>0</v>
      </c>
      <c r="Q160" t="n">
        <v>3</v>
      </c>
      <c r="R160" t="n">
        <v>1</v>
      </c>
      <c r="S160" t="n">
        <v>3</v>
      </c>
      <c r="T160" t="n">
        <v>4</v>
      </c>
      <c r="U160" t="n">
        <v>4</v>
      </c>
      <c r="V160" s="2" t="inlineStr">
        <is>
          <t>Knärot
Dropptaggsvamp
Talltita</t>
        </is>
      </c>
      <c r="W160">
        <f>HYPERLINK("https://klasma.github.io/Logging_0883/artfynd/A 27419-2026 artfynd.xlsx", "A 27419-2026")</f>
        <v/>
      </c>
      <c r="X160">
        <f>HYPERLINK("https://klasma.github.io/Logging_0883/kartor/A 27419-2026 karta.png", "A 27419-2026")</f>
        <v/>
      </c>
      <c r="Y160">
        <f>HYPERLINK("https://klasma.github.io/Logging_0883/kartor_geotiff/A 27419-2026 georefererad karta.tif", "A 27419-2026")</f>
        <v/>
      </c>
      <c r="Z160">
        <f>HYPERLINK("https://klasma.github.io/Logging_0883/knärot/A 27419-2026 karta knärot.png", "A 27419-2026")</f>
        <v/>
      </c>
      <c r="AA160">
        <f>HYPERLINK("https://klasma.github.io/Logging_0883/klagomål/A 27419-2026 FSC-klagomål.docx", "A 27419-2026")</f>
        <v/>
      </c>
      <c r="AB160">
        <f>HYPERLINK("https://klasma.github.io/Logging_0883/klagomålsmail/A 27419-2026 FSC-klagomål mail.docx", "A 27419-2026")</f>
        <v/>
      </c>
      <c r="AC160">
        <f>HYPERLINK("https://klasma.github.io/Logging_0883/tillsyn/A 27419-2026 tillsynsbegäran.docx", "A 27419-2026")</f>
        <v/>
      </c>
      <c r="AD160">
        <f>HYPERLINK("https://klasma.github.io/Logging_0883/tillsynsmail/A 27419-2026 tillsynsbegäran mail.docx", "A 27419-2026")</f>
        <v/>
      </c>
      <c r="AE160">
        <f>HYPERLINK("https://klasma.github.io/Logging_0883/fåglar/A 27419-2026 prioriterade fågelarter.docx", "A 27419-2026")</f>
        <v/>
      </c>
    </row>
    <row r="161" ht="15" customHeight="1">
      <c r="A161" t="inlineStr">
        <is>
          <t>A 56336-2025</t>
        </is>
      </c>
      <c r="B161" t="inlineStr">
        <is>
          <t>avverkningsanmälan</t>
        </is>
      </c>
      <c r="C161" t="inlineStr">
        <is>
          <t>Föryngringsavverkning</t>
        </is>
      </c>
      <c r="D161" s="1" t="n">
        <v>45974</v>
      </c>
      <c r="E161" s="1" t="n">
        <v>46323</v>
      </c>
      <c r="F161" t="inlineStr">
        <is>
          <t>KALMAR LÄN</t>
        </is>
      </c>
      <c r="G161" t="inlineStr">
        <is>
          <t>VÄSTERVIK</t>
        </is>
      </c>
      <c r="H161" t="inlineStr">
        <is>
          <t>Holmen skog AB</t>
        </is>
      </c>
      <c r="I161" t="n">
        <v>2.2</v>
      </c>
      <c r="J161" t="n">
        <v>0</v>
      </c>
      <c r="K161" t="n">
        <v>1</v>
      </c>
      <c r="L161" t="n">
        <v>2</v>
      </c>
      <c r="M161" t="n">
        <v>0</v>
      </c>
      <c r="N161" t="n">
        <v>0</v>
      </c>
      <c r="O161" t="n">
        <v>0</v>
      </c>
      <c r="P161" t="n">
        <v>0</v>
      </c>
      <c r="Q161" t="n">
        <v>2</v>
      </c>
      <c r="R161" t="n">
        <v>0</v>
      </c>
      <c r="S161" t="n">
        <v>3</v>
      </c>
      <c r="T161" t="n">
        <v>4</v>
      </c>
      <c r="U161" t="n">
        <v>4</v>
      </c>
      <c r="V161" s="2" t="inlineStr">
        <is>
          <t>Tallticka
Ullticka
Blåmossa</t>
        </is>
      </c>
      <c r="W161">
        <f>HYPERLINK("https://klasma.github.io/Logging_0883/artfynd/A 56336-2025 artfynd.xlsx", "A 56336-2025")</f>
        <v/>
      </c>
      <c r="X161">
        <f>HYPERLINK("https://klasma.github.io/Logging_0883/kartor/A 56336-2025 karta.png", "A 56336-2025")</f>
        <v/>
      </c>
      <c r="Y161">
        <f>HYPERLINK("https://klasma.github.io/Logging_0883/kartor_geotiff/A 56336-2025 georefererad karta.tif", "A 56336-2025")</f>
        <v/>
      </c>
      <c r="AA161">
        <f>HYPERLINK("https://klasma.github.io/Logging_0883/klagomål/A 56336-2025 FSC-klagomål.docx", "A 56336-2025")</f>
        <v/>
      </c>
      <c r="AB161">
        <f>HYPERLINK("https://klasma.github.io/Logging_0883/klagomålsmail/A 56336-2025 FSC-klagomål mail.docx", "A 56336-2025")</f>
        <v/>
      </c>
      <c r="AC161">
        <f>HYPERLINK("https://klasma.github.io/Logging_0883/tillsyn/A 56336-2025 tillsynsbegäran.docx", "A 56336-2025")</f>
        <v/>
      </c>
      <c r="AD161">
        <f>HYPERLINK("https://klasma.github.io/Logging_0883/tillsynsmail/A 56336-2025 tillsynsbegäran mail.docx", "A 56336-2025")</f>
        <v/>
      </c>
    </row>
    <row r="162" ht="15" customHeight="1">
      <c r="A162" t="inlineStr">
        <is>
          <t>A 59210-2022</t>
        </is>
      </c>
      <c r="B162" t="inlineStr">
        <is>
          <t>avverkningsanmälan</t>
        </is>
      </c>
      <c r="C162" t="inlineStr">
        <is>
          <t>Föryngringsavverkning</t>
        </is>
      </c>
      <c r="D162" s="1" t="n">
        <v>44904</v>
      </c>
      <c r="E162" s="1" t="n">
        <v>46323</v>
      </c>
      <c r="F162" t="inlineStr">
        <is>
          <t>KALMAR LÄN</t>
        </is>
      </c>
      <c r="G162" t="inlineStr">
        <is>
          <t>VÄSTERVIK</t>
        </is>
      </c>
      <c r="I162" t="n">
        <v>21.2</v>
      </c>
      <c r="J162" t="n">
        <v>0</v>
      </c>
      <c r="K162" t="n">
        <v>2</v>
      </c>
      <c r="L162" t="n">
        <v>1</v>
      </c>
      <c r="M162" t="n">
        <v>0</v>
      </c>
      <c r="N162" t="n">
        <v>0</v>
      </c>
      <c r="O162" t="n">
        <v>0</v>
      </c>
      <c r="P162" t="n">
        <v>0</v>
      </c>
      <c r="Q162" t="n">
        <v>1</v>
      </c>
      <c r="R162" t="n">
        <v>0</v>
      </c>
      <c r="S162" t="n">
        <v>3</v>
      </c>
      <c r="T162" t="n">
        <v>3</v>
      </c>
      <c r="U162" t="n">
        <v>0</v>
      </c>
      <c r="V162" s="2" t="inlineStr">
        <is>
          <t>Blekticka
Blomskägglav
Rostfläck</t>
        </is>
      </c>
      <c r="W162">
        <f>HYPERLINK("https://klasma.github.io/Logging_0883/artfynd/A 59210-2022 artfynd.xlsx", "A 59210-2022")</f>
        <v/>
      </c>
      <c r="X162">
        <f>HYPERLINK("https://klasma.github.io/Logging_0883/kartor/A 59210-2022 karta.png", "A 59210-2022")</f>
        <v/>
      </c>
      <c r="Y162">
        <f>HYPERLINK("https://klasma.github.io/Logging_0883/kartor_geotiff/A 59210-2022 georefererad karta.tif", "A 59210-2022")</f>
        <v/>
      </c>
      <c r="AA162">
        <f>HYPERLINK("https://klasma.github.io/Logging_0883/klagomål/A 59210-2022 FSC-klagomål.docx", "A 59210-2022")</f>
        <v/>
      </c>
      <c r="AB162">
        <f>HYPERLINK("https://klasma.github.io/Logging_0883/klagomålsmail/A 59210-2022 FSC-klagomål mail.docx", "A 59210-2022")</f>
        <v/>
      </c>
      <c r="AC162">
        <f>HYPERLINK("https://klasma.github.io/Logging_0883/tillsyn/A 59210-2022 tillsynsbegäran.docx", "A 59210-2022")</f>
        <v/>
      </c>
      <c r="AD162">
        <f>HYPERLINK("https://klasma.github.io/Logging_0883/tillsynsmail/A 59210-2022 tillsynsbegäran mail.docx", "A 59210-2022")</f>
        <v/>
      </c>
    </row>
    <row r="163" ht="15" customHeight="1">
      <c r="A163" t="inlineStr">
        <is>
          <t>A 56080-2025</t>
        </is>
      </c>
      <c r="B163" t="inlineStr">
        <is>
          <t>avverkningsanmälan</t>
        </is>
      </c>
      <c r="C163" t="inlineStr">
        <is>
          <t>Föryngringsavverkning</t>
        </is>
      </c>
      <c r="D163" s="1" t="n">
        <v>45973</v>
      </c>
      <c r="E163" s="1" t="n">
        <v>46323</v>
      </c>
      <c r="F163" t="inlineStr">
        <is>
          <t>KALMAR LÄN</t>
        </is>
      </c>
      <c r="G163" t="inlineStr">
        <is>
          <t>VÄSTERVIK</t>
        </is>
      </c>
      <c r="H163" t="inlineStr">
        <is>
          <t>Holmen skog AB</t>
        </is>
      </c>
      <c r="I163" t="n">
        <v>3</v>
      </c>
      <c r="J163" t="n">
        <v>2</v>
      </c>
      <c r="K163" t="n">
        <v>0</v>
      </c>
      <c r="L163" t="n">
        <v>2</v>
      </c>
      <c r="M163" t="n">
        <v>1</v>
      </c>
      <c r="N163" t="n">
        <v>0</v>
      </c>
      <c r="O163" t="n">
        <v>0</v>
      </c>
      <c r="P163" t="n">
        <v>0</v>
      </c>
      <c r="Q163" t="n">
        <v>3</v>
      </c>
      <c r="R163" t="n">
        <v>1</v>
      </c>
      <c r="S163" t="n">
        <v>3</v>
      </c>
      <c r="T163" t="n">
        <v>3</v>
      </c>
      <c r="U163" t="n">
        <v>3</v>
      </c>
      <c r="V163" s="2" t="inlineStr">
        <is>
          <t>Knärot
Dropptaggsvamp
Talltita</t>
        </is>
      </c>
      <c r="W163">
        <f>HYPERLINK("https://klasma.github.io/Logging_0883/artfynd/A 56080-2025 artfynd.xlsx", "A 56080-2025")</f>
        <v/>
      </c>
      <c r="X163">
        <f>HYPERLINK("https://klasma.github.io/Logging_0883/kartor/A 56080-2025 karta.png", "A 56080-2025")</f>
        <v/>
      </c>
      <c r="Y163">
        <f>HYPERLINK("https://klasma.github.io/Logging_0883/kartor_geotiff/A 56080-2025 georefererad karta.tif", "A 56080-2025")</f>
        <v/>
      </c>
      <c r="Z163">
        <f>HYPERLINK("https://klasma.github.io/Logging_0883/knärot/A 56080-2025 karta knärot.png", "A 56080-2025")</f>
        <v/>
      </c>
      <c r="AA163">
        <f>HYPERLINK("https://klasma.github.io/Logging_0883/klagomål/A 56080-2025 FSC-klagomål.docx", "A 56080-2025")</f>
        <v/>
      </c>
      <c r="AB163">
        <f>HYPERLINK("https://klasma.github.io/Logging_0883/klagomålsmail/A 56080-2025 FSC-klagomål mail.docx", "A 56080-2025")</f>
        <v/>
      </c>
      <c r="AC163">
        <f>HYPERLINK("https://klasma.github.io/Logging_0883/tillsyn/A 56080-2025 tillsynsbegäran.docx", "A 56080-2025")</f>
        <v/>
      </c>
      <c r="AD163">
        <f>HYPERLINK("https://klasma.github.io/Logging_0883/tillsynsmail/A 56080-2025 tillsynsbegäran mail.docx", "A 56080-2025")</f>
        <v/>
      </c>
      <c r="AE163">
        <f>HYPERLINK("https://klasma.github.io/Logging_0883/fåglar/A 56080-2025 prioriterade fågelarter.docx", "A 56080-2025")</f>
        <v/>
      </c>
    </row>
    <row r="164" ht="15" customHeight="1">
      <c r="A164" t="inlineStr">
        <is>
          <t>A 8620-2024</t>
        </is>
      </c>
      <c r="B164" t="inlineStr">
        <is>
          <t>avverkningsanmälan</t>
        </is>
      </c>
      <c r="C164" t="inlineStr">
        <is>
          <t>Föryngringsavverkning</t>
        </is>
      </c>
      <c r="D164" s="1" t="n">
        <v>45355</v>
      </c>
      <c r="E164" s="1" t="n">
        <v>46323</v>
      </c>
      <c r="F164" t="inlineStr">
        <is>
          <t>KALMAR LÄN</t>
        </is>
      </c>
      <c r="G164" t="inlineStr">
        <is>
          <t>VÄSTERVIK</t>
        </is>
      </c>
      <c r="I164" t="n">
        <v>0.9</v>
      </c>
      <c r="J164" t="n">
        <v>2</v>
      </c>
      <c r="K164" t="n">
        <v>1</v>
      </c>
      <c r="L164" t="n">
        <v>1</v>
      </c>
      <c r="M164" t="n">
        <v>1</v>
      </c>
      <c r="N164" t="n">
        <v>0</v>
      </c>
      <c r="O164" t="n">
        <v>0</v>
      </c>
      <c r="P164" t="n">
        <v>0</v>
      </c>
      <c r="Q164" t="n">
        <v>2</v>
      </c>
      <c r="R164" t="n">
        <v>1</v>
      </c>
      <c r="S164" t="n">
        <v>3</v>
      </c>
      <c r="T164" t="n">
        <v>22</v>
      </c>
      <c r="U164" t="n">
        <v>22</v>
      </c>
      <c r="V164" s="2" t="inlineStr">
        <is>
          <t>Knärot
Talltita
Blodticka</t>
        </is>
      </c>
      <c r="W164">
        <f>HYPERLINK("https://klasma.github.io/Logging_0883/artfynd/A 8620-2024 artfynd.xlsx", "A 8620-2024")</f>
        <v/>
      </c>
      <c r="X164">
        <f>HYPERLINK("https://klasma.github.io/Logging_0883/kartor/A 8620-2024 karta.png", "A 8620-2024")</f>
        <v/>
      </c>
      <c r="Y164">
        <f>HYPERLINK("https://klasma.github.io/Logging_0883/kartor_geotiff/A 8620-2024 georefererad karta.tif", "A 8620-2024")</f>
        <v/>
      </c>
      <c r="Z164">
        <f>HYPERLINK("https://klasma.github.io/Logging_0883/knärot/A 8620-2024 karta knärot.png", "A 8620-2024")</f>
        <v/>
      </c>
      <c r="AA164">
        <f>HYPERLINK("https://klasma.github.io/Logging_0883/klagomål/A 8620-2024 FSC-klagomål.docx", "A 8620-2024")</f>
        <v/>
      </c>
      <c r="AB164">
        <f>HYPERLINK("https://klasma.github.io/Logging_0883/klagomålsmail/A 8620-2024 FSC-klagomål mail.docx", "A 8620-2024")</f>
        <v/>
      </c>
      <c r="AC164">
        <f>HYPERLINK("https://klasma.github.io/Logging_0883/tillsyn/A 8620-2024 tillsynsbegäran.docx", "A 8620-2024")</f>
        <v/>
      </c>
      <c r="AD164">
        <f>HYPERLINK("https://klasma.github.io/Logging_0883/tillsynsmail/A 8620-2024 tillsynsbegäran mail.docx", "A 8620-2024")</f>
        <v/>
      </c>
      <c r="AE164">
        <f>HYPERLINK("https://klasma.github.io/Logging_0883/fåglar/A 8620-2024 prioriterade fågelarter.docx", "A 8620-2024")</f>
        <v/>
      </c>
    </row>
    <row r="165" ht="15" customHeight="1">
      <c r="A165" t="inlineStr">
        <is>
          <t>A 41711-2026</t>
        </is>
      </c>
      <c r="B165" t="inlineStr">
        <is>
          <t>avverkningsanmälan</t>
        </is>
      </c>
      <c r="C165" t="inlineStr">
        <is>
          <t>Föryngringsavverkning</t>
        </is>
      </c>
      <c r="D165" s="1" t="n">
        <v>46302</v>
      </c>
      <c r="E165" s="1" t="n">
        <v>46323</v>
      </c>
      <c r="F165" t="inlineStr">
        <is>
          <t>KALMAR LÄN</t>
        </is>
      </c>
      <c r="G165" t="inlineStr">
        <is>
          <t>VÄSTERVIK</t>
        </is>
      </c>
      <c r="I165" t="n">
        <v>2.1</v>
      </c>
      <c r="J165" t="n">
        <v>1</v>
      </c>
      <c r="K165" t="n">
        <v>0</v>
      </c>
      <c r="L165" t="n">
        <v>1</v>
      </c>
      <c r="M165" t="n">
        <v>0</v>
      </c>
      <c r="N165" t="n">
        <v>0</v>
      </c>
      <c r="O165" t="n">
        <v>0</v>
      </c>
      <c r="P165" t="n">
        <v>0</v>
      </c>
      <c r="Q165" t="n">
        <v>1</v>
      </c>
      <c r="R165" t="n">
        <v>0</v>
      </c>
      <c r="S165" t="n">
        <v>3</v>
      </c>
      <c r="T165" t="n">
        <v>10</v>
      </c>
      <c r="U165" t="n">
        <v>0</v>
      </c>
      <c r="V165" s="2" t="inlineStr">
        <is>
          <t>Mindre hackspett
Kransmossa
Linnea</t>
        </is>
      </c>
      <c r="W165">
        <f>HYPERLINK("https://klasma.github.io/Logging_0883/artfynd/A 41711-2026 artfynd.xlsx", "A 41711-2026")</f>
        <v/>
      </c>
      <c r="X165">
        <f>HYPERLINK("https://klasma.github.io/Logging_0883/kartor/A 41711-2026 karta.png", "A 41711-2026")</f>
        <v/>
      </c>
      <c r="Y165">
        <f>HYPERLINK("https://klasma.github.io/Logging_0883/kartor_geotiff/A 41711-2026 georefererad karta.tif", "A 41711-2026")</f>
        <v/>
      </c>
      <c r="AA165">
        <f>HYPERLINK("https://klasma.github.io/Logging_0883/klagomål/A 41711-2026 FSC-klagomål.docx", "A 41711-2026")</f>
        <v/>
      </c>
      <c r="AB165">
        <f>HYPERLINK("https://klasma.github.io/Logging_0883/klagomålsmail/A 41711-2026 FSC-klagomål mail.docx", "A 41711-2026")</f>
        <v/>
      </c>
      <c r="AC165">
        <f>HYPERLINK("https://klasma.github.io/Logging_0883/tillsyn/A 41711-2026 tillsynsbegäran.docx", "A 41711-2026")</f>
        <v/>
      </c>
      <c r="AD165">
        <f>HYPERLINK("https://klasma.github.io/Logging_0883/tillsynsmail/A 41711-2026 tillsynsbegäran mail.docx", "A 41711-2026")</f>
        <v/>
      </c>
      <c r="AE165">
        <f>HYPERLINK("https://klasma.github.io/Logging_0883/fåglar/A 41711-2026 prioriterade fågelarter.docx", "A 41711-2026")</f>
        <v/>
      </c>
    </row>
    <row r="166" ht="15" customHeight="1">
      <c r="A166" t="inlineStr">
        <is>
          <t>A 32394-2026</t>
        </is>
      </c>
      <c r="B166" t="inlineStr">
        <is>
          <t>avverkningsanmälan</t>
        </is>
      </c>
      <c r="C166" t="inlineStr">
        <is>
          <t>Föryngringsavverkning</t>
        </is>
      </c>
      <c r="D166" s="1" t="n">
        <v>46238</v>
      </c>
      <c r="E166" s="1" t="n">
        <v>46323</v>
      </c>
      <c r="F166" t="inlineStr">
        <is>
          <t>KALMAR LÄN</t>
        </is>
      </c>
      <c r="G166" t="inlineStr">
        <is>
          <t>VÄSTERVIK</t>
        </is>
      </c>
      <c r="I166" t="n">
        <v>1.5</v>
      </c>
      <c r="J166" t="n">
        <v>1</v>
      </c>
      <c r="K166" t="n">
        <v>0</v>
      </c>
      <c r="L166" t="n">
        <v>2</v>
      </c>
      <c r="M166" t="n">
        <v>0</v>
      </c>
      <c r="N166" t="n">
        <v>0</v>
      </c>
      <c r="O166" t="n">
        <v>0</v>
      </c>
      <c r="P166" t="n">
        <v>0</v>
      </c>
      <c r="Q166" t="n">
        <v>2</v>
      </c>
      <c r="R166" t="n">
        <v>0</v>
      </c>
      <c r="S166" t="n">
        <v>3</v>
      </c>
      <c r="T166" t="n">
        <v>5</v>
      </c>
      <c r="U166" t="n">
        <v>5</v>
      </c>
      <c r="V166" s="2" t="inlineStr">
        <is>
          <t>Tallticka
Talltita
Timmerticka</t>
        </is>
      </c>
      <c r="W166">
        <f>HYPERLINK("https://klasma.github.io/Logging_0883/artfynd/A 32394-2026 artfynd.xlsx", "A 32394-2026")</f>
        <v/>
      </c>
      <c r="X166">
        <f>HYPERLINK("https://klasma.github.io/Logging_0883/kartor/A 32394-2026 karta.png", "A 32394-2026")</f>
        <v/>
      </c>
      <c r="Y166">
        <f>HYPERLINK("https://klasma.github.io/Logging_0883/kartor_geotiff/A 32394-2026 georefererad karta.tif", "A 32394-2026")</f>
        <v/>
      </c>
      <c r="AA166">
        <f>HYPERLINK("https://klasma.github.io/Logging_0883/klagomål/A 32394-2026 FSC-klagomål.docx", "A 32394-2026")</f>
        <v/>
      </c>
      <c r="AB166">
        <f>HYPERLINK("https://klasma.github.io/Logging_0883/klagomålsmail/A 32394-2026 FSC-klagomål mail.docx", "A 32394-2026")</f>
        <v/>
      </c>
      <c r="AC166">
        <f>HYPERLINK("https://klasma.github.io/Logging_0883/tillsyn/A 32394-2026 tillsynsbegäran.docx", "A 32394-2026")</f>
        <v/>
      </c>
      <c r="AD166">
        <f>HYPERLINK("https://klasma.github.io/Logging_0883/tillsynsmail/A 32394-2026 tillsynsbegäran mail.docx", "A 32394-2026")</f>
        <v/>
      </c>
      <c r="AE166">
        <f>HYPERLINK("https://klasma.github.io/Logging_0883/fåglar/A 32394-2026 prioriterade fågelarter.docx", "A 32394-2026")</f>
        <v/>
      </c>
    </row>
    <row r="167" ht="15" customHeight="1">
      <c r="A167" t="inlineStr">
        <is>
          <t>A 46157-2025</t>
        </is>
      </c>
      <c r="B167" t="inlineStr">
        <is>
          <t>avverkningsanmälan</t>
        </is>
      </c>
      <c r="C167" t="inlineStr">
        <is>
          <t>Föryngringsavverkning</t>
        </is>
      </c>
      <c r="D167" s="1" t="n">
        <v>45924</v>
      </c>
      <c r="E167" s="1" t="n">
        <v>46323</v>
      </c>
      <c r="F167" t="inlineStr">
        <is>
          <t>KALMAR LÄN</t>
        </is>
      </c>
      <c r="G167" t="inlineStr">
        <is>
          <t>VÄSTERVIK</t>
        </is>
      </c>
      <c r="I167" t="n">
        <v>3.1</v>
      </c>
      <c r="J167" t="n">
        <v>2</v>
      </c>
      <c r="K167" t="n">
        <v>0</v>
      </c>
      <c r="L167" t="n">
        <v>1</v>
      </c>
      <c r="M167" t="n">
        <v>0</v>
      </c>
      <c r="N167" t="n">
        <v>0</v>
      </c>
      <c r="O167" t="n">
        <v>0</v>
      </c>
      <c r="P167" t="n">
        <v>0</v>
      </c>
      <c r="Q167" t="n">
        <v>1</v>
      </c>
      <c r="R167" t="n">
        <v>0</v>
      </c>
      <c r="S167" t="n">
        <v>3</v>
      </c>
      <c r="T167" t="n">
        <v>3</v>
      </c>
      <c r="U167" t="n">
        <v>3</v>
      </c>
      <c r="V167" s="2" t="inlineStr">
        <is>
          <t>Fjällig taggsvamp s.str.
Spillkråka
Kungsfågel</t>
        </is>
      </c>
      <c r="W167">
        <f>HYPERLINK("https://klasma.github.io/Logging_0883/artfynd/A 46157-2025 artfynd.xlsx", "A 46157-2025")</f>
        <v/>
      </c>
      <c r="X167">
        <f>HYPERLINK("https://klasma.github.io/Logging_0883/kartor/A 46157-2025 karta.png", "A 46157-2025")</f>
        <v/>
      </c>
      <c r="Y167">
        <f>HYPERLINK("https://klasma.github.io/Logging_0883/kartor_geotiff/A 46157-2025 georefererad karta.tif", "A 46157-2025")</f>
        <v/>
      </c>
      <c r="AA167">
        <f>HYPERLINK("https://klasma.github.io/Logging_0883/klagomål/A 46157-2025 FSC-klagomål.docx", "A 46157-2025")</f>
        <v/>
      </c>
      <c r="AB167">
        <f>HYPERLINK("https://klasma.github.io/Logging_0883/klagomålsmail/A 46157-2025 FSC-klagomål mail.docx", "A 46157-2025")</f>
        <v/>
      </c>
      <c r="AC167">
        <f>HYPERLINK("https://klasma.github.io/Logging_0883/tillsyn/A 46157-2025 tillsynsbegäran.docx", "A 46157-2025")</f>
        <v/>
      </c>
      <c r="AD167">
        <f>HYPERLINK("https://klasma.github.io/Logging_0883/tillsynsmail/A 46157-2025 tillsynsbegäran mail.docx", "A 46157-2025")</f>
        <v/>
      </c>
      <c r="AE167">
        <f>HYPERLINK("https://klasma.github.io/Logging_0883/fåglar/A 46157-2025 prioriterade fågelarter.docx", "A 46157-2025")</f>
        <v/>
      </c>
    </row>
    <row r="168" ht="15" customHeight="1">
      <c r="A168" t="inlineStr">
        <is>
          <t>A 28505-2026</t>
        </is>
      </c>
      <c r="B168" t="inlineStr">
        <is>
          <t>avverkningsanmälan</t>
        </is>
      </c>
      <c r="C168" t="inlineStr">
        <is>
          <t>Föryngringsavverkning</t>
        </is>
      </c>
      <c r="D168" s="1" t="n">
        <v>46197</v>
      </c>
      <c r="E168" s="1" t="n">
        <v>46323</v>
      </c>
      <c r="F168" t="inlineStr">
        <is>
          <t>KALMAR LÄN</t>
        </is>
      </c>
      <c r="G168" t="inlineStr">
        <is>
          <t>VÄSTERVIK</t>
        </is>
      </c>
      <c r="I168" t="n">
        <v>2.3</v>
      </c>
      <c r="J168" t="n">
        <v>2</v>
      </c>
      <c r="K168" t="n">
        <v>1</v>
      </c>
      <c r="L168" t="n">
        <v>1</v>
      </c>
      <c r="M168" t="n">
        <v>0</v>
      </c>
      <c r="N168" t="n">
        <v>0</v>
      </c>
      <c r="O168" t="n">
        <v>0</v>
      </c>
      <c r="P168" t="n">
        <v>0</v>
      </c>
      <c r="Q168" t="n">
        <v>1</v>
      </c>
      <c r="R168" t="n">
        <v>0</v>
      </c>
      <c r="S168" t="n">
        <v>3</v>
      </c>
      <c r="T168" t="n">
        <v>10</v>
      </c>
      <c r="U168" t="n">
        <v>10</v>
      </c>
      <c r="V168" s="2" t="inlineStr">
        <is>
          <t>Talltita
Hasselticka
Spillkråka</t>
        </is>
      </c>
      <c r="W168">
        <f>HYPERLINK("https://klasma.github.io/Logging_0883/artfynd/A 28505-2026 artfynd.xlsx", "A 28505-2026")</f>
        <v/>
      </c>
      <c r="X168">
        <f>HYPERLINK("https://klasma.github.io/Logging_0883/kartor/A 28505-2026 karta.png", "A 28505-2026")</f>
        <v/>
      </c>
      <c r="Y168">
        <f>HYPERLINK("https://klasma.github.io/Logging_0883/kartor_geotiff/A 28505-2026 georefererad karta.tif", "A 28505-2026")</f>
        <v/>
      </c>
      <c r="AA168">
        <f>HYPERLINK("https://klasma.github.io/Logging_0883/klagomål/A 28505-2026 FSC-klagomål.docx", "A 28505-2026")</f>
        <v/>
      </c>
      <c r="AB168">
        <f>HYPERLINK("https://klasma.github.io/Logging_0883/klagomålsmail/A 28505-2026 FSC-klagomål mail.docx", "A 28505-2026")</f>
        <v/>
      </c>
      <c r="AC168">
        <f>HYPERLINK("https://klasma.github.io/Logging_0883/tillsyn/A 28505-2026 tillsynsbegäran.docx", "A 28505-2026")</f>
        <v/>
      </c>
      <c r="AD168">
        <f>HYPERLINK("https://klasma.github.io/Logging_0883/tillsynsmail/A 28505-2026 tillsynsbegäran mail.docx", "A 28505-2026")</f>
        <v/>
      </c>
      <c r="AE168">
        <f>HYPERLINK("https://klasma.github.io/Logging_0883/fåglar/A 28505-2026 prioriterade fågelarter.docx", "A 28505-2026")</f>
        <v/>
      </c>
    </row>
    <row r="169" ht="15" customHeight="1">
      <c r="A169" t="inlineStr">
        <is>
          <t>A 53075-2024</t>
        </is>
      </c>
      <c r="B169" t="inlineStr">
        <is>
          <t>avverkningsanmälan</t>
        </is>
      </c>
      <c r="C169" t="inlineStr">
        <is>
          <t>Föryngringsavverkning</t>
        </is>
      </c>
      <c r="D169" s="1" t="n">
        <v>45611</v>
      </c>
      <c r="E169" s="1" t="n">
        <v>46323</v>
      </c>
      <c r="F169" t="inlineStr">
        <is>
          <t>KALMAR LÄN</t>
        </is>
      </c>
      <c r="G169" t="inlineStr">
        <is>
          <t>VÄSTERVIK</t>
        </is>
      </c>
      <c r="H169" t="inlineStr">
        <is>
          <t>Holmen skog AB</t>
        </is>
      </c>
      <c r="I169" t="n">
        <v>8.5</v>
      </c>
      <c r="J169" t="n">
        <v>2</v>
      </c>
      <c r="K169" t="n">
        <v>1</v>
      </c>
      <c r="L169" t="n">
        <v>1</v>
      </c>
      <c r="M169" t="n">
        <v>0</v>
      </c>
      <c r="N169" t="n">
        <v>0</v>
      </c>
      <c r="O169" t="n">
        <v>0</v>
      </c>
      <c r="P169" t="n">
        <v>0</v>
      </c>
      <c r="Q169" t="n">
        <v>1</v>
      </c>
      <c r="R169" t="n">
        <v>0</v>
      </c>
      <c r="S169" t="n">
        <v>3</v>
      </c>
      <c r="T169" t="n">
        <v>3</v>
      </c>
      <c r="U169" t="n">
        <v>2</v>
      </c>
      <c r="V169" s="2" t="inlineStr">
        <is>
          <t>Talltita
Brandticka
Tjäder</t>
        </is>
      </c>
      <c r="W169">
        <f>HYPERLINK("https://klasma.github.io/Logging_0883/artfynd/A 53075-2024 artfynd.xlsx", "A 53075-2024")</f>
        <v/>
      </c>
      <c r="X169">
        <f>HYPERLINK("https://klasma.github.io/Logging_0883/kartor/A 53075-2024 karta.png", "A 53075-2024")</f>
        <v/>
      </c>
      <c r="Y169">
        <f>HYPERLINK("https://klasma.github.io/Logging_0883/kartor_geotiff/A 53075-2024 georefererad karta.tif", "A 53075-2024")</f>
        <v/>
      </c>
      <c r="AA169">
        <f>HYPERLINK("https://klasma.github.io/Logging_0883/klagomål/A 53075-2024 FSC-klagomål.docx", "A 53075-2024")</f>
        <v/>
      </c>
      <c r="AB169">
        <f>HYPERLINK("https://klasma.github.io/Logging_0883/klagomålsmail/A 53075-2024 FSC-klagomål mail.docx", "A 53075-2024")</f>
        <v/>
      </c>
      <c r="AC169">
        <f>HYPERLINK("https://klasma.github.io/Logging_0883/tillsyn/A 53075-2024 tillsynsbegäran.docx", "A 53075-2024")</f>
        <v/>
      </c>
      <c r="AD169">
        <f>HYPERLINK("https://klasma.github.io/Logging_0883/tillsynsmail/A 53075-2024 tillsynsbegäran mail.docx", "A 53075-2024")</f>
        <v/>
      </c>
      <c r="AE169">
        <f>HYPERLINK("https://klasma.github.io/Logging_0883/fåglar/A 53075-2024 prioriterade fågelarter.docx", "A 53075-2024")</f>
        <v/>
      </c>
    </row>
    <row r="170" ht="15" customHeight="1">
      <c r="A170" t="inlineStr">
        <is>
          <t>A 52992-2024</t>
        </is>
      </c>
      <c r="B170" t="inlineStr">
        <is>
          <t>avverkningsanmälan</t>
        </is>
      </c>
      <c r="C170" t="inlineStr">
        <is>
          <t>Föryngringsavverkning</t>
        </is>
      </c>
      <c r="D170" s="1" t="n">
        <v>45611</v>
      </c>
      <c r="E170" s="1" t="n">
        <v>46323</v>
      </c>
      <c r="F170" t="inlineStr">
        <is>
          <t>KALMAR LÄN</t>
        </is>
      </c>
      <c r="G170" t="inlineStr">
        <is>
          <t>VÄSTERVIK</t>
        </is>
      </c>
      <c r="H170" t="inlineStr">
        <is>
          <t>Holmen skog AB</t>
        </is>
      </c>
      <c r="I170" t="n">
        <v>5.5</v>
      </c>
      <c r="J170" t="n">
        <v>2</v>
      </c>
      <c r="K170" t="n">
        <v>1</v>
      </c>
      <c r="L170" t="n">
        <v>1</v>
      </c>
      <c r="M170" t="n">
        <v>0</v>
      </c>
      <c r="N170" t="n">
        <v>0</v>
      </c>
      <c r="O170" t="n">
        <v>0</v>
      </c>
      <c r="P170" t="n">
        <v>0</v>
      </c>
      <c r="Q170" t="n">
        <v>1</v>
      </c>
      <c r="R170" t="n">
        <v>0</v>
      </c>
      <c r="S170" t="n">
        <v>3</v>
      </c>
      <c r="T170" t="n">
        <v>4</v>
      </c>
      <c r="U170" t="n">
        <v>4</v>
      </c>
      <c r="V170" s="2" t="inlineStr">
        <is>
          <t>Talltita
Brandticka
Spillkråka</t>
        </is>
      </c>
      <c r="W170">
        <f>HYPERLINK("https://klasma.github.io/Logging_0883/artfynd/A 52992-2024 artfynd.xlsx", "A 52992-2024")</f>
        <v/>
      </c>
      <c r="X170">
        <f>HYPERLINK("https://klasma.github.io/Logging_0883/kartor/A 52992-2024 karta.png", "A 52992-2024")</f>
        <v/>
      </c>
      <c r="Y170">
        <f>HYPERLINK("https://klasma.github.io/Logging_0883/kartor_geotiff/A 52992-2024 georefererad karta.tif", "A 52992-2024")</f>
        <v/>
      </c>
      <c r="AA170">
        <f>HYPERLINK("https://klasma.github.io/Logging_0883/klagomål/A 52992-2024 FSC-klagomål.docx", "A 52992-2024")</f>
        <v/>
      </c>
      <c r="AB170">
        <f>HYPERLINK("https://klasma.github.io/Logging_0883/klagomålsmail/A 52992-2024 FSC-klagomål mail.docx", "A 52992-2024")</f>
        <v/>
      </c>
      <c r="AC170">
        <f>HYPERLINK("https://klasma.github.io/Logging_0883/tillsyn/A 52992-2024 tillsynsbegäran.docx", "A 52992-2024")</f>
        <v/>
      </c>
      <c r="AD170">
        <f>HYPERLINK("https://klasma.github.io/Logging_0883/tillsynsmail/A 52992-2024 tillsynsbegäran mail.docx", "A 52992-2024")</f>
        <v/>
      </c>
      <c r="AE170">
        <f>HYPERLINK("https://klasma.github.io/Logging_0883/fåglar/A 52992-2024 prioriterade fågelarter.docx", "A 52992-2024")</f>
        <v/>
      </c>
    </row>
    <row r="171" ht="15" customHeight="1">
      <c r="A171" t="inlineStr">
        <is>
          <t>A 48318-2024</t>
        </is>
      </c>
      <c r="B171" t="inlineStr">
        <is>
          <t>avverkningsanmälan</t>
        </is>
      </c>
      <c r="C171" t="inlineStr">
        <is>
          <t>Föryngringsavverkning</t>
        </is>
      </c>
      <c r="D171" s="1" t="n">
        <v>45590</v>
      </c>
      <c r="E171" s="1" t="n">
        <v>46323</v>
      </c>
      <c r="F171" t="inlineStr">
        <is>
          <t>KALMAR LÄN</t>
        </is>
      </c>
      <c r="G171" t="inlineStr">
        <is>
          <t>VÄSTERVIK</t>
        </is>
      </c>
      <c r="H171" t="inlineStr">
        <is>
          <t>Holmen skog AB</t>
        </is>
      </c>
      <c r="I171" t="n">
        <v>4</v>
      </c>
      <c r="J171" t="n">
        <v>3</v>
      </c>
      <c r="K171" t="n">
        <v>0</v>
      </c>
      <c r="L171" t="n">
        <v>2</v>
      </c>
      <c r="M171" t="n">
        <v>0</v>
      </c>
      <c r="N171" t="n">
        <v>0</v>
      </c>
      <c r="O171" t="n">
        <v>0</v>
      </c>
      <c r="P171" t="n">
        <v>0</v>
      </c>
      <c r="Q171" t="n">
        <v>2</v>
      </c>
      <c r="R171" t="n">
        <v>0</v>
      </c>
      <c r="S171" t="n">
        <v>3</v>
      </c>
      <c r="T171" t="n">
        <v>4</v>
      </c>
      <c r="U171" t="n">
        <v>0</v>
      </c>
      <c r="V171" s="2" t="inlineStr">
        <is>
          <t>Entita
Talltita
Spillkråka</t>
        </is>
      </c>
      <c r="W171">
        <f>HYPERLINK("https://klasma.github.io/Logging_0883/artfynd/A 48318-2024 artfynd.xlsx", "A 48318-2024")</f>
        <v/>
      </c>
      <c r="X171">
        <f>HYPERLINK("https://klasma.github.io/Logging_0883/kartor/A 48318-2024 karta.png", "A 48318-2024")</f>
        <v/>
      </c>
      <c r="Y171">
        <f>HYPERLINK("https://klasma.github.io/Logging_0883/kartor_geotiff/A 48318-2024 georefererad karta.tif", "A 48318-2024")</f>
        <v/>
      </c>
      <c r="Z171">
        <f>HYPERLINK("https://klasma.github.io/Logging_0883/knärot/A 48318-2024 karta knärot.png", "A 48318-2024")</f>
        <v/>
      </c>
      <c r="AA171">
        <f>HYPERLINK("https://klasma.github.io/Logging_0883/klagomål/A 48318-2024 FSC-klagomål.docx", "A 48318-2024")</f>
        <v/>
      </c>
      <c r="AB171">
        <f>HYPERLINK("https://klasma.github.io/Logging_0883/klagomålsmail/A 48318-2024 FSC-klagomål mail.docx", "A 48318-2024")</f>
        <v/>
      </c>
      <c r="AC171">
        <f>HYPERLINK("https://klasma.github.io/Logging_0883/tillsyn/A 48318-2024 tillsynsbegäran.docx", "A 48318-2024")</f>
        <v/>
      </c>
      <c r="AD171">
        <f>HYPERLINK("https://klasma.github.io/Logging_0883/tillsynsmail/A 48318-2024 tillsynsbegäran mail.docx", "A 48318-2024")</f>
        <v/>
      </c>
      <c r="AE171">
        <f>HYPERLINK("https://klasma.github.io/Logging_0883/fåglar/A 48318-2024 prioriterade fågelarter.docx", "A 48318-2024")</f>
        <v/>
      </c>
    </row>
    <row r="172" ht="15" customHeight="1">
      <c r="A172" t="inlineStr">
        <is>
          <t>A 12198-2026</t>
        </is>
      </c>
      <c r="B172" t="inlineStr">
        <is>
          <t>avverkningsanmälan</t>
        </is>
      </c>
      <c r="C172" t="inlineStr">
        <is>
          <t>Föryngringsavverkning</t>
        </is>
      </c>
      <c r="D172" s="1" t="n">
        <v>46086</v>
      </c>
      <c r="E172" s="1" t="n">
        <v>46323</v>
      </c>
      <c r="F172" t="inlineStr">
        <is>
          <t>KALMAR LÄN</t>
        </is>
      </c>
      <c r="G172" t="inlineStr">
        <is>
          <t>VÄSTERVIK</t>
        </is>
      </c>
      <c r="H172" t="inlineStr">
        <is>
          <t>Övriga Aktiebolag</t>
        </is>
      </c>
      <c r="I172" t="n">
        <v>3.7</v>
      </c>
      <c r="J172" t="n">
        <v>1</v>
      </c>
      <c r="K172" t="n">
        <v>1</v>
      </c>
      <c r="L172" t="n">
        <v>0</v>
      </c>
      <c r="M172" t="n">
        <v>1</v>
      </c>
      <c r="N172" t="n">
        <v>0</v>
      </c>
      <c r="O172" t="n">
        <v>0</v>
      </c>
      <c r="P172" t="n">
        <v>0</v>
      </c>
      <c r="Q172" t="n">
        <v>1</v>
      </c>
      <c r="R172" t="n">
        <v>1</v>
      </c>
      <c r="S172" t="n">
        <v>3</v>
      </c>
      <c r="T172" t="n">
        <v>4</v>
      </c>
      <c r="U172" t="n">
        <v>4</v>
      </c>
      <c r="V172" s="2" t="inlineStr">
        <is>
          <t>Knärot
Grönpyrola
Timmerticka</t>
        </is>
      </c>
      <c r="W172">
        <f>HYPERLINK("https://klasma.github.io/Logging_0883/artfynd/A 12198-2026 artfynd.xlsx", "A 12198-2026")</f>
        <v/>
      </c>
      <c r="X172">
        <f>HYPERLINK("https://klasma.github.io/Logging_0883/kartor/A 12198-2026 karta.png", "A 12198-2026")</f>
        <v/>
      </c>
      <c r="Y172">
        <f>HYPERLINK("https://klasma.github.io/Logging_0883/kartor_geotiff/A 12198-2026 georefererad karta.tif", "A 12198-2026")</f>
        <v/>
      </c>
      <c r="Z172">
        <f>HYPERLINK("https://klasma.github.io/Logging_0883/knärot/A 12198-2026 karta knärot.png", "A 12198-2026")</f>
        <v/>
      </c>
      <c r="AA172">
        <f>HYPERLINK("https://klasma.github.io/Logging_0883/klagomål/A 12198-2026 FSC-klagomål.docx", "A 12198-2026")</f>
        <v/>
      </c>
      <c r="AB172">
        <f>HYPERLINK("https://klasma.github.io/Logging_0883/klagomålsmail/A 12198-2026 FSC-klagomål mail.docx", "A 12198-2026")</f>
        <v/>
      </c>
      <c r="AC172">
        <f>HYPERLINK("https://klasma.github.io/Logging_0883/tillsyn/A 12198-2026 tillsynsbegäran.docx", "A 12198-2026")</f>
        <v/>
      </c>
      <c r="AD172">
        <f>HYPERLINK("https://klasma.github.io/Logging_0883/tillsynsmail/A 12198-2026 tillsynsbegäran mail.docx", "A 12198-2026")</f>
        <v/>
      </c>
    </row>
    <row r="173" ht="15" customHeight="1">
      <c r="A173" t="inlineStr">
        <is>
          <t>A 11604-2026</t>
        </is>
      </c>
      <c r="B173" t="inlineStr">
        <is>
          <t>avverkningsanmälan</t>
        </is>
      </c>
      <c r="C173" t="inlineStr">
        <is>
          <t>Föryngringsavverkning</t>
        </is>
      </c>
      <c r="D173" s="1" t="n">
        <v>46084</v>
      </c>
      <c r="E173" s="1" t="n">
        <v>46323</v>
      </c>
      <c r="F173" t="inlineStr">
        <is>
          <t>KALMAR LÄN</t>
        </is>
      </c>
      <c r="G173" t="inlineStr">
        <is>
          <t>VÄSTERVIK</t>
        </is>
      </c>
      <c r="I173" t="n">
        <v>1.3</v>
      </c>
      <c r="J173" t="n">
        <v>1</v>
      </c>
      <c r="K173" t="n">
        <v>1</v>
      </c>
      <c r="L173" t="n">
        <v>2</v>
      </c>
      <c r="M173" t="n">
        <v>0</v>
      </c>
      <c r="N173" t="n">
        <v>0</v>
      </c>
      <c r="O173" t="n">
        <v>0</v>
      </c>
      <c r="P173" t="n">
        <v>0</v>
      </c>
      <c r="Q173" t="n">
        <v>2</v>
      </c>
      <c r="R173" t="n">
        <v>0</v>
      </c>
      <c r="S173" t="n">
        <v>3</v>
      </c>
      <c r="T173" t="n">
        <v>5</v>
      </c>
      <c r="U173" t="n">
        <v>4</v>
      </c>
      <c r="V173" s="2" t="inlineStr">
        <is>
          <t>Tallticka
Talltita
Blåmossa</t>
        </is>
      </c>
      <c r="W173">
        <f>HYPERLINK("https://klasma.github.io/Logging_0883/artfynd/A 11604-2026 artfynd.xlsx", "A 11604-2026")</f>
        <v/>
      </c>
      <c r="X173">
        <f>HYPERLINK("https://klasma.github.io/Logging_0883/kartor/A 11604-2026 karta.png", "A 11604-2026")</f>
        <v/>
      </c>
      <c r="Y173">
        <f>HYPERLINK("https://klasma.github.io/Logging_0883/kartor_geotiff/A 11604-2026 georefererad karta.tif", "A 11604-2026")</f>
        <v/>
      </c>
      <c r="AA173">
        <f>HYPERLINK("https://klasma.github.io/Logging_0883/klagomål/A 11604-2026 FSC-klagomål.docx", "A 11604-2026")</f>
        <v/>
      </c>
      <c r="AB173">
        <f>HYPERLINK("https://klasma.github.io/Logging_0883/klagomålsmail/A 11604-2026 FSC-klagomål mail.docx", "A 11604-2026")</f>
        <v/>
      </c>
      <c r="AC173">
        <f>HYPERLINK("https://klasma.github.io/Logging_0883/tillsyn/A 11604-2026 tillsynsbegäran.docx", "A 11604-2026")</f>
        <v/>
      </c>
      <c r="AD173">
        <f>HYPERLINK("https://klasma.github.io/Logging_0883/tillsynsmail/A 11604-2026 tillsynsbegäran mail.docx", "A 11604-2026")</f>
        <v/>
      </c>
      <c r="AE173">
        <f>HYPERLINK("https://klasma.github.io/Logging_0883/fåglar/A 11604-2026 prioriterade fågelarter.docx", "A 11604-2026")</f>
        <v/>
      </c>
    </row>
    <row r="174" ht="15" customHeight="1">
      <c r="A174" t="inlineStr">
        <is>
          <t>A 34119-2023</t>
        </is>
      </c>
      <c r="B174" t="inlineStr">
        <is>
          <t>avverkningsanmälan</t>
        </is>
      </c>
      <c r="C174" t="inlineStr">
        <is>
          <t>Föryngringsavverkning</t>
        </is>
      </c>
      <c r="D174" s="1" t="n">
        <v>45135</v>
      </c>
      <c r="E174" s="1" t="n">
        <v>46323</v>
      </c>
      <c r="F174" t="inlineStr">
        <is>
          <t>KALMAR LÄN</t>
        </is>
      </c>
      <c r="G174" t="inlineStr">
        <is>
          <t>VÄSTERVIK</t>
        </is>
      </c>
      <c r="I174" t="n">
        <v>3.1</v>
      </c>
      <c r="J174" t="n">
        <v>1</v>
      </c>
      <c r="K174" t="n">
        <v>2</v>
      </c>
      <c r="L174" t="n">
        <v>0</v>
      </c>
      <c r="M174" t="n">
        <v>1</v>
      </c>
      <c r="N174" t="n">
        <v>0</v>
      </c>
      <c r="O174" t="n">
        <v>0</v>
      </c>
      <c r="P174" t="n">
        <v>0</v>
      </c>
      <c r="Q174" t="n">
        <v>1</v>
      </c>
      <c r="R174" t="n">
        <v>1</v>
      </c>
      <c r="S174" t="n">
        <v>3</v>
      </c>
      <c r="T174" t="n">
        <v>12</v>
      </c>
      <c r="U174" t="n">
        <v>12</v>
      </c>
      <c r="V174" s="2" t="inlineStr">
        <is>
          <t>Knärot
Blomkålssvamp
Grönpyrola</t>
        </is>
      </c>
      <c r="W174">
        <f>HYPERLINK("https://klasma.github.io/Logging_0883/artfynd/A 34119-2023 artfynd.xlsx", "A 34119-2023")</f>
        <v/>
      </c>
      <c r="X174">
        <f>HYPERLINK("https://klasma.github.io/Logging_0883/kartor/A 34119-2023 karta.png", "A 34119-2023")</f>
        <v/>
      </c>
      <c r="Y174">
        <f>HYPERLINK("https://klasma.github.io/Logging_0883/kartor_geotiff/A 34119-2023 georefererad karta.tif", "A 34119-2023")</f>
        <v/>
      </c>
      <c r="Z174">
        <f>HYPERLINK("https://klasma.github.io/Logging_0883/knärot/A 34119-2023 karta knärot.png", "A 34119-2023")</f>
        <v/>
      </c>
      <c r="AA174">
        <f>HYPERLINK("https://klasma.github.io/Logging_0883/klagomål/A 34119-2023 FSC-klagomål.docx", "A 34119-2023")</f>
        <v/>
      </c>
      <c r="AB174">
        <f>HYPERLINK("https://klasma.github.io/Logging_0883/klagomålsmail/A 34119-2023 FSC-klagomål mail.docx", "A 34119-2023")</f>
        <v/>
      </c>
      <c r="AC174">
        <f>HYPERLINK("https://klasma.github.io/Logging_0883/tillsyn/A 34119-2023 tillsynsbegäran.docx", "A 34119-2023")</f>
        <v/>
      </c>
      <c r="AD174">
        <f>HYPERLINK("https://klasma.github.io/Logging_0883/tillsynsmail/A 34119-2023 tillsynsbegäran mail.docx", "A 34119-2023")</f>
        <v/>
      </c>
    </row>
    <row r="175" ht="15" customHeight="1">
      <c r="A175" t="inlineStr">
        <is>
          <t>A 1879-2026</t>
        </is>
      </c>
      <c r="B175" t="inlineStr">
        <is>
          <t>avverkningsanmälan</t>
        </is>
      </c>
      <c r="C175" t="inlineStr">
        <is>
          <t>Föryngringsavverkning</t>
        </is>
      </c>
      <c r="D175" s="1" t="n">
        <v>46035</v>
      </c>
      <c r="E175" s="1" t="n">
        <v>46323</v>
      </c>
      <c r="F175" t="inlineStr">
        <is>
          <t>KALMAR LÄN</t>
        </is>
      </c>
      <c r="G175" t="inlineStr">
        <is>
          <t>VÄSTERVIK</t>
        </is>
      </c>
      <c r="I175" t="n">
        <v>1.6</v>
      </c>
      <c r="J175" t="n">
        <v>1</v>
      </c>
      <c r="K175" t="n">
        <v>0</v>
      </c>
      <c r="L175" t="n">
        <v>2</v>
      </c>
      <c r="M175" t="n">
        <v>1</v>
      </c>
      <c r="N175" t="n">
        <v>0</v>
      </c>
      <c r="O175" t="n">
        <v>0</v>
      </c>
      <c r="P175" t="n">
        <v>0</v>
      </c>
      <c r="Q175" t="n">
        <v>3</v>
      </c>
      <c r="R175" t="n">
        <v>1</v>
      </c>
      <c r="S175" t="n">
        <v>3</v>
      </c>
      <c r="T175" t="n">
        <v>5</v>
      </c>
      <c r="U175" t="n">
        <v>0</v>
      </c>
      <c r="V175" s="2" t="inlineStr">
        <is>
          <t>Knärot
Motaggsvamp
Tallticka</t>
        </is>
      </c>
      <c r="W175">
        <f>HYPERLINK("https://klasma.github.io/Logging_0883/artfynd/A 1879-2026 artfynd.xlsx", "A 1879-2026")</f>
        <v/>
      </c>
      <c r="X175">
        <f>HYPERLINK("https://klasma.github.io/Logging_0883/kartor/A 1879-2026 karta.png", "A 1879-2026")</f>
        <v/>
      </c>
      <c r="Y175">
        <f>HYPERLINK("https://klasma.github.io/Logging_0883/kartor_geotiff/A 1879-2026 georefererad karta.tif", "A 1879-2026")</f>
        <v/>
      </c>
      <c r="Z175">
        <f>HYPERLINK("https://klasma.github.io/Logging_0883/knärot/A 1879-2026 karta knärot.png", "A 1879-2026")</f>
        <v/>
      </c>
      <c r="AA175">
        <f>HYPERLINK("https://klasma.github.io/Logging_0883/klagomål/A 1879-2026 FSC-klagomål.docx", "A 1879-2026")</f>
        <v/>
      </c>
      <c r="AB175">
        <f>HYPERLINK("https://klasma.github.io/Logging_0883/klagomålsmail/A 1879-2026 FSC-klagomål mail.docx", "A 1879-2026")</f>
        <v/>
      </c>
      <c r="AC175">
        <f>HYPERLINK("https://klasma.github.io/Logging_0883/tillsyn/A 1879-2026 tillsynsbegäran.docx", "A 1879-2026")</f>
        <v/>
      </c>
      <c r="AD175">
        <f>HYPERLINK("https://klasma.github.io/Logging_0883/tillsynsmail/A 1879-2026 tillsynsbegäran mail.docx", "A 1879-2026")</f>
        <v/>
      </c>
    </row>
    <row r="176" ht="15" customHeight="1">
      <c r="A176" t="inlineStr">
        <is>
          <t>A 27708-2024</t>
        </is>
      </c>
      <c r="B176" t="inlineStr">
        <is>
          <t>avverkningsanmälan</t>
        </is>
      </c>
      <c r="C176" t="inlineStr">
        <is>
          <t>Föryngringsavverkning</t>
        </is>
      </c>
      <c r="D176" s="1" t="n">
        <v>45475</v>
      </c>
      <c r="E176" s="1" t="n">
        <v>46323</v>
      </c>
      <c r="F176" t="inlineStr">
        <is>
          <t>KALMAR LÄN</t>
        </is>
      </c>
      <c r="G176" t="inlineStr">
        <is>
          <t>VÄSTERVIK</t>
        </is>
      </c>
      <c r="H176" t="inlineStr">
        <is>
          <t>Holmen skog AB</t>
        </is>
      </c>
      <c r="I176" t="n">
        <v>1.7</v>
      </c>
      <c r="J176" t="n">
        <v>2</v>
      </c>
      <c r="K176" t="n">
        <v>0</v>
      </c>
      <c r="L176" t="n">
        <v>2</v>
      </c>
      <c r="M176" t="n">
        <v>0</v>
      </c>
      <c r="N176" t="n">
        <v>0</v>
      </c>
      <c r="O176" t="n">
        <v>0</v>
      </c>
      <c r="P176" t="n">
        <v>0</v>
      </c>
      <c r="Q176" t="n">
        <v>2</v>
      </c>
      <c r="R176" t="n">
        <v>0</v>
      </c>
      <c r="S176" t="n">
        <v>3</v>
      </c>
      <c r="T176" t="n">
        <v>4</v>
      </c>
      <c r="U176" t="n">
        <v>3</v>
      </c>
      <c r="V176" s="2" t="inlineStr">
        <is>
          <t>Ekticka
Mindre hackspett
Spillkråka</t>
        </is>
      </c>
      <c r="W176">
        <f>HYPERLINK("https://klasma.github.io/Logging_0883/artfynd/A 27708-2024 artfynd.xlsx", "A 27708-2024")</f>
        <v/>
      </c>
      <c r="X176">
        <f>HYPERLINK("https://klasma.github.io/Logging_0883/kartor/A 27708-2024 karta.png", "A 27708-2024")</f>
        <v/>
      </c>
      <c r="Y176">
        <f>HYPERLINK("https://klasma.github.io/Logging_0883/kartor_geotiff/A 27708-2024 georefererad karta.tif", "A 27708-2024")</f>
        <v/>
      </c>
      <c r="AA176">
        <f>HYPERLINK("https://klasma.github.io/Logging_0883/klagomål/A 27708-2024 FSC-klagomål.docx", "A 27708-2024")</f>
        <v/>
      </c>
      <c r="AB176">
        <f>HYPERLINK("https://klasma.github.io/Logging_0883/klagomålsmail/A 27708-2024 FSC-klagomål mail.docx", "A 27708-2024")</f>
        <v/>
      </c>
      <c r="AC176">
        <f>HYPERLINK("https://klasma.github.io/Logging_0883/tillsyn/A 27708-2024 tillsynsbegäran.docx", "A 27708-2024")</f>
        <v/>
      </c>
      <c r="AD176">
        <f>HYPERLINK("https://klasma.github.io/Logging_0883/tillsynsmail/A 27708-2024 tillsynsbegäran mail.docx", "A 27708-2024")</f>
        <v/>
      </c>
      <c r="AE176">
        <f>HYPERLINK("https://klasma.github.io/Logging_0883/fåglar/A 27708-2024 prioriterade fågelarter.docx", "A 27708-2024")</f>
        <v/>
      </c>
    </row>
    <row r="177" ht="15" customHeight="1">
      <c r="A177" t="inlineStr">
        <is>
          <t>S 2136-2024</t>
        </is>
      </c>
      <c r="B177" t="inlineStr">
        <is>
          <t>samrådsanmälan</t>
        </is>
      </c>
      <c r="C177" t="inlineStr">
        <is>
          <t>Annan skogsbruksåtgärd</t>
        </is>
      </c>
      <c r="D177" s="1" t="n">
        <v>45455</v>
      </c>
      <c r="E177" s="1" t="n">
        <v>46323</v>
      </c>
      <c r="F177" t="inlineStr">
        <is>
          <t>KALMAR LÄN</t>
        </is>
      </c>
      <c r="G177" t="inlineStr">
        <is>
          <t>VÄSTERVIK</t>
        </is>
      </c>
      <c r="H177" t="inlineStr">
        <is>
          <t>Kommuner</t>
        </is>
      </c>
      <c r="I177" t="n">
        <v>0.4</v>
      </c>
      <c r="J177" t="n">
        <v>1</v>
      </c>
      <c r="K177" t="n">
        <v>1</v>
      </c>
      <c r="L177" t="n">
        <v>1</v>
      </c>
      <c r="M177" t="n">
        <v>0</v>
      </c>
      <c r="N177" t="n">
        <v>0</v>
      </c>
      <c r="O177" t="n">
        <v>0</v>
      </c>
      <c r="P177" t="n">
        <v>0</v>
      </c>
      <c r="Q177" t="n">
        <v>1</v>
      </c>
      <c r="R177" t="n">
        <v>0</v>
      </c>
      <c r="S177" t="n">
        <v>3</v>
      </c>
      <c r="T177" t="n">
        <v>3</v>
      </c>
      <c r="U177" t="n">
        <v>0</v>
      </c>
      <c r="V177" s="2" t="inlineStr">
        <is>
          <t>Rosa skärelav
Fällmossa
Blåsippa</t>
        </is>
      </c>
      <c r="W177">
        <f>HYPERLINK("https://klasma.github.io/Logging_0883/artfynd/S 2136-2024 artfynd.xlsx", "S 2136-2024")</f>
        <v/>
      </c>
      <c r="X177">
        <f>HYPERLINK("https://klasma.github.io/Logging_0883/kartor/S 2136-2024 karta.png", "S 2136-2024")</f>
        <v/>
      </c>
      <c r="Y177">
        <f>HYPERLINK("https://klasma.github.io/Logging_0883/kartor_geotiff/S 2136-2024 georefererad karta.tif", "S 2136-2024")</f>
        <v/>
      </c>
      <c r="AA177">
        <f>HYPERLINK("https://klasma.github.io/Logging_0883/klagomål/S 2136-2024 FSC-klagomål.docx", "S 2136-2024")</f>
        <v/>
      </c>
      <c r="AB177">
        <f>HYPERLINK("https://klasma.github.io/Logging_0883/klagomålsmail/S 2136-2024 FSC-klagomål mail.docx", "S 2136-2024")</f>
        <v/>
      </c>
      <c r="AC177">
        <f>HYPERLINK("https://klasma.github.io/Logging_0883/tillsyn/S 2136-2024 tillsynsbegäran.docx", "S 2136-2024")</f>
        <v/>
      </c>
      <c r="AD177">
        <f>HYPERLINK("https://klasma.github.io/Logging_0883/tillsynsmail/S 2136-2024 tillsynsbegäran mail.docx", "S 2136-2024")</f>
        <v/>
      </c>
    </row>
    <row r="178" ht="15" customHeight="1">
      <c r="A178" t="inlineStr">
        <is>
          <t>S 3673-2024</t>
        </is>
      </c>
      <c r="B178" t="inlineStr">
        <is>
          <t>samrådsanmälan</t>
        </is>
      </c>
      <c r="C178" t="inlineStr">
        <is>
          <t>Annan skogsbruksåtgärd</t>
        </is>
      </c>
      <c r="D178" s="1" t="n">
        <v>45552</v>
      </c>
      <c r="E178" s="1" t="n">
        <v>46323</v>
      </c>
      <c r="F178" t="inlineStr">
        <is>
          <t>KALMAR LÄN</t>
        </is>
      </c>
      <c r="G178" t="inlineStr">
        <is>
          <t>VÄSTERVIK</t>
        </is>
      </c>
      <c r="H178" t="inlineStr">
        <is>
          <t>Kommuner</t>
        </is>
      </c>
      <c r="I178" t="n">
        <v>2.3</v>
      </c>
      <c r="J178" t="n">
        <v>0</v>
      </c>
      <c r="K178" t="n">
        <v>1</v>
      </c>
      <c r="L178" t="n">
        <v>2</v>
      </c>
      <c r="M178" t="n">
        <v>0</v>
      </c>
      <c r="N178" t="n">
        <v>0</v>
      </c>
      <c r="O178" t="n">
        <v>0</v>
      </c>
      <c r="P178" t="n">
        <v>0</v>
      </c>
      <c r="Q178" t="n">
        <v>2</v>
      </c>
      <c r="R178" t="n">
        <v>0</v>
      </c>
      <c r="S178" t="n">
        <v>3</v>
      </c>
      <c r="T178" t="n">
        <v>8</v>
      </c>
      <c r="U178" t="n">
        <v>2</v>
      </c>
      <c r="V178" s="2" t="inlineStr">
        <is>
          <t>Ekticka
Sprengelsbjörnbär
Lundvårlök</t>
        </is>
      </c>
      <c r="W178">
        <f>HYPERLINK("https://klasma.github.io/Logging_0883/artfynd/S 3673-2024 artfynd.xlsx", "S 3673-2024")</f>
        <v/>
      </c>
      <c r="X178">
        <f>HYPERLINK("https://klasma.github.io/Logging_0883/kartor/S 3673-2024 karta.png", "S 3673-2024")</f>
        <v/>
      </c>
      <c r="Y178">
        <f>HYPERLINK("https://klasma.github.io/Logging_0883/kartor_geotiff/S 3673-2024 georefererad karta.tif", "S 3673-2024")</f>
        <v/>
      </c>
      <c r="AA178">
        <f>HYPERLINK("https://klasma.github.io/Logging_0883/klagomål/S 3673-2024 FSC-klagomål.docx", "S 3673-2024")</f>
        <v/>
      </c>
      <c r="AB178">
        <f>HYPERLINK("https://klasma.github.io/Logging_0883/klagomålsmail/S 3673-2024 FSC-klagomål mail.docx", "S 3673-2024")</f>
        <v/>
      </c>
      <c r="AC178">
        <f>HYPERLINK("https://klasma.github.io/Logging_0883/tillsyn/S 3673-2024 tillsynsbegäran.docx", "S 3673-2024")</f>
        <v/>
      </c>
      <c r="AD178">
        <f>HYPERLINK("https://klasma.github.io/Logging_0883/tillsynsmail/S 3673-2024 tillsynsbegäran mail.docx", "S 3673-2024")</f>
        <v/>
      </c>
    </row>
    <row r="179" ht="15" customHeight="1">
      <c r="A179" t="inlineStr">
        <is>
          <t>S 9394-2021</t>
        </is>
      </c>
      <c r="B179" t="inlineStr">
        <is>
          <t>samrådsanmälan</t>
        </is>
      </c>
      <c r="C179" t="inlineStr">
        <is>
          <t>Annan skogsbruksåtgärd</t>
        </is>
      </c>
      <c r="D179" s="1" t="n">
        <v>44522</v>
      </c>
      <c r="E179" s="1" t="n">
        <v>46323</v>
      </c>
      <c r="F179" t="inlineStr">
        <is>
          <t>KALMAR LÄN</t>
        </is>
      </c>
      <c r="G179" t="inlineStr">
        <is>
          <t>VÄSTERVIK</t>
        </is>
      </c>
      <c r="I179" t="n">
        <v>5.6</v>
      </c>
      <c r="J179" t="n">
        <v>0</v>
      </c>
      <c r="K179" t="n">
        <v>0</v>
      </c>
      <c r="L179" t="n">
        <v>2</v>
      </c>
      <c r="M179" t="n">
        <v>1</v>
      </c>
      <c r="N179" t="n">
        <v>0</v>
      </c>
      <c r="O179" t="n">
        <v>0</v>
      </c>
      <c r="P179" t="n">
        <v>0</v>
      </c>
      <c r="Q179" t="n">
        <v>3</v>
      </c>
      <c r="R179" t="n">
        <v>1</v>
      </c>
      <c r="S179" t="n">
        <v>3</v>
      </c>
      <c r="T179" t="n">
        <v>3</v>
      </c>
      <c r="U179" t="n">
        <v>2</v>
      </c>
      <c r="V179" s="2" t="inlineStr">
        <is>
          <t>Lungrot
Korskovall
Slåtterfibbla</t>
        </is>
      </c>
      <c r="W179">
        <f>HYPERLINK("https://klasma.github.io/Logging_0883/artfynd/S 9394-2021 artfynd.xlsx", "S 9394-2021")</f>
        <v/>
      </c>
      <c r="X179">
        <f>HYPERLINK("https://klasma.github.io/Logging_0883/kartor/S 9394-2021 karta.png", "S 9394-2021")</f>
        <v/>
      </c>
      <c r="Y179">
        <f>HYPERLINK("https://klasma.github.io/Logging_0883/kartor_geotiff/S 9394-2021 georefererad karta.tif", "S 9394-2021")</f>
        <v/>
      </c>
      <c r="AA179">
        <f>HYPERLINK("https://klasma.github.io/Logging_0883/klagomål/S 9394-2021 FSC-klagomål.docx", "S 9394-2021")</f>
        <v/>
      </c>
      <c r="AB179">
        <f>HYPERLINK("https://klasma.github.io/Logging_0883/klagomålsmail/S 9394-2021 FSC-klagomål mail.docx", "S 9394-2021")</f>
        <v/>
      </c>
      <c r="AC179">
        <f>HYPERLINK("https://klasma.github.io/Logging_0883/tillsyn/S 9394-2021 tillsynsbegäran.docx", "S 9394-2021")</f>
        <v/>
      </c>
      <c r="AD179">
        <f>HYPERLINK("https://klasma.github.io/Logging_0883/tillsynsmail/S 9394-2021 tillsynsbegäran mail.docx", "S 9394-2021")</f>
        <v/>
      </c>
    </row>
    <row r="180" ht="15" customHeight="1">
      <c r="A180" t="inlineStr">
        <is>
          <t>S 2901-2024</t>
        </is>
      </c>
      <c r="B180" t="inlineStr">
        <is>
          <t>samrådsanmälan</t>
        </is>
      </c>
      <c r="C180" t="inlineStr">
        <is>
          <t>Askåterföring</t>
        </is>
      </c>
      <c r="D180" s="1" t="n">
        <v>45503</v>
      </c>
      <c r="E180" s="1" t="n">
        <v>46323</v>
      </c>
      <c r="F180" t="inlineStr">
        <is>
          <t>KALMAR LÄN</t>
        </is>
      </c>
      <c r="G180" t="inlineStr">
        <is>
          <t>VÄSTERVIK</t>
        </is>
      </c>
      <c r="I180" t="n">
        <v>26.3</v>
      </c>
      <c r="J180" t="n">
        <v>2</v>
      </c>
      <c r="K180" t="n">
        <v>1</v>
      </c>
      <c r="L180" t="n">
        <v>0</v>
      </c>
      <c r="M180" t="n">
        <v>0</v>
      </c>
      <c r="N180" t="n">
        <v>1</v>
      </c>
      <c r="O180" t="n">
        <v>0</v>
      </c>
      <c r="P180" t="n">
        <v>0</v>
      </c>
      <c r="Q180" t="n">
        <v>1</v>
      </c>
      <c r="R180" t="n">
        <v>1</v>
      </c>
      <c r="S180" t="n">
        <v>3</v>
      </c>
      <c r="T180" t="n">
        <v>3</v>
      </c>
      <c r="U180" t="n">
        <v>2</v>
      </c>
      <c r="V180" s="2" t="inlineStr">
        <is>
          <t>Kornknarr
Scharlakansskål
Lopplummer (aggregat)</t>
        </is>
      </c>
      <c r="W180">
        <f>HYPERLINK("https://klasma.github.io/Logging_0883/artfynd/S 2901-2024 artfynd.xlsx", "S 2901-2024")</f>
        <v/>
      </c>
      <c r="X180">
        <f>HYPERLINK("https://klasma.github.io/Logging_0883/kartor/S 2901-2024 karta.png", "S 2901-2024")</f>
        <v/>
      </c>
      <c r="Y180">
        <f>HYPERLINK("https://klasma.github.io/Logging_0883/kartor_geotiff/S 2901-2024 georefererad karta.tif", "S 2901-2024")</f>
        <v/>
      </c>
      <c r="AA180">
        <f>HYPERLINK("https://klasma.github.io/Logging_0883/klagomål/S 2901-2024 FSC-klagomål.docx", "S 2901-2024")</f>
        <v/>
      </c>
      <c r="AB180">
        <f>HYPERLINK("https://klasma.github.io/Logging_0883/klagomålsmail/S 2901-2024 FSC-klagomål mail.docx", "S 2901-2024")</f>
        <v/>
      </c>
      <c r="AC180">
        <f>HYPERLINK("https://klasma.github.io/Logging_0883/tillsyn/S 2901-2024 tillsynsbegäran.docx", "S 2901-2024")</f>
        <v/>
      </c>
      <c r="AD180">
        <f>HYPERLINK("https://klasma.github.io/Logging_0883/tillsynsmail/S 2901-2024 tillsynsbegäran mail.docx", "S 2901-2024")</f>
        <v/>
      </c>
    </row>
    <row r="181" ht="15" customHeight="1">
      <c r="A181" t="inlineStr">
        <is>
          <t>S 1450-2024</t>
        </is>
      </c>
      <c r="B181" t="inlineStr">
        <is>
          <t>samrådsanmälan</t>
        </is>
      </c>
      <c r="C181" t="inlineStr">
        <is>
          <t>Annan skogsbruksåtgärd</t>
        </is>
      </c>
      <c r="D181" s="1" t="n">
        <v>45418</v>
      </c>
      <c r="E181" s="1" t="n">
        <v>46323</v>
      </c>
      <c r="F181" t="inlineStr">
        <is>
          <t>KALMAR LÄN</t>
        </is>
      </c>
      <c r="G181" t="inlineStr">
        <is>
          <t>VÄSTERVIK</t>
        </is>
      </c>
      <c r="I181" t="n">
        <v>6.1</v>
      </c>
      <c r="J181" t="n">
        <v>0</v>
      </c>
      <c r="K181" t="n">
        <v>0</v>
      </c>
      <c r="L181" t="n">
        <v>3</v>
      </c>
      <c r="M181" t="n">
        <v>0</v>
      </c>
      <c r="N181" t="n">
        <v>0</v>
      </c>
      <c r="O181" t="n">
        <v>0</v>
      </c>
      <c r="P181" t="n">
        <v>0</v>
      </c>
      <c r="Q181" t="n">
        <v>3</v>
      </c>
      <c r="R181" t="n">
        <v>0</v>
      </c>
      <c r="S181" t="n">
        <v>3</v>
      </c>
      <c r="T181" t="n">
        <v>4</v>
      </c>
      <c r="U181" t="n">
        <v>0</v>
      </c>
      <c r="V181" s="2" t="inlineStr">
        <is>
          <t>Lunglav
Sårläka
Vårärt</t>
        </is>
      </c>
      <c r="W181">
        <f>HYPERLINK("https://klasma.github.io/Logging_0883/artfynd/S 1450-2024 artfynd.xlsx", "S 1450-2024")</f>
        <v/>
      </c>
      <c r="X181">
        <f>HYPERLINK("https://klasma.github.io/Logging_0883/kartor/S 1450-2024 karta.png", "S 1450-2024")</f>
        <v/>
      </c>
      <c r="Y181">
        <f>HYPERLINK("https://klasma.github.io/Logging_0883/kartor_geotiff/S 1450-2024 georefererad karta.tif", "S 1450-2024")</f>
        <v/>
      </c>
      <c r="AA181">
        <f>HYPERLINK("https://klasma.github.io/Logging_0883/klagomål/S 1450-2024 FSC-klagomål.docx", "S 1450-2024")</f>
        <v/>
      </c>
      <c r="AB181">
        <f>HYPERLINK("https://klasma.github.io/Logging_0883/klagomålsmail/S 1450-2024 FSC-klagomål mail.docx", "S 1450-2024")</f>
        <v/>
      </c>
      <c r="AC181">
        <f>HYPERLINK("https://klasma.github.io/Logging_0883/tillsyn/S 1450-2024 tillsynsbegäran.docx", "S 1450-2024")</f>
        <v/>
      </c>
      <c r="AD181">
        <f>HYPERLINK("https://klasma.github.io/Logging_0883/tillsynsmail/S 1450-2024 tillsynsbegäran mail.docx", "S 1450-2024")</f>
        <v/>
      </c>
    </row>
    <row r="182" ht="15" customHeight="1">
      <c r="A182" t="inlineStr">
        <is>
          <t>A 25435-2023</t>
        </is>
      </c>
      <c r="B182" t="inlineStr">
        <is>
          <t>avverkningsanmälan</t>
        </is>
      </c>
      <c r="C182" t="inlineStr">
        <is>
          <t>Föryngringsavverkning</t>
        </is>
      </c>
      <c r="D182" s="1" t="n">
        <v>45089</v>
      </c>
      <c r="E182" s="1" t="n">
        <v>46323</v>
      </c>
      <c r="F182" t="inlineStr">
        <is>
          <t>KALMAR LÄN</t>
        </is>
      </c>
      <c r="G182" t="inlineStr">
        <is>
          <t>VÄSTERVIK</t>
        </is>
      </c>
      <c r="I182" t="n">
        <v>1.6</v>
      </c>
      <c r="J182" t="n">
        <v>2</v>
      </c>
      <c r="K182" t="n">
        <v>0</v>
      </c>
      <c r="L182" t="n">
        <v>0</v>
      </c>
      <c r="M182" t="n">
        <v>1</v>
      </c>
      <c r="N182" t="n">
        <v>0</v>
      </c>
      <c r="O182" t="n">
        <v>0</v>
      </c>
      <c r="P182" t="n">
        <v>0</v>
      </c>
      <c r="Q182" t="n">
        <v>1</v>
      </c>
      <c r="R182" t="n">
        <v>1</v>
      </c>
      <c r="S182" t="n">
        <v>2</v>
      </c>
      <c r="T182" t="n">
        <v>3</v>
      </c>
      <c r="U182" t="n">
        <v>3</v>
      </c>
      <c r="V182" s="2" t="inlineStr">
        <is>
          <t>Knärot
Tjäder</t>
        </is>
      </c>
      <c r="W182">
        <f>HYPERLINK("https://klasma.github.io/Logging_0883/artfynd/A 25435-2023 artfynd.xlsx", "A 25435-2023")</f>
        <v/>
      </c>
      <c r="X182">
        <f>HYPERLINK("https://klasma.github.io/Logging_0883/kartor/A 25435-2023 karta.png", "A 25435-2023")</f>
        <v/>
      </c>
      <c r="Y182">
        <f>HYPERLINK("https://klasma.github.io/Logging_0883/kartor_geotiff/A 25435-2023 georefererad karta.tif", "A 25435-2023")</f>
        <v/>
      </c>
      <c r="Z182">
        <f>HYPERLINK("https://klasma.github.io/Logging_0883/knärot/A 25435-2023 karta knärot.png", "A 25435-2023")</f>
        <v/>
      </c>
      <c r="AA182">
        <f>HYPERLINK("https://klasma.github.io/Logging_0883/klagomål/A 25435-2023 FSC-klagomål.docx", "A 25435-2023")</f>
        <v/>
      </c>
      <c r="AB182">
        <f>HYPERLINK("https://klasma.github.io/Logging_0883/klagomålsmail/A 25435-2023 FSC-klagomål mail.docx", "A 25435-2023")</f>
        <v/>
      </c>
      <c r="AC182">
        <f>HYPERLINK("https://klasma.github.io/Logging_0883/tillsyn/A 25435-2023 tillsynsbegäran.docx", "A 25435-2023")</f>
        <v/>
      </c>
      <c r="AD182">
        <f>HYPERLINK("https://klasma.github.io/Logging_0883/tillsynsmail/A 25435-2023 tillsynsbegäran mail.docx", "A 25435-2023")</f>
        <v/>
      </c>
      <c r="AE182">
        <f>HYPERLINK("https://klasma.github.io/Logging_0883/fåglar/A 25435-2023 prioriterade fågelarter.docx", "A 25435-2023")</f>
        <v/>
      </c>
    </row>
    <row r="183" ht="15" customHeight="1">
      <c r="A183" t="inlineStr">
        <is>
          <t>A 3658-2024</t>
        </is>
      </c>
      <c r="B183" t="inlineStr">
        <is>
          <t>avverkningsanmälan</t>
        </is>
      </c>
      <c r="C183" t="inlineStr">
        <is>
          <t>Föryngringsavverkning</t>
        </is>
      </c>
      <c r="D183" s="1" t="n">
        <v>45321</v>
      </c>
      <c r="E183" s="1" t="n">
        <v>46323</v>
      </c>
      <c r="F183" t="inlineStr">
        <is>
          <t>KALMAR LÄN</t>
        </is>
      </c>
      <c r="G183" t="inlineStr">
        <is>
          <t>VÄSTERVIK</t>
        </is>
      </c>
      <c r="I183" t="n">
        <v>2.6</v>
      </c>
      <c r="J183" t="n">
        <v>1</v>
      </c>
      <c r="K183" t="n">
        <v>0</v>
      </c>
      <c r="L183" t="n">
        <v>1</v>
      </c>
      <c r="M183" t="n">
        <v>1</v>
      </c>
      <c r="N183" t="n">
        <v>0</v>
      </c>
      <c r="O183" t="n">
        <v>0</v>
      </c>
      <c r="P183" t="n">
        <v>0</v>
      </c>
      <c r="Q183" t="n">
        <v>2</v>
      </c>
      <c r="R183" t="n">
        <v>1</v>
      </c>
      <c r="S183" t="n">
        <v>2</v>
      </c>
      <c r="T183" t="n">
        <v>16</v>
      </c>
      <c r="U183" t="n">
        <v>16</v>
      </c>
      <c r="V183" s="2" t="inlineStr">
        <is>
          <t>Knärot
Tallticka</t>
        </is>
      </c>
      <c r="W183">
        <f>HYPERLINK("https://klasma.github.io/Logging_0883/artfynd/A 3658-2024 artfynd.xlsx", "A 3658-2024")</f>
        <v/>
      </c>
      <c r="X183">
        <f>HYPERLINK("https://klasma.github.io/Logging_0883/kartor/A 3658-2024 karta.png", "A 3658-2024")</f>
        <v/>
      </c>
      <c r="Y183">
        <f>HYPERLINK("https://klasma.github.io/Logging_0883/kartor_geotiff/A 3658-2024 georefererad karta.tif", "A 3658-2024")</f>
        <v/>
      </c>
      <c r="Z183">
        <f>HYPERLINK("https://klasma.github.io/Logging_0883/knärot/A 3658-2024 karta knärot.png", "A 3658-2024")</f>
        <v/>
      </c>
      <c r="AA183">
        <f>HYPERLINK("https://klasma.github.io/Logging_0883/klagomål/A 3658-2024 FSC-klagomål.docx", "A 3658-2024")</f>
        <v/>
      </c>
      <c r="AB183">
        <f>HYPERLINK("https://klasma.github.io/Logging_0883/klagomålsmail/A 3658-2024 FSC-klagomål mail.docx", "A 3658-2024")</f>
        <v/>
      </c>
      <c r="AC183">
        <f>HYPERLINK("https://klasma.github.io/Logging_0883/tillsyn/A 3658-2024 tillsynsbegäran.docx", "A 3658-2024")</f>
        <v/>
      </c>
      <c r="AD183">
        <f>HYPERLINK("https://klasma.github.io/Logging_0883/tillsynsmail/A 3658-2024 tillsynsbegäran mail.docx", "A 3658-2024")</f>
        <v/>
      </c>
    </row>
    <row r="184" ht="15" customHeight="1">
      <c r="A184" t="inlineStr">
        <is>
          <t>A 34563-2023</t>
        </is>
      </c>
      <c r="B184" t="inlineStr">
        <is>
          <t>avverkningsanmälan</t>
        </is>
      </c>
      <c r="C184" t="inlineStr">
        <is>
          <t>Föryngringsavverkning</t>
        </is>
      </c>
      <c r="D184" s="1" t="n">
        <v>45140</v>
      </c>
      <c r="E184" s="1" t="n">
        <v>46323</v>
      </c>
      <c r="F184" t="inlineStr">
        <is>
          <t>KALMAR LÄN</t>
        </is>
      </c>
      <c r="G184" t="inlineStr">
        <is>
          <t>VÄSTERVIK</t>
        </is>
      </c>
      <c r="I184" t="n">
        <v>1.4</v>
      </c>
      <c r="J184" t="n">
        <v>1</v>
      </c>
      <c r="K184" t="n">
        <v>0</v>
      </c>
      <c r="L184" t="n">
        <v>1</v>
      </c>
      <c r="M184" t="n">
        <v>1</v>
      </c>
      <c r="N184" t="n">
        <v>0</v>
      </c>
      <c r="O184" t="n">
        <v>0</v>
      </c>
      <c r="P184" t="n">
        <v>0</v>
      </c>
      <c r="Q184" t="n">
        <v>2</v>
      </c>
      <c r="R184" t="n">
        <v>1</v>
      </c>
      <c r="S184" t="n">
        <v>2</v>
      </c>
      <c r="T184" t="n">
        <v>2</v>
      </c>
      <c r="U184" t="n">
        <v>2</v>
      </c>
      <c r="V184" s="2" t="inlineStr">
        <is>
          <t>Knärot
Fjällig taggsvamp s.str.</t>
        </is>
      </c>
      <c r="W184">
        <f>HYPERLINK("https://klasma.github.io/Logging_0883/artfynd/A 34563-2023 artfynd.xlsx", "A 34563-2023")</f>
        <v/>
      </c>
      <c r="X184">
        <f>HYPERLINK("https://klasma.github.io/Logging_0883/kartor/A 34563-2023 karta.png", "A 34563-2023")</f>
        <v/>
      </c>
      <c r="Y184">
        <f>HYPERLINK("https://klasma.github.io/Logging_0883/kartor_geotiff/A 34563-2023 georefererad karta.tif", "A 34563-2023")</f>
        <v/>
      </c>
      <c r="Z184">
        <f>HYPERLINK("https://klasma.github.io/Logging_0883/knärot/A 34563-2023 karta knärot.png", "A 34563-2023")</f>
        <v/>
      </c>
      <c r="AA184">
        <f>HYPERLINK("https://klasma.github.io/Logging_0883/klagomål/A 34563-2023 FSC-klagomål.docx", "A 34563-2023")</f>
        <v/>
      </c>
      <c r="AB184">
        <f>HYPERLINK("https://klasma.github.io/Logging_0883/klagomålsmail/A 34563-2023 FSC-klagomål mail.docx", "A 34563-2023")</f>
        <v/>
      </c>
      <c r="AC184">
        <f>HYPERLINK("https://klasma.github.io/Logging_0883/tillsyn/A 34563-2023 tillsynsbegäran.docx", "A 34563-2023")</f>
        <v/>
      </c>
      <c r="AD184">
        <f>HYPERLINK("https://klasma.github.io/Logging_0883/tillsynsmail/A 34563-2023 tillsynsbegäran mail.docx", "A 34563-2023")</f>
        <v/>
      </c>
    </row>
    <row r="185" ht="15" customHeight="1">
      <c r="A185" t="inlineStr">
        <is>
          <t>A 46552-2022</t>
        </is>
      </c>
      <c r="B185" t="inlineStr">
        <is>
          <t>avverkningsanmälan</t>
        </is>
      </c>
      <c r="C185" t="inlineStr">
        <is>
          <t>Föryngringsavverkning</t>
        </is>
      </c>
      <c r="D185" s="1" t="n">
        <v>44848</v>
      </c>
      <c r="E185" s="1" t="n">
        <v>46323</v>
      </c>
      <c r="F185" t="inlineStr">
        <is>
          <t>KALMAR LÄN</t>
        </is>
      </c>
      <c r="G185" t="inlineStr">
        <is>
          <t>VÄSTERVIK</t>
        </is>
      </c>
      <c r="H185" t="inlineStr">
        <is>
          <t>Sveaskog</t>
        </is>
      </c>
      <c r="I185" t="n">
        <v>1.7</v>
      </c>
      <c r="J185" t="n">
        <v>0</v>
      </c>
      <c r="K185" t="n">
        <v>0</v>
      </c>
      <c r="L185" t="n">
        <v>2</v>
      </c>
      <c r="M185" t="n">
        <v>0</v>
      </c>
      <c r="N185" t="n">
        <v>0</v>
      </c>
      <c r="O185" t="n">
        <v>0</v>
      </c>
      <c r="P185" t="n">
        <v>0</v>
      </c>
      <c r="Q185" t="n">
        <v>2</v>
      </c>
      <c r="R185" t="n">
        <v>0</v>
      </c>
      <c r="S185" t="n">
        <v>2</v>
      </c>
      <c r="T185" t="n">
        <v>2</v>
      </c>
      <c r="U185" t="n">
        <v>2</v>
      </c>
      <c r="V185" s="2" t="inlineStr">
        <is>
          <t>Motaggsvamp
Sårläka</t>
        </is>
      </c>
      <c r="W185">
        <f>HYPERLINK("https://klasma.github.io/Logging_0883/artfynd/A 46552-2022 artfynd.xlsx", "A 46552-2022")</f>
        <v/>
      </c>
      <c r="X185">
        <f>HYPERLINK("https://klasma.github.io/Logging_0883/kartor/A 46552-2022 karta.png", "A 46552-2022")</f>
        <v/>
      </c>
      <c r="Y185">
        <f>HYPERLINK("https://klasma.github.io/Logging_0883/kartor_geotiff/A 46552-2022 georefererad karta.tif", "A 46552-2022")</f>
        <v/>
      </c>
      <c r="AA185">
        <f>HYPERLINK("https://klasma.github.io/Logging_0883/klagomål/A 46552-2022 FSC-klagomål.docx", "A 46552-2022")</f>
        <v/>
      </c>
      <c r="AB185">
        <f>HYPERLINK("https://klasma.github.io/Logging_0883/klagomålsmail/A 46552-2022 FSC-klagomål mail.docx", "A 46552-2022")</f>
        <v/>
      </c>
      <c r="AC185">
        <f>HYPERLINK("https://klasma.github.io/Logging_0883/tillsyn/A 46552-2022 tillsynsbegäran.docx", "A 46552-2022")</f>
        <v/>
      </c>
      <c r="AD185">
        <f>HYPERLINK("https://klasma.github.io/Logging_0883/tillsynsmail/A 46552-2022 tillsynsbegäran mail.docx", "A 46552-2022")</f>
        <v/>
      </c>
    </row>
    <row r="186" ht="15" customHeight="1">
      <c r="A186" t="inlineStr">
        <is>
          <t>A 28495-2023</t>
        </is>
      </c>
      <c r="B186" t="inlineStr">
        <is>
          <t>avverkningsanmälan</t>
        </is>
      </c>
      <c r="C186" t="inlineStr">
        <is>
          <t>Föryngringsavverkning</t>
        </is>
      </c>
      <c r="D186" s="1" t="n">
        <v>45103</v>
      </c>
      <c r="E186" s="1" t="n">
        <v>46323</v>
      </c>
      <c r="F186" t="inlineStr">
        <is>
          <t>KALMAR LÄN</t>
        </is>
      </c>
      <c r="G186" t="inlineStr">
        <is>
          <t>VÄSTERVIK</t>
        </is>
      </c>
      <c r="I186" t="n">
        <v>3.1</v>
      </c>
      <c r="J186" t="n">
        <v>2</v>
      </c>
      <c r="K186" t="n">
        <v>0</v>
      </c>
      <c r="L186" t="n">
        <v>0</v>
      </c>
      <c r="M186" t="n">
        <v>1</v>
      </c>
      <c r="N186" t="n">
        <v>0</v>
      </c>
      <c r="O186" t="n">
        <v>0</v>
      </c>
      <c r="P186" t="n">
        <v>0</v>
      </c>
      <c r="Q186" t="n">
        <v>1</v>
      </c>
      <c r="R186" t="n">
        <v>1</v>
      </c>
      <c r="S186" t="n">
        <v>2</v>
      </c>
      <c r="T186" t="n">
        <v>4</v>
      </c>
      <c r="U186" t="n">
        <v>0</v>
      </c>
      <c r="V186" s="2" t="inlineStr">
        <is>
          <t>Knärot
Tjäder</t>
        </is>
      </c>
      <c r="W186">
        <f>HYPERLINK("https://klasma.github.io/Logging_0883/artfynd/A 28495-2023 artfynd.xlsx", "A 28495-2023")</f>
        <v/>
      </c>
      <c r="X186">
        <f>HYPERLINK("https://klasma.github.io/Logging_0883/kartor/A 28495-2023 karta.png", "A 28495-2023")</f>
        <v/>
      </c>
      <c r="Y186">
        <f>HYPERLINK("https://klasma.github.io/Logging_0883/kartor_geotiff/A 28495-2023 georefererad karta.tif", "A 28495-2023")</f>
        <v/>
      </c>
      <c r="Z186">
        <f>HYPERLINK("https://klasma.github.io/Logging_0883/knärot/A 28495-2023 karta knärot.png", "A 28495-2023")</f>
        <v/>
      </c>
      <c r="AA186">
        <f>HYPERLINK("https://klasma.github.io/Logging_0883/klagomål/A 28495-2023 FSC-klagomål.docx", "A 28495-2023")</f>
        <v/>
      </c>
      <c r="AB186">
        <f>HYPERLINK("https://klasma.github.io/Logging_0883/klagomålsmail/A 28495-2023 FSC-klagomål mail.docx", "A 28495-2023")</f>
        <v/>
      </c>
      <c r="AC186">
        <f>HYPERLINK("https://klasma.github.io/Logging_0883/tillsyn/A 28495-2023 tillsynsbegäran.docx", "A 28495-2023")</f>
        <v/>
      </c>
      <c r="AD186">
        <f>HYPERLINK("https://klasma.github.io/Logging_0883/tillsynsmail/A 28495-2023 tillsynsbegäran mail.docx", "A 28495-2023")</f>
        <v/>
      </c>
      <c r="AE186">
        <f>HYPERLINK("https://klasma.github.io/Logging_0883/fåglar/A 28495-2023 prioriterade fågelarter.docx", "A 28495-2023")</f>
        <v/>
      </c>
    </row>
    <row r="187" ht="15" customHeight="1">
      <c r="A187" t="inlineStr">
        <is>
          <t>A 56857-2023</t>
        </is>
      </c>
      <c r="B187" t="inlineStr">
        <is>
          <t>avverkningsanmälan</t>
        </is>
      </c>
      <c r="C187" t="inlineStr">
        <is>
          <t>Föryngringsavverkning</t>
        </is>
      </c>
      <c r="D187" s="1" t="n">
        <v>45244</v>
      </c>
      <c r="E187" s="1" t="n">
        <v>46323</v>
      </c>
      <c r="F187" t="inlineStr">
        <is>
          <t>KALMAR LÄN</t>
        </is>
      </c>
      <c r="G187" t="inlineStr">
        <is>
          <t>VÄSTERVIK</t>
        </is>
      </c>
      <c r="H187" t="inlineStr">
        <is>
          <t>Kyrkan</t>
        </is>
      </c>
      <c r="I187" t="n">
        <v>7.5</v>
      </c>
      <c r="J187" t="n">
        <v>1</v>
      </c>
      <c r="K187" t="n">
        <v>1</v>
      </c>
      <c r="L187" t="n">
        <v>0</v>
      </c>
      <c r="M187" t="n">
        <v>1</v>
      </c>
      <c r="N187" t="n">
        <v>0</v>
      </c>
      <c r="O187" t="n">
        <v>0</v>
      </c>
      <c r="P187" t="n">
        <v>0</v>
      </c>
      <c r="Q187" t="n">
        <v>1</v>
      </c>
      <c r="R187" t="n">
        <v>1</v>
      </c>
      <c r="S187" t="n">
        <v>2</v>
      </c>
      <c r="T187" t="n">
        <v>14</v>
      </c>
      <c r="U187" t="n">
        <v>14</v>
      </c>
      <c r="V187" s="2" t="inlineStr">
        <is>
          <t>Knärot
Grönpyrola</t>
        </is>
      </c>
      <c r="W187">
        <f>HYPERLINK("https://klasma.github.io/Logging_0883/artfynd/A 56857-2023 artfynd.xlsx", "A 56857-2023")</f>
        <v/>
      </c>
      <c r="X187">
        <f>HYPERLINK("https://klasma.github.io/Logging_0883/kartor/A 56857-2023 karta.png", "A 56857-2023")</f>
        <v/>
      </c>
      <c r="Y187">
        <f>HYPERLINK("https://klasma.github.io/Logging_0883/kartor_geotiff/A 56857-2023 georefererad karta.tif", "A 56857-2023")</f>
        <v/>
      </c>
      <c r="Z187">
        <f>HYPERLINK("https://klasma.github.io/Logging_0883/knärot/A 56857-2023 karta knärot.png", "A 56857-2023")</f>
        <v/>
      </c>
      <c r="AA187">
        <f>HYPERLINK("https://klasma.github.io/Logging_0883/klagomål/A 56857-2023 FSC-klagomål.docx", "A 56857-2023")</f>
        <v/>
      </c>
      <c r="AB187">
        <f>HYPERLINK("https://klasma.github.io/Logging_0883/klagomålsmail/A 56857-2023 FSC-klagomål mail.docx", "A 56857-2023")</f>
        <v/>
      </c>
      <c r="AC187">
        <f>HYPERLINK("https://klasma.github.io/Logging_0883/tillsyn/A 56857-2023 tillsynsbegäran.docx", "A 56857-2023")</f>
        <v/>
      </c>
      <c r="AD187">
        <f>HYPERLINK("https://klasma.github.io/Logging_0883/tillsynsmail/A 56857-2023 tillsynsbegäran mail.docx", "A 56857-2023")</f>
        <v/>
      </c>
    </row>
    <row r="188" ht="15" customHeight="1">
      <c r="A188" t="inlineStr">
        <is>
          <t>A 46787-2022</t>
        </is>
      </c>
      <c r="B188" t="inlineStr">
        <is>
          <t>avverkningsanmälan</t>
        </is>
      </c>
      <c r="C188" t="inlineStr">
        <is>
          <t>Föryngringsavverkning</t>
        </is>
      </c>
      <c r="D188" s="1" t="n">
        <v>44851</v>
      </c>
      <c r="E188" s="1" t="n">
        <v>46323</v>
      </c>
      <c r="F188" t="inlineStr">
        <is>
          <t>KALMAR LÄN</t>
        </is>
      </c>
      <c r="G188" t="inlineStr">
        <is>
          <t>VÄSTERVIK</t>
        </is>
      </c>
      <c r="I188" t="n">
        <v>4.4</v>
      </c>
      <c r="J188" t="n">
        <v>0</v>
      </c>
      <c r="K188" t="n">
        <v>0</v>
      </c>
      <c r="L188" t="n">
        <v>2</v>
      </c>
      <c r="M188" t="n">
        <v>0</v>
      </c>
      <c r="N188" t="n">
        <v>0</v>
      </c>
      <c r="O188" t="n">
        <v>0</v>
      </c>
      <c r="P188" t="n">
        <v>0</v>
      </c>
      <c r="Q188" t="n">
        <v>2</v>
      </c>
      <c r="R188" t="n">
        <v>0</v>
      </c>
      <c r="S188" t="n">
        <v>2</v>
      </c>
      <c r="T188" t="n">
        <v>2</v>
      </c>
      <c r="U188" t="n">
        <v>2</v>
      </c>
      <c r="V188" s="2" t="inlineStr">
        <is>
          <t>Motaggsvamp
Tallticka</t>
        </is>
      </c>
      <c r="W188">
        <f>HYPERLINK("https://klasma.github.io/Logging_0883/artfynd/A 46787-2022 artfynd.xlsx", "A 46787-2022")</f>
        <v/>
      </c>
      <c r="X188">
        <f>HYPERLINK("https://klasma.github.io/Logging_0883/kartor/A 46787-2022 karta.png", "A 46787-2022")</f>
        <v/>
      </c>
      <c r="Y188">
        <f>HYPERLINK("https://klasma.github.io/Logging_0883/kartor_geotiff/A 46787-2022 georefererad karta.tif", "A 46787-2022")</f>
        <v/>
      </c>
      <c r="AA188">
        <f>HYPERLINK("https://klasma.github.io/Logging_0883/klagomål/A 46787-2022 FSC-klagomål.docx", "A 46787-2022")</f>
        <v/>
      </c>
      <c r="AB188">
        <f>HYPERLINK("https://klasma.github.io/Logging_0883/klagomålsmail/A 46787-2022 FSC-klagomål mail.docx", "A 46787-2022")</f>
        <v/>
      </c>
      <c r="AC188">
        <f>HYPERLINK("https://klasma.github.io/Logging_0883/tillsyn/A 46787-2022 tillsynsbegäran.docx", "A 46787-2022")</f>
        <v/>
      </c>
      <c r="AD188">
        <f>HYPERLINK("https://klasma.github.io/Logging_0883/tillsynsmail/A 46787-2022 tillsynsbegäran mail.docx", "A 46787-2022")</f>
        <v/>
      </c>
    </row>
    <row r="189" ht="15" customHeight="1">
      <c r="A189" t="inlineStr">
        <is>
          <t>A 55408-2023</t>
        </is>
      </c>
      <c r="B189" t="inlineStr">
        <is>
          <t>avverkningsanmälan</t>
        </is>
      </c>
      <c r="C189" t="inlineStr">
        <is>
          <t>Föryngringsavverkning</t>
        </is>
      </c>
      <c r="D189" s="1" t="n">
        <v>45238</v>
      </c>
      <c r="E189" s="1" t="n">
        <v>46323</v>
      </c>
      <c r="F189" t="inlineStr">
        <is>
          <t>KALMAR LÄN</t>
        </is>
      </c>
      <c r="G189" t="inlineStr">
        <is>
          <t>VÄSTERVIK</t>
        </is>
      </c>
      <c r="I189" t="n">
        <v>2.8</v>
      </c>
      <c r="J189" t="n">
        <v>0</v>
      </c>
      <c r="K189" t="n">
        <v>0</v>
      </c>
      <c r="L189" t="n">
        <v>2</v>
      </c>
      <c r="M189" t="n">
        <v>0</v>
      </c>
      <c r="N189" t="n">
        <v>0</v>
      </c>
      <c r="O189" t="n">
        <v>0</v>
      </c>
      <c r="P189" t="n">
        <v>0</v>
      </c>
      <c r="Q189" t="n">
        <v>2</v>
      </c>
      <c r="R189" t="n">
        <v>0</v>
      </c>
      <c r="S189" t="n">
        <v>2</v>
      </c>
      <c r="T189" t="n">
        <v>6</v>
      </c>
      <c r="U189" t="n">
        <v>6</v>
      </c>
      <c r="V189" s="2" t="inlineStr">
        <is>
          <t>Ekticka
Tallticka</t>
        </is>
      </c>
      <c r="W189">
        <f>HYPERLINK("https://klasma.github.io/Logging_0883/artfynd/A 55408-2023 artfynd.xlsx", "A 55408-2023")</f>
        <v/>
      </c>
      <c r="X189">
        <f>HYPERLINK("https://klasma.github.io/Logging_0883/kartor/A 55408-2023 karta.png", "A 55408-2023")</f>
        <v/>
      </c>
      <c r="Y189">
        <f>HYPERLINK("https://klasma.github.io/Logging_0883/kartor_geotiff/A 55408-2023 georefererad karta.tif", "A 55408-2023")</f>
        <v/>
      </c>
      <c r="AA189">
        <f>HYPERLINK("https://klasma.github.io/Logging_0883/klagomål/A 55408-2023 FSC-klagomål.docx", "A 55408-2023")</f>
        <v/>
      </c>
      <c r="AB189">
        <f>HYPERLINK("https://klasma.github.io/Logging_0883/klagomålsmail/A 55408-2023 FSC-klagomål mail.docx", "A 55408-2023")</f>
        <v/>
      </c>
      <c r="AC189">
        <f>HYPERLINK("https://klasma.github.io/Logging_0883/tillsyn/A 55408-2023 tillsynsbegäran.docx", "A 55408-2023")</f>
        <v/>
      </c>
      <c r="AD189">
        <f>HYPERLINK("https://klasma.github.io/Logging_0883/tillsynsmail/A 55408-2023 tillsynsbegäran mail.docx", "A 55408-2023")</f>
        <v/>
      </c>
    </row>
    <row r="190" ht="15" customHeight="1">
      <c r="A190" t="inlineStr">
        <is>
          <t>A 14092-2025</t>
        </is>
      </c>
      <c r="B190" t="inlineStr">
        <is>
          <t>avverkningsanmälan</t>
        </is>
      </c>
      <c r="C190" t="inlineStr">
        <is>
          <t>Föryngringsavverkning</t>
        </is>
      </c>
      <c r="D190" s="1" t="n">
        <v>45740</v>
      </c>
      <c r="E190" s="1" t="n">
        <v>46323</v>
      </c>
      <c r="F190" t="inlineStr">
        <is>
          <t>KALMAR LÄN</t>
        </is>
      </c>
      <c r="G190" t="inlineStr">
        <is>
          <t>VÄSTERVIK</t>
        </is>
      </c>
      <c r="H190" t="inlineStr">
        <is>
          <t>Sveaskog</t>
        </is>
      </c>
      <c r="I190" t="n">
        <v>0.7</v>
      </c>
      <c r="J190" t="n">
        <v>2</v>
      </c>
      <c r="K190" t="n">
        <v>0</v>
      </c>
      <c r="L190" t="n">
        <v>1</v>
      </c>
      <c r="M190" t="n">
        <v>0</v>
      </c>
      <c r="N190" t="n">
        <v>0</v>
      </c>
      <c r="O190" t="n">
        <v>0</v>
      </c>
      <c r="P190" t="n">
        <v>0</v>
      </c>
      <c r="Q190" t="n">
        <v>1</v>
      </c>
      <c r="R190" t="n">
        <v>0</v>
      </c>
      <c r="S190" t="n">
        <v>2</v>
      </c>
      <c r="T190" t="n">
        <v>2</v>
      </c>
      <c r="U190" t="n">
        <v>2</v>
      </c>
      <c r="V190" s="2" t="inlineStr">
        <is>
          <t>Grönsångare
Åkergroda</t>
        </is>
      </c>
      <c r="W190">
        <f>HYPERLINK("https://klasma.github.io/Logging_0883/artfynd/A 14092-2025 artfynd.xlsx", "A 14092-2025")</f>
        <v/>
      </c>
      <c r="X190">
        <f>HYPERLINK("https://klasma.github.io/Logging_0883/kartor/A 14092-2025 karta.png", "A 14092-2025")</f>
        <v/>
      </c>
      <c r="Y190">
        <f>HYPERLINK("https://klasma.github.io/Logging_0883/kartor_geotiff/A 14092-2025 georefererad karta.tif", "A 14092-2025")</f>
        <v/>
      </c>
      <c r="AA190">
        <f>HYPERLINK("https://klasma.github.io/Logging_0883/klagomål/A 14092-2025 FSC-klagomål.docx", "A 14092-2025")</f>
        <v/>
      </c>
      <c r="AB190">
        <f>HYPERLINK("https://klasma.github.io/Logging_0883/klagomålsmail/A 14092-2025 FSC-klagomål mail.docx", "A 14092-2025")</f>
        <v/>
      </c>
      <c r="AC190">
        <f>HYPERLINK("https://klasma.github.io/Logging_0883/tillsyn/A 14092-2025 tillsynsbegäran.docx", "A 14092-2025")</f>
        <v/>
      </c>
      <c r="AD190">
        <f>HYPERLINK("https://klasma.github.io/Logging_0883/tillsynsmail/A 14092-2025 tillsynsbegäran mail.docx", "A 14092-2025")</f>
        <v/>
      </c>
      <c r="AE190">
        <f>HYPERLINK("https://klasma.github.io/Logging_0883/fåglar/A 14092-2025 prioriterade fågelarter.docx", "A 14092-2025")</f>
        <v/>
      </c>
    </row>
    <row r="191" ht="15" customHeight="1">
      <c r="A191" t="inlineStr">
        <is>
          <t>A 35236-2024</t>
        </is>
      </c>
      <c r="B191" t="inlineStr">
        <is>
          <t>avverkningsanmälan</t>
        </is>
      </c>
      <c r="C191" t="inlineStr">
        <is>
          <t>Föryngringsavverkning</t>
        </is>
      </c>
      <c r="D191" s="1" t="n">
        <v>45530</v>
      </c>
      <c r="E191" s="1" t="n">
        <v>46323</v>
      </c>
      <c r="F191" t="inlineStr">
        <is>
          <t>KALMAR LÄN</t>
        </is>
      </c>
      <c r="G191" t="inlineStr">
        <is>
          <t>VÄSTERVIK</t>
        </is>
      </c>
      <c r="I191" t="n">
        <v>0.9</v>
      </c>
      <c r="J191" t="n">
        <v>1</v>
      </c>
      <c r="K191" t="n">
        <v>1</v>
      </c>
      <c r="L191" t="n">
        <v>0</v>
      </c>
      <c r="M191" t="n">
        <v>1</v>
      </c>
      <c r="N191" t="n">
        <v>0</v>
      </c>
      <c r="O191" t="n">
        <v>0</v>
      </c>
      <c r="P191" t="n">
        <v>0</v>
      </c>
      <c r="Q191" t="n">
        <v>1</v>
      </c>
      <c r="R191" t="n">
        <v>1</v>
      </c>
      <c r="S191" t="n">
        <v>2</v>
      </c>
      <c r="T191" t="n">
        <v>4</v>
      </c>
      <c r="U191" t="n">
        <v>4</v>
      </c>
      <c r="V191" s="2" t="inlineStr">
        <is>
          <t>Knärot
Blåmossa</t>
        </is>
      </c>
      <c r="W191">
        <f>HYPERLINK("https://klasma.github.io/Logging_0883/artfynd/A 35236-2024 artfynd.xlsx", "A 35236-2024")</f>
        <v/>
      </c>
      <c r="X191">
        <f>HYPERLINK("https://klasma.github.io/Logging_0883/kartor/A 35236-2024 karta.png", "A 35236-2024")</f>
        <v/>
      </c>
      <c r="Y191">
        <f>HYPERLINK("https://klasma.github.io/Logging_0883/kartor_geotiff/A 35236-2024 georefererad karta.tif", "A 35236-2024")</f>
        <v/>
      </c>
      <c r="Z191">
        <f>HYPERLINK("https://klasma.github.io/Logging_0883/knärot/A 35236-2024 karta knärot.png", "A 35236-2024")</f>
        <v/>
      </c>
      <c r="AA191">
        <f>HYPERLINK("https://klasma.github.io/Logging_0883/klagomål/A 35236-2024 FSC-klagomål.docx", "A 35236-2024")</f>
        <v/>
      </c>
      <c r="AB191">
        <f>HYPERLINK("https://klasma.github.io/Logging_0883/klagomålsmail/A 35236-2024 FSC-klagomål mail.docx", "A 35236-2024")</f>
        <v/>
      </c>
      <c r="AC191">
        <f>HYPERLINK("https://klasma.github.io/Logging_0883/tillsyn/A 35236-2024 tillsynsbegäran.docx", "A 35236-2024")</f>
        <v/>
      </c>
      <c r="AD191">
        <f>HYPERLINK("https://klasma.github.io/Logging_0883/tillsynsmail/A 35236-2024 tillsynsbegäran mail.docx", "A 35236-2024")</f>
        <v/>
      </c>
    </row>
    <row r="192" ht="15" customHeight="1">
      <c r="A192" t="inlineStr">
        <is>
          <t>A 45721-2022</t>
        </is>
      </c>
      <c r="B192" t="inlineStr">
        <is>
          <t>avverkningsanmälan</t>
        </is>
      </c>
      <c r="C192" t="inlineStr">
        <is>
          <t>Föryngringsavverkning</t>
        </is>
      </c>
      <c r="D192" s="1" t="n">
        <v>44845</v>
      </c>
      <c r="E192" s="1" t="n">
        <v>46323</v>
      </c>
      <c r="F192" t="inlineStr">
        <is>
          <t>KALMAR LÄN</t>
        </is>
      </c>
      <c r="G192" t="inlineStr">
        <is>
          <t>VÄSTERVIK</t>
        </is>
      </c>
      <c r="H192" t="inlineStr">
        <is>
          <t>Holmen skog AB</t>
        </is>
      </c>
      <c r="I192" t="n">
        <v>3.3</v>
      </c>
      <c r="J192" t="n">
        <v>1</v>
      </c>
      <c r="K192" t="n">
        <v>1</v>
      </c>
      <c r="L192" t="n">
        <v>0</v>
      </c>
      <c r="M192" t="n">
        <v>1</v>
      </c>
      <c r="N192" t="n">
        <v>0</v>
      </c>
      <c r="O192" t="n">
        <v>0</v>
      </c>
      <c r="P192" t="n">
        <v>0</v>
      </c>
      <c r="Q192" t="n">
        <v>1</v>
      </c>
      <c r="R192" t="n">
        <v>1</v>
      </c>
      <c r="S192" t="n">
        <v>2</v>
      </c>
      <c r="T192" t="n">
        <v>6</v>
      </c>
      <c r="U192" t="n">
        <v>6</v>
      </c>
      <c r="V192" s="2" t="inlineStr">
        <is>
          <t>Knärot
Blåmossa</t>
        </is>
      </c>
      <c r="W192">
        <f>HYPERLINK("https://klasma.github.io/Logging_0883/artfynd/A 45721-2022 artfynd.xlsx", "A 45721-2022")</f>
        <v/>
      </c>
      <c r="X192">
        <f>HYPERLINK("https://klasma.github.io/Logging_0883/kartor/A 45721-2022 karta.png", "A 45721-2022")</f>
        <v/>
      </c>
      <c r="Y192">
        <f>HYPERLINK("https://klasma.github.io/Logging_0883/kartor_geotiff/A 45721-2022 georefererad karta.tif", "A 45721-2022")</f>
        <v/>
      </c>
      <c r="Z192">
        <f>HYPERLINK("https://klasma.github.io/Logging_0883/knärot/A 45721-2022 karta knärot.png", "A 45721-2022")</f>
        <v/>
      </c>
      <c r="AA192">
        <f>HYPERLINK("https://klasma.github.io/Logging_0883/klagomål/A 45721-2022 FSC-klagomål.docx", "A 45721-2022")</f>
        <v/>
      </c>
      <c r="AB192">
        <f>HYPERLINK("https://klasma.github.io/Logging_0883/klagomålsmail/A 45721-2022 FSC-klagomål mail.docx", "A 45721-2022")</f>
        <v/>
      </c>
      <c r="AC192">
        <f>HYPERLINK("https://klasma.github.io/Logging_0883/tillsyn/A 45721-2022 tillsynsbegäran.docx", "A 45721-2022")</f>
        <v/>
      </c>
      <c r="AD192">
        <f>HYPERLINK("https://klasma.github.io/Logging_0883/tillsynsmail/A 45721-2022 tillsynsbegäran mail.docx", "A 45721-2022")</f>
        <v/>
      </c>
    </row>
    <row r="193" ht="15" customHeight="1">
      <c r="A193" t="inlineStr">
        <is>
          <t>A 62008-2023</t>
        </is>
      </c>
      <c r="B193" t="inlineStr">
        <is>
          <t>avverkningsanmälan</t>
        </is>
      </c>
      <c r="C193" t="inlineStr">
        <is>
          <t>Föryngringsavverkning</t>
        </is>
      </c>
      <c r="D193" s="1" t="n">
        <v>45266</v>
      </c>
      <c r="E193" s="1" t="n">
        <v>46323</v>
      </c>
      <c r="F193" t="inlineStr">
        <is>
          <t>KALMAR LÄN</t>
        </is>
      </c>
      <c r="G193" t="inlineStr">
        <is>
          <t>VÄSTERVIK</t>
        </is>
      </c>
      <c r="I193" t="n">
        <v>4</v>
      </c>
      <c r="J193" t="n">
        <v>2</v>
      </c>
      <c r="K193" t="n">
        <v>0</v>
      </c>
      <c r="L193" t="n">
        <v>1</v>
      </c>
      <c r="M193" t="n">
        <v>1</v>
      </c>
      <c r="N193" t="n">
        <v>0</v>
      </c>
      <c r="O193" t="n">
        <v>0</v>
      </c>
      <c r="P193" t="n">
        <v>0</v>
      </c>
      <c r="Q193" t="n">
        <v>2</v>
      </c>
      <c r="R193" t="n">
        <v>1</v>
      </c>
      <c r="S193" t="n">
        <v>2</v>
      </c>
      <c r="T193" t="n">
        <v>3</v>
      </c>
      <c r="U193" t="n">
        <v>3</v>
      </c>
      <c r="V193" s="2" t="inlineStr">
        <is>
          <t>Knärot
Talltita</t>
        </is>
      </c>
      <c r="W193">
        <f>HYPERLINK("https://klasma.github.io/Logging_0883/artfynd/A 62008-2023 artfynd.xlsx", "A 62008-2023")</f>
        <v/>
      </c>
      <c r="X193">
        <f>HYPERLINK("https://klasma.github.io/Logging_0883/kartor/A 62008-2023 karta.png", "A 62008-2023")</f>
        <v/>
      </c>
      <c r="Y193">
        <f>HYPERLINK("https://klasma.github.io/Logging_0883/kartor_geotiff/A 62008-2023 georefererad karta.tif", "A 62008-2023")</f>
        <v/>
      </c>
      <c r="Z193">
        <f>HYPERLINK("https://klasma.github.io/Logging_0883/knärot/A 62008-2023 karta knärot.png", "A 62008-2023")</f>
        <v/>
      </c>
      <c r="AA193">
        <f>HYPERLINK("https://klasma.github.io/Logging_0883/klagomål/A 62008-2023 FSC-klagomål.docx", "A 62008-2023")</f>
        <v/>
      </c>
      <c r="AB193">
        <f>HYPERLINK("https://klasma.github.io/Logging_0883/klagomålsmail/A 62008-2023 FSC-klagomål mail.docx", "A 62008-2023")</f>
        <v/>
      </c>
      <c r="AC193">
        <f>HYPERLINK("https://klasma.github.io/Logging_0883/tillsyn/A 62008-2023 tillsynsbegäran.docx", "A 62008-2023")</f>
        <v/>
      </c>
      <c r="AD193">
        <f>HYPERLINK("https://klasma.github.io/Logging_0883/tillsynsmail/A 62008-2023 tillsynsbegäran mail.docx", "A 62008-2023")</f>
        <v/>
      </c>
      <c r="AE193">
        <f>HYPERLINK("https://klasma.github.io/Logging_0883/fåglar/A 62008-2023 prioriterade fågelarter.docx", "A 62008-2023")</f>
        <v/>
      </c>
    </row>
    <row r="194" ht="15" customHeight="1">
      <c r="A194" t="inlineStr">
        <is>
          <t>A 9040-2023</t>
        </is>
      </c>
      <c r="B194" t="inlineStr">
        <is>
          <t>avverkningsanmälan</t>
        </is>
      </c>
      <c r="C194" t="inlineStr">
        <is>
          <t>Föryngringsavverkning</t>
        </is>
      </c>
      <c r="D194" s="1" t="n">
        <v>44979</v>
      </c>
      <c r="E194" s="1" t="n">
        <v>46323</v>
      </c>
      <c r="F194" t="inlineStr">
        <is>
          <t>KALMAR LÄN</t>
        </is>
      </c>
      <c r="G194" t="inlineStr">
        <is>
          <t>VÄSTERVIK</t>
        </is>
      </c>
      <c r="I194" t="n">
        <v>5.1</v>
      </c>
      <c r="J194" t="n">
        <v>1</v>
      </c>
      <c r="K194" t="n">
        <v>1</v>
      </c>
      <c r="L194" t="n">
        <v>0</v>
      </c>
      <c r="M194" t="n">
        <v>1</v>
      </c>
      <c r="N194" t="n">
        <v>0</v>
      </c>
      <c r="O194" t="n">
        <v>0</v>
      </c>
      <c r="P194" t="n">
        <v>0</v>
      </c>
      <c r="Q194" t="n">
        <v>1</v>
      </c>
      <c r="R194" t="n">
        <v>1</v>
      </c>
      <c r="S194" t="n">
        <v>2</v>
      </c>
      <c r="T194" t="n">
        <v>2</v>
      </c>
      <c r="U194" t="n">
        <v>2</v>
      </c>
      <c r="V194" s="2" t="inlineStr">
        <is>
          <t>Knärot
Grönpyrola</t>
        </is>
      </c>
      <c r="W194">
        <f>HYPERLINK("https://klasma.github.io/Logging_0883/artfynd/A 9040-2023 artfynd.xlsx", "A 9040-2023")</f>
        <v/>
      </c>
      <c r="X194">
        <f>HYPERLINK("https://klasma.github.io/Logging_0883/kartor/A 9040-2023 karta.png", "A 9040-2023")</f>
        <v/>
      </c>
      <c r="Y194">
        <f>HYPERLINK("https://klasma.github.io/Logging_0883/kartor_geotiff/A 9040-2023 georefererad karta.tif", "A 9040-2023")</f>
        <v/>
      </c>
      <c r="Z194">
        <f>HYPERLINK("https://klasma.github.io/Logging_0883/knärot/A 9040-2023 karta knärot.png", "A 9040-2023")</f>
        <v/>
      </c>
      <c r="AA194">
        <f>HYPERLINK("https://klasma.github.io/Logging_0883/klagomål/A 9040-2023 FSC-klagomål.docx", "A 9040-2023")</f>
        <v/>
      </c>
      <c r="AB194">
        <f>HYPERLINK("https://klasma.github.io/Logging_0883/klagomålsmail/A 9040-2023 FSC-klagomål mail.docx", "A 9040-2023")</f>
        <v/>
      </c>
      <c r="AC194">
        <f>HYPERLINK("https://klasma.github.io/Logging_0883/tillsyn/A 9040-2023 tillsynsbegäran.docx", "A 9040-2023")</f>
        <v/>
      </c>
      <c r="AD194">
        <f>HYPERLINK("https://klasma.github.io/Logging_0883/tillsynsmail/A 9040-2023 tillsynsbegäran mail.docx", "A 9040-2023")</f>
        <v/>
      </c>
    </row>
    <row r="195" ht="15" customHeight="1">
      <c r="A195" t="inlineStr">
        <is>
          <t>A 14071-2025</t>
        </is>
      </c>
      <c r="B195" t="inlineStr">
        <is>
          <t>avverkningsanmälan</t>
        </is>
      </c>
      <c r="C195" t="inlineStr">
        <is>
          <t>Föryngringsavverkning</t>
        </is>
      </c>
      <c r="D195" s="1" t="n">
        <v>45740</v>
      </c>
      <c r="E195" s="1" t="n">
        <v>46323</v>
      </c>
      <c r="F195" t="inlineStr">
        <is>
          <t>KALMAR LÄN</t>
        </is>
      </c>
      <c r="G195" t="inlineStr">
        <is>
          <t>VÄSTERVIK</t>
        </is>
      </c>
      <c r="H195" t="inlineStr">
        <is>
          <t>Sveaskog</t>
        </is>
      </c>
      <c r="I195" t="n">
        <v>1.9</v>
      </c>
      <c r="J195" t="n">
        <v>2</v>
      </c>
      <c r="K195" t="n">
        <v>0</v>
      </c>
      <c r="L195" t="n">
        <v>1</v>
      </c>
      <c r="M195" t="n">
        <v>0</v>
      </c>
      <c r="N195" t="n">
        <v>0</v>
      </c>
      <c r="O195" t="n">
        <v>0</v>
      </c>
      <c r="P195" t="n">
        <v>0</v>
      </c>
      <c r="Q195" t="n">
        <v>1</v>
      </c>
      <c r="R195" t="n">
        <v>0</v>
      </c>
      <c r="S195" t="n">
        <v>2</v>
      </c>
      <c r="T195" t="n">
        <v>2</v>
      </c>
      <c r="U195" t="n">
        <v>2</v>
      </c>
      <c r="V195" s="2" t="inlineStr">
        <is>
          <t>Entita
Skogsduva</t>
        </is>
      </c>
      <c r="W195">
        <f>HYPERLINK("https://klasma.github.io/Logging_0883/artfynd/A 14071-2025 artfynd.xlsx", "A 14071-2025")</f>
        <v/>
      </c>
      <c r="X195">
        <f>HYPERLINK("https://klasma.github.io/Logging_0883/kartor/A 14071-2025 karta.png", "A 14071-2025")</f>
        <v/>
      </c>
      <c r="Y195">
        <f>HYPERLINK("https://klasma.github.io/Logging_0883/kartor_geotiff/A 14071-2025 georefererad karta.tif", "A 14071-2025")</f>
        <v/>
      </c>
      <c r="AA195">
        <f>HYPERLINK("https://klasma.github.io/Logging_0883/klagomål/A 14071-2025 FSC-klagomål.docx", "A 14071-2025")</f>
        <v/>
      </c>
      <c r="AB195">
        <f>HYPERLINK("https://klasma.github.io/Logging_0883/klagomålsmail/A 14071-2025 FSC-klagomål mail.docx", "A 14071-2025")</f>
        <v/>
      </c>
      <c r="AC195">
        <f>HYPERLINK("https://klasma.github.io/Logging_0883/tillsyn/A 14071-2025 tillsynsbegäran.docx", "A 14071-2025")</f>
        <v/>
      </c>
      <c r="AD195">
        <f>HYPERLINK("https://klasma.github.io/Logging_0883/tillsynsmail/A 14071-2025 tillsynsbegäran mail.docx", "A 14071-2025")</f>
        <v/>
      </c>
      <c r="AE195">
        <f>HYPERLINK("https://klasma.github.io/Logging_0883/fåglar/A 14071-2025 prioriterade fågelarter.docx", "A 14071-2025")</f>
        <v/>
      </c>
    </row>
    <row r="196" ht="15" customHeight="1">
      <c r="A196" t="inlineStr">
        <is>
          <t>A 48877-2025</t>
        </is>
      </c>
      <c r="B196" t="inlineStr">
        <is>
          <t>avverkningsanmälan</t>
        </is>
      </c>
      <c r="C196" t="inlineStr">
        <is>
          <t>Avverkning för att bevara och utveckla /försöksver</t>
        </is>
      </c>
      <c r="D196" s="1" t="n">
        <v>45937</v>
      </c>
      <c r="E196" s="1" t="n">
        <v>46323</v>
      </c>
      <c r="F196" t="inlineStr">
        <is>
          <t>KALMAR LÄN</t>
        </is>
      </c>
      <c r="G196" t="inlineStr">
        <is>
          <t>VÄSTERVIK</t>
        </is>
      </c>
      <c r="H196" t="inlineStr">
        <is>
          <t>Sveaskog</t>
        </is>
      </c>
      <c r="I196" t="n">
        <v>1.9</v>
      </c>
      <c r="J196" t="n">
        <v>1</v>
      </c>
      <c r="K196" t="n">
        <v>1</v>
      </c>
      <c r="L196" t="n">
        <v>0</v>
      </c>
      <c r="M196" t="n">
        <v>0</v>
      </c>
      <c r="N196" t="n">
        <v>0</v>
      </c>
      <c r="O196" t="n">
        <v>0</v>
      </c>
      <c r="P196" t="n">
        <v>0</v>
      </c>
      <c r="Q196" t="n">
        <v>0</v>
      </c>
      <c r="R196" t="n">
        <v>0</v>
      </c>
      <c r="S196" t="n">
        <v>2</v>
      </c>
      <c r="T196" t="n">
        <v>2</v>
      </c>
      <c r="U196" t="n">
        <v>0</v>
      </c>
      <c r="V196" s="2" t="inlineStr">
        <is>
          <t>Fällmossa
Blåsippa</t>
        </is>
      </c>
      <c r="W196">
        <f>HYPERLINK("https://klasma.github.io/Logging_0883/artfynd/A 48877-2025 artfynd.xlsx", "A 48877-2025")</f>
        <v/>
      </c>
      <c r="X196">
        <f>HYPERLINK("https://klasma.github.io/Logging_0883/kartor/A 48877-2025 karta.png", "A 48877-2025")</f>
        <v/>
      </c>
      <c r="Y196">
        <f>HYPERLINK("https://klasma.github.io/Logging_0883/kartor_geotiff/A 48877-2025 georefererad karta.tif", "A 48877-2025")</f>
        <v/>
      </c>
      <c r="AA196">
        <f>HYPERLINK("https://klasma.github.io/Logging_0883/klagomål/A 48877-2025 FSC-klagomål.docx", "A 48877-2025")</f>
        <v/>
      </c>
      <c r="AB196">
        <f>HYPERLINK("https://klasma.github.io/Logging_0883/klagomålsmail/A 48877-2025 FSC-klagomål mail.docx", "A 48877-2025")</f>
        <v/>
      </c>
      <c r="AC196">
        <f>HYPERLINK("https://klasma.github.io/Logging_0883/tillsyn/A 48877-2025 tillsynsbegäran.docx", "A 48877-2025")</f>
        <v/>
      </c>
      <c r="AD196">
        <f>HYPERLINK("https://klasma.github.io/Logging_0883/tillsynsmail/A 48877-2025 tillsynsbegäran mail.docx", "A 48877-2025")</f>
        <v/>
      </c>
    </row>
    <row r="197" ht="15" customHeight="1">
      <c r="A197" t="inlineStr">
        <is>
          <t>A 48892-2025</t>
        </is>
      </c>
      <c r="B197" t="inlineStr">
        <is>
          <t>avverkningsanmälan</t>
        </is>
      </c>
      <c r="C197" t="inlineStr">
        <is>
          <t>Avverkning för att bevara och utveckla /försöksver</t>
        </is>
      </c>
      <c r="D197" s="1" t="n">
        <v>45937</v>
      </c>
      <c r="E197" s="1" t="n">
        <v>46323</v>
      </c>
      <c r="F197" t="inlineStr">
        <is>
          <t>KALMAR LÄN</t>
        </is>
      </c>
      <c r="G197" t="inlineStr">
        <is>
          <t>VÄSTERVIK</t>
        </is>
      </c>
      <c r="H197" t="inlineStr">
        <is>
          <t>Sveaskog</t>
        </is>
      </c>
      <c r="I197" t="n">
        <v>1.4</v>
      </c>
      <c r="J197" t="n">
        <v>1</v>
      </c>
      <c r="K197" t="n">
        <v>1</v>
      </c>
      <c r="L197" t="n">
        <v>0</v>
      </c>
      <c r="M197" t="n">
        <v>0</v>
      </c>
      <c r="N197" t="n">
        <v>0</v>
      </c>
      <c r="O197" t="n">
        <v>0</v>
      </c>
      <c r="P197" t="n">
        <v>0</v>
      </c>
      <c r="Q197" t="n">
        <v>0</v>
      </c>
      <c r="R197" t="n">
        <v>0</v>
      </c>
      <c r="S197" t="n">
        <v>2</v>
      </c>
      <c r="T197" t="n">
        <v>2</v>
      </c>
      <c r="U197" t="n">
        <v>0</v>
      </c>
      <c r="V197" s="2" t="inlineStr">
        <is>
          <t>Fällmossa
Blåsippa</t>
        </is>
      </c>
      <c r="W197">
        <f>HYPERLINK("https://klasma.github.io/Logging_0883/artfynd/A 48892-2025 artfynd.xlsx", "A 48892-2025")</f>
        <v/>
      </c>
      <c r="X197">
        <f>HYPERLINK("https://klasma.github.io/Logging_0883/kartor/A 48892-2025 karta.png", "A 48892-2025")</f>
        <v/>
      </c>
      <c r="Y197">
        <f>HYPERLINK("https://klasma.github.io/Logging_0883/kartor_geotiff/A 48892-2025 georefererad karta.tif", "A 48892-2025")</f>
        <v/>
      </c>
      <c r="AA197">
        <f>HYPERLINK("https://klasma.github.io/Logging_0883/klagomål/A 48892-2025 FSC-klagomål.docx", "A 48892-2025")</f>
        <v/>
      </c>
      <c r="AB197">
        <f>HYPERLINK("https://klasma.github.io/Logging_0883/klagomålsmail/A 48892-2025 FSC-klagomål mail.docx", "A 48892-2025")</f>
        <v/>
      </c>
      <c r="AC197">
        <f>HYPERLINK("https://klasma.github.io/Logging_0883/tillsyn/A 48892-2025 tillsynsbegäran.docx", "A 48892-2025")</f>
        <v/>
      </c>
      <c r="AD197">
        <f>HYPERLINK("https://klasma.github.io/Logging_0883/tillsynsmail/A 48892-2025 tillsynsbegäran mail.docx", "A 48892-2025")</f>
        <v/>
      </c>
    </row>
    <row r="198" ht="15" customHeight="1">
      <c r="A198" t="inlineStr">
        <is>
          <t>A 8618-2024</t>
        </is>
      </c>
      <c r="B198" t="inlineStr">
        <is>
          <t>avverkningsanmälan</t>
        </is>
      </c>
      <c r="C198" t="inlineStr">
        <is>
          <t>Föryngringsavverkning</t>
        </is>
      </c>
      <c r="D198" s="1" t="n">
        <v>45355</v>
      </c>
      <c r="E198" s="1" t="n">
        <v>46323</v>
      </c>
      <c r="F198" t="inlineStr">
        <is>
          <t>KALMAR LÄN</t>
        </is>
      </c>
      <c r="G198" t="inlineStr">
        <is>
          <t>VÄSTERVIK</t>
        </is>
      </c>
      <c r="I198" t="n">
        <v>4.3</v>
      </c>
      <c r="J198" t="n">
        <v>1</v>
      </c>
      <c r="K198" t="n">
        <v>0</v>
      </c>
      <c r="L198" t="n">
        <v>1</v>
      </c>
      <c r="M198" t="n">
        <v>1</v>
      </c>
      <c r="N198" t="n">
        <v>0</v>
      </c>
      <c r="O198" t="n">
        <v>0</v>
      </c>
      <c r="P198" t="n">
        <v>0</v>
      </c>
      <c r="Q198" t="n">
        <v>2</v>
      </c>
      <c r="R198" t="n">
        <v>1</v>
      </c>
      <c r="S198" t="n">
        <v>2</v>
      </c>
      <c r="T198" t="n">
        <v>8</v>
      </c>
      <c r="U198" t="n">
        <v>8</v>
      </c>
      <c r="V198" s="2" t="inlineStr">
        <is>
          <t>Knärot
Tallticka</t>
        </is>
      </c>
      <c r="W198">
        <f>HYPERLINK("https://klasma.github.io/Logging_0883/artfynd/A 8618-2024 artfynd.xlsx", "A 8618-2024")</f>
        <v/>
      </c>
      <c r="X198">
        <f>HYPERLINK("https://klasma.github.io/Logging_0883/kartor/A 8618-2024 karta.png", "A 8618-2024")</f>
        <v/>
      </c>
      <c r="Y198">
        <f>HYPERLINK("https://klasma.github.io/Logging_0883/kartor_geotiff/A 8618-2024 georefererad karta.tif", "A 8618-2024")</f>
        <v/>
      </c>
      <c r="Z198">
        <f>HYPERLINK("https://klasma.github.io/Logging_0883/knärot/A 8618-2024 karta knärot.png", "A 8618-2024")</f>
        <v/>
      </c>
      <c r="AA198">
        <f>HYPERLINK("https://klasma.github.io/Logging_0883/klagomål/A 8618-2024 FSC-klagomål.docx", "A 8618-2024")</f>
        <v/>
      </c>
      <c r="AB198">
        <f>HYPERLINK("https://klasma.github.io/Logging_0883/klagomålsmail/A 8618-2024 FSC-klagomål mail.docx", "A 8618-2024")</f>
        <v/>
      </c>
      <c r="AC198">
        <f>HYPERLINK("https://klasma.github.io/Logging_0883/tillsyn/A 8618-2024 tillsynsbegäran.docx", "A 8618-2024")</f>
        <v/>
      </c>
      <c r="AD198">
        <f>HYPERLINK("https://klasma.github.io/Logging_0883/tillsynsmail/A 8618-2024 tillsynsbegäran mail.docx", "A 8618-2024")</f>
        <v/>
      </c>
    </row>
    <row r="199" ht="15" customHeight="1">
      <c r="A199" t="inlineStr">
        <is>
          <t>A 32649-2023</t>
        </is>
      </c>
      <c r="B199" t="inlineStr">
        <is>
          <t>avverkningsanmälan</t>
        </is>
      </c>
      <c r="C199" t="inlineStr">
        <is>
          <t>Föryngringsavverkning</t>
        </is>
      </c>
      <c r="D199" s="1" t="n">
        <v>45121</v>
      </c>
      <c r="E199" s="1" t="n">
        <v>46323</v>
      </c>
      <c r="F199" t="inlineStr">
        <is>
          <t>KALMAR LÄN</t>
        </is>
      </c>
      <c r="G199" t="inlineStr">
        <is>
          <t>VÄSTERVIK</t>
        </is>
      </c>
      <c r="I199" t="n">
        <v>1.7</v>
      </c>
      <c r="J199" t="n">
        <v>1</v>
      </c>
      <c r="K199" t="n">
        <v>1</v>
      </c>
      <c r="L199" t="n">
        <v>0</v>
      </c>
      <c r="M199" t="n">
        <v>1</v>
      </c>
      <c r="N199" t="n">
        <v>0</v>
      </c>
      <c r="O199" t="n">
        <v>0</v>
      </c>
      <c r="P199" t="n">
        <v>0</v>
      </c>
      <c r="Q199" t="n">
        <v>1</v>
      </c>
      <c r="R199" t="n">
        <v>1</v>
      </c>
      <c r="S199" t="n">
        <v>2</v>
      </c>
      <c r="T199" t="n">
        <v>8</v>
      </c>
      <c r="U199" t="n">
        <v>8</v>
      </c>
      <c r="V199" s="2" t="inlineStr">
        <is>
          <t>Knärot
Blåmossa</t>
        </is>
      </c>
      <c r="W199">
        <f>HYPERLINK("https://klasma.github.io/Logging_0883/artfynd/A 32649-2023 artfynd.xlsx", "A 32649-2023")</f>
        <v/>
      </c>
      <c r="X199">
        <f>HYPERLINK("https://klasma.github.io/Logging_0883/kartor/A 32649-2023 karta.png", "A 32649-2023")</f>
        <v/>
      </c>
      <c r="Y199">
        <f>HYPERLINK("https://klasma.github.io/Logging_0883/kartor_geotiff/A 32649-2023 georefererad karta.tif", "A 32649-2023")</f>
        <v/>
      </c>
      <c r="Z199">
        <f>HYPERLINK("https://klasma.github.io/Logging_0883/knärot/A 32649-2023 karta knärot.png", "A 32649-2023")</f>
        <v/>
      </c>
      <c r="AA199">
        <f>HYPERLINK("https://klasma.github.io/Logging_0883/klagomål/A 32649-2023 FSC-klagomål.docx", "A 32649-2023")</f>
        <v/>
      </c>
      <c r="AB199">
        <f>HYPERLINK("https://klasma.github.io/Logging_0883/klagomålsmail/A 32649-2023 FSC-klagomål mail.docx", "A 32649-2023")</f>
        <v/>
      </c>
      <c r="AC199">
        <f>HYPERLINK("https://klasma.github.io/Logging_0883/tillsyn/A 32649-2023 tillsynsbegäran.docx", "A 32649-2023")</f>
        <v/>
      </c>
      <c r="AD199">
        <f>HYPERLINK("https://klasma.github.io/Logging_0883/tillsynsmail/A 32649-2023 tillsynsbegäran mail.docx", "A 32649-2023")</f>
        <v/>
      </c>
    </row>
    <row r="200" ht="15" customHeight="1">
      <c r="A200" t="inlineStr">
        <is>
          <t>A 53129-2025</t>
        </is>
      </c>
      <c r="B200" t="inlineStr">
        <is>
          <t>avverkningsanmälan</t>
        </is>
      </c>
      <c r="C200" t="inlineStr">
        <is>
          <t>Föryngringsavverkning</t>
        </is>
      </c>
      <c r="D200" s="1" t="n">
        <v>45958</v>
      </c>
      <c r="E200" s="1" t="n">
        <v>46323</v>
      </c>
      <c r="F200" t="inlineStr">
        <is>
          <t>KALMAR LÄN</t>
        </is>
      </c>
      <c r="G200" t="inlineStr">
        <is>
          <t>VÄSTERVIK</t>
        </is>
      </c>
      <c r="I200" t="n">
        <v>4.1</v>
      </c>
      <c r="J200" t="n">
        <v>2</v>
      </c>
      <c r="K200" t="n">
        <v>1</v>
      </c>
      <c r="L200" t="n">
        <v>0</v>
      </c>
      <c r="M200" t="n">
        <v>0</v>
      </c>
      <c r="N200" t="n">
        <v>0</v>
      </c>
      <c r="O200" t="n">
        <v>0</v>
      </c>
      <c r="P200" t="n">
        <v>0</v>
      </c>
      <c r="Q200" t="n">
        <v>0</v>
      </c>
      <c r="R200" t="n">
        <v>0</v>
      </c>
      <c r="S200" t="n">
        <v>2</v>
      </c>
      <c r="T200" t="n">
        <v>2</v>
      </c>
      <c r="U200" t="n">
        <v>1</v>
      </c>
      <c r="V200" s="2" t="inlineStr">
        <is>
          <t>Skogsknipprot
Spillkråka</t>
        </is>
      </c>
      <c r="W200">
        <f>HYPERLINK("https://klasma.github.io/Logging_0883/artfynd/A 53129-2025 artfynd.xlsx", "A 53129-2025")</f>
        <v/>
      </c>
      <c r="X200">
        <f>HYPERLINK("https://klasma.github.io/Logging_0883/kartor/A 53129-2025 karta.png", "A 53129-2025")</f>
        <v/>
      </c>
      <c r="Y200">
        <f>HYPERLINK("https://klasma.github.io/Logging_0883/kartor_geotiff/A 53129-2025 georefererad karta.tif", "A 53129-2025")</f>
        <v/>
      </c>
      <c r="AA200">
        <f>HYPERLINK("https://klasma.github.io/Logging_0883/klagomål/A 53129-2025 FSC-klagomål.docx", "A 53129-2025")</f>
        <v/>
      </c>
      <c r="AB200">
        <f>HYPERLINK("https://klasma.github.io/Logging_0883/klagomålsmail/A 53129-2025 FSC-klagomål mail.docx", "A 53129-2025")</f>
        <v/>
      </c>
      <c r="AC200">
        <f>HYPERLINK("https://klasma.github.io/Logging_0883/tillsyn/A 53129-2025 tillsynsbegäran.docx", "A 53129-2025")</f>
        <v/>
      </c>
      <c r="AD200">
        <f>HYPERLINK("https://klasma.github.io/Logging_0883/tillsynsmail/A 53129-2025 tillsynsbegäran mail.docx", "A 53129-2025")</f>
        <v/>
      </c>
      <c r="AE200">
        <f>HYPERLINK("https://klasma.github.io/Logging_0883/fåglar/A 53129-2025 prioriterade fågelarter.docx", "A 53129-2025")</f>
        <v/>
      </c>
    </row>
    <row r="201" ht="15" customHeight="1">
      <c r="A201" t="inlineStr">
        <is>
          <t>A 2515-2023</t>
        </is>
      </c>
      <c r="B201" t="inlineStr">
        <is>
          <t>avverkningsanmälan</t>
        </is>
      </c>
      <c r="C201" t="inlineStr">
        <is>
          <t>Föryngringsavverkning</t>
        </is>
      </c>
      <c r="D201" s="1" t="n">
        <v>44943</v>
      </c>
      <c r="E201" s="1" t="n">
        <v>46323</v>
      </c>
      <c r="F201" t="inlineStr">
        <is>
          <t>KALMAR LÄN</t>
        </is>
      </c>
      <c r="G201" t="inlineStr">
        <is>
          <t>VÄSTERVIK</t>
        </is>
      </c>
      <c r="I201" t="n">
        <v>1.3</v>
      </c>
      <c r="J201" t="n">
        <v>1</v>
      </c>
      <c r="K201" t="n">
        <v>1</v>
      </c>
      <c r="L201" t="n">
        <v>0</v>
      </c>
      <c r="M201" t="n">
        <v>1</v>
      </c>
      <c r="N201" t="n">
        <v>0</v>
      </c>
      <c r="O201" t="n">
        <v>0</v>
      </c>
      <c r="P201" t="n">
        <v>0</v>
      </c>
      <c r="Q201" t="n">
        <v>1</v>
      </c>
      <c r="R201" t="n">
        <v>1</v>
      </c>
      <c r="S201" t="n">
        <v>2</v>
      </c>
      <c r="T201" t="n">
        <v>3</v>
      </c>
      <c r="U201" t="n">
        <v>3</v>
      </c>
      <c r="V201" s="2" t="inlineStr">
        <is>
          <t>Knärot
Grönpyrola</t>
        </is>
      </c>
      <c r="W201">
        <f>HYPERLINK("https://klasma.github.io/Logging_0883/artfynd/A 2515-2023 artfynd.xlsx", "A 2515-2023")</f>
        <v/>
      </c>
      <c r="X201">
        <f>HYPERLINK("https://klasma.github.io/Logging_0883/kartor/A 2515-2023 karta.png", "A 2515-2023")</f>
        <v/>
      </c>
      <c r="Y201">
        <f>HYPERLINK("https://klasma.github.io/Logging_0883/kartor_geotiff/A 2515-2023 georefererad karta.tif", "A 2515-2023")</f>
        <v/>
      </c>
      <c r="Z201">
        <f>HYPERLINK("https://klasma.github.io/Logging_0883/knärot/A 2515-2023 karta knärot.png", "A 2515-2023")</f>
        <v/>
      </c>
      <c r="AA201">
        <f>HYPERLINK("https://klasma.github.io/Logging_0883/klagomål/A 2515-2023 FSC-klagomål.docx", "A 2515-2023")</f>
        <v/>
      </c>
      <c r="AB201">
        <f>HYPERLINK("https://klasma.github.io/Logging_0883/klagomålsmail/A 2515-2023 FSC-klagomål mail.docx", "A 2515-2023")</f>
        <v/>
      </c>
      <c r="AC201">
        <f>HYPERLINK("https://klasma.github.io/Logging_0883/tillsyn/A 2515-2023 tillsynsbegäran.docx", "A 2515-2023")</f>
        <v/>
      </c>
      <c r="AD201">
        <f>HYPERLINK("https://klasma.github.io/Logging_0883/tillsynsmail/A 2515-2023 tillsynsbegäran mail.docx", "A 2515-2023")</f>
        <v/>
      </c>
    </row>
    <row r="202" ht="15" customHeight="1">
      <c r="A202" t="inlineStr">
        <is>
          <t>A 47112-2023</t>
        </is>
      </c>
      <c r="B202" t="inlineStr">
        <is>
          <t>avverkningsanmälan</t>
        </is>
      </c>
      <c r="C202" t="inlineStr">
        <is>
          <t>Föryngringsavverkning</t>
        </is>
      </c>
      <c r="D202" s="1" t="n">
        <v>45201</v>
      </c>
      <c r="E202" s="1" t="n">
        <v>46323</v>
      </c>
      <c r="F202" t="inlineStr">
        <is>
          <t>KALMAR LÄN</t>
        </is>
      </c>
      <c r="G202" t="inlineStr">
        <is>
          <t>VÄSTERVIK</t>
        </is>
      </c>
      <c r="I202" t="n">
        <v>1</v>
      </c>
      <c r="J202" t="n">
        <v>1</v>
      </c>
      <c r="K202" t="n">
        <v>0</v>
      </c>
      <c r="L202" t="n">
        <v>2</v>
      </c>
      <c r="M202" t="n">
        <v>0</v>
      </c>
      <c r="N202" t="n">
        <v>0</v>
      </c>
      <c r="O202" t="n">
        <v>0</v>
      </c>
      <c r="P202" t="n">
        <v>0</v>
      </c>
      <c r="Q202" t="n">
        <v>2</v>
      </c>
      <c r="R202" t="n">
        <v>0</v>
      </c>
      <c r="S202" t="n">
        <v>2</v>
      </c>
      <c r="T202" t="n">
        <v>3</v>
      </c>
      <c r="U202" t="n">
        <v>3</v>
      </c>
      <c r="V202" s="2" t="inlineStr">
        <is>
          <t>Apollofjäril
Tallticka</t>
        </is>
      </c>
      <c r="W202">
        <f>HYPERLINK("https://klasma.github.io/Logging_0883/artfynd/A 47112-2023 artfynd.xlsx", "A 47112-2023")</f>
        <v/>
      </c>
      <c r="X202">
        <f>HYPERLINK("https://klasma.github.io/Logging_0883/kartor/A 47112-2023 karta.png", "A 47112-2023")</f>
        <v/>
      </c>
      <c r="Y202">
        <f>HYPERLINK("https://klasma.github.io/Logging_0883/kartor_geotiff/A 47112-2023 georefererad karta.tif", "A 47112-2023")</f>
        <v/>
      </c>
      <c r="AA202">
        <f>HYPERLINK("https://klasma.github.io/Logging_0883/klagomål/A 47112-2023 FSC-klagomål.docx", "A 47112-2023")</f>
        <v/>
      </c>
      <c r="AB202">
        <f>HYPERLINK("https://klasma.github.io/Logging_0883/klagomålsmail/A 47112-2023 FSC-klagomål mail.docx", "A 47112-2023")</f>
        <v/>
      </c>
      <c r="AC202">
        <f>HYPERLINK("https://klasma.github.io/Logging_0883/tillsyn/A 47112-2023 tillsynsbegäran.docx", "A 47112-2023")</f>
        <v/>
      </c>
      <c r="AD202">
        <f>HYPERLINK("https://klasma.github.io/Logging_0883/tillsynsmail/A 47112-2023 tillsynsbegäran mail.docx", "A 47112-2023")</f>
        <v/>
      </c>
    </row>
    <row r="203" ht="15" customHeight="1">
      <c r="A203" t="inlineStr">
        <is>
          <t>A 1775-2025</t>
        </is>
      </c>
      <c r="B203" t="inlineStr">
        <is>
          <t>avverkningsanmälan</t>
        </is>
      </c>
      <c r="C203" t="inlineStr">
        <is>
          <t>Föryngringsavverkning</t>
        </is>
      </c>
      <c r="D203" s="1" t="n">
        <v>45671</v>
      </c>
      <c r="E203" s="1" t="n">
        <v>46323</v>
      </c>
      <c r="F203" t="inlineStr">
        <is>
          <t>KALMAR LÄN</t>
        </is>
      </c>
      <c r="G203" t="inlineStr">
        <is>
          <t>VÄSTERVIK</t>
        </is>
      </c>
      <c r="I203" t="n">
        <v>0.9</v>
      </c>
      <c r="J203" t="n">
        <v>1</v>
      </c>
      <c r="K203" t="n">
        <v>0</v>
      </c>
      <c r="L203" t="n">
        <v>1</v>
      </c>
      <c r="M203" t="n">
        <v>0</v>
      </c>
      <c r="N203" t="n">
        <v>0</v>
      </c>
      <c r="O203" t="n">
        <v>0</v>
      </c>
      <c r="P203" t="n">
        <v>0</v>
      </c>
      <c r="Q203" t="n">
        <v>1</v>
      </c>
      <c r="R203" t="n">
        <v>0</v>
      </c>
      <c r="S203" t="n">
        <v>2</v>
      </c>
      <c r="T203" t="n">
        <v>2</v>
      </c>
      <c r="U203" t="n">
        <v>2</v>
      </c>
      <c r="V203" s="2" t="inlineStr">
        <is>
          <t>Tallticka
Kungsfågel</t>
        </is>
      </c>
      <c r="W203">
        <f>HYPERLINK("https://klasma.github.io/Logging_0883/artfynd/A 1775-2025 artfynd.xlsx", "A 1775-2025")</f>
        <v/>
      </c>
      <c r="X203">
        <f>HYPERLINK("https://klasma.github.io/Logging_0883/kartor/A 1775-2025 karta.png", "A 1775-2025")</f>
        <v/>
      </c>
      <c r="Y203">
        <f>HYPERLINK("https://klasma.github.io/Logging_0883/kartor_geotiff/A 1775-2025 georefererad karta.tif", "A 1775-2025")</f>
        <v/>
      </c>
      <c r="AA203">
        <f>HYPERLINK("https://klasma.github.io/Logging_0883/klagomål/A 1775-2025 FSC-klagomål.docx", "A 1775-2025")</f>
        <v/>
      </c>
      <c r="AB203">
        <f>HYPERLINK("https://klasma.github.io/Logging_0883/klagomålsmail/A 1775-2025 FSC-klagomål mail.docx", "A 1775-2025")</f>
        <v/>
      </c>
      <c r="AC203">
        <f>HYPERLINK("https://klasma.github.io/Logging_0883/tillsyn/A 1775-2025 tillsynsbegäran.docx", "A 1775-2025")</f>
        <v/>
      </c>
      <c r="AD203">
        <f>HYPERLINK("https://klasma.github.io/Logging_0883/tillsynsmail/A 1775-2025 tillsynsbegäran mail.docx", "A 1775-2025")</f>
        <v/>
      </c>
    </row>
    <row r="204" ht="15" customHeight="1">
      <c r="A204" t="inlineStr">
        <is>
          <t>A 57977-2025</t>
        </is>
      </c>
      <c r="B204" t="inlineStr">
        <is>
          <t>avverkningsanmälan</t>
        </is>
      </c>
      <c r="C204" t="inlineStr">
        <is>
          <t>Föryngringsavverkning</t>
        </is>
      </c>
      <c r="D204" s="1" t="n">
        <v>45982</v>
      </c>
      <c r="E204" s="1" t="n">
        <v>46323</v>
      </c>
      <c r="F204" t="inlineStr">
        <is>
          <t>KALMAR LÄN</t>
        </is>
      </c>
      <c r="G204" t="inlineStr">
        <is>
          <t>VÄSTERVIK</t>
        </is>
      </c>
      <c r="H204" t="inlineStr">
        <is>
          <t>Holmen skog AB</t>
        </is>
      </c>
      <c r="I204" t="n">
        <v>6.5</v>
      </c>
      <c r="J204" t="n">
        <v>0</v>
      </c>
      <c r="K204" t="n">
        <v>1</v>
      </c>
      <c r="L204" t="n">
        <v>1</v>
      </c>
      <c r="M204" t="n">
        <v>0</v>
      </c>
      <c r="N204" t="n">
        <v>0</v>
      </c>
      <c r="O204" t="n">
        <v>0</v>
      </c>
      <c r="P204" t="n">
        <v>0</v>
      </c>
      <c r="Q204" t="n">
        <v>1</v>
      </c>
      <c r="R204" t="n">
        <v>0</v>
      </c>
      <c r="S204" t="n">
        <v>2</v>
      </c>
      <c r="T204" t="n">
        <v>2</v>
      </c>
      <c r="U204" t="n">
        <v>2</v>
      </c>
      <c r="V204" s="2" t="inlineStr">
        <is>
          <t>Orange taggsvamp
Blåmossa</t>
        </is>
      </c>
      <c r="W204">
        <f>HYPERLINK("https://klasma.github.io/Logging_0883/artfynd/A 57977-2025 artfynd.xlsx", "A 57977-2025")</f>
        <v/>
      </c>
      <c r="X204">
        <f>HYPERLINK("https://klasma.github.io/Logging_0883/kartor/A 57977-2025 karta.png", "A 57977-2025")</f>
        <v/>
      </c>
      <c r="Y204">
        <f>HYPERLINK("https://klasma.github.io/Logging_0883/kartor_geotiff/A 57977-2025 georefererad karta.tif", "A 57977-2025")</f>
        <v/>
      </c>
      <c r="AA204">
        <f>HYPERLINK("https://klasma.github.io/Logging_0883/klagomål/A 57977-2025 FSC-klagomål.docx", "A 57977-2025")</f>
        <v/>
      </c>
      <c r="AB204">
        <f>HYPERLINK("https://klasma.github.io/Logging_0883/klagomålsmail/A 57977-2025 FSC-klagomål mail.docx", "A 57977-2025")</f>
        <v/>
      </c>
      <c r="AC204">
        <f>HYPERLINK("https://klasma.github.io/Logging_0883/tillsyn/A 57977-2025 tillsynsbegäran.docx", "A 57977-2025")</f>
        <v/>
      </c>
      <c r="AD204">
        <f>HYPERLINK("https://klasma.github.io/Logging_0883/tillsynsmail/A 57977-2025 tillsynsbegäran mail.docx", "A 57977-2025")</f>
        <v/>
      </c>
    </row>
    <row r="205" ht="15" customHeight="1">
      <c r="A205" t="inlineStr">
        <is>
          <t>A 58348-2025</t>
        </is>
      </c>
      <c r="B205" t="inlineStr">
        <is>
          <t>avverkningsanmälan</t>
        </is>
      </c>
      <c r="C205" t="inlineStr">
        <is>
          <t>Föryngringsavverkning</t>
        </is>
      </c>
      <c r="D205" s="1" t="n">
        <v>45985</v>
      </c>
      <c r="E205" s="1" t="n">
        <v>46323</v>
      </c>
      <c r="F205" t="inlineStr">
        <is>
          <t>KALMAR LÄN</t>
        </is>
      </c>
      <c r="G205" t="inlineStr">
        <is>
          <t>VÄSTERVIK</t>
        </is>
      </c>
      <c r="I205" t="n">
        <v>2.6</v>
      </c>
      <c r="J205" t="n">
        <v>0</v>
      </c>
      <c r="K205" t="n">
        <v>1</v>
      </c>
      <c r="L205" t="n">
        <v>1</v>
      </c>
      <c r="M205" t="n">
        <v>0</v>
      </c>
      <c r="N205" t="n">
        <v>0</v>
      </c>
      <c r="O205" t="n">
        <v>0</v>
      </c>
      <c r="P205" t="n">
        <v>0</v>
      </c>
      <c r="Q205" t="n">
        <v>1</v>
      </c>
      <c r="R205" t="n">
        <v>0</v>
      </c>
      <c r="S205" t="n">
        <v>2</v>
      </c>
      <c r="T205" t="n">
        <v>2</v>
      </c>
      <c r="U205" t="n">
        <v>2</v>
      </c>
      <c r="V205" s="2" t="inlineStr">
        <is>
          <t>Tallkötticka
Grovticka</t>
        </is>
      </c>
      <c r="W205">
        <f>HYPERLINK("https://klasma.github.io/Logging_0883/artfynd/A 58348-2025 artfynd.xlsx", "A 58348-2025")</f>
        <v/>
      </c>
      <c r="X205">
        <f>HYPERLINK("https://klasma.github.io/Logging_0883/kartor/A 58348-2025 karta.png", "A 58348-2025")</f>
        <v/>
      </c>
      <c r="Y205">
        <f>HYPERLINK("https://klasma.github.io/Logging_0883/kartor_geotiff/A 58348-2025 georefererad karta.tif", "A 58348-2025")</f>
        <v/>
      </c>
      <c r="AA205">
        <f>HYPERLINK("https://klasma.github.io/Logging_0883/klagomål/A 58348-2025 FSC-klagomål.docx", "A 58348-2025")</f>
        <v/>
      </c>
      <c r="AB205">
        <f>HYPERLINK("https://klasma.github.io/Logging_0883/klagomålsmail/A 58348-2025 FSC-klagomål mail.docx", "A 58348-2025")</f>
        <v/>
      </c>
      <c r="AC205">
        <f>HYPERLINK("https://klasma.github.io/Logging_0883/tillsyn/A 58348-2025 tillsynsbegäran.docx", "A 58348-2025")</f>
        <v/>
      </c>
      <c r="AD205">
        <f>HYPERLINK("https://klasma.github.io/Logging_0883/tillsynsmail/A 58348-2025 tillsynsbegäran mail.docx", "A 58348-2025")</f>
        <v/>
      </c>
    </row>
    <row r="206" ht="15" customHeight="1">
      <c r="A206" t="inlineStr">
        <is>
          <t>A 59654-2025</t>
        </is>
      </c>
      <c r="B206" t="inlineStr">
        <is>
          <t>avverkningsanmälan</t>
        </is>
      </c>
      <c r="C206" t="inlineStr">
        <is>
          <t>Föryngringsavverkning</t>
        </is>
      </c>
      <c r="D206" s="1" t="n">
        <v>45992</v>
      </c>
      <c r="E206" s="1" t="n">
        <v>46323</v>
      </c>
      <c r="F206" t="inlineStr">
        <is>
          <t>KALMAR LÄN</t>
        </is>
      </c>
      <c r="G206" t="inlineStr">
        <is>
          <t>VÄSTERVIK</t>
        </is>
      </c>
      <c r="I206" t="n">
        <v>3.3</v>
      </c>
      <c r="J206" t="n">
        <v>1</v>
      </c>
      <c r="K206" t="n">
        <v>0</v>
      </c>
      <c r="L206" t="n">
        <v>1</v>
      </c>
      <c r="M206" t="n">
        <v>0</v>
      </c>
      <c r="N206" t="n">
        <v>0</v>
      </c>
      <c r="O206" t="n">
        <v>0</v>
      </c>
      <c r="P206" t="n">
        <v>0</v>
      </c>
      <c r="Q206" t="n">
        <v>1</v>
      </c>
      <c r="R206" t="n">
        <v>0</v>
      </c>
      <c r="S206" t="n">
        <v>2</v>
      </c>
      <c r="T206" t="n">
        <v>2</v>
      </c>
      <c r="U206" t="n">
        <v>2</v>
      </c>
      <c r="V206" s="2" t="inlineStr">
        <is>
          <t>Rutskinn
Spillkråka</t>
        </is>
      </c>
      <c r="W206">
        <f>HYPERLINK("https://klasma.github.io/Logging_0883/artfynd/A 59654-2025 artfynd.xlsx", "A 59654-2025")</f>
        <v/>
      </c>
      <c r="X206">
        <f>HYPERLINK("https://klasma.github.io/Logging_0883/kartor/A 59654-2025 karta.png", "A 59654-2025")</f>
        <v/>
      </c>
      <c r="Y206">
        <f>HYPERLINK("https://klasma.github.io/Logging_0883/kartor_geotiff/A 59654-2025 georefererad karta.tif", "A 59654-2025")</f>
        <v/>
      </c>
      <c r="AA206">
        <f>HYPERLINK("https://klasma.github.io/Logging_0883/klagomål/A 59654-2025 FSC-klagomål.docx", "A 59654-2025")</f>
        <v/>
      </c>
      <c r="AB206">
        <f>HYPERLINK("https://klasma.github.io/Logging_0883/klagomålsmail/A 59654-2025 FSC-klagomål mail.docx", "A 59654-2025")</f>
        <v/>
      </c>
      <c r="AC206">
        <f>HYPERLINK("https://klasma.github.io/Logging_0883/tillsyn/A 59654-2025 tillsynsbegäran.docx", "A 59654-2025")</f>
        <v/>
      </c>
      <c r="AD206">
        <f>HYPERLINK("https://klasma.github.io/Logging_0883/tillsynsmail/A 59654-2025 tillsynsbegäran mail.docx", "A 59654-2025")</f>
        <v/>
      </c>
      <c r="AE206">
        <f>HYPERLINK("https://klasma.github.io/Logging_0883/fåglar/A 59654-2025 prioriterade fågelarter.docx", "A 59654-2025")</f>
        <v/>
      </c>
    </row>
    <row r="207" ht="15" customHeight="1">
      <c r="A207" t="inlineStr">
        <is>
          <t>A 72945-2021</t>
        </is>
      </c>
      <c r="B207" t="inlineStr">
        <is>
          <t>avverkningsanmälan</t>
        </is>
      </c>
      <c r="C207" t="inlineStr">
        <is>
          <t>Föryngringsavverkning</t>
        </is>
      </c>
      <c r="D207" s="1" t="n">
        <v>44547</v>
      </c>
      <c r="E207" s="1" t="n">
        <v>46323</v>
      </c>
      <c r="F207" t="inlineStr">
        <is>
          <t>KALMAR LÄN</t>
        </is>
      </c>
      <c r="G207" t="inlineStr">
        <is>
          <t>VÄSTERVIK</t>
        </is>
      </c>
      <c r="I207" t="n">
        <v>1.6</v>
      </c>
      <c r="J207" t="n">
        <v>0</v>
      </c>
      <c r="K207" t="n">
        <v>1</v>
      </c>
      <c r="L207" t="n">
        <v>1</v>
      </c>
      <c r="M207" t="n">
        <v>0</v>
      </c>
      <c r="N207" t="n">
        <v>0</v>
      </c>
      <c r="O207" t="n">
        <v>0</v>
      </c>
      <c r="P207" t="n">
        <v>0</v>
      </c>
      <c r="Q207" t="n">
        <v>1</v>
      </c>
      <c r="R207" t="n">
        <v>0</v>
      </c>
      <c r="S207" t="n">
        <v>2</v>
      </c>
      <c r="T207" t="n">
        <v>2</v>
      </c>
      <c r="U207" t="n">
        <v>2</v>
      </c>
      <c r="V207" s="2" t="inlineStr">
        <is>
          <t>Veckticka
Rävticka</t>
        </is>
      </c>
      <c r="W207">
        <f>HYPERLINK("https://klasma.github.io/Logging_0883/artfynd/A 72945-2021 artfynd.xlsx", "A 72945-2021")</f>
        <v/>
      </c>
      <c r="X207">
        <f>HYPERLINK("https://klasma.github.io/Logging_0883/kartor/A 72945-2021 karta.png", "A 72945-2021")</f>
        <v/>
      </c>
      <c r="Y207">
        <f>HYPERLINK("https://klasma.github.io/Logging_0883/kartor_geotiff/A 72945-2021 georefererad karta.tif", "A 72945-2021")</f>
        <v/>
      </c>
      <c r="AA207">
        <f>HYPERLINK("https://klasma.github.io/Logging_0883/klagomål/A 72945-2021 FSC-klagomål.docx", "A 72945-2021")</f>
        <v/>
      </c>
      <c r="AB207">
        <f>HYPERLINK("https://klasma.github.io/Logging_0883/klagomålsmail/A 72945-2021 FSC-klagomål mail.docx", "A 72945-2021")</f>
        <v/>
      </c>
      <c r="AC207">
        <f>HYPERLINK("https://klasma.github.io/Logging_0883/tillsyn/A 72945-2021 tillsynsbegäran.docx", "A 72945-2021")</f>
        <v/>
      </c>
      <c r="AD207">
        <f>HYPERLINK("https://klasma.github.io/Logging_0883/tillsynsmail/A 72945-2021 tillsynsbegäran mail.docx", "A 72945-2021")</f>
        <v/>
      </c>
    </row>
    <row r="208" ht="15" customHeight="1">
      <c r="A208" t="inlineStr">
        <is>
          <t>A 21081-2025</t>
        </is>
      </c>
      <c r="B208" t="inlineStr">
        <is>
          <t>avverkningsanmälan</t>
        </is>
      </c>
      <c r="C208" t="inlineStr">
        <is>
          <t>Föryngringsavverkning</t>
        </is>
      </c>
      <c r="D208" s="1" t="n">
        <v>45777</v>
      </c>
      <c r="E208" s="1" t="n">
        <v>46323</v>
      </c>
      <c r="F208" t="inlineStr">
        <is>
          <t>KALMAR LÄN</t>
        </is>
      </c>
      <c r="G208" t="inlineStr">
        <is>
          <t>VÄSTERVIK</t>
        </is>
      </c>
      <c r="I208" t="n">
        <v>1</v>
      </c>
      <c r="J208" t="n">
        <v>1</v>
      </c>
      <c r="K208" t="n">
        <v>0</v>
      </c>
      <c r="L208" t="n">
        <v>1</v>
      </c>
      <c r="M208" t="n">
        <v>1</v>
      </c>
      <c r="N208" t="n">
        <v>0</v>
      </c>
      <c r="O208" t="n">
        <v>0</v>
      </c>
      <c r="P208" t="n">
        <v>0</v>
      </c>
      <c r="Q208" t="n">
        <v>2</v>
      </c>
      <c r="R208" t="n">
        <v>1</v>
      </c>
      <c r="S208" t="n">
        <v>2</v>
      </c>
      <c r="T208" t="n">
        <v>2</v>
      </c>
      <c r="U208" t="n">
        <v>2</v>
      </c>
      <c r="V208" s="2" t="inlineStr">
        <is>
          <t>Knärot
Ullticka</t>
        </is>
      </c>
      <c r="W208">
        <f>HYPERLINK("https://klasma.github.io/Logging_0883/artfynd/A 21081-2025 artfynd.xlsx", "A 21081-2025")</f>
        <v/>
      </c>
      <c r="X208">
        <f>HYPERLINK("https://klasma.github.io/Logging_0883/kartor/A 21081-2025 karta.png", "A 21081-2025")</f>
        <v/>
      </c>
      <c r="Y208">
        <f>HYPERLINK("https://klasma.github.io/Logging_0883/kartor_geotiff/A 21081-2025 georefererad karta.tif", "A 21081-2025")</f>
        <v/>
      </c>
      <c r="Z208">
        <f>HYPERLINK("https://klasma.github.io/Logging_0883/knärot/A 21081-2025 karta knärot.png", "A 21081-2025")</f>
        <v/>
      </c>
      <c r="AA208">
        <f>HYPERLINK("https://klasma.github.io/Logging_0883/klagomål/A 21081-2025 FSC-klagomål.docx", "A 21081-2025")</f>
        <v/>
      </c>
      <c r="AB208">
        <f>HYPERLINK("https://klasma.github.io/Logging_0883/klagomålsmail/A 21081-2025 FSC-klagomål mail.docx", "A 21081-2025")</f>
        <v/>
      </c>
      <c r="AC208">
        <f>HYPERLINK("https://klasma.github.io/Logging_0883/tillsyn/A 21081-2025 tillsynsbegäran.docx", "A 21081-2025")</f>
        <v/>
      </c>
      <c r="AD208">
        <f>HYPERLINK("https://klasma.github.io/Logging_0883/tillsynsmail/A 21081-2025 tillsynsbegäran mail.docx", "A 21081-2025")</f>
        <v/>
      </c>
    </row>
    <row r="209" ht="15" customHeight="1">
      <c r="A209" t="inlineStr">
        <is>
          <t>A 11849-2024</t>
        </is>
      </c>
      <c r="B209" t="inlineStr">
        <is>
          <t>avverkningsanmälan</t>
        </is>
      </c>
      <c r="C209" t="inlineStr">
        <is>
          <t>Föryngringsavverkning</t>
        </is>
      </c>
      <c r="D209" s="1" t="n">
        <v>45376</v>
      </c>
      <c r="E209" s="1" t="n">
        <v>46323</v>
      </c>
      <c r="F209" t="inlineStr">
        <is>
          <t>KALMAR LÄN</t>
        </is>
      </c>
      <c r="G209" t="inlineStr">
        <is>
          <t>VÄSTERVIK</t>
        </is>
      </c>
      <c r="H209" t="inlineStr">
        <is>
          <t>Sveaskog</t>
        </is>
      </c>
      <c r="I209" t="n">
        <v>5.3</v>
      </c>
      <c r="J209" t="n">
        <v>2</v>
      </c>
      <c r="K209" t="n">
        <v>0</v>
      </c>
      <c r="L209" t="n">
        <v>0</v>
      </c>
      <c r="M209" t="n">
        <v>0</v>
      </c>
      <c r="N209" t="n">
        <v>0</v>
      </c>
      <c r="O209" t="n">
        <v>0</v>
      </c>
      <c r="P209" t="n">
        <v>0</v>
      </c>
      <c r="Q209" t="n">
        <v>0</v>
      </c>
      <c r="R209" t="n">
        <v>0</v>
      </c>
      <c r="S209" t="n">
        <v>2</v>
      </c>
      <c r="T209" t="n">
        <v>2</v>
      </c>
      <c r="U209" t="n">
        <v>2</v>
      </c>
      <c r="V209" s="2" t="inlineStr">
        <is>
          <t>Mattlummer
Revlummer</t>
        </is>
      </c>
      <c r="W209">
        <f>HYPERLINK("https://klasma.github.io/Logging_0883/artfynd/A 11849-2024 artfynd.xlsx", "A 11849-2024")</f>
        <v/>
      </c>
      <c r="X209">
        <f>HYPERLINK("https://klasma.github.io/Logging_0883/kartor/A 11849-2024 karta.png", "A 11849-2024")</f>
        <v/>
      </c>
      <c r="Y209">
        <f>HYPERLINK("https://klasma.github.io/Logging_0883/kartor_geotiff/A 11849-2024 georefererad karta.tif", "A 11849-2024")</f>
        <v/>
      </c>
      <c r="AA209">
        <f>HYPERLINK("https://klasma.github.io/Logging_0883/klagomål/A 11849-2024 FSC-klagomål.docx", "A 11849-2024")</f>
        <v/>
      </c>
      <c r="AB209">
        <f>HYPERLINK("https://klasma.github.io/Logging_0883/klagomålsmail/A 11849-2024 FSC-klagomål mail.docx", "A 11849-2024")</f>
        <v/>
      </c>
      <c r="AC209">
        <f>HYPERLINK("https://klasma.github.io/Logging_0883/tillsyn/A 11849-2024 tillsynsbegäran.docx", "A 11849-2024")</f>
        <v/>
      </c>
      <c r="AD209">
        <f>HYPERLINK("https://klasma.github.io/Logging_0883/tillsynsmail/A 11849-2024 tillsynsbegäran mail.docx", "A 11849-2024")</f>
        <v/>
      </c>
    </row>
    <row r="210" ht="15" customHeight="1">
      <c r="A210" t="inlineStr">
        <is>
          <t>A 30458-2026</t>
        </is>
      </c>
      <c r="B210" t="inlineStr">
        <is>
          <t>avverkningsanmälan</t>
        </is>
      </c>
      <c r="C210" t="inlineStr">
        <is>
          <t>Föryngringsavverkning</t>
        </is>
      </c>
      <c r="D210" s="1" t="n">
        <v>46209</v>
      </c>
      <c r="E210" s="1" t="n">
        <v>46323</v>
      </c>
      <c r="F210" t="inlineStr">
        <is>
          <t>KALMAR LÄN</t>
        </is>
      </c>
      <c r="G210" t="inlineStr">
        <is>
          <t>VÄSTERVIK</t>
        </is>
      </c>
      <c r="I210" t="n">
        <v>4.6</v>
      </c>
      <c r="J210" t="n">
        <v>0</v>
      </c>
      <c r="K210" t="n">
        <v>1</v>
      </c>
      <c r="L210" t="n">
        <v>0</v>
      </c>
      <c r="M210" t="n">
        <v>1</v>
      </c>
      <c r="N210" t="n">
        <v>0</v>
      </c>
      <c r="O210" t="n">
        <v>0</v>
      </c>
      <c r="P210" t="n">
        <v>0</v>
      </c>
      <c r="Q210" t="n">
        <v>1</v>
      </c>
      <c r="R210" t="n">
        <v>1</v>
      </c>
      <c r="S210" t="n">
        <v>2</v>
      </c>
      <c r="T210" t="n">
        <v>4</v>
      </c>
      <c r="U210" t="n">
        <v>1</v>
      </c>
      <c r="V210" s="2" t="inlineStr">
        <is>
          <t>Ljungsnärja
Blåmossa</t>
        </is>
      </c>
      <c r="W210">
        <f>HYPERLINK("https://klasma.github.io/Logging_0883/artfynd/A 30458-2026 artfynd.xlsx", "A 30458-2026")</f>
        <v/>
      </c>
      <c r="X210">
        <f>HYPERLINK("https://klasma.github.io/Logging_0883/kartor/A 30458-2026 karta.png", "A 30458-2026")</f>
        <v/>
      </c>
      <c r="Y210">
        <f>HYPERLINK("https://klasma.github.io/Logging_0883/kartor_geotiff/A 30458-2026 georefererad karta.tif", "A 30458-2026")</f>
        <v/>
      </c>
      <c r="AA210">
        <f>HYPERLINK("https://klasma.github.io/Logging_0883/klagomål/A 30458-2026 FSC-klagomål.docx", "A 30458-2026")</f>
        <v/>
      </c>
      <c r="AB210">
        <f>HYPERLINK("https://klasma.github.io/Logging_0883/klagomålsmail/A 30458-2026 FSC-klagomål mail.docx", "A 30458-2026")</f>
        <v/>
      </c>
      <c r="AC210">
        <f>HYPERLINK("https://klasma.github.io/Logging_0883/tillsyn/A 30458-2026 tillsynsbegäran.docx", "A 30458-2026")</f>
        <v/>
      </c>
      <c r="AD210">
        <f>HYPERLINK("https://klasma.github.io/Logging_0883/tillsynsmail/A 30458-2026 tillsynsbegäran mail.docx", "A 30458-2026")</f>
        <v/>
      </c>
    </row>
    <row r="211" ht="15" customHeight="1">
      <c r="A211" t="inlineStr">
        <is>
          <t>A 14041-2026</t>
        </is>
      </c>
      <c r="B211" t="inlineStr">
        <is>
          <t>avverkningsanmälan</t>
        </is>
      </c>
      <c r="C211" t="inlineStr">
        <is>
          <t>Föryngringsavverkning</t>
        </is>
      </c>
      <c r="D211" s="1" t="n">
        <v>46098</v>
      </c>
      <c r="E211" s="1" t="n">
        <v>46323</v>
      </c>
      <c r="F211" t="inlineStr">
        <is>
          <t>KALMAR LÄN</t>
        </is>
      </c>
      <c r="G211" t="inlineStr">
        <is>
          <t>VÄSTERVIK</t>
        </is>
      </c>
      <c r="H211" t="inlineStr">
        <is>
          <t>Holmen skog AB</t>
        </is>
      </c>
      <c r="I211" t="n">
        <v>7.8</v>
      </c>
      <c r="J211" t="n">
        <v>2</v>
      </c>
      <c r="K211" t="n">
        <v>0</v>
      </c>
      <c r="L211" t="n">
        <v>2</v>
      </c>
      <c r="M211" t="n">
        <v>0</v>
      </c>
      <c r="N211" t="n">
        <v>0</v>
      </c>
      <c r="O211" t="n">
        <v>0</v>
      </c>
      <c r="P211" t="n">
        <v>0</v>
      </c>
      <c r="Q211" t="n">
        <v>2</v>
      </c>
      <c r="R211" t="n">
        <v>0</v>
      </c>
      <c r="S211" t="n">
        <v>2</v>
      </c>
      <c r="T211" t="n">
        <v>4</v>
      </c>
      <c r="U211" t="n">
        <v>4</v>
      </c>
      <c r="V211" s="2" t="inlineStr">
        <is>
          <t>Duvhök
Talltita</t>
        </is>
      </c>
      <c r="W211">
        <f>HYPERLINK("https://klasma.github.io/Logging_0883/artfynd/A 14041-2026 artfynd.xlsx", "A 14041-2026")</f>
        <v/>
      </c>
      <c r="X211">
        <f>HYPERLINK("https://klasma.github.io/Logging_0883/kartor/A 14041-2026 karta.png", "A 14041-2026")</f>
        <v/>
      </c>
      <c r="Y211">
        <f>HYPERLINK("https://klasma.github.io/Logging_0883/kartor_geotiff/A 14041-2026 georefererad karta.tif", "A 14041-2026")</f>
        <v/>
      </c>
      <c r="AA211">
        <f>HYPERLINK("https://klasma.github.io/Logging_0883/klagomål/A 14041-2026 FSC-klagomål.docx", "A 14041-2026")</f>
        <v/>
      </c>
      <c r="AB211">
        <f>HYPERLINK("https://klasma.github.io/Logging_0883/klagomålsmail/A 14041-2026 FSC-klagomål mail.docx", "A 14041-2026")</f>
        <v/>
      </c>
      <c r="AC211">
        <f>HYPERLINK("https://klasma.github.io/Logging_0883/tillsyn/A 14041-2026 tillsynsbegäran.docx", "A 14041-2026")</f>
        <v/>
      </c>
      <c r="AD211">
        <f>HYPERLINK("https://klasma.github.io/Logging_0883/tillsynsmail/A 14041-2026 tillsynsbegäran mail.docx", "A 14041-2026")</f>
        <v/>
      </c>
      <c r="AE211">
        <f>HYPERLINK("https://klasma.github.io/Logging_0883/fåglar/A 14041-2026 prioriterade fågelarter.docx", "A 14041-2026")</f>
        <v/>
      </c>
    </row>
    <row r="212" ht="15" customHeight="1">
      <c r="A212" t="inlineStr">
        <is>
          <t>A 25145-2022</t>
        </is>
      </c>
      <c r="B212" t="inlineStr">
        <is>
          <t>avverkningsanmälan</t>
        </is>
      </c>
      <c r="C212" t="inlineStr">
        <is>
          <t>Föryngringsavverkning</t>
        </is>
      </c>
      <c r="D212" s="1" t="n">
        <v>44729</v>
      </c>
      <c r="E212" s="1" t="n">
        <v>46323</v>
      </c>
      <c r="F212" t="inlineStr">
        <is>
          <t>KALMAR LÄN</t>
        </is>
      </c>
      <c r="G212" t="inlineStr">
        <is>
          <t>VÄSTERVIK</t>
        </is>
      </c>
      <c r="I212" t="n">
        <v>1.3</v>
      </c>
      <c r="J212" t="n">
        <v>1</v>
      </c>
      <c r="K212" t="n">
        <v>0</v>
      </c>
      <c r="L212" t="n">
        <v>1</v>
      </c>
      <c r="M212" t="n">
        <v>1</v>
      </c>
      <c r="N212" t="n">
        <v>0</v>
      </c>
      <c r="O212" t="n">
        <v>0</v>
      </c>
      <c r="P212" t="n">
        <v>0</v>
      </c>
      <c r="Q212" t="n">
        <v>2</v>
      </c>
      <c r="R212" t="n">
        <v>1</v>
      </c>
      <c r="S212" t="n">
        <v>2</v>
      </c>
      <c r="T212" t="n">
        <v>10</v>
      </c>
      <c r="U212" t="n">
        <v>10</v>
      </c>
      <c r="V212" s="2" t="inlineStr">
        <is>
          <t>Knärot
Tallticka</t>
        </is>
      </c>
      <c r="W212">
        <f>HYPERLINK("https://klasma.github.io/Logging_0883/artfynd/A 25145-2022 artfynd.xlsx", "A 25145-2022")</f>
        <v/>
      </c>
      <c r="X212">
        <f>HYPERLINK("https://klasma.github.io/Logging_0883/kartor/A 25145-2022 karta.png", "A 25145-2022")</f>
        <v/>
      </c>
      <c r="Y212">
        <f>HYPERLINK("https://klasma.github.io/Logging_0883/kartor_geotiff/A 25145-2022 georefererad karta.tif", "A 25145-2022")</f>
        <v/>
      </c>
      <c r="Z212">
        <f>HYPERLINK("https://klasma.github.io/Logging_0883/knärot/A 25145-2022 karta knärot.png", "A 25145-2022")</f>
        <v/>
      </c>
      <c r="AA212">
        <f>HYPERLINK("https://klasma.github.io/Logging_0883/klagomål/A 25145-2022 FSC-klagomål.docx", "A 25145-2022")</f>
        <v/>
      </c>
      <c r="AB212">
        <f>HYPERLINK("https://klasma.github.io/Logging_0883/klagomålsmail/A 25145-2022 FSC-klagomål mail.docx", "A 25145-2022")</f>
        <v/>
      </c>
      <c r="AC212">
        <f>HYPERLINK("https://klasma.github.io/Logging_0883/tillsyn/A 25145-2022 tillsynsbegäran.docx", "A 25145-2022")</f>
        <v/>
      </c>
      <c r="AD212">
        <f>HYPERLINK("https://klasma.github.io/Logging_0883/tillsynsmail/A 25145-2022 tillsynsbegäran mail.docx", "A 25145-2022")</f>
        <v/>
      </c>
    </row>
    <row r="213" ht="15" customHeight="1">
      <c r="A213" t="inlineStr">
        <is>
          <t>A 28401-2024</t>
        </is>
      </c>
      <c r="B213" t="inlineStr">
        <is>
          <t>avverkningsanmälan</t>
        </is>
      </c>
      <c r="C213" t="inlineStr">
        <is>
          <t>Föryngringsavverkning</t>
        </is>
      </c>
      <c r="D213" s="1" t="n">
        <v>45477</v>
      </c>
      <c r="E213" s="1" t="n">
        <v>46323</v>
      </c>
      <c r="F213" t="inlineStr">
        <is>
          <t>KALMAR LÄN</t>
        </is>
      </c>
      <c r="G213" t="inlineStr">
        <is>
          <t>VÄSTERVIK</t>
        </is>
      </c>
      <c r="H213" t="inlineStr">
        <is>
          <t>Holmen skog AB</t>
        </is>
      </c>
      <c r="I213" t="n">
        <v>2.4</v>
      </c>
      <c r="J213" t="n">
        <v>2</v>
      </c>
      <c r="K213" t="n">
        <v>0</v>
      </c>
      <c r="L213" t="n">
        <v>1</v>
      </c>
      <c r="M213" t="n">
        <v>0</v>
      </c>
      <c r="N213" t="n">
        <v>0</v>
      </c>
      <c r="O213" t="n">
        <v>0</v>
      </c>
      <c r="P213" t="n">
        <v>0</v>
      </c>
      <c r="Q213" t="n">
        <v>1</v>
      </c>
      <c r="R213" t="n">
        <v>0</v>
      </c>
      <c r="S213" t="n">
        <v>2</v>
      </c>
      <c r="T213" t="n">
        <v>3</v>
      </c>
      <c r="U213" t="n">
        <v>3</v>
      </c>
      <c r="V213" s="2" t="inlineStr">
        <is>
          <t>Talltita
Revlummer</t>
        </is>
      </c>
      <c r="W213">
        <f>HYPERLINK("https://klasma.github.io/Logging_0883/artfynd/A 28401-2024 artfynd.xlsx", "A 28401-2024")</f>
        <v/>
      </c>
      <c r="X213">
        <f>HYPERLINK("https://klasma.github.io/Logging_0883/kartor/A 28401-2024 karta.png", "A 28401-2024")</f>
        <v/>
      </c>
      <c r="Y213">
        <f>HYPERLINK("https://klasma.github.io/Logging_0883/kartor_geotiff/A 28401-2024 georefererad karta.tif", "A 28401-2024")</f>
        <v/>
      </c>
      <c r="AA213">
        <f>HYPERLINK("https://klasma.github.io/Logging_0883/klagomål/A 28401-2024 FSC-klagomål.docx", "A 28401-2024")</f>
        <v/>
      </c>
      <c r="AB213">
        <f>HYPERLINK("https://klasma.github.io/Logging_0883/klagomålsmail/A 28401-2024 FSC-klagomål mail.docx", "A 28401-2024")</f>
        <v/>
      </c>
      <c r="AC213">
        <f>HYPERLINK("https://klasma.github.io/Logging_0883/tillsyn/A 28401-2024 tillsynsbegäran.docx", "A 28401-2024")</f>
        <v/>
      </c>
      <c r="AD213">
        <f>HYPERLINK("https://klasma.github.io/Logging_0883/tillsynsmail/A 28401-2024 tillsynsbegäran mail.docx", "A 28401-2024")</f>
        <v/>
      </c>
      <c r="AE213">
        <f>HYPERLINK("https://klasma.github.io/Logging_0883/fåglar/A 28401-2024 prioriterade fågelarter.docx", "A 28401-2024")</f>
        <v/>
      </c>
    </row>
    <row r="214" ht="15" customHeight="1">
      <c r="A214" t="inlineStr">
        <is>
          <t>A 1176-2024</t>
        </is>
      </c>
      <c r="B214" t="inlineStr">
        <is>
          <t>avverkningsanmälan</t>
        </is>
      </c>
      <c r="C214" t="inlineStr">
        <is>
          <t>Föryngringsavverkning</t>
        </is>
      </c>
      <c r="D214" s="1" t="n">
        <v>45302</v>
      </c>
      <c r="E214" s="1" t="n">
        <v>46323</v>
      </c>
      <c r="F214" t="inlineStr">
        <is>
          <t>KALMAR LÄN</t>
        </is>
      </c>
      <c r="G214" t="inlineStr">
        <is>
          <t>VÄSTERVIK</t>
        </is>
      </c>
      <c r="I214" t="n">
        <v>2.5</v>
      </c>
      <c r="J214" t="n">
        <v>1</v>
      </c>
      <c r="K214" t="n">
        <v>0</v>
      </c>
      <c r="L214" t="n">
        <v>1</v>
      </c>
      <c r="M214" t="n">
        <v>0</v>
      </c>
      <c r="N214" t="n">
        <v>0</v>
      </c>
      <c r="O214" t="n">
        <v>0</v>
      </c>
      <c r="P214" t="n">
        <v>0</v>
      </c>
      <c r="Q214" t="n">
        <v>1</v>
      </c>
      <c r="R214" t="n">
        <v>0</v>
      </c>
      <c r="S214" t="n">
        <v>2</v>
      </c>
      <c r="T214" t="n">
        <v>4</v>
      </c>
      <c r="U214" t="n">
        <v>3</v>
      </c>
      <c r="V214" s="2" t="inlineStr">
        <is>
          <t>Tallticka
Mattlummer</t>
        </is>
      </c>
      <c r="W214">
        <f>HYPERLINK("https://klasma.github.io/Logging_0883/artfynd/A 1176-2024 artfynd.xlsx", "A 1176-2024")</f>
        <v/>
      </c>
      <c r="X214">
        <f>HYPERLINK("https://klasma.github.io/Logging_0883/kartor/A 1176-2024 karta.png", "A 1176-2024")</f>
        <v/>
      </c>
      <c r="Y214">
        <f>HYPERLINK("https://klasma.github.io/Logging_0883/kartor_geotiff/A 1176-2024 georefererad karta.tif", "A 1176-2024")</f>
        <v/>
      </c>
      <c r="AA214">
        <f>HYPERLINK("https://klasma.github.io/Logging_0883/klagomål/A 1176-2024 FSC-klagomål.docx", "A 1176-2024")</f>
        <v/>
      </c>
      <c r="AB214">
        <f>HYPERLINK("https://klasma.github.io/Logging_0883/klagomålsmail/A 1176-2024 FSC-klagomål mail.docx", "A 1176-2024")</f>
        <v/>
      </c>
      <c r="AC214">
        <f>HYPERLINK("https://klasma.github.io/Logging_0883/tillsyn/A 1176-2024 tillsynsbegäran.docx", "A 1176-2024")</f>
        <v/>
      </c>
      <c r="AD214">
        <f>HYPERLINK("https://klasma.github.io/Logging_0883/tillsynsmail/A 1176-2024 tillsynsbegäran mail.docx", "A 1176-2024")</f>
        <v/>
      </c>
    </row>
    <row r="215" ht="15" customHeight="1">
      <c r="A215" t="inlineStr">
        <is>
          <t>A 932-2024</t>
        </is>
      </c>
      <c r="B215" t="inlineStr">
        <is>
          <t>avverkningsanmälan</t>
        </is>
      </c>
      <c r="C215" t="inlineStr">
        <is>
          <t>Föryngringsavverkning</t>
        </is>
      </c>
      <c r="D215" s="1" t="n">
        <v>45301</v>
      </c>
      <c r="E215" s="1" t="n">
        <v>46323</v>
      </c>
      <c r="F215" t="inlineStr">
        <is>
          <t>KALMAR LÄN</t>
        </is>
      </c>
      <c r="G215" t="inlineStr">
        <is>
          <t>VÄSTERVIK</t>
        </is>
      </c>
      <c r="I215" t="n">
        <v>3.7</v>
      </c>
      <c r="J215" t="n">
        <v>1</v>
      </c>
      <c r="K215" t="n">
        <v>1</v>
      </c>
      <c r="L215" t="n">
        <v>0</v>
      </c>
      <c r="M215" t="n">
        <v>0</v>
      </c>
      <c r="N215" t="n">
        <v>0</v>
      </c>
      <c r="O215" t="n">
        <v>0</v>
      </c>
      <c r="P215" t="n">
        <v>0</v>
      </c>
      <c r="Q215" t="n">
        <v>0</v>
      </c>
      <c r="R215" t="n">
        <v>0</v>
      </c>
      <c r="S215" t="n">
        <v>2</v>
      </c>
      <c r="T215" t="n">
        <v>2</v>
      </c>
      <c r="U215" t="n">
        <v>1</v>
      </c>
      <c r="V215" s="2" t="inlineStr">
        <is>
          <t>Grovticka
Spillkråka</t>
        </is>
      </c>
      <c r="W215">
        <f>HYPERLINK("https://klasma.github.io/Logging_0883/artfynd/A 932-2024 artfynd.xlsx", "A 932-2024")</f>
        <v/>
      </c>
      <c r="X215">
        <f>HYPERLINK("https://klasma.github.io/Logging_0883/kartor/A 932-2024 karta.png", "A 932-2024")</f>
        <v/>
      </c>
      <c r="Y215">
        <f>HYPERLINK("https://klasma.github.io/Logging_0883/kartor_geotiff/A 932-2024 georefererad karta.tif", "A 932-2024")</f>
        <v/>
      </c>
      <c r="AA215">
        <f>HYPERLINK("https://klasma.github.io/Logging_0883/klagomål/A 932-2024 FSC-klagomål.docx", "A 932-2024")</f>
        <v/>
      </c>
      <c r="AB215">
        <f>HYPERLINK("https://klasma.github.io/Logging_0883/klagomålsmail/A 932-2024 FSC-klagomål mail.docx", "A 932-2024")</f>
        <v/>
      </c>
      <c r="AC215">
        <f>HYPERLINK("https://klasma.github.io/Logging_0883/tillsyn/A 932-2024 tillsynsbegäran.docx", "A 932-2024")</f>
        <v/>
      </c>
      <c r="AD215">
        <f>HYPERLINK("https://klasma.github.io/Logging_0883/tillsynsmail/A 932-2024 tillsynsbegäran mail.docx", "A 932-2024")</f>
        <v/>
      </c>
      <c r="AE215">
        <f>HYPERLINK("https://klasma.github.io/Logging_0883/fåglar/A 932-2024 prioriterade fågelarter.docx", "A 932-2024")</f>
        <v/>
      </c>
    </row>
    <row r="216" ht="15" customHeight="1">
      <c r="A216" t="inlineStr">
        <is>
          <t>A 911-2024</t>
        </is>
      </c>
      <c r="B216" t="inlineStr">
        <is>
          <t>avverkningsanmälan</t>
        </is>
      </c>
      <c r="C216" t="inlineStr">
        <is>
          <t>Föryngringsavverkning</t>
        </is>
      </c>
      <c r="D216" s="1" t="n">
        <v>45301</v>
      </c>
      <c r="E216" s="1" t="n">
        <v>46323</v>
      </c>
      <c r="F216" t="inlineStr">
        <is>
          <t>KALMAR LÄN</t>
        </is>
      </c>
      <c r="G216" t="inlineStr">
        <is>
          <t>VÄSTERVIK</t>
        </is>
      </c>
      <c r="I216" t="n">
        <v>5.6</v>
      </c>
      <c r="J216" t="n">
        <v>1</v>
      </c>
      <c r="K216" t="n">
        <v>1</v>
      </c>
      <c r="L216" t="n">
        <v>1</v>
      </c>
      <c r="M216" t="n">
        <v>0</v>
      </c>
      <c r="N216" t="n">
        <v>0</v>
      </c>
      <c r="O216" t="n">
        <v>0</v>
      </c>
      <c r="P216" t="n">
        <v>0</v>
      </c>
      <c r="Q216" t="n">
        <v>1</v>
      </c>
      <c r="R216" t="n">
        <v>0</v>
      </c>
      <c r="S216" t="n">
        <v>2</v>
      </c>
      <c r="T216" t="n">
        <v>2</v>
      </c>
      <c r="U216" t="n">
        <v>2</v>
      </c>
      <c r="V216" s="2" t="inlineStr">
        <is>
          <t>Talltita
Blodticka</t>
        </is>
      </c>
      <c r="W216">
        <f>HYPERLINK("https://klasma.github.io/Logging_0883/artfynd/A 911-2024 artfynd.xlsx", "A 911-2024")</f>
        <v/>
      </c>
      <c r="X216">
        <f>HYPERLINK("https://klasma.github.io/Logging_0883/kartor/A 911-2024 karta.png", "A 911-2024")</f>
        <v/>
      </c>
      <c r="Y216">
        <f>HYPERLINK("https://klasma.github.io/Logging_0883/kartor_geotiff/A 911-2024 georefererad karta.tif", "A 911-2024")</f>
        <v/>
      </c>
      <c r="AA216">
        <f>HYPERLINK("https://klasma.github.io/Logging_0883/klagomål/A 911-2024 FSC-klagomål.docx", "A 911-2024")</f>
        <v/>
      </c>
      <c r="AB216">
        <f>HYPERLINK("https://klasma.github.io/Logging_0883/klagomålsmail/A 911-2024 FSC-klagomål mail.docx", "A 911-2024")</f>
        <v/>
      </c>
      <c r="AC216">
        <f>HYPERLINK("https://klasma.github.io/Logging_0883/tillsyn/A 911-2024 tillsynsbegäran.docx", "A 911-2024")</f>
        <v/>
      </c>
      <c r="AD216">
        <f>HYPERLINK("https://klasma.github.io/Logging_0883/tillsynsmail/A 911-2024 tillsynsbegäran mail.docx", "A 911-2024")</f>
        <v/>
      </c>
      <c r="AE216">
        <f>HYPERLINK("https://klasma.github.io/Logging_0883/fåglar/A 911-2024 prioriterade fågelarter.docx", "A 911-2024")</f>
        <v/>
      </c>
    </row>
    <row r="217" ht="15" customHeight="1">
      <c r="A217" t="inlineStr">
        <is>
          <t>A 15183-2026</t>
        </is>
      </c>
      <c r="B217" t="inlineStr">
        <is>
          <t>avverkningsanmälan</t>
        </is>
      </c>
      <c r="C217" t="inlineStr">
        <is>
          <t>Avverkning för att bevara och utveckla /försöksver</t>
        </is>
      </c>
      <c r="D217" s="1" t="n">
        <v>46105</v>
      </c>
      <c r="E217" s="1" t="n">
        <v>46323</v>
      </c>
      <c r="F217" t="inlineStr">
        <is>
          <t>KALMAR LÄN</t>
        </is>
      </c>
      <c r="G217" t="inlineStr">
        <is>
          <t>VÄSTERVIK</t>
        </is>
      </c>
      <c r="H217" t="inlineStr">
        <is>
          <t>Sveaskog</t>
        </is>
      </c>
      <c r="I217" t="n">
        <v>2.2</v>
      </c>
      <c r="J217" t="n">
        <v>0</v>
      </c>
      <c r="K217" t="n">
        <v>1</v>
      </c>
      <c r="L217" t="n">
        <v>0</v>
      </c>
      <c r="M217" t="n">
        <v>1</v>
      </c>
      <c r="N217" t="n">
        <v>0</v>
      </c>
      <c r="O217" t="n">
        <v>0</v>
      </c>
      <c r="P217" t="n">
        <v>0</v>
      </c>
      <c r="Q217" t="n">
        <v>1</v>
      </c>
      <c r="R217" t="n">
        <v>1</v>
      </c>
      <c r="S217" t="n">
        <v>2</v>
      </c>
      <c r="T217" t="n">
        <v>2</v>
      </c>
      <c r="U217" t="n">
        <v>0</v>
      </c>
      <c r="V217" s="2" t="inlineStr">
        <is>
          <t>Bredbrämad bastardsvärmare
Grovticka</t>
        </is>
      </c>
      <c r="W217">
        <f>HYPERLINK("https://klasma.github.io/Logging_0883/artfynd/A 15183-2026 artfynd.xlsx", "A 15183-2026")</f>
        <v/>
      </c>
      <c r="X217">
        <f>HYPERLINK("https://klasma.github.io/Logging_0883/kartor/A 15183-2026 karta.png", "A 15183-2026")</f>
        <v/>
      </c>
      <c r="Y217">
        <f>HYPERLINK("https://klasma.github.io/Logging_0883/kartor_geotiff/A 15183-2026 georefererad karta.tif", "A 15183-2026")</f>
        <v/>
      </c>
      <c r="AA217">
        <f>HYPERLINK("https://klasma.github.io/Logging_0883/klagomål/A 15183-2026 FSC-klagomål.docx", "A 15183-2026")</f>
        <v/>
      </c>
      <c r="AB217">
        <f>HYPERLINK("https://klasma.github.io/Logging_0883/klagomålsmail/A 15183-2026 FSC-klagomål mail.docx", "A 15183-2026")</f>
        <v/>
      </c>
      <c r="AC217">
        <f>HYPERLINK("https://klasma.github.io/Logging_0883/tillsyn/A 15183-2026 tillsynsbegäran.docx", "A 15183-2026")</f>
        <v/>
      </c>
      <c r="AD217">
        <f>HYPERLINK("https://klasma.github.io/Logging_0883/tillsynsmail/A 15183-2026 tillsynsbegäran mail.docx", "A 15183-2026")</f>
        <v/>
      </c>
    </row>
    <row r="218" ht="15" customHeight="1">
      <c r="A218" t="inlineStr">
        <is>
          <t>A 15165-2026</t>
        </is>
      </c>
      <c r="B218" t="inlineStr">
        <is>
          <t>avverkningsanmälan</t>
        </is>
      </c>
      <c r="C218" t="inlineStr">
        <is>
          <t>Föryngringsavverkning</t>
        </is>
      </c>
      <c r="D218" s="1" t="n">
        <v>46105</v>
      </c>
      <c r="E218" s="1" t="n">
        <v>46323</v>
      </c>
      <c r="F218" t="inlineStr">
        <is>
          <t>KALMAR LÄN</t>
        </is>
      </c>
      <c r="G218" t="inlineStr">
        <is>
          <t>VÄSTERVIK</t>
        </is>
      </c>
      <c r="H218" t="inlineStr">
        <is>
          <t>Sveaskog</t>
        </is>
      </c>
      <c r="I218" t="n">
        <v>1.4</v>
      </c>
      <c r="J218" t="n">
        <v>2</v>
      </c>
      <c r="K218" t="n">
        <v>0</v>
      </c>
      <c r="L218" t="n">
        <v>0</v>
      </c>
      <c r="M218" t="n">
        <v>0</v>
      </c>
      <c r="N218" t="n">
        <v>0</v>
      </c>
      <c r="O218" t="n">
        <v>0</v>
      </c>
      <c r="P218" t="n">
        <v>0</v>
      </c>
      <c r="Q218" t="n">
        <v>0</v>
      </c>
      <c r="R218" t="n">
        <v>0</v>
      </c>
      <c r="S218" t="n">
        <v>2</v>
      </c>
      <c r="T218" t="n">
        <v>2</v>
      </c>
      <c r="U218" t="n">
        <v>2</v>
      </c>
      <c r="V218" s="2" t="inlineStr">
        <is>
          <t>Spillkråka
Grönsiska</t>
        </is>
      </c>
      <c r="W218">
        <f>HYPERLINK("https://klasma.github.io/Logging_0883/artfynd/A 15165-2026 artfynd.xlsx", "A 15165-2026")</f>
        <v/>
      </c>
      <c r="X218">
        <f>HYPERLINK("https://klasma.github.io/Logging_0883/kartor/A 15165-2026 karta.png", "A 15165-2026")</f>
        <v/>
      </c>
      <c r="Y218">
        <f>HYPERLINK("https://klasma.github.io/Logging_0883/kartor_geotiff/A 15165-2026 georefererad karta.tif", "A 15165-2026")</f>
        <v/>
      </c>
      <c r="AA218">
        <f>HYPERLINK("https://klasma.github.io/Logging_0883/klagomål/A 15165-2026 FSC-klagomål.docx", "A 15165-2026")</f>
        <v/>
      </c>
      <c r="AB218">
        <f>HYPERLINK("https://klasma.github.io/Logging_0883/klagomålsmail/A 15165-2026 FSC-klagomål mail.docx", "A 15165-2026")</f>
        <v/>
      </c>
      <c r="AC218">
        <f>HYPERLINK("https://klasma.github.io/Logging_0883/tillsyn/A 15165-2026 tillsynsbegäran.docx", "A 15165-2026")</f>
        <v/>
      </c>
      <c r="AD218">
        <f>HYPERLINK("https://klasma.github.io/Logging_0883/tillsynsmail/A 15165-2026 tillsynsbegäran mail.docx", "A 15165-2026")</f>
        <v/>
      </c>
      <c r="AE218">
        <f>HYPERLINK("https://klasma.github.io/Logging_0883/fåglar/A 15165-2026 prioriterade fågelarter.docx", "A 15165-2026")</f>
        <v/>
      </c>
    </row>
    <row r="219" ht="15" customHeight="1">
      <c r="A219" t="inlineStr">
        <is>
          <t>A 40854-2026</t>
        </is>
      </c>
      <c r="B219" t="inlineStr">
        <is>
          <t>avverkningsanmälan</t>
        </is>
      </c>
      <c r="C219" t="inlineStr">
        <is>
          <t>Föryngringsavverkning</t>
        </is>
      </c>
      <c r="D219" s="1" t="n">
        <v>46296</v>
      </c>
      <c r="E219" s="1" t="n">
        <v>46323</v>
      </c>
      <c r="F219" t="inlineStr">
        <is>
          <t>KALMAR LÄN</t>
        </is>
      </c>
      <c r="G219" t="inlineStr">
        <is>
          <t>VÄSTERVIK</t>
        </is>
      </c>
      <c r="H219" t="inlineStr">
        <is>
          <t>Sveaskog</t>
        </is>
      </c>
      <c r="I219" t="n">
        <v>4.3</v>
      </c>
      <c r="J219" t="n">
        <v>1</v>
      </c>
      <c r="K219" t="n">
        <v>0</v>
      </c>
      <c r="L219" t="n">
        <v>1</v>
      </c>
      <c r="M219" t="n">
        <v>0</v>
      </c>
      <c r="N219" t="n">
        <v>0</v>
      </c>
      <c r="O219" t="n">
        <v>0</v>
      </c>
      <c r="P219" t="n">
        <v>0</v>
      </c>
      <c r="Q219" t="n">
        <v>1</v>
      </c>
      <c r="R219" t="n">
        <v>0</v>
      </c>
      <c r="S219" t="n">
        <v>2</v>
      </c>
      <c r="T219" t="n">
        <v>2</v>
      </c>
      <c r="U219" t="n">
        <v>0</v>
      </c>
      <c r="V219" s="2" t="inlineStr">
        <is>
          <t>Motaggsvamp
Spillkråka</t>
        </is>
      </c>
      <c r="W219">
        <f>HYPERLINK("https://klasma.github.io/Logging_0883/artfynd/A 40854-2026 artfynd.xlsx", "A 40854-2026")</f>
        <v/>
      </c>
      <c r="X219">
        <f>HYPERLINK("https://klasma.github.io/Logging_0883/kartor/A 40854-2026 karta.png", "A 40854-2026")</f>
        <v/>
      </c>
      <c r="Y219">
        <f>HYPERLINK("https://klasma.github.io/Logging_0883/kartor_geotiff/A 40854-2026 georefererad karta.tif", "A 40854-2026")</f>
        <v/>
      </c>
      <c r="AA219">
        <f>HYPERLINK("https://klasma.github.io/Logging_0883/klagomål/A 40854-2026 FSC-klagomål.docx", "A 40854-2026")</f>
        <v/>
      </c>
      <c r="AB219">
        <f>HYPERLINK("https://klasma.github.io/Logging_0883/klagomålsmail/A 40854-2026 FSC-klagomål mail.docx", "A 40854-2026")</f>
        <v/>
      </c>
      <c r="AC219">
        <f>HYPERLINK("https://klasma.github.io/Logging_0883/tillsyn/A 40854-2026 tillsynsbegäran.docx", "A 40854-2026")</f>
        <v/>
      </c>
      <c r="AD219">
        <f>HYPERLINK("https://klasma.github.io/Logging_0883/tillsynsmail/A 40854-2026 tillsynsbegäran mail.docx", "A 40854-2026")</f>
        <v/>
      </c>
      <c r="AE219">
        <f>HYPERLINK("https://klasma.github.io/Logging_0883/fåglar/A 40854-2026 prioriterade fågelarter.docx", "A 40854-2026")</f>
        <v/>
      </c>
    </row>
    <row r="220" ht="15" customHeight="1">
      <c r="A220" t="inlineStr">
        <is>
          <t>A 16956-2026</t>
        </is>
      </c>
      <c r="B220" t="inlineStr">
        <is>
          <t>avverkningsanmälan</t>
        </is>
      </c>
      <c r="C220" t="inlineStr">
        <is>
          <t>Föryngringsavverkning</t>
        </is>
      </c>
      <c r="D220" s="1" t="n">
        <v>46114</v>
      </c>
      <c r="E220" s="1" t="n">
        <v>46323</v>
      </c>
      <c r="F220" t="inlineStr">
        <is>
          <t>KALMAR LÄN</t>
        </is>
      </c>
      <c r="G220" t="inlineStr">
        <is>
          <t>VÄSTERVIK</t>
        </is>
      </c>
      <c r="I220" t="n">
        <v>1.4</v>
      </c>
      <c r="J220" t="n">
        <v>2</v>
      </c>
      <c r="K220" t="n">
        <v>0</v>
      </c>
      <c r="L220" t="n">
        <v>2</v>
      </c>
      <c r="M220" t="n">
        <v>0</v>
      </c>
      <c r="N220" t="n">
        <v>0</v>
      </c>
      <c r="O220" t="n">
        <v>0</v>
      </c>
      <c r="P220" t="n">
        <v>0</v>
      </c>
      <c r="Q220" t="n">
        <v>2</v>
      </c>
      <c r="R220" t="n">
        <v>0</v>
      </c>
      <c r="S220" t="n">
        <v>2</v>
      </c>
      <c r="T220" t="n">
        <v>2</v>
      </c>
      <c r="U220" t="n">
        <v>2</v>
      </c>
      <c r="V220" s="2" t="inlineStr">
        <is>
          <t>Järnsparv
Talltita</t>
        </is>
      </c>
      <c r="W220">
        <f>HYPERLINK("https://klasma.github.io/Logging_0883/artfynd/A 16956-2026 artfynd.xlsx", "A 16956-2026")</f>
        <v/>
      </c>
      <c r="X220">
        <f>HYPERLINK("https://klasma.github.io/Logging_0883/kartor/A 16956-2026 karta.png", "A 16956-2026")</f>
        <v/>
      </c>
      <c r="Y220">
        <f>HYPERLINK("https://klasma.github.io/Logging_0883/kartor_geotiff/A 16956-2026 georefererad karta.tif", "A 16956-2026")</f>
        <v/>
      </c>
      <c r="AA220">
        <f>HYPERLINK("https://klasma.github.io/Logging_0883/klagomål/A 16956-2026 FSC-klagomål.docx", "A 16956-2026")</f>
        <v/>
      </c>
      <c r="AB220">
        <f>HYPERLINK("https://klasma.github.io/Logging_0883/klagomålsmail/A 16956-2026 FSC-klagomål mail.docx", "A 16956-2026")</f>
        <v/>
      </c>
      <c r="AC220">
        <f>HYPERLINK("https://klasma.github.io/Logging_0883/tillsyn/A 16956-2026 tillsynsbegäran.docx", "A 16956-2026")</f>
        <v/>
      </c>
      <c r="AD220">
        <f>HYPERLINK("https://klasma.github.io/Logging_0883/tillsynsmail/A 16956-2026 tillsynsbegäran mail.docx", "A 16956-2026")</f>
        <v/>
      </c>
      <c r="AE220">
        <f>HYPERLINK("https://klasma.github.io/Logging_0883/fåglar/A 16956-2026 prioriterade fågelarter.docx", "A 16956-2026")</f>
        <v/>
      </c>
    </row>
    <row r="221" ht="15" customHeight="1">
      <c r="A221" t="inlineStr">
        <is>
          <t>A 59231-2022</t>
        </is>
      </c>
      <c r="B221" t="inlineStr">
        <is>
          <t>avverkningsanmälan</t>
        </is>
      </c>
      <c r="C221" t="inlineStr">
        <is>
          <t>Föryngringsavverkning</t>
        </is>
      </c>
      <c r="D221" s="1" t="n">
        <v>44904</v>
      </c>
      <c r="E221" s="1" t="n">
        <v>46323</v>
      </c>
      <c r="F221" t="inlineStr">
        <is>
          <t>KALMAR LÄN</t>
        </is>
      </c>
      <c r="G221" t="inlineStr">
        <is>
          <t>VÄSTERVIK</t>
        </is>
      </c>
      <c r="I221" t="n">
        <v>1.8</v>
      </c>
      <c r="J221" t="n">
        <v>0</v>
      </c>
      <c r="K221" t="n">
        <v>1</v>
      </c>
      <c r="L221" t="n">
        <v>1</v>
      </c>
      <c r="M221" t="n">
        <v>0</v>
      </c>
      <c r="N221" t="n">
        <v>0</v>
      </c>
      <c r="O221" t="n">
        <v>0</v>
      </c>
      <c r="P221" t="n">
        <v>0</v>
      </c>
      <c r="Q221" t="n">
        <v>1</v>
      </c>
      <c r="R221" t="n">
        <v>0</v>
      </c>
      <c r="S221" t="n">
        <v>2</v>
      </c>
      <c r="T221" t="n">
        <v>2</v>
      </c>
      <c r="U221" t="n">
        <v>2</v>
      </c>
      <c r="V221" s="2" t="inlineStr">
        <is>
          <t>Tallticka
Grönpyrola</t>
        </is>
      </c>
      <c r="W221">
        <f>HYPERLINK("https://klasma.github.io/Logging_0883/artfynd/A 59231-2022 artfynd.xlsx", "A 59231-2022")</f>
        <v/>
      </c>
      <c r="X221">
        <f>HYPERLINK("https://klasma.github.io/Logging_0883/kartor/A 59231-2022 karta.png", "A 59231-2022")</f>
        <v/>
      </c>
      <c r="Y221">
        <f>HYPERLINK("https://klasma.github.io/Logging_0883/kartor_geotiff/A 59231-2022 georefererad karta.tif", "A 59231-2022")</f>
        <v/>
      </c>
      <c r="AA221">
        <f>HYPERLINK("https://klasma.github.io/Logging_0883/klagomål/A 59231-2022 FSC-klagomål.docx", "A 59231-2022")</f>
        <v/>
      </c>
      <c r="AB221">
        <f>HYPERLINK("https://klasma.github.io/Logging_0883/klagomålsmail/A 59231-2022 FSC-klagomål mail.docx", "A 59231-2022")</f>
        <v/>
      </c>
      <c r="AC221">
        <f>HYPERLINK("https://klasma.github.io/Logging_0883/tillsyn/A 59231-2022 tillsynsbegäran.docx", "A 59231-2022")</f>
        <v/>
      </c>
      <c r="AD221">
        <f>HYPERLINK("https://klasma.github.io/Logging_0883/tillsynsmail/A 59231-2022 tillsynsbegäran mail.docx", "A 59231-2022")</f>
        <v/>
      </c>
    </row>
    <row r="222" ht="15" customHeight="1">
      <c r="A222" t="inlineStr">
        <is>
          <t>A 9770-2024</t>
        </is>
      </c>
      <c r="B222" t="inlineStr">
        <is>
          <t>avverkningsanmälan</t>
        </is>
      </c>
      <c r="C222" t="inlineStr">
        <is>
          <t>Föryngringsavverkning</t>
        </is>
      </c>
      <c r="D222" s="1" t="n">
        <v>45362</v>
      </c>
      <c r="E222" s="1" t="n">
        <v>46323</v>
      </c>
      <c r="F222" t="inlineStr">
        <is>
          <t>KALMAR LÄN</t>
        </is>
      </c>
      <c r="G222" t="inlineStr">
        <is>
          <t>VÄSTERVIK</t>
        </is>
      </c>
      <c r="I222" t="n">
        <v>2.6</v>
      </c>
      <c r="J222" t="n">
        <v>2</v>
      </c>
      <c r="K222" t="n">
        <v>0</v>
      </c>
      <c r="L222" t="n">
        <v>1</v>
      </c>
      <c r="M222" t="n">
        <v>0</v>
      </c>
      <c r="N222" t="n">
        <v>0</v>
      </c>
      <c r="O222" t="n">
        <v>0</v>
      </c>
      <c r="P222" t="n">
        <v>0</v>
      </c>
      <c r="Q222" t="n">
        <v>1</v>
      </c>
      <c r="R222" t="n">
        <v>0</v>
      </c>
      <c r="S222" t="n">
        <v>2</v>
      </c>
      <c r="T222" t="n">
        <v>2</v>
      </c>
      <c r="U222" t="n">
        <v>0</v>
      </c>
      <c r="V222" s="2" t="inlineStr">
        <is>
          <t>Talltita
Tjäder</t>
        </is>
      </c>
      <c r="W222">
        <f>HYPERLINK("https://klasma.github.io/Logging_0883/artfynd/A 9770-2024 artfynd.xlsx", "A 9770-2024")</f>
        <v/>
      </c>
      <c r="X222">
        <f>HYPERLINK("https://klasma.github.io/Logging_0883/kartor/A 9770-2024 karta.png", "A 9770-2024")</f>
        <v/>
      </c>
      <c r="Y222">
        <f>HYPERLINK("https://klasma.github.io/Logging_0883/kartor_geotiff/A 9770-2024 georefererad karta.tif", "A 9770-2024")</f>
        <v/>
      </c>
      <c r="AA222">
        <f>HYPERLINK("https://klasma.github.io/Logging_0883/klagomål/A 9770-2024 FSC-klagomål.docx", "A 9770-2024")</f>
        <v/>
      </c>
      <c r="AB222">
        <f>HYPERLINK("https://klasma.github.io/Logging_0883/klagomålsmail/A 9770-2024 FSC-klagomål mail.docx", "A 9770-2024")</f>
        <v/>
      </c>
      <c r="AC222">
        <f>HYPERLINK("https://klasma.github.io/Logging_0883/tillsyn/A 9770-2024 tillsynsbegäran.docx", "A 9770-2024")</f>
        <v/>
      </c>
      <c r="AD222">
        <f>HYPERLINK("https://klasma.github.io/Logging_0883/tillsynsmail/A 9770-2024 tillsynsbegäran mail.docx", "A 9770-2024")</f>
        <v/>
      </c>
      <c r="AE222">
        <f>HYPERLINK("https://klasma.github.io/Logging_0883/fåglar/A 9770-2024 prioriterade fågelarter.docx", "A 9770-2024")</f>
        <v/>
      </c>
    </row>
    <row r="223" ht="15" customHeight="1">
      <c r="A223" t="inlineStr">
        <is>
          <t>A 29898-2026</t>
        </is>
      </c>
      <c r="B223" t="inlineStr">
        <is>
          <t>avverkningsanmälan</t>
        </is>
      </c>
      <c r="C223" t="inlineStr">
        <is>
          <t>Föryngringsavverkning</t>
        </is>
      </c>
      <c r="D223" s="1" t="n">
        <v>46205</v>
      </c>
      <c r="E223" s="1" t="n">
        <v>46323</v>
      </c>
      <c r="F223" t="inlineStr">
        <is>
          <t>KALMAR LÄN</t>
        </is>
      </c>
      <c r="G223" t="inlineStr">
        <is>
          <t>VÄSTERVIK</t>
        </is>
      </c>
      <c r="I223" t="n">
        <v>5.8</v>
      </c>
      <c r="J223" t="n">
        <v>1</v>
      </c>
      <c r="K223" t="n">
        <v>1</v>
      </c>
      <c r="L223" t="n">
        <v>0</v>
      </c>
      <c r="M223" t="n">
        <v>0</v>
      </c>
      <c r="N223" t="n">
        <v>0</v>
      </c>
      <c r="O223" t="n">
        <v>0</v>
      </c>
      <c r="P223" t="n">
        <v>0</v>
      </c>
      <c r="Q223" t="n">
        <v>0</v>
      </c>
      <c r="R223" t="n">
        <v>0</v>
      </c>
      <c r="S223" t="n">
        <v>2</v>
      </c>
      <c r="T223" t="n">
        <v>3</v>
      </c>
      <c r="U223" t="n">
        <v>3</v>
      </c>
      <c r="V223" s="2" t="inlineStr">
        <is>
          <t>Blåmossa
Spillkråka</t>
        </is>
      </c>
      <c r="W223">
        <f>HYPERLINK("https://klasma.github.io/Logging_0883/artfynd/A 29898-2026 artfynd.xlsx", "A 29898-2026")</f>
        <v/>
      </c>
      <c r="X223">
        <f>HYPERLINK("https://klasma.github.io/Logging_0883/kartor/A 29898-2026 karta.png", "A 29898-2026")</f>
        <v/>
      </c>
      <c r="Y223">
        <f>HYPERLINK("https://klasma.github.io/Logging_0883/kartor_geotiff/A 29898-2026 georefererad karta.tif", "A 29898-2026")</f>
        <v/>
      </c>
      <c r="AA223">
        <f>HYPERLINK("https://klasma.github.io/Logging_0883/klagomål/A 29898-2026 FSC-klagomål.docx", "A 29898-2026")</f>
        <v/>
      </c>
      <c r="AB223">
        <f>HYPERLINK("https://klasma.github.io/Logging_0883/klagomålsmail/A 29898-2026 FSC-klagomål mail.docx", "A 29898-2026")</f>
        <v/>
      </c>
      <c r="AC223">
        <f>HYPERLINK("https://klasma.github.io/Logging_0883/tillsyn/A 29898-2026 tillsynsbegäran.docx", "A 29898-2026")</f>
        <v/>
      </c>
      <c r="AD223">
        <f>HYPERLINK("https://klasma.github.io/Logging_0883/tillsynsmail/A 29898-2026 tillsynsbegäran mail.docx", "A 29898-2026")</f>
        <v/>
      </c>
      <c r="AE223">
        <f>HYPERLINK("https://klasma.github.io/Logging_0883/fåglar/A 29898-2026 prioriterade fågelarter.docx", "A 29898-2026")</f>
        <v/>
      </c>
    </row>
    <row r="224" ht="15" customHeight="1">
      <c r="A224" t="inlineStr">
        <is>
          <t>A 19900-2022</t>
        </is>
      </c>
      <c r="B224" t="inlineStr">
        <is>
          <t>avverkningsanmälan</t>
        </is>
      </c>
      <c r="C224" t="inlineStr">
        <is>
          <t>Föryngringsavverkning</t>
        </is>
      </c>
      <c r="D224" s="1" t="n">
        <v>44697</v>
      </c>
      <c r="E224" s="1" t="n">
        <v>46323</v>
      </c>
      <c r="F224" t="inlineStr">
        <is>
          <t>KALMAR LÄN</t>
        </is>
      </c>
      <c r="G224" t="inlineStr">
        <is>
          <t>VÄSTERVIK</t>
        </is>
      </c>
      <c r="I224" t="n">
        <v>2.4</v>
      </c>
      <c r="J224" t="n">
        <v>1</v>
      </c>
      <c r="K224" t="n">
        <v>0</v>
      </c>
      <c r="L224" t="n">
        <v>1</v>
      </c>
      <c r="M224" t="n">
        <v>1</v>
      </c>
      <c r="N224" t="n">
        <v>0</v>
      </c>
      <c r="O224" t="n">
        <v>0</v>
      </c>
      <c r="P224" t="n">
        <v>0</v>
      </c>
      <c r="Q224" t="n">
        <v>2</v>
      </c>
      <c r="R224" t="n">
        <v>1</v>
      </c>
      <c r="S224" t="n">
        <v>2</v>
      </c>
      <c r="T224" t="n">
        <v>2</v>
      </c>
      <c r="U224" t="n">
        <v>2</v>
      </c>
      <c r="V224" s="2" t="inlineStr">
        <is>
          <t>Knärot
Tallticka</t>
        </is>
      </c>
      <c r="W224">
        <f>HYPERLINK("https://klasma.github.io/Logging_0883/artfynd/A 19900-2022 artfynd.xlsx", "A 19900-2022")</f>
        <v/>
      </c>
      <c r="X224">
        <f>HYPERLINK("https://klasma.github.io/Logging_0883/kartor/A 19900-2022 karta.png", "A 19900-2022")</f>
        <v/>
      </c>
      <c r="Y224">
        <f>HYPERLINK("https://klasma.github.io/Logging_0883/kartor_geotiff/A 19900-2022 georefererad karta.tif", "A 19900-2022")</f>
        <v/>
      </c>
      <c r="Z224">
        <f>HYPERLINK("https://klasma.github.io/Logging_0883/knärot/A 19900-2022 karta knärot.png", "A 19900-2022")</f>
        <v/>
      </c>
      <c r="AA224">
        <f>HYPERLINK("https://klasma.github.io/Logging_0883/klagomål/A 19900-2022 FSC-klagomål.docx", "A 19900-2022")</f>
        <v/>
      </c>
      <c r="AB224">
        <f>HYPERLINK("https://klasma.github.io/Logging_0883/klagomålsmail/A 19900-2022 FSC-klagomål mail.docx", "A 19900-2022")</f>
        <v/>
      </c>
      <c r="AC224">
        <f>HYPERLINK("https://klasma.github.io/Logging_0883/tillsyn/A 19900-2022 tillsynsbegäran.docx", "A 19900-2022")</f>
        <v/>
      </c>
      <c r="AD224">
        <f>HYPERLINK("https://klasma.github.io/Logging_0883/tillsynsmail/A 19900-2022 tillsynsbegäran mail.docx", "A 19900-2022")</f>
        <v/>
      </c>
    </row>
    <row r="225" ht="15" customHeight="1">
      <c r="A225" t="inlineStr">
        <is>
          <t>A 50647-2025</t>
        </is>
      </c>
      <c r="B225" t="inlineStr">
        <is>
          <t>avverkningsanmälan</t>
        </is>
      </c>
      <c r="C225" t="inlineStr">
        <is>
          <t>Föryngringsavverkning</t>
        </is>
      </c>
      <c r="D225" s="1" t="n">
        <v>45945</v>
      </c>
      <c r="E225" s="1" t="n">
        <v>46323</v>
      </c>
      <c r="F225" t="inlineStr">
        <is>
          <t>KALMAR LÄN</t>
        </is>
      </c>
      <c r="G225" t="inlineStr">
        <is>
          <t>VÄSTERVIK</t>
        </is>
      </c>
      <c r="I225" t="n">
        <v>1.7</v>
      </c>
      <c r="J225" t="n">
        <v>1</v>
      </c>
      <c r="K225" t="n">
        <v>1</v>
      </c>
      <c r="L225" t="n">
        <v>0</v>
      </c>
      <c r="M225" t="n">
        <v>1</v>
      </c>
      <c r="N225" t="n">
        <v>0</v>
      </c>
      <c r="O225" t="n">
        <v>0</v>
      </c>
      <c r="P225" t="n">
        <v>0</v>
      </c>
      <c r="Q225" t="n">
        <v>1</v>
      </c>
      <c r="R225" t="n">
        <v>1</v>
      </c>
      <c r="S225" t="n">
        <v>2</v>
      </c>
      <c r="T225" t="n">
        <v>3</v>
      </c>
      <c r="U225" t="n">
        <v>0</v>
      </c>
      <c r="V225" s="2" t="inlineStr">
        <is>
          <t>Knärot
Grönpyrola</t>
        </is>
      </c>
      <c r="W225">
        <f>HYPERLINK("https://klasma.github.io/Logging_0883/artfynd/A 50647-2025 artfynd.xlsx", "A 50647-2025")</f>
        <v/>
      </c>
      <c r="X225">
        <f>HYPERLINK("https://klasma.github.io/Logging_0883/kartor/A 50647-2025 karta.png", "A 50647-2025")</f>
        <v/>
      </c>
      <c r="Y225">
        <f>HYPERLINK("https://klasma.github.io/Logging_0883/kartor_geotiff/A 50647-2025 georefererad karta.tif", "A 50647-2025")</f>
        <v/>
      </c>
      <c r="Z225">
        <f>HYPERLINK("https://klasma.github.io/Logging_0883/knärot/A 50647-2025 karta knärot.png", "A 50647-2025")</f>
        <v/>
      </c>
      <c r="AA225">
        <f>HYPERLINK("https://klasma.github.io/Logging_0883/klagomål/A 50647-2025 FSC-klagomål.docx", "A 50647-2025")</f>
        <v/>
      </c>
      <c r="AB225">
        <f>HYPERLINK("https://klasma.github.io/Logging_0883/klagomålsmail/A 50647-2025 FSC-klagomål mail.docx", "A 50647-2025")</f>
        <v/>
      </c>
      <c r="AC225">
        <f>HYPERLINK("https://klasma.github.io/Logging_0883/tillsyn/A 50647-2025 tillsynsbegäran.docx", "A 50647-2025")</f>
        <v/>
      </c>
      <c r="AD225">
        <f>HYPERLINK("https://klasma.github.io/Logging_0883/tillsynsmail/A 50647-2025 tillsynsbegäran mail.docx", "A 50647-2025")</f>
        <v/>
      </c>
    </row>
    <row r="226" ht="15" customHeight="1">
      <c r="A226" t="inlineStr">
        <is>
          <t>A 40331-2024</t>
        </is>
      </c>
      <c r="B226" t="inlineStr">
        <is>
          <t>avverkningsanmälan</t>
        </is>
      </c>
      <c r="C226" t="inlineStr">
        <is>
          <t>Föryngringsavverkning</t>
        </is>
      </c>
      <c r="D226" s="1" t="n">
        <v>45555</v>
      </c>
      <c r="E226" s="1" t="n">
        <v>46323</v>
      </c>
      <c r="F226" t="inlineStr">
        <is>
          <t>KALMAR LÄN</t>
        </is>
      </c>
      <c r="G226" t="inlineStr">
        <is>
          <t>VÄSTERVIK</t>
        </is>
      </c>
      <c r="I226" t="n">
        <v>1.5</v>
      </c>
      <c r="J226" t="n">
        <v>1</v>
      </c>
      <c r="K226" t="n">
        <v>1</v>
      </c>
      <c r="L226" t="n">
        <v>0</v>
      </c>
      <c r="M226" t="n">
        <v>0</v>
      </c>
      <c r="N226" t="n">
        <v>0</v>
      </c>
      <c r="O226" t="n">
        <v>0</v>
      </c>
      <c r="P226" t="n">
        <v>0</v>
      </c>
      <c r="Q226" t="n">
        <v>0</v>
      </c>
      <c r="R226" t="n">
        <v>0</v>
      </c>
      <c r="S226" t="n">
        <v>2</v>
      </c>
      <c r="T226" t="n">
        <v>4</v>
      </c>
      <c r="U226" t="n">
        <v>4</v>
      </c>
      <c r="V226" s="2" t="inlineStr">
        <is>
          <t>Murgröna
Blåsippa</t>
        </is>
      </c>
      <c r="W226">
        <f>HYPERLINK("https://klasma.github.io/Logging_0883/artfynd/A 40331-2024 artfynd.xlsx", "A 40331-2024")</f>
        <v/>
      </c>
      <c r="X226">
        <f>HYPERLINK("https://klasma.github.io/Logging_0883/kartor/A 40331-2024 karta.png", "A 40331-2024")</f>
        <v/>
      </c>
      <c r="Y226">
        <f>HYPERLINK("https://klasma.github.io/Logging_0883/kartor_geotiff/A 40331-2024 georefererad karta.tif", "A 40331-2024")</f>
        <v/>
      </c>
      <c r="AA226">
        <f>HYPERLINK("https://klasma.github.io/Logging_0883/klagomål/A 40331-2024 FSC-klagomål.docx", "A 40331-2024")</f>
        <v/>
      </c>
      <c r="AB226">
        <f>HYPERLINK("https://klasma.github.io/Logging_0883/klagomålsmail/A 40331-2024 FSC-klagomål mail.docx", "A 40331-2024")</f>
        <v/>
      </c>
      <c r="AC226">
        <f>HYPERLINK("https://klasma.github.io/Logging_0883/tillsyn/A 40331-2024 tillsynsbegäran.docx", "A 40331-2024")</f>
        <v/>
      </c>
      <c r="AD226">
        <f>HYPERLINK("https://klasma.github.io/Logging_0883/tillsynsmail/A 40331-2024 tillsynsbegäran mail.docx", "A 40331-2024")</f>
        <v/>
      </c>
    </row>
    <row r="227" ht="15" customHeight="1">
      <c r="A227" t="inlineStr">
        <is>
          <t>A 59221-2022</t>
        </is>
      </c>
      <c r="B227" t="inlineStr">
        <is>
          <t>avverkningsanmälan</t>
        </is>
      </c>
      <c r="C227" t="inlineStr">
        <is>
          <t>Föryngringsavverkning</t>
        </is>
      </c>
      <c r="D227" s="1" t="n">
        <v>44904</v>
      </c>
      <c r="E227" s="1" t="n">
        <v>46323</v>
      </c>
      <c r="F227" t="inlineStr">
        <is>
          <t>KALMAR LÄN</t>
        </is>
      </c>
      <c r="G227" t="inlineStr">
        <is>
          <t>VÄSTERVIK</t>
        </is>
      </c>
      <c r="I227" t="n">
        <v>6.1</v>
      </c>
      <c r="J227" t="n">
        <v>2</v>
      </c>
      <c r="K227" t="n">
        <v>0</v>
      </c>
      <c r="L227" t="n">
        <v>1</v>
      </c>
      <c r="M227" t="n">
        <v>0</v>
      </c>
      <c r="N227" t="n">
        <v>0</v>
      </c>
      <c r="O227" t="n">
        <v>0</v>
      </c>
      <c r="P227" t="n">
        <v>0</v>
      </c>
      <c r="Q227" t="n">
        <v>1</v>
      </c>
      <c r="R227" t="n">
        <v>0</v>
      </c>
      <c r="S227" t="n">
        <v>2</v>
      </c>
      <c r="T227" t="n">
        <v>2</v>
      </c>
      <c r="U227" t="n">
        <v>2</v>
      </c>
      <c r="V227" s="2" t="inlineStr">
        <is>
          <t>Talltita
Tjäder</t>
        </is>
      </c>
      <c r="W227">
        <f>HYPERLINK("https://klasma.github.io/Logging_0883/artfynd/A 59221-2022 artfynd.xlsx", "A 59221-2022")</f>
        <v/>
      </c>
      <c r="X227">
        <f>HYPERLINK("https://klasma.github.io/Logging_0883/kartor/A 59221-2022 karta.png", "A 59221-2022")</f>
        <v/>
      </c>
      <c r="Y227">
        <f>HYPERLINK("https://klasma.github.io/Logging_0883/kartor_geotiff/A 59221-2022 georefererad karta.tif", "A 59221-2022")</f>
        <v/>
      </c>
      <c r="AA227">
        <f>HYPERLINK("https://klasma.github.io/Logging_0883/klagomål/A 59221-2022 FSC-klagomål.docx", "A 59221-2022")</f>
        <v/>
      </c>
      <c r="AB227">
        <f>HYPERLINK("https://klasma.github.io/Logging_0883/klagomålsmail/A 59221-2022 FSC-klagomål mail.docx", "A 59221-2022")</f>
        <v/>
      </c>
      <c r="AC227">
        <f>HYPERLINK("https://klasma.github.io/Logging_0883/tillsyn/A 59221-2022 tillsynsbegäran.docx", "A 59221-2022")</f>
        <v/>
      </c>
      <c r="AD227">
        <f>HYPERLINK("https://klasma.github.io/Logging_0883/tillsynsmail/A 59221-2022 tillsynsbegäran mail.docx", "A 59221-2022")</f>
        <v/>
      </c>
      <c r="AE227">
        <f>HYPERLINK("https://klasma.github.io/Logging_0883/fåglar/A 59221-2022 prioriterade fågelarter.docx", "A 59221-2022")</f>
        <v/>
      </c>
    </row>
    <row r="228" ht="15" customHeight="1">
      <c r="A228" t="inlineStr">
        <is>
          <t>A 3673-2025</t>
        </is>
      </c>
      <c r="B228" t="inlineStr">
        <is>
          <t>avverkningsanmälan</t>
        </is>
      </c>
      <c r="C228" t="inlineStr">
        <is>
          <t>Föryngringsavverkning</t>
        </is>
      </c>
      <c r="D228" s="1" t="n">
        <v>45681</v>
      </c>
      <c r="E228" s="1" t="n">
        <v>46323</v>
      </c>
      <c r="F228" t="inlineStr">
        <is>
          <t>KALMAR LÄN</t>
        </is>
      </c>
      <c r="G228" t="inlineStr">
        <is>
          <t>VÄSTERVIK</t>
        </is>
      </c>
      <c r="I228" t="n">
        <v>1.1</v>
      </c>
      <c r="J228" t="n">
        <v>1</v>
      </c>
      <c r="K228" t="n">
        <v>1</v>
      </c>
      <c r="L228" t="n">
        <v>0</v>
      </c>
      <c r="M228" t="n">
        <v>0</v>
      </c>
      <c r="N228" t="n">
        <v>0</v>
      </c>
      <c r="O228" t="n">
        <v>0</v>
      </c>
      <c r="P228" t="n">
        <v>0</v>
      </c>
      <c r="Q228" t="n">
        <v>0</v>
      </c>
      <c r="R228" t="n">
        <v>0</v>
      </c>
      <c r="S228" t="n">
        <v>2</v>
      </c>
      <c r="T228" t="n">
        <v>2</v>
      </c>
      <c r="U228" t="n">
        <v>2</v>
      </c>
      <c r="V228" s="2" t="inlineStr">
        <is>
          <t>Blodticka
Spillkråka</t>
        </is>
      </c>
      <c r="W228">
        <f>HYPERLINK("https://klasma.github.io/Logging_0883/artfynd/A 3673-2025 artfynd.xlsx", "A 3673-2025")</f>
        <v/>
      </c>
      <c r="X228">
        <f>HYPERLINK("https://klasma.github.io/Logging_0883/kartor/A 3673-2025 karta.png", "A 3673-2025")</f>
        <v/>
      </c>
      <c r="Y228">
        <f>HYPERLINK("https://klasma.github.io/Logging_0883/kartor_geotiff/A 3673-2025 georefererad karta.tif", "A 3673-2025")</f>
        <v/>
      </c>
      <c r="AA228">
        <f>HYPERLINK("https://klasma.github.io/Logging_0883/klagomål/A 3673-2025 FSC-klagomål.docx", "A 3673-2025")</f>
        <v/>
      </c>
      <c r="AB228">
        <f>HYPERLINK("https://klasma.github.io/Logging_0883/klagomålsmail/A 3673-2025 FSC-klagomål mail.docx", "A 3673-2025")</f>
        <v/>
      </c>
      <c r="AC228">
        <f>HYPERLINK("https://klasma.github.io/Logging_0883/tillsyn/A 3673-2025 tillsynsbegäran.docx", "A 3673-2025")</f>
        <v/>
      </c>
      <c r="AD228">
        <f>HYPERLINK("https://klasma.github.io/Logging_0883/tillsynsmail/A 3673-2025 tillsynsbegäran mail.docx", "A 3673-2025")</f>
        <v/>
      </c>
      <c r="AE228">
        <f>HYPERLINK("https://klasma.github.io/Logging_0883/fåglar/A 3673-2025 prioriterade fågelarter.docx", "A 3673-2025")</f>
        <v/>
      </c>
    </row>
    <row r="229" ht="15" customHeight="1">
      <c r="A229" t="inlineStr">
        <is>
          <t>A 27568-2024</t>
        </is>
      </c>
      <c r="B229" t="inlineStr">
        <is>
          <t>avverkningsanmälan</t>
        </is>
      </c>
      <c r="C229" t="inlineStr">
        <is>
          <t>Föryngringsavverkning</t>
        </is>
      </c>
      <c r="D229" s="1" t="n">
        <v>45474</v>
      </c>
      <c r="E229" s="1" t="n">
        <v>46323</v>
      </c>
      <c r="F229" t="inlineStr">
        <is>
          <t>KALMAR LÄN</t>
        </is>
      </c>
      <c r="G229" t="inlineStr">
        <is>
          <t>VÄSTERVIK</t>
        </is>
      </c>
      <c r="I229" t="n">
        <v>7.7</v>
      </c>
      <c r="J229" t="n">
        <v>1</v>
      </c>
      <c r="K229" t="n">
        <v>0</v>
      </c>
      <c r="L229" t="n">
        <v>2</v>
      </c>
      <c r="M229" t="n">
        <v>0</v>
      </c>
      <c r="N229" t="n">
        <v>0</v>
      </c>
      <c r="O229" t="n">
        <v>0</v>
      </c>
      <c r="P229" t="n">
        <v>0</v>
      </c>
      <c r="Q229" t="n">
        <v>2</v>
      </c>
      <c r="R229" t="n">
        <v>0</v>
      </c>
      <c r="S229" t="n">
        <v>2</v>
      </c>
      <c r="T229" t="n">
        <v>2</v>
      </c>
      <c r="U229" t="n">
        <v>2</v>
      </c>
      <c r="V229" s="2" t="inlineStr">
        <is>
          <t>Motaggsvamp
Talltita</t>
        </is>
      </c>
      <c r="W229">
        <f>HYPERLINK("https://klasma.github.io/Logging_0883/artfynd/A 27568-2024 artfynd.xlsx", "A 27568-2024")</f>
        <v/>
      </c>
      <c r="X229">
        <f>HYPERLINK("https://klasma.github.io/Logging_0883/kartor/A 27568-2024 karta.png", "A 27568-2024")</f>
        <v/>
      </c>
      <c r="Y229">
        <f>HYPERLINK("https://klasma.github.io/Logging_0883/kartor_geotiff/A 27568-2024 georefererad karta.tif", "A 27568-2024")</f>
        <v/>
      </c>
      <c r="AA229">
        <f>HYPERLINK("https://klasma.github.io/Logging_0883/klagomål/A 27568-2024 FSC-klagomål.docx", "A 27568-2024")</f>
        <v/>
      </c>
      <c r="AB229">
        <f>HYPERLINK("https://klasma.github.io/Logging_0883/klagomålsmail/A 27568-2024 FSC-klagomål mail.docx", "A 27568-2024")</f>
        <v/>
      </c>
      <c r="AC229">
        <f>HYPERLINK("https://klasma.github.io/Logging_0883/tillsyn/A 27568-2024 tillsynsbegäran.docx", "A 27568-2024")</f>
        <v/>
      </c>
      <c r="AD229">
        <f>HYPERLINK("https://klasma.github.io/Logging_0883/tillsynsmail/A 27568-2024 tillsynsbegäran mail.docx", "A 27568-2024")</f>
        <v/>
      </c>
      <c r="AE229">
        <f>HYPERLINK("https://klasma.github.io/Logging_0883/fåglar/A 27568-2024 prioriterade fågelarter.docx", "A 27568-2024")</f>
        <v/>
      </c>
    </row>
    <row r="230" ht="15" customHeight="1">
      <c r="A230" t="inlineStr">
        <is>
          <t>A 1024-2023</t>
        </is>
      </c>
      <c r="B230" t="inlineStr">
        <is>
          <t>avverkningsanmälan</t>
        </is>
      </c>
      <c r="C230" t="inlineStr">
        <is>
          <t>Avverkning för att bevara och utveckla /försöksver</t>
        </is>
      </c>
      <c r="D230" s="1" t="n">
        <v>44935</v>
      </c>
      <c r="E230" s="1" t="n">
        <v>46323</v>
      </c>
      <c r="F230" t="inlineStr">
        <is>
          <t>KALMAR LÄN</t>
        </is>
      </c>
      <c r="G230" t="inlineStr">
        <is>
          <t>VÄSTERVIK</t>
        </is>
      </c>
      <c r="H230" t="inlineStr">
        <is>
          <t>Holmen skog AB</t>
        </is>
      </c>
      <c r="I230" t="n">
        <v>1.9</v>
      </c>
      <c r="J230" t="n">
        <v>0</v>
      </c>
      <c r="K230" t="n">
        <v>0</v>
      </c>
      <c r="L230" t="n">
        <v>2</v>
      </c>
      <c r="M230" t="n">
        <v>0</v>
      </c>
      <c r="N230" t="n">
        <v>0</v>
      </c>
      <c r="O230" t="n">
        <v>0</v>
      </c>
      <c r="P230" t="n">
        <v>0</v>
      </c>
      <c r="Q230" t="n">
        <v>2</v>
      </c>
      <c r="R230" t="n">
        <v>0</v>
      </c>
      <c r="S230" t="n">
        <v>2</v>
      </c>
      <c r="T230" t="n">
        <v>3</v>
      </c>
      <c r="U230" t="n">
        <v>3</v>
      </c>
      <c r="V230" s="2" t="inlineStr">
        <is>
          <t>Ekticka
Oxtungssvamp</t>
        </is>
      </c>
      <c r="W230">
        <f>HYPERLINK("https://klasma.github.io/Logging_0883/artfynd/A 1024-2023 artfynd.xlsx", "A 1024-2023")</f>
        <v/>
      </c>
      <c r="X230">
        <f>HYPERLINK("https://klasma.github.io/Logging_0883/kartor/A 1024-2023 karta.png", "A 1024-2023")</f>
        <v/>
      </c>
      <c r="Y230">
        <f>HYPERLINK("https://klasma.github.io/Logging_0883/kartor_geotiff/A 1024-2023 georefererad karta.tif", "A 1024-2023")</f>
        <v/>
      </c>
      <c r="AA230">
        <f>HYPERLINK("https://klasma.github.io/Logging_0883/klagomål/A 1024-2023 FSC-klagomål.docx", "A 1024-2023")</f>
        <v/>
      </c>
      <c r="AB230">
        <f>HYPERLINK("https://klasma.github.io/Logging_0883/klagomålsmail/A 1024-2023 FSC-klagomål mail.docx", "A 1024-2023")</f>
        <v/>
      </c>
      <c r="AC230">
        <f>HYPERLINK("https://klasma.github.io/Logging_0883/tillsyn/A 1024-2023 tillsynsbegäran.docx", "A 1024-2023")</f>
        <v/>
      </c>
      <c r="AD230">
        <f>HYPERLINK("https://klasma.github.io/Logging_0883/tillsynsmail/A 1024-2023 tillsynsbegäran mail.docx", "A 1024-2023")</f>
        <v/>
      </c>
    </row>
    <row r="231" ht="15" customHeight="1">
      <c r="A231" t="inlineStr">
        <is>
          <t>A 11198-2024</t>
        </is>
      </c>
      <c r="B231" t="inlineStr">
        <is>
          <t>avverkningsanmälan</t>
        </is>
      </c>
      <c r="C231" t="inlineStr">
        <is>
          <t>Föryngringsavverkning</t>
        </is>
      </c>
      <c r="D231" s="1" t="n">
        <v>45371</v>
      </c>
      <c r="E231" s="1" t="n">
        <v>46323</v>
      </c>
      <c r="F231" t="inlineStr">
        <is>
          <t>KALMAR LÄN</t>
        </is>
      </c>
      <c r="G231" t="inlineStr">
        <is>
          <t>VÄSTERVIK</t>
        </is>
      </c>
      <c r="I231" t="n">
        <v>4.1</v>
      </c>
      <c r="J231" t="n">
        <v>1</v>
      </c>
      <c r="K231" t="n">
        <v>1</v>
      </c>
      <c r="L231" t="n">
        <v>0</v>
      </c>
      <c r="M231" t="n">
        <v>0</v>
      </c>
      <c r="N231" t="n">
        <v>0</v>
      </c>
      <c r="O231" t="n">
        <v>0</v>
      </c>
      <c r="P231" t="n">
        <v>0</v>
      </c>
      <c r="Q231" t="n">
        <v>0</v>
      </c>
      <c r="R231" t="n">
        <v>0</v>
      </c>
      <c r="S231" t="n">
        <v>2</v>
      </c>
      <c r="T231" t="n">
        <v>2</v>
      </c>
      <c r="U231" t="n">
        <v>2</v>
      </c>
      <c r="V231" s="2" t="inlineStr">
        <is>
          <t>Blåmossa
Tjäder</t>
        </is>
      </c>
      <c r="W231">
        <f>HYPERLINK("https://klasma.github.io/Logging_0883/artfynd/A 11198-2024 artfynd.xlsx", "A 11198-2024")</f>
        <v/>
      </c>
      <c r="X231">
        <f>HYPERLINK("https://klasma.github.io/Logging_0883/kartor/A 11198-2024 karta.png", "A 11198-2024")</f>
        <v/>
      </c>
      <c r="Y231">
        <f>HYPERLINK("https://klasma.github.io/Logging_0883/kartor_geotiff/A 11198-2024 georefererad karta.tif", "A 11198-2024")</f>
        <v/>
      </c>
      <c r="AA231">
        <f>HYPERLINK("https://klasma.github.io/Logging_0883/klagomål/A 11198-2024 FSC-klagomål.docx", "A 11198-2024")</f>
        <v/>
      </c>
      <c r="AB231">
        <f>HYPERLINK("https://klasma.github.io/Logging_0883/klagomålsmail/A 11198-2024 FSC-klagomål mail.docx", "A 11198-2024")</f>
        <v/>
      </c>
      <c r="AC231">
        <f>HYPERLINK("https://klasma.github.io/Logging_0883/tillsyn/A 11198-2024 tillsynsbegäran.docx", "A 11198-2024")</f>
        <v/>
      </c>
      <c r="AD231">
        <f>HYPERLINK("https://klasma.github.io/Logging_0883/tillsynsmail/A 11198-2024 tillsynsbegäran mail.docx", "A 11198-2024")</f>
        <v/>
      </c>
      <c r="AE231">
        <f>HYPERLINK("https://klasma.github.io/Logging_0883/fåglar/A 11198-2024 prioriterade fågelarter.docx", "A 11198-2024")</f>
        <v/>
      </c>
    </row>
    <row r="232" ht="15" customHeight="1">
      <c r="A232" t="inlineStr">
        <is>
          <t>A 21329-2026</t>
        </is>
      </c>
      <c r="B232" t="inlineStr">
        <is>
          <t>avverkningsanmälan</t>
        </is>
      </c>
      <c r="C232" t="inlineStr">
        <is>
          <t>Föryngringsavverkning</t>
        </is>
      </c>
      <c r="D232" s="1" t="n">
        <v>46147</v>
      </c>
      <c r="E232" s="1" t="n">
        <v>46323</v>
      </c>
      <c r="F232" t="inlineStr">
        <is>
          <t>KALMAR LÄN</t>
        </is>
      </c>
      <c r="G232" t="inlineStr">
        <is>
          <t>VÄSTERVIK</t>
        </is>
      </c>
      <c r="H232" t="inlineStr">
        <is>
          <t>Sveaskog</t>
        </is>
      </c>
      <c r="I232" t="n">
        <v>1.9</v>
      </c>
      <c r="J232" t="n">
        <v>2</v>
      </c>
      <c r="K232" t="n">
        <v>0</v>
      </c>
      <c r="L232" t="n">
        <v>1</v>
      </c>
      <c r="M232" t="n">
        <v>0</v>
      </c>
      <c r="N232" t="n">
        <v>0</v>
      </c>
      <c r="O232" t="n">
        <v>0</v>
      </c>
      <c r="P232" t="n">
        <v>0</v>
      </c>
      <c r="Q232" t="n">
        <v>1</v>
      </c>
      <c r="R232" t="n">
        <v>0</v>
      </c>
      <c r="S232" t="n">
        <v>2</v>
      </c>
      <c r="T232" t="n">
        <v>3</v>
      </c>
      <c r="U232" t="n">
        <v>3</v>
      </c>
      <c r="V232" s="2" t="inlineStr">
        <is>
          <t>Talltita
Spillkråka</t>
        </is>
      </c>
      <c r="W232">
        <f>HYPERLINK("https://klasma.github.io/Logging_0883/artfynd/A 21329-2026 artfynd.xlsx", "A 21329-2026")</f>
        <v/>
      </c>
      <c r="X232">
        <f>HYPERLINK("https://klasma.github.io/Logging_0883/kartor/A 21329-2026 karta.png", "A 21329-2026")</f>
        <v/>
      </c>
      <c r="Y232">
        <f>HYPERLINK("https://klasma.github.io/Logging_0883/kartor_geotiff/A 21329-2026 georefererad karta.tif", "A 21329-2026")</f>
        <v/>
      </c>
      <c r="AA232">
        <f>HYPERLINK("https://klasma.github.io/Logging_0883/klagomål/A 21329-2026 FSC-klagomål.docx", "A 21329-2026")</f>
        <v/>
      </c>
      <c r="AB232">
        <f>HYPERLINK("https://klasma.github.io/Logging_0883/klagomålsmail/A 21329-2026 FSC-klagomål mail.docx", "A 21329-2026")</f>
        <v/>
      </c>
      <c r="AC232">
        <f>HYPERLINK("https://klasma.github.io/Logging_0883/tillsyn/A 21329-2026 tillsynsbegäran.docx", "A 21329-2026")</f>
        <v/>
      </c>
      <c r="AD232">
        <f>HYPERLINK("https://klasma.github.io/Logging_0883/tillsynsmail/A 21329-2026 tillsynsbegäran mail.docx", "A 21329-2026")</f>
        <v/>
      </c>
      <c r="AE232">
        <f>HYPERLINK("https://klasma.github.io/Logging_0883/fåglar/A 21329-2026 prioriterade fågelarter.docx", "A 21329-2026")</f>
        <v/>
      </c>
    </row>
    <row r="233" ht="15" customHeight="1">
      <c r="A233" t="inlineStr">
        <is>
          <t>A 21331-2026</t>
        </is>
      </c>
      <c r="B233" t="inlineStr">
        <is>
          <t>avverkningsanmälan</t>
        </is>
      </c>
      <c r="C233" t="inlineStr">
        <is>
          <t>Föryngringsavverkning</t>
        </is>
      </c>
      <c r="D233" s="1" t="n">
        <v>46147</v>
      </c>
      <c r="E233" s="1" t="n">
        <v>46323</v>
      </c>
      <c r="F233" t="inlineStr">
        <is>
          <t>KALMAR LÄN</t>
        </is>
      </c>
      <c r="G233" t="inlineStr">
        <is>
          <t>VÄSTERVIK</t>
        </is>
      </c>
      <c r="H233" t="inlineStr">
        <is>
          <t>Sveaskog</t>
        </is>
      </c>
      <c r="I233" t="n">
        <v>3.5</v>
      </c>
      <c r="J233" t="n">
        <v>2</v>
      </c>
      <c r="K233" t="n">
        <v>0</v>
      </c>
      <c r="L233" t="n">
        <v>1</v>
      </c>
      <c r="M233" t="n">
        <v>0</v>
      </c>
      <c r="N233" t="n">
        <v>0</v>
      </c>
      <c r="O233" t="n">
        <v>0</v>
      </c>
      <c r="P233" t="n">
        <v>0</v>
      </c>
      <c r="Q233" t="n">
        <v>1</v>
      </c>
      <c r="R233" t="n">
        <v>0</v>
      </c>
      <c r="S233" t="n">
        <v>2</v>
      </c>
      <c r="T233" t="n">
        <v>2</v>
      </c>
      <c r="U233" t="n">
        <v>2</v>
      </c>
      <c r="V233" s="2" t="inlineStr">
        <is>
          <t>Talltita
Spillkråka</t>
        </is>
      </c>
      <c r="W233">
        <f>HYPERLINK("https://klasma.github.io/Logging_0883/artfynd/A 21331-2026 artfynd.xlsx", "A 21331-2026")</f>
        <v/>
      </c>
      <c r="X233">
        <f>HYPERLINK("https://klasma.github.io/Logging_0883/kartor/A 21331-2026 karta.png", "A 21331-2026")</f>
        <v/>
      </c>
      <c r="Y233">
        <f>HYPERLINK("https://klasma.github.io/Logging_0883/kartor_geotiff/A 21331-2026 georefererad karta.tif", "A 21331-2026")</f>
        <v/>
      </c>
      <c r="AA233">
        <f>HYPERLINK("https://klasma.github.io/Logging_0883/klagomål/A 21331-2026 FSC-klagomål.docx", "A 21331-2026")</f>
        <v/>
      </c>
      <c r="AB233">
        <f>HYPERLINK("https://klasma.github.io/Logging_0883/klagomålsmail/A 21331-2026 FSC-klagomål mail.docx", "A 21331-2026")</f>
        <v/>
      </c>
      <c r="AC233">
        <f>HYPERLINK("https://klasma.github.io/Logging_0883/tillsyn/A 21331-2026 tillsynsbegäran.docx", "A 21331-2026")</f>
        <v/>
      </c>
      <c r="AD233">
        <f>HYPERLINK("https://klasma.github.io/Logging_0883/tillsynsmail/A 21331-2026 tillsynsbegäran mail.docx", "A 21331-2026")</f>
        <v/>
      </c>
      <c r="AE233">
        <f>HYPERLINK("https://klasma.github.io/Logging_0883/fåglar/A 21331-2026 prioriterade fågelarter.docx", "A 21331-2026")</f>
        <v/>
      </c>
    </row>
    <row r="234" ht="15" customHeight="1">
      <c r="A234" t="inlineStr">
        <is>
          <t>A 36595-2025</t>
        </is>
      </c>
      <c r="B234" t="inlineStr">
        <is>
          <t>avverkningsanmälan</t>
        </is>
      </c>
      <c r="C234" t="inlineStr">
        <is>
          <t>Föryngringsavverkning</t>
        </is>
      </c>
      <c r="D234" s="1" t="n">
        <v>45870</v>
      </c>
      <c r="E234" s="1" t="n">
        <v>46323</v>
      </c>
      <c r="F234" t="inlineStr">
        <is>
          <t>KALMAR LÄN</t>
        </is>
      </c>
      <c r="G234" t="inlineStr">
        <is>
          <t>VÄSTERVIK</t>
        </is>
      </c>
      <c r="I234" t="n">
        <v>1.5</v>
      </c>
      <c r="J234" t="n">
        <v>2</v>
      </c>
      <c r="K234" t="n">
        <v>0</v>
      </c>
      <c r="L234" t="n">
        <v>2</v>
      </c>
      <c r="M234" t="n">
        <v>0</v>
      </c>
      <c r="N234" t="n">
        <v>0</v>
      </c>
      <c r="O234" t="n">
        <v>0</v>
      </c>
      <c r="P234" t="n">
        <v>0</v>
      </c>
      <c r="Q234" t="n">
        <v>2</v>
      </c>
      <c r="R234" t="n">
        <v>0</v>
      </c>
      <c r="S234" t="n">
        <v>2</v>
      </c>
      <c r="T234" t="n">
        <v>4</v>
      </c>
      <c r="U234" t="n">
        <v>4</v>
      </c>
      <c r="V234" s="2" t="inlineStr">
        <is>
          <t>Entita
Talltita</t>
        </is>
      </c>
      <c r="W234">
        <f>HYPERLINK("https://klasma.github.io/Logging_0883/artfynd/A 36595-2025 artfynd.xlsx", "A 36595-2025")</f>
        <v/>
      </c>
      <c r="X234">
        <f>HYPERLINK("https://klasma.github.io/Logging_0883/kartor/A 36595-2025 karta.png", "A 36595-2025")</f>
        <v/>
      </c>
      <c r="Y234">
        <f>HYPERLINK("https://klasma.github.io/Logging_0883/kartor_geotiff/A 36595-2025 georefererad karta.tif", "A 36595-2025")</f>
        <v/>
      </c>
      <c r="AA234">
        <f>HYPERLINK("https://klasma.github.io/Logging_0883/klagomål/A 36595-2025 FSC-klagomål.docx", "A 36595-2025")</f>
        <v/>
      </c>
      <c r="AB234">
        <f>HYPERLINK("https://klasma.github.io/Logging_0883/klagomålsmail/A 36595-2025 FSC-klagomål mail.docx", "A 36595-2025")</f>
        <v/>
      </c>
      <c r="AC234">
        <f>HYPERLINK("https://klasma.github.io/Logging_0883/tillsyn/A 36595-2025 tillsynsbegäran.docx", "A 36595-2025")</f>
        <v/>
      </c>
      <c r="AD234">
        <f>HYPERLINK("https://klasma.github.io/Logging_0883/tillsynsmail/A 36595-2025 tillsynsbegäran mail.docx", "A 36595-2025")</f>
        <v/>
      </c>
      <c r="AE234">
        <f>HYPERLINK("https://klasma.github.io/Logging_0883/fåglar/A 36595-2025 prioriterade fågelarter.docx", "A 36595-2025")</f>
        <v/>
      </c>
    </row>
    <row r="235" ht="15" customHeight="1">
      <c r="A235" t="inlineStr">
        <is>
          <t>A 4778-2025</t>
        </is>
      </c>
      <c r="B235" t="inlineStr">
        <is>
          <t>avverkningsanmälan</t>
        </is>
      </c>
      <c r="C235" t="inlineStr">
        <is>
          <t>Föryngringsavverkning</t>
        </is>
      </c>
      <c r="D235" s="1" t="n">
        <v>45688</v>
      </c>
      <c r="E235" s="1" t="n">
        <v>46323</v>
      </c>
      <c r="F235" t="inlineStr">
        <is>
          <t>KALMAR LÄN</t>
        </is>
      </c>
      <c r="G235" t="inlineStr">
        <is>
          <t>VÄSTERVIK</t>
        </is>
      </c>
      <c r="H235" t="inlineStr">
        <is>
          <t>Holmen skog AB</t>
        </is>
      </c>
      <c r="I235" t="n">
        <v>3.8</v>
      </c>
      <c r="J235" t="n">
        <v>2</v>
      </c>
      <c r="K235" t="n">
        <v>0</v>
      </c>
      <c r="L235" t="n">
        <v>1</v>
      </c>
      <c r="M235" t="n">
        <v>1</v>
      </c>
      <c r="N235" t="n">
        <v>0</v>
      </c>
      <c r="O235" t="n">
        <v>0</v>
      </c>
      <c r="P235" t="n">
        <v>0</v>
      </c>
      <c r="Q235" t="n">
        <v>2</v>
      </c>
      <c r="R235" t="n">
        <v>1</v>
      </c>
      <c r="S235" t="n">
        <v>2</v>
      </c>
      <c r="T235" t="n">
        <v>4</v>
      </c>
      <c r="U235" t="n">
        <v>4</v>
      </c>
      <c r="V235" s="2" t="inlineStr">
        <is>
          <t>Knärot
Talltita</t>
        </is>
      </c>
      <c r="W235">
        <f>HYPERLINK("https://klasma.github.io/Logging_0883/artfynd/A 4778-2025 artfynd.xlsx", "A 4778-2025")</f>
        <v/>
      </c>
      <c r="X235">
        <f>HYPERLINK("https://klasma.github.io/Logging_0883/kartor/A 4778-2025 karta.png", "A 4778-2025")</f>
        <v/>
      </c>
      <c r="Y235">
        <f>HYPERLINK("https://klasma.github.io/Logging_0883/kartor_geotiff/A 4778-2025 georefererad karta.tif", "A 4778-2025")</f>
        <v/>
      </c>
      <c r="Z235">
        <f>HYPERLINK("https://klasma.github.io/Logging_0883/knärot/A 4778-2025 karta knärot.png", "A 4778-2025")</f>
        <v/>
      </c>
      <c r="AA235">
        <f>HYPERLINK("https://klasma.github.io/Logging_0883/klagomål/A 4778-2025 FSC-klagomål.docx", "A 4778-2025")</f>
        <v/>
      </c>
      <c r="AB235">
        <f>HYPERLINK("https://klasma.github.io/Logging_0883/klagomålsmail/A 4778-2025 FSC-klagomål mail.docx", "A 4778-2025")</f>
        <v/>
      </c>
      <c r="AC235">
        <f>HYPERLINK("https://klasma.github.io/Logging_0883/tillsyn/A 4778-2025 tillsynsbegäran.docx", "A 4778-2025")</f>
        <v/>
      </c>
      <c r="AD235">
        <f>HYPERLINK("https://klasma.github.io/Logging_0883/tillsynsmail/A 4778-2025 tillsynsbegäran mail.docx", "A 4778-2025")</f>
        <v/>
      </c>
      <c r="AE235">
        <f>HYPERLINK("https://klasma.github.io/Logging_0883/fåglar/A 4778-2025 prioriterade fågelarter.docx", "A 4778-2025")</f>
        <v/>
      </c>
    </row>
    <row r="236" ht="15" customHeight="1">
      <c r="A236" t="inlineStr">
        <is>
          <t>A 10784-2025</t>
        </is>
      </c>
      <c r="B236" t="inlineStr">
        <is>
          <t>avverkningsanmälan</t>
        </is>
      </c>
      <c r="C236" t="inlineStr">
        <is>
          <t>Föryngringsavverkning</t>
        </is>
      </c>
      <c r="D236" s="1" t="n">
        <v>45722</v>
      </c>
      <c r="E236" s="1" t="n">
        <v>46323</v>
      </c>
      <c r="F236" t="inlineStr">
        <is>
          <t>KALMAR LÄN</t>
        </is>
      </c>
      <c r="G236" t="inlineStr">
        <is>
          <t>VÄSTERVIK</t>
        </is>
      </c>
      <c r="I236" t="n">
        <v>2.1</v>
      </c>
      <c r="J236" t="n">
        <v>2</v>
      </c>
      <c r="K236" t="n">
        <v>0</v>
      </c>
      <c r="L236" t="n">
        <v>1</v>
      </c>
      <c r="M236" t="n">
        <v>0</v>
      </c>
      <c r="N236" t="n">
        <v>0</v>
      </c>
      <c r="O236" t="n">
        <v>0</v>
      </c>
      <c r="P236" t="n">
        <v>0</v>
      </c>
      <c r="Q236" t="n">
        <v>1</v>
      </c>
      <c r="R236" t="n">
        <v>0</v>
      </c>
      <c r="S236" t="n">
        <v>2</v>
      </c>
      <c r="T236" t="n">
        <v>2</v>
      </c>
      <c r="U236" t="n">
        <v>2</v>
      </c>
      <c r="V236" s="2" t="inlineStr">
        <is>
          <t>Talltita
Kungsfågel</t>
        </is>
      </c>
      <c r="W236">
        <f>HYPERLINK("https://klasma.github.io/Logging_0883/artfynd/A 10784-2025 artfynd.xlsx", "A 10784-2025")</f>
        <v/>
      </c>
      <c r="X236">
        <f>HYPERLINK("https://klasma.github.io/Logging_0883/kartor/A 10784-2025 karta.png", "A 10784-2025")</f>
        <v/>
      </c>
      <c r="Y236">
        <f>HYPERLINK("https://klasma.github.io/Logging_0883/kartor_geotiff/A 10784-2025 georefererad karta.tif", "A 10784-2025")</f>
        <v/>
      </c>
      <c r="AA236">
        <f>HYPERLINK("https://klasma.github.io/Logging_0883/klagomål/A 10784-2025 FSC-klagomål.docx", "A 10784-2025")</f>
        <v/>
      </c>
      <c r="AB236">
        <f>HYPERLINK("https://klasma.github.io/Logging_0883/klagomålsmail/A 10784-2025 FSC-klagomål mail.docx", "A 10784-2025")</f>
        <v/>
      </c>
      <c r="AC236">
        <f>HYPERLINK("https://klasma.github.io/Logging_0883/tillsyn/A 10784-2025 tillsynsbegäran.docx", "A 10784-2025")</f>
        <v/>
      </c>
      <c r="AD236">
        <f>HYPERLINK("https://klasma.github.io/Logging_0883/tillsynsmail/A 10784-2025 tillsynsbegäran mail.docx", "A 10784-2025")</f>
        <v/>
      </c>
      <c r="AE236">
        <f>HYPERLINK("https://klasma.github.io/Logging_0883/fåglar/A 10784-2025 prioriterade fågelarter.docx", "A 10784-2025")</f>
        <v/>
      </c>
    </row>
    <row r="237" ht="15" customHeight="1">
      <c r="A237" t="inlineStr">
        <is>
          <t>A 24951-2026</t>
        </is>
      </c>
      <c r="B237" t="inlineStr">
        <is>
          <t>avverkningsanmälan</t>
        </is>
      </c>
      <c r="C237" t="inlineStr">
        <is>
          <t>Föryngringsavverkning</t>
        </is>
      </c>
      <c r="D237" s="1" t="n">
        <v>46174</v>
      </c>
      <c r="E237" s="1" t="n">
        <v>46323</v>
      </c>
      <c r="F237" t="inlineStr">
        <is>
          <t>KALMAR LÄN</t>
        </is>
      </c>
      <c r="G237" t="inlineStr">
        <is>
          <t>VÄSTERVIK</t>
        </is>
      </c>
      <c r="I237" t="n">
        <v>1.1</v>
      </c>
      <c r="J237" t="n">
        <v>2</v>
      </c>
      <c r="K237" t="n">
        <v>0</v>
      </c>
      <c r="L237" t="n">
        <v>1</v>
      </c>
      <c r="M237" t="n">
        <v>0</v>
      </c>
      <c r="N237" t="n">
        <v>0</v>
      </c>
      <c r="O237" t="n">
        <v>0</v>
      </c>
      <c r="P237" t="n">
        <v>0</v>
      </c>
      <c r="Q237" t="n">
        <v>1</v>
      </c>
      <c r="R237" t="n">
        <v>0</v>
      </c>
      <c r="S237" t="n">
        <v>2</v>
      </c>
      <c r="T237" t="n">
        <v>2</v>
      </c>
      <c r="U237" t="n">
        <v>2</v>
      </c>
      <c r="V237" s="2" t="inlineStr">
        <is>
          <t>Talltita
Spillkråka</t>
        </is>
      </c>
      <c r="W237">
        <f>HYPERLINK("https://klasma.github.io/Logging_0883/artfynd/A 24951-2026 artfynd.xlsx", "A 24951-2026")</f>
        <v/>
      </c>
      <c r="X237">
        <f>HYPERLINK("https://klasma.github.io/Logging_0883/kartor/A 24951-2026 karta.png", "A 24951-2026")</f>
        <v/>
      </c>
      <c r="Y237">
        <f>HYPERLINK("https://klasma.github.io/Logging_0883/kartor_geotiff/A 24951-2026 georefererad karta.tif", "A 24951-2026")</f>
        <v/>
      </c>
      <c r="AA237">
        <f>HYPERLINK("https://klasma.github.io/Logging_0883/klagomål/A 24951-2026 FSC-klagomål.docx", "A 24951-2026")</f>
        <v/>
      </c>
      <c r="AB237">
        <f>HYPERLINK("https://klasma.github.io/Logging_0883/klagomålsmail/A 24951-2026 FSC-klagomål mail.docx", "A 24951-2026")</f>
        <v/>
      </c>
      <c r="AC237">
        <f>HYPERLINK("https://klasma.github.io/Logging_0883/tillsyn/A 24951-2026 tillsynsbegäran.docx", "A 24951-2026")</f>
        <v/>
      </c>
      <c r="AD237">
        <f>HYPERLINK("https://klasma.github.io/Logging_0883/tillsynsmail/A 24951-2026 tillsynsbegäran mail.docx", "A 24951-2026")</f>
        <v/>
      </c>
      <c r="AE237">
        <f>HYPERLINK("https://klasma.github.io/Logging_0883/fåglar/A 24951-2026 prioriterade fågelarter.docx", "A 24951-2026")</f>
        <v/>
      </c>
    </row>
    <row r="238" ht="15" customHeight="1">
      <c r="A238" t="inlineStr">
        <is>
          <t>S 2633-2022</t>
        </is>
      </c>
      <c r="B238" t="inlineStr">
        <is>
          <t>samrådsanmälan</t>
        </is>
      </c>
      <c r="C238" t="inlineStr">
        <is>
          <t>Åtgärd i nyckelbiotop</t>
        </is>
      </c>
      <c r="D238" s="1" t="n">
        <v>44699</v>
      </c>
      <c r="E238" s="1" t="n">
        <v>46323</v>
      </c>
      <c r="F238" t="inlineStr">
        <is>
          <t>KALMAR LÄN</t>
        </is>
      </c>
      <c r="G238" t="inlineStr">
        <is>
          <t>VÄSTERVIK</t>
        </is>
      </c>
      <c r="H238" t="inlineStr">
        <is>
          <t>Kommuner</t>
        </is>
      </c>
      <c r="I238" t="n">
        <v>3.6</v>
      </c>
      <c r="J238" t="n">
        <v>0</v>
      </c>
      <c r="K238" t="n">
        <v>0</v>
      </c>
      <c r="L238" t="n">
        <v>1</v>
      </c>
      <c r="M238" t="n">
        <v>0</v>
      </c>
      <c r="N238" t="n">
        <v>1</v>
      </c>
      <c r="O238" t="n">
        <v>0</v>
      </c>
      <c r="P238" t="n">
        <v>0</v>
      </c>
      <c r="Q238" t="n">
        <v>2</v>
      </c>
      <c r="R238" t="n">
        <v>1</v>
      </c>
      <c r="S238" t="n">
        <v>2</v>
      </c>
      <c r="T238" t="n">
        <v>5</v>
      </c>
      <c r="U238" t="n">
        <v>4</v>
      </c>
      <c r="V238" s="2" t="inlineStr">
        <is>
          <t>Ask
Ekticka</t>
        </is>
      </c>
      <c r="W238">
        <f>HYPERLINK("https://klasma.github.io/Logging_0883/artfynd/S 2633-2022 artfynd.xlsx", "S 2633-2022")</f>
        <v/>
      </c>
      <c r="X238">
        <f>HYPERLINK("https://klasma.github.io/Logging_0883/kartor/S 2633-2022 karta.png", "S 2633-2022")</f>
        <v/>
      </c>
      <c r="Y238">
        <f>HYPERLINK("https://klasma.github.io/Logging_0883/kartor_geotiff/S 2633-2022 georefererad karta.tif", "S 2633-2022")</f>
        <v/>
      </c>
      <c r="AA238">
        <f>HYPERLINK("https://klasma.github.io/Logging_0883/klagomål/S 2633-2022 FSC-klagomål.docx", "S 2633-2022")</f>
        <v/>
      </c>
      <c r="AB238">
        <f>HYPERLINK("https://klasma.github.io/Logging_0883/klagomålsmail/S 2633-2022 FSC-klagomål mail.docx", "S 2633-2022")</f>
        <v/>
      </c>
      <c r="AC238">
        <f>HYPERLINK("https://klasma.github.io/Logging_0883/tillsyn/S 2633-2022 tillsynsbegäran.docx", "S 2633-2022")</f>
        <v/>
      </c>
      <c r="AD238">
        <f>HYPERLINK("https://klasma.github.io/Logging_0883/tillsynsmail/S 2633-2022 tillsynsbegäran mail.docx", "S 2633-2022")</f>
        <v/>
      </c>
    </row>
    <row r="239" ht="15" customHeight="1">
      <c r="A239" t="inlineStr">
        <is>
          <t>S 1556-2023</t>
        </is>
      </c>
      <c r="B239" t="inlineStr">
        <is>
          <t>samrådsanmälan</t>
        </is>
      </c>
      <c r="C239" t="inlineStr">
        <is>
          <t>Annan skogsbruksåtgärd</t>
        </is>
      </c>
      <c r="D239" s="1" t="n">
        <v>45055</v>
      </c>
      <c r="E239" s="1" t="n">
        <v>46323</v>
      </c>
      <c r="F239" t="inlineStr">
        <is>
          <t>KALMAR LÄN</t>
        </is>
      </c>
      <c r="G239" t="inlineStr">
        <is>
          <t>VÄSTERVIK</t>
        </is>
      </c>
      <c r="H239" t="inlineStr">
        <is>
          <t>Kommuner</t>
        </is>
      </c>
      <c r="I239" t="n">
        <v>1.8</v>
      </c>
      <c r="J239" t="n">
        <v>0</v>
      </c>
      <c r="K239" t="n">
        <v>1</v>
      </c>
      <c r="L239" t="n">
        <v>1</v>
      </c>
      <c r="M239" t="n">
        <v>0</v>
      </c>
      <c r="N239" t="n">
        <v>0</v>
      </c>
      <c r="O239" t="n">
        <v>0</v>
      </c>
      <c r="P239" t="n">
        <v>0</v>
      </c>
      <c r="Q239" t="n">
        <v>1</v>
      </c>
      <c r="R239" t="n">
        <v>0</v>
      </c>
      <c r="S239" t="n">
        <v>2</v>
      </c>
      <c r="T239" t="n">
        <v>5</v>
      </c>
      <c r="U239" t="n">
        <v>2</v>
      </c>
      <c r="V239" s="2" t="inlineStr">
        <is>
          <t>Ekticka
Blanksvart trämyra</t>
        </is>
      </c>
      <c r="W239">
        <f>HYPERLINK("https://klasma.github.io/Logging_0883/artfynd/S 1556-2023 artfynd.xlsx", "S 1556-2023")</f>
        <v/>
      </c>
      <c r="X239">
        <f>HYPERLINK("https://klasma.github.io/Logging_0883/kartor/S 1556-2023 karta.png", "S 1556-2023")</f>
        <v/>
      </c>
      <c r="Y239">
        <f>HYPERLINK("https://klasma.github.io/Logging_0883/kartor_geotiff/S 1556-2023 georefererad karta.tif", "S 1556-2023")</f>
        <v/>
      </c>
      <c r="AA239">
        <f>HYPERLINK("https://klasma.github.io/Logging_0883/klagomål/S 1556-2023 FSC-klagomål.docx", "S 1556-2023")</f>
        <v/>
      </c>
      <c r="AB239">
        <f>HYPERLINK("https://klasma.github.io/Logging_0883/klagomålsmail/S 1556-2023 FSC-klagomål mail.docx", "S 1556-2023")</f>
        <v/>
      </c>
      <c r="AC239">
        <f>HYPERLINK("https://klasma.github.io/Logging_0883/tillsyn/S 1556-2023 tillsynsbegäran.docx", "S 1556-2023")</f>
        <v/>
      </c>
      <c r="AD239">
        <f>HYPERLINK("https://klasma.github.io/Logging_0883/tillsynsmail/S 1556-2023 tillsynsbegäran mail.docx", "S 1556-2023")</f>
        <v/>
      </c>
    </row>
    <row r="240" ht="15" customHeight="1">
      <c r="A240" t="inlineStr">
        <is>
          <t>S 757-2023</t>
        </is>
      </c>
      <c r="B240" t="inlineStr">
        <is>
          <t>samrådsanmälan</t>
        </is>
      </c>
      <c r="C240" t="inlineStr">
        <is>
          <t>Askåterföring</t>
        </is>
      </c>
      <c r="D240" s="1" t="n">
        <v>44981</v>
      </c>
      <c r="E240" s="1" t="n">
        <v>46323</v>
      </c>
      <c r="F240" t="inlineStr">
        <is>
          <t>KALMAR LÄN</t>
        </is>
      </c>
      <c r="G240" t="inlineStr">
        <is>
          <t>VÄSTERVIK</t>
        </is>
      </c>
      <c r="H240" t="inlineStr">
        <is>
          <t>Kyrkan</t>
        </is>
      </c>
      <c r="I240" t="n">
        <v>8.699999999999999</v>
      </c>
      <c r="J240" t="n">
        <v>0</v>
      </c>
      <c r="K240" t="n">
        <v>0</v>
      </c>
      <c r="L240" t="n">
        <v>2</v>
      </c>
      <c r="M240" t="n">
        <v>0</v>
      </c>
      <c r="N240" t="n">
        <v>0</v>
      </c>
      <c r="O240" t="n">
        <v>0</v>
      </c>
      <c r="P240" t="n">
        <v>0</v>
      </c>
      <c r="Q240" t="n">
        <v>2</v>
      </c>
      <c r="R240" t="n">
        <v>0</v>
      </c>
      <c r="S240" t="n">
        <v>2</v>
      </c>
      <c r="T240" t="n">
        <v>2</v>
      </c>
      <c r="U240" t="n">
        <v>2</v>
      </c>
      <c r="V240" s="2" t="inlineStr">
        <is>
          <t>Etternässla
Krusfrö</t>
        </is>
      </c>
      <c r="W240">
        <f>HYPERLINK("https://klasma.github.io/Logging_0883/artfynd/S 757-2023 artfynd.xlsx", "S 757-2023")</f>
        <v/>
      </c>
      <c r="X240">
        <f>HYPERLINK("https://klasma.github.io/Logging_0883/kartor/S 757-2023 karta.png", "S 757-2023")</f>
        <v/>
      </c>
      <c r="Y240">
        <f>HYPERLINK("https://klasma.github.io/Logging_0883/kartor_geotiff/S 757-2023 georefererad karta.tif", "S 757-2023")</f>
        <v/>
      </c>
      <c r="AA240">
        <f>HYPERLINK("https://klasma.github.io/Logging_0883/klagomål/S 757-2023 FSC-klagomål.docx", "S 757-2023")</f>
        <v/>
      </c>
      <c r="AB240">
        <f>HYPERLINK("https://klasma.github.io/Logging_0883/klagomålsmail/S 757-2023 FSC-klagomål mail.docx", "S 757-2023")</f>
        <v/>
      </c>
      <c r="AC240">
        <f>HYPERLINK("https://klasma.github.io/Logging_0883/tillsyn/S 757-2023 tillsynsbegäran.docx", "S 757-2023")</f>
        <v/>
      </c>
      <c r="AD240">
        <f>HYPERLINK("https://klasma.github.io/Logging_0883/tillsynsmail/S 757-2023 tillsynsbegäran mail.docx", "S 757-2023")</f>
        <v/>
      </c>
    </row>
    <row r="241" ht="15" customHeight="1">
      <c r="A241" t="inlineStr">
        <is>
          <t>S 1744-2024</t>
        </is>
      </c>
      <c r="B241" t="inlineStr">
        <is>
          <t>samrådsanmälan</t>
        </is>
      </c>
      <c r="C241" t="inlineStr">
        <is>
          <t>Annan skogsbruksåtgärd</t>
        </is>
      </c>
      <c r="D241" s="1" t="n">
        <v>45435</v>
      </c>
      <c r="E241" s="1" t="n">
        <v>46323</v>
      </c>
      <c r="F241" t="inlineStr">
        <is>
          <t>KALMAR LÄN</t>
        </is>
      </c>
      <c r="G241" t="inlineStr">
        <is>
          <t>VÄSTERVIK</t>
        </is>
      </c>
      <c r="I241" t="n">
        <v>3.3</v>
      </c>
      <c r="J241" t="n">
        <v>0</v>
      </c>
      <c r="K241" t="n">
        <v>2</v>
      </c>
      <c r="L241" t="n">
        <v>0</v>
      </c>
      <c r="M241" t="n">
        <v>0</v>
      </c>
      <c r="N241" t="n">
        <v>0</v>
      </c>
      <c r="O241" t="n">
        <v>0</v>
      </c>
      <c r="P241" t="n">
        <v>0</v>
      </c>
      <c r="Q241" t="n">
        <v>0</v>
      </c>
      <c r="R241" t="n">
        <v>0</v>
      </c>
      <c r="S241" t="n">
        <v>2</v>
      </c>
      <c r="T241" t="n">
        <v>3</v>
      </c>
      <c r="U241" t="n">
        <v>0</v>
      </c>
      <c r="V241" s="2" t="inlineStr">
        <is>
          <t>Svart trolldruva
Vätteros</t>
        </is>
      </c>
      <c r="W241">
        <f>HYPERLINK("https://klasma.github.io/Logging_0883/artfynd/S 1744-2024 artfynd.xlsx", "S 1744-2024")</f>
        <v/>
      </c>
      <c r="X241">
        <f>HYPERLINK("https://klasma.github.io/Logging_0883/kartor/S 1744-2024 karta.png", "S 1744-2024")</f>
        <v/>
      </c>
      <c r="Y241">
        <f>HYPERLINK("https://klasma.github.io/Logging_0883/kartor_geotiff/S 1744-2024 georefererad karta.tif", "S 1744-2024")</f>
        <v/>
      </c>
      <c r="AA241">
        <f>HYPERLINK("https://klasma.github.io/Logging_0883/klagomål/S 1744-2024 FSC-klagomål.docx", "S 1744-2024")</f>
        <v/>
      </c>
      <c r="AB241">
        <f>HYPERLINK("https://klasma.github.io/Logging_0883/klagomålsmail/S 1744-2024 FSC-klagomål mail.docx", "S 1744-2024")</f>
        <v/>
      </c>
      <c r="AC241">
        <f>HYPERLINK("https://klasma.github.io/Logging_0883/tillsyn/S 1744-2024 tillsynsbegäran.docx", "S 1744-2024")</f>
        <v/>
      </c>
      <c r="AD241">
        <f>HYPERLINK("https://klasma.github.io/Logging_0883/tillsynsmail/S 1744-2024 tillsynsbegäran mail.docx", "S 1744-2024")</f>
        <v/>
      </c>
    </row>
    <row r="242" ht="15" customHeight="1">
      <c r="A242" t="inlineStr">
        <is>
          <t>S 2345-2024</t>
        </is>
      </c>
      <c r="B242" t="inlineStr">
        <is>
          <t>samrådsanmälan</t>
        </is>
      </c>
      <c r="C242" t="inlineStr">
        <is>
          <t>Annan skogsbruksåtgärd</t>
        </is>
      </c>
      <c r="D242" s="1" t="n">
        <v>45467</v>
      </c>
      <c r="E242" s="1" t="n">
        <v>46323</v>
      </c>
      <c r="F242" t="inlineStr">
        <is>
          <t>KALMAR LÄN</t>
        </is>
      </c>
      <c r="G242" t="inlineStr">
        <is>
          <t>VÄSTERVIK</t>
        </is>
      </c>
      <c r="H242" t="inlineStr">
        <is>
          <t>Kommuner</t>
        </is>
      </c>
      <c r="I242" t="n">
        <v>3</v>
      </c>
      <c r="J242" t="n">
        <v>2</v>
      </c>
      <c r="K242" t="n">
        <v>0</v>
      </c>
      <c r="L242" t="n">
        <v>0</v>
      </c>
      <c r="M242" t="n">
        <v>0</v>
      </c>
      <c r="N242" t="n">
        <v>0</v>
      </c>
      <c r="O242" t="n">
        <v>0</v>
      </c>
      <c r="P242" t="n">
        <v>0</v>
      </c>
      <c r="Q242" t="n">
        <v>0</v>
      </c>
      <c r="R242" t="n">
        <v>0</v>
      </c>
      <c r="S242" t="n">
        <v>2</v>
      </c>
      <c r="T242" t="n">
        <v>2</v>
      </c>
      <c r="U242" t="n">
        <v>2</v>
      </c>
      <c r="V242" s="2" t="inlineStr">
        <is>
          <t>Grönsiska
Vanlig padda</t>
        </is>
      </c>
      <c r="W242">
        <f>HYPERLINK("https://klasma.github.io/Logging_0883/artfynd/S 2345-2024 artfynd.xlsx", "S 2345-2024")</f>
        <v/>
      </c>
      <c r="X242">
        <f>HYPERLINK("https://klasma.github.io/Logging_0883/kartor/S 2345-2024 karta.png", "S 2345-2024")</f>
        <v/>
      </c>
      <c r="Y242">
        <f>HYPERLINK("https://klasma.github.io/Logging_0883/kartor_geotiff/S 2345-2024 georefererad karta.tif", "S 2345-2024")</f>
        <v/>
      </c>
      <c r="AA242">
        <f>HYPERLINK("https://klasma.github.io/Logging_0883/klagomål/S 2345-2024 FSC-klagomål.docx", "S 2345-2024")</f>
        <v/>
      </c>
      <c r="AB242">
        <f>HYPERLINK("https://klasma.github.io/Logging_0883/klagomålsmail/S 2345-2024 FSC-klagomål mail.docx", "S 2345-2024")</f>
        <v/>
      </c>
      <c r="AC242">
        <f>HYPERLINK("https://klasma.github.io/Logging_0883/tillsyn/S 2345-2024 tillsynsbegäran.docx", "S 2345-2024")</f>
        <v/>
      </c>
      <c r="AD242">
        <f>HYPERLINK("https://klasma.github.io/Logging_0883/tillsynsmail/S 2345-2024 tillsynsbegäran mail.docx", "S 2345-2024")</f>
        <v/>
      </c>
    </row>
    <row r="243" ht="15" customHeight="1">
      <c r="A243" t="inlineStr">
        <is>
          <t>S 1245-2025</t>
        </is>
      </c>
      <c r="B243" t="inlineStr">
        <is>
          <t>samrådsanmälan</t>
        </is>
      </c>
      <c r="C243" t="inlineStr">
        <is>
          <t>Annan skogsbruksåtgärd</t>
        </is>
      </c>
      <c r="D243" s="1" t="n">
        <v>45762</v>
      </c>
      <c r="E243" s="1" t="n">
        <v>46323</v>
      </c>
      <c r="F243" t="inlineStr">
        <is>
          <t>KALMAR LÄN</t>
        </is>
      </c>
      <c r="G243" t="inlineStr">
        <is>
          <t>VÄSTERVIK</t>
        </is>
      </c>
      <c r="I243" t="n">
        <v>5.5</v>
      </c>
      <c r="J243" t="n">
        <v>0</v>
      </c>
      <c r="K243" t="n">
        <v>0</v>
      </c>
      <c r="L243" t="n">
        <v>2</v>
      </c>
      <c r="M243" t="n">
        <v>0</v>
      </c>
      <c r="N243" t="n">
        <v>0</v>
      </c>
      <c r="O243" t="n">
        <v>0</v>
      </c>
      <c r="P243" t="n">
        <v>0</v>
      </c>
      <c r="Q243" t="n">
        <v>2</v>
      </c>
      <c r="R243" t="n">
        <v>0</v>
      </c>
      <c r="S243" t="n">
        <v>2</v>
      </c>
      <c r="T243" t="n">
        <v>3</v>
      </c>
      <c r="U243" t="n">
        <v>0</v>
      </c>
      <c r="V243" s="2" t="inlineStr">
        <is>
          <t>Lunglav
Vårärt</t>
        </is>
      </c>
      <c r="W243">
        <f>HYPERLINK("https://klasma.github.io/Logging_0883/artfynd/S 1245-2025 artfynd.xlsx", "S 1245-2025")</f>
        <v/>
      </c>
      <c r="X243">
        <f>HYPERLINK("https://klasma.github.io/Logging_0883/kartor/S 1245-2025 karta.png", "S 1245-2025")</f>
        <v/>
      </c>
      <c r="Y243">
        <f>HYPERLINK("https://klasma.github.io/Logging_0883/kartor_geotiff/S 1245-2025 georefererad karta.tif", "S 1245-2025")</f>
        <v/>
      </c>
      <c r="AA243">
        <f>HYPERLINK("https://klasma.github.io/Logging_0883/klagomål/S 1245-2025 FSC-klagomål.docx", "S 1245-2025")</f>
        <v/>
      </c>
      <c r="AB243">
        <f>HYPERLINK("https://klasma.github.io/Logging_0883/klagomålsmail/S 1245-2025 FSC-klagomål mail.docx", "S 1245-2025")</f>
        <v/>
      </c>
      <c r="AC243">
        <f>HYPERLINK("https://klasma.github.io/Logging_0883/tillsyn/S 1245-2025 tillsynsbegäran.docx", "S 1245-2025")</f>
        <v/>
      </c>
      <c r="AD243">
        <f>HYPERLINK("https://klasma.github.io/Logging_0883/tillsynsmail/S 1245-2025 tillsynsbegäran mail.docx", "S 1245-2025")</f>
        <v/>
      </c>
    </row>
    <row r="244" ht="15" customHeight="1">
      <c r="A244" t="inlineStr">
        <is>
          <t>S 730-2025</t>
        </is>
      </c>
      <c r="B244" t="inlineStr">
        <is>
          <t>samrådsanmälan</t>
        </is>
      </c>
      <c r="C244" t="inlineStr">
        <is>
          <t>Askåterföring</t>
        </is>
      </c>
      <c r="D244" s="1" t="n">
        <v>45722</v>
      </c>
      <c r="E244" s="1" t="n">
        <v>46323</v>
      </c>
      <c r="F244" t="inlineStr">
        <is>
          <t>KALMAR LÄN</t>
        </is>
      </c>
      <c r="G244" t="inlineStr">
        <is>
          <t>VÄSTERVIK</t>
        </is>
      </c>
      <c r="I244" t="n">
        <v>15.4</v>
      </c>
      <c r="J244" t="n">
        <v>0</v>
      </c>
      <c r="K244" t="n">
        <v>1</v>
      </c>
      <c r="L244" t="n">
        <v>1</v>
      </c>
      <c r="M244" t="n">
        <v>0</v>
      </c>
      <c r="N244" t="n">
        <v>0</v>
      </c>
      <c r="O244" t="n">
        <v>0</v>
      </c>
      <c r="P244" t="n">
        <v>0</v>
      </c>
      <c r="Q244" t="n">
        <v>1</v>
      </c>
      <c r="R244" t="n">
        <v>0</v>
      </c>
      <c r="S244" t="n">
        <v>2</v>
      </c>
      <c r="T244" t="n">
        <v>2</v>
      </c>
      <c r="U244" t="n">
        <v>1</v>
      </c>
      <c r="V244" s="2" t="inlineStr">
        <is>
          <t>Slåtterfibbla
Grönpyrola</t>
        </is>
      </c>
      <c r="W244">
        <f>HYPERLINK("https://klasma.github.io/Logging_0883/artfynd/S 730-2025 artfynd.xlsx", "S 730-2025")</f>
        <v/>
      </c>
      <c r="X244">
        <f>HYPERLINK("https://klasma.github.io/Logging_0883/kartor/S 730-2025 karta.png", "S 730-2025")</f>
        <v/>
      </c>
      <c r="Y244">
        <f>HYPERLINK("https://klasma.github.io/Logging_0883/kartor_geotiff/S 730-2025 georefererad karta.tif", "S 730-2025")</f>
        <v/>
      </c>
      <c r="AA244">
        <f>HYPERLINK("https://klasma.github.io/Logging_0883/klagomål/S 730-2025 FSC-klagomål.docx", "S 730-2025")</f>
        <v/>
      </c>
      <c r="AB244">
        <f>HYPERLINK("https://klasma.github.io/Logging_0883/klagomålsmail/S 730-2025 FSC-klagomål mail.docx", "S 730-2025")</f>
        <v/>
      </c>
      <c r="AC244">
        <f>HYPERLINK("https://klasma.github.io/Logging_0883/tillsyn/S 730-2025 tillsynsbegäran.docx", "S 730-2025")</f>
        <v/>
      </c>
      <c r="AD244">
        <f>HYPERLINK("https://klasma.github.io/Logging_0883/tillsynsmail/S 730-2025 tillsynsbegäran mail.docx", "S 730-2025")</f>
        <v/>
      </c>
    </row>
    <row r="245" ht="15" customHeight="1">
      <c r="A245" t="inlineStr">
        <is>
          <t>S 2772-2025</t>
        </is>
      </c>
      <c r="B245" t="inlineStr">
        <is>
          <t>samrådsanmälan</t>
        </is>
      </c>
      <c r="C245" t="inlineStr">
        <is>
          <t>Annan skogsbruksåtgärd</t>
        </is>
      </c>
      <c r="D245" s="1" t="n">
        <v>45937</v>
      </c>
      <c r="E245" s="1" t="n">
        <v>46323</v>
      </c>
      <c r="F245" t="inlineStr">
        <is>
          <t>KALMAR LÄN</t>
        </is>
      </c>
      <c r="G245" t="inlineStr">
        <is>
          <t>VÄSTERVIK</t>
        </is>
      </c>
      <c r="H245" t="inlineStr">
        <is>
          <t>Sveaskog</t>
        </is>
      </c>
      <c r="I245" t="n">
        <v>1.9</v>
      </c>
      <c r="J245" t="n">
        <v>1</v>
      </c>
      <c r="K245" t="n">
        <v>1</v>
      </c>
      <c r="L245" t="n">
        <v>0</v>
      </c>
      <c r="M245" t="n">
        <v>0</v>
      </c>
      <c r="N245" t="n">
        <v>0</v>
      </c>
      <c r="O245" t="n">
        <v>0</v>
      </c>
      <c r="P245" t="n">
        <v>0</v>
      </c>
      <c r="Q245" t="n">
        <v>0</v>
      </c>
      <c r="R245" t="n">
        <v>0</v>
      </c>
      <c r="S245" t="n">
        <v>2</v>
      </c>
      <c r="T245" t="n">
        <v>2</v>
      </c>
      <c r="U245" t="n">
        <v>0</v>
      </c>
      <c r="V245" s="2" t="inlineStr">
        <is>
          <t>Fällmossa
Blåsippa</t>
        </is>
      </c>
      <c r="W245">
        <f>HYPERLINK("https://klasma.github.io/Logging_0883/artfynd/S 2772-2025 artfynd.xlsx", "S 2772-2025")</f>
        <v/>
      </c>
      <c r="X245">
        <f>HYPERLINK("https://klasma.github.io/Logging_0883/kartor/S 2772-2025 karta.png", "S 2772-2025")</f>
        <v/>
      </c>
      <c r="Y245">
        <f>HYPERLINK("https://klasma.github.io/Logging_0883/kartor_geotiff/S 2772-2025 georefererad karta.tif", "S 2772-2025")</f>
        <v/>
      </c>
      <c r="AA245">
        <f>HYPERLINK("https://klasma.github.io/Logging_0883/klagomål/S 2772-2025 FSC-klagomål.docx", "S 2772-2025")</f>
        <v/>
      </c>
      <c r="AB245">
        <f>HYPERLINK("https://klasma.github.io/Logging_0883/klagomålsmail/S 2772-2025 FSC-klagomål mail.docx", "S 2772-2025")</f>
        <v/>
      </c>
      <c r="AC245">
        <f>HYPERLINK("https://klasma.github.io/Logging_0883/tillsyn/S 2772-2025 tillsynsbegäran.docx", "S 2772-2025")</f>
        <v/>
      </c>
      <c r="AD245">
        <f>HYPERLINK("https://klasma.github.io/Logging_0883/tillsynsmail/S 2772-2025 tillsynsbegäran mail.docx", "S 2772-2025")</f>
        <v/>
      </c>
    </row>
    <row r="246" ht="15" customHeight="1">
      <c r="A246" t="inlineStr">
        <is>
          <t>S 2773-2025</t>
        </is>
      </c>
      <c r="B246" t="inlineStr">
        <is>
          <t>samrådsanmälan</t>
        </is>
      </c>
      <c r="C246" t="inlineStr">
        <is>
          <t>Annan skogsbruksåtgärd</t>
        </is>
      </c>
      <c r="D246" s="1" t="n">
        <v>45937</v>
      </c>
      <c r="E246" s="1" t="n">
        <v>46323</v>
      </c>
      <c r="F246" t="inlineStr">
        <is>
          <t>KALMAR LÄN</t>
        </is>
      </c>
      <c r="G246" t="inlineStr">
        <is>
          <t>VÄSTERVIK</t>
        </is>
      </c>
      <c r="H246" t="inlineStr">
        <is>
          <t>Sveaskog</t>
        </is>
      </c>
      <c r="I246" t="n">
        <v>1.4</v>
      </c>
      <c r="J246" t="n">
        <v>1</v>
      </c>
      <c r="K246" t="n">
        <v>1</v>
      </c>
      <c r="L246" t="n">
        <v>0</v>
      </c>
      <c r="M246" t="n">
        <v>0</v>
      </c>
      <c r="N246" t="n">
        <v>0</v>
      </c>
      <c r="O246" t="n">
        <v>0</v>
      </c>
      <c r="P246" t="n">
        <v>0</v>
      </c>
      <c r="Q246" t="n">
        <v>0</v>
      </c>
      <c r="R246" t="n">
        <v>0</v>
      </c>
      <c r="S246" t="n">
        <v>2</v>
      </c>
      <c r="T246" t="n">
        <v>2</v>
      </c>
      <c r="U246" t="n">
        <v>0</v>
      </c>
      <c r="V246" s="2" t="inlineStr">
        <is>
          <t>Fällmossa
Blåsippa</t>
        </is>
      </c>
      <c r="W246">
        <f>HYPERLINK("https://klasma.github.io/Logging_0883/artfynd/S 2773-2025 artfynd.xlsx", "S 2773-2025")</f>
        <v/>
      </c>
      <c r="X246">
        <f>HYPERLINK("https://klasma.github.io/Logging_0883/kartor/S 2773-2025 karta.png", "S 2773-2025")</f>
        <v/>
      </c>
      <c r="Y246">
        <f>HYPERLINK("https://klasma.github.io/Logging_0883/kartor_geotiff/S 2773-2025 georefererad karta.tif", "S 2773-2025")</f>
        <v/>
      </c>
      <c r="AA246">
        <f>HYPERLINK("https://klasma.github.io/Logging_0883/klagomål/S 2773-2025 FSC-klagomål.docx", "S 2773-2025")</f>
        <v/>
      </c>
      <c r="AB246">
        <f>HYPERLINK("https://klasma.github.io/Logging_0883/klagomålsmail/S 2773-2025 FSC-klagomål mail.docx", "S 2773-2025")</f>
        <v/>
      </c>
      <c r="AC246">
        <f>HYPERLINK("https://klasma.github.io/Logging_0883/tillsyn/S 2773-2025 tillsynsbegäran.docx", "S 2773-2025")</f>
        <v/>
      </c>
      <c r="AD246">
        <f>HYPERLINK("https://klasma.github.io/Logging_0883/tillsynsmail/S 2773-2025 tillsynsbegäran mail.docx", "S 2773-2025")</f>
        <v/>
      </c>
    </row>
    <row r="247" ht="15" customHeight="1">
      <c r="A247" t="inlineStr">
        <is>
          <t>S 839-2026</t>
        </is>
      </c>
      <c r="B247" t="inlineStr">
        <is>
          <t>samrådsanmälan</t>
        </is>
      </c>
      <c r="C247" t="inlineStr">
        <is>
          <t>Annan skogsbruksåtgärd</t>
        </is>
      </c>
      <c r="D247" s="1" t="n">
        <v>46105</v>
      </c>
      <c r="E247" s="1" t="n">
        <v>46323</v>
      </c>
      <c r="F247" t="inlineStr">
        <is>
          <t>KALMAR LÄN</t>
        </is>
      </c>
      <c r="G247" t="inlineStr">
        <is>
          <t>VÄSTERVIK</t>
        </is>
      </c>
      <c r="H247" t="inlineStr">
        <is>
          <t>Sveaskog</t>
        </is>
      </c>
      <c r="I247" t="n">
        <v>2.2</v>
      </c>
      <c r="J247" t="n">
        <v>0</v>
      </c>
      <c r="K247" t="n">
        <v>1</v>
      </c>
      <c r="L247" t="n">
        <v>0</v>
      </c>
      <c r="M247" t="n">
        <v>1</v>
      </c>
      <c r="N247" t="n">
        <v>0</v>
      </c>
      <c r="O247" t="n">
        <v>0</v>
      </c>
      <c r="P247" t="n">
        <v>0</v>
      </c>
      <c r="Q247" t="n">
        <v>1</v>
      </c>
      <c r="R247" t="n">
        <v>1</v>
      </c>
      <c r="S247" t="n">
        <v>2</v>
      </c>
      <c r="T247" t="n">
        <v>2</v>
      </c>
      <c r="U247" t="n">
        <v>0</v>
      </c>
      <c r="V247" s="2" t="inlineStr">
        <is>
          <t>Bredbrämad bastardsvärmare
Grovticka</t>
        </is>
      </c>
      <c r="W247">
        <f>HYPERLINK("https://klasma.github.io/Logging_0883/artfynd/S 839-2026 artfynd.xlsx", "S 839-2026")</f>
        <v/>
      </c>
      <c r="X247">
        <f>HYPERLINK("https://klasma.github.io/Logging_0883/kartor/S 839-2026 karta.png", "S 839-2026")</f>
        <v/>
      </c>
      <c r="Y247">
        <f>HYPERLINK("https://klasma.github.io/Logging_0883/kartor_geotiff/S 839-2026 georefererad karta.tif", "S 839-2026")</f>
        <v/>
      </c>
      <c r="AA247">
        <f>HYPERLINK("https://klasma.github.io/Logging_0883/klagomål/S 839-2026 FSC-klagomål.docx", "S 839-2026")</f>
        <v/>
      </c>
      <c r="AB247">
        <f>HYPERLINK("https://klasma.github.io/Logging_0883/klagomålsmail/S 839-2026 FSC-klagomål mail.docx", "S 839-2026")</f>
        <v/>
      </c>
      <c r="AC247">
        <f>HYPERLINK("https://klasma.github.io/Logging_0883/tillsyn/S 839-2026 tillsynsbegäran.docx", "S 839-2026")</f>
        <v/>
      </c>
      <c r="AD247">
        <f>HYPERLINK("https://klasma.github.io/Logging_0883/tillsynsmail/S 839-2026 tillsynsbegäran mail.docx", "S 839-2026")</f>
        <v/>
      </c>
    </row>
    <row r="248" ht="15" customHeight="1">
      <c r="A248" t="inlineStr">
        <is>
          <t>S 2534-2026</t>
        </is>
      </c>
      <c r="B248" t="inlineStr">
        <is>
          <t>samrådsanmälan</t>
        </is>
      </c>
      <c r="C248" t="inlineStr">
        <is>
          <t>Annan skogsbruksåtgärd</t>
        </is>
      </c>
      <c r="D248" s="1" t="n">
        <v>46291</v>
      </c>
      <c r="E248" s="1" t="n">
        <v>46323</v>
      </c>
      <c r="F248" t="inlineStr">
        <is>
          <t>KALMAR LÄN</t>
        </is>
      </c>
      <c r="G248" t="inlineStr">
        <is>
          <t>VÄSTERVIK</t>
        </is>
      </c>
      <c r="I248" t="n">
        <v>1.4</v>
      </c>
      <c r="J248" t="n">
        <v>1</v>
      </c>
      <c r="K248" t="n">
        <v>0</v>
      </c>
      <c r="L248" t="n">
        <v>1</v>
      </c>
      <c r="M248" t="n">
        <v>0</v>
      </c>
      <c r="N248" t="n">
        <v>0</v>
      </c>
      <c r="O248" t="n">
        <v>0</v>
      </c>
      <c r="P248" t="n">
        <v>0</v>
      </c>
      <c r="Q248" t="n">
        <v>1</v>
      </c>
      <c r="R248" t="n">
        <v>0</v>
      </c>
      <c r="S248" t="n">
        <v>2</v>
      </c>
      <c r="T248" t="n">
        <v>2</v>
      </c>
      <c r="U248" t="n">
        <v>0</v>
      </c>
      <c r="V248" s="2" t="inlineStr">
        <is>
          <t>Vårärt
Blåsippa</t>
        </is>
      </c>
      <c r="W248">
        <f>HYPERLINK("https://klasma.github.io/Logging_0883/artfynd/S 2534-2026 artfynd.xlsx", "S 2534-2026")</f>
        <v/>
      </c>
      <c r="X248">
        <f>HYPERLINK("https://klasma.github.io/Logging_0883/kartor/S 2534-2026 karta.png", "S 2534-2026")</f>
        <v/>
      </c>
      <c r="Y248">
        <f>HYPERLINK("https://klasma.github.io/Logging_0883/kartor_geotiff/S 2534-2026 georefererad karta.tif", "S 2534-2026")</f>
        <v/>
      </c>
      <c r="AA248">
        <f>HYPERLINK("https://klasma.github.io/Logging_0883/klagomål/S 2534-2026 FSC-klagomål.docx", "S 2534-2026")</f>
        <v/>
      </c>
      <c r="AB248">
        <f>HYPERLINK("https://klasma.github.io/Logging_0883/klagomålsmail/S 2534-2026 FSC-klagomål mail.docx", "S 2534-2026")</f>
        <v/>
      </c>
      <c r="AC248">
        <f>HYPERLINK("https://klasma.github.io/Logging_0883/tillsyn/S 2534-2026 tillsynsbegäran.docx", "S 2534-2026")</f>
        <v/>
      </c>
      <c r="AD248">
        <f>HYPERLINK("https://klasma.github.io/Logging_0883/tillsynsmail/S 2534-2026 tillsynsbegäran mail.docx", "S 2534-2026")</f>
        <v/>
      </c>
    </row>
    <row r="249" ht="15" customHeight="1">
      <c r="A249" t="inlineStr">
        <is>
          <t>A 10119-2022</t>
        </is>
      </c>
      <c r="B249" t="inlineStr">
        <is>
          <t>avverkningsanmälan</t>
        </is>
      </c>
      <c r="C249" t="inlineStr">
        <is>
          <t>Föryngringsavverkning</t>
        </is>
      </c>
      <c r="D249" s="1" t="n">
        <v>44621</v>
      </c>
      <c r="E249" s="1" t="n">
        <v>46323</v>
      </c>
      <c r="F249" t="inlineStr">
        <is>
          <t>KALMAR LÄN</t>
        </is>
      </c>
      <c r="G249" t="inlineStr">
        <is>
          <t>VÄSTERVIK</t>
        </is>
      </c>
      <c r="I249" t="n">
        <v>0.9</v>
      </c>
      <c r="J249" t="n">
        <v>1</v>
      </c>
      <c r="K249" t="n">
        <v>0</v>
      </c>
      <c r="L249" t="n">
        <v>0</v>
      </c>
      <c r="M249" t="n">
        <v>1</v>
      </c>
      <c r="N249" t="n">
        <v>0</v>
      </c>
      <c r="O249" t="n">
        <v>0</v>
      </c>
      <c r="P249" t="n">
        <v>0</v>
      </c>
      <c r="Q249" t="n">
        <v>1</v>
      </c>
      <c r="R249" t="n">
        <v>1</v>
      </c>
      <c r="S249" t="n">
        <v>1</v>
      </c>
      <c r="T249" t="n">
        <v>1</v>
      </c>
      <c r="U249" t="n">
        <v>1</v>
      </c>
      <c r="V249" s="2" t="inlineStr">
        <is>
          <t>Hasselsnok</t>
        </is>
      </c>
      <c r="W249">
        <f>HYPERLINK("https://klasma.github.io/Logging_0883/artfynd/A 10119-2022 artfynd.xlsx", "A 10119-2022")</f>
        <v/>
      </c>
      <c r="X249">
        <f>HYPERLINK("https://klasma.github.io/Logging_0883/kartor/A 10119-2022 karta.png", "A 10119-2022")</f>
        <v/>
      </c>
      <c r="Y249">
        <f>HYPERLINK("https://klasma.github.io/Logging_0883/kartor_geotiff/A 10119-2022 georefererad karta.tif", "A 10119-2022")</f>
        <v/>
      </c>
      <c r="AA249">
        <f>HYPERLINK("https://klasma.github.io/Logging_0883/klagomål/A 10119-2022 FSC-klagomål.docx", "A 10119-2022")</f>
        <v/>
      </c>
      <c r="AB249">
        <f>HYPERLINK("https://klasma.github.io/Logging_0883/klagomålsmail/A 10119-2022 FSC-klagomål mail.docx", "A 10119-2022")</f>
        <v/>
      </c>
      <c r="AC249">
        <f>HYPERLINK("https://klasma.github.io/Logging_0883/tillsyn/A 10119-2022 tillsynsbegäran.docx", "A 10119-2022")</f>
        <v/>
      </c>
      <c r="AD249">
        <f>HYPERLINK("https://klasma.github.io/Logging_0883/tillsynsmail/A 10119-2022 tillsynsbegäran mail.docx", "A 10119-2022")</f>
        <v/>
      </c>
    </row>
    <row r="250" ht="15" customHeight="1">
      <c r="A250" t="inlineStr">
        <is>
          <t>A 51514-2024</t>
        </is>
      </c>
      <c r="B250" t="inlineStr">
        <is>
          <t>avverkningsanmälan</t>
        </is>
      </c>
      <c r="C250" t="inlineStr">
        <is>
          <t>Föryngringsavverkning</t>
        </is>
      </c>
      <c r="D250" s="1" t="n">
        <v>45604</v>
      </c>
      <c r="E250" s="1" t="n">
        <v>46323</v>
      </c>
      <c r="F250" t="inlineStr">
        <is>
          <t>KALMAR LÄN</t>
        </is>
      </c>
      <c r="G250" t="inlineStr">
        <is>
          <t>VÄSTERVIK</t>
        </is>
      </c>
      <c r="H250" t="inlineStr">
        <is>
          <t>Övriga Aktiebolag</t>
        </is>
      </c>
      <c r="I250" t="n">
        <v>2.4</v>
      </c>
      <c r="J250" t="n">
        <v>1</v>
      </c>
      <c r="K250" t="n">
        <v>0</v>
      </c>
      <c r="L250" t="n">
        <v>0</v>
      </c>
      <c r="M250" t="n">
        <v>0</v>
      </c>
      <c r="N250" t="n">
        <v>0</v>
      </c>
      <c r="O250" t="n">
        <v>0</v>
      </c>
      <c r="P250" t="n">
        <v>0</v>
      </c>
      <c r="Q250" t="n">
        <v>0</v>
      </c>
      <c r="R250" t="n">
        <v>0</v>
      </c>
      <c r="S250" t="n">
        <v>1</v>
      </c>
      <c r="T250" t="n">
        <v>2</v>
      </c>
      <c r="U250" t="n">
        <v>0</v>
      </c>
      <c r="V250" s="2" t="inlineStr">
        <is>
          <t>Havsörn</t>
        </is>
      </c>
      <c r="W250">
        <f>HYPERLINK("https://klasma.github.io/Logging_0883/artfynd/A 51514-2024 artfynd.xlsx", "A 51514-2024")</f>
        <v/>
      </c>
      <c r="X250">
        <f>HYPERLINK("https://klasma.github.io/Logging_0883/kartor/A 51514-2024 karta.png", "A 51514-2024")</f>
        <v/>
      </c>
      <c r="Y250">
        <f>HYPERLINK("https://klasma.github.io/Logging_0883/kartor_geotiff/A 51514-2024 georefererad karta.tif", "A 51514-2024")</f>
        <v/>
      </c>
      <c r="AA250">
        <f>HYPERLINK("https://klasma.github.io/Logging_0883/klagomål/A 51514-2024 FSC-klagomål.docx", "A 51514-2024")</f>
        <v/>
      </c>
      <c r="AB250">
        <f>HYPERLINK("https://klasma.github.io/Logging_0883/klagomålsmail/A 51514-2024 FSC-klagomål mail.docx", "A 51514-2024")</f>
        <v/>
      </c>
      <c r="AC250">
        <f>HYPERLINK("https://klasma.github.io/Logging_0883/tillsyn/A 51514-2024 tillsynsbegäran.docx", "A 51514-2024")</f>
        <v/>
      </c>
      <c r="AD250">
        <f>HYPERLINK("https://klasma.github.io/Logging_0883/tillsynsmail/A 51514-2024 tillsynsbegäran mail.docx", "A 51514-2024")</f>
        <v/>
      </c>
      <c r="AE250">
        <f>HYPERLINK("https://klasma.github.io/Logging_0883/fåglar/A 51514-2024 prioriterade fågelarter.docx", "A 51514-2024")</f>
        <v/>
      </c>
    </row>
    <row r="251" ht="15" customHeight="1">
      <c r="A251" t="inlineStr">
        <is>
          <t>A 975-2023</t>
        </is>
      </c>
      <c r="B251" t="inlineStr">
        <is>
          <t>avverkningsanmälan</t>
        </is>
      </c>
      <c r="C251" t="inlineStr">
        <is>
          <t>Avverkning för annat ändamål</t>
        </is>
      </c>
      <c r="D251" s="1" t="n">
        <v>44935</v>
      </c>
      <c r="E251" s="1" t="n">
        <v>46323</v>
      </c>
      <c r="F251" t="inlineStr">
        <is>
          <t>KALMAR LÄN</t>
        </is>
      </c>
      <c r="G251" t="inlineStr">
        <is>
          <t>VÄSTERVIK</t>
        </is>
      </c>
      <c r="I251" t="n">
        <v>1.7</v>
      </c>
      <c r="J251" t="n">
        <v>1</v>
      </c>
      <c r="K251" t="n">
        <v>0</v>
      </c>
      <c r="L251" t="n">
        <v>0</v>
      </c>
      <c r="M251" t="n">
        <v>1</v>
      </c>
      <c r="N251" t="n">
        <v>0</v>
      </c>
      <c r="O251" t="n">
        <v>0</v>
      </c>
      <c r="P251" t="n">
        <v>0</v>
      </c>
      <c r="Q251" t="n">
        <v>1</v>
      </c>
      <c r="R251" t="n">
        <v>1</v>
      </c>
      <c r="S251" t="n">
        <v>1</v>
      </c>
      <c r="T251" t="n">
        <v>1</v>
      </c>
      <c r="U251" t="n">
        <v>1</v>
      </c>
      <c r="V251" s="2" t="inlineStr">
        <is>
          <t>Läderbagge</t>
        </is>
      </c>
      <c r="W251">
        <f>HYPERLINK("https://klasma.github.io/Logging_0883/artfynd/A 975-2023 artfynd.xlsx", "A 975-2023")</f>
        <v/>
      </c>
      <c r="X251">
        <f>HYPERLINK("https://klasma.github.io/Logging_0883/kartor/A 975-2023 karta.png", "A 975-2023")</f>
        <v/>
      </c>
      <c r="Y251">
        <f>HYPERLINK("https://klasma.github.io/Logging_0883/kartor_geotiff/A 975-2023 georefererad karta.tif", "A 975-2023")</f>
        <v/>
      </c>
      <c r="AA251">
        <f>HYPERLINK("https://klasma.github.io/Logging_0883/klagomål/A 975-2023 FSC-klagomål.docx", "A 975-2023")</f>
        <v/>
      </c>
      <c r="AB251">
        <f>HYPERLINK("https://klasma.github.io/Logging_0883/klagomålsmail/A 975-2023 FSC-klagomål mail.docx", "A 975-2023")</f>
        <v/>
      </c>
      <c r="AC251">
        <f>HYPERLINK("https://klasma.github.io/Logging_0883/tillsyn/A 975-2023 tillsynsbegäran.docx", "A 975-2023")</f>
        <v/>
      </c>
      <c r="AD251">
        <f>HYPERLINK("https://klasma.github.io/Logging_0883/tillsynsmail/A 975-2023 tillsynsbegäran mail.docx", "A 975-2023")</f>
        <v/>
      </c>
    </row>
    <row r="252" ht="15" customHeight="1">
      <c r="A252" t="inlineStr">
        <is>
          <t>A 61806-2023</t>
        </is>
      </c>
      <c r="B252" t="inlineStr">
        <is>
          <t>avverkningsanmälan</t>
        </is>
      </c>
      <c r="C252" t="inlineStr">
        <is>
          <t>Föryngringsavverkning</t>
        </is>
      </c>
      <c r="D252" s="1" t="n">
        <v>45266</v>
      </c>
      <c r="E252" s="1" t="n">
        <v>46323</v>
      </c>
      <c r="F252" t="inlineStr">
        <is>
          <t>KALMAR LÄN</t>
        </is>
      </c>
      <c r="G252" t="inlineStr">
        <is>
          <t>VÄSTERVIK</t>
        </is>
      </c>
      <c r="I252" t="n">
        <v>1.1</v>
      </c>
      <c r="J252" t="n">
        <v>0</v>
      </c>
      <c r="K252" t="n">
        <v>0</v>
      </c>
      <c r="L252" t="n">
        <v>1</v>
      </c>
      <c r="M252" t="n">
        <v>0</v>
      </c>
      <c r="N252" t="n">
        <v>0</v>
      </c>
      <c r="O252" t="n">
        <v>0</v>
      </c>
      <c r="P252" t="n">
        <v>0</v>
      </c>
      <c r="Q252" t="n">
        <v>1</v>
      </c>
      <c r="R252" t="n">
        <v>0</v>
      </c>
      <c r="S252" t="n">
        <v>1</v>
      </c>
      <c r="T252" t="n">
        <v>1</v>
      </c>
      <c r="U252" t="n">
        <v>1</v>
      </c>
      <c r="V252" s="2" t="inlineStr">
        <is>
          <t>Veckticka</t>
        </is>
      </c>
      <c r="W252">
        <f>HYPERLINK("https://klasma.github.io/Logging_0883/artfynd/A 61806-2023 artfynd.xlsx", "A 61806-2023")</f>
        <v/>
      </c>
      <c r="X252">
        <f>HYPERLINK("https://klasma.github.io/Logging_0883/kartor/A 61806-2023 karta.png", "A 61806-2023")</f>
        <v/>
      </c>
      <c r="Y252">
        <f>HYPERLINK("https://klasma.github.io/Logging_0883/kartor_geotiff/A 61806-2023 georefererad karta.tif", "A 61806-2023")</f>
        <v/>
      </c>
      <c r="AA252">
        <f>HYPERLINK("https://klasma.github.io/Logging_0883/klagomål/A 61806-2023 FSC-klagomål.docx", "A 61806-2023")</f>
        <v/>
      </c>
      <c r="AB252">
        <f>HYPERLINK("https://klasma.github.io/Logging_0883/klagomålsmail/A 61806-2023 FSC-klagomål mail.docx", "A 61806-2023")</f>
        <v/>
      </c>
      <c r="AC252">
        <f>HYPERLINK("https://klasma.github.io/Logging_0883/tillsyn/A 61806-2023 tillsynsbegäran.docx", "A 61806-2023")</f>
        <v/>
      </c>
      <c r="AD252">
        <f>HYPERLINK("https://klasma.github.io/Logging_0883/tillsynsmail/A 61806-2023 tillsynsbegäran mail.docx", "A 61806-2023")</f>
        <v/>
      </c>
    </row>
    <row r="253" ht="15" customHeight="1">
      <c r="A253" t="inlineStr">
        <is>
          <t>A 55616-2024</t>
        </is>
      </c>
      <c r="B253" t="inlineStr">
        <is>
          <t>avverkningsanmälan</t>
        </is>
      </c>
      <c r="C253" t="inlineStr">
        <is>
          <t>Föryngringsavverkning</t>
        </is>
      </c>
      <c r="D253" s="1" t="n">
        <v>45622</v>
      </c>
      <c r="E253" s="1" t="n">
        <v>46323</v>
      </c>
      <c r="F253" t="inlineStr">
        <is>
          <t>KALMAR LÄN</t>
        </is>
      </c>
      <c r="G253" t="inlineStr">
        <is>
          <t>VÄSTERVIK</t>
        </is>
      </c>
      <c r="I253" t="n">
        <v>0.5</v>
      </c>
      <c r="J253" t="n">
        <v>1</v>
      </c>
      <c r="K253" t="n">
        <v>0</v>
      </c>
      <c r="L253" t="n">
        <v>1</v>
      </c>
      <c r="M253" t="n">
        <v>0</v>
      </c>
      <c r="N253" t="n">
        <v>0</v>
      </c>
      <c r="O253" t="n">
        <v>0</v>
      </c>
      <c r="P253" t="n">
        <v>0</v>
      </c>
      <c r="Q253" t="n">
        <v>1</v>
      </c>
      <c r="R253" t="n">
        <v>0</v>
      </c>
      <c r="S253" t="n">
        <v>1</v>
      </c>
      <c r="T253" t="n">
        <v>1</v>
      </c>
      <c r="U253" t="n">
        <v>1</v>
      </c>
      <c r="V253" s="2" t="inlineStr">
        <is>
          <t>Entita</t>
        </is>
      </c>
      <c r="W253">
        <f>HYPERLINK("https://klasma.github.io/Logging_0883/artfynd/A 55616-2024 artfynd.xlsx", "A 55616-2024")</f>
        <v/>
      </c>
      <c r="X253">
        <f>HYPERLINK("https://klasma.github.io/Logging_0883/kartor/A 55616-2024 karta.png", "A 55616-2024")</f>
        <v/>
      </c>
      <c r="Y253">
        <f>HYPERLINK("https://klasma.github.io/Logging_0883/kartor_geotiff/A 55616-2024 georefererad karta.tif", "A 55616-2024")</f>
        <v/>
      </c>
      <c r="AA253">
        <f>HYPERLINK("https://klasma.github.io/Logging_0883/klagomål/A 55616-2024 FSC-klagomål.docx", "A 55616-2024")</f>
        <v/>
      </c>
      <c r="AB253">
        <f>HYPERLINK("https://klasma.github.io/Logging_0883/klagomålsmail/A 55616-2024 FSC-klagomål mail.docx", "A 55616-2024")</f>
        <v/>
      </c>
      <c r="AC253">
        <f>HYPERLINK("https://klasma.github.io/Logging_0883/tillsyn/A 55616-2024 tillsynsbegäran.docx", "A 55616-2024")</f>
        <v/>
      </c>
      <c r="AD253">
        <f>HYPERLINK("https://klasma.github.io/Logging_0883/tillsynsmail/A 55616-2024 tillsynsbegäran mail.docx", "A 55616-2024")</f>
        <v/>
      </c>
      <c r="AE253">
        <f>HYPERLINK("https://klasma.github.io/Logging_0883/fåglar/A 55616-2024 prioriterade fågelarter.docx", "A 55616-2024")</f>
        <v/>
      </c>
    </row>
    <row r="254" ht="15" customHeight="1">
      <c r="A254" t="inlineStr">
        <is>
          <t>A 9549-2024</t>
        </is>
      </c>
      <c r="B254" t="inlineStr">
        <is>
          <t>avverkningsanmälan</t>
        </is>
      </c>
      <c r="C254" t="inlineStr">
        <is>
          <t>Föryngringsavverkning</t>
        </is>
      </c>
      <c r="D254" s="1" t="n">
        <v>45359</v>
      </c>
      <c r="E254" s="1" t="n">
        <v>46323</v>
      </c>
      <c r="F254" t="inlineStr">
        <is>
          <t>KALMAR LÄN</t>
        </is>
      </c>
      <c r="G254" t="inlineStr">
        <is>
          <t>VÄSTERVIK</t>
        </is>
      </c>
      <c r="H254" t="inlineStr">
        <is>
          <t>Holmen skog AB</t>
        </is>
      </c>
      <c r="I254" t="n">
        <v>2.6</v>
      </c>
      <c r="J254" t="n">
        <v>1</v>
      </c>
      <c r="K254" t="n">
        <v>0</v>
      </c>
      <c r="L254" t="n">
        <v>1</v>
      </c>
      <c r="M254" t="n">
        <v>0</v>
      </c>
      <c r="N254" t="n">
        <v>0</v>
      </c>
      <c r="O254" t="n">
        <v>0</v>
      </c>
      <c r="P254" t="n">
        <v>0</v>
      </c>
      <c r="Q254" t="n">
        <v>1</v>
      </c>
      <c r="R254" t="n">
        <v>0</v>
      </c>
      <c r="S254" t="n">
        <v>1</v>
      </c>
      <c r="T254" t="n">
        <v>1</v>
      </c>
      <c r="U254" t="n">
        <v>1</v>
      </c>
      <c r="V254" s="2" t="inlineStr">
        <is>
          <t>Entita</t>
        </is>
      </c>
      <c r="W254">
        <f>HYPERLINK("https://klasma.github.io/Logging_0883/artfynd/A 9549-2024 artfynd.xlsx", "A 9549-2024")</f>
        <v/>
      </c>
      <c r="X254">
        <f>HYPERLINK("https://klasma.github.io/Logging_0883/kartor/A 9549-2024 karta.png", "A 9549-2024")</f>
        <v/>
      </c>
      <c r="Y254">
        <f>HYPERLINK("https://klasma.github.io/Logging_0883/kartor_geotiff/A 9549-2024 georefererad karta.tif", "A 9549-2024")</f>
        <v/>
      </c>
      <c r="AA254">
        <f>HYPERLINK("https://klasma.github.io/Logging_0883/klagomål/A 9549-2024 FSC-klagomål.docx", "A 9549-2024")</f>
        <v/>
      </c>
      <c r="AB254">
        <f>HYPERLINK("https://klasma.github.io/Logging_0883/klagomålsmail/A 9549-2024 FSC-klagomål mail.docx", "A 9549-2024")</f>
        <v/>
      </c>
      <c r="AC254">
        <f>HYPERLINK("https://klasma.github.io/Logging_0883/tillsyn/A 9549-2024 tillsynsbegäran.docx", "A 9549-2024")</f>
        <v/>
      </c>
      <c r="AD254">
        <f>HYPERLINK("https://klasma.github.io/Logging_0883/tillsynsmail/A 9549-2024 tillsynsbegäran mail.docx", "A 9549-2024")</f>
        <v/>
      </c>
      <c r="AE254">
        <f>HYPERLINK("https://klasma.github.io/Logging_0883/fåglar/A 9549-2024 prioriterade fågelarter.docx", "A 9549-2024")</f>
        <v/>
      </c>
    </row>
    <row r="255" ht="15" customHeight="1">
      <c r="A255" t="inlineStr">
        <is>
          <t>A 25436-2023</t>
        </is>
      </c>
      <c r="B255" t="inlineStr">
        <is>
          <t>avverkningsanmälan</t>
        </is>
      </c>
      <c r="C255" t="inlineStr">
        <is>
          <t>Föryngringsavverkning</t>
        </is>
      </c>
      <c r="D255" s="1" t="n">
        <v>45089</v>
      </c>
      <c r="E255" s="1" t="n">
        <v>46323</v>
      </c>
      <c r="F255" t="inlineStr">
        <is>
          <t>KALMAR LÄN</t>
        </is>
      </c>
      <c r="G255" t="inlineStr">
        <is>
          <t>VÄSTERVIK</t>
        </is>
      </c>
      <c r="I255" t="n">
        <v>1.6</v>
      </c>
      <c r="J255" t="n">
        <v>1</v>
      </c>
      <c r="K255" t="n">
        <v>0</v>
      </c>
      <c r="L255" t="n">
        <v>0</v>
      </c>
      <c r="M255" t="n">
        <v>1</v>
      </c>
      <c r="N255" t="n">
        <v>0</v>
      </c>
      <c r="O255" t="n">
        <v>0</v>
      </c>
      <c r="P255" t="n">
        <v>0</v>
      </c>
      <c r="Q255" t="n">
        <v>1</v>
      </c>
      <c r="R255" t="n">
        <v>1</v>
      </c>
      <c r="S255" t="n">
        <v>1</v>
      </c>
      <c r="T255" t="n">
        <v>5</v>
      </c>
      <c r="U255" t="n">
        <v>5</v>
      </c>
      <c r="V255" s="2" t="inlineStr">
        <is>
          <t>Knärot</t>
        </is>
      </c>
      <c r="W255">
        <f>HYPERLINK("https://klasma.github.io/Logging_0883/artfynd/A 25436-2023 artfynd.xlsx", "A 25436-2023")</f>
        <v/>
      </c>
      <c r="X255">
        <f>HYPERLINK("https://klasma.github.io/Logging_0883/kartor/A 25436-2023 karta.png", "A 25436-2023")</f>
        <v/>
      </c>
      <c r="Y255">
        <f>HYPERLINK("https://klasma.github.io/Logging_0883/kartor_geotiff/A 25436-2023 georefererad karta.tif", "A 25436-2023")</f>
        <v/>
      </c>
      <c r="Z255">
        <f>HYPERLINK("https://klasma.github.io/Logging_0883/knärot/A 25436-2023 karta knärot.png", "A 25436-2023")</f>
        <v/>
      </c>
      <c r="AA255">
        <f>HYPERLINK("https://klasma.github.io/Logging_0883/klagomål/A 25436-2023 FSC-klagomål.docx", "A 25436-2023")</f>
        <v/>
      </c>
      <c r="AB255">
        <f>HYPERLINK("https://klasma.github.io/Logging_0883/klagomålsmail/A 25436-2023 FSC-klagomål mail.docx", "A 25436-2023")</f>
        <v/>
      </c>
      <c r="AC255">
        <f>HYPERLINK("https://klasma.github.io/Logging_0883/tillsyn/A 25436-2023 tillsynsbegäran.docx", "A 25436-2023")</f>
        <v/>
      </c>
      <c r="AD255">
        <f>HYPERLINK("https://klasma.github.io/Logging_0883/tillsynsmail/A 25436-2023 tillsynsbegäran mail.docx", "A 25436-2023")</f>
        <v/>
      </c>
    </row>
    <row r="256" ht="15" customHeight="1">
      <c r="A256" t="inlineStr">
        <is>
          <t>A 11609-2022</t>
        </is>
      </c>
      <c r="B256" t="inlineStr">
        <is>
          <t>avverkningsanmälan</t>
        </is>
      </c>
      <c r="C256" t="inlineStr">
        <is>
          <t>Föryngringsavverkning</t>
        </is>
      </c>
      <c r="D256" s="1" t="n">
        <v>44631</v>
      </c>
      <c r="E256" s="1" t="n">
        <v>46323</v>
      </c>
      <c r="F256" t="inlineStr">
        <is>
          <t>KALMAR LÄN</t>
        </is>
      </c>
      <c r="G256" t="inlineStr">
        <is>
          <t>VÄSTERVIK</t>
        </is>
      </c>
      <c r="H256" t="inlineStr">
        <is>
          <t>Holmen skog AB</t>
        </is>
      </c>
      <c r="I256" t="n">
        <v>3.2</v>
      </c>
      <c r="J256" t="n">
        <v>0</v>
      </c>
      <c r="K256" t="n">
        <v>0</v>
      </c>
      <c r="L256" t="n">
        <v>1</v>
      </c>
      <c r="M256" t="n">
        <v>0</v>
      </c>
      <c r="N256" t="n">
        <v>0</v>
      </c>
      <c r="O256" t="n">
        <v>0</v>
      </c>
      <c r="P256" t="n">
        <v>0</v>
      </c>
      <c r="Q256" t="n">
        <v>1</v>
      </c>
      <c r="R256" t="n">
        <v>0</v>
      </c>
      <c r="S256" t="n">
        <v>1</v>
      </c>
      <c r="T256" t="n">
        <v>1</v>
      </c>
      <c r="U256" t="n">
        <v>1</v>
      </c>
      <c r="V256" s="2" t="inlineStr">
        <is>
          <t>Tallticka</t>
        </is>
      </c>
      <c r="W256">
        <f>HYPERLINK("https://klasma.github.io/Logging_0883/artfynd/A 11609-2022 artfynd.xlsx", "A 11609-2022")</f>
        <v/>
      </c>
      <c r="X256">
        <f>HYPERLINK("https://klasma.github.io/Logging_0883/kartor/A 11609-2022 karta.png", "A 11609-2022")</f>
        <v/>
      </c>
      <c r="Y256">
        <f>HYPERLINK("https://klasma.github.io/Logging_0883/kartor_geotiff/A 11609-2022 georefererad karta.tif", "A 11609-2022")</f>
        <v/>
      </c>
      <c r="Z256">
        <f>HYPERLINK("https://klasma.github.io/Logging_0883/knärot/A 11609-2022 karta knärot.png", "A 11609-2022")</f>
        <v/>
      </c>
      <c r="AA256">
        <f>HYPERLINK("https://klasma.github.io/Logging_0883/klagomål/A 11609-2022 FSC-klagomål.docx", "A 11609-2022")</f>
        <v/>
      </c>
      <c r="AB256">
        <f>HYPERLINK("https://klasma.github.io/Logging_0883/klagomålsmail/A 11609-2022 FSC-klagomål mail.docx", "A 11609-2022")</f>
        <v/>
      </c>
      <c r="AC256">
        <f>HYPERLINK("https://klasma.github.io/Logging_0883/tillsyn/A 11609-2022 tillsynsbegäran.docx", "A 11609-2022")</f>
        <v/>
      </c>
      <c r="AD256">
        <f>HYPERLINK("https://klasma.github.io/Logging_0883/tillsynsmail/A 11609-2022 tillsynsbegäran mail.docx", "A 11609-2022")</f>
        <v/>
      </c>
    </row>
    <row r="257" ht="15" customHeight="1">
      <c r="A257" t="inlineStr">
        <is>
          <t>A 808-2023</t>
        </is>
      </c>
      <c r="B257" t="inlineStr">
        <is>
          <t>avverkningsanmälan</t>
        </is>
      </c>
      <c r="C257" t="inlineStr">
        <is>
          <t>Avverkning för att bevara och utveckla /försöksver</t>
        </is>
      </c>
      <c r="D257" s="1" t="n">
        <v>44931</v>
      </c>
      <c r="E257" s="1" t="n">
        <v>46323</v>
      </c>
      <c r="F257" t="inlineStr">
        <is>
          <t>KALMAR LÄN</t>
        </is>
      </c>
      <c r="G257" t="inlineStr">
        <is>
          <t>VÄSTERVIK</t>
        </is>
      </c>
      <c r="H257" t="inlineStr">
        <is>
          <t>Holmen skog AB</t>
        </is>
      </c>
      <c r="I257" t="n">
        <v>0.3</v>
      </c>
      <c r="J257" t="n">
        <v>1</v>
      </c>
      <c r="K257" t="n">
        <v>1</v>
      </c>
      <c r="L257" t="n">
        <v>0</v>
      </c>
      <c r="M257" t="n">
        <v>0</v>
      </c>
      <c r="N257" t="n">
        <v>0</v>
      </c>
      <c r="O257" t="n">
        <v>0</v>
      </c>
      <c r="P257" t="n">
        <v>0</v>
      </c>
      <c r="Q257" t="n">
        <v>0</v>
      </c>
      <c r="R257" t="n">
        <v>0</v>
      </c>
      <c r="S257" t="n">
        <v>1</v>
      </c>
      <c r="T257" t="n">
        <v>1</v>
      </c>
      <c r="U257" t="n">
        <v>1</v>
      </c>
      <c r="V257" s="2" t="inlineStr">
        <is>
          <t>Ekoxe</t>
        </is>
      </c>
      <c r="W257">
        <f>HYPERLINK("https://klasma.github.io/Logging_0883/artfynd/A 808-2023 artfynd.xlsx", "A 808-2023")</f>
        <v/>
      </c>
      <c r="X257">
        <f>HYPERLINK("https://klasma.github.io/Logging_0883/kartor/A 808-2023 karta.png", "A 808-2023")</f>
        <v/>
      </c>
      <c r="Y257">
        <f>HYPERLINK("https://klasma.github.io/Logging_0883/kartor_geotiff/A 808-2023 georefererad karta.tif", "A 808-2023")</f>
        <v/>
      </c>
      <c r="AA257">
        <f>HYPERLINK("https://klasma.github.io/Logging_0883/klagomål/A 808-2023 FSC-klagomål.docx", "A 808-2023")</f>
        <v/>
      </c>
      <c r="AB257">
        <f>HYPERLINK("https://klasma.github.io/Logging_0883/klagomålsmail/A 808-2023 FSC-klagomål mail.docx", "A 808-2023")</f>
        <v/>
      </c>
      <c r="AC257">
        <f>HYPERLINK("https://klasma.github.io/Logging_0883/tillsyn/A 808-2023 tillsynsbegäran.docx", "A 808-2023")</f>
        <v/>
      </c>
      <c r="AD257">
        <f>HYPERLINK("https://klasma.github.io/Logging_0883/tillsynsmail/A 808-2023 tillsynsbegäran mail.docx", "A 808-2023")</f>
        <v/>
      </c>
    </row>
    <row r="258" ht="15" customHeight="1">
      <c r="A258" t="inlineStr">
        <is>
          <t>A 56439-2024</t>
        </is>
      </c>
      <c r="B258" t="inlineStr">
        <is>
          <t>avverkningsanmälan</t>
        </is>
      </c>
      <c r="C258" t="inlineStr">
        <is>
          <t>Föryngringsavverkning</t>
        </is>
      </c>
      <c r="D258" s="1" t="n">
        <v>45625</v>
      </c>
      <c r="E258" s="1" t="n">
        <v>46323</v>
      </c>
      <c r="F258" t="inlineStr">
        <is>
          <t>KALMAR LÄN</t>
        </is>
      </c>
      <c r="G258" t="inlineStr">
        <is>
          <t>VÄSTERVIK</t>
        </is>
      </c>
      <c r="H258" t="inlineStr">
        <is>
          <t>Övriga Aktiebolag</t>
        </is>
      </c>
      <c r="I258" t="n">
        <v>3.3</v>
      </c>
      <c r="J258" t="n">
        <v>0</v>
      </c>
      <c r="K258" t="n">
        <v>1</v>
      </c>
      <c r="L258" t="n">
        <v>0</v>
      </c>
      <c r="M258" t="n">
        <v>0</v>
      </c>
      <c r="N258" t="n">
        <v>0</v>
      </c>
      <c r="O258" t="n">
        <v>0</v>
      </c>
      <c r="P258" t="n">
        <v>0</v>
      </c>
      <c r="Q258" t="n">
        <v>0</v>
      </c>
      <c r="R258" t="n">
        <v>0</v>
      </c>
      <c r="S258" t="n">
        <v>1</v>
      </c>
      <c r="T258" t="n">
        <v>1</v>
      </c>
      <c r="U258" t="n">
        <v>1</v>
      </c>
      <c r="V258" s="2" t="inlineStr">
        <is>
          <t>Hasselticka</t>
        </is>
      </c>
      <c r="W258">
        <f>HYPERLINK("https://klasma.github.io/Logging_0883/artfynd/A 56439-2024 artfynd.xlsx", "A 56439-2024")</f>
        <v/>
      </c>
      <c r="X258">
        <f>HYPERLINK("https://klasma.github.io/Logging_0883/kartor/A 56439-2024 karta.png", "A 56439-2024")</f>
        <v/>
      </c>
      <c r="Y258">
        <f>HYPERLINK("https://klasma.github.io/Logging_0883/kartor_geotiff/A 56439-2024 georefererad karta.tif", "A 56439-2024")</f>
        <v/>
      </c>
      <c r="AA258">
        <f>HYPERLINK("https://klasma.github.io/Logging_0883/klagomål/A 56439-2024 FSC-klagomål.docx", "A 56439-2024")</f>
        <v/>
      </c>
      <c r="AB258">
        <f>HYPERLINK("https://klasma.github.io/Logging_0883/klagomålsmail/A 56439-2024 FSC-klagomål mail.docx", "A 56439-2024")</f>
        <v/>
      </c>
      <c r="AC258">
        <f>HYPERLINK("https://klasma.github.io/Logging_0883/tillsyn/A 56439-2024 tillsynsbegäran.docx", "A 56439-2024")</f>
        <v/>
      </c>
      <c r="AD258">
        <f>HYPERLINK("https://klasma.github.io/Logging_0883/tillsynsmail/A 56439-2024 tillsynsbegäran mail.docx", "A 56439-2024")</f>
        <v/>
      </c>
    </row>
    <row r="259" ht="15" customHeight="1">
      <c r="A259" t="inlineStr">
        <is>
          <t>A 46556-2022</t>
        </is>
      </c>
      <c r="B259" t="inlineStr">
        <is>
          <t>avverkningsanmälan</t>
        </is>
      </c>
      <c r="C259" t="inlineStr">
        <is>
          <t>Föryngringsavverkning</t>
        </is>
      </c>
      <c r="D259" s="1" t="n">
        <v>44848</v>
      </c>
      <c r="E259" s="1" t="n">
        <v>46323</v>
      </c>
      <c r="F259" t="inlineStr">
        <is>
          <t>KALMAR LÄN</t>
        </is>
      </c>
      <c r="G259" t="inlineStr">
        <is>
          <t>VÄSTERVIK</t>
        </is>
      </c>
      <c r="H259" t="inlineStr">
        <is>
          <t>Sveaskog</t>
        </is>
      </c>
      <c r="I259" t="n">
        <v>1.5</v>
      </c>
      <c r="J259" t="n">
        <v>0</v>
      </c>
      <c r="K259" t="n">
        <v>0</v>
      </c>
      <c r="L259" t="n">
        <v>1</v>
      </c>
      <c r="M259" t="n">
        <v>0</v>
      </c>
      <c r="N259" t="n">
        <v>0</v>
      </c>
      <c r="O259" t="n">
        <v>0</v>
      </c>
      <c r="P259" t="n">
        <v>0</v>
      </c>
      <c r="Q259" t="n">
        <v>1</v>
      </c>
      <c r="R259" t="n">
        <v>0</v>
      </c>
      <c r="S259" t="n">
        <v>1</v>
      </c>
      <c r="T259" t="n">
        <v>1</v>
      </c>
      <c r="U259" t="n">
        <v>1</v>
      </c>
      <c r="V259" s="2" t="inlineStr">
        <is>
          <t>Fjällig taggsvamp s.str.</t>
        </is>
      </c>
      <c r="W259">
        <f>HYPERLINK("https://klasma.github.io/Logging_0883/artfynd/A 46556-2022 artfynd.xlsx", "A 46556-2022")</f>
        <v/>
      </c>
      <c r="X259">
        <f>HYPERLINK("https://klasma.github.io/Logging_0883/kartor/A 46556-2022 karta.png", "A 46556-2022")</f>
        <v/>
      </c>
      <c r="Y259">
        <f>HYPERLINK("https://klasma.github.io/Logging_0883/kartor_geotiff/A 46556-2022 georefererad karta.tif", "A 46556-2022")</f>
        <v/>
      </c>
      <c r="AA259">
        <f>HYPERLINK("https://klasma.github.io/Logging_0883/klagomål/A 46556-2022 FSC-klagomål.docx", "A 46556-2022")</f>
        <v/>
      </c>
      <c r="AB259">
        <f>HYPERLINK("https://klasma.github.io/Logging_0883/klagomålsmail/A 46556-2022 FSC-klagomål mail.docx", "A 46556-2022")</f>
        <v/>
      </c>
      <c r="AC259">
        <f>HYPERLINK("https://klasma.github.io/Logging_0883/tillsyn/A 46556-2022 tillsynsbegäran.docx", "A 46556-2022")</f>
        <v/>
      </c>
      <c r="AD259">
        <f>HYPERLINK("https://klasma.github.io/Logging_0883/tillsynsmail/A 46556-2022 tillsynsbegäran mail.docx", "A 46556-2022")</f>
        <v/>
      </c>
    </row>
    <row r="260" ht="15" customHeight="1">
      <c r="A260" t="inlineStr">
        <is>
          <t>A 46560-2022</t>
        </is>
      </c>
      <c r="B260" t="inlineStr">
        <is>
          <t>avverkningsanmälan</t>
        </is>
      </c>
      <c r="C260" t="inlineStr">
        <is>
          <t>Föryngringsavverkning</t>
        </is>
      </c>
      <c r="D260" s="1" t="n">
        <v>44848</v>
      </c>
      <c r="E260" s="1" t="n">
        <v>46323</v>
      </c>
      <c r="F260" t="inlineStr">
        <is>
          <t>KALMAR LÄN</t>
        </is>
      </c>
      <c r="G260" t="inlineStr">
        <is>
          <t>VÄSTERVIK</t>
        </is>
      </c>
      <c r="H260" t="inlineStr">
        <is>
          <t>Sveaskog</t>
        </is>
      </c>
      <c r="I260" t="n">
        <v>2</v>
      </c>
      <c r="J260" t="n">
        <v>1</v>
      </c>
      <c r="K260" t="n">
        <v>0</v>
      </c>
      <c r="L260" t="n">
        <v>0</v>
      </c>
      <c r="M260" t="n">
        <v>0</v>
      </c>
      <c r="N260" t="n">
        <v>0</v>
      </c>
      <c r="O260" t="n">
        <v>0</v>
      </c>
      <c r="P260" t="n">
        <v>0</v>
      </c>
      <c r="Q260" t="n">
        <v>0</v>
      </c>
      <c r="R260" t="n">
        <v>0</v>
      </c>
      <c r="S260" t="n">
        <v>1</v>
      </c>
      <c r="T260" t="n">
        <v>1</v>
      </c>
      <c r="U260" t="n">
        <v>0</v>
      </c>
      <c r="V260" s="2" t="inlineStr">
        <is>
          <t>Blåsippa</t>
        </is>
      </c>
      <c r="W260">
        <f>HYPERLINK("https://klasma.github.io/Logging_0883/artfynd/A 46560-2022 artfynd.xlsx", "A 46560-2022")</f>
        <v/>
      </c>
      <c r="X260">
        <f>HYPERLINK("https://klasma.github.io/Logging_0883/kartor/A 46560-2022 karta.png", "A 46560-2022")</f>
        <v/>
      </c>
      <c r="Y260">
        <f>HYPERLINK("https://klasma.github.io/Logging_0883/kartor_geotiff/A 46560-2022 georefererad karta.tif", "A 46560-2022")</f>
        <v/>
      </c>
      <c r="AA260">
        <f>HYPERLINK("https://klasma.github.io/Logging_0883/klagomål/A 46560-2022 FSC-klagomål.docx", "A 46560-2022")</f>
        <v/>
      </c>
      <c r="AB260">
        <f>HYPERLINK("https://klasma.github.io/Logging_0883/klagomålsmail/A 46560-2022 FSC-klagomål mail.docx", "A 46560-2022")</f>
        <v/>
      </c>
      <c r="AC260">
        <f>HYPERLINK("https://klasma.github.io/Logging_0883/tillsyn/A 46560-2022 tillsynsbegäran.docx", "A 46560-2022")</f>
        <v/>
      </c>
      <c r="AD260">
        <f>HYPERLINK("https://klasma.github.io/Logging_0883/tillsynsmail/A 46560-2022 tillsynsbegäran mail.docx", "A 46560-2022")</f>
        <v/>
      </c>
    </row>
    <row r="261" ht="15" customHeight="1">
      <c r="A261" t="inlineStr">
        <is>
          <t>A 14103-2025</t>
        </is>
      </c>
      <c r="B261" t="inlineStr">
        <is>
          <t>avverkningsanmälan</t>
        </is>
      </c>
      <c r="C261" t="inlineStr">
        <is>
          <t>Föryngringsavverkning</t>
        </is>
      </c>
      <c r="D261" s="1" t="n">
        <v>45740</v>
      </c>
      <c r="E261" s="1" t="n">
        <v>46323</v>
      </c>
      <c r="F261" t="inlineStr">
        <is>
          <t>KALMAR LÄN</t>
        </is>
      </c>
      <c r="G261" t="inlineStr">
        <is>
          <t>VÄSTERVIK</t>
        </is>
      </c>
      <c r="H261" t="inlineStr">
        <is>
          <t>Sveaskog</t>
        </is>
      </c>
      <c r="I261" t="n">
        <v>0.8</v>
      </c>
      <c r="J261" t="n">
        <v>1</v>
      </c>
      <c r="K261" t="n">
        <v>0</v>
      </c>
      <c r="L261" t="n">
        <v>0</v>
      </c>
      <c r="M261" t="n">
        <v>0</v>
      </c>
      <c r="N261" t="n">
        <v>0</v>
      </c>
      <c r="O261" t="n">
        <v>0</v>
      </c>
      <c r="P261" t="n">
        <v>0</v>
      </c>
      <c r="Q261" t="n">
        <v>0</v>
      </c>
      <c r="R261" t="n">
        <v>0</v>
      </c>
      <c r="S261" t="n">
        <v>1</v>
      </c>
      <c r="T261" t="n">
        <v>1</v>
      </c>
      <c r="U261" t="n">
        <v>1</v>
      </c>
      <c r="V261" s="2" t="inlineStr">
        <is>
          <t>Grönvit nattviol</t>
        </is>
      </c>
      <c r="W261">
        <f>HYPERLINK("https://klasma.github.io/Logging_0883/artfynd/A 14103-2025 artfynd.xlsx", "A 14103-2025")</f>
        <v/>
      </c>
      <c r="X261">
        <f>HYPERLINK("https://klasma.github.io/Logging_0883/kartor/A 14103-2025 karta.png", "A 14103-2025")</f>
        <v/>
      </c>
      <c r="Y261">
        <f>HYPERLINK("https://klasma.github.io/Logging_0883/kartor_geotiff/A 14103-2025 georefererad karta.tif", "A 14103-2025")</f>
        <v/>
      </c>
      <c r="AA261">
        <f>HYPERLINK("https://klasma.github.io/Logging_0883/klagomål/A 14103-2025 FSC-klagomål.docx", "A 14103-2025")</f>
        <v/>
      </c>
      <c r="AB261">
        <f>HYPERLINK("https://klasma.github.io/Logging_0883/klagomålsmail/A 14103-2025 FSC-klagomål mail.docx", "A 14103-2025")</f>
        <v/>
      </c>
      <c r="AC261">
        <f>HYPERLINK("https://klasma.github.io/Logging_0883/tillsyn/A 14103-2025 tillsynsbegäran.docx", "A 14103-2025")</f>
        <v/>
      </c>
      <c r="AD261">
        <f>HYPERLINK("https://klasma.github.io/Logging_0883/tillsynsmail/A 14103-2025 tillsynsbegäran mail.docx", "A 14103-2025")</f>
        <v/>
      </c>
    </row>
    <row r="262" ht="15" customHeight="1">
      <c r="A262" t="inlineStr">
        <is>
          <t>A 59368-2023</t>
        </is>
      </c>
      <c r="B262" t="inlineStr">
        <is>
          <t>avverkningsanmälan</t>
        </is>
      </c>
      <c r="C262" t="inlineStr">
        <is>
          <t>Föryngringsavverkning</t>
        </is>
      </c>
      <c r="D262" s="1" t="n">
        <v>45253</v>
      </c>
      <c r="E262" s="1" t="n">
        <v>46323</v>
      </c>
      <c r="F262" t="inlineStr">
        <is>
          <t>KALMAR LÄN</t>
        </is>
      </c>
      <c r="G262" t="inlineStr">
        <is>
          <t>VÄSTERVIK</t>
        </is>
      </c>
      <c r="I262" t="n">
        <v>2.4</v>
      </c>
      <c r="J262" t="n">
        <v>1</v>
      </c>
      <c r="K262" t="n">
        <v>0</v>
      </c>
      <c r="L262" t="n">
        <v>0</v>
      </c>
      <c r="M262" t="n">
        <v>1</v>
      </c>
      <c r="N262" t="n">
        <v>0</v>
      </c>
      <c r="O262" t="n">
        <v>0</v>
      </c>
      <c r="P262" t="n">
        <v>0</v>
      </c>
      <c r="Q262" t="n">
        <v>1</v>
      </c>
      <c r="R262" t="n">
        <v>1</v>
      </c>
      <c r="S262" t="n">
        <v>1</v>
      </c>
      <c r="T262" t="n">
        <v>22</v>
      </c>
      <c r="U262" t="n">
        <v>22</v>
      </c>
      <c r="V262" s="2" t="inlineStr">
        <is>
          <t>Knärot</t>
        </is>
      </c>
      <c r="W262">
        <f>HYPERLINK("https://klasma.github.io/Logging_0883/artfynd/A 59368-2023 artfynd.xlsx", "A 59368-2023")</f>
        <v/>
      </c>
      <c r="X262">
        <f>HYPERLINK("https://klasma.github.io/Logging_0883/kartor/A 59368-2023 karta.png", "A 59368-2023")</f>
        <v/>
      </c>
      <c r="Y262">
        <f>HYPERLINK("https://klasma.github.io/Logging_0883/kartor_geotiff/A 59368-2023 georefererad karta.tif", "A 59368-2023")</f>
        <v/>
      </c>
      <c r="Z262">
        <f>HYPERLINK("https://klasma.github.io/Logging_0883/knärot/A 59368-2023 karta knärot.png", "A 59368-2023")</f>
        <v/>
      </c>
      <c r="AA262">
        <f>HYPERLINK("https://klasma.github.io/Logging_0883/klagomål/A 59368-2023 FSC-klagomål.docx", "A 59368-2023")</f>
        <v/>
      </c>
      <c r="AB262">
        <f>HYPERLINK("https://klasma.github.io/Logging_0883/klagomålsmail/A 59368-2023 FSC-klagomål mail.docx", "A 59368-2023")</f>
        <v/>
      </c>
      <c r="AC262">
        <f>HYPERLINK("https://klasma.github.io/Logging_0883/tillsyn/A 59368-2023 tillsynsbegäran.docx", "A 59368-2023")</f>
        <v/>
      </c>
      <c r="AD262">
        <f>HYPERLINK("https://klasma.github.io/Logging_0883/tillsynsmail/A 59368-2023 tillsynsbegäran mail.docx", "A 59368-2023")</f>
        <v/>
      </c>
    </row>
    <row r="263" ht="15" customHeight="1">
      <c r="A263" t="inlineStr">
        <is>
          <t>A 42130-2022</t>
        </is>
      </c>
      <c r="B263" t="inlineStr">
        <is>
          <t>avverkningsanmälan</t>
        </is>
      </c>
      <c r="C263" t="inlineStr">
        <is>
          <t>Föryngringsavverkning</t>
        </is>
      </c>
      <c r="D263" s="1" t="n">
        <v>44830</v>
      </c>
      <c r="E263" s="1" t="n">
        <v>46323</v>
      </c>
      <c r="F263" t="inlineStr">
        <is>
          <t>KALMAR LÄN</t>
        </is>
      </c>
      <c r="G263" t="inlineStr">
        <is>
          <t>VÄSTERVIK</t>
        </is>
      </c>
      <c r="I263" t="n">
        <v>1.8</v>
      </c>
      <c r="J263" t="n">
        <v>0</v>
      </c>
      <c r="K263" t="n">
        <v>1</v>
      </c>
      <c r="L263" t="n">
        <v>0</v>
      </c>
      <c r="M263" t="n">
        <v>0</v>
      </c>
      <c r="N263" t="n">
        <v>0</v>
      </c>
      <c r="O263" t="n">
        <v>0</v>
      </c>
      <c r="P263" t="n">
        <v>0</v>
      </c>
      <c r="Q263" t="n">
        <v>0</v>
      </c>
      <c r="R263" t="n">
        <v>0</v>
      </c>
      <c r="S263" t="n">
        <v>1</v>
      </c>
      <c r="T263" t="n">
        <v>1</v>
      </c>
      <c r="U263" t="n">
        <v>1</v>
      </c>
      <c r="V263" s="2" t="inlineStr">
        <is>
          <t>Blomkålssvamp</t>
        </is>
      </c>
      <c r="W263">
        <f>HYPERLINK("https://klasma.github.io/Logging_0883/artfynd/A 42130-2022 artfynd.xlsx", "A 42130-2022")</f>
        <v/>
      </c>
      <c r="X263">
        <f>HYPERLINK("https://klasma.github.io/Logging_0883/kartor/A 42130-2022 karta.png", "A 42130-2022")</f>
        <v/>
      </c>
      <c r="Y263">
        <f>HYPERLINK("https://klasma.github.io/Logging_0883/kartor_geotiff/A 42130-2022 georefererad karta.tif", "A 42130-2022")</f>
        <v/>
      </c>
      <c r="AA263">
        <f>HYPERLINK("https://klasma.github.io/Logging_0883/klagomål/A 42130-2022 FSC-klagomål.docx", "A 42130-2022")</f>
        <v/>
      </c>
      <c r="AB263">
        <f>HYPERLINK("https://klasma.github.io/Logging_0883/klagomålsmail/A 42130-2022 FSC-klagomål mail.docx", "A 42130-2022")</f>
        <v/>
      </c>
      <c r="AC263">
        <f>HYPERLINK("https://klasma.github.io/Logging_0883/tillsyn/A 42130-2022 tillsynsbegäran.docx", "A 42130-2022")</f>
        <v/>
      </c>
      <c r="AD263">
        <f>HYPERLINK("https://klasma.github.io/Logging_0883/tillsynsmail/A 42130-2022 tillsynsbegäran mail.docx", "A 42130-2022")</f>
        <v/>
      </c>
    </row>
    <row r="264" ht="15" customHeight="1">
      <c r="A264" t="inlineStr">
        <is>
          <t>A 26140-2024</t>
        </is>
      </c>
      <c r="B264" t="inlineStr">
        <is>
          <t>avverkningsanmälan</t>
        </is>
      </c>
      <c r="C264" t="inlineStr">
        <is>
          <t>Föryngringsavverkning</t>
        </is>
      </c>
      <c r="D264" s="1" t="n">
        <v>45468</v>
      </c>
      <c r="E264" s="1" t="n">
        <v>46323</v>
      </c>
      <c r="F264" t="inlineStr">
        <is>
          <t>KALMAR LÄN</t>
        </is>
      </c>
      <c r="G264" t="inlineStr">
        <is>
          <t>VÄSTERVIK</t>
        </is>
      </c>
      <c r="I264" t="n">
        <v>1</v>
      </c>
      <c r="J264" t="n">
        <v>1</v>
      </c>
      <c r="K264" t="n">
        <v>1</v>
      </c>
      <c r="L264" t="n">
        <v>0</v>
      </c>
      <c r="M264" t="n">
        <v>0</v>
      </c>
      <c r="N264" t="n">
        <v>0</v>
      </c>
      <c r="O264" t="n">
        <v>0</v>
      </c>
      <c r="P264" t="n">
        <v>0</v>
      </c>
      <c r="Q264" t="n">
        <v>0</v>
      </c>
      <c r="R264" t="n">
        <v>0</v>
      </c>
      <c r="S264" t="n">
        <v>1</v>
      </c>
      <c r="T264" t="n">
        <v>1</v>
      </c>
      <c r="U264" t="n">
        <v>1</v>
      </c>
      <c r="V264" s="2" t="inlineStr">
        <is>
          <t>Ekoxe</t>
        </is>
      </c>
      <c r="W264">
        <f>HYPERLINK("https://klasma.github.io/Logging_0883/artfynd/A 26140-2024 artfynd.xlsx", "A 26140-2024")</f>
        <v/>
      </c>
      <c r="X264">
        <f>HYPERLINK("https://klasma.github.io/Logging_0883/kartor/A 26140-2024 karta.png", "A 26140-2024")</f>
        <v/>
      </c>
      <c r="Y264">
        <f>HYPERLINK("https://klasma.github.io/Logging_0883/kartor_geotiff/A 26140-2024 georefererad karta.tif", "A 26140-2024")</f>
        <v/>
      </c>
      <c r="AA264">
        <f>HYPERLINK("https://klasma.github.io/Logging_0883/klagomål/A 26140-2024 FSC-klagomål.docx", "A 26140-2024")</f>
        <v/>
      </c>
      <c r="AB264">
        <f>HYPERLINK("https://klasma.github.io/Logging_0883/klagomålsmail/A 26140-2024 FSC-klagomål mail.docx", "A 26140-2024")</f>
        <v/>
      </c>
      <c r="AC264">
        <f>HYPERLINK("https://klasma.github.io/Logging_0883/tillsyn/A 26140-2024 tillsynsbegäran.docx", "A 26140-2024")</f>
        <v/>
      </c>
      <c r="AD264">
        <f>HYPERLINK("https://klasma.github.io/Logging_0883/tillsynsmail/A 26140-2024 tillsynsbegäran mail.docx", "A 26140-2024")</f>
        <v/>
      </c>
    </row>
    <row r="265" ht="15" customHeight="1">
      <c r="A265" t="inlineStr">
        <is>
          <t>A 14131-2025</t>
        </is>
      </c>
      <c r="B265" t="inlineStr">
        <is>
          <t>avverkningsanmälan</t>
        </is>
      </c>
      <c r="C265" t="inlineStr">
        <is>
          <t>Avverkning för att bevara och utveckla /försöksver</t>
        </is>
      </c>
      <c r="D265" s="1" t="n">
        <v>45740</v>
      </c>
      <c r="E265" s="1" t="n">
        <v>46323</v>
      </c>
      <c r="F265" t="inlineStr">
        <is>
          <t>KALMAR LÄN</t>
        </is>
      </c>
      <c r="G265" t="inlineStr">
        <is>
          <t>VÄSTERVIK</t>
        </is>
      </c>
      <c r="H265" t="inlineStr">
        <is>
          <t>Sveaskog</t>
        </is>
      </c>
      <c r="I265" t="n">
        <v>0.7</v>
      </c>
      <c r="J265" t="n">
        <v>1</v>
      </c>
      <c r="K265" t="n">
        <v>0</v>
      </c>
      <c r="L265" t="n">
        <v>0</v>
      </c>
      <c r="M265" t="n">
        <v>0</v>
      </c>
      <c r="N265" t="n">
        <v>0</v>
      </c>
      <c r="O265" t="n">
        <v>0</v>
      </c>
      <c r="P265" t="n">
        <v>0</v>
      </c>
      <c r="Q265" t="n">
        <v>0</v>
      </c>
      <c r="R265" t="n">
        <v>0</v>
      </c>
      <c r="S265" t="n">
        <v>1</v>
      </c>
      <c r="T265" t="n">
        <v>1</v>
      </c>
      <c r="U265" t="n">
        <v>0</v>
      </c>
      <c r="V265" s="2" t="inlineStr">
        <is>
          <t>Blåsippa</t>
        </is>
      </c>
      <c r="W265">
        <f>HYPERLINK("https://klasma.github.io/Logging_0883/artfynd/A 14131-2025 artfynd.xlsx", "A 14131-2025")</f>
        <v/>
      </c>
      <c r="X265">
        <f>HYPERLINK("https://klasma.github.io/Logging_0883/kartor/A 14131-2025 karta.png", "A 14131-2025")</f>
        <v/>
      </c>
      <c r="Y265">
        <f>HYPERLINK("https://klasma.github.io/Logging_0883/kartor_geotiff/A 14131-2025 georefererad karta.tif", "A 14131-2025")</f>
        <v/>
      </c>
      <c r="AA265">
        <f>HYPERLINK("https://klasma.github.io/Logging_0883/klagomål/A 14131-2025 FSC-klagomål.docx", "A 14131-2025")</f>
        <v/>
      </c>
      <c r="AB265">
        <f>HYPERLINK("https://klasma.github.io/Logging_0883/klagomålsmail/A 14131-2025 FSC-klagomål mail.docx", "A 14131-2025")</f>
        <v/>
      </c>
      <c r="AC265">
        <f>HYPERLINK("https://klasma.github.io/Logging_0883/tillsyn/A 14131-2025 tillsynsbegäran.docx", "A 14131-2025")</f>
        <v/>
      </c>
      <c r="AD265">
        <f>HYPERLINK("https://klasma.github.io/Logging_0883/tillsynsmail/A 14131-2025 tillsynsbegäran mail.docx", "A 14131-2025")</f>
        <v/>
      </c>
    </row>
    <row r="266" ht="15" customHeight="1">
      <c r="A266" t="inlineStr">
        <is>
          <t>A 44618-2025</t>
        </is>
      </c>
      <c r="B266" t="inlineStr">
        <is>
          <t>avverkningsanmälan</t>
        </is>
      </c>
      <c r="C266" t="inlineStr">
        <is>
          <t>Föryngringsavverkning</t>
        </is>
      </c>
      <c r="D266" s="1" t="n">
        <v>45917</v>
      </c>
      <c r="E266" s="1" t="n">
        <v>46323</v>
      </c>
      <c r="F266" t="inlineStr">
        <is>
          <t>KALMAR LÄN</t>
        </is>
      </c>
      <c r="G266" t="inlineStr">
        <is>
          <t>VÄSTERVIK</t>
        </is>
      </c>
      <c r="H266" t="inlineStr">
        <is>
          <t>Övriga Aktiebolag</t>
        </is>
      </c>
      <c r="I266" t="n">
        <v>6.9</v>
      </c>
      <c r="J266" t="n">
        <v>1</v>
      </c>
      <c r="K266" t="n">
        <v>0</v>
      </c>
      <c r="L266" t="n">
        <v>0</v>
      </c>
      <c r="M266" t="n">
        <v>0</v>
      </c>
      <c r="N266" t="n">
        <v>0</v>
      </c>
      <c r="O266" t="n">
        <v>0</v>
      </c>
      <c r="P266" t="n">
        <v>0</v>
      </c>
      <c r="Q266" t="n">
        <v>0</v>
      </c>
      <c r="R266" t="n">
        <v>0</v>
      </c>
      <c r="S266" t="n">
        <v>1</v>
      </c>
      <c r="T266" t="n">
        <v>1</v>
      </c>
      <c r="U266" t="n">
        <v>0</v>
      </c>
      <c r="V266" s="2" t="inlineStr">
        <is>
          <t>Havsörn</t>
        </is>
      </c>
      <c r="W266">
        <f>HYPERLINK("https://klasma.github.io/Logging_0883/artfynd/A 44618-2025 artfynd.xlsx", "A 44618-2025")</f>
        <v/>
      </c>
      <c r="X266">
        <f>HYPERLINK("https://klasma.github.io/Logging_0883/kartor/A 44618-2025 karta.png", "A 44618-2025")</f>
        <v/>
      </c>
      <c r="Y266">
        <f>HYPERLINK("https://klasma.github.io/Logging_0883/kartor_geotiff/A 44618-2025 georefererad karta.tif", "A 44618-2025")</f>
        <v/>
      </c>
      <c r="AA266">
        <f>HYPERLINK("https://klasma.github.io/Logging_0883/klagomål/A 44618-2025 FSC-klagomål.docx", "A 44618-2025")</f>
        <v/>
      </c>
      <c r="AB266">
        <f>HYPERLINK("https://klasma.github.io/Logging_0883/klagomålsmail/A 44618-2025 FSC-klagomål mail.docx", "A 44618-2025")</f>
        <v/>
      </c>
      <c r="AC266">
        <f>HYPERLINK("https://klasma.github.io/Logging_0883/tillsyn/A 44618-2025 tillsynsbegäran.docx", "A 44618-2025")</f>
        <v/>
      </c>
      <c r="AD266">
        <f>HYPERLINK("https://klasma.github.io/Logging_0883/tillsynsmail/A 44618-2025 tillsynsbegäran mail.docx", "A 44618-2025")</f>
        <v/>
      </c>
      <c r="AE266">
        <f>HYPERLINK("https://klasma.github.io/Logging_0883/fåglar/A 44618-2025 prioriterade fågelarter.docx", "A 44618-2025")</f>
        <v/>
      </c>
    </row>
    <row r="267" ht="15" customHeight="1">
      <c r="A267" t="inlineStr">
        <is>
          <t>A 44981-2025</t>
        </is>
      </c>
      <c r="B267" t="inlineStr">
        <is>
          <t>avverkningsanmälan</t>
        </is>
      </c>
      <c r="C267" t="inlineStr">
        <is>
          <t>Föryngringsavverkning</t>
        </is>
      </c>
      <c r="D267" s="1" t="n">
        <v>45918</v>
      </c>
      <c r="E267" s="1" t="n">
        <v>46323</v>
      </c>
      <c r="F267" t="inlineStr">
        <is>
          <t>KALMAR LÄN</t>
        </is>
      </c>
      <c r="G267" t="inlineStr">
        <is>
          <t>VÄSTERVIK</t>
        </is>
      </c>
      <c r="I267" t="n">
        <v>0.4</v>
      </c>
      <c r="J267" t="n">
        <v>1</v>
      </c>
      <c r="K267" t="n">
        <v>0</v>
      </c>
      <c r="L267" t="n">
        <v>0</v>
      </c>
      <c r="M267" t="n">
        <v>0</v>
      </c>
      <c r="N267" t="n">
        <v>0</v>
      </c>
      <c r="O267" t="n">
        <v>0</v>
      </c>
      <c r="P267" t="n">
        <v>0</v>
      </c>
      <c r="Q267" t="n">
        <v>0</v>
      </c>
      <c r="R267" t="n">
        <v>0</v>
      </c>
      <c r="S267" t="n">
        <v>1</v>
      </c>
      <c r="T267" t="n">
        <v>1</v>
      </c>
      <c r="U267" t="n">
        <v>0</v>
      </c>
      <c r="V267" s="2" t="inlineStr">
        <is>
          <t>Tjäder</t>
        </is>
      </c>
      <c r="W267">
        <f>HYPERLINK("https://klasma.github.io/Logging_0883/artfynd/A 44981-2025 artfynd.xlsx", "A 44981-2025")</f>
        <v/>
      </c>
      <c r="X267">
        <f>HYPERLINK("https://klasma.github.io/Logging_0883/kartor/A 44981-2025 karta.png", "A 44981-2025")</f>
        <v/>
      </c>
      <c r="Y267">
        <f>HYPERLINK("https://klasma.github.io/Logging_0883/kartor_geotiff/A 44981-2025 georefererad karta.tif", "A 44981-2025")</f>
        <v/>
      </c>
      <c r="AA267">
        <f>HYPERLINK("https://klasma.github.io/Logging_0883/klagomål/A 44981-2025 FSC-klagomål.docx", "A 44981-2025")</f>
        <v/>
      </c>
      <c r="AB267">
        <f>HYPERLINK("https://klasma.github.io/Logging_0883/klagomålsmail/A 44981-2025 FSC-klagomål mail.docx", "A 44981-2025")</f>
        <v/>
      </c>
      <c r="AC267">
        <f>HYPERLINK("https://klasma.github.io/Logging_0883/tillsyn/A 44981-2025 tillsynsbegäran.docx", "A 44981-2025")</f>
        <v/>
      </c>
      <c r="AD267">
        <f>HYPERLINK("https://klasma.github.io/Logging_0883/tillsynsmail/A 44981-2025 tillsynsbegäran mail.docx", "A 44981-2025")</f>
        <v/>
      </c>
      <c r="AE267">
        <f>HYPERLINK("https://klasma.github.io/Logging_0883/fåglar/A 44981-2025 prioriterade fågelarter.docx", "A 44981-2025")</f>
        <v/>
      </c>
    </row>
    <row r="268" ht="15" customHeight="1">
      <c r="A268" t="inlineStr">
        <is>
          <t>A 36418-2023</t>
        </is>
      </c>
      <c r="B268" t="inlineStr">
        <is>
          <t>avverkningsanmälan</t>
        </is>
      </c>
      <c r="C268" t="inlineStr">
        <is>
          <t>Föryngringsavverkning</t>
        </is>
      </c>
      <c r="D268" s="1" t="n">
        <v>45152</v>
      </c>
      <c r="E268" s="1" t="n">
        <v>46323</v>
      </c>
      <c r="F268" t="inlineStr">
        <is>
          <t>KALMAR LÄN</t>
        </is>
      </c>
      <c r="G268" t="inlineStr">
        <is>
          <t>VÄSTERVIK</t>
        </is>
      </c>
      <c r="I268" t="n">
        <v>1.1</v>
      </c>
      <c r="J268" t="n">
        <v>1</v>
      </c>
      <c r="K268" t="n">
        <v>0</v>
      </c>
      <c r="L268" t="n">
        <v>0</v>
      </c>
      <c r="M268" t="n">
        <v>1</v>
      </c>
      <c r="N268" t="n">
        <v>0</v>
      </c>
      <c r="O268" t="n">
        <v>0</v>
      </c>
      <c r="P268" t="n">
        <v>0</v>
      </c>
      <c r="Q268" t="n">
        <v>1</v>
      </c>
      <c r="R268" t="n">
        <v>1</v>
      </c>
      <c r="S268" t="n">
        <v>1</v>
      </c>
      <c r="T268" t="n">
        <v>1</v>
      </c>
      <c r="U268" t="n">
        <v>0</v>
      </c>
      <c r="V268" s="2" t="inlineStr">
        <is>
          <t>Knärot</t>
        </is>
      </c>
      <c r="W268">
        <f>HYPERLINK("https://klasma.github.io/Logging_0883/artfynd/A 36418-2023 artfynd.xlsx", "A 36418-2023")</f>
        <v/>
      </c>
      <c r="X268">
        <f>HYPERLINK("https://klasma.github.io/Logging_0883/kartor/A 36418-2023 karta.png", "A 36418-2023")</f>
        <v/>
      </c>
      <c r="Y268">
        <f>HYPERLINK("https://klasma.github.io/Logging_0883/kartor_geotiff/A 36418-2023 georefererad karta.tif", "A 36418-2023")</f>
        <v/>
      </c>
      <c r="Z268">
        <f>HYPERLINK("https://klasma.github.io/Logging_0883/knärot/A 36418-2023 karta knärot.png", "A 36418-2023")</f>
        <v/>
      </c>
      <c r="AA268">
        <f>HYPERLINK("https://klasma.github.io/Logging_0883/klagomål/A 36418-2023 FSC-klagomål.docx", "A 36418-2023")</f>
        <v/>
      </c>
      <c r="AB268">
        <f>HYPERLINK("https://klasma.github.io/Logging_0883/klagomålsmail/A 36418-2023 FSC-klagomål mail.docx", "A 36418-2023")</f>
        <v/>
      </c>
      <c r="AC268">
        <f>HYPERLINK("https://klasma.github.io/Logging_0883/tillsyn/A 36418-2023 tillsynsbegäran.docx", "A 36418-2023")</f>
        <v/>
      </c>
      <c r="AD268">
        <f>HYPERLINK("https://klasma.github.io/Logging_0883/tillsynsmail/A 36418-2023 tillsynsbegäran mail.docx", "A 36418-2023")</f>
        <v/>
      </c>
    </row>
    <row r="269" ht="15" customHeight="1">
      <c r="A269" t="inlineStr">
        <is>
          <t>A 46559-2022</t>
        </is>
      </c>
      <c r="B269" t="inlineStr">
        <is>
          <t>avverkningsanmälan</t>
        </is>
      </c>
      <c r="C269" t="inlineStr">
        <is>
          <t>Föryngringsavverkning</t>
        </is>
      </c>
      <c r="D269" s="1" t="n">
        <v>44848</v>
      </c>
      <c r="E269" s="1" t="n">
        <v>46323</v>
      </c>
      <c r="F269" t="inlineStr">
        <is>
          <t>KALMAR LÄN</t>
        </is>
      </c>
      <c r="G269" t="inlineStr">
        <is>
          <t>VÄSTERVIK</t>
        </is>
      </c>
      <c r="H269" t="inlineStr">
        <is>
          <t>Sveaskog</t>
        </is>
      </c>
      <c r="I269" t="n">
        <v>2.2</v>
      </c>
      <c r="J269" t="n">
        <v>1</v>
      </c>
      <c r="K269" t="n">
        <v>0</v>
      </c>
      <c r="L269" t="n">
        <v>0</v>
      </c>
      <c r="M269" t="n">
        <v>0</v>
      </c>
      <c r="N269" t="n">
        <v>0</v>
      </c>
      <c r="O269" t="n">
        <v>0</v>
      </c>
      <c r="P269" t="n">
        <v>0</v>
      </c>
      <c r="Q269" t="n">
        <v>0</v>
      </c>
      <c r="R269" t="n">
        <v>0</v>
      </c>
      <c r="S269" t="n">
        <v>1</v>
      </c>
      <c r="T269" t="n">
        <v>1</v>
      </c>
      <c r="U269" t="n">
        <v>0</v>
      </c>
      <c r="V269" s="2" t="inlineStr">
        <is>
          <t>Blåsippa</t>
        </is>
      </c>
      <c r="W269">
        <f>HYPERLINK("https://klasma.github.io/Logging_0883/artfynd/A 46559-2022 artfynd.xlsx", "A 46559-2022")</f>
        <v/>
      </c>
      <c r="X269">
        <f>HYPERLINK("https://klasma.github.io/Logging_0883/kartor/A 46559-2022 karta.png", "A 46559-2022")</f>
        <v/>
      </c>
      <c r="Y269">
        <f>HYPERLINK("https://klasma.github.io/Logging_0883/kartor_geotiff/A 46559-2022 georefererad karta.tif", "A 46559-2022")</f>
        <v/>
      </c>
      <c r="AA269">
        <f>HYPERLINK("https://klasma.github.io/Logging_0883/klagomål/A 46559-2022 FSC-klagomål.docx", "A 46559-2022")</f>
        <v/>
      </c>
      <c r="AB269">
        <f>HYPERLINK("https://klasma.github.io/Logging_0883/klagomålsmail/A 46559-2022 FSC-klagomål mail.docx", "A 46559-2022")</f>
        <v/>
      </c>
      <c r="AC269">
        <f>HYPERLINK("https://klasma.github.io/Logging_0883/tillsyn/A 46559-2022 tillsynsbegäran.docx", "A 46559-2022")</f>
        <v/>
      </c>
      <c r="AD269">
        <f>HYPERLINK("https://klasma.github.io/Logging_0883/tillsynsmail/A 46559-2022 tillsynsbegäran mail.docx", "A 46559-2022")</f>
        <v/>
      </c>
    </row>
    <row r="270" ht="15" customHeight="1">
      <c r="A270" t="inlineStr">
        <is>
          <t>A 2738-2023</t>
        </is>
      </c>
      <c r="B270" t="inlineStr">
        <is>
          <t>avverkningsanmälan</t>
        </is>
      </c>
      <c r="C270" t="inlineStr">
        <is>
          <t>Föryngringsavverkning</t>
        </is>
      </c>
      <c r="D270" s="1" t="n">
        <v>44944</v>
      </c>
      <c r="E270" s="1" t="n">
        <v>46323</v>
      </c>
      <c r="F270" t="inlineStr">
        <is>
          <t>KALMAR LÄN</t>
        </is>
      </c>
      <c r="G270" t="inlineStr">
        <is>
          <t>VÄSTERVIK</t>
        </is>
      </c>
      <c r="I270" t="n">
        <v>3</v>
      </c>
      <c r="J270" t="n">
        <v>0</v>
      </c>
      <c r="K270" t="n">
        <v>0</v>
      </c>
      <c r="L270" t="n">
        <v>1</v>
      </c>
      <c r="M270" t="n">
        <v>0</v>
      </c>
      <c r="N270" t="n">
        <v>0</v>
      </c>
      <c r="O270" t="n">
        <v>0</v>
      </c>
      <c r="P270" t="n">
        <v>0</v>
      </c>
      <c r="Q270" t="n">
        <v>1</v>
      </c>
      <c r="R270" t="n">
        <v>0</v>
      </c>
      <c r="S270" t="n">
        <v>1</v>
      </c>
      <c r="T270" t="n">
        <v>1</v>
      </c>
      <c r="U270" t="n">
        <v>1</v>
      </c>
      <c r="V270" s="2" t="inlineStr">
        <is>
          <t>Tallticka</t>
        </is>
      </c>
      <c r="W270">
        <f>HYPERLINK("https://klasma.github.io/Logging_0883/artfynd/A 2738-2023 artfynd.xlsx", "A 2738-2023")</f>
        <v/>
      </c>
      <c r="X270">
        <f>HYPERLINK("https://klasma.github.io/Logging_0883/kartor/A 2738-2023 karta.png", "A 2738-2023")</f>
        <v/>
      </c>
      <c r="Y270">
        <f>HYPERLINK("https://klasma.github.io/Logging_0883/kartor_geotiff/A 2738-2023 georefererad karta.tif", "A 2738-2023")</f>
        <v/>
      </c>
      <c r="AA270">
        <f>HYPERLINK("https://klasma.github.io/Logging_0883/klagomål/A 2738-2023 FSC-klagomål.docx", "A 2738-2023")</f>
        <v/>
      </c>
      <c r="AB270">
        <f>HYPERLINK("https://klasma.github.io/Logging_0883/klagomålsmail/A 2738-2023 FSC-klagomål mail.docx", "A 2738-2023")</f>
        <v/>
      </c>
      <c r="AC270">
        <f>HYPERLINK("https://klasma.github.io/Logging_0883/tillsyn/A 2738-2023 tillsynsbegäran.docx", "A 2738-2023")</f>
        <v/>
      </c>
      <c r="AD270">
        <f>HYPERLINK("https://klasma.github.io/Logging_0883/tillsynsmail/A 2738-2023 tillsynsbegäran mail.docx", "A 2738-2023")</f>
        <v/>
      </c>
    </row>
    <row r="271" ht="15" customHeight="1">
      <c r="A271" t="inlineStr">
        <is>
          <t>A 14126-2025</t>
        </is>
      </c>
      <c r="B271" t="inlineStr">
        <is>
          <t>avverkningsanmälan</t>
        </is>
      </c>
      <c r="C271" t="inlineStr">
        <is>
          <t>Avverkning för att bevara och utveckla /försöksver</t>
        </is>
      </c>
      <c r="D271" s="1" t="n">
        <v>45740</v>
      </c>
      <c r="E271" s="1" t="n">
        <v>46323</v>
      </c>
      <c r="F271" t="inlineStr">
        <is>
          <t>KALMAR LÄN</t>
        </is>
      </c>
      <c r="G271" t="inlineStr">
        <is>
          <t>VÄSTERVIK</t>
        </is>
      </c>
      <c r="H271" t="inlineStr">
        <is>
          <t>Sveaskog</t>
        </is>
      </c>
      <c r="I271" t="n">
        <v>1.3</v>
      </c>
      <c r="J271" t="n">
        <v>1</v>
      </c>
      <c r="K271" t="n">
        <v>0</v>
      </c>
      <c r="L271" t="n">
        <v>0</v>
      </c>
      <c r="M271" t="n">
        <v>0</v>
      </c>
      <c r="N271" t="n">
        <v>0</v>
      </c>
      <c r="O271" t="n">
        <v>0</v>
      </c>
      <c r="P271" t="n">
        <v>0</v>
      </c>
      <c r="Q271" t="n">
        <v>0</v>
      </c>
      <c r="R271" t="n">
        <v>0</v>
      </c>
      <c r="S271" t="n">
        <v>1</v>
      </c>
      <c r="T271" t="n">
        <v>1</v>
      </c>
      <c r="U271" t="n">
        <v>0</v>
      </c>
      <c r="V271" s="2" t="inlineStr">
        <is>
          <t>Blåsippa</t>
        </is>
      </c>
      <c r="W271">
        <f>HYPERLINK("https://klasma.github.io/Logging_0883/artfynd/A 14126-2025 artfynd.xlsx", "A 14126-2025")</f>
        <v/>
      </c>
      <c r="X271">
        <f>HYPERLINK("https://klasma.github.io/Logging_0883/kartor/A 14126-2025 karta.png", "A 14126-2025")</f>
        <v/>
      </c>
      <c r="Y271">
        <f>HYPERLINK("https://klasma.github.io/Logging_0883/kartor_geotiff/A 14126-2025 georefererad karta.tif", "A 14126-2025")</f>
        <v/>
      </c>
      <c r="AA271">
        <f>HYPERLINK("https://klasma.github.io/Logging_0883/klagomål/A 14126-2025 FSC-klagomål.docx", "A 14126-2025")</f>
        <v/>
      </c>
      <c r="AB271">
        <f>HYPERLINK("https://klasma.github.io/Logging_0883/klagomålsmail/A 14126-2025 FSC-klagomål mail.docx", "A 14126-2025")</f>
        <v/>
      </c>
      <c r="AC271">
        <f>HYPERLINK("https://klasma.github.io/Logging_0883/tillsyn/A 14126-2025 tillsynsbegäran.docx", "A 14126-2025")</f>
        <v/>
      </c>
      <c r="AD271">
        <f>HYPERLINK("https://klasma.github.io/Logging_0883/tillsynsmail/A 14126-2025 tillsynsbegäran mail.docx", "A 14126-2025")</f>
        <v/>
      </c>
    </row>
    <row r="272" ht="15" customHeight="1">
      <c r="A272" t="inlineStr">
        <is>
          <t>A 6025-2024</t>
        </is>
      </c>
      <c r="B272" t="inlineStr">
        <is>
          <t>avverkningsanmälan</t>
        </is>
      </c>
      <c r="C272" t="inlineStr">
        <is>
          <t>Föryngringsavverkning</t>
        </is>
      </c>
      <c r="D272" s="1" t="n">
        <v>45336</v>
      </c>
      <c r="E272" s="1" t="n">
        <v>46323</v>
      </c>
      <c r="F272" t="inlineStr">
        <is>
          <t>KALMAR LÄN</t>
        </is>
      </c>
      <c r="G272" t="inlineStr">
        <is>
          <t>VÄSTERVIK</t>
        </is>
      </c>
      <c r="I272" t="n">
        <v>2.8</v>
      </c>
      <c r="J272" t="n">
        <v>0</v>
      </c>
      <c r="K272" t="n">
        <v>0</v>
      </c>
      <c r="L272" t="n">
        <v>1</v>
      </c>
      <c r="M272" t="n">
        <v>0</v>
      </c>
      <c r="N272" t="n">
        <v>0</v>
      </c>
      <c r="O272" t="n">
        <v>0</v>
      </c>
      <c r="P272" t="n">
        <v>0</v>
      </c>
      <c r="Q272" t="n">
        <v>1</v>
      </c>
      <c r="R272" t="n">
        <v>0</v>
      </c>
      <c r="S272" t="n">
        <v>1</v>
      </c>
      <c r="T272" t="n">
        <v>1</v>
      </c>
      <c r="U272" t="n">
        <v>1</v>
      </c>
      <c r="V272" s="2" t="inlineStr">
        <is>
          <t>Tallticka</t>
        </is>
      </c>
      <c r="W272">
        <f>HYPERLINK("https://klasma.github.io/Logging_0883/artfynd/A 6025-2024 artfynd.xlsx", "A 6025-2024")</f>
        <v/>
      </c>
      <c r="X272">
        <f>HYPERLINK("https://klasma.github.io/Logging_0883/kartor/A 6025-2024 karta.png", "A 6025-2024")</f>
        <v/>
      </c>
      <c r="Y272">
        <f>HYPERLINK("https://klasma.github.io/Logging_0883/kartor_geotiff/A 6025-2024 georefererad karta.tif", "A 6025-2024")</f>
        <v/>
      </c>
      <c r="AA272">
        <f>HYPERLINK("https://klasma.github.io/Logging_0883/klagomål/A 6025-2024 FSC-klagomål.docx", "A 6025-2024")</f>
        <v/>
      </c>
      <c r="AB272">
        <f>HYPERLINK("https://klasma.github.io/Logging_0883/klagomålsmail/A 6025-2024 FSC-klagomål mail.docx", "A 6025-2024")</f>
        <v/>
      </c>
      <c r="AC272">
        <f>HYPERLINK("https://klasma.github.io/Logging_0883/tillsyn/A 6025-2024 tillsynsbegäran.docx", "A 6025-2024")</f>
        <v/>
      </c>
      <c r="AD272">
        <f>HYPERLINK("https://klasma.github.io/Logging_0883/tillsynsmail/A 6025-2024 tillsynsbegäran mail.docx", "A 6025-2024")</f>
        <v/>
      </c>
    </row>
    <row r="273" ht="15" customHeight="1">
      <c r="A273" t="inlineStr">
        <is>
          <t>A 32653-2023</t>
        </is>
      </c>
      <c r="B273" t="inlineStr">
        <is>
          <t>avverkningsanmälan</t>
        </is>
      </c>
      <c r="C273" t="inlineStr">
        <is>
          <t>Föryngringsavverkning</t>
        </is>
      </c>
      <c r="D273" s="1" t="n">
        <v>45121</v>
      </c>
      <c r="E273" s="1" t="n">
        <v>46323</v>
      </c>
      <c r="F273" t="inlineStr">
        <is>
          <t>KALMAR LÄN</t>
        </is>
      </c>
      <c r="G273" t="inlineStr">
        <is>
          <t>VÄSTERVIK</t>
        </is>
      </c>
      <c r="I273" t="n">
        <v>1.4</v>
      </c>
      <c r="J273" t="n">
        <v>1</v>
      </c>
      <c r="K273" t="n">
        <v>0</v>
      </c>
      <c r="L273" t="n">
        <v>0</v>
      </c>
      <c r="M273" t="n">
        <v>1</v>
      </c>
      <c r="N273" t="n">
        <v>0</v>
      </c>
      <c r="O273" t="n">
        <v>0</v>
      </c>
      <c r="P273" t="n">
        <v>0</v>
      </c>
      <c r="Q273" t="n">
        <v>1</v>
      </c>
      <c r="R273" t="n">
        <v>1</v>
      </c>
      <c r="S273" t="n">
        <v>1</v>
      </c>
      <c r="T273" t="n">
        <v>2</v>
      </c>
      <c r="U273" t="n">
        <v>2</v>
      </c>
      <c r="V273" s="2" t="inlineStr">
        <is>
          <t>Knärot</t>
        </is>
      </c>
      <c r="W273">
        <f>HYPERLINK("https://klasma.github.io/Logging_0883/artfynd/A 32653-2023 artfynd.xlsx", "A 32653-2023")</f>
        <v/>
      </c>
      <c r="X273">
        <f>HYPERLINK("https://klasma.github.io/Logging_0883/kartor/A 32653-2023 karta.png", "A 32653-2023")</f>
        <v/>
      </c>
      <c r="Y273">
        <f>HYPERLINK("https://klasma.github.io/Logging_0883/kartor_geotiff/A 32653-2023 georefererad karta.tif", "A 32653-2023")</f>
        <v/>
      </c>
      <c r="Z273">
        <f>HYPERLINK("https://klasma.github.io/Logging_0883/knärot/A 32653-2023 karta knärot.png", "A 32653-2023")</f>
        <v/>
      </c>
      <c r="AA273">
        <f>HYPERLINK("https://klasma.github.io/Logging_0883/klagomål/A 32653-2023 FSC-klagomål.docx", "A 32653-2023")</f>
        <v/>
      </c>
      <c r="AB273">
        <f>HYPERLINK("https://klasma.github.io/Logging_0883/klagomålsmail/A 32653-2023 FSC-klagomål mail.docx", "A 32653-2023")</f>
        <v/>
      </c>
      <c r="AC273">
        <f>HYPERLINK("https://klasma.github.io/Logging_0883/tillsyn/A 32653-2023 tillsynsbegäran.docx", "A 32653-2023")</f>
        <v/>
      </c>
      <c r="AD273">
        <f>HYPERLINK("https://klasma.github.io/Logging_0883/tillsynsmail/A 32653-2023 tillsynsbegäran mail.docx", "A 32653-2023")</f>
        <v/>
      </c>
    </row>
    <row r="274" ht="15" customHeight="1">
      <c r="A274" t="inlineStr">
        <is>
          <t>A 60263-2022</t>
        </is>
      </c>
      <c r="B274" t="inlineStr">
        <is>
          <t>avverkningsanmälan</t>
        </is>
      </c>
      <c r="C274" t="inlineStr">
        <is>
          <t>Föryngringsavverkning</t>
        </is>
      </c>
      <c r="D274" s="1" t="n">
        <v>44910</v>
      </c>
      <c r="E274" s="1" t="n">
        <v>46323</v>
      </c>
      <c r="F274" t="inlineStr">
        <is>
          <t>KALMAR LÄN</t>
        </is>
      </c>
      <c r="G274" t="inlineStr">
        <is>
          <t>VÄSTERVIK</t>
        </is>
      </c>
      <c r="H274" t="inlineStr">
        <is>
          <t>Sveaskog</t>
        </is>
      </c>
      <c r="I274" t="n">
        <v>1.2</v>
      </c>
      <c r="J274" t="n">
        <v>1</v>
      </c>
      <c r="K274" t="n">
        <v>1</v>
      </c>
      <c r="L274" t="n">
        <v>0</v>
      </c>
      <c r="M274" t="n">
        <v>0</v>
      </c>
      <c r="N274" t="n">
        <v>0</v>
      </c>
      <c r="O274" t="n">
        <v>0</v>
      </c>
      <c r="P274" t="n">
        <v>0</v>
      </c>
      <c r="Q274" t="n">
        <v>0</v>
      </c>
      <c r="R274" t="n">
        <v>0</v>
      </c>
      <c r="S274" t="n">
        <v>1</v>
      </c>
      <c r="T274" t="n">
        <v>1</v>
      </c>
      <c r="U274" t="n">
        <v>1</v>
      </c>
      <c r="V274" s="2" t="inlineStr">
        <is>
          <t>Ekoxe</t>
        </is>
      </c>
      <c r="W274">
        <f>HYPERLINK("https://klasma.github.io/Logging_0883/artfynd/A 60263-2022 artfynd.xlsx", "A 60263-2022")</f>
        <v/>
      </c>
      <c r="X274">
        <f>HYPERLINK("https://klasma.github.io/Logging_0883/kartor/A 60263-2022 karta.png", "A 60263-2022")</f>
        <v/>
      </c>
      <c r="Y274">
        <f>HYPERLINK("https://klasma.github.io/Logging_0883/kartor_geotiff/A 60263-2022 georefererad karta.tif", "A 60263-2022")</f>
        <v/>
      </c>
      <c r="AA274">
        <f>HYPERLINK("https://klasma.github.io/Logging_0883/klagomål/A 60263-2022 FSC-klagomål.docx", "A 60263-2022")</f>
        <v/>
      </c>
      <c r="AB274">
        <f>HYPERLINK("https://klasma.github.io/Logging_0883/klagomålsmail/A 60263-2022 FSC-klagomål mail.docx", "A 60263-2022")</f>
        <v/>
      </c>
      <c r="AC274">
        <f>HYPERLINK("https://klasma.github.io/Logging_0883/tillsyn/A 60263-2022 tillsynsbegäran.docx", "A 60263-2022")</f>
        <v/>
      </c>
      <c r="AD274">
        <f>HYPERLINK("https://klasma.github.io/Logging_0883/tillsynsmail/A 60263-2022 tillsynsbegäran mail.docx", "A 60263-2022")</f>
        <v/>
      </c>
    </row>
    <row r="275" ht="15" customHeight="1">
      <c r="A275" t="inlineStr">
        <is>
          <t>A 53145-2025</t>
        </is>
      </c>
      <c r="B275" t="inlineStr">
        <is>
          <t>avverkningsanmälan</t>
        </is>
      </c>
      <c r="C275" t="inlineStr">
        <is>
          <t>Avverkning för annat ändamål</t>
        </is>
      </c>
      <c r="D275" s="1" t="n">
        <v>45958</v>
      </c>
      <c r="E275" s="1" t="n">
        <v>46323</v>
      </c>
      <c r="F275" t="inlineStr">
        <is>
          <t>KALMAR LÄN</t>
        </is>
      </c>
      <c r="G275" t="inlineStr">
        <is>
          <t>VÄSTERVIK</t>
        </is>
      </c>
      <c r="I275" t="n">
        <v>2.7</v>
      </c>
      <c r="J275" t="n">
        <v>1</v>
      </c>
      <c r="K275" t="n">
        <v>0</v>
      </c>
      <c r="L275" t="n">
        <v>1</v>
      </c>
      <c r="M275" t="n">
        <v>0</v>
      </c>
      <c r="N275" t="n">
        <v>0</v>
      </c>
      <c r="O275" t="n">
        <v>0</v>
      </c>
      <c r="P275" t="n">
        <v>0</v>
      </c>
      <c r="Q275" t="n">
        <v>1</v>
      </c>
      <c r="R275" t="n">
        <v>0</v>
      </c>
      <c r="S275" t="n">
        <v>1</v>
      </c>
      <c r="T275" t="n">
        <v>1</v>
      </c>
      <c r="U275" t="n">
        <v>0</v>
      </c>
      <c r="V275" s="2" t="inlineStr">
        <is>
          <t>Grönsångare</t>
        </is>
      </c>
      <c r="W275">
        <f>HYPERLINK("https://klasma.github.io/Logging_0883/artfynd/A 53145-2025 artfynd.xlsx", "A 53145-2025")</f>
        <v/>
      </c>
      <c r="X275">
        <f>HYPERLINK("https://klasma.github.io/Logging_0883/kartor/A 53145-2025 karta.png", "A 53145-2025")</f>
        <v/>
      </c>
      <c r="Y275">
        <f>HYPERLINK("https://klasma.github.io/Logging_0883/kartor_geotiff/A 53145-2025 georefererad karta.tif", "A 53145-2025")</f>
        <v/>
      </c>
      <c r="AA275">
        <f>HYPERLINK("https://klasma.github.io/Logging_0883/klagomål/A 53145-2025 FSC-klagomål.docx", "A 53145-2025")</f>
        <v/>
      </c>
      <c r="AB275">
        <f>HYPERLINK("https://klasma.github.io/Logging_0883/klagomålsmail/A 53145-2025 FSC-klagomål mail.docx", "A 53145-2025")</f>
        <v/>
      </c>
      <c r="AC275">
        <f>HYPERLINK("https://klasma.github.io/Logging_0883/tillsyn/A 53145-2025 tillsynsbegäran.docx", "A 53145-2025")</f>
        <v/>
      </c>
      <c r="AD275">
        <f>HYPERLINK("https://klasma.github.io/Logging_0883/tillsynsmail/A 53145-2025 tillsynsbegäran mail.docx", "A 53145-2025")</f>
        <v/>
      </c>
      <c r="AE275">
        <f>HYPERLINK("https://klasma.github.io/Logging_0883/fåglar/A 53145-2025 prioriterade fågelarter.docx", "A 53145-2025")</f>
        <v/>
      </c>
    </row>
    <row r="276" ht="15" customHeight="1">
      <c r="A276" t="inlineStr">
        <is>
          <t>A 53843-2025</t>
        </is>
      </c>
      <c r="B276" t="inlineStr">
        <is>
          <t>avverkningsanmälan</t>
        </is>
      </c>
      <c r="C276" t="inlineStr">
        <is>
          <t>Avverkning för att bevara och utveckla /försöksver</t>
        </is>
      </c>
      <c r="D276" s="1" t="n">
        <v>45961</v>
      </c>
      <c r="E276" s="1" t="n">
        <v>46323</v>
      </c>
      <c r="F276" t="inlineStr">
        <is>
          <t>KALMAR LÄN</t>
        </is>
      </c>
      <c r="G276" t="inlineStr">
        <is>
          <t>VÄSTERVIK</t>
        </is>
      </c>
      <c r="H276" t="inlineStr">
        <is>
          <t>Sveaskog</t>
        </is>
      </c>
      <c r="I276" t="n">
        <v>6</v>
      </c>
      <c r="J276" t="n">
        <v>1</v>
      </c>
      <c r="K276" t="n">
        <v>0</v>
      </c>
      <c r="L276" t="n">
        <v>0</v>
      </c>
      <c r="M276" t="n">
        <v>0</v>
      </c>
      <c r="N276" t="n">
        <v>0</v>
      </c>
      <c r="O276" t="n">
        <v>0</v>
      </c>
      <c r="P276" t="n">
        <v>0</v>
      </c>
      <c r="Q276" t="n">
        <v>0</v>
      </c>
      <c r="R276" t="n">
        <v>0</v>
      </c>
      <c r="S276" t="n">
        <v>1</v>
      </c>
      <c r="T276" t="n">
        <v>1</v>
      </c>
      <c r="U276" t="n">
        <v>0</v>
      </c>
      <c r="V276" s="2" t="inlineStr">
        <is>
          <t>Blåsippa</t>
        </is>
      </c>
      <c r="W276">
        <f>HYPERLINK("https://klasma.github.io/Logging_0883/artfynd/A 53843-2025 artfynd.xlsx", "A 53843-2025")</f>
        <v/>
      </c>
      <c r="X276">
        <f>HYPERLINK("https://klasma.github.io/Logging_0883/kartor/A 53843-2025 karta.png", "A 53843-2025")</f>
        <v/>
      </c>
      <c r="Y276">
        <f>HYPERLINK("https://klasma.github.io/Logging_0883/kartor_geotiff/A 53843-2025 georefererad karta.tif", "A 53843-2025")</f>
        <v/>
      </c>
      <c r="AA276">
        <f>HYPERLINK("https://klasma.github.io/Logging_0883/klagomål/A 53843-2025 FSC-klagomål.docx", "A 53843-2025")</f>
        <v/>
      </c>
      <c r="AB276">
        <f>HYPERLINK("https://klasma.github.io/Logging_0883/klagomålsmail/A 53843-2025 FSC-klagomål mail.docx", "A 53843-2025")</f>
        <v/>
      </c>
      <c r="AC276">
        <f>HYPERLINK("https://klasma.github.io/Logging_0883/tillsyn/A 53843-2025 tillsynsbegäran.docx", "A 53843-2025")</f>
        <v/>
      </c>
      <c r="AD276">
        <f>HYPERLINK("https://klasma.github.io/Logging_0883/tillsynsmail/A 53843-2025 tillsynsbegäran mail.docx", "A 53843-2025")</f>
        <v/>
      </c>
    </row>
    <row r="277" ht="15" customHeight="1">
      <c r="A277" t="inlineStr">
        <is>
          <t>A 53860-2025</t>
        </is>
      </c>
      <c r="B277" t="inlineStr">
        <is>
          <t>avverkningsanmälan</t>
        </is>
      </c>
      <c r="C277" t="inlineStr">
        <is>
          <t>Avverkning för att bevara och utveckla /försöksver</t>
        </is>
      </c>
      <c r="D277" s="1" t="n">
        <v>45961</v>
      </c>
      <c r="E277" s="1" t="n">
        <v>46323</v>
      </c>
      <c r="F277" t="inlineStr">
        <is>
          <t>KALMAR LÄN</t>
        </is>
      </c>
      <c r="G277" t="inlineStr">
        <is>
          <t>VÄSTERVIK</t>
        </is>
      </c>
      <c r="H277" t="inlineStr">
        <is>
          <t>Sveaskog</t>
        </is>
      </c>
      <c r="I277" t="n">
        <v>1.7</v>
      </c>
      <c r="J277" t="n">
        <v>1</v>
      </c>
      <c r="K277" t="n">
        <v>0</v>
      </c>
      <c r="L277" t="n">
        <v>0</v>
      </c>
      <c r="M277" t="n">
        <v>0</v>
      </c>
      <c r="N277" t="n">
        <v>0</v>
      </c>
      <c r="O277" t="n">
        <v>0</v>
      </c>
      <c r="P277" t="n">
        <v>0</v>
      </c>
      <c r="Q277" t="n">
        <v>0</v>
      </c>
      <c r="R277" t="n">
        <v>0</v>
      </c>
      <c r="S277" t="n">
        <v>1</v>
      </c>
      <c r="T277" t="n">
        <v>1</v>
      </c>
      <c r="U277" t="n">
        <v>0</v>
      </c>
      <c r="V277" s="2" t="inlineStr">
        <is>
          <t>Blåsippa</t>
        </is>
      </c>
      <c r="W277">
        <f>HYPERLINK("https://klasma.github.io/Logging_0883/artfynd/A 53860-2025 artfynd.xlsx", "A 53860-2025")</f>
        <v/>
      </c>
      <c r="X277">
        <f>HYPERLINK("https://klasma.github.io/Logging_0883/kartor/A 53860-2025 karta.png", "A 53860-2025")</f>
        <v/>
      </c>
      <c r="Y277">
        <f>HYPERLINK("https://klasma.github.io/Logging_0883/kartor_geotiff/A 53860-2025 georefererad karta.tif", "A 53860-2025")</f>
        <v/>
      </c>
      <c r="AA277">
        <f>HYPERLINK("https://klasma.github.io/Logging_0883/klagomål/A 53860-2025 FSC-klagomål.docx", "A 53860-2025")</f>
        <v/>
      </c>
      <c r="AB277">
        <f>HYPERLINK("https://klasma.github.io/Logging_0883/klagomålsmail/A 53860-2025 FSC-klagomål mail.docx", "A 53860-2025")</f>
        <v/>
      </c>
      <c r="AC277">
        <f>HYPERLINK("https://klasma.github.io/Logging_0883/tillsyn/A 53860-2025 tillsynsbegäran.docx", "A 53860-2025")</f>
        <v/>
      </c>
      <c r="AD277">
        <f>HYPERLINK("https://klasma.github.io/Logging_0883/tillsynsmail/A 53860-2025 tillsynsbegäran mail.docx", "A 53860-2025")</f>
        <v/>
      </c>
    </row>
    <row r="278" ht="15" customHeight="1">
      <c r="A278" t="inlineStr">
        <is>
          <t>A 53875-2025</t>
        </is>
      </c>
      <c r="B278" t="inlineStr">
        <is>
          <t>avverkningsanmälan</t>
        </is>
      </c>
      <c r="C278" t="inlineStr">
        <is>
          <t>Avverkning för att bevara och utveckla /försöksver</t>
        </is>
      </c>
      <c r="D278" s="1" t="n">
        <v>45961</v>
      </c>
      <c r="E278" s="1" t="n">
        <v>46323</v>
      </c>
      <c r="F278" t="inlineStr">
        <is>
          <t>KALMAR LÄN</t>
        </is>
      </c>
      <c r="G278" t="inlineStr">
        <is>
          <t>VÄSTERVIK</t>
        </is>
      </c>
      <c r="H278" t="inlineStr">
        <is>
          <t>Sveaskog</t>
        </is>
      </c>
      <c r="I278" t="n">
        <v>4.2</v>
      </c>
      <c r="J278" t="n">
        <v>1</v>
      </c>
      <c r="K278" t="n">
        <v>0</v>
      </c>
      <c r="L278" t="n">
        <v>0</v>
      </c>
      <c r="M278" t="n">
        <v>0</v>
      </c>
      <c r="N278" t="n">
        <v>0</v>
      </c>
      <c r="O278" t="n">
        <v>0</v>
      </c>
      <c r="P278" t="n">
        <v>0</v>
      </c>
      <c r="Q278" t="n">
        <v>0</v>
      </c>
      <c r="R278" t="n">
        <v>0</v>
      </c>
      <c r="S278" t="n">
        <v>1</v>
      </c>
      <c r="T278" t="n">
        <v>1</v>
      </c>
      <c r="U278" t="n">
        <v>0</v>
      </c>
      <c r="V278" s="2" t="inlineStr">
        <is>
          <t>Blåsippa</t>
        </is>
      </c>
      <c r="W278">
        <f>HYPERLINK("https://klasma.github.io/Logging_0883/artfynd/A 53875-2025 artfynd.xlsx", "A 53875-2025")</f>
        <v/>
      </c>
      <c r="X278">
        <f>HYPERLINK("https://klasma.github.io/Logging_0883/kartor/A 53875-2025 karta.png", "A 53875-2025")</f>
        <v/>
      </c>
      <c r="Y278">
        <f>HYPERLINK("https://klasma.github.io/Logging_0883/kartor_geotiff/A 53875-2025 georefererad karta.tif", "A 53875-2025")</f>
        <v/>
      </c>
      <c r="AA278">
        <f>HYPERLINK("https://klasma.github.io/Logging_0883/klagomål/A 53875-2025 FSC-klagomål.docx", "A 53875-2025")</f>
        <v/>
      </c>
      <c r="AB278">
        <f>HYPERLINK("https://klasma.github.io/Logging_0883/klagomålsmail/A 53875-2025 FSC-klagomål mail.docx", "A 53875-2025")</f>
        <v/>
      </c>
      <c r="AC278">
        <f>HYPERLINK("https://klasma.github.io/Logging_0883/tillsyn/A 53875-2025 tillsynsbegäran.docx", "A 53875-2025")</f>
        <v/>
      </c>
      <c r="AD278">
        <f>HYPERLINK("https://klasma.github.io/Logging_0883/tillsynsmail/A 53875-2025 tillsynsbegäran mail.docx", "A 53875-2025")</f>
        <v/>
      </c>
    </row>
    <row r="279" ht="15" customHeight="1">
      <c r="A279" t="inlineStr">
        <is>
          <t>A 54859-2025</t>
        </is>
      </c>
      <c r="B279" t="inlineStr">
        <is>
          <t>avverkningsanmälan</t>
        </is>
      </c>
      <c r="C279" t="inlineStr">
        <is>
          <t>Avverkning för att bevara och utveckla /försöksver</t>
        </is>
      </c>
      <c r="D279" s="1" t="n">
        <v>45966</v>
      </c>
      <c r="E279" s="1" t="n">
        <v>46323</v>
      </c>
      <c r="F279" t="inlineStr">
        <is>
          <t>KALMAR LÄN</t>
        </is>
      </c>
      <c r="G279" t="inlineStr">
        <is>
          <t>VÄSTERVIK</t>
        </is>
      </c>
      <c r="H279" t="inlineStr">
        <is>
          <t>Sveaskog</t>
        </is>
      </c>
      <c r="I279" t="n">
        <v>4.2</v>
      </c>
      <c r="J279" t="n">
        <v>1</v>
      </c>
      <c r="K279" t="n">
        <v>0</v>
      </c>
      <c r="L279" t="n">
        <v>0</v>
      </c>
      <c r="M279" t="n">
        <v>0</v>
      </c>
      <c r="N279" t="n">
        <v>0</v>
      </c>
      <c r="O279" t="n">
        <v>0</v>
      </c>
      <c r="P279" t="n">
        <v>0</v>
      </c>
      <c r="Q279" t="n">
        <v>0</v>
      </c>
      <c r="R279" t="n">
        <v>0</v>
      </c>
      <c r="S279" t="n">
        <v>1</v>
      </c>
      <c r="T279" t="n">
        <v>1</v>
      </c>
      <c r="U279" t="n">
        <v>0</v>
      </c>
      <c r="V279" s="2" t="inlineStr">
        <is>
          <t>Blåsippa</t>
        </is>
      </c>
      <c r="W279">
        <f>HYPERLINK("https://klasma.github.io/Logging_0883/artfynd/A 54859-2025 artfynd.xlsx", "A 54859-2025")</f>
        <v/>
      </c>
      <c r="X279">
        <f>HYPERLINK("https://klasma.github.io/Logging_0883/kartor/A 54859-2025 karta.png", "A 54859-2025")</f>
        <v/>
      </c>
      <c r="Y279">
        <f>HYPERLINK("https://klasma.github.io/Logging_0883/kartor_geotiff/A 54859-2025 georefererad karta.tif", "A 54859-2025")</f>
        <v/>
      </c>
      <c r="AA279">
        <f>HYPERLINK("https://klasma.github.io/Logging_0883/klagomål/A 54859-2025 FSC-klagomål.docx", "A 54859-2025")</f>
        <v/>
      </c>
      <c r="AB279">
        <f>HYPERLINK("https://klasma.github.io/Logging_0883/klagomålsmail/A 54859-2025 FSC-klagomål mail.docx", "A 54859-2025")</f>
        <v/>
      </c>
      <c r="AC279">
        <f>HYPERLINK("https://klasma.github.io/Logging_0883/tillsyn/A 54859-2025 tillsynsbegäran.docx", "A 54859-2025")</f>
        <v/>
      </c>
      <c r="AD279">
        <f>HYPERLINK("https://klasma.github.io/Logging_0883/tillsynsmail/A 54859-2025 tillsynsbegäran mail.docx", "A 54859-2025")</f>
        <v/>
      </c>
    </row>
    <row r="280" ht="15" customHeight="1">
      <c r="A280" t="inlineStr">
        <is>
          <t>A 33815-2023</t>
        </is>
      </c>
      <c r="B280" t="inlineStr">
        <is>
          <t>avverkningsanmälan</t>
        </is>
      </c>
      <c r="C280" t="inlineStr">
        <is>
          <t>Föryngringsavverkning</t>
        </is>
      </c>
      <c r="D280" s="1" t="n">
        <v>45133</v>
      </c>
      <c r="E280" s="1" t="n">
        <v>46323</v>
      </c>
      <c r="F280" t="inlineStr">
        <is>
          <t>KALMAR LÄN</t>
        </is>
      </c>
      <c r="G280" t="inlineStr">
        <is>
          <t>VÄSTERVIK</t>
        </is>
      </c>
      <c r="I280" t="n">
        <v>3.4</v>
      </c>
      <c r="J280" t="n">
        <v>0</v>
      </c>
      <c r="K280" t="n">
        <v>1</v>
      </c>
      <c r="L280" t="n">
        <v>0</v>
      </c>
      <c r="M280" t="n">
        <v>0</v>
      </c>
      <c r="N280" t="n">
        <v>0</v>
      </c>
      <c r="O280" t="n">
        <v>0</v>
      </c>
      <c r="P280" t="n">
        <v>0</v>
      </c>
      <c r="Q280" t="n">
        <v>0</v>
      </c>
      <c r="R280" t="n">
        <v>0</v>
      </c>
      <c r="S280" t="n">
        <v>1</v>
      </c>
      <c r="T280" t="n">
        <v>1</v>
      </c>
      <c r="U280" t="n">
        <v>1</v>
      </c>
      <c r="V280" s="2" t="inlineStr">
        <is>
          <t>Grönpyrola</t>
        </is>
      </c>
      <c r="W280">
        <f>HYPERLINK("https://klasma.github.io/Logging_0883/artfynd/A 33815-2023 artfynd.xlsx", "A 33815-2023")</f>
        <v/>
      </c>
      <c r="X280">
        <f>HYPERLINK("https://klasma.github.io/Logging_0883/kartor/A 33815-2023 karta.png", "A 33815-2023")</f>
        <v/>
      </c>
      <c r="Y280">
        <f>HYPERLINK("https://klasma.github.io/Logging_0883/kartor_geotiff/A 33815-2023 georefererad karta.tif", "A 33815-2023")</f>
        <v/>
      </c>
      <c r="AA280">
        <f>HYPERLINK("https://klasma.github.io/Logging_0883/klagomål/A 33815-2023 FSC-klagomål.docx", "A 33815-2023")</f>
        <v/>
      </c>
      <c r="AB280">
        <f>HYPERLINK("https://klasma.github.io/Logging_0883/klagomålsmail/A 33815-2023 FSC-klagomål mail.docx", "A 33815-2023")</f>
        <v/>
      </c>
      <c r="AC280">
        <f>HYPERLINK("https://klasma.github.io/Logging_0883/tillsyn/A 33815-2023 tillsynsbegäran.docx", "A 33815-2023")</f>
        <v/>
      </c>
      <c r="AD280">
        <f>HYPERLINK("https://klasma.github.io/Logging_0883/tillsynsmail/A 33815-2023 tillsynsbegäran mail.docx", "A 33815-2023")</f>
        <v/>
      </c>
    </row>
    <row r="281" ht="15" customHeight="1">
      <c r="A281" t="inlineStr">
        <is>
          <t>A 33816-2023</t>
        </is>
      </c>
      <c r="B281" t="inlineStr">
        <is>
          <t>avverkningsanmälan</t>
        </is>
      </c>
      <c r="C281" t="inlineStr">
        <is>
          <t>Föryngringsavverkning</t>
        </is>
      </c>
      <c r="D281" s="1" t="n">
        <v>45133</v>
      </c>
      <c r="E281" s="1" t="n">
        <v>46323</v>
      </c>
      <c r="F281" t="inlineStr">
        <is>
          <t>KALMAR LÄN</t>
        </is>
      </c>
      <c r="G281" t="inlineStr">
        <is>
          <t>VÄSTERVIK</t>
        </is>
      </c>
      <c r="I281" t="n">
        <v>4.9</v>
      </c>
      <c r="J281" t="n">
        <v>0</v>
      </c>
      <c r="K281" t="n">
        <v>0</v>
      </c>
      <c r="L281" t="n">
        <v>1</v>
      </c>
      <c r="M281" t="n">
        <v>0</v>
      </c>
      <c r="N281" t="n">
        <v>0</v>
      </c>
      <c r="O281" t="n">
        <v>0</v>
      </c>
      <c r="P281" t="n">
        <v>0</v>
      </c>
      <c r="Q281" t="n">
        <v>1</v>
      </c>
      <c r="R281" t="n">
        <v>0</v>
      </c>
      <c r="S281" t="n">
        <v>1</v>
      </c>
      <c r="T281" t="n">
        <v>2</v>
      </c>
      <c r="U281" t="n">
        <v>2</v>
      </c>
      <c r="V281" s="2" t="inlineStr">
        <is>
          <t>Tallticka</t>
        </is>
      </c>
      <c r="W281">
        <f>HYPERLINK("https://klasma.github.io/Logging_0883/artfynd/A 33816-2023 artfynd.xlsx", "A 33816-2023")</f>
        <v/>
      </c>
      <c r="X281">
        <f>HYPERLINK("https://klasma.github.io/Logging_0883/kartor/A 33816-2023 karta.png", "A 33816-2023")</f>
        <v/>
      </c>
      <c r="Y281">
        <f>HYPERLINK("https://klasma.github.io/Logging_0883/kartor_geotiff/A 33816-2023 georefererad karta.tif", "A 33816-2023")</f>
        <v/>
      </c>
      <c r="AA281">
        <f>HYPERLINK("https://klasma.github.io/Logging_0883/klagomål/A 33816-2023 FSC-klagomål.docx", "A 33816-2023")</f>
        <v/>
      </c>
      <c r="AB281">
        <f>HYPERLINK("https://klasma.github.io/Logging_0883/klagomålsmail/A 33816-2023 FSC-klagomål mail.docx", "A 33816-2023")</f>
        <v/>
      </c>
      <c r="AC281">
        <f>HYPERLINK("https://klasma.github.io/Logging_0883/tillsyn/A 33816-2023 tillsynsbegäran.docx", "A 33816-2023")</f>
        <v/>
      </c>
      <c r="AD281">
        <f>HYPERLINK("https://klasma.github.io/Logging_0883/tillsynsmail/A 33816-2023 tillsynsbegäran mail.docx", "A 33816-2023")</f>
        <v/>
      </c>
    </row>
    <row r="282" ht="15" customHeight="1">
      <c r="A282" t="inlineStr">
        <is>
          <t>A 57451-2025</t>
        </is>
      </c>
      <c r="B282" t="inlineStr">
        <is>
          <t>avverkningsanmälan</t>
        </is>
      </c>
      <c r="C282" t="inlineStr">
        <is>
          <t>Föryngringsavverkning</t>
        </is>
      </c>
      <c r="D282" s="1" t="n">
        <v>45980</v>
      </c>
      <c r="E282" s="1" t="n">
        <v>46323</v>
      </c>
      <c r="F282" t="inlineStr">
        <is>
          <t>KALMAR LÄN</t>
        </is>
      </c>
      <c r="G282" t="inlineStr">
        <is>
          <t>VÄSTERVIK</t>
        </is>
      </c>
      <c r="I282" t="n">
        <v>2.3</v>
      </c>
      <c r="J282" t="n">
        <v>1</v>
      </c>
      <c r="K282" t="n">
        <v>0</v>
      </c>
      <c r="L282" t="n">
        <v>0</v>
      </c>
      <c r="M282" t="n">
        <v>0</v>
      </c>
      <c r="N282" t="n">
        <v>0</v>
      </c>
      <c r="O282" t="n">
        <v>0</v>
      </c>
      <c r="P282" t="n">
        <v>0</v>
      </c>
      <c r="Q282" t="n">
        <v>0</v>
      </c>
      <c r="R282" t="n">
        <v>0</v>
      </c>
      <c r="S282" t="n">
        <v>1</v>
      </c>
      <c r="T282" t="n">
        <v>1</v>
      </c>
      <c r="U282" t="n">
        <v>1</v>
      </c>
      <c r="V282" s="2" t="inlineStr">
        <is>
          <t>Kungsfågel</t>
        </is>
      </c>
      <c r="W282">
        <f>HYPERLINK("https://klasma.github.io/Logging_0883/artfynd/A 57451-2025 artfynd.xlsx", "A 57451-2025")</f>
        <v/>
      </c>
      <c r="X282">
        <f>HYPERLINK("https://klasma.github.io/Logging_0883/kartor/A 57451-2025 karta.png", "A 57451-2025")</f>
        <v/>
      </c>
      <c r="Y282">
        <f>HYPERLINK("https://klasma.github.io/Logging_0883/kartor_geotiff/A 57451-2025 georefererad karta.tif", "A 57451-2025")</f>
        <v/>
      </c>
      <c r="AA282">
        <f>HYPERLINK("https://klasma.github.io/Logging_0883/klagomål/A 57451-2025 FSC-klagomål.docx", "A 57451-2025")</f>
        <v/>
      </c>
      <c r="AB282">
        <f>HYPERLINK("https://klasma.github.io/Logging_0883/klagomålsmail/A 57451-2025 FSC-klagomål mail.docx", "A 57451-2025")</f>
        <v/>
      </c>
      <c r="AC282">
        <f>HYPERLINK("https://klasma.github.io/Logging_0883/tillsyn/A 57451-2025 tillsynsbegäran.docx", "A 57451-2025")</f>
        <v/>
      </c>
      <c r="AD282">
        <f>HYPERLINK("https://klasma.github.io/Logging_0883/tillsynsmail/A 57451-2025 tillsynsbegäran mail.docx", "A 57451-2025")</f>
        <v/>
      </c>
    </row>
    <row r="283" ht="15" customHeight="1">
      <c r="A283" t="inlineStr">
        <is>
          <t>A 26056-2022</t>
        </is>
      </c>
      <c r="B283" t="inlineStr">
        <is>
          <t>avverkningsanmälan</t>
        </is>
      </c>
      <c r="C283" t="inlineStr">
        <is>
          <t>Avverkning för annat ändamål</t>
        </is>
      </c>
      <c r="D283" s="1" t="n">
        <v>44734</v>
      </c>
      <c r="E283" s="1" t="n">
        <v>46323</v>
      </c>
      <c r="F283" t="inlineStr">
        <is>
          <t>KALMAR LÄN</t>
        </is>
      </c>
      <c r="G283" t="inlineStr">
        <is>
          <t>VÄSTERVIK</t>
        </is>
      </c>
      <c r="I283" t="n">
        <v>1.1</v>
      </c>
      <c r="J283" t="n">
        <v>0</v>
      </c>
      <c r="K283" t="n">
        <v>0</v>
      </c>
      <c r="L283" t="n">
        <v>1</v>
      </c>
      <c r="M283" t="n">
        <v>0</v>
      </c>
      <c r="N283" t="n">
        <v>0</v>
      </c>
      <c r="O283" t="n">
        <v>0</v>
      </c>
      <c r="P283" t="n">
        <v>0</v>
      </c>
      <c r="Q283" t="n">
        <v>1</v>
      </c>
      <c r="R283" t="n">
        <v>0</v>
      </c>
      <c r="S283" t="n">
        <v>1</v>
      </c>
      <c r="T283" t="n">
        <v>1</v>
      </c>
      <c r="U283" t="n">
        <v>0</v>
      </c>
      <c r="V283" s="2" t="inlineStr">
        <is>
          <t>Slåtterfibbla</t>
        </is>
      </c>
      <c r="W283">
        <f>HYPERLINK("https://klasma.github.io/Logging_0883/artfynd/A 26056-2022 artfynd.xlsx", "A 26056-2022")</f>
        <v/>
      </c>
      <c r="X283">
        <f>HYPERLINK("https://klasma.github.io/Logging_0883/kartor/A 26056-2022 karta.png", "A 26056-2022")</f>
        <v/>
      </c>
      <c r="Y283">
        <f>HYPERLINK("https://klasma.github.io/Logging_0883/kartor_geotiff/A 26056-2022 georefererad karta.tif", "A 26056-2022")</f>
        <v/>
      </c>
      <c r="AA283">
        <f>HYPERLINK("https://klasma.github.io/Logging_0883/klagomål/A 26056-2022 FSC-klagomål.docx", "A 26056-2022")</f>
        <v/>
      </c>
      <c r="AB283">
        <f>HYPERLINK("https://klasma.github.io/Logging_0883/klagomålsmail/A 26056-2022 FSC-klagomål mail.docx", "A 26056-2022")</f>
        <v/>
      </c>
      <c r="AC283">
        <f>HYPERLINK("https://klasma.github.io/Logging_0883/tillsyn/A 26056-2022 tillsynsbegäran.docx", "A 26056-2022")</f>
        <v/>
      </c>
      <c r="AD283">
        <f>HYPERLINK("https://klasma.github.io/Logging_0883/tillsynsmail/A 26056-2022 tillsynsbegäran mail.docx", "A 26056-2022")</f>
        <v/>
      </c>
    </row>
    <row r="284" ht="15" customHeight="1">
      <c r="A284" t="inlineStr">
        <is>
          <t>A 48753-2025</t>
        </is>
      </c>
      <c r="B284" t="inlineStr">
        <is>
          <t>avverkningsanmälan</t>
        </is>
      </c>
      <c r="C284" t="inlineStr">
        <is>
          <t>Föryngringsavverkning</t>
        </is>
      </c>
      <c r="D284" s="1" t="n">
        <v>45936</v>
      </c>
      <c r="E284" s="1" t="n">
        <v>46323</v>
      </c>
      <c r="F284" t="inlineStr">
        <is>
          <t>KALMAR LÄN</t>
        </is>
      </c>
      <c r="G284" t="inlineStr">
        <is>
          <t>VÄSTERVIK</t>
        </is>
      </c>
      <c r="I284" t="n">
        <v>0.9</v>
      </c>
      <c r="J284" t="n">
        <v>0</v>
      </c>
      <c r="K284" t="n">
        <v>0</v>
      </c>
      <c r="L284" t="n">
        <v>1</v>
      </c>
      <c r="M284" t="n">
        <v>0</v>
      </c>
      <c r="N284" t="n">
        <v>0</v>
      </c>
      <c r="O284" t="n">
        <v>0</v>
      </c>
      <c r="P284" t="n">
        <v>0</v>
      </c>
      <c r="Q284" t="n">
        <v>1</v>
      </c>
      <c r="R284" t="n">
        <v>0</v>
      </c>
      <c r="S284" t="n">
        <v>1</v>
      </c>
      <c r="T284" t="n">
        <v>1</v>
      </c>
      <c r="U284" t="n">
        <v>1</v>
      </c>
      <c r="V284" s="2" t="inlineStr">
        <is>
          <t>Dropptaggsvamp</t>
        </is>
      </c>
      <c r="W284">
        <f>HYPERLINK("https://klasma.github.io/Logging_0883/artfynd/A 48753-2025 artfynd.xlsx", "A 48753-2025")</f>
        <v/>
      </c>
      <c r="X284">
        <f>HYPERLINK("https://klasma.github.io/Logging_0883/kartor/A 48753-2025 karta.png", "A 48753-2025")</f>
        <v/>
      </c>
      <c r="Y284">
        <f>HYPERLINK("https://klasma.github.io/Logging_0883/kartor_geotiff/A 48753-2025 georefererad karta.tif", "A 48753-2025")</f>
        <v/>
      </c>
      <c r="Z284">
        <f>HYPERLINK("https://klasma.github.io/Logging_0883/knärot/A 48753-2025 karta knärot.png", "A 48753-2025")</f>
        <v/>
      </c>
      <c r="AA284">
        <f>HYPERLINK("https://klasma.github.io/Logging_0883/klagomål/A 48753-2025 FSC-klagomål.docx", "A 48753-2025")</f>
        <v/>
      </c>
      <c r="AB284">
        <f>HYPERLINK("https://klasma.github.io/Logging_0883/klagomålsmail/A 48753-2025 FSC-klagomål mail.docx", "A 48753-2025")</f>
        <v/>
      </c>
      <c r="AC284">
        <f>HYPERLINK("https://klasma.github.io/Logging_0883/tillsyn/A 48753-2025 tillsynsbegäran.docx", "A 48753-2025")</f>
        <v/>
      </c>
      <c r="AD284">
        <f>HYPERLINK("https://klasma.github.io/Logging_0883/tillsynsmail/A 48753-2025 tillsynsbegäran mail.docx", "A 48753-2025")</f>
        <v/>
      </c>
    </row>
    <row r="285" ht="15" customHeight="1">
      <c r="A285" t="inlineStr">
        <is>
          <t>A 6406-2024</t>
        </is>
      </c>
      <c r="B285" t="inlineStr">
        <is>
          <t>avverkningsanmälan</t>
        </is>
      </c>
      <c r="C285" t="inlineStr">
        <is>
          <t>Avverkning för annat ändamål</t>
        </is>
      </c>
      <c r="D285" s="1" t="n">
        <v>45338</v>
      </c>
      <c r="E285" s="1" t="n">
        <v>46323</v>
      </c>
      <c r="F285" t="inlineStr">
        <is>
          <t>KALMAR LÄN</t>
        </is>
      </c>
      <c r="G285" t="inlineStr">
        <is>
          <t>VÄSTERVIK</t>
        </is>
      </c>
      <c r="I285" t="n">
        <v>5.5</v>
      </c>
      <c r="J285" t="n">
        <v>1</v>
      </c>
      <c r="K285" t="n">
        <v>0</v>
      </c>
      <c r="L285" t="n">
        <v>0</v>
      </c>
      <c r="M285" t="n">
        <v>1</v>
      </c>
      <c r="N285" t="n">
        <v>0</v>
      </c>
      <c r="O285" t="n">
        <v>0</v>
      </c>
      <c r="P285" t="n">
        <v>0</v>
      </c>
      <c r="Q285" t="n">
        <v>1</v>
      </c>
      <c r="R285" t="n">
        <v>1</v>
      </c>
      <c r="S285" t="n">
        <v>1</v>
      </c>
      <c r="T285" t="n">
        <v>3</v>
      </c>
      <c r="U285" t="n">
        <v>3</v>
      </c>
      <c r="V285" s="2" t="inlineStr">
        <is>
          <t>Knärot</t>
        </is>
      </c>
      <c r="W285">
        <f>HYPERLINK("https://klasma.github.io/Logging_0883/artfynd/A 6406-2024 artfynd.xlsx", "A 6406-2024")</f>
        <v/>
      </c>
      <c r="X285">
        <f>HYPERLINK("https://klasma.github.io/Logging_0883/kartor/A 6406-2024 karta.png", "A 6406-2024")</f>
        <v/>
      </c>
      <c r="Y285">
        <f>HYPERLINK("https://klasma.github.io/Logging_0883/kartor_geotiff/A 6406-2024 georefererad karta.tif", "A 6406-2024")</f>
        <v/>
      </c>
      <c r="Z285">
        <f>HYPERLINK("https://klasma.github.io/Logging_0883/knärot/A 6406-2024 karta knärot.png", "A 6406-2024")</f>
        <v/>
      </c>
      <c r="AA285">
        <f>HYPERLINK("https://klasma.github.io/Logging_0883/klagomål/A 6406-2024 FSC-klagomål.docx", "A 6406-2024")</f>
        <v/>
      </c>
      <c r="AB285">
        <f>HYPERLINK("https://klasma.github.io/Logging_0883/klagomålsmail/A 6406-2024 FSC-klagomål mail.docx", "A 6406-2024")</f>
        <v/>
      </c>
      <c r="AC285">
        <f>HYPERLINK("https://klasma.github.io/Logging_0883/tillsyn/A 6406-2024 tillsynsbegäran.docx", "A 6406-2024")</f>
        <v/>
      </c>
      <c r="AD285">
        <f>HYPERLINK("https://klasma.github.io/Logging_0883/tillsynsmail/A 6406-2024 tillsynsbegäran mail.docx", "A 6406-2024")</f>
        <v/>
      </c>
    </row>
    <row r="286" ht="15" customHeight="1">
      <c r="A286" t="inlineStr">
        <is>
          <t>A 40924-2022</t>
        </is>
      </c>
      <c r="B286" t="inlineStr">
        <is>
          <t>avverkningsanmälan</t>
        </is>
      </c>
      <c r="C286" t="inlineStr">
        <is>
          <t>Föryngringsavverkning</t>
        </is>
      </c>
      <c r="D286" s="1" t="n">
        <v>44825</v>
      </c>
      <c r="E286" s="1" t="n">
        <v>46323</v>
      </c>
      <c r="F286" t="inlineStr">
        <is>
          <t>KALMAR LÄN</t>
        </is>
      </c>
      <c r="G286" t="inlineStr">
        <is>
          <t>VÄSTERVIK</t>
        </is>
      </c>
      <c r="H286" t="inlineStr">
        <is>
          <t>Sveaskog</t>
        </is>
      </c>
      <c r="I286" t="n">
        <v>0.5</v>
      </c>
      <c r="J286" t="n">
        <v>1</v>
      </c>
      <c r="K286" t="n">
        <v>0</v>
      </c>
      <c r="L286" t="n">
        <v>1</v>
      </c>
      <c r="M286" t="n">
        <v>0</v>
      </c>
      <c r="N286" t="n">
        <v>0</v>
      </c>
      <c r="O286" t="n">
        <v>0</v>
      </c>
      <c r="P286" t="n">
        <v>0</v>
      </c>
      <c r="Q286" t="n">
        <v>1</v>
      </c>
      <c r="R286" t="n">
        <v>0</v>
      </c>
      <c r="S286" t="n">
        <v>1</v>
      </c>
      <c r="T286" t="n">
        <v>1</v>
      </c>
      <c r="U286" t="n">
        <v>1</v>
      </c>
      <c r="V286" s="2" t="inlineStr">
        <is>
          <t>Barbastell</t>
        </is>
      </c>
      <c r="W286">
        <f>HYPERLINK("https://klasma.github.io/Logging_0883/artfynd/A 40924-2022 artfynd.xlsx", "A 40924-2022")</f>
        <v/>
      </c>
      <c r="X286">
        <f>HYPERLINK("https://klasma.github.io/Logging_0883/kartor/A 40924-2022 karta.png", "A 40924-2022")</f>
        <v/>
      </c>
      <c r="Y286">
        <f>HYPERLINK("https://klasma.github.io/Logging_0883/kartor_geotiff/A 40924-2022 georefererad karta.tif", "A 40924-2022")</f>
        <v/>
      </c>
      <c r="AA286">
        <f>HYPERLINK("https://klasma.github.io/Logging_0883/klagomål/A 40924-2022 FSC-klagomål.docx", "A 40924-2022")</f>
        <v/>
      </c>
      <c r="AB286">
        <f>HYPERLINK("https://klasma.github.io/Logging_0883/klagomålsmail/A 40924-2022 FSC-klagomål mail.docx", "A 40924-2022")</f>
        <v/>
      </c>
      <c r="AC286">
        <f>HYPERLINK("https://klasma.github.io/Logging_0883/tillsyn/A 40924-2022 tillsynsbegäran.docx", "A 40924-2022")</f>
        <v/>
      </c>
      <c r="AD286">
        <f>HYPERLINK("https://klasma.github.io/Logging_0883/tillsynsmail/A 40924-2022 tillsynsbegäran mail.docx", "A 40924-2022")</f>
        <v/>
      </c>
    </row>
    <row r="287" ht="15" customHeight="1">
      <c r="A287" t="inlineStr">
        <is>
          <t>A 58221-2025</t>
        </is>
      </c>
      <c r="B287" t="inlineStr">
        <is>
          <t>avverkningsanmälan</t>
        </is>
      </c>
      <c r="C287" t="inlineStr">
        <is>
          <t>Föryngringsavverkning</t>
        </is>
      </c>
      <c r="D287" s="1" t="n">
        <v>45985</v>
      </c>
      <c r="E287" s="1" t="n">
        <v>46323</v>
      </c>
      <c r="F287" t="inlineStr">
        <is>
          <t>KALMAR LÄN</t>
        </is>
      </c>
      <c r="G287" t="inlineStr">
        <is>
          <t>VÄSTERVIK</t>
        </is>
      </c>
      <c r="I287" t="n">
        <v>1.5</v>
      </c>
      <c r="J287" t="n">
        <v>0</v>
      </c>
      <c r="K287" t="n">
        <v>0</v>
      </c>
      <c r="L287" t="n">
        <v>1</v>
      </c>
      <c r="M287" t="n">
        <v>0</v>
      </c>
      <c r="N287" t="n">
        <v>0</v>
      </c>
      <c r="O287" t="n">
        <v>0</v>
      </c>
      <c r="P287" t="n">
        <v>0</v>
      </c>
      <c r="Q287" t="n">
        <v>1</v>
      </c>
      <c r="R287" t="n">
        <v>0</v>
      </c>
      <c r="S287" t="n">
        <v>1</v>
      </c>
      <c r="T287" t="n">
        <v>1</v>
      </c>
      <c r="U287" t="n">
        <v>1</v>
      </c>
      <c r="V287" s="2" t="inlineStr">
        <is>
          <t>Tallticka</t>
        </is>
      </c>
      <c r="W287">
        <f>HYPERLINK("https://klasma.github.io/Logging_0883/artfynd/A 58221-2025 artfynd.xlsx", "A 58221-2025")</f>
        <v/>
      </c>
      <c r="X287">
        <f>HYPERLINK("https://klasma.github.io/Logging_0883/kartor/A 58221-2025 karta.png", "A 58221-2025")</f>
        <v/>
      </c>
      <c r="Y287">
        <f>HYPERLINK("https://klasma.github.io/Logging_0883/kartor_geotiff/A 58221-2025 georefererad karta.tif", "A 58221-2025")</f>
        <v/>
      </c>
      <c r="AA287">
        <f>HYPERLINK("https://klasma.github.io/Logging_0883/klagomål/A 58221-2025 FSC-klagomål.docx", "A 58221-2025")</f>
        <v/>
      </c>
      <c r="AB287">
        <f>HYPERLINK("https://klasma.github.io/Logging_0883/klagomålsmail/A 58221-2025 FSC-klagomål mail.docx", "A 58221-2025")</f>
        <v/>
      </c>
      <c r="AC287">
        <f>HYPERLINK("https://klasma.github.io/Logging_0883/tillsyn/A 58221-2025 tillsynsbegäran.docx", "A 58221-2025")</f>
        <v/>
      </c>
      <c r="AD287">
        <f>HYPERLINK("https://klasma.github.io/Logging_0883/tillsynsmail/A 58221-2025 tillsynsbegäran mail.docx", "A 58221-2025")</f>
        <v/>
      </c>
    </row>
    <row r="288" ht="15" customHeight="1">
      <c r="A288" t="inlineStr">
        <is>
          <t>A 35962-2023</t>
        </is>
      </c>
      <c r="B288" t="inlineStr">
        <is>
          <t>avverkningsanmälan</t>
        </is>
      </c>
      <c r="C288" t="inlineStr">
        <is>
          <t>Föryngringsavverkning</t>
        </is>
      </c>
      <c r="D288" s="1" t="n">
        <v>45148</v>
      </c>
      <c r="E288" s="1" t="n">
        <v>46323</v>
      </c>
      <c r="F288" t="inlineStr">
        <is>
          <t>KALMAR LÄN</t>
        </is>
      </c>
      <c r="G288" t="inlineStr">
        <is>
          <t>VÄSTERVIK</t>
        </is>
      </c>
      <c r="H288" t="inlineStr">
        <is>
          <t>Sveaskog</t>
        </is>
      </c>
      <c r="I288" t="n">
        <v>2.1</v>
      </c>
      <c r="J288" t="n">
        <v>0</v>
      </c>
      <c r="K288" t="n">
        <v>0</v>
      </c>
      <c r="L288" t="n">
        <v>1</v>
      </c>
      <c r="M288" t="n">
        <v>0</v>
      </c>
      <c r="N288" t="n">
        <v>0</v>
      </c>
      <c r="O288" t="n">
        <v>0</v>
      </c>
      <c r="P288" t="n">
        <v>0</v>
      </c>
      <c r="Q288" t="n">
        <v>1</v>
      </c>
      <c r="R288" t="n">
        <v>0</v>
      </c>
      <c r="S288" t="n">
        <v>1</v>
      </c>
      <c r="T288" t="n">
        <v>2</v>
      </c>
      <c r="U288" t="n">
        <v>0</v>
      </c>
      <c r="V288" s="2" t="inlineStr">
        <is>
          <t>Ekticka</t>
        </is>
      </c>
      <c r="W288">
        <f>HYPERLINK("https://klasma.github.io/Logging_0883/artfynd/A 35962-2023 artfynd.xlsx", "A 35962-2023")</f>
        <v/>
      </c>
      <c r="X288">
        <f>HYPERLINK("https://klasma.github.io/Logging_0883/kartor/A 35962-2023 karta.png", "A 35962-2023")</f>
        <v/>
      </c>
      <c r="Y288">
        <f>HYPERLINK("https://klasma.github.io/Logging_0883/kartor_geotiff/A 35962-2023 georefererad karta.tif", "A 35962-2023")</f>
        <v/>
      </c>
      <c r="AA288">
        <f>HYPERLINK("https://klasma.github.io/Logging_0883/klagomål/A 35962-2023 FSC-klagomål.docx", "A 35962-2023")</f>
        <v/>
      </c>
      <c r="AB288">
        <f>HYPERLINK("https://klasma.github.io/Logging_0883/klagomålsmail/A 35962-2023 FSC-klagomål mail.docx", "A 35962-2023")</f>
        <v/>
      </c>
      <c r="AC288">
        <f>HYPERLINK("https://klasma.github.io/Logging_0883/tillsyn/A 35962-2023 tillsynsbegäran.docx", "A 35962-2023")</f>
        <v/>
      </c>
      <c r="AD288">
        <f>HYPERLINK("https://klasma.github.io/Logging_0883/tillsynsmail/A 35962-2023 tillsynsbegäran mail.docx", "A 35962-2023")</f>
        <v/>
      </c>
    </row>
    <row r="289" ht="15" customHeight="1">
      <c r="A289" t="inlineStr">
        <is>
          <t>A 6634-2025</t>
        </is>
      </c>
      <c r="B289" t="inlineStr">
        <is>
          <t>avverkningsanmälan</t>
        </is>
      </c>
      <c r="C289" t="inlineStr">
        <is>
          <t>Föryngringsavverkning</t>
        </is>
      </c>
      <c r="D289" s="1" t="n">
        <v>45700</v>
      </c>
      <c r="E289" s="1" t="n">
        <v>46323</v>
      </c>
      <c r="F289" t="inlineStr">
        <is>
          <t>KALMAR LÄN</t>
        </is>
      </c>
      <c r="G289" t="inlineStr">
        <is>
          <t>VÄSTERVIK</t>
        </is>
      </c>
      <c r="I289" t="n">
        <v>2.2</v>
      </c>
      <c r="J289" t="n">
        <v>0</v>
      </c>
      <c r="K289" t="n">
        <v>1</v>
      </c>
      <c r="L289" t="n">
        <v>0</v>
      </c>
      <c r="M289" t="n">
        <v>0</v>
      </c>
      <c r="N289" t="n">
        <v>0</v>
      </c>
      <c r="O289" t="n">
        <v>0</v>
      </c>
      <c r="P289" t="n">
        <v>0</v>
      </c>
      <c r="Q289" t="n">
        <v>0</v>
      </c>
      <c r="R289" t="n">
        <v>0</v>
      </c>
      <c r="S289" t="n">
        <v>1</v>
      </c>
      <c r="T289" t="n">
        <v>1</v>
      </c>
      <c r="U289" t="n">
        <v>1</v>
      </c>
      <c r="V289" s="2" t="inlineStr">
        <is>
          <t>Ögonpyrola</t>
        </is>
      </c>
      <c r="W289">
        <f>HYPERLINK("https://klasma.github.io/Logging_0883/artfynd/A 6634-2025 artfynd.xlsx", "A 6634-2025")</f>
        <v/>
      </c>
      <c r="X289">
        <f>HYPERLINK("https://klasma.github.io/Logging_0883/kartor/A 6634-2025 karta.png", "A 6634-2025")</f>
        <v/>
      </c>
      <c r="Y289">
        <f>HYPERLINK("https://klasma.github.io/Logging_0883/kartor_geotiff/A 6634-2025 georefererad karta.tif", "A 6634-2025")</f>
        <v/>
      </c>
      <c r="AA289">
        <f>HYPERLINK("https://klasma.github.io/Logging_0883/klagomål/A 6634-2025 FSC-klagomål.docx", "A 6634-2025")</f>
        <v/>
      </c>
      <c r="AB289">
        <f>HYPERLINK("https://klasma.github.io/Logging_0883/klagomålsmail/A 6634-2025 FSC-klagomål mail.docx", "A 6634-2025")</f>
        <v/>
      </c>
      <c r="AC289">
        <f>HYPERLINK("https://klasma.github.io/Logging_0883/tillsyn/A 6634-2025 tillsynsbegäran.docx", "A 6634-2025")</f>
        <v/>
      </c>
      <c r="AD289">
        <f>HYPERLINK("https://klasma.github.io/Logging_0883/tillsynsmail/A 6634-2025 tillsynsbegäran mail.docx", "A 6634-2025")</f>
        <v/>
      </c>
    </row>
    <row r="290" ht="15" customHeight="1">
      <c r="A290" t="inlineStr">
        <is>
          <t>A 3600-2025</t>
        </is>
      </c>
      <c r="B290" t="inlineStr">
        <is>
          <t>avverkningsanmälan</t>
        </is>
      </c>
      <c r="C290" t="inlineStr">
        <is>
          <t>Föryngringsavverkning</t>
        </is>
      </c>
      <c r="D290" s="1" t="n">
        <v>45681</v>
      </c>
      <c r="E290" s="1" t="n">
        <v>46323</v>
      </c>
      <c r="F290" t="inlineStr">
        <is>
          <t>KALMAR LÄN</t>
        </is>
      </c>
      <c r="G290" t="inlineStr">
        <is>
          <t>VÄSTERVIK</t>
        </is>
      </c>
      <c r="I290" t="n">
        <v>1</v>
      </c>
      <c r="J290" t="n">
        <v>1</v>
      </c>
      <c r="K290" t="n">
        <v>0</v>
      </c>
      <c r="L290" t="n">
        <v>0</v>
      </c>
      <c r="M290" t="n">
        <v>0</v>
      </c>
      <c r="N290" t="n">
        <v>0</v>
      </c>
      <c r="O290" t="n">
        <v>0</v>
      </c>
      <c r="P290" t="n">
        <v>0</v>
      </c>
      <c r="Q290" t="n">
        <v>0</v>
      </c>
      <c r="R290" t="n">
        <v>0</v>
      </c>
      <c r="S290" t="n">
        <v>1</v>
      </c>
      <c r="T290" t="n">
        <v>1</v>
      </c>
      <c r="U290" t="n">
        <v>1</v>
      </c>
      <c r="V290" s="2" t="inlineStr">
        <is>
          <t>Spillkråka</t>
        </is>
      </c>
      <c r="W290">
        <f>HYPERLINK("https://klasma.github.io/Logging_0883/artfynd/A 3600-2025 artfynd.xlsx", "A 3600-2025")</f>
        <v/>
      </c>
      <c r="X290">
        <f>HYPERLINK("https://klasma.github.io/Logging_0883/kartor/A 3600-2025 karta.png", "A 3600-2025")</f>
        <v/>
      </c>
      <c r="Y290">
        <f>HYPERLINK("https://klasma.github.io/Logging_0883/kartor_geotiff/A 3600-2025 georefererad karta.tif", "A 3600-2025")</f>
        <v/>
      </c>
      <c r="AA290">
        <f>HYPERLINK("https://klasma.github.io/Logging_0883/klagomål/A 3600-2025 FSC-klagomål.docx", "A 3600-2025")</f>
        <v/>
      </c>
      <c r="AB290">
        <f>HYPERLINK("https://klasma.github.io/Logging_0883/klagomålsmail/A 3600-2025 FSC-klagomål mail.docx", "A 3600-2025")</f>
        <v/>
      </c>
      <c r="AC290">
        <f>HYPERLINK("https://klasma.github.io/Logging_0883/tillsyn/A 3600-2025 tillsynsbegäran.docx", "A 3600-2025")</f>
        <v/>
      </c>
      <c r="AD290">
        <f>HYPERLINK("https://klasma.github.io/Logging_0883/tillsynsmail/A 3600-2025 tillsynsbegäran mail.docx", "A 3600-2025")</f>
        <v/>
      </c>
      <c r="AE290">
        <f>HYPERLINK("https://klasma.github.io/Logging_0883/fåglar/A 3600-2025 prioriterade fågelarter.docx", "A 3600-2025")</f>
        <v/>
      </c>
    </row>
    <row r="291" ht="15" customHeight="1">
      <c r="A291" t="inlineStr">
        <is>
          <t>A 16395-2024</t>
        </is>
      </c>
      <c r="B291" t="inlineStr">
        <is>
          <t>avverkningsanmälan</t>
        </is>
      </c>
      <c r="C291" t="inlineStr">
        <is>
          <t>Föryngringsavverkning</t>
        </is>
      </c>
      <c r="D291" s="1" t="n">
        <v>45407</v>
      </c>
      <c r="E291" s="1" t="n">
        <v>46323</v>
      </c>
      <c r="F291" t="inlineStr">
        <is>
          <t>KALMAR LÄN</t>
        </is>
      </c>
      <c r="G291" t="inlineStr">
        <is>
          <t>VÄSTERVIK</t>
        </is>
      </c>
      <c r="I291" t="n">
        <v>1.3</v>
      </c>
      <c r="J291" t="n">
        <v>1</v>
      </c>
      <c r="K291" t="n">
        <v>0</v>
      </c>
      <c r="L291" t="n">
        <v>0</v>
      </c>
      <c r="M291" t="n">
        <v>1</v>
      </c>
      <c r="N291" t="n">
        <v>0</v>
      </c>
      <c r="O291" t="n">
        <v>0</v>
      </c>
      <c r="P291" t="n">
        <v>0</v>
      </c>
      <c r="Q291" t="n">
        <v>1</v>
      </c>
      <c r="R291" t="n">
        <v>1</v>
      </c>
      <c r="S291" t="n">
        <v>1</v>
      </c>
      <c r="T291" t="n">
        <v>2</v>
      </c>
      <c r="U291" t="n">
        <v>0</v>
      </c>
      <c r="V291" s="2" t="inlineStr">
        <is>
          <t>Knärot</t>
        </is>
      </c>
      <c r="W291">
        <f>HYPERLINK("https://klasma.github.io/Logging_0883/artfynd/A 16395-2024 artfynd.xlsx", "A 16395-2024")</f>
        <v/>
      </c>
      <c r="X291">
        <f>HYPERLINK("https://klasma.github.io/Logging_0883/kartor/A 16395-2024 karta.png", "A 16395-2024")</f>
        <v/>
      </c>
      <c r="Y291">
        <f>HYPERLINK("https://klasma.github.io/Logging_0883/kartor_geotiff/A 16395-2024 georefererad karta.tif", "A 16395-2024")</f>
        <v/>
      </c>
      <c r="Z291">
        <f>HYPERLINK("https://klasma.github.io/Logging_0883/knärot/A 16395-2024 karta knärot.png", "A 16395-2024")</f>
        <v/>
      </c>
      <c r="AA291">
        <f>HYPERLINK("https://klasma.github.io/Logging_0883/klagomål/A 16395-2024 FSC-klagomål.docx", "A 16395-2024")</f>
        <v/>
      </c>
      <c r="AB291">
        <f>HYPERLINK("https://klasma.github.io/Logging_0883/klagomålsmail/A 16395-2024 FSC-klagomål mail.docx", "A 16395-2024")</f>
        <v/>
      </c>
      <c r="AC291">
        <f>HYPERLINK("https://klasma.github.io/Logging_0883/tillsyn/A 16395-2024 tillsynsbegäran.docx", "A 16395-2024")</f>
        <v/>
      </c>
      <c r="AD291">
        <f>HYPERLINK("https://klasma.github.io/Logging_0883/tillsynsmail/A 16395-2024 tillsynsbegäran mail.docx", "A 16395-2024")</f>
        <v/>
      </c>
    </row>
    <row r="292" ht="15" customHeight="1">
      <c r="A292" t="inlineStr">
        <is>
          <t>A 32396-2026</t>
        </is>
      </c>
      <c r="B292" t="inlineStr">
        <is>
          <t>avverkningsanmälan</t>
        </is>
      </c>
      <c r="C292" t="inlineStr">
        <is>
          <t>Föryngringsavverkning</t>
        </is>
      </c>
      <c r="D292" s="1" t="n">
        <v>46238</v>
      </c>
      <c r="E292" s="1" t="n">
        <v>46323</v>
      </c>
      <c r="F292" t="inlineStr">
        <is>
          <t>KALMAR LÄN</t>
        </is>
      </c>
      <c r="G292" t="inlineStr">
        <is>
          <t>VÄSTERVIK</t>
        </is>
      </c>
      <c r="I292" t="n">
        <v>2.4</v>
      </c>
      <c r="J292" t="n">
        <v>0</v>
      </c>
      <c r="K292" t="n">
        <v>0</v>
      </c>
      <c r="L292" t="n">
        <v>1</v>
      </c>
      <c r="M292" t="n">
        <v>0</v>
      </c>
      <c r="N292" t="n">
        <v>0</v>
      </c>
      <c r="O292" t="n">
        <v>0</v>
      </c>
      <c r="P292" t="n">
        <v>0</v>
      </c>
      <c r="Q292" t="n">
        <v>1</v>
      </c>
      <c r="R292" t="n">
        <v>0</v>
      </c>
      <c r="S292" t="n">
        <v>1</v>
      </c>
      <c r="T292" t="n">
        <v>1</v>
      </c>
      <c r="U292" t="n">
        <v>0</v>
      </c>
      <c r="V292" s="2" t="inlineStr">
        <is>
          <t>Vårstarr</t>
        </is>
      </c>
      <c r="W292">
        <f>HYPERLINK("https://klasma.github.io/Logging_0883/artfynd/A 32396-2026 artfynd.xlsx", "A 32396-2026")</f>
        <v/>
      </c>
      <c r="X292">
        <f>HYPERLINK("https://klasma.github.io/Logging_0883/kartor/A 32396-2026 karta.png", "A 32396-2026")</f>
        <v/>
      </c>
      <c r="Y292">
        <f>HYPERLINK("https://klasma.github.io/Logging_0883/kartor_geotiff/A 32396-2026 georefererad karta.tif", "A 32396-2026")</f>
        <v/>
      </c>
      <c r="AA292">
        <f>HYPERLINK("https://klasma.github.io/Logging_0883/klagomål/A 32396-2026 FSC-klagomål.docx", "A 32396-2026")</f>
        <v/>
      </c>
      <c r="AB292">
        <f>HYPERLINK("https://klasma.github.io/Logging_0883/klagomålsmail/A 32396-2026 FSC-klagomål mail.docx", "A 32396-2026")</f>
        <v/>
      </c>
      <c r="AC292">
        <f>HYPERLINK("https://klasma.github.io/Logging_0883/tillsyn/A 32396-2026 tillsynsbegäran.docx", "A 32396-2026")</f>
        <v/>
      </c>
      <c r="AD292">
        <f>HYPERLINK("https://klasma.github.io/Logging_0883/tillsynsmail/A 32396-2026 tillsynsbegäran mail.docx", "A 32396-2026")</f>
        <v/>
      </c>
    </row>
    <row r="293" ht="15" customHeight="1">
      <c r="A293" t="inlineStr">
        <is>
          <t>A 32689-2026</t>
        </is>
      </c>
      <c r="B293" t="inlineStr">
        <is>
          <t>avverkningsanmälan</t>
        </is>
      </c>
      <c r="C293" t="inlineStr">
        <is>
          <t>Föryngringsavverkning</t>
        </is>
      </c>
      <c r="D293" s="1" t="n">
        <v>46240</v>
      </c>
      <c r="E293" s="1" t="n">
        <v>46323</v>
      </c>
      <c r="F293" t="inlineStr">
        <is>
          <t>KALMAR LÄN</t>
        </is>
      </c>
      <c r="G293" t="inlineStr">
        <is>
          <t>VÄSTERVIK</t>
        </is>
      </c>
      <c r="I293" t="n">
        <v>4.3</v>
      </c>
      <c r="J293" t="n">
        <v>1</v>
      </c>
      <c r="K293" t="n">
        <v>0</v>
      </c>
      <c r="L293" t="n">
        <v>1</v>
      </c>
      <c r="M293" t="n">
        <v>0</v>
      </c>
      <c r="N293" t="n">
        <v>0</v>
      </c>
      <c r="O293" t="n">
        <v>0</v>
      </c>
      <c r="P293" t="n">
        <v>0</v>
      </c>
      <c r="Q293" t="n">
        <v>1</v>
      </c>
      <c r="R293" t="n">
        <v>0</v>
      </c>
      <c r="S293" t="n">
        <v>1</v>
      </c>
      <c r="T293" t="n">
        <v>1</v>
      </c>
      <c r="U293" t="n">
        <v>0</v>
      </c>
      <c r="V293" s="2" t="inlineStr">
        <is>
          <t>Adam och eva</t>
        </is>
      </c>
      <c r="W293">
        <f>HYPERLINK("https://klasma.github.io/Logging_0883/artfynd/A 32689-2026 artfynd.xlsx", "A 32689-2026")</f>
        <v/>
      </c>
      <c r="X293">
        <f>HYPERLINK("https://klasma.github.io/Logging_0883/kartor/A 32689-2026 karta.png", "A 32689-2026")</f>
        <v/>
      </c>
      <c r="Y293">
        <f>HYPERLINK("https://klasma.github.io/Logging_0883/kartor_geotiff/A 32689-2026 georefererad karta.tif", "A 32689-2026")</f>
        <v/>
      </c>
      <c r="AA293">
        <f>HYPERLINK("https://klasma.github.io/Logging_0883/klagomål/A 32689-2026 FSC-klagomål.docx", "A 32689-2026")</f>
        <v/>
      </c>
      <c r="AB293">
        <f>HYPERLINK("https://klasma.github.io/Logging_0883/klagomålsmail/A 32689-2026 FSC-klagomål mail.docx", "A 32689-2026")</f>
        <v/>
      </c>
      <c r="AC293">
        <f>HYPERLINK("https://klasma.github.io/Logging_0883/tillsyn/A 32689-2026 tillsynsbegäran.docx", "A 32689-2026")</f>
        <v/>
      </c>
      <c r="AD293">
        <f>HYPERLINK("https://klasma.github.io/Logging_0883/tillsynsmail/A 32689-2026 tillsynsbegäran mail.docx", "A 32689-2026")</f>
        <v/>
      </c>
    </row>
    <row r="294" ht="15" customHeight="1">
      <c r="A294" t="inlineStr">
        <is>
          <t>A 14075-2025</t>
        </is>
      </c>
      <c r="B294" t="inlineStr">
        <is>
          <t>avverkningsanmälan</t>
        </is>
      </c>
      <c r="C294" t="inlineStr">
        <is>
          <t>Föryngringsavverkning</t>
        </is>
      </c>
      <c r="D294" s="1" t="n">
        <v>45740</v>
      </c>
      <c r="E294" s="1" t="n">
        <v>46323</v>
      </c>
      <c r="F294" t="inlineStr">
        <is>
          <t>KALMAR LÄN</t>
        </is>
      </c>
      <c r="G294" t="inlineStr">
        <is>
          <t>VÄSTERVIK</t>
        </is>
      </c>
      <c r="H294" t="inlineStr">
        <is>
          <t>Sveaskog</t>
        </is>
      </c>
      <c r="I294" t="n">
        <v>4.6</v>
      </c>
      <c r="J294" t="n">
        <v>1</v>
      </c>
      <c r="K294" t="n">
        <v>0</v>
      </c>
      <c r="L294" t="n">
        <v>0</v>
      </c>
      <c r="M294" t="n">
        <v>0</v>
      </c>
      <c r="N294" t="n">
        <v>0</v>
      </c>
      <c r="O294" t="n">
        <v>0</v>
      </c>
      <c r="P294" t="n">
        <v>0</v>
      </c>
      <c r="Q294" t="n">
        <v>0</v>
      </c>
      <c r="R294" t="n">
        <v>0</v>
      </c>
      <c r="S294" t="n">
        <v>1</v>
      </c>
      <c r="T294" t="n">
        <v>1</v>
      </c>
      <c r="U294" t="n">
        <v>1</v>
      </c>
      <c r="V294" s="2" t="inlineStr">
        <is>
          <t>Åkergroda</t>
        </is>
      </c>
      <c r="W294">
        <f>HYPERLINK("https://klasma.github.io/Logging_0883/artfynd/A 14075-2025 artfynd.xlsx", "A 14075-2025")</f>
        <v/>
      </c>
      <c r="X294">
        <f>HYPERLINK("https://klasma.github.io/Logging_0883/kartor/A 14075-2025 karta.png", "A 14075-2025")</f>
        <v/>
      </c>
      <c r="Y294">
        <f>HYPERLINK("https://klasma.github.io/Logging_0883/kartor_geotiff/A 14075-2025 georefererad karta.tif", "A 14075-2025")</f>
        <v/>
      </c>
      <c r="AA294">
        <f>HYPERLINK("https://klasma.github.io/Logging_0883/klagomål/A 14075-2025 FSC-klagomål.docx", "A 14075-2025")</f>
        <v/>
      </c>
      <c r="AB294">
        <f>HYPERLINK("https://klasma.github.io/Logging_0883/klagomålsmail/A 14075-2025 FSC-klagomål mail.docx", "A 14075-2025")</f>
        <v/>
      </c>
      <c r="AC294">
        <f>HYPERLINK("https://klasma.github.io/Logging_0883/tillsyn/A 14075-2025 tillsynsbegäran.docx", "A 14075-2025")</f>
        <v/>
      </c>
      <c r="AD294">
        <f>HYPERLINK("https://klasma.github.io/Logging_0883/tillsynsmail/A 14075-2025 tillsynsbegäran mail.docx", "A 14075-2025")</f>
        <v/>
      </c>
    </row>
    <row r="295" ht="15" customHeight="1">
      <c r="A295" t="inlineStr">
        <is>
          <t>A 15173-2026</t>
        </is>
      </c>
      <c r="B295" t="inlineStr">
        <is>
          <t>avverkningsanmälan</t>
        </is>
      </c>
      <c r="C295" t="inlineStr">
        <is>
          <t>Föryngringsavverkning</t>
        </is>
      </c>
      <c r="D295" s="1" t="n">
        <v>46105</v>
      </c>
      <c r="E295" s="1" t="n">
        <v>46323</v>
      </c>
      <c r="F295" t="inlineStr">
        <is>
          <t>KALMAR LÄN</t>
        </is>
      </c>
      <c r="G295" t="inlineStr">
        <is>
          <t>VÄSTERVIK</t>
        </is>
      </c>
      <c r="H295" t="inlineStr">
        <is>
          <t>Sveaskog</t>
        </is>
      </c>
      <c r="I295" t="n">
        <v>11.7</v>
      </c>
      <c r="J295" t="n">
        <v>1</v>
      </c>
      <c r="K295" t="n">
        <v>0</v>
      </c>
      <c r="L295" t="n">
        <v>0</v>
      </c>
      <c r="M295" t="n">
        <v>0</v>
      </c>
      <c r="N295" t="n">
        <v>0</v>
      </c>
      <c r="O295" t="n">
        <v>0</v>
      </c>
      <c r="P295" t="n">
        <v>0</v>
      </c>
      <c r="Q295" t="n">
        <v>0</v>
      </c>
      <c r="R295" t="n">
        <v>0</v>
      </c>
      <c r="S295" t="n">
        <v>1</v>
      </c>
      <c r="T295" t="n">
        <v>1</v>
      </c>
      <c r="U295" t="n">
        <v>0</v>
      </c>
      <c r="V295" s="2" t="inlineStr">
        <is>
          <t>Blåsippa</t>
        </is>
      </c>
      <c r="W295">
        <f>HYPERLINK("https://klasma.github.io/Logging_0883/artfynd/A 15173-2026 artfynd.xlsx", "A 15173-2026")</f>
        <v/>
      </c>
      <c r="X295">
        <f>HYPERLINK("https://klasma.github.io/Logging_0883/kartor/A 15173-2026 karta.png", "A 15173-2026")</f>
        <v/>
      </c>
      <c r="Y295">
        <f>HYPERLINK("https://klasma.github.io/Logging_0883/kartor_geotiff/A 15173-2026 georefererad karta.tif", "A 15173-2026")</f>
        <v/>
      </c>
      <c r="AA295">
        <f>HYPERLINK("https://klasma.github.io/Logging_0883/klagomål/A 15173-2026 FSC-klagomål.docx", "A 15173-2026")</f>
        <v/>
      </c>
      <c r="AB295">
        <f>HYPERLINK("https://klasma.github.io/Logging_0883/klagomålsmail/A 15173-2026 FSC-klagomål mail.docx", "A 15173-2026")</f>
        <v/>
      </c>
      <c r="AC295">
        <f>HYPERLINK("https://klasma.github.io/Logging_0883/tillsyn/A 15173-2026 tillsynsbegäran.docx", "A 15173-2026")</f>
        <v/>
      </c>
      <c r="AD295">
        <f>HYPERLINK("https://klasma.github.io/Logging_0883/tillsynsmail/A 15173-2026 tillsynsbegäran mail.docx", "A 15173-2026")</f>
        <v/>
      </c>
    </row>
    <row r="296" ht="15" customHeight="1">
      <c r="A296" t="inlineStr">
        <is>
          <t>A 15180-2026</t>
        </is>
      </c>
      <c r="B296" t="inlineStr">
        <is>
          <t>avverkningsanmälan</t>
        </is>
      </c>
      <c r="C296" t="inlineStr">
        <is>
          <t>Avverkning för att bevara och utveckla /försöksver</t>
        </is>
      </c>
      <c r="D296" s="1" t="n">
        <v>46105</v>
      </c>
      <c r="E296" s="1" t="n">
        <v>46323</v>
      </c>
      <c r="F296" t="inlineStr">
        <is>
          <t>KALMAR LÄN</t>
        </is>
      </c>
      <c r="G296" t="inlineStr">
        <is>
          <t>VÄSTERVIK</t>
        </is>
      </c>
      <c r="H296" t="inlineStr">
        <is>
          <t>Sveaskog</t>
        </is>
      </c>
      <c r="I296" t="n">
        <v>1.9</v>
      </c>
      <c r="J296" t="n">
        <v>1</v>
      </c>
      <c r="K296" t="n">
        <v>0</v>
      </c>
      <c r="L296" t="n">
        <v>0</v>
      </c>
      <c r="M296" t="n">
        <v>0</v>
      </c>
      <c r="N296" t="n">
        <v>0</v>
      </c>
      <c r="O296" t="n">
        <v>0</v>
      </c>
      <c r="P296" t="n">
        <v>0</v>
      </c>
      <c r="Q296" t="n">
        <v>0</v>
      </c>
      <c r="R296" t="n">
        <v>0</v>
      </c>
      <c r="S296" t="n">
        <v>1</v>
      </c>
      <c r="T296" t="n">
        <v>1</v>
      </c>
      <c r="U296" t="n">
        <v>0</v>
      </c>
      <c r="V296" s="2" t="inlineStr">
        <is>
          <t>Blåsippa</t>
        </is>
      </c>
      <c r="W296">
        <f>HYPERLINK("https://klasma.github.io/Logging_0883/artfynd/A 15180-2026 artfynd.xlsx", "A 15180-2026")</f>
        <v/>
      </c>
      <c r="X296">
        <f>HYPERLINK("https://klasma.github.io/Logging_0883/kartor/A 15180-2026 karta.png", "A 15180-2026")</f>
        <v/>
      </c>
      <c r="Y296">
        <f>HYPERLINK("https://klasma.github.io/Logging_0883/kartor_geotiff/A 15180-2026 georefererad karta.tif", "A 15180-2026")</f>
        <v/>
      </c>
      <c r="AA296">
        <f>HYPERLINK("https://klasma.github.io/Logging_0883/klagomål/A 15180-2026 FSC-klagomål.docx", "A 15180-2026")</f>
        <v/>
      </c>
      <c r="AB296">
        <f>HYPERLINK("https://klasma.github.io/Logging_0883/klagomålsmail/A 15180-2026 FSC-klagomål mail.docx", "A 15180-2026")</f>
        <v/>
      </c>
      <c r="AC296">
        <f>HYPERLINK("https://klasma.github.io/Logging_0883/tillsyn/A 15180-2026 tillsynsbegäran.docx", "A 15180-2026")</f>
        <v/>
      </c>
      <c r="AD296">
        <f>HYPERLINK("https://klasma.github.io/Logging_0883/tillsynsmail/A 15180-2026 tillsynsbegäran mail.docx", "A 15180-2026")</f>
        <v/>
      </c>
    </row>
    <row r="297" ht="15" customHeight="1">
      <c r="A297" t="inlineStr">
        <is>
          <t>A 440-2026</t>
        </is>
      </c>
      <c r="B297" t="inlineStr">
        <is>
          <t>avverkningsanmälan</t>
        </is>
      </c>
      <c r="C297" t="inlineStr">
        <is>
          <t>Föryngringsavverkning</t>
        </is>
      </c>
      <c r="D297" s="1" t="n">
        <v>46029</v>
      </c>
      <c r="E297" s="1" t="n">
        <v>46323</v>
      </c>
      <c r="F297" t="inlineStr">
        <is>
          <t>KALMAR LÄN</t>
        </is>
      </c>
      <c r="G297" t="inlineStr">
        <is>
          <t>VÄSTERVIK</t>
        </is>
      </c>
      <c r="I297" t="n">
        <v>3.9</v>
      </c>
      <c r="J297" t="n">
        <v>0</v>
      </c>
      <c r="K297" t="n">
        <v>0</v>
      </c>
      <c r="L297" t="n">
        <v>1</v>
      </c>
      <c r="M297" t="n">
        <v>0</v>
      </c>
      <c r="N297" t="n">
        <v>0</v>
      </c>
      <c r="O297" t="n">
        <v>0</v>
      </c>
      <c r="P297" t="n">
        <v>0</v>
      </c>
      <c r="Q297" t="n">
        <v>1</v>
      </c>
      <c r="R297" t="n">
        <v>0</v>
      </c>
      <c r="S297" t="n">
        <v>1</v>
      </c>
      <c r="T297" t="n">
        <v>1</v>
      </c>
      <c r="U297" t="n">
        <v>1</v>
      </c>
      <c r="V297" s="2" t="inlineStr">
        <is>
          <t>Tallticka</t>
        </is>
      </c>
      <c r="W297">
        <f>HYPERLINK("https://klasma.github.io/Logging_0883/artfynd/A 440-2026 artfynd.xlsx", "A 440-2026")</f>
        <v/>
      </c>
      <c r="X297">
        <f>HYPERLINK("https://klasma.github.io/Logging_0883/kartor/A 440-2026 karta.png", "A 440-2026")</f>
        <v/>
      </c>
      <c r="Y297">
        <f>HYPERLINK("https://klasma.github.io/Logging_0883/kartor_geotiff/A 440-2026 georefererad karta.tif", "A 440-2026")</f>
        <v/>
      </c>
      <c r="AA297">
        <f>HYPERLINK("https://klasma.github.io/Logging_0883/klagomål/A 440-2026 FSC-klagomål.docx", "A 440-2026")</f>
        <v/>
      </c>
      <c r="AB297">
        <f>HYPERLINK("https://klasma.github.io/Logging_0883/klagomålsmail/A 440-2026 FSC-klagomål mail.docx", "A 440-2026")</f>
        <v/>
      </c>
      <c r="AC297">
        <f>HYPERLINK("https://klasma.github.io/Logging_0883/tillsyn/A 440-2026 tillsynsbegäran.docx", "A 440-2026")</f>
        <v/>
      </c>
      <c r="AD297">
        <f>HYPERLINK("https://klasma.github.io/Logging_0883/tillsynsmail/A 440-2026 tillsynsbegäran mail.docx", "A 440-2026")</f>
        <v/>
      </c>
    </row>
    <row r="298" ht="15" customHeight="1">
      <c r="A298" t="inlineStr">
        <is>
          <t>A 15161-2026</t>
        </is>
      </c>
      <c r="B298" t="inlineStr">
        <is>
          <t>avverkningsanmälan</t>
        </is>
      </c>
      <c r="C298" t="inlineStr">
        <is>
          <t>Föryngringsavverkning</t>
        </is>
      </c>
      <c r="D298" s="1" t="n">
        <v>46105</v>
      </c>
      <c r="E298" s="1" t="n">
        <v>46323</v>
      </c>
      <c r="F298" t="inlineStr">
        <is>
          <t>KALMAR LÄN</t>
        </is>
      </c>
      <c r="G298" t="inlineStr">
        <is>
          <t>VÄSTERVIK</t>
        </is>
      </c>
      <c r="H298" t="inlineStr">
        <is>
          <t>Sveaskog</t>
        </is>
      </c>
      <c r="I298" t="n">
        <v>6.2</v>
      </c>
      <c r="J298" t="n">
        <v>1</v>
      </c>
      <c r="K298" t="n">
        <v>0</v>
      </c>
      <c r="L298" t="n">
        <v>0</v>
      </c>
      <c r="M298" t="n">
        <v>0</v>
      </c>
      <c r="N298" t="n">
        <v>0</v>
      </c>
      <c r="O298" t="n">
        <v>0</v>
      </c>
      <c r="P298" t="n">
        <v>0</v>
      </c>
      <c r="Q298" t="n">
        <v>0</v>
      </c>
      <c r="R298" t="n">
        <v>0</v>
      </c>
      <c r="S298" t="n">
        <v>1</v>
      </c>
      <c r="T298" t="n">
        <v>1</v>
      </c>
      <c r="U298" t="n">
        <v>1</v>
      </c>
      <c r="V298" s="2" t="inlineStr">
        <is>
          <t>Grönsiska</t>
        </is>
      </c>
      <c r="W298">
        <f>HYPERLINK("https://klasma.github.io/Logging_0883/artfynd/A 15161-2026 artfynd.xlsx", "A 15161-2026")</f>
        <v/>
      </c>
      <c r="X298">
        <f>HYPERLINK("https://klasma.github.io/Logging_0883/kartor/A 15161-2026 karta.png", "A 15161-2026")</f>
        <v/>
      </c>
      <c r="Y298">
        <f>HYPERLINK("https://klasma.github.io/Logging_0883/kartor_geotiff/A 15161-2026 georefererad karta.tif", "A 15161-2026")</f>
        <v/>
      </c>
      <c r="AA298">
        <f>HYPERLINK("https://klasma.github.io/Logging_0883/klagomål/A 15161-2026 FSC-klagomål.docx", "A 15161-2026")</f>
        <v/>
      </c>
      <c r="AB298">
        <f>HYPERLINK("https://klasma.github.io/Logging_0883/klagomålsmail/A 15161-2026 FSC-klagomål mail.docx", "A 15161-2026")</f>
        <v/>
      </c>
      <c r="AC298">
        <f>HYPERLINK("https://klasma.github.io/Logging_0883/tillsyn/A 15161-2026 tillsynsbegäran.docx", "A 15161-2026")</f>
        <v/>
      </c>
      <c r="AD298">
        <f>HYPERLINK("https://klasma.github.io/Logging_0883/tillsynsmail/A 15161-2026 tillsynsbegäran mail.docx", "A 15161-2026")</f>
        <v/>
      </c>
    </row>
    <row r="299" ht="15" customHeight="1">
      <c r="A299" t="inlineStr">
        <is>
          <t>A 4120-2026</t>
        </is>
      </c>
      <c r="B299" t="inlineStr">
        <is>
          <t>avverkningsanmälan</t>
        </is>
      </c>
      <c r="C299" t="inlineStr">
        <is>
          <t>Föryngringsavverkning</t>
        </is>
      </c>
      <c r="D299" s="1" t="n">
        <v>46044</v>
      </c>
      <c r="E299" s="1" t="n">
        <v>46323</v>
      </c>
      <c r="F299" t="inlineStr">
        <is>
          <t>KALMAR LÄN</t>
        </is>
      </c>
      <c r="G299" t="inlineStr">
        <is>
          <t>VÄSTERVIK</t>
        </is>
      </c>
      <c r="I299" t="n">
        <v>4</v>
      </c>
      <c r="J299" t="n">
        <v>1</v>
      </c>
      <c r="K299" t="n">
        <v>0</v>
      </c>
      <c r="L299" t="n">
        <v>0</v>
      </c>
      <c r="M299" t="n">
        <v>0</v>
      </c>
      <c r="N299" t="n">
        <v>0</v>
      </c>
      <c r="O299" t="n">
        <v>0</v>
      </c>
      <c r="P299" t="n">
        <v>0</v>
      </c>
      <c r="Q299" t="n">
        <v>0</v>
      </c>
      <c r="R299" t="n">
        <v>0</v>
      </c>
      <c r="S299" t="n">
        <v>1</v>
      </c>
      <c r="T299" t="n">
        <v>3</v>
      </c>
      <c r="U299" t="n">
        <v>3</v>
      </c>
      <c r="V299" s="2" t="inlineStr">
        <is>
          <t>Tjäder</t>
        </is>
      </c>
      <c r="W299">
        <f>HYPERLINK("https://klasma.github.io/Logging_0883/artfynd/A 4120-2026 artfynd.xlsx", "A 4120-2026")</f>
        <v/>
      </c>
      <c r="X299">
        <f>HYPERLINK("https://klasma.github.io/Logging_0883/kartor/A 4120-2026 karta.png", "A 4120-2026")</f>
        <v/>
      </c>
      <c r="Y299">
        <f>HYPERLINK("https://klasma.github.io/Logging_0883/kartor_geotiff/A 4120-2026 georefererad karta.tif", "A 4120-2026")</f>
        <v/>
      </c>
      <c r="AA299">
        <f>HYPERLINK("https://klasma.github.io/Logging_0883/klagomål/A 4120-2026 FSC-klagomål.docx", "A 4120-2026")</f>
        <v/>
      </c>
      <c r="AB299">
        <f>HYPERLINK("https://klasma.github.io/Logging_0883/klagomålsmail/A 4120-2026 FSC-klagomål mail.docx", "A 4120-2026")</f>
        <v/>
      </c>
      <c r="AC299">
        <f>HYPERLINK("https://klasma.github.io/Logging_0883/tillsyn/A 4120-2026 tillsynsbegäran.docx", "A 4120-2026")</f>
        <v/>
      </c>
      <c r="AD299">
        <f>HYPERLINK("https://klasma.github.io/Logging_0883/tillsynsmail/A 4120-2026 tillsynsbegäran mail.docx", "A 4120-2026")</f>
        <v/>
      </c>
      <c r="AE299">
        <f>HYPERLINK("https://klasma.github.io/Logging_0883/fåglar/A 4120-2026 prioriterade fågelarter.docx", "A 4120-2026")</f>
        <v/>
      </c>
    </row>
    <row r="300" ht="15" customHeight="1">
      <c r="A300" t="inlineStr">
        <is>
          <t>A 59871-2022</t>
        </is>
      </c>
      <c r="B300" t="inlineStr">
        <is>
          <t>avverkningsanmälan</t>
        </is>
      </c>
      <c r="C300" t="inlineStr">
        <is>
          <t>Föryngringsavverkning</t>
        </is>
      </c>
      <c r="D300" s="1" t="n">
        <v>44908</v>
      </c>
      <c r="E300" s="1" t="n">
        <v>46323</v>
      </c>
      <c r="F300" t="inlineStr">
        <is>
          <t>KALMAR LÄN</t>
        </is>
      </c>
      <c r="G300" t="inlineStr">
        <is>
          <t>VÄSTERVIK</t>
        </is>
      </c>
      <c r="H300" t="inlineStr">
        <is>
          <t>Övriga Aktiebolag</t>
        </is>
      </c>
      <c r="I300" t="n">
        <v>0.4</v>
      </c>
      <c r="J300" t="n">
        <v>1</v>
      </c>
      <c r="K300" t="n">
        <v>1</v>
      </c>
      <c r="L300" t="n">
        <v>0</v>
      </c>
      <c r="M300" t="n">
        <v>0</v>
      </c>
      <c r="N300" t="n">
        <v>0</v>
      </c>
      <c r="O300" t="n">
        <v>0</v>
      </c>
      <c r="P300" t="n">
        <v>0</v>
      </c>
      <c r="Q300" t="n">
        <v>0</v>
      </c>
      <c r="R300" t="n">
        <v>0</v>
      </c>
      <c r="S300" t="n">
        <v>1</v>
      </c>
      <c r="T300" t="n">
        <v>1</v>
      </c>
      <c r="U300" t="n">
        <v>0</v>
      </c>
      <c r="V300" s="2" t="inlineStr">
        <is>
          <t>Grön sköldmossa</t>
        </is>
      </c>
      <c r="W300">
        <f>HYPERLINK("https://klasma.github.io/Logging_0883/artfynd/A 59871-2022 artfynd.xlsx", "A 59871-2022")</f>
        <v/>
      </c>
      <c r="X300">
        <f>HYPERLINK("https://klasma.github.io/Logging_0883/kartor/A 59871-2022 karta.png", "A 59871-2022")</f>
        <v/>
      </c>
      <c r="Y300">
        <f>HYPERLINK("https://klasma.github.io/Logging_0883/kartor_geotiff/A 59871-2022 georefererad karta.tif", "A 59871-2022")</f>
        <v/>
      </c>
      <c r="AA300">
        <f>HYPERLINK("https://klasma.github.io/Logging_0883/klagomål/A 59871-2022 FSC-klagomål.docx", "A 59871-2022")</f>
        <v/>
      </c>
      <c r="AB300">
        <f>HYPERLINK("https://klasma.github.io/Logging_0883/klagomålsmail/A 59871-2022 FSC-klagomål mail.docx", "A 59871-2022")</f>
        <v/>
      </c>
      <c r="AC300">
        <f>HYPERLINK("https://klasma.github.io/Logging_0883/tillsyn/A 59871-2022 tillsynsbegäran.docx", "A 59871-2022")</f>
        <v/>
      </c>
      <c r="AD300">
        <f>HYPERLINK("https://klasma.github.io/Logging_0883/tillsynsmail/A 59871-2022 tillsynsbegäran mail.docx", "A 59871-2022")</f>
        <v/>
      </c>
    </row>
    <row r="301" ht="15" customHeight="1">
      <c r="A301" t="inlineStr">
        <is>
          <t>A 18237-2026</t>
        </is>
      </c>
      <c r="B301" t="inlineStr">
        <is>
          <t>avverkningsanmälan</t>
        </is>
      </c>
      <c r="C301" t="inlineStr">
        <is>
          <t>Föryngringsavverkning</t>
        </is>
      </c>
      <c r="D301" s="1" t="n">
        <v>46126</v>
      </c>
      <c r="E301" s="1" t="n">
        <v>46323</v>
      </c>
      <c r="F301" t="inlineStr">
        <is>
          <t>KALMAR LÄN</t>
        </is>
      </c>
      <c r="G301" t="inlineStr">
        <is>
          <t>VÄSTERVIK</t>
        </is>
      </c>
      <c r="I301" t="n">
        <v>1.2</v>
      </c>
      <c r="J301" t="n">
        <v>1</v>
      </c>
      <c r="K301" t="n">
        <v>1</v>
      </c>
      <c r="L301" t="n">
        <v>0</v>
      </c>
      <c r="M301" t="n">
        <v>0</v>
      </c>
      <c r="N301" t="n">
        <v>0</v>
      </c>
      <c r="O301" t="n">
        <v>0</v>
      </c>
      <c r="P301" t="n">
        <v>0</v>
      </c>
      <c r="Q301" t="n">
        <v>0</v>
      </c>
      <c r="R301" t="n">
        <v>0</v>
      </c>
      <c r="S301" t="n">
        <v>1</v>
      </c>
      <c r="T301" t="n">
        <v>1</v>
      </c>
      <c r="U301" t="n">
        <v>1</v>
      </c>
      <c r="V301" s="2" t="inlineStr">
        <is>
          <t>Ekoxe</t>
        </is>
      </c>
      <c r="W301">
        <f>HYPERLINK("https://klasma.github.io/Logging_0883/artfynd/A 18237-2026 artfynd.xlsx", "A 18237-2026")</f>
        <v/>
      </c>
      <c r="X301">
        <f>HYPERLINK("https://klasma.github.io/Logging_0883/kartor/A 18237-2026 karta.png", "A 18237-2026")</f>
        <v/>
      </c>
      <c r="Y301">
        <f>HYPERLINK("https://klasma.github.io/Logging_0883/kartor_geotiff/A 18237-2026 georefererad karta.tif", "A 18237-2026")</f>
        <v/>
      </c>
      <c r="AA301">
        <f>HYPERLINK("https://klasma.github.io/Logging_0883/klagomål/A 18237-2026 FSC-klagomål.docx", "A 18237-2026")</f>
        <v/>
      </c>
      <c r="AB301">
        <f>HYPERLINK("https://klasma.github.io/Logging_0883/klagomålsmail/A 18237-2026 FSC-klagomål mail.docx", "A 18237-2026")</f>
        <v/>
      </c>
      <c r="AC301">
        <f>HYPERLINK("https://klasma.github.io/Logging_0883/tillsyn/A 18237-2026 tillsynsbegäran.docx", "A 18237-2026")</f>
        <v/>
      </c>
      <c r="AD301">
        <f>HYPERLINK("https://klasma.github.io/Logging_0883/tillsynsmail/A 18237-2026 tillsynsbegäran mail.docx", "A 18237-2026")</f>
        <v/>
      </c>
    </row>
    <row r="302" ht="15" customHeight="1">
      <c r="A302" t="inlineStr">
        <is>
          <t>A 41223-2026</t>
        </is>
      </c>
      <c r="B302" t="inlineStr">
        <is>
          <t>avverkningsanmälan</t>
        </is>
      </c>
      <c r="C302" t="inlineStr">
        <is>
          <t>Föryngringsavverkning</t>
        </is>
      </c>
      <c r="D302" s="1" t="n">
        <v>46300</v>
      </c>
      <c r="E302" s="1" t="n">
        <v>46323</v>
      </c>
      <c r="F302" t="inlineStr">
        <is>
          <t>KALMAR LÄN</t>
        </is>
      </c>
      <c r="G302" t="inlineStr">
        <is>
          <t>VÄSTERVIK</t>
        </is>
      </c>
      <c r="H302" t="inlineStr">
        <is>
          <t>Sveaskog</t>
        </is>
      </c>
      <c r="I302" t="n">
        <v>11.1</v>
      </c>
      <c r="J302" t="n">
        <v>1</v>
      </c>
      <c r="K302" t="n">
        <v>0</v>
      </c>
      <c r="L302" t="n">
        <v>0</v>
      </c>
      <c r="M302" t="n">
        <v>0</v>
      </c>
      <c r="N302" t="n">
        <v>0</v>
      </c>
      <c r="O302" t="n">
        <v>0</v>
      </c>
      <c r="P302" t="n">
        <v>0</v>
      </c>
      <c r="Q302" t="n">
        <v>0</v>
      </c>
      <c r="R302" t="n">
        <v>0</v>
      </c>
      <c r="S302" t="n">
        <v>1</v>
      </c>
      <c r="T302" t="n">
        <v>1</v>
      </c>
      <c r="U302" t="n">
        <v>0</v>
      </c>
      <c r="V302" s="2" t="inlineStr">
        <is>
          <t>Orre</t>
        </is>
      </c>
      <c r="W302">
        <f>HYPERLINK("https://klasma.github.io/Logging_0883/artfynd/A 41223-2026 artfynd.xlsx", "A 41223-2026")</f>
        <v/>
      </c>
      <c r="X302">
        <f>HYPERLINK("https://klasma.github.io/Logging_0883/kartor/A 41223-2026 karta.png", "A 41223-2026")</f>
        <v/>
      </c>
      <c r="Y302">
        <f>HYPERLINK("https://klasma.github.io/Logging_0883/kartor_geotiff/A 41223-2026 georefererad karta.tif", "A 41223-2026")</f>
        <v/>
      </c>
      <c r="AA302">
        <f>HYPERLINK("https://klasma.github.io/Logging_0883/klagomål/A 41223-2026 FSC-klagomål.docx", "A 41223-2026")</f>
        <v/>
      </c>
      <c r="AB302">
        <f>HYPERLINK("https://klasma.github.io/Logging_0883/klagomålsmail/A 41223-2026 FSC-klagomål mail.docx", "A 41223-2026")</f>
        <v/>
      </c>
      <c r="AC302">
        <f>HYPERLINK("https://klasma.github.io/Logging_0883/tillsyn/A 41223-2026 tillsynsbegäran.docx", "A 41223-2026")</f>
        <v/>
      </c>
      <c r="AD302">
        <f>HYPERLINK("https://klasma.github.io/Logging_0883/tillsynsmail/A 41223-2026 tillsynsbegäran mail.docx", "A 41223-2026")</f>
        <v/>
      </c>
      <c r="AE302">
        <f>HYPERLINK("https://klasma.github.io/Logging_0883/fåglar/A 41223-2026 prioriterade fågelarter.docx", "A 41223-2026")</f>
        <v/>
      </c>
    </row>
    <row r="303" ht="15" customHeight="1">
      <c r="A303" t="inlineStr">
        <is>
          <t>A 2830-2025</t>
        </is>
      </c>
      <c r="B303" t="inlineStr">
        <is>
          <t>avverkningsanmälan</t>
        </is>
      </c>
      <c r="C303" t="inlineStr">
        <is>
          <t>Föryngringsavverkning</t>
        </is>
      </c>
      <c r="D303" s="1" t="n">
        <v>45677</v>
      </c>
      <c r="E303" s="1" t="n">
        <v>46323</v>
      </c>
      <c r="F303" t="inlineStr">
        <is>
          <t>KALMAR LÄN</t>
        </is>
      </c>
      <c r="G303" t="inlineStr">
        <is>
          <t>VÄSTERVIK</t>
        </is>
      </c>
      <c r="I303" t="n">
        <v>1.1</v>
      </c>
      <c r="J303" t="n">
        <v>0</v>
      </c>
      <c r="K303" t="n">
        <v>1</v>
      </c>
      <c r="L303" t="n">
        <v>0</v>
      </c>
      <c r="M303" t="n">
        <v>0</v>
      </c>
      <c r="N303" t="n">
        <v>0</v>
      </c>
      <c r="O303" t="n">
        <v>0</v>
      </c>
      <c r="P303" t="n">
        <v>0</v>
      </c>
      <c r="Q303" t="n">
        <v>0</v>
      </c>
      <c r="R303" t="n">
        <v>0</v>
      </c>
      <c r="S303" t="n">
        <v>1</v>
      </c>
      <c r="T303" t="n">
        <v>1</v>
      </c>
      <c r="U303" t="n">
        <v>1</v>
      </c>
      <c r="V303" s="2" t="inlineStr">
        <is>
          <t>Grönpyrola</t>
        </is>
      </c>
      <c r="W303">
        <f>HYPERLINK("https://klasma.github.io/Logging_0883/artfynd/A 2830-2025 artfynd.xlsx", "A 2830-2025")</f>
        <v/>
      </c>
      <c r="X303">
        <f>HYPERLINK("https://klasma.github.io/Logging_0883/kartor/A 2830-2025 karta.png", "A 2830-2025")</f>
        <v/>
      </c>
      <c r="Y303">
        <f>HYPERLINK("https://klasma.github.io/Logging_0883/kartor_geotiff/A 2830-2025 georefererad karta.tif", "A 2830-2025")</f>
        <v/>
      </c>
      <c r="AA303">
        <f>HYPERLINK("https://klasma.github.io/Logging_0883/klagomål/A 2830-2025 FSC-klagomål.docx", "A 2830-2025")</f>
        <v/>
      </c>
      <c r="AB303">
        <f>HYPERLINK("https://klasma.github.io/Logging_0883/klagomålsmail/A 2830-2025 FSC-klagomål mail.docx", "A 2830-2025")</f>
        <v/>
      </c>
      <c r="AC303">
        <f>HYPERLINK("https://klasma.github.io/Logging_0883/tillsyn/A 2830-2025 tillsynsbegäran.docx", "A 2830-2025")</f>
        <v/>
      </c>
      <c r="AD303">
        <f>HYPERLINK("https://klasma.github.io/Logging_0883/tillsynsmail/A 2830-2025 tillsynsbegäran mail.docx", "A 2830-2025")</f>
        <v/>
      </c>
    </row>
    <row r="304" ht="15" customHeight="1">
      <c r="A304" t="inlineStr">
        <is>
          <t>A 21409-2025</t>
        </is>
      </c>
      <c r="B304" t="inlineStr">
        <is>
          <t>avverkningsanmälan</t>
        </is>
      </c>
      <c r="C304" t="inlineStr">
        <is>
          <t>Föryngringsavverkning</t>
        </is>
      </c>
      <c r="D304" s="1" t="n">
        <v>45782</v>
      </c>
      <c r="E304" s="1" t="n">
        <v>46323</v>
      </c>
      <c r="F304" t="inlineStr">
        <is>
          <t>KALMAR LÄN</t>
        </is>
      </c>
      <c r="G304" t="inlineStr">
        <is>
          <t>VÄSTERVIK</t>
        </is>
      </c>
      <c r="I304" t="n">
        <v>2.5</v>
      </c>
      <c r="J304" t="n">
        <v>1</v>
      </c>
      <c r="K304" t="n">
        <v>0</v>
      </c>
      <c r="L304" t="n">
        <v>0</v>
      </c>
      <c r="M304" t="n">
        <v>0</v>
      </c>
      <c r="N304" t="n">
        <v>0</v>
      </c>
      <c r="O304" t="n">
        <v>0</v>
      </c>
      <c r="P304" t="n">
        <v>0</v>
      </c>
      <c r="Q304" t="n">
        <v>0</v>
      </c>
      <c r="R304" t="n">
        <v>0</v>
      </c>
      <c r="S304" t="n">
        <v>1</v>
      </c>
      <c r="T304" t="n">
        <v>1</v>
      </c>
      <c r="U304" t="n">
        <v>1</v>
      </c>
      <c r="V304" s="2" t="inlineStr">
        <is>
          <t>Grönvit nattviol</t>
        </is>
      </c>
      <c r="W304">
        <f>HYPERLINK("https://klasma.github.io/Logging_0883/artfynd/A 21409-2025 artfynd.xlsx", "A 21409-2025")</f>
        <v/>
      </c>
      <c r="X304">
        <f>HYPERLINK("https://klasma.github.io/Logging_0883/kartor/A 21409-2025 karta.png", "A 21409-2025")</f>
        <v/>
      </c>
      <c r="Y304">
        <f>HYPERLINK("https://klasma.github.io/Logging_0883/kartor_geotiff/A 21409-2025 georefererad karta.tif", "A 21409-2025")</f>
        <v/>
      </c>
      <c r="AA304">
        <f>HYPERLINK("https://klasma.github.io/Logging_0883/klagomål/A 21409-2025 FSC-klagomål.docx", "A 21409-2025")</f>
        <v/>
      </c>
      <c r="AB304">
        <f>HYPERLINK("https://klasma.github.io/Logging_0883/klagomålsmail/A 21409-2025 FSC-klagomål mail.docx", "A 21409-2025")</f>
        <v/>
      </c>
      <c r="AC304">
        <f>HYPERLINK("https://klasma.github.io/Logging_0883/tillsyn/A 21409-2025 tillsynsbegäran.docx", "A 21409-2025")</f>
        <v/>
      </c>
      <c r="AD304">
        <f>HYPERLINK("https://klasma.github.io/Logging_0883/tillsynsmail/A 21409-2025 tillsynsbegäran mail.docx", "A 21409-2025")</f>
        <v/>
      </c>
    </row>
    <row r="305" ht="15" customHeight="1">
      <c r="A305" t="inlineStr">
        <is>
          <t>A 44865-2025</t>
        </is>
      </c>
      <c r="B305" t="inlineStr">
        <is>
          <t>avverkningsanmälan</t>
        </is>
      </c>
      <c r="C305" t="inlineStr">
        <is>
          <t>Föryngringsavverkning</t>
        </is>
      </c>
      <c r="D305" s="1" t="n">
        <v>45918</v>
      </c>
      <c r="E305" s="1" t="n">
        <v>46323</v>
      </c>
      <c r="F305" t="inlineStr">
        <is>
          <t>KALMAR LÄN</t>
        </is>
      </c>
      <c r="G305" t="inlineStr">
        <is>
          <t>VÄSTERVIK</t>
        </is>
      </c>
      <c r="I305" t="n">
        <v>1.1</v>
      </c>
      <c r="J305" t="n">
        <v>1</v>
      </c>
      <c r="K305" t="n">
        <v>0</v>
      </c>
      <c r="L305" t="n">
        <v>0</v>
      </c>
      <c r="M305" t="n">
        <v>1</v>
      </c>
      <c r="N305" t="n">
        <v>0</v>
      </c>
      <c r="O305" t="n">
        <v>0</v>
      </c>
      <c r="P305" t="n">
        <v>0</v>
      </c>
      <c r="Q305" t="n">
        <v>1</v>
      </c>
      <c r="R305" t="n">
        <v>1</v>
      </c>
      <c r="S305" t="n">
        <v>1</v>
      </c>
      <c r="T305" t="n">
        <v>2</v>
      </c>
      <c r="U305" t="n">
        <v>0</v>
      </c>
      <c r="V305" s="2" t="inlineStr">
        <is>
          <t>Knärot</t>
        </is>
      </c>
      <c r="W305">
        <f>HYPERLINK("https://klasma.github.io/Logging_0883/artfynd/A 44865-2025 artfynd.xlsx", "A 44865-2025")</f>
        <v/>
      </c>
      <c r="X305">
        <f>HYPERLINK("https://klasma.github.io/Logging_0883/kartor/A 44865-2025 karta.png", "A 44865-2025")</f>
        <v/>
      </c>
      <c r="Y305">
        <f>HYPERLINK("https://klasma.github.io/Logging_0883/kartor_geotiff/A 44865-2025 georefererad karta.tif", "A 44865-2025")</f>
        <v/>
      </c>
      <c r="Z305">
        <f>HYPERLINK("https://klasma.github.io/Logging_0883/knärot/A 44865-2025 karta knärot.png", "A 44865-2025")</f>
        <v/>
      </c>
      <c r="AA305">
        <f>HYPERLINK("https://klasma.github.io/Logging_0883/klagomål/A 44865-2025 FSC-klagomål.docx", "A 44865-2025")</f>
        <v/>
      </c>
      <c r="AB305">
        <f>HYPERLINK("https://klasma.github.io/Logging_0883/klagomålsmail/A 44865-2025 FSC-klagomål mail.docx", "A 44865-2025")</f>
        <v/>
      </c>
      <c r="AC305">
        <f>HYPERLINK("https://klasma.github.io/Logging_0883/tillsyn/A 44865-2025 tillsynsbegäran.docx", "A 44865-2025")</f>
        <v/>
      </c>
      <c r="AD305">
        <f>HYPERLINK("https://klasma.github.io/Logging_0883/tillsynsmail/A 44865-2025 tillsynsbegäran mail.docx", "A 44865-2025")</f>
        <v/>
      </c>
    </row>
    <row r="306" ht="15" customHeight="1">
      <c r="A306" t="inlineStr">
        <is>
          <t>A 30794-2025</t>
        </is>
      </c>
      <c r="B306" t="inlineStr">
        <is>
          <t>avverkningsanmälan</t>
        </is>
      </c>
      <c r="C306" t="inlineStr">
        <is>
          <t>Föryngringsavverkning</t>
        </is>
      </c>
      <c r="D306" s="1" t="n">
        <v>45831</v>
      </c>
      <c r="E306" s="1" t="n">
        <v>46323</v>
      </c>
      <c r="F306" t="inlineStr">
        <is>
          <t>KALMAR LÄN</t>
        </is>
      </c>
      <c r="G306" t="inlineStr">
        <is>
          <t>VÄSTERVIK</t>
        </is>
      </c>
      <c r="I306" t="n">
        <v>4.8</v>
      </c>
      <c r="J306" t="n">
        <v>0</v>
      </c>
      <c r="K306" t="n">
        <v>0</v>
      </c>
      <c r="L306" t="n">
        <v>1</v>
      </c>
      <c r="M306" t="n">
        <v>0</v>
      </c>
      <c r="N306" t="n">
        <v>0</v>
      </c>
      <c r="O306" t="n">
        <v>0</v>
      </c>
      <c r="P306" t="n">
        <v>0</v>
      </c>
      <c r="Q306" t="n">
        <v>1</v>
      </c>
      <c r="R306" t="n">
        <v>0</v>
      </c>
      <c r="S306" t="n">
        <v>1</v>
      </c>
      <c r="T306" t="n">
        <v>1</v>
      </c>
      <c r="U306" t="n">
        <v>1</v>
      </c>
      <c r="V306" s="2" t="inlineStr">
        <is>
          <t>Tallticka</t>
        </is>
      </c>
      <c r="W306">
        <f>HYPERLINK("https://klasma.github.io/Logging_0883/artfynd/A 30794-2025 artfynd.xlsx", "A 30794-2025")</f>
        <v/>
      </c>
      <c r="X306">
        <f>HYPERLINK("https://klasma.github.io/Logging_0883/kartor/A 30794-2025 karta.png", "A 30794-2025")</f>
        <v/>
      </c>
      <c r="Y306">
        <f>HYPERLINK("https://klasma.github.io/Logging_0883/kartor_geotiff/A 30794-2025 georefererad karta.tif", "A 30794-2025")</f>
        <v/>
      </c>
      <c r="AA306">
        <f>HYPERLINK("https://klasma.github.io/Logging_0883/klagomål/A 30794-2025 FSC-klagomål.docx", "A 30794-2025")</f>
        <v/>
      </c>
      <c r="AB306">
        <f>HYPERLINK("https://klasma.github.io/Logging_0883/klagomålsmail/A 30794-2025 FSC-klagomål mail.docx", "A 30794-2025")</f>
        <v/>
      </c>
      <c r="AC306">
        <f>HYPERLINK("https://klasma.github.io/Logging_0883/tillsyn/A 30794-2025 tillsynsbegäran.docx", "A 30794-2025")</f>
        <v/>
      </c>
      <c r="AD306">
        <f>HYPERLINK("https://klasma.github.io/Logging_0883/tillsynsmail/A 30794-2025 tillsynsbegäran mail.docx", "A 30794-2025")</f>
        <v/>
      </c>
    </row>
    <row r="307" ht="15" customHeight="1">
      <c r="A307" t="inlineStr">
        <is>
          <t>A 47775-2025</t>
        </is>
      </c>
      <c r="B307" t="inlineStr">
        <is>
          <t>avverkningsanmälan</t>
        </is>
      </c>
      <c r="C307" t="inlineStr">
        <is>
          <t>Föryngringsavverkning</t>
        </is>
      </c>
      <c r="D307" s="1" t="n">
        <v>45931</v>
      </c>
      <c r="E307" s="1" t="n">
        <v>46323</v>
      </c>
      <c r="F307" t="inlineStr">
        <is>
          <t>KALMAR LÄN</t>
        </is>
      </c>
      <c r="G307" t="inlineStr">
        <is>
          <t>VÄSTERVIK</t>
        </is>
      </c>
      <c r="I307" t="n">
        <v>4.2</v>
      </c>
      <c r="J307" t="n">
        <v>1</v>
      </c>
      <c r="K307" t="n">
        <v>0</v>
      </c>
      <c r="L307" t="n">
        <v>1</v>
      </c>
      <c r="M307" t="n">
        <v>0</v>
      </c>
      <c r="N307" t="n">
        <v>0</v>
      </c>
      <c r="O307" t="n">
        <v>0</v>
      </c>
      <c r="P307" t="n">
        <v>0</v>
      </c>
      <c r="Q307" t="n">
        <v>1</v>
      </c>
      <c r="R307" t="n">
        <v>0</v>
      </c>
      <c r="S307" t="n">
        <v>1</v>
      </c>
      <c r="T307" t="n">
        <v>1</v>
      </c>
      <c r="U307" t="n">
        <v>1</v>
      </c>
      <c r="V307" s="2" t="inlineStr">
        <is>
          <t>Talltita</t>
        </is>
      </c>
      <c r="W307">
        <f>HYPERLINK("https://klasma.github.io/Logging_0883/artfynd/A 47775-2025 artfynd.xlsx", "A 47775-2025")</f>
        <v/>
      </c>
      <c r="X307">
        <f>HYPERLINK("https://klasma.github.io/Logging_0883/kartor/A 47775-2025 karta.png", "A 47775-2025")</f>
        <v/>
      </c>
      <c r="Y307">
        <f>HYPERLINK("https://klasma.github.io/Logging_0883/kartor_geotiff/A 47775-2025 georefererad karta.tif", "A 47775-2025")</f>
        <v/>
      </c>
      <c r="AA307">
        <f>HYPERLINK("https://klasma.github.io/Logging_0883/klagomål/A 47775-2025 FSC-klagomål.docx", "A 47775-2025")</f>
        <v/>
      </c>
      <c r="AB307">
        <f>HYPERLINK("https://klasma.github.io/Logging_0883/klagomålsmail/A 47775-2025 FSC-klagomål mail.docx", "A 47775-2025")</f>
        <v/>
      </c>
      <c r="AC307">
        <f>HYPERLINK("https://klasma.github.io/Logging_0883/tillsyn/A 47775-2025 tillsynsbegäran.docx", "A 47775-2025")</f>
        <v/>
      </c>
      <c r="AD307">
        <f>HYPERLINK("https://klasma.github.io/Logging_0883/tillsynsmail/A 47775-2025 tillsynsbegäran mail.docx", "A 47775-2025")</f>
        <v/>
      </c>
      <c r="AE307">
        <f>HYPERLINK("https://klasma.github.io/Logging_0883/fåglar/A 47775-2025 prioriterade fågelarter.docx", "A 47775-2025")</f>
        <v/>
      </c>
    </row>
    <row r="308" ht="15" customHeight="1">
      <c r="A308" t="inlineStr">
        <is>
          <t>A 54272-2023</t>
        </is>
      </c>
      <c r="B308" t="inlineStr">
        <is>
          <t>avverkningsanmälan</t>
        </is>
      </c>
      <c r="C308" t="inlineStr">
        <is>
          <t>Föryngringsavverkning</t>
        </is>
      </c>
      <c r="D308" s="1" t="n">
        <v>45232</v>
      </c>
      <c r="E308" s="1" t="n">
        <v>46323</v>
      </c>
      <c r="F308" t="inlineStr">
        <is>
          <t>KALMAR LÄN</t>
        </is>
      </c>
      <c r="G308" t="inlineStr">
        <is>
          <t>VÄSTERVIK</t>
        </is>
      </c>
      <c r="I308" t="n">
        <v>1</v>
      </c>
      <c r="J308" t="n">
        <v>0</v>
      </c>
      <c r="K308" t="n">
        <v>1</v>
      </c>
      <c r="L308" t="n">
        <v>0</v>
      </c>
      <c r="M308" t="n">
        <v>0</v>
      </c>
      <c r="N308" t="n">
        <v>0</v>
      </c>
      <c r="O308" t="n">
        <v>0</v>
      </c>
      <c r="P308" t="n">
        <v>0</v>
      </c>
      <c r="Q308" t="n">
        <v>0</v>
      </c>
      <c r="R308" t="n">
        <v>0</v>
      </c>
      <c r="S308" t="n">
        <v>1</v>
      </c>
      <c r="T308" t="n">
        <v>1</v>
      </c>
      <c r="U308" t="n">
        <v>0</v>
      </c>
      <c r="V308" s="2" t="inlineStr">
        <is>
          <t>Aprikosfingersvamp</t>
        </is>
      </c>
      <c r="W308">
        <f>HYPERLINK("https://klasma.github.io/Logging_0883/artfynd/A 54272-2023 artfynd.xlsx", "A 54272-2023")</f>
        <v/>
      </c>
      <c r="X308">
        <f>HYPERLINK("https://klasma.github.io/Logging_0883/kartor/A 54272-2023 karta.png", "A 54272-2023")</f>
        <v/>
      </c>
      <c r="Y308">
        <f>HYPERLINK("https://klasma.github.io/Logging_0883/kartor_geotiff/A 54272-2023 georefererad karta.tif", "A 54272-2023")</f>
        <v/>
      </c>
      <c r="AA308">
        <f>HYPERLINK("https://klasma.github.io/Logging_0883/klagomål/A 54272-2023 FSC-klagomål.docx", "A 54272-2023")</f>
        <v/>
      </c>
      <c r="AB308">
        <f>HYPERLINK("https://klasma.github.io/Logging_0883/klagomålsmail/A 54272-2023 FSC-klagomål mail.docx", "A 54272-2023")</f>
        <v/>
      </c>
      <c r="AC308">
        <f>HYPERLINK("https://klasma.github.io/Logging_0883/tillsyn/A 54272-2023 tillsynsbegäran.docx", "A 54272-2023")</f>
        <v/>
      </c>
      <c r="AD308">
        <f>HYPERLINK("https://klasma.github.io/Logging_0883/tillsynsmail/A 54272-2023 tillsynsbegäran mail.docx", "A 54272-2023")</f>
        <v/>
      </c>
    </row>
    <row r="309" ht="15" customHeight="1">
      <c r="A309" t="inlineStr">
        <is>
          <t>A 35960-2026</t>
        </is>
      </c>
      <c r="B309" t="inlineStr">
        <is>
          <t>avverkningsanmälan</t>
        </is>
      </c>
      <c r="C309" t="inlineStr">
        <is>
          <t>Föryngringsavverkning</t>
        </is>
      </c>
      <c r="D309" s="1" t="n">
        <v>46266</v>
      </c>
      <c r="E309" s="1" t="n">
        <v>46323</v>
      </c>
      <c r="F309" t="inlineStr">
        <is>
          <t>KALMAR LÄN</t>
        </is>
      </c>
      <c r="G309" t="inlineStr">
        <is>
          <t>VÄSTERVIK</t>
        </is>
      </c>
      <c r="I309" t="n">
        <v>0.6</v>
      </c>
      <c r="J309" t="n">
        <v>1</v>
      </c>
      <c r="K309" t="n">
        <v>0</v>
      </c>
      <c r="L309" t="n">
        <v>0</v>
      </c>
      <c r="M309" t="n">
        <v>0</v>
      </c>
      <c r="N309" t="n">
        <v>0</v>
      </c>
      <c r="O309" t="n">
        <v>0</v>
      </c>
      <c r="P309" t="n">
        <v>0</v>
      </c>
      <c r="Q309" t="n">
        <v>0</v>
      </c>
      <c r="R309" t="n">
        <v>0</v>
      </c>
      <c r="S309" t="n">
        <v>1</v>
      </c>
      <c r="T309" t="n">
        <v>1</v>
      </c>
      <c r="U309" t="n">
        <v>0</v>
      </c>
      <c r="V309" s="2" t="inlineStr">
        <is>
          <t>Spillkråka</t>
        </is>
      </c>
      <c r="W309">
        <f>HYPERLINK("https://klasma.github.io/Logging_0883/artfynd/A 35960-2026 artfynd.xlsx", "A 35960-2026")</f>
        <v/>
      </c>
      <c r="X309">
        <f>HYPERLINK("https://klasma.github.io/Logging_0883/kartor/A 35960-2026 karta.png", "A 35960-2026")</f>
        <v/>
      </c>
      <c r="Y309">
        <f>HYPERLINK("https://klasma.github.io/Logging_0883/kartor_geotiff/A 35960-2026 georefererad karta.tif", "A 35960-2026")</f>
        <v/>
      </c>
      <c r="AA309">
        <f>HYPERLINK("https://klasma.github.io/Logging_0883/klagomål/A 35960-2026 FSC-klagomål.docx", "A 35960-2026")</f>
        <v/>
      </c>
      <c r="AB309">
        <f>HYPERLINK("https://klasma.github.io/Logging_0883/klagomålsmail/A 35960-2026 FSC-klagomål mail.docx", "A 35960-2026")</f>
        <v/>
      </c>
      <c r="AC309">
        <f>HYPERLINK("https://klasma.github.io/Logging_0883/tillsyn/A 35960-2026 tillsynsbegäran.docx", "A 35960-2026")</f>
        <v/>
      </c>
      <c r="AD309">
        <f>HYPERLINK("https://klasma.github.io/Logging_0883/tillsynsmail/A 35960-2026 tillsynsbegäran mail.docx", "A 35960-2026")</f>
        <v/>
      </c>
      <c r="AE309">
        <f>HYPERLINK("https://klasma.github.io/Logging_0883/fåglar/A 35960-2026 prioriterade fågelarter.docx", "A 35960-2026")</f>
        <v/>
      </c>
    </row>
    <row r="310" ht="15" customHeight="1">
      <c r="A310" t="inlineStr">
        <is>
          <t>A 21942-2023</t>
        </is>
      </c>
      <c r="B310" t="inlineStr">
        <is>
          <t>avverkningsanmälan</t>
        </is>
      </c>
      <c r="C310" t="inlineStr">
        <is>
          <t>Föryngringsavverkning</t>
        </is>
      </c>
      <c r="D310" s="1" t="n">
        <v>45068</v>
      </c>
      <c r="E310" s="1" t="n">
        <v>46323</v>
      </c>
      <c r="F310" t="inlineStr">
        <is>
          <t>KALMAR LÄN</t>
        </is>
      </c>
      <c r="G310" t="inlineStr">
        <is>
          <t>VÄSTERVIK</t>
        </is>
      </c>
      <c r="I310" t="n">
        <v>1.3</v>
      </c>
      <c r="J310" t="n">
        <v>1</v>
      </c>
      <c r="K310" t="n">
        <v>1</v>
      </c>
      <c r="L310" t="n">
        <v>0</v>
      </c>
      <c r="M310" t="n">
        <v>0</v>
      </c>
      <c r="N310" t="n">
        <v>0</v>
      </c>
      <c r="O310" t="n">
        <v>0</v>
      </c>
      <c r="P310" t="n">
        <v>0</v>
      </c>
      <c r="Q310" t="n">
        <v>0</v>
      </c>
      <c r="R310" t="n">
        <v>0</v>
      </c>
      <c r="S310" t="n">
        <v>1</v>
      </c>
      <c r="T310" t="n">
        <v>1</v>
      </c>
      <c r="U310" t="n">
        <v>1</v>
      </c>
      <c r="V310" s="2" t="inlineStr">
        <is>
          <t>Ekoxe</t>
        </is>
      </c>
      <c r="W310">
        <f>HYPERLINK("https://klasma.github.io/Logging_0883/artfynd/A 21942-2023 artfynd.xlsx", "A 21942-2023")</f>
        <v/>
      </c>
      <c r="X310">
        <f>HYPERLINK("https://klasma.github.io/Logging_0883/kartor/A 21942-2023 karta.png", "A 21942-2023")</f>
        <v/>
      </c>
      <c r="Y310">
        <f>HYPERLINK("https://klasma.github.io/Logging_0883/kartor_geotiff/A 21942-2023 georefererad karta.tif", "A 21942-2023")</f>
        <v/>
      </c>
      <c r="AA310">
        <f>HYPERLINK("https://klasma.github.io/Logging_0883/klagomål/A 21942-2023 FSC-klagomål.docx", "A 21942-2023")</f>
        <v/>
      </c>
      <c r="AB310">
        <f>HYPERLINK("https://klasma.github.io/Logging_0883/klagomålsmail/A 21942-2023 FSC-klagomål mail.docx", "A 21942-2023")</f>
        <v/>
      </c>
      <c r="AC310">
        <f>HYPERLINK("https://klasma.github.io/Logging_0883/tillsyn/A 21942-2023 tillsynsbegäran.docx", "A 21942-2023")</f>
        <v/>
      </c>
      <c r="AD310">
        <f>HYPERLINK("https://klasma.github.io/Logging_0883/tillsynsmail/A 21942-2023 tillsynsbegäran mail.docx", "A 21942-2023")</f>
        <v/>
      </c>
    </row>
    <row r="311" ht="15" customHeight="1">
      <c r="A311" t="inlineStr">
        <is>
          <t>A 11741-2023</t>
        </is>
      </c>
      <c r="B311" t="inlineStr">
        <is>
          <t>avverkningsanmälan</t>
        </is>
      </c>
      <c r="C311" t="inlineStr">
        <is>
          <t>Avverkning för att bevara och utveckla /försöksver</t>
        </is>
      </c>
      <c r="D311" s="1" t="n">
        <v>44994</v>
      </c>
      <c r="E311" s="1" t="n">
        <v>46323</v>
      </c>
      <c r="F311" t="inlineStr">
        <is>
          <t>KALMAR LÄN</t>
        </is>
      </c>
      <c r="G311" t="inlineStr">
        <is>
          <t>VÄSTERVIK</t>
        </is>
      </c>
      <c r="H311" t="inlineStr">
        <is>
          <t>Sveaskog</t>
        </is>
      </c>
      <c r="I311" t="n">
        <v>1.4</v>
      </c>
      <c r="J311" t="n">
        <v>0</v>
      </c>
      <c r="K311" t="n">
        <v>0</v>
      </c>
      <c r="L311" t="n">
        <v>0</v>
      </c>
      <c r="M311" t="n">
        <v>1</v>
      </c>
      <c r="N311" t="n">
        <v>0</v>
      </c>
      <c r="O311" t="n">
        <v>0</v>
      </c>
      <c r="P311" t="n">
        <v>0</v>
      </c>
      <c r="Q311" t="n">
        <v>1</v>
      </c>
      <c r="R311" t="n">
        <v>1</v>
      </c>
      <c r="S311" t="n">
        <v>1</v>
      </c>
      <c r="T311" t="n">
        <v>1</v>
      </c>
      <c r="U311" t="n">
        <v>0</v>
      </c>
      <c r="V311" s="2" t="inlineStr">
        <is>
          <t>Bredbrämad bastardsvärmare</t>
        </is>
      </c>
      <c r="W311">
        <f>HYPERLINK("https://klasma.github.io/Logging_0883/artfynd/A 11741-2023 artfynd.xlsx", "A 11741-2023")</f>
        <v/>
      </c>
      <c r="X311">
        <f>HYPERLINK("https://klasma.github.io/Logging_0883/kartor/A 11741-2023 karta.png", "A 11741-2023")</f>
        <v/>
      </c>
      <c r="Y311">
        <f>HYPERLINK("https://klasma.github.io/Logging_0883/kartor_geotiff/A 11741-2023 georefererad karta.tif", "A 11741-2023")</f>
        <v/>
      </c>
      <c r="AA311">
        <f>HYPERLINK("https://klasma.github.io/Logging_0883/klagomål/A 11741-2023 FSC-klagomål.docx", "A 11741-2023")</f>
        <v/>
      </c>
      <c r="AB311">
        <f>HYPERLINK("https://klasma.github.io/Logging_0883/klagomålsmail/A 11741-2023 FSC-klagomål mail.docx", "A 11741-2023")</f>
        <v/>
      </c>
      <c r="AC311">
        <f>HYPERLINK("https://klasma.github.io/Logging_0883/tillsyn/A 11741-2023 tillsynsbegäran.docx", "A 11741-2023")</f>
        <v/>
      </c>
      <c r="AD311">
        <f>HYPERLINK("https://klasma.github.io/Logging_0883/tillsynsmail/A 11741-2023 tillsynsbegäran mail.docx", "A 11741-2023")</f>
        <v/>
      </c>
    </row>
    <row r="312" ht="15" customHeight="1">
      <c r="A312" t="inlineStr">
        <is>
          <t>A 30811-2025</t>
        </is>
      </c>
      <c r="B312" t="inlineStr">
        <is>
          <t>avverkningsanmälan</t>
        </is>
      </c>
      <c r="C312" t="inlineStr">
        <is>
          <t>Föryngringsavverkning</t>
        </is>
      </c>
      <c r="D312" s="1" t="n">
        <v>45831</v>
      </c>
      <c r="E312" s="1" t="n">
        <v>46323</v>
      </c>
      <c r="F312" t="inlineStr">
        <is>
          <t>KALMAR LÄN</t>
        </is>
      </c>
      <c r="G312" t="inlineStr">
        <is>
          <t>VÄSTERVIK</t>
        </is>
      </c>
      <c r="I312" t="n">
        <v>1.5</v>
      </c>
      <c r="J312" t="n">
        <v>1</v>
      </c>
      <c r="K312" t="n">
        <v>0</v>
      </c>
      <c r="L312" t="n">
        <v>0</v>
      </c>
      <c r="M312" t="n">
        <v>0</v>
      </c>
      <c r="N312" t="n">
        <v>0</v>
      </c>
      <c r="O312" t="n">
        <v>0</v>
      </c>
      <c r="P312" t="n">
        <v>0</v>
      </c>
      <c r="Q312" t="n">
        <v>0</v>
      </c>
      <c r="R312" t="n">
        <v>0</v>
      </c>
      <c r="S312" t="n">
        <v>1</v>
      </c>
      <c r="T312" t="n">
        <v>1</v>
      </c>
      <c r="U312" t="n">
        <v>0</v>
      </c>
      <c r="V312" s="2" t="inlineStr">
        <is>
          <t>Tjäder</t>
        </is>
      </c>
      <c r="W312">
        <f>HYPERLINK("https://klasma.github.io/Logging_0883/artfynd/A 30811-2025 artfynd.xlsx", "A 30811-2025")</f>
        <v/>
      </c>
      <c r="X312">
        <f>HYPERLINK("https://klasma.github.io/Logging_0883/kartor/A 30811-2025 karta.png", "A 30811-2025")</f>
        <v/>
      </c>
      <c r="Y312">
        <f>HYPERLINK("https://klasma.github.io/Logging_0883/kartor_geotiff/A 30811-2025 georefererad karta.tif", "A 30811-2025")</f>
        <v/>
      </c>
      <c r="AA312">
        <f>HYPERLINK("https://klasma.github.io/Logging_0883/klagomål/A 30811-2025 FSC-klagomål.docx", "A 30811-2025")</f>
        <v/>
      </c>
      <c r="AB312">
        <f>HYPERLINK("https://klasma.github.io/Logging_0883/klagomålsmail/A 30811-2025 FSC-klagomål mail.docx", "A 30811-2025")</f>
        <v/>
      </c>
      <c r="AC312">
        <f>HYPERLINK("https://klasma.github.io/Logging_0883/tillsyn/A 30811-2025 tillsynsbegäran.docx", "A 30811-2025")</f>
        <v/>
      </c>
      <c r="AD312">
        <f>HYPERLINK("https://klasma.github.io/Logging_0883/tillsynsmail/A 30811-2025 tillsynsbegäran mail.docx", "A 30811-2025")</f>
        <v/>
      </c>
      <c r="AE312">
        <f>HYPERLINK("https://klasma.github.io/Logging_0883/fåglar/A 30811-2025 prioriterade fågelarter.docx", "A 30811-2025")</f>
        <v/>
      </c>
    </row>
    <row r="313" ht="15" customHeight="1">
      <c r="A313" t="inlineStr">
        <is>
          <t>A 16695-2025</t>
        </is>
      </c>
      <c r="B313" t="inlineStr">
        <is>
          <t>avverkningsanmälan</t>
        </is>
      </c>
      <c r="C313" t="inlineStr">
        <is>
          <t>Föryngringsavverkning</t>
        </is>
      </c>
      <c r="D313" s="1" t="n">
        <v>45754</v>
      </c>
      <c r="E313" s="1" t="n">
        <v>46323</v>
      </c>
      <c r="F313" t="inlineStr">
        <is>
          <t>KALMAR LÄN</t>
        </is>
      </c>
      <c r="G313" t="inlineStr">
        <is>
          <t>VÄSTERVIK</t>
        </is>
      </c>
      <c r="H313" t="inlineStr">
        <is>
          <t>Sveaskog</t>
        </is>
      </c>
      <c r="I313" t="n">
        <v>1.8</v>
      </c>
      <c r="J313" t="n">
        <v>1</v>
      </c>
      <c r="K313" t="n">
        <v>0</v>
      </c>
      <c r="L313" t="n">
        <v>0</v>
      </c>
      <c r="M313" t="n">
        <v>0</v>
      </c>
      <c r="N313" t="n">
        <v>0</v>
      </c>
      <c r="O313" t="n">
        <v>0</v>
      </c>
      <c r="P313" t="n">
        <v>0</v>
      </c>
      <c r="Q313" t="n">
        <v>0</v>
      </c>
      <c r="R313" t="n">
        <v>0</v>
      </c>
      <c r="S313" t="n">
        <v>1</v>
      </c>
      <c r="T313" t="n">
        <v>1</v>
      </c>
      <c r="U313" t="n">
        <v>1</v>
      </c>
      <c r="V313" s="2" t="inlineStr">
        <is>
          <t>Kungsfågel</t>
        </is>
      </c>
      <c r="W313">
        <f>HYPERLINK("https://klasma.github.io/Logging_0883/artfynd/A 16695-2025 artfynd.xlsx", "A 16695-2025")</f>
        <v/>
      </c>
      <c r="X313">
        <f>HYPERLINK("https://klasma.github.io/Logging_0883/kartor/A 16695-2025 karta.png", "A 16695-2025")</f>
        <v/>
      </c>
      <c r="Y313">
        <f>HYPERLINK("https://klasma.github.io/Logging_0883/kartor_geotiff/A 16695-2025 georefererad karta.tif", "A 16695-2025")</f>
        <v/>
      </c>
      <c r="AA313">
        <f>HYPERLINK("https://klasma.github.io/Logging_0883/klagomål/A 16695-2025 FSC-klagomål.docx", "A 16695-2025")</f>
        <v/>
      </c>
      <c r="AB313">
        <f>HYPERLINK("https://klasma.github.io/Logging_0883/klagomålsmail/A 16695-2025 FSC-klagomål mail.docx", "A 16695-2025")</f>
        <v/>
      </c>
      <c r="AC313">
        <f>HYPERLINK("https://klasma.github.io/Logging_0883/tillsyn/A 16695-2025 tillsynsbegäran.docx", "A 16695-2025")</f>
        <v/>
      </c>
      <c r="AD313">
        <f>HYPERLINK("https://klasma.github.io/Logging_0883/tillsynsmail/A 16695-2025 tillsynsbegäran mail.docx", "A 16695-2025")</f>
        <v/>
      </c>
    </row>
    <row r="314" ht="15" customHeight="1">
      <c r="A314" t="inlineStr">
        <is>
          <t>A 9110-2023</t>
        </is>
      </c>
      <c r="B314" t="inlineStr">
        <is>
          <t>avverkningsanmälan</t>
        </is>
      </c>
      <c r="C314" t="inlineStr">
        <is>
          <t>Föryngringsavverkning</t>
        </is>
      </c>
      <c r="D314" s="1" t="n">
        <v>44979</v>
      </c>
      <c r="E314" s="1" t="n">
        <v>46323</v>
      </c>
      <c r="F314" t="inlineStr">
        <is>
          <t>KALMAR LÄN</t>
        </is>
      </c>
      <c r="G314" t="inlineStr">
        <is>
          <t>VÄSTERVIK</t>
        </is>
      </c>
      <c r="I314" t="n">
        <v>1.1</v>
      </c>
      <c r="J314" t="n">
        <v>0</v>
      </c>
      <c r="K314" t="n">
        <v>1</v>
      </c>
      <c r="L314" t="n">
        <v>0</v>
      </c>
      <c r="M314" t="n">
        <v>0</v>
      </c>
      <c r="N314" t="n">
        <v>0</v>
      </c>
      <c r="O314" t="n">
        <v>0</v>
      </c>
      <c r="P314" t="n">
        <v>0</v>
      </c>
      <c r="Q314" t="n">
        <v>0</v>
      </c>
      <c r="R314" t="n">
        <v>0</v>
      </c>
      <c r="S314" t="n">
        <v>1</v>
      </c>
      <c r="T314" t="n">
        <v>1</v>
      </c>
      <c r="U314" t="n">
        <v>1</v>
      </c>
      <c r="V314" s="2" t="inlineStr">
        <is>
          <t>Blåmossa</t>
        </is>
      </c>
      <c r="W314">
        <f>HYPERLINK("https://klasma.github.io/Logging_0883/artfynd/A 9110-2023 artfynd.xlsx", "A 9110-2023")</f>
        <v/>
      </c>
      <c r="X314">
        <f>HYPERLINK("https://klasma.github.io/Logging_0883/kartor/A 9110-2023 karta.png", "A 9110-2023")</f>
        <v/>
      </c>
      <c r="Y314">
        <f>HYPERLINK("https://klasma.github.io/Logging_0883/kartor_geotiff/A 9110-2023 georefererad karta.tif", "A 9110-2023")</f>
        <v/>
      </c>
      <c r="AA314">
        <f>HYPERLINK("https://klasma.github.io/Logging_0883/klagomål/A 9110-2023 FSC-klagomål.docx", "A 9110-2023")</f>
        <v/>
      </c>
      <c r="AB314">
        <f>HYPERLINK("https://klasma.github.io/Logging_0883/klagomålsmail/A 9110-2023 FSC-klagomål mail.docx", "A 9110-2023")</f>
        <v/>
      </c>
      <c r="AC314">
        <f>HYPERLINK("https://klasma.github.io/Logging_0883/tillsyn/A 9110-2023 tillsynsbegäran.docx", "A 9110-2023")</f>
        <v/>
      </c>
      <c r="AD314">
        <f>HYPERLINK("https://klasma.github.io/Logging_0883/tillsynsmail/A 9110-2023 tillsynsbegäran mail.docx", "A 9110-2023")</f>
        <v/>
      </c>
    </row>
    <row r="315" ht="15" customHeight="1">
      <c r="A315" t="inlineStr">
        <is>
          <t>A 32748-2026</t>
        </is>
      </c>
      <c r="B315" t="inlineStr">
        <is>
          <t>avverkningsanmälan</t>
        </is>
      </c>
      <c r="C315" t="inlineStr">
        <is>
          <t>Föryngringsavverkning</t>
        </is>
      </c>
      <c r="D315" s="1" t="n">
        <v>46241</v>
      </c>
      <c r="E315" s="1" t="n">
        <v>46323</v>
      </c>
      <c r="F315" t="inlineStr">
        <is>
          <t>KALMAR LÄN</t>
        </is>
      </c>
      <c r="G315" t="inlineStr">
        <is>
          <t>VÄSTERVIK</t>
        </is>
      </c>
      <c r="I315" t="n">
        <v>2.8</v>
      </c>
      <c r="J315" t="n">
        <v>1</v>
      </c>
      <c r="K315" t="n">
        <v>0</v>
      </c>
      <c r="L315" t="n">
        <v>0</v>
      </c>
      <c r="M315" t="n">
        <v>0</v>
      </c>
      <c r="N315" t="n">
        <v>0</v>
      </c>
      <c r="O315" t="n">
        <v>0</v>
      </c>
      <c r="P315" t="n">
        <v>0</v>
      </c>
      <c r="Q315" t="n">
        <v>0</v>
      </c>
      <c r="R315" t="n">
        <v>0</v>
      </c>
      <c r="S315" t="n">
        <v>1</v>
      </c>
      <c r="T315" t="n">
        <v>2</v>
      </c>
      <c r="U315" t="n">
        <v>0</v>
      </c>
      <c r="V315" s="2" t="inlineStr">
        <is>
          <t>Tjäder</t>
        </is>
      </c>
      <c r="W315">
        <f>HYPERLINK("https://klasma.github.io/Logging_0883/artfynd/A 32748-2026 artfynd.xlsx", "A 32748-2026")</f>
        <v/>
      </c>
      <c r="X315">
        <f>HYPERLINK("https://klasma.github.io/Logging_0883/kartor/A 32748-2026 karta.png", "A 32748-2026")</f>
        <v/>
      </c>
      <c r="Y315">
        <f>HYPERLINK("https://klasma.github.io/Logging_0883/kartor_geotiff/A 32748-2026 georefererad karta.tif", "A 32748-2026")</f>
        <v/>
      </c>
      <c r="AA315">
        <f>HYPERLINK("https://klasma.github.io/Logging_0883/klagomål/A 32748-2026 FSC-klagomål.docx", "A 32748-2026")</f>
        <v/>
      </c>
      <c r="AB315">
        <f>HYPERLINK("https://klasma.github.io/Logging_0883/klagomålsmail/A 32748-2026 FSC-klagomål mail.docx", "A 32748-2026")</f>
        <v/>
      </c>
      <c r="AC315">
        <f>HYPERLINK("https://klasma.github.io/Logging_0883/tillsyn/A 32748-2026 tillsynsbegäran.docx", "A 32748-2026")</f>
        <v/>
      </c>
      <c r="AD315">
        <f>HYPERLINK("https://klasma.github.io/Logging_0883/tillsynsmail/A 32748-2026 tillsynsbegäran mail.docx", "A 32748-2026")</f>
        <v/>
      </c>
      <c r="AE315">
        <f>HYPERLINK("https://klasma.github.io/Logging_0883/fåglar/A 32748-2026 prioriterade fågelarter.docx", "A 32748-2026")</f>
        <v/>
      </c>
    </row>
    <row r="316" ht="15" customHeight="1">
      <c r="A316" t="inlineStr">
        <is>
          <t>A 16697-2025</t>
        </is>
      </c>
      <c r="B316" t="inlineStr">
        <is>
          <t>avverkningsanmälan</t>
        </is>
      </c>
      <c r="C316" t="inlineStr">
        <is>
          <t>Föryngringsavverkning</t>
        </is>
      </c>
      <c r="D316" s="1" t="n">
        <v>45754</v>
      </c>
      <c r="E316" s="1" t="n">
        <v>46323</v>
      </c>
      <c r="F316" t="inlineStr">
        <is>
          <t>KALMAR LÄN</t>
        </is>
      </c>
      <c r="G316" t="inlineStr">
        <is>
          <t>VÄSTERVIK</t>
        </is>
      </c>
      <c r="H316" t="inlineStr">
        <is>
          <t>Sveaskog</t>
        </is>
      </c>
      <c r="I316" t="n">
        <v>1.3</v>
      </c>
      <c r="J316" t="n">
        <v>1</v>
      </c>
      <c r="K316" t="n">
        <v>0</v>
      </c>
      <c r="L316" t="n">
        <v>0</v>
      </c>
      <c r="M316" t="n">
        <v>0</v>
      </c>
      <c r="N316" t="n">
        <v>0</v>
      </c>
      <c r="O316" t="n">
        <v>0</v>
      </c>
      <c r="P316" t="n">
        <v>0</v>
      </c>
      <c r="Q316" t="n">
        <v>0</v>
      </c>
      <c r="R316" t="n">
        <v>0</v>
      </c>
      <c r="S316" t="n">
        <v>1</v>
      </c>
      <c r="T316" t="n">
        <v>1</v>
      </c>
      <c r="U316" t="n">
        <v>1</v>
      </c>
      <c r="V316" s="2" t="inlineStr">
        <is>
          <t>Spillkråka</t>
        </is>
      </c>
      <c r="W316">
        <f>HYPERLINK("https://klasma.github.io/Logging_0883/artfynd/A 16697-2025 artfynd.xlsx", "A 16697-2025")</f>
        <v/>
      </c>
      <c r="X316">
        <f>HYPERLINK("https://klasma.github.io/Logging_0883/kartor/A 16697-2025 karta.png", "A 16697-2025")</f>
        <v/>
      </c>
      <c r="Y316">
        <f>HYPERLINK("https://klasma.github.io/Logging_0883/kartor_geotiff/A 16697-2025 georefererad karta.tif", "A 16697-2025")</f>
        <v/>
      </c>
      <c r="AA316">
        <f>HYPERLINK("https://klasma.github.io/Logging_0883/klagomål/A 16697-2025 FSC-klagomål.docx", "A 16697-2025")</f>
        <v/>
      </c>
      <c r="AB316">
        <f>HYPERLINK("https://klasma.github.io/Logging_0883/klagomålsmail/A 16697-2025 FSC-klagomål mail.docx", "A 16697-2025")</f>
        <v/>
      </c>
      <c r="AC316">
        <f>HYPERLINK("https://klasma.github.io/Logging_0883/tillsyn/A 16697-2025 tillsynsbegäran.docx", "A 16697-2025")</f>
        <v/>
      </c>
      <c r="AD316">
        <f>HYPERLINK("https://klasma.github.io/Logging_0883/tillsynsmail/A 16697-2025 tillsynsbegäran mail.docx", "A 16697-2025")</f>
        <v/>
      </c>
      <c r="AE316">
        <f>HYPERLINK("https://klasma.github.io/Logging_0883/fåglar/A 16697-2025 prioriterade fågelarter.docx", "A 16697-2025")</f>
        <v/>
      </c>
    </row>
    <row r="317" ht="15" customHeight="1">
      <c r="A317" t="inlineStr">
        <is>
          <t>A 6657-2025</t>
        </is>
      </c>
      <c r="B317" t="inlineStr">
        <is>
          <t>avverkningsanmälan</t>
        </is>
      </c>
      <c r="C317" t="inlineStr">
        <is>
          <t>Föryngringsavverkning</t>
        </is>
      </c>
      <c r="D317" s="1" t="n">
        <v>45700</v>
      </c>
      <c r="E317" s="1" t="n">
        <v>46323</v>
      </c>
      <c r="F317" t="inlineStr">
        <is>
          <t>KALMAR LÄN</t>
        </is>
      </c>
      <c r="G317" t="inlineStr">
        <is>
          <t>VÄSTERVIK</t>
        </is>
      </c>
      <c r="H317" t="inlineStr">
        <is>
          <t>Holmen skog AB</t>
        </is>
      </c>
      <c r="I317" t="n">
        <v>3</v>
      </c>
      <c r="J317" t="n">
        <v>1</v>
      </c>
      <c r="K317" t="n">
        <v>0</v>
      </c>
      <c r="L317" t="n">
        <v>0</v>
      </c>
      <c r="M317" t="n">
        <v>1</v>
      </c>
      <c r="N317" t="n">
        <v>0</v>
      </c>
      <c r="O317" t="n">
        <v>0</v>
      </c>
      <c r="P317" t="n">
        <v>0</v>
      </c>
      <c r="Q317" t="n">
        <v>1</v>
      </c>
      <c r="R317" t="n">
        <v>1</v>
      </c>
      <c r="S317" t="n">
        <v>1</v>
      </c>
      <c r="T317" t="n">
        <v>1</v>
      </c>
      <c r="U317" t="n">
        <v>1</v>
      </c>
      <c r="V317" s="2" t="inlineStr">
        <is>
          <t>Knärot</t>
        </is>
      </c>
      <c r="W317">
        <f>HYPERLINK("https://klasma.github.io/Logging_0883/artfynd/A 6657-2025 artfynd.xlsx", "A 6657-2025")</f>
        <v/>
      </c>
      <c r="X317">
        <f>HYPERLINK("https://klasma.github.io/Logging_0883/kartor/A 6657-2025 karta.png", "A 6657-2025")</f>
        <v/>
      </c>
      <c r="Y317">
        <f>HYPERLINK("https://klasma.github.io/Logging_0883/kartor_geotiff/A 6657-2025 georefererad karta.tif", "A 6657-2025")</f>
        <v/>
      </c>
      <c r="Z317">
        <f>HYPERLINK("https://klasma.github.io/Logging_0883/knärot/A 6657-2025 karta knärot.png", "A 6657-2025")</f>
        <v/>
      </c>
      <c r="AA317">
        <f>HYPERLINK("https://klasma.github.io/Logging_0883/klagomål/A 6657-2025 FSC-klagomål.docx", "A 6657-2025")</f>
        <v/>
      </c>
      <c r="AB317">
        <f>HYPERLINK("https://klasma.github.io/Logging_0883/klagomålsmail/A 6657-2025 FSC-klagomål mail.docx", "A 6657-2025")</f>
        <v/>
      </c>
      <c r="AC317">
        <f>HYPERLINK("https://klasma.github.io/Logging_0883/tillsyn/A 6657-2025 tillsynsbegäran.docx", "A 6657-2025")</f>
        <v/>
      </c>
      <c r="AD317">
        <f>HYPERLINK("https://klasma.github.io/Logging_0883/tillsynsmail/A 6657-2025 tillsynsbegäran mail.docx", "A 6657-2025")</f>
        <v/>
      </c>
    </row>
    <row r="318" ht="15" customHeight="1">
      <c r="A318" t="inlineStr">
        <is>
          <t>A 25110-2026</t>
        </is>
      </c>
      <c r="B318" t="inlineStr">
        <is>
          <t>avverkningsanmälan</t>
        </is>
      </c>
      <c r="C318" t="inlineStr">
        <is>
          <t>Föryngringsavverkning</t>
        </is>
      </c>
      <c r="D318" s="1" t="n">
        <v>46175</v>
      </c>
      <c r="E318" s="1" t="n">
        <v>46323</v>
      </c>
      <c r="F318" t="inlineStr">
        <is>
          <t>KALMAR LÄN</t>
        </is>
      </c>
      <c r="G318" t="inlineStr">
        <is>
          <t>VÄSTERVIK</t>
        </is>
      </c>
      <c r="I318" t="n">
        <v>2.3</v>
      </c>
      <c r="J318" t="n">
        <v>0</v>
      </c>
      <c r="K318" t="n">
        <v>1</v>
      </c>
      <c r="L318" t="n">
        <v>0</v>
      </c>
      <c r="M318" t="n">
        <v>0</v>
      </c>
      <c r="N318" t="n">
        <v>0</v>
      </c>
      <c r="O318" t="n">
        <v>0</v>
      </c>
      <c r="P318" t="n">
        <v>0</v>
      </c>
      <c r="Q318" t="n">
        <v>0</v>
      </c>
      <c r="R318" t="n">
        <v>0</v>
      </c>
      <c r="S318" t="n">
        <v>1</v>
      </c>
      <c r="T318" t="n">
        <v>1</v>
      </c>
      <c r="U318" t="n">
        <v>0</v>
      </c>
      <c r="V318" s="2" t="inlineStr">
        <is>
          <t>Grönpyrola</t>
        </is>
      </c>
      <c r="W318">
        <f>HYPERLINK("https://klasma.github.io/Logging_0883/artfynd/A 25110-2026 artfynd.xlsx", "A 25110-2026")</f>
        <v/>
      </c>
      <c r="X318">
        <f>HYPERLINK("https://klasma.github.io/Logging_0883/kartor/A 25110-2026 karta.png", "A 25110-2026")</f>
        <v/>
      </c>
      <c r="Y318">
        <f>HYPERLINK("https://klasma.github.io/Logging_0883/kartor_geotiff/A 25110-2026 georefererad karta.tif", "A 25110-2026")</f>
        <v/>
      </c>
      <c r="AA318">
        <f>HYPERLINK("https://klasma.github.io/Logging_0883/klagomål/A 25110-2026 FSC-klagomål.docx", "A 25110-2026")</f>
        <v/>
      </c>
      <c r="AB318">
        <f>HYPERLINK("https://klasma.github.io/Logging_0883/klagomålsmail/A 25110-2026 FSC-klagomål mail.docx", "A 25110-2026")</f>
        <v/>
      </c>
      <c r="AC318">
        <f>HYPERLINK("https://klasma.github.io/Logging_0883/tillsyn/A 25110-2026 tillsynsbegäran.docx", "A 25110-2026")</f>
        <v/>
      </c>
      <c r="AD318">
        <f>HYPERLINK("https://klasma.github.io/Logging_0883/tillsynsmail/A 25110-2026 tillsynsbegäran mail.docx", "A 25110-2026")</f>
        <v/>
      </c>
    </row>
    <row r="319" ht="15" customHeight="1">
      <c r="A319" t="inlineStr">
        <is>
          <t>A 4750-2025</t>
        </is>
      </c>
      <c r="B319" t="inlineStr">
        <is>
          <t>avverkningsanmälan</t>
        </is>
      </c>
      <c r="C319" t="inlineStr">
        <is>
          <t>Föryngringsavverkning</t>
        </is>
      </c>
      <c r="D319" s="1" t="n">
        <v>45688</v>
      </c>
      <c r="E319" s="1" t="n">
        <v>46323</v>
      </c>
      <c r="F319" t="inlineStr">
        <is>
          <t>KALMAR LÄN</t>
        </is>
      </c>
      <c r="G319" t="inlineStr">
        <is>
          <t>VÄSTERVIK</t>
        </is>
      </c>
      <c r="H319" t="inlineStr">
        <is>
          <t>Holmen skog AB</t>
        </is>
      </c>
      <c r="I319" t="n">
        <v>0.9</v>
      </c>
      <c r="J319" t="n">
        <v>1</v>
      </c>
      <c r="K319" t="n">
        <v>0</v>
      </c>
      <c r="L319" t="n">
        <v>1</v>
      </c>
      <c r="M319" t="n">
        <v>0</v>
      </c>
      <c r="N319" t="n">
        <v>0</v>
      </c>
      <c r="O319" t="n">
        <v>0</v>
      </c>
      <c r="P319" t="n">
        <v>0</v>
      </c>
      <c r="Q319" t="n">
        <v>1</v>
      </c>
      <c r="R319" t="n">
        <v>0</v>
      </c>
      <c r="S319" t="n">
        <v>1</v>
      </c>
      <c r="T319" t="n">
        <v>1</v>
      </c>
      <c r="U319" t="n">
        <v>1</v>
      </c>
      <c r="V319" s="2" t="inlineStr">
        <is>
          <t>Talltita</t>
        </is>
      </c>
      <c r="W319">
        <f>HYPERLINK("https://klasma.github.io/Logging_0883/artfynd/A 4750-2025 artfynd.xlsx", "A 4750-2025")</f>
        <v/>
      </c>
      <c r="X319">
        <f>HYPERLINK("https://klasma.github.io/Logging_0883/kartor/A 4750-2025 karta.png", "A 4750-2025")</f>
        <v/>
      </c>
      <c r="Y319">
        <f>HYPERLINK("https://klasma.github.io/Logging_0883/kartor_geotiff/A 4750-2025 georefererad karta.tif", "A 4750-2025")</f>
        <v/>
      </c>
      <c r="AA319">
        <f>HYPERLINK("https://klasma.github.io/Logging_0883/klagomål/A 4750-2025 FSC-klagomål.docx", "A 4750-2025")</f>
        <v/>
      </c>
      <c r="AB319">
        <f>HYPERLINK("https://klasma.github.io/Logging_0883/klagomålsmail/A 4750-2025 FSC-klagomål mail.docx", "A 4750-2025")</f>
        <v/>
      </c>
      <c r="AC319">
        <f>HYPERLINK("https://klasma.github.io/Logging_0883/tillsyn/A 4750-2025 tillsynsbegäran.docx", "A 4750-2025")</f>
        <v/>
      </c>
      <c r="AD319">
        <f>HYPERLINK("https://klasma.github.io/Logging_0883/tillsynsmail/A 4750-2025 tillsynsbegäran mail.docx", "A 4750-2025")</f>
        <v/>
      </c>
      <c r="AE319">
        <f>HYPERLINK("https://klasma.github.io/Logging_0883/fåglar/A 4750-2025 prioriterade fågelarter.docx", "A 4750-2025")</f>
        <v/>
      </c>
    </row>
    <row r="320" ht="15" customHeight="1">
      <c r="A320" t="inlineStr">
        <is>
          <t>A 26640-2026</t>
        </is>
      </c>
      <c r="B320" t="inlineStr">
        <is>
          <t>avverkningsanmälan</t>
        </is>
      </c>
      <c r="C320" t="inlineStr">
        <is>
          <t>Föryngringsavverkning</t>
        </is>
      </c>
      <c r="D320" s="1" t="n">
        <v>46184</v>
      </c>
      <c r="E320" s="1" t="n">
        <v>46323</v>
      </c>
      <c r="F320" t="inlineStr">
        <is>
          <t>KALMAR LÄN</t>
        </is>
      </c>
      <c r="G320" t="inlineStr">
        <is>
          <t>VÄSTERVIK</t>
        </is>
      </c>
      <c r="H320" t="inlineStr">
        <is>
          <t>Sveaskog</t>
        </is>
      </c>
      <c r="I320" t="n">
        <v>2.3</v>
      </c>
      <c r="J320" t="n">
        <v>1</v>
      </c>
      <c r="K320" t="n">
        <v>0</v>
      </c>
      <c r="L320" t="n">
        <v>0</v>
      </c>
      <c r="M320" t="n">
        <v>0</v>
      </c>
      <c r="N320" t="n">
        <v>0</v>
      </c>
      <c r="O320" t="n">
        <v>0</v>
      </c>
      <c r="P320" t="n">
        <v>0</v>
      </c>
      <c r="Q320" t="n">
        <v>0</v>
      </c>
      <c r="R320" t="n">
        <v>0</v>
      </c>
      <c r="S320" t="n">
        <v>1</v>
      </c>
      <c r="T320" t="n">
        <v>1</v>
      </c>
      <c r="U320" t="n">
        <v>0</v>
      </c>
      <c r="V320" s="2" t="inlineStr">
        <is>
          <t>Tjäder</t>
        </is>
      </c>
      <c r="W320">
        <f>HYPERLINK("https://klasma.github.io/Logging_0883/artfynd/A 26640-2026 artfynd.xlsx", "A 26640-2026")</f>
        <v/>
      </c>
      <c r="X320">
        <f>HYPERLINK("https://klasma.github.io/Logging_0883/kartor/A 26640-2026 karta.png", "A 26640-2026")</f>
        <v/>
      </c>
      <c r="Y320">
        <f>HYPERLINK("https://klasma.github.io/Logging_0883/kartor_geotiff/A 26640-2026 georefererad karta.tif", "A 26640-2026")</f>
        <v/>
      </c>
      <c r="AA320">
        <f>HYPERLINK("https://klasma.github.io/Logging_0883/klagomål/A 26640-2026 FSC-klagomål.docx", "A 26640-2026")</f>
        <v/>
      </c>
      <c r="AB320">
        <f>HYPERLINK("https://klasma.github.io/Logging_0883/klagomålsmail/A 26640-2026 FSC-klagomål mail.docx", "A 26640-2026")</f>
        <v/>
      </c>
      <c r="AC320">
        <f>HYPERLINK("https://klasma.github.io/Logging_0883/tillsyn/A 26640-2026 tillsynsbegäran.docx", "A 26640-2026")</f>
        <v/>
      </c>
      <c r="AD320">
        <f>HYPERLINK("https://klasma.github.io/Logging_0883/tillsynsmail/A 26640-2026 tillsynsbegäran mail.docx", "A 26640-2026")</f>
        <v/>
      </c>
      <c r="AE320">
        <f>HYPERLINK("https://klasma.github.io/Logging_0883/fåglar/A 26640-2026 prioriterade fågelarter.docx", "A 26640-2026")</f>
        <v/>
      </c>
    </row>
    <row r="321" ht="15" customHeight="1">
      <c r="A321" t="inlineStr">
        <is>
          <t>A 26636-2026</t>
        </is>
      </c>
      <c r="B321" t="inlineStr">
        <is>
          <t>avverkningsanmälan</t>
        </is>
      </c>
      <c r="C321" t="inlineStr">
        <is>
          <t>Föryngringsavverkning</t>
        </is>
      </c>
      <c r="D321" s="1" t="n">
        <v>46184</v>
      </c>
      <c r="E321" s="1" t="n">
        <v>46323</v>
      </c>
      <c r="F321" t="inlineStr">
        <is>
          <t>KALMAR LÄN</t>
        </is>
      </c>
      <c r="G321" t="inlineStr">
        <is>
          <t>VÄSTERVIK</t>
        </is>
      </c>
      <c r="H321" t="inlineStr">
        <is>
          <t>Sveaskog</t>
        </is>
      </c>
      <c r="I321" t="n">
        <v>2.1</v>
      </c>
      <c r="J321" t="n">
        <v>0</v>
      </c>
      <c r="K321" t="n">
        <v>1</v>
      </c>
      <c r="L321" t="n">
        <v>0</v>
      </c>
      <c r="M321" t="n">
        <v>0</v>
      </c>
      <c r="N321" t="n">
        <v>0</v>
      </c>
      <c r="O321" t="n">
        <v>0</v>
      </c>
      <c r="P321" t="n">
        <v>0</v>
      </c>
      <c r="Q321" t="n">
        <v>0</v>
      </c>
      <c r="R321" t="n">
        <v>0</v>
      </c>
      <c r="S321" t="n">
        <v>1</v>
      </c>
      <c r="T321" t="n">
        <v>1</v>
      </c>
      <c r="U321" t="n">
        <v>0</v>
      </c>
      <c r="V321" s="2" t="inlineStr">
        <is>
          <t>Skogstimmia</t>
        </is>
      </c>
      <c r="W321">
        <f>HYPERLINK("https://klasma.github.io/Logging_0883/artfynd/A 26636-2026 artfynd.xlsx", "A 26636-2026")</f>
        <v/>
      </c>
      <c r="X321">
        <f>HYPERLINK("https://klasma.github.io/Logging_0883/kartor/A 26636-2026 karta.png", "A 26636-2026")</f>
        <v/>
      </c>
      <c r="Y321">
        <f>HYPERLINK("https://klasma.github.io/Logging_0883/kartor_geotiff/A 26636-2026 georefererad karta.tif", "A 26636-2026")</f>
        <v/>
      </c>
      <c r="AA321">
        <f>HYPERLINK("https://klasma.github.io/Logging_0883/klagomål/A 26636-2026 FSC-klagomål.docx", "A 26636-2026")</f>
        <v/>
      </c>
      <c r="AB321">
        <f>HYPERLINK("https://klasma.github.io/Logging_0883/klagomålsmail/A 26636-2026 FSC-klagomål mail.docx", "A 26636-2026")</f>
        <v/>
      </c>
      <c r="AC321">
        <f>HYPERLINK("https://klasma.github.io/Logging_0883/tillsyn/A 26636-2026 tillsynsbegäran.docx", "A 26636-2026")</f>
        <v/>
      </c>
      <c r="AD321">
        <f>HYPERLINK("https://klasma.github.io/Logging_0883/tillsynsmail/A 26636-2026 tillsynsbegäran mail.docx", "A 26636-2026")</f>
        <v/>
      </c>
    </row>
    <row r="322" ht="15" customHeight="1">
      <c r="A322" t="inlineStr">
        <is>
          <t>S 3040-2022</t>
        </is>
      </c>
      <c r="B322" t="inlineStr">
        <is>
          <t>samrådsanmälan</t>
        </is>
      </c>
      <c r="C322" t="inlineStr">
        <is>
          <t>Annan skogsbruksåtgärd</t>
        </is>
      </c>
      <c r="D322" s="1" t="n">
        <v>44715</v>
      </c>
      <c r="E322" s="1" t="n">
        <v>46323</v>
      </c>
      <c r="F322" t="inlineStr">
        <is>
          <t>KALMAR LÄN</t>
        </is>
      </c>
      <c r="G322" t="inlineStr">
        <is>
          <t>VÄSTERVIK</t>
        </is>
      </c>
      <c r="I322" t="n">
        <v>2.6</v>
      </c>
      <c r="J322" t="n">
        <v>1</v>
      </c>
      <c r="K322" t="n">
        <v>0</v>
      </c>
      <c r="L322" t="n">
        <v>0</v>
      </c>
      <c r="M322" t="n">
        <v>1</v>
      </c>
      <c r="N322" t="n">
        <v>0</v>
      </c>
      <c r="O322" t="n">
        <v>0</v>
      </c>
      <c r="P322" t="n">
        <v>0</v>
      </c>
      <c r="Q322" t="n">
        <v>1</v>
      </c>
      <c r="R322" t="n">
        <v>1</v>
      </c>
      <c r="S322" t="n">
        <v>1</v>
      </c>
      <c r="T322" t="n">
        <v>2</v>
      </c>
      <c r="U322" t="n">
        <v>0</v>
      </c>
      <c r="V322" s="2" t="inlineStr">
        <is>
          <t>Knärot</t>
        </is>
      </c>
      <c r="W322">
        <f>HYPERLINK("https://klasma.github.io/Logging_0883/artfynd/S 3040-2022 artfynd.xlsx", "S 3040-2022")</f>
        <v/>
      </c>
      <c r="X322">
        <f>HYPERLINK("https://klasma.github.io/Logging_0883/kartor/S 3040-2022 karta.png", "S 3040-2022")</f>
        <v/>
      </c>
      <c r="Y322">
        <f>HYPERLINK("https://klasma.github.io/Logging_0883/kartor_geotiff/S 3040-2022 georefererad karta.tif", "S 3040-2022")</f>
        <v/>
      </c>
      <c r="Z322">
        <f>HYPERLINK("https://klasma.github.io/Logging_0883/knärot/S 3040-2022 karta knärot.png", "S 3040-2022")</f>
        <v/>
      </c>
      <c r="AA322">
        <f>HYPERLINK("https://klasma.github.io/Logging_0883/klagomål/S 3040-2022 FSC-klagomål.docx", "S 3040-2022")</f>
        <v/>
      </c>
      <c r="AB322">
        <f>HYPERLINK("https://klasma.github.io/Logging_0883/klagomålsmail/S 3040-2022 FSC-klagomål mail.docx", "S 3040-2022")</f>
        <v/>
      </c>
      <c r="AC322">
        <f>HYPERLINK("https://klasma.github.io/Logging_0883/tillsyn/S 3040-2022 tillsynsbegäran.docx", "S 3040-2022")</f>
        <v/>
      </c>
      <c r="AD322">
        <f>HYPERLINK("https://klasma.github.io/Logging_0883/tillsynsmail/S 3040-2022 tillsynsbegäran mail.docx", "S 3040-2022")</f>
        <v/>
      </c>
    </row>
    <row r="323" ht="15" customHeight="1">
      <c r="A323" t="inlineStr">
        <is>
          <t>S 2638-2022</t>
        </is>
      </c>
      <c r="B323" t="inlineStr">
        <is>
          <t>samrådsanmälan</t>
        </is>
      </c>
      <c r="C323" t="inlineStr">
        <is>
          <t>Åtgärd i nyckelbiotop</t>
        </is>
      </c>
      <c r="D323" s="1" t="n">
        <v>44699</v>
      </c>
      <c r="E323" s="1" t="n">
        <v>46323</v>
      </c>
      <c r="F323" t="inlineStr">
        <is>
          <t>KALMAR LÄN</t>
        </is>
      </c>
      <c r="G323" t="inlineStr">
        <is>
          <t>VÄSTERVIK</t>
        </is>
      </c>
      <c r="H323" t="inlineStr">
        <is>
          <t>Kommuner</t>
        </is>
      </c>
      <c r="I323" t="n">
        <v>0.4</v>
      </c>
      <c r="J323" t="n">
        <v>0</v>
      </c>
      <c r="K323" t="n">
        <v>0</v>
      </c>
      <c r="L323" t="n">
        <v>1</v>
      </c>
      <c r="M323" t="n">
        <v>0</v>
      </c>
      <c r="N323" t="n">
        <v>0</v>
      </c>
      <c r="O323" t="n">
        <v>0</v>
      </c>
      <c r="P323" t="n">
        <v>0</v>
      </c>
      <c r="Q323" t="n">
        <v>1</v>
      </c>
      <c r="R323" t="n">
        <v>0</v>
      </c>
      <c r="S323" t="n">
        <v>1</v>
      </c>
      <c r="T323" t="n">
        <v>2</v>
      </c>
      <c r="U323" t="n">
        <v>0</v>
      </c>
      <c r="V323" s="2" t="inlineStr">
        <is>
          <t>Reliktbock</t>
        </is>
      </c>
      <c r="W323">
        <f>HYPERLINK("https://klasma.github.io/Logging_0883/artfynd/S 2638-2022 artfynd.xlsx", "S 2638-2022")</f>
        <v/>
      </c>
      <c r="X323">
        <f>HYPERLINK("https://klasma.github.io/Logging_0883/kartor/S 2638-2022 karta.png", "S 2638-2022")</f>
        <v/>
      </c>
      <c r="Y323">
        <f>HYPERLINK("https://klasma.github.io/Logging_0883/kartor_geotiff/S 2638-2022 georefererad karta.tif", "S 2638-2022")</f>
        <v/>
      </c>
      <c r="AA323">
        <f>HYPERLINK("https://klasma.github.io/Logging_0883/klagomål/S 2638-2022 FSC-klagomål.docx", "S 2638-2022")</f>
        <v/>
      </c>
      <c r="AB323">
        <f>HYPERLINK("https://klasma.github.io/Logging_0883/klagomålsmail/S 2638-2022 FSC-klagomål mail.docx", "S 2638-2022")</f>
        <v/>
      </c>
      <c r="AC323">
        <f>HYPERLINK("https://klasma.github.io/Logging_0883/tillsyn/S 2638-2022 tillsynsbegäran.docx", "S 2638-2022")</f>
        <v/>
      </c>
      <c r="AD323">
        <f>HYPERLINK("https://klasma.github.io/Logging_0883/tillsynsmail/S 2638-2022 tillsynsbegäran mail.docx", "S 2638-2022")</f>
        <v/>
      </c>
    </row>
    <row r="324" ht="15" customHeight="1">
      <c r="A324" t="inlineStr">
        <is>
          <t>S 699-2022</t>
        </is>
      </c>
      <c r="B324" t="inlineStr">
        <is>
          <t>samrådsanmälan</t>
        </is>
      </c>
      <c r="C324" t="inlineStr">
        <is>
          <t>Annan skogsbruksåtgärd</t>
        </is>
      </c>
      <c r="D324" s="1" t="n">
        <v>44596</v>
      </c>
      <c r="E324" s="1" t="n">
        <v>46323</v>
      </c>
      <c r="F324" t="inlineStr">
        <is>
          <t>KALMAR LÄN</t>
        </is>
      </c>
      <c r="G324" t="inlineStr">
        <is>
          <t>VÄSTERVIK</t>
        </is>
      </c>
      <c r="I324" t="n">
        <v>0.3</v>
      </c>
      <c r="J324" t="n">
        <v>1</v>
      </c>
      <c r="K324" t="n">
        <v>0</v>
      </c>
      <c r="L324" t="n">
        <v>0</v>
      </c>
      <c r="M324" t="n">
        <v>1</v>
      </c>
      <c r="N324" t="n">
        <v>0</v>
      </c>
      <c r="O324" t="n">
        <v>0</v>
      </c>
      <c r="P324" t="n">
        <v>0</v>
      </c>
      <c r="Q324" t="n">
        <v>1</v>
      </c>
      <c r="R324" t="n">
        <v>1</v>
      </c>
      <c r="S324" t="n">
        <v>1</v>
      </c>
      <c r="T324" t="n">
        <v>1</v>
      </c>
      <c r="U324" t="n">
        <v>0</v>
      </c>
      <c r="V324" s="2" t="inlineStr">
        <is>
          <t>Knärot</t>
        </is>
      </c>
      <c r="W324">
        <f>HYPERLINK("https://klasma.github.io/Logging_0883/artfynd/S 699-2022 artfynd.xlsx", "S 699-2022")</f>
        <v/>
      </c>
      <c r="X324">
        <f>HYPERLINK("https://klasma.github.io/Logging_0883/kartor/S 699-2022 karta.png", "S 699-2022")</f>
        <v/>
      </c>
      <c r="Y324">
        <f>HYPERLINK("https://klasma.github.io/Logging_0883/kartor_geotiff/S 699-2022 georefererad karta.tif", "S 699-2022")</f>
        <v/>
      </c>
      <c r="Z324">
        <f>HYPERLINK("https://klasma.github.io/Logging_0883/knärot/S 699-2022 karta knärot.png", "S 699-2022")</f>
        <v/>
      </c>
      <c r="AA324">
        <f>HYPERLINK("https://klasma.github.io/Logging_0883/klagomål/S 699-2022 FSC-klagomål.docx", "S 699-2022")</f>
        <v/>
      </c>
      <c r="AB324">
        <f>HYPERLINK("https://klasma.github.io/Logging_0883/klagomålsmail/S 699-2022 FSC-klagomål mail.docx", "S 699-2022")</f>
        <v/>
      </c>
      <c r="AC324">
        <f>HYPERLINK("https://klasma.github.io/Logging_0883/tillsyn/S 699-2022 tillsynsbegäran.docx", "S 699-2022")</f>
        <v/>
      </c>
      <c r="AD324">
        <f>HYPERLINK("https://klasma.github.io/Logging_0883/tillsynsmail/S 699-2022 tillsynsbegäran mail.docx", "S 699-2022")</f>
        <v/>
      </c>
    </row>
    <row r="325" ht="15" customHeight="1">
      <c r="A325" t="inlineStr">
        <is>
          <t>S 3134-2023</t>
        </is>
      </c>
      <c r="B325" t="inlineStr">
        <is>
          <t>samrådsanmälan</t>
        </is>
      </c>
      <c r="C325" t="inlineStr">
        <is>
          <t>Annan skogsbruksåtgärd</t>
        </is>
      </c>
      <c r="D325" s="1" t="n">
        <v>45188</v>
      </c>
      <c r="E325" s="1" t="n">
        <v>46323</v>
      </c>
      <c r="F325" t="inlineStr">
        <is>
          <t>KALMAR LÄN</t>
        </is>
      </c>
      <c r="G325" t="inlineStr">
        <is>
          <t>VÄSTERVIK</t>
        </is>
      </c>
      <c r="H325" t="inlineStr">
        <is>
          <t>Kommuner</t>
        </is>
      </c>
      <c r="I325" t="n">
        <v>0.3</v>
      </c>
      <c r="J325" t="n">
        <v>0</v>
      </c>
      <c r="K325" t="n">
        <v>1</v>
      </c>
      <c r="L325" t="n">
        <v>0</v>
      </c>
      <c r="M325" t="n">
        <v>0</v>
      </c>
      <c r="N325" t="n">
        <v>0</v>
      </c>
      <c r="O325" t="n">
        <v>0</v>
      </c>
      <c r="P325" t="n">
        <v>0</v>
      </c>
      <c r="Q325" t="n">
        <v>0</v>
      </c>
      <c r="R325" t="n">
        <v>0</v>
      </c>
      <c r="S325" t="n">
        <v>1</v>
      </c>
      <c r="T325" t="n">
        <v>1</v>
      </c>
      <c r="U325" t="n">
        <v>0</v>
      </c>
      <c r="V325" s="2" t="inlineStr">
        <is>
          <t>Sotlav</t>
        </is>
      </c>
      <c r="W325">
        <f>HYPERLINK("https://klasma.github.io/Logging_0883/artfynd/S 3134-2023 artfynd.xlsx", "S 3134-2023")</f>
        <v/>
      </c>
      <c r="X325">
        <f>HYPERLINK("https://klasma.github.io/Logging_0883/kartor/S 3134-2023 karta.png", "S 3134-2023")</f>
        <v/>
      </c>
      <c r="Y325">
        <f>HYPERLINK("https://klasma.github.io/Logging_0883/kartor_geotiff/S 3134-2023 georefererad karta.tif", "S 3134-2023")</f>
        <v/>
      </c>
      <c r="AA325">
        <f>HYPERLINK("https://klasma.github.io/Logging_0883/klagomål/S 3134-2023 FSC-klagomål.docx", "S 3134-2023")</f>
        <v/>
      </c>
      <c r="AB325">
        <f>HYPERLINK("https://klasma.github.io/Logging_0883/klagomålsmail/S 3134-2023 FSC-klagomål mail.docx", "S 3134-2023")</f>
        <v/>
      </c>
      <c r="AC325">
        <f>HYPERLINK("https://klasma.github.io/Logging_0883/tillsyn/S 3134-2023 tillsynsbegäran.docx", "S 3134-2023")</f>
        <v/>
      </c>
      <c r="AD325">
        <f>HYPERLINK("https://klasma.github.io/Logging_0883/tillsynsmail/S 3134-2023 tillsynsbegäran mail.docx", "S 3134-2023")</f>
        <v/>
      </c>
    </row>
    <row r="326" ht="15" customHeight="1">
      <c r="A326" t="inlineStr">
        <is>
          <t>S 1882-2023</t>
        </is>
      </c>
      <c r="B326" t="inlineStr">
        <is>
          <t>samrådsanmälan</t>
        </is>
      </c>
      <c r="C326" t="inlineStr">
        <is>
          <t>Annan skogsbruksåtgärd</t>
        </is>
      </c>
      <c r="D326" s="1" t="n">
        <v>45082</v>
      </c>
      <c r="E326" s="1" t="n">
        <v>46323</v>
      </c>
      <c r="F326" t="inlineStr">
        <is>
          <t>KALMAR LÄN</t>
        </is>
      </c>
      <c r="G326" t="inlineStr">
        <is>
          <t>VÄSTERVIK</t>
        </is>
      </c>
      <c r="H326" t="inlineStr">
        <is>
          <t>Kommuner</t>
        </is>
      </c>
      <c r="I326" t="n">
        <v>0.5</v>
      </c>
      <c r="J326" t="n">
        <v>1</v>
      </c>
      <c r="K326" t="n">
        <v>0</v>
      </c>
      <c r="L326" t="n">
        <v>1</v>
      </c>
      <c r="M326" t="n">
        <v>0</v>
      </c>
      <c r="N326" t="n">
        <v>0</v>
      </c>
      <c r="O326" t="n">
        <v>0</v>
      </c>
      <c r="P326" t="n">
        <v>0</v>
      </c>
      <c r="Q326" t="n">
        <v>1</v>
      </c>
      <c r="R326" t="n">
        <v>0</v>
      </c>
      <c r="S326" t="n">
        <v>1</v>
      </c>
      <c r="T326" t="n">
        <v>1</v>
      </c>
      <c r="U326" t="n">
        <v>1</v>
      </c>
      <c r="V326" s="2" t="inlineStr">
        <is>
          <t>Mindre hackspett</t>
        </is>
      </c>
      <c r="W326">
        <f>HYPERLINK("https://klasma.github.io/Logging_0883/artfynd/S 1882-2023 artfynd.xlsx", "S 1882-2023")</f>
        <v/>
      </c>
      <c r="X326">
        <f>HYPERLINK("https://klasma.github.io/Logging_0883/kartor/S 1882-2023 karta.png", "S 1882-2023")</f>
        <v/>
      </c>
      <c r="Y326">
        <f>HYPERLINK("https://klasma.github.io/Logging_0883/kartor_geotiff/S 1882-2023 georefererad karta.tif", "S 1882-2023")</f>
        <v/>
      </c>
      <c r="AA326">
        <f>HYPERLINK("https://klasma.github.io/Logging_0883/klagomål/S 1882-2023 FSC-klagomål.docx", "S 1882-2023")</f>
        <v/>
      </c>
      <c r="AB326">
        <f>HYPERLINK("https://klasma.github.io/Logging_0883/klagomålsmail/S 1882-2023 FSC-klagomål mail.docx", "S 1882-2023")</f>
        <v/>
      </c>
      <c r="AC326">
        <f>HYPERLINK("https://klasma.github.io/Logging_0883/tillsyn/S 1882-2023 tillsynsbegäran.docx", "S 1882-2023")</f>
        <v/>
      </c>
      <c r="AD326">
        <f>HYPERLINK("https://klasma.github.io/Logging_0883/tillsynsmail/S 1882-2023 tillsynsbegäran mail.docx", "S 1882-2023")</f>
        <v/>
      </c>
      <c r="AE326">
        <f>HYPERLINK("https://klasma.github.io/Logging_0883/fåglar/S 1882-2023 prioriterade fågelarter.docx", "S 1882-2023")</f>
        <v/>
      </c>
    </row>
    <row r="327" ht="15" customHeight="1">
      <c r="A327" t="inlineStr">
        <is>
          <t>S 1518-2023</t>
        </is>
      </c>
      <c r="B327" t="inlineStr">
        <is>
          <t>samrådsanmälan</t>
        </is>
      </c>
      <c r="C327" t="inlineStr">
        <is>
          <t>Annan skogsbruksåtgärd</t>
        </is>
      </c>
      <c r="D327" s="1" t="n">
        <v>45055</v>
      </c>
      <c r="E327" s="1" t="n">
        <v>46323</v>
      </c>
      <c r="F327" t="inlineStr">
        <is>
          <t>KALMAR LÄN</t>
        </is>
      </c>
      <c r="G327" t="inlineStr">
        <is>
          <t>VÄSTERVIK</t>
        </is>
      </c>
      <c r="H327" t="inlineStr">
        <is>
          <t>Kommuner</t>
        </is>
      </c>
      <c r="I327" t="n">
        <v>9.6</v>
      </c>
      <c r="J327" t="n">
        <v>1</v>
      </c>
      <c r="K327" t="n">
        <v>0</v>
      </c>
      <c r="L327" t="n">
        <v>1</v>
      </c>
      <c r="M327" t="n">
        <v>0</v>
      </c>
      <c r="N327" t="n">
        <v>0</v>
      </c>
      <c r="O327" t="n">
        <v>0</v>
      </c>
      <c r="P327" t="n">
        <v>0</v>
      </c>
      <c r="Q327" t="n">
        <v>1</v>
      </c>
      <c r="R327" t="n">
        <v>0</v>
      </c>
      <c r="S327" t="n">
        <v>1</v>
      </c>
      <c r="T327" t="n">
        <v>1</v>
      </c>
      <c r="U327" t="n">
        <v>0</v>
      </c>
      <c r="V327" s="2" t="inlineStr">
        <is>
          <t>Kungsfiskare</t>
        </is>
      </c>
      <c r="W327">
        <f>HYPERLINK("https://klasma.github.io/Logging_0883/artfynd/S 1518-2023 artfynd.xlsx", "S 1518-2023")</f>
        <v/>
      </c>
      <c r="X327">
        <f>HYPERLINK("https://klasma.github.io/Logging_0883/kartor/S 1518-2023 karta.png", "S 1518-2023")</f>
        <v/>
      </c>
      <c r="Y327">
        <f>HYPERLINK("https://klasma.github.io/Logging_0883/kartor_geotiff/S 1518-2023 georefererad karta.tif", "S 1518-2023")</f>
        <v/>
      </c>
      <c r="AA327">
        <f>HYPERLINK("https://klasma.github.io/Logging_0883/klagomål/S 1518-2023 FSC-klagomål.docx", "S 1518-2023")</f>
        <v/>
      </c>
      <c r="AB327">
        <f>HYPERLINK("https://klasma.github.io/Logging_0883/klagomålsmail/S 1518-2023 FSC-klagomål mail.docx", "S 1518-2023")</f>
        <v/>
      </c>
      <c r="AC327">
        <f>HYPERLINK("https://klasma.github.io/Logging_0883/tillsyn/S 1518-2023 tillsynsbegäran.docx", "S 1518-2023")</f>
        <v/>
      </c>
      <c r="AD327">
        <f>HYPERLINK("https://klasma.github.io/Logging_0883/tillsynsmail/S 1518-2023 tillsynsbegäran mail.docx", "S 1518-2023")</f>
        <v/>
      </c>
    </row>
    <row r="328" ht="15" customHeight="1">
      <c r="A328" t="inlineStr">
        <is>
          <t>S 966-2024</t>
        </is>
      </c>
      <c r="B328" t="inlineStr">
        <is>
          <t>samrådsanmälan</t>
        </is>
      </c>
      <c r="C328" t="inlineStr">
        <is>
          <t>Annan skogsbruksåtgärd</t>
        </is>
      </c>
      <c r="D328" s="1" t="n">
        <v>45384</v>
      </c>
      <c r="E328" s="1" t="n">
        <v>46323</v>
      </c>
      <c r="F328" t="inlineStr">
        <is>
          <t>KALMAR LÄN</t>
        </is>
      </c>
      <c r="G328" t="inlineStr">
        <is>
          <t>VÄSTERVIK</t>
        </is>
      </c>
      <c r="I328" t="n">
        <v>0</v>
      </c>
      <c r="J328" t="n">
        <v>1</v>
      </c>
      <c r="K328" t="n">
        <v>0</v>
      </c>
      <c r="L328" t="n">
        <v>0</v>
      </c>
      <c r="M328" t="n">
        <v>1</v>
      </c>
      <c r="N328" t="n">
        <v>0</v>
      </c>
      <c r="O328" t="n">
        <v>0</v>
      </c>
      <c r="P328" t="n">
        <v>0</v>
      </c>
      <c r="Q328" t="n">
        <v>1</v>
      </c>
      <c r="R328" t="n">
        <v>1</v>
      </c>
      <c r="S328" t="n">
        <v>1</v>
      </c>
      <c r="T328" t="n">
        <v>3</v>
      </c>
      <c r="U328" t="n">
        <v>0</v>
      </c>
      <c r="V328" s="2" t="inlineStr">
        <is>
          <t>Knärot</t>
        </is>
      </c>
      <c r="W328">
        <f>HYPERLINK("https://klasma.github.io/Logging_0883/artfynd/S 966-2024 artfynd.xlsx", "S 966-2024")</f>
        <v/>
      </c>
      <c r="X328">
        <f>HYPERLINK("https://klasma.github.io/Logging_0883/kartor/S 966-2024 karta.png", "S 966-2024")</f>
        <v/>
      </c>
      <c r="Y328">
        <f>HYPERLINK("https://klasma.github.io/Logging_0883/kartor_geotiff/S 966-2024 georefererad karta.tif", "S 966-2024")</f>
        <v/>
      </c>
      <c r="Z328">
        <f>HYPERLINK("https://klasma.github.io/Logging_0883/knärot/S 966-2024 karta knärot.png", "S 966-2024")</f>
        <v/>
      </c>
      <c r="AA328">
        <f>HYPERLINK("https://klasma.github.io/Logging_0883/klagomål/S 966-2024 FSC-klagomål.docx", "S 966-2024")</f>
        <v/>
      </c>
      <c r="AB328">
        <f>HYPERLINK("https://klasma.github.io/Logging_0883/klagomålsmail/S 966-2024 FSC-klagomål mail.docx", "S 966-2024")</f>
        <v/>
      </c>
      <c r="AC328">
        <f>HYPERLINK("https://klasma.github.io/Logging_0883/tillsyn/S 966-2024 tillsynsbegäran.docx", "S 966-2024")</f>
        <v/>
      </c>
      <c r="AD328">
        <f>HYPERLINK("https://klasma.github.io/Logging_0883/tillsynsmail/S 966-2024 tillsynsbegäran mail.docx", "S 966-2024")</f>
        <v/>
      </c>
    </row>
    <row r="329" ht="15" customHeight="1">
      <c r="A329" t="inlineStr">
        <is>
          <t>S 760-2023</t>
        </is>
      </c>
      <c r="B329" t="inlineStr">
        <is>
          <t>samrådsanmälan</t>
        </is>
      </c>
      <c r="C329" t="inlineStr">
        <is>
          <t>Askåterföring</t>
        </is>
      </c>
      <c r="D329" s="1" t="n">
        <v>44981</v>
      </c>
      <c r="E329" s="1" t="n">
        <v>46323</v>
      </c>
      <c r="F329" t="inlineStr">
        <is>
          <t>KALMAR LÄN</t>
        </is>
      </c>
      <c r="G329" t="inlineStr">
        <is>
          <t>VÄSTERVIK</t>
        </is>
      </c>
      <c r="H329" t="inlineStr">
        <is>
          <t>Kyrkan</t>
        </is>
      </c>
      <c r="I329" t="n">
        <v>80.7</v>
      </c>
      <c r="J329" t="n">
        <v>0</v>
      </c>
      <c r="K329" t="n">
        <v>1</v>
      </c>
      <c r="L329" t="n">
        <v>0</v>
      </c>
      <c r="M329" t="n">
        <v>0</v>
      </c>
      <c r="N329" t="n">
        <v>0</v>
      </c>
      <c r="O329" t="n">
        <v>0</v>
      </c>
      <c r="P329" t="n">
        <v>0</v>
      </c>
      <c r="Q329" t="n">
        <v>0</v>
      </c>
      <c r="R329" t="n">
        <v>0</v>
      </c>
      <c r="S329" t="n">
        <v>1</v>
      </c>
      <c r="T329" t="n">
        <v>1</v>
      </c>
      <c r="U329" t="n">
        <v>0</v>
      </c>
      <c r="V329" s="2" t="inlineStr">
        <is>
          <t>Ekskinn</t>
        </is>
      </c>
      <c r="W329">
        <f>HYPERLINK("https://klasma.github.io/Logging_0883/artfynd/S 760-2023 artfynd.xlsx", "S 760-2023")</f>
        <v/>
      </c>
      <c r="X329">
        <f>HYPERLINK("https://klasma.github.io/Logging_0883/kartor/S 760-2023 karta.png", "S 760-2023")</f>
        <v/>
      </c>
      <c r="Y329">
        <f>HYPERLINK("https://klasma.github.io/Logging_0883/kartor_geotiff/S 760-2023 georefererad karta.tif", "S 760-2023")</f>
        <v/>
      </c>
      <c r="AA329">
        <f>HYPERLINK("https://klasma.github.io/Logging_0883/klagomål/S 760-2023 FSC-klagomål.docx", "S 760-2023")</f>
        <v/>
      </c>
      <c r="AB329">
        <f>HYPERLINK("https://klasma.github.io/Logging_0883/klagomålsmail/S 760-2023 FSC-klagomål mail.docx", "S 760-2023")</f>
        <v/>
      </c>
      <c r="AC329">
        <f>HYPERLINK("https://klasma.github.io/Logging_0883/tillsyn/S 760-2023 tillsynsbegäran.docx", "S 760-2023")</f>
        <v/>
      </c>
      <c r="AD329">
        <f>HYPERLINK("https://klasma.github.io/Logging_0883/tillsynsmail/S 760-2023 tillsynsbegäran mail.docx", "S 760-2023")</f>
        <v/>
      </c>
    </row>
    <row r="330" ht="15" customHeight="1">
      <c r="A330" t="inlineStr">
        <is>
          <t>S 1520-2023</t>
        </is>
      </c>
      <c r="B330" t="inlineStr">
        <is>
          <t>samrådsanmälan</t>
        </is>
      </c>
      <c r="C330" t="inlineStr">
        <is>
          <t>Annan skogsbruksåtgärd</t>
        </is>
      </c>
      <c r="D330" s="1" t="n">
        <v>45055</v>
      </c>
      <c r="E330" s="1" t="n">
        <v>46323</v>
      </c>
      <c r="F330" t="inlineStr">
        <is>
          <t>KALMAR LÄN</t>
        </is>
      </c>
      <c r="G330" t="inlineStr">
        <is>
          <t>VÄSTERVIK</t>
        </is>
      </c>
      <c r="H330" t="inlineStr">
        <is>
          <t>Kommuner</t>
        </is>
      </c>
      <c r="I330" t="n">
        <v>5.3</v>
      </c>
      <c r="J330" t="n">
        <v>1</v>
      </c>
      <c r="K330" t="n">
        <v>0</v>
      </c>
      <c r="L330" t="n">
        <v>1</v>
      </c>
      <c r="M330" t="n">
        <v>0</v>
      </c>
      <c r="N330" t="n">
        <v>0</v>
      </c>
      <c r="O330" t="n">
        <v>0</v>
      </c>
      <c r="P330" t="n">
        <v>0</v>
      </c>
      <c r="Q330" t="n">
        <v>1</v>
      </c>
      <c r="R330" t="n">
        <v>0</v>
      </c>
      <c r="S330" t="n">
        <v>1</v>
      </c>
      <c r="T330" t="n">
        <v>1</v>
      </c>
      <c r="U330" t="n">
        <v>1</v>
      </c>
      <c r="V330" s="2" t="inlineStr">
        <is>
          <t>Apollofjäril</t>
        </is>
      </c>
      <c r="W330">
        <f>HYPERLINK("https://klasma.github.io/Logging_0883/artfynd/S 1520-2023 artfynd.xlsx", "S 1520-2023")</f>
        <v/>
      </c>
      <c r="X330">
        <f>HYPERLINK("https://klasma.github.io/Logging_0883/kartor/S 1520-2023 karta.png", "S 1520-2023")</f>
        <v/>
      </c>
      <c r="Y330">
        <f>HYPERLINK("https://klasma.github.io/Logging_0883/kartor_geotiff/S 1520-2023 georefererad karta.tif", "S 1520-2023")</f>
        <v/>
      </c>
      <c r="AA330">
        <f>HYPERLINK("https://klasma.github.io/Logging_0883/klagomål/S 1520-2023 FSC-klagomål.docx", "S 1520-2023")</f>
        <v/>
      </c>
      <c r="AB330">
        <f>HYPERLINK("https://klasma.github.io/Logging_0883/klagomålsmail/S 1520-2023 FSC-klagomål mail.docx", "S 1520-2023")</f>
        <v/>
      </c>
      <c r="AC330">
        <f>HYPERLINK("https://klasma.github.io/Logging_0883/tillsyn/S 1520-2023 tillsynsbegäran.docx", "S 1520-2023")</f>
        <v/>
      </c>
      <c r="AD330">
        <f>HYPERLINK("https://klasma.github.io/Logging_0883/tillsynsmail/S 1520-2023 tillsynsbegäran mail.docx", "S 1520-2023")</f>
        <v/>
      </c>
    </row>
    <row r="331" ht="15" customHeight="1">
      <c r="A331" t="inlineStr">
        <is>
          <t>S 3345-2024</t>
        </is>
      </c>
      <c r="B331" t="inlineStr">
        <is>
          <t>samrådsanmälan</t>
        </is>
      </c>
      <c r="C331" t="inlineStr">
        <is>
          <t>Annan skogsbruksåtgärd</t>
        </is>
      </c>
      <c r="D331" s="1" t="n">
        <v>45531</v>
      </c>
      <c r="E331" s="1" t="n">
        <v>46323</v>
      </c>
      <c r="F331" t="inlineStr">
        <is>
          <t>KALMAR LÄN</t>
        </is>
      </c>
      <c r="G331" t="inlineStr">
        <is>
          <t>VÄSTERVIK</t>
        </is>
      </c>
      <c r="H331" t="inlineStr">
        <is>
          <t>Kommuner</t>
        </is>
      </c>
      <c r="I331" t="n">
        <v>8.6</v>
      </c>
      <c r="J331" t="n">
        <v>1</v>
      </c>
      <c r="K331" t="n">
        <v>0</v>
      </c>
      <c r="L331" t="n">
        <v>1</v>
      </c>
      <c r="M331" t="n">
        <v>0</v>
      </c>
      <c r="N331" t="n">
        <v>0</v>
      </c>
      <c r="O331" t="n">
        <v>0</v>
      </c>
      <c r="P331" t="n">
        <v>0</v>
      </c>
      <c r="Q331" t="n">
        <v>1</v>
      </c>
      <c r="R331" t="n">
        <v>0</v>
      </c>
      <c r="S331" t="n">
        <v>1</v>
      </c>
      <c r="T331" t="n">
        <v>1</v>
      </c>
      <c r="U331" t="n">
        <v>0</v>
      </c>
      <c r="V331" s="2" t="inlineStr">
        <is>
          <t>Kungsfiskare</t>
        </is>
      </c>
      <c r="W331">
        <f>HYPERLINK("https://klasma.github.io/Logging_0883/artfynd/S 3345-2024 artfynd.xlsx", "S 3345-2024")</f>
        <v/>
      </c>
      <c r="X331">
        <f>HYPERLINK("https://klasma.github.io/Logging_0883/kartor/S 3345-2024 karta.png", "S 3345-2024")</f>
        <v/>
      </c>
      <c r="Y331">
        <f>HYPERLINK("https://klasma.github.io/Logging_0883/kartor_geotiff/S 3345-2024 georefererad karta.tif", "S 3345-2024")</f>
        <v/>
      </c>
      <c r="AA331">
        <f>HYPERLINK("https://klasma.github.io/Logging_0883/klagomål/S 3345-2024 FSC-klagomål.docx", "S 3345-2024")</f>
        <v/>
      </c>
      <c r="AB331">
        <f>HYPERLINK("https://klasma.github.io/Logging_0883/klagomålsmail/S 3345-2024 FSC-klagomål mail.docx", "S 3345-2024")</f>
        <v/>
      </c>
      <c r="AC331">
        <f>HYPERLINK("https://klasma.github.io/Logging_0883/tillsyn/S 3345-2024 tillsynsbegäran.docx", "S 3345-2024")</f>
        <v/>
      </c>
      <c r="AD331">
        <f>HYPERLINK("https://klasma.github.io/Logging_0883/tillsynsmail/S 3345-2024 tillsynsbegäran mail.docx", "S 3345-2024")</f>
        <v/>
      </c>
    </row>
    <row r="332" ht="15" customHeight="1">
      <c r="A332" t="inlineStr">
        <is>
          <t>S 978-2024</t>
        </is>
      </c>
      <c r="B332" t="inlineStr">
        <is>
          <t>samrådsanmälan</t>
        </is>
      </c>
      <c r="C332" t="inlineStr">
        <is>
          <t>Annan skogsbruksåtgärd</t>
        </is>
      </c>
      <c r="D332" s="1" t="n">
        <v>45385</v>
      </c>
      <c r="E332" s="1" t="n">
        <v>46323</v>
      </c>
      <c r="F332" t="inlineStr">
        <is>
          <t>KALMAR LÄN</t>
        </is>
      </c>
      <c r="G332" t="inlineStr">
        <is>
          <t>VÄSTERVIK</t>
        </is>
      </c>
      <c r="H332" t="inlineStr">
        <is>
          <t>Kommuner</t>
        </is>
      </c>
      <c r="I332" t="n">
        <v>0.5</v>
      </c>
      <c r="J332" t="n">
        <v>0</v>
      </c>
      <c r="K332" t="n">
        <v>0</v>
      </c>
      <c r="L332" t="n">
        <v>1</v>
      </c>
      <c r="M332" t="n">
        <v>0</v>
      </c>
      <c r="N332" t="n">
        <v>0</v>
      </c>
      <c r="O332" t="n">
        <v>0</v>
      </c>
      <c r="P332" t="n">
        <v>0</v>
      </c>
      <c r="Q332" t="n">
        <v>1</v>
      </c>
      <c r="R332" t="n">
        <v>0</v>
      </c>
      <c r="S332" t="n">
        <v>1</v>
      </c>
      <c r="T332" t="n">
        <v>1</v>
      </c>
      <c r="U332" t="n">
        <v>0</v>
      </c>
      <c r="V332" s="2" t="inlineStr">
        <is>
          <t>Skogsklocka</t>
        </is>
      </c>
      <c r="W332">
        <f>HYPERLINK("https://klasma.github.io/Logging_0883/artfynd/S 978-2024 artfynd.xlsx", "S 978-2024")</f>
        <v/>
      </c>
      <c r="X332">
        <f>HYPERLINK("https://klasma.github.io/Logging_0883/kartor/S 978-2024 karta.png", "S 978-2024")</f>
        <v/>
      </c>
      <c r="Y332">
        <f>HYPERLINK("https://klasma.github.io/Logging_0883/kartor_geotiff/S 978-2024 georefererad karta.tif", "S 978-2024")</f>
        <v/>
      </c>
      <c r="AA332">
        <f>HYPERLINK("https://klasma.github.io/Logging_0883/klagomål/S 978-2024 FSC-klagomål.docx", "S 978-2024")</f>
        <v/>
      </c>
      <c r="AB332">
        <f>HYPERLINK("https://klasma.github.io/Logging_0883/klagomålsmail/S 978-2024 FSC-klagomål mail.docx", "S 978-2024")</f>
        <v/>
      </c>
      <c r="AC332">
        <f>HYPERLINK("https://klasma.github.io/Logging_0883/tillsyn/S 978-2024 tillsynsbegäran.docx", "S 978-2024")</f>
        <v/>
      </c>
      <c r="AD332">
        <f>HYPERLINK("https://klasma.github.io/Logging_0883/tillsynsmail/S 978-2024 tillsynsbegäran mail.docx", "S 978-2024")</f>
        <v/>
      </c>
    </row>
    <row r="333" ht="15" customHeight="1">
      <c r="A333" t="inlineStr">
        <is>
          <t>S 731-2025</t>
        </is>
      </c>
      <c r="B333" t="inlineStr">
        <is>
          <t>samrådsanmälan</t>
        </is>
      </c>
      <c r="C333" t="inlineStr">
        <is>
          <t>Askåterföring</t>
        </is>
      </c>
      <c r="D333" s="1" t="n">
        <v>45722</v>
      </c>
      <c r="E333" s="1" t="n">
        <v>46323</v>
      </c>
      <c r="F333" t="inlineStr">
        <is>
          <t>KALMAR LÄN</t>
        </is>
      </c>
      <c r="G333" t="inlineStr">
        <is>
          <t>VÄSTERVIK</t>
        </is>
      </c>
      <c r="I333" t="n">
        <v>13</v>
      </c>
      <c r="J333" t="n">
        <v>0</v>
      </c>
      <c r="K333" t="n">
        <v>1</v>
      </c>
      <c r="L333" t="n">
        <v>0</v>
      </c>
      <c r="M333" t="n">
        <v>0</v>
      </c>
      <c r="N333" t="n">
        <v>0</v>
      </c>
      <c r="O333" t="n">
        <v>0</v>
      </c>
      <c r="P333" t="n">
        <v>0</v>
      </c>
      <c r="Q333" t="n">
        <v>0</v>
      </c>
      <c r="R333" t="n">
        <v>0</v>
      </c>
      <c r="S333" t="n">
        <v>1</v>
      </c>
      <c r="T333" t="n">
        <v>1</v>
      </c>
      <c r="U333" t="n">
        <v>1</v>
      </c>
      <c r="V333" s="2" t="inlineStr">
        <is>
          <t>Ögonpyrola</t>
        </is>
      </c>
      <c r="W333">
        <f>HYPERLINK("https://klasma.github.io/Logging_0883/artfynd/S 731-2025 artfynd.xlsx", "S 731-2025")</f>
        <v/>
      </c>
      <c r="X333">
        <f>HYPERLINK("https://klasma.github.io/Logging_0883/kartor/S 731-2025 karta.png", "S 731-2025")</f>
        <v/>
      </c>
      <c r="Y333">
        <f>HYPERLINK("https://klasma.github.io/Logging_0883/kartor_geotiff/S 731-2025 georefererad karta.tif", "S 731-2025")</f>
        <v/>
      </c>
      <c r="AA333">
        <f>HYPERLINK("https://klasma.github.io/Logging_0883/klagomål/S 731-2025 FSC-klagomål.docx", "S 731-2025")</f>
        <v/>
      </c>
      <c r="AB333">
        <f>HYPERLINK("https://klasma.github.io/Logging_0883/klagomålsmail/S 731-2025 FSC-klagomål mail.docx", "S 731-2025")</f>
        <v/>
      </c>
      <c r="AC333">
        <f>HYPERLINK("https://klasma.github.io/Logging_0883/tillsyn/S 731-2025 tillsynsbegäran.docx", "S 731-2025")</f>
        <v/>
      </c>
      <c r="AD333">
        <f>HYPERLINK("https://klasma.github.io/Logging_0883/tillsynsmail/S 731-2025 tillsynsbegäran mail.docx", "S 731-2025")</f>
        <v/>
      </c>
    </row>
    <row r="334" ht="15" customHeight="1">
      <c r="A334" t="inlineStr">
        <is>
          <t>S 934-2025</t>
        </is>
      </c>
      <c r="B334" t="inlineStr">
        <is>
          <t>samrådsanmälan</t>
        </is>
      </c>
      <c r="C334" t="inlineStr">
        <is>
          <t>Annan skogsbruksåtgärd</t>
        </is>
      </c>
      <c r="D334" s="1" t="n">
        <v>45740</v>
      </c>
      <c r="E334" s="1" t="n">
        <v>46323</v>
      </c>
      <c r="F334" t="inlineStr">
        <is>
          <t>KALMAR LÄN</t>
        </is>
      </c>
      <c r="G334" t="inlineStr">
        <is>
          <t>VÄSTERVIK</t>
        </is>
      </c>
      <c r="H334" t="inlineStr">
        <is>
          <t>Sveaskog</t>
        </is>
      </c>
      <c r="I334" t="n">
        <v>0.7</v>
      </c>
      <c r="J334" t="n">
        <v>1</v>
      </c>
      <c r="K334" t="n">
        <v>0</v>
      </c>
      <c r="L334" t="n">
        <v>0</v>
      </c>
      <c r="M334" t="n">
        <v>0</v>
      </c>
      <c r="N334" t="n">
        <v>0</v>
      </c>
      <c r="O334" t="n">
        <v>0</v>
      </c>
      <c r="P334" t="n">
        <v>0</v>
      </c>
      <c r="Q334" t="n">
        <v>0</v>
      </c>
      <c r="R334" t="n">
        <v>0</v>
      </c>
      <c r="S334" t="n">
        <v>1</v>
      </c>
      <c r="T334" t="n">
        <v>1</v>
      </c>
      <c r="U334" t="n">
        <v>0</v>
      </c>
      <c r="V334" s="2" t="inlineStr">
        <is>
          <t>Blåsippa</t>
        </is>
      </c>
      <c r="W334">
        <f>HYPERLINK("https://klasma.github.io/Logging_0883/artfynd/S 934-2025 artfynd.xlsx", "S 934-2025")</f>
        <v/>
      </c>
      <c r="X334">
        <f>HYPERLINK("https://klasma.github.io/Logging_0883/kartor/S 934-2025 karta.png", "S 934-2025")</f>
        <v/>
      </c>
      <c r="Y334">
        <f>HYPERLINK("https://klasma.github.io/Logging_0883/kartor_geotiff/S 934-2025 georefererad karta.tif", "S 934-2025")</f>
        <v/>
      </c>
      <c r="AA334">
        <f>HYPERLINK("https://klasma.github.io/Logging_0883/klagomål/S 934-2025 FSC-klagomål.docx", "S 934-2025")</f>
        <v/>
      </c>
      <c r="AB334">
        <f>HYPERLINK("https://klasma.github.io/Logging_0883/klagomålsmail/S 934-2025 FSC-klagomål mail.docx", "S 934-2025")</f>
        <v/>
      </c>
      <c r="AC334">
        <f>HYPERLINK("https://klasma.github.io/Logging_0883/tillsyn/S 934-2025 tillsynsbegäran.docx", "S 934-2025")</f>
        <v/>
      </c>
      <c r="AD334">
        <f>HYPERLINK("https://klasma.github.io/Logging_0883/tillsynsmail/S 934-2025 tillsynsbegäran mail.docx", "S 934-2025")</f>
        <v/>
      </c>
    </row>
    <row r="335" ht="15" customHeight="1">
      <c r="A335" t="inlineStr">
        <is>
          <t>S 933-2025</t>
        </is>
      </c>
      <c r="B335" t="inlineStr">
        <is>
          <t>samrådsanmälan</t>
        </is>
      </c>
      <c r="C335" t="inlineStr">
        <is>
          <t>Annan skogsbruksåtgärd</t>
        </is>
      </c>
      <c r="D335" s="1" t="n">
        <v>45740</v>
      </c>
      <c r="E335" s="1" t="n">
        <v>46323</v>
      </c>
      <c r="F335" t="inlineStr">
        <is>
          <t>KALMAR LÄN</t>
        </is>
      </c>
      <c r="G335" t="inlineStr">
        <is>
          <t>VÄSTERVIK</t>
        </is>
      </c>
      <c r="H335" t="inlineStr">
        <is>
          <t>Sveaskog</t>
        </is>
      </c>
      <c r="I335" t="n">
        <v>1.3</v>
      </c>
      <c r="J335" t="n">
        <v>1</v>
      </c>
      <c r="K335" t="n">
        <v>0</v>
      </c>
      <c r="L335" t="n">
        <v>0</v>
      </c>
      <c r="M335" t="n">
        <v>0</v>
      </c>
      <c r="N335" t="n">
        <v>0</v>
      </c>
      <c r="O335" t="n">
        <v>0</v>
      </c>
      <c r="P335" t="n">
        <v>0</v>
      </c>
      <c r="Q335" t="n">
        <v>0</v>
      </c>
      <c r="R335" t="n">
        <v>0</v>
      </c>
      <c r="S335" t="n">
        <v>1</v>
      </c>
      <c r="T335" t="n">
        <v>1</v>
      </c>
      <c r="U335" t="n">
        <v>0</v>
      </c>
      <c r="V335" s="2" t="inlineStr">
        <is>
          <t>Blåsippa</t>
        </is>
      </c>
      <c r="W335">
        <f>HYPERLINK("https://klasma.github.io/Logging_0883/artfynd/S 933-2025 artfynd.xlsx", "S 933-2025")</f>
        <v/>
      </c>
      <c r="X335">
        <f>HYPERLINK("https://klasma.github.io/Logging_0883/kartor/S 933-2025 karta.png", "S 933-2025")</f>
        <v/>
      </c>
      <c r="Y335">
        <f>HYPERLINK("https://klasma.github.io/Logging_0883/kartor_geotiff/S 933-2025 georefererad karta.tif", "S 933-2025")</f>
        <v/>
      </c>
      <c r="AA335">
        <f>HYPERLINK("https://klasma.github.io/Logging_0883/klagomål/S 933-2025 FSC-klagomål.docx", "S 933-2025")</f>
        <v/>
      </c>
      <c r="AB335">
        <f>HYPERLINK("https://klasma.github.io/Logging_0883/klagomålsmail/S 933-2025 FSC-klagomål mail.docx", "S 933-2025")</f>
        <v/>
      </c>
      <c r="AC335">
        <f>HYPERLINK("https://klasma.github.io/Logging_0883/tillsyn/S 933-2025 tillsynsbegäran.docx", "S 933-2025")</f>
        <v/>
      </c>
      <c r="AD335">
        <f>HYPERLINK("https://klasma.github.io/Logging_0883/tillsynsmail/S 933-2025 tillsynsbegäran mail.docx", "S 933-2025")</f>
        <v/>
      </c>
    </row>
    <row r="336" ht="15" customHeight="1">
      <c r="A336" t="inlineStr">
        <is>
          <t>S 1493-2025</t>
        </is>
      </c>
      <c r="B336" t="inlineStr">
        <is>
          <t>samrådsanmälan</t>
        </is>
      </c>
      <c r="C336" t="inlineStr">
        <is>
          <t>Annan skogsbruksåtgärd</t>
        </is>
      </c>
      <c r="D336" s="1" t="n">
        <v>45789</v>
      </c>
      <c r="E336" s="1" t="n">
        <v>46323</v>
      </c>
      <c r="F336" t="inlineStr">
        <is>
          <t>KALMAR LÄN</t>
        </is>
      </c>
      <c r="G336" t="inlineStr">
        <is>
          <t>VÄSTERVIK</t>
        </is>
      </c>
      <c r="I336" t="n">
        <v>19.6</v>
      </c>
      <c r="J336" t="n">
        <v>0</v>
      </c>
      <c r="K336" t="n">
        <v>1</v>
      </c>
      <c r="L336" t="n">
        <v>0</v>
      </c>
      <c r="M336" t="n">
        <v>0</v>
      </c>
      <c r="N336" t="n">
        <v>0</v>
      </c>
      <c r="O336" t="n">
        <v>0</v>
      </c>
      <c r="P336" t="n">
        <v>0</v>
      </c>
      <c r="Q336" t="n">
        <v>0</v>
      </c>
      <c r="R336" t="n">
        <v>0</v>
      </c>
      <c r="S336" t="n">
        <v>1</v>
      </c>
      <c r="T336" t="n">
        <v>1</v>
      </c>
      <c r="U336" t="n">
        <v>1</v>
      </c>
      <c r="V336" s="2" t="inlineStr">
        <is>
          <t>Grovticka</t>
        </is>
      </c>
      <c r="W336">
        <f>HYPERLINK("https://klasma.github.io/Logging_0883/artfynd/S 1493-2025 artfynd.xlsx", "S 1493-2025")</f>
        <v/>
      </c>
      <c r="X336">
        <f>HYPERLINK("https://klasma.github.io/Logging_0883/kartor/S 1493-2025 karta.png", "S 1493-2025")</f>
        <v/>
      </c>
      <c r="Y336">
        <f>HYPERLINK("https://klasma.github.io/Logging_0883/kartor_geotiff/S 1493-2025 georefererad karta.tif", "S 1493-2025")</f>
        <v/>
      </c>
      <c r="AA336">
        <f>HYPERLINK("https://klasma.github.io/Logging_0883/klagomål/S 1493-2025 FSC-klagomål.docx", "S 1493-2025")</f>
        <v/>
      </c>
      <c r="AB336">
        <f>HYPERLINK("https://klasma.github.io/Logging_0883/klagomålsmail/S 1493-2025 FSC-klagomål mail.docx", "S 1493-2025")</f>
        <v/>
      </c>
      <c r="AC336">
        <f>HYPERLINK("https://klasma.github.io/Logging_0883/tillsyn/S 1493-2025 tillsynsbegäran.docx", "S 1493-2025")</f>
        <v/>
      </c>
      <c r="AD336">
        <f>HYPERLINK("https://klasma.github.io/Logging_0883/tillsynsmail/S 1493-2025 tillsynsbegäran mail.docx", "S 1493-2025")</f>
        <v/>
      </c>
    </row>
    <row r="337" ht="15" customHeight="1">
      <c r="A337" t="inlineStr">
        <is>
          <t>S 1729-2025</t>
        </is>
      </c>
      <c r="B337" t="inlineStr">
        <is>
          <t>samrådsanmälan</t>
        </is>
      </c>
      <c r="C337" t="inlineStr">
        <is>
          <t>Annan skogsbruksåtgärd</t>
        </is>
      </c>
      <c r="D337" s="1" t="n">
        <v>45809</v>
      </c>
      <c r="E337" s="1" t="n">
        <v>46323</v>
      </c>
      <c r="F337" t="inlineStr">
        <is>
          <t>KALMAR LÄN</t>
        </is>
      </c>
      <c r="G337" t="inlineStr">
        <is>
          <t>VÄSTERVIK</t>
        </is>
      </c>
      <c r="H337" t="inlineStr">
        <is>
          <t>Övriga Aktiebolag</t>
        </is>
      </c>
      <c r="I337" t="n">
        <v>2.6</v>
      </c>
      <c r="J337" t="n">
        <v>1</v>
      </c>
      <c r="K337" t="n">
        <v>0</v>
      </c>
      <c r="L337" t="n">
        <v>0</v>
      </c>
      <c r="M337" t="n">
        <v>0</v>
      </c>
      <c r="N337" t="n">
        <v>0</v>
      </c>
      <c r="O337" t="n">
        <v>0</v>
      </c>
      <c r="P337" t="n">
        <v>0</v>
      </c>
      <c r="Q337" t="n">
        <v>0</v>
      </c>
      <c r="R337" t="n">
        <v>0</v>
      </c>
      <c r="S337" t="n">
        <v>1</v>
      </c>
      <c r="T337" t="n">
        <v>2</v>
      </c>
      <c r="U337" t="n">
        <v>0</v>
      </c>
      <c r="V337" s="2" t="inlineStr">
        <is>
          <t>Havsörn</t>
        </is>
      </c>
      <c r="W337">
        <f>HYPERLINK("https://klasma.github.io/Logging_0883/artfynd/S 1729-2025 artfynd.xlsx", "S 1729-2025")</f>
        <v/>
      </c>
      <c r="X337">
        <f>HYPERLINK("https://klasma.github.io/Logging_0883/kartor/S 1729-2025 karta.png", "S 1729-2025")</f>
        <v/>
      </c>
      <c r="Y337">
        <f>HYPERLINK("https://klasma.github.io/Logging_0883/kartor_geotiff/S 1729-2025 georefererad karta.tif", "S 1729-2025")</f>
        <v/>
      </c>
      <c r="AA337">
        <f>HYPERLINK("https://klasma.github.io/Logging_0883/klagomål/S 1729-2025 FSC-klagomål.docx", "S 1729-2025")</f>
        <v/>
      </c>
      <c r="AB337">
        <f>HYPERLINK("https://klasma.github.io/Logging_0883/klagomålsmail/S 1729-2025 FSC-klagomål mail.docx", "S 1729-2025")</f>
        <v/>
      </c>
      <c r="AC337">
        <f>HYPERLINK("https://klasma.github.io/Logging_0883/tillsyn/S 1729-2025 tillsynsbegäran.docx", "S 1729-2025")</f>
        <v/>
      </c>
      <c r="AD337">
        <f>HYPERLINK("https://klasma.github.io/Logging_0883/tillsynsmail/S 1729-2025 tillsynsbegäran mail.docx", "S 1729-2025")</f>
        <v/>
      </c>
      <c r="AE337">
        <f>HYPERLINK("https://klasma.github.io/Logging_0883/fåglar/S 1729-2025 prioriterade fågelarter.docx", "S 1729-2025")</f>
        <v/>
      </c>
    </row>
    <row r="338" ht="15" customHeight="1">
      <c r="A338" t="inlineStr">
        <is>
          <t>S 3037-2025</t>
        </is>
      </c>
      <c r="B338" t="inlineStr">
        <is>
          <t>samrådsanmälan</t>
        </is>
      </c>
      <c r="C338" t="inlineStr">
        <is>
          <t>Annan skogsbruksåtgärd</t>
        </is>
      </c>
      <c r="D338" s="1" t="n">
        <v>45961</v>
      </c>
      <c r="E338" s="1" t="n">
        <v>46323</v>
      </c>
      <c r="F338" t="inlineStr">
        <is>
          <t>KALMAR LÄN</t>
        </is>
      </c>
      <c r="G338" t="inlineStr">
        <is>
          <t>VÄSTERVIK</t>
        </is>
      </c>
      <c r="H338" t="inlineStr">
        <is>
          <t>Sveaskog</t>
        </is>
      </c>
      <c r="I338" t="n">
        <v>1.7</v>
      </c>
      <c r="J338" t="n">
        <v>1</v>
      </c>
      <c r="K338" t="n">
        <v>0</v>
      </c>
      <c r="L338" t="n">
        <v>0</v>
      </c>
      <c r="M338" t="n">
        <v>0</v>
      </c>
      <c r="N338" t="n">
        <v>0</v>
      </c>
      <c r="O338" t="n">
        <v>0</v>
      </c>
      <c r="P338" t="n">
        <v>0</v>
      </c>
      <c r="Q338" t="n">
        <v>0</v>
      </c>
      <c r="R338" t="n">
        <v>0</v>
      </c>
      <c r="S338" t="n">
        <v>1</v>
      </c>
      <c r="T338" t="n">
        <v>1</v>
      </c>
      <c r="U338" t="n">
        <v>0</v>
      </c>
      <c r="V338" s="2" t="inlineStr">
        <is>
          <t>Blåsippa</t>
        </is>
      </c>
      <c r="W338">
        <f>HYPERLINK("https://klasma.github.io/Logging_0883/artfynd/S 3037-2025 artfynd.xlsx", "S 3037-2025")</f>
        <v/>
      </c>
      <c r="X338">
        <f>HYPERLINK("https://klasma.github.io/Logging_0883/kartor/S 3037-2025 karta.png", "S 3037-2025")</f>
        <v/>
      </c>
      <c r="Y338">
        <f>HYPERLINK("https://klasma.github.io/Logging_0883/kartor_geotiff/S 3037-2025 georefererad karta.tif", "S 3037-2025")</f>
        <v/>
      </c>
      <c r="AA338">
        <f>HYPERLINK("https://klasma.github.io/Logging_0883/klagomål/S 3037-2025 FSC-klagomål.docx", "S 3037-2025")</f>
        <v/>
      </c>
      <c r="AB338">
        <f>HYPERLINK("https://klasma.github.io/Logging_0883/klagomålsmail/S 3037-2025 FSC-klagomål mail.docx", "S 3037-2025")</f>
        <v/>
      </c>
      <c r="AC338">
        <f>HYPERLINK("https://klasma.github.io/Logging_0883/tillsyn/S 3037-2025 tillsynsbegäran.docx", "S 3037-2025")</f>
        <v/>
      </c>
      <c r="AD338">
        <f>HYPERLINK("https://klasma.github.io/Logging_0883/tillsynsmail/S 3037-2025 tillsynsbegäran mail.docx", "S 3037-2025")</f>
        <v/>
      </c>
    </row>
    <row r="339" ht="15" customHeight="1">
      <c r="A339" t="inlineStr">
        <is>
          <t>S 3040-2025</t>
        </is>
      </c>
      <c r="B339" t="inlineStr">
        <is>
          <t>samrådsanmälan</t>
        </is>
      </c>
      <c r="C339" t="inlineStr">
        <is>
          <t>Annan skogsbruksåtgärd</t>
        </is>
      </c>
      <c r="D339" s="1" t="n">
        <v>45961</v>
      </c>
      <c r="E339" s="1" t="n">
        <v>46323</v>
      </c>
      <c r="F339" t="inlineStr">
        <is>
          <t>KALMAR LÄN</t>
        </is>
      </c>
      <c r="G339" t="inlineStr">
        <is>
          <t>VÄSTERVIK</t>
        </is>
      </c>
      <c r="H339" t="inlineStr">
        <is>
          <t>Sveaskog</t>
        </is>
      </c>
      <c r="I339" t="n">
        <v>4.2</v>
      </c>
      <c r="J339" t="n">
        <v>1</v>
      </c>
      <c r="K339" t="n">
        <v>0</v>
      </c>
      <c r="L339" t="n">
        <v>0</v>
      </c>
      <c r="M339" t="n">
        <v>0</v>
      </c>
      <c r="N339" t="n">
        <v>0</v>
      </c>
      <c r="O339" t="n">
        <v>0</v>
      </c>
      <c r="P339" t="n">
        <v>0</v>
      </c>
      <c r="Q339" t="n">
        <v>0</v>
      </c>
      <c r="R339" t="n">
        <v>0</v>
      </c>
      <c r="S339" t="n">
        <v>1</v>
      </c>
      <c r="T339" t="n">
        <v>1</v>
      </c>
      <c r="U339" t="n">
        <v>0</v>
      </c>
      <c r="V339" s="2" t="inlineStr">
        <is>
          <t>Blåsippa</t>
        </is>
      </c>
      <c r="W339">
        <f>HYPERLINK("https://klasma.github.io/Logging_0883/artfynd/S 3040-2025 artfynd.xlsx", "S 3040-2025")</f>
        <v/>
      </c>
      <c r="X339">
        <f>HYPERLINK("https://klasma.github.io/Logging_0883/kartor/S 3040-2025 karta.png", "S 3040-2025")</f>
        <v/>
      </c>
      <c r="Y339">
        <f>HYPERLINK("https://klasma.github.io/Logging_0883/kartor_geotiff/S 3040-2025 georefererad karta.tif", "S 3040-2025")</f>
        <v/>
      </c>
      <c r="AA339">
        <f>HYPERLINK("https://klasma.github.io/Logging_0883/klagomål/S 3040-2025 FSC-klagomål.docx", "S 3040-2025")</f>
        <v/>
      </c>
      <c r="AB339">
        <f>HYPERLINK("https://klasma.github.io/Logging_0883/klagomålsmail/S 3040-2025 FSC-klagomål mail.docx", "S 3040-2025")</f>
        <v/>
      </c>
      <c r="AC339">
        <f>HYPERLINK("https://klasma.github.io/Logging_0883/tillsyn/S 3040-2025 tillsynsbegäran.docx", "S 3040-2025")</f>
        <v/>
      </c>
      <c r="AD339">
        <f>HYPERLINK("https://klasma.github.io/Logging_0883/tillsynsmail/S 3040-2025 tillsynsbegäran mail.docx", "S 3040-2025")</f>
        <v/>
      </c>
    </row>
    <row r="340" ht="15" customHeight="1">
      <c r="A340" t="inlineStr">
        <is>
          <t>S 3033-2025</t>
        </is>
      </c>
      <c r="B340" t="inlineStr">
        <is>
          <t>samrådsanmälan</t>
        </is>
      </c>
      <c r="C340" t="inlineStr">
        <is>
          <t>Annan skogsbruksåtgärd</t>
        </is>
      </c>
      <c r="D340" s="1" t="n">
        <v>45961</v>
      </c>
      <c r="E340" s="1" t="n">
        <v>46323</v>
      </c>
      <c r="F340" t="inlineStr">
        <is>
          <t>KALMAR LÄN</t>
        </is>
      </c>
      <c r="G340" t="inlineStr">
        <is>
          <t>VÄSTERVIK</t>
        </is>
      </c>
      <c r="H340" t="inlineStr">
        <is>
          <t>Sveaskog</t>
        </is>
      </c>
      <c r="I340" t="n">
        <v>6</v>
      </c>
      <c r="J340" t="n">
        <v>1</v>
      </c>
      <c r="K340" t="n">
        <v>0</v>
      </c>
      <c r="L340" t="n">
        <v>0</v>
      </c>
      <c r="M340" t="n">
        <v>0</v>
      </c>
      <c r="N340" t="n">
        <v>0</v>
      </c>
      <c r="O340" t="n">
        <v>0</v>
      </c>
      <c r="P340" t="n">
        <v>0</v>
      </c>
      <c r="Q340" t="n">
        <v>0</v>
      </c>
      <c r="R340" t="n">
        <v>0</v>
      </c>
      <c r="S340" t="n">
        <v>1</v>
      </c>
      <c r="T340" t="n">
        <v>1</v>
      </c>
      <c r="U340" t="n">
        <v>0</v>
      </c>
      <c r="V340" s="2" t="inlineStr">
        <is>
          <t>Blåsippa</t>
        </is>
      </c>
      <c r="W340">
        <f>HYPERLINK("https://klasma.github.io/Logging_0883/artfynd/S 3033-2025 artfynd.xlsx", "S 3033-2025")</f>
        <v/>
      </c>
      <c r="X340">
        <f>HYPERLINK("https://klasma.github.io/Logging_0883/kartor/S 3033-2025 karta.png", "S 3033-2025")</f>
        <v/>
      </c>
      <c r="Y340">
        <f>HYPERLINK("https://klasma.github.io/Logging_0883/kartor_geotiff/S 3033-2025 georefererad karta.tif", "S 3033-2025")</f>
        <v/>
      </c>
      <c r="AA340">
        <f>HYPERLINK("https://klasma.github.io/Logging_0883/klagomål/S 3033-2025 FSC-klagomål.docx", "S 3033-2025")</f>
        <v/>
      </c>
      <c r="AB340">
        <f>HYPERLINK("https://klasma.github.io/Logging_0883/klagomålsmail/S 3033-2025 FSC-klagomål mail.docx", "S 3033-2025")</f>
        <v/>
      </c>
      <c r="AC340">
        <f>HYPERLINK("https://klasma.github.io/Logging_0883/tillsyn/S 3033-2025 tillsynsbegäran.docx", "S 3033-2025")</f>
        <v/>
      </c>
      <c r="AD340">
        <f>HYPERLINK("https://klasma.github.io/Logging_0883/tillsynsmail/S 3033-2025 tillsynsbegäran mail.docx", "S 3033-2025")</f>
        <v/>
      </c>
    </row>
    <row r="341" ht="15" customHeight="1">
      <c r="A341" t="inlineStr">
        <is>
          <t>S 3078-2025</t>
        </is>
      </c>
      <c r="B341" t="inlineStr">
        <is>
          <t>samrådsanmälan</t>
        </is>
      </c>
      <c r="C341" t="inlineStr">
        <is>
          <t>Askåterföring</t>
        </is>
      </c>
      <c r="D341" s="1" t="n">
        <v>45965</v>
      </c>
      <c r="E341" s="1" t="n">
        <v>46323</v>
      </c>
      <c r="F341" t="inlineStr">
        <is>
          <t>KALMAR LÄN</t>
        </is>
      </c>
      <c r="G341" t="inlineStr">
        <is>
          <t>VÄSTERVIK</t>
        </is>
      </c>
      <c r="I341" t="n">
        <v>28.9</v>
      </c>
      <c r="J341" t="n">
        <v>0</v>
      </c>
      <c r="K341" t="n">
        <v>0</v>
      </c>
      <c r="L341" t="n">
        <v>1</v>
      </c>
      <c r="M341" t="n">
        <v>0</v>
      </c>
      <c r="N341" t="n">
        <v>0</v>
      </c>
      <c r="O341" t="n">
        <v>0</v>
      </c>
      <c r="P341" t="n">
        <v>0</v>
      </c>
      <c r="Q341" t="n">
        <v>1</v>
      </c>
      <c r="R341" t="n">
        <v>0</v>
      </c>
      <c r="S341" t="n">
        <v>1</v>
      </c>
      <c r="T341" t="n">
        <v>1</v>
      </c>
      <c r="U341" t="n">
        <v>0</v>
      </c>
      <c r="V341" s="2" t="inlineStr">
        <is>
          <t>Solvända</t>
        </is>
      </c>
      <c r="W341">
        <f>HYPERLINK("https://klasma.github.io/Logging_0883/artfynd/S 3078-2025 artfynd.xlsx", "S 3078-2025")</f>
        <v/>
      </c>
      <c r="X341">
        <f>HYPERLINK("https://klasma.github.io/Logging_0883/kartor/S 3078-2025 karta.png", "S 3078-2025")</f>
        <v/>
      </c>
      <c r="Y341">
        <f>HYPERLINK("https://klasma.github.io/Logging_0883/kartor_geotiff/S 3078-2025 georefererad karta.tif", "S 3078-2025")</f>
        <v/>
      </c>
      <c r="AA341">
        <f>HYPERLINK("https://klasma.github.io/Logging_0883/klagomål/S 3078-2025 FSC-klagomål.docx", "S 3078-2025")</f>
        <v/>
      </c>
      <c r="AB341">
        <f>HYPERLINK("https://klasma.github.io/Logging_0883/klagomålsmail/S 3078-2025 FSC-klagomål mail.docx", "S 3078-2025")</f>
        <v/>
      </c>
      <c r="AC341">
        <f>HYPERLINK("https://klasma.github.io/Logging_0883/tillsyn/S 3078-2025 tillsynsbegäran.docx", "S 3078-2025")</f>
        <v/>
      </c>
      <c r="AD341">
        <f>HYPERLINK("https://klasma.github.io/Logging_0883/tillsynsmail/S 3078-2025 tillsynsbegäran mail.docx", "S 3078-2025")</f>
        <v/>
      </c>
    </row>
    <row r="342" ht="15" customHeight="1">
      <c r="A342" t="inlineStr">
        <is>
          <t>S 3100-2025</t>
        </is>
      </c>
      <c r="B342" t="inlineStr">
        <is>
          <t>samrådsanmälan</t>
        </is>
      </c>
      <c r="C342" t="inlineStr">
        <is>
          <t>Annan skogsbruksåtgärd</t>
        </is>
      </c>
      <c r="D342" s="1" t="n">
        <v>45966</v>
      </c>
      <c r="E342" s="1" t="n">
        <v>46323</v>
      </c>
      <c r="F342" t="inlineStr">
        <is>
          <t>KALMAR LÄN</t>
        </is>
      </c>
      <c r="G342" t="inlineStr">
        <is>
          <t>VÄSTERVIK</t>
        </is>
      </c>
      <c r="H342" t="inlineStr">
        <is>
          <t>Sveaskog</t>
        </is>
      </c>
      <c r="I342" t="n">
        <v>4.2</v>
      </c>
      <c r="J342" t="n">
        <v>1</v>
      </c>
      <c r="K342" t="n">
        <v>0</v>
      </c>
      <c r="L342" t="n">
        <v>0</v>
      </c>
      <c r="M342" t="n">
        <v>0</v>
      </c>
      <c r="N342" t="n">
        <v>0</v>
      </c>
      <c r="O342" t="n">
        <v>0</v>
      </c>
      <c r="P342" t="n">
        <v>0</v>
      </c>
      <c r="Q342" t="n">
        <v>0</v>
      </c>
      <c r="R342" t="n">
        <v>0</v>
      </c>
      <c r="S342" t="n">
        <v>1</v>
      </c>
      <c r="T342" t="n">
        <v>1</v>
      </c>
      <c r="U342" t="n">
        <v>0</v>
      </c>
      <c r="V342" s="2" t="inlineStr">
        <is>
          <t>Blåsippa</t>
        </is>
      </c>
      <c r="W342">
        <f>HYPERLINK("https://klasma.github.io/Logging_0883/artfynd/S 3100-2025 artfynd.xlsx", "S 3100-2025")</f>
        <v/>
      </c>
      <c r="X342">
        <f>HYPERLINK("https://klasma.github.io/Logging_0883/kartor/S 3100-2025 karta.png", "S 3100-2025")</f>
        <v/>
      </c>
      <c r="Y342">
        <f>HYPERLINK("https://klasma.github.io/Logging_0883/kartor_geotiff/S 3100-2025 georefererad karta.tif", "S 3100-2025")</f>
        <v/>
      </c>
      <c r="AA342">
        <f>HYPERLINK("https://klasma.github.io/Logging_0883/klagomål/S 3100-2025 FSC-klagomål.docx", "S 3100-2025")</f>
        <v/>
      </c>
      <c r="AB342">
        <f>HYPERLINK("https://klasma.github.io/Logging_0883/klagomålsmail/S 3100-2025 FSC-klagomål mail.docx", "S 3100-2025")</f>
        <v/>
      </c>
      <c r="AC342">
        <f>HYPERLINK("https://klasma.github.io/Logging_0883/tillsyn/S 3100-2025 tillsynsbegäran.docx", "S 3100-2025")</f>
        <v/>
      </c>
      <c r="AD342">
        <f>HYPERLINK("https://klasma.github.io/Logging_0883/tillsynsmail/S 3100-2025 tillsynsbegäran mail.docx", "S 3100-2025")</f>
        <v/>
      </c>
    </row>
    <row r="343" ht="15" customHeight="1">
      <c r="A343" t="inlineStr">
        <is>
          <t>S 838-2026</t>
        </is>
      </c>
      <c r="B343" t="inlineStr">
        <is>
          <t>samrådsanmälan</t>
        </is>
      </c>
      <c r="C343" t="inlineStr">
        <is>
          <t>Annan skogsbruksåtgärd</t>
        </is>
      </c>
      <c r="D343" s="1" t="n">
        <v>46105</v>
      </c>
      <c r="E343" s="1" t="n">
        <v>46323</v>
      </c>
      <c r="F343" t="inlineStr">
        <is>
          <t>KALMAR LÄN</t>
        </is>
      </c>
      <c r="G343" t="inlineStr">
        <is>
          <t>VÄSTERVIK</t>
        </is>
      </c>
      <c r="H343" t="inlineStr">
        <is>
          <t>Sveaskog</t>
        </is>
      </c>
      <c r="I343" t="n">
        <v>1.9</v>
      </c>
      <c r="J343" t="n">
        <v>1</v>
      </c>
      <c r="K343" t="n">
        <v>0</v>
      </c>
      <c r="L343" t="n">
        <v>0</v>
      </c>
      <c r="M343" t="n">
        <v>0</v>
      </c>
      <c r="N343" t="n">
        <v>0</v>
      </c>
      <c r="O343" t="n">
        <v>0</v>
      </c>
      <c r="P343" t="n">
        <v>0</v>
      </c>
      <c r="Q343" t="n">
        <v>0</v>
      </c>
      <c r="R343" t="n">
        <v>0</v>
      </c>
      <c r="S343" t="n">
        <v>1</v>
      </c>
      <c r="T343" t="n">
        <v>1</v>
      </c>
      <c r="U343" t="n">
        <v>0</v>
      </c>
      <c r="V343" s="2" t="inlineStr">
        <is>
          <t>Blåsippa</t>
        </is>
      </c>
      <c r="W343">
        <f>HYPERLINK("https://klasma.github.io/Logging_0883/artfynd/S 838-2026 artfynd.xlsx", "S 838-2026")</f>
        <v/>
      </c>
      <c r="X343">
        <f>HYPERLINK("https://klasma.github.io/Logging_0883/kartor/S 838-2026 karta.png", "S 838-2026")</f>
        <v/>
      </c>
      <c r="Y343">
        <f>HYPERLINK("https://klasma.github.io/Logging_0883/kartor_geotiff/S 838-2026 georefererad karta.tif", "S 838-2026")</f>
        <v/>
      </c>
      <c r="AA343">
        <f>HYPERLINK("https://klasma.github.io/Logging_0883/klagomål/S 838-2026 FSC-klagomål.docx", "S 838-2026")</f>
        <v/>
      </c>
      <c r="AB343">
        <f>HYPERLINK("https://klasma.github.io/Logging_0883/klagomålsmail/S 838-2026 FSC-klagomål mail.docx", "S 838-2026")</f>
        <v/>
      </c>
      <c r="AC343">
        <f>HYPERLINK("https://klasma.github.io/Logging_0883/tillsyn/S 838-2026 tillsynsbegäran.docx", "S 838-2026")</f>
        <v/>
      </c>
      <c r="AD343">
        <f>HYPERLINK("https://klasma.github.io/Logging_0883/tillsynsmail/S 838-2026 tillsynsbegäran mail.docx", "S 838-2026")</f>
        <v/>
      </c>
    </row>
    <row r="344" ht="15" customHeight="1">
      <c r="A344" t="inlineStr">
        <is>
          <t>S 1320-2026</t>
        </is>
      </c>
      <c r="B344" t="inlineStr">
        <is>
          <t>samrådsanmälan</t>
        </is>
      </c>
      <c r="C344" t="inlineStr">
        <is>
          <t>Annan skogsbruksåtgärd</t>
        </is>
      </c>
      <c r="D344" s="1" t="n">
        <v>46147</v>
      </c>
      <c r="E344" s="1" t="n">
        <v>46323</v>
      </c>
      <c r="F344" t="inlineStr">
        <is>
          <t>KALMAR LÄN</t>
        </is>
      </c>
      <c r="G344" t="inlineStr">
        <is>
          <t>VÄSTERVIK</t>
        </is>
      </c>
      <c r="I344" t="n">
        <v>0.1</v>
      </c>
      <c r="J344" t="n">
        <v>1</v>
      </c>
      <c r="K344" t="n">
        <v>0</v>
      </c>
      <c r="L344" t="n">
        <v>0</v>
      </c>
      <c r="M344" t="n">
        <v>1</v>
      </c>
      <c r="N344" t="n">
        <v>0</v>
      </c>
      <c r="O344" t="n">
        <v>0</v>
      </c>
      <c r="P344" t="n">
        <v>0</v>
      </c>
      <c r="Q344" t="n">
        <v>1</v>
      </c>
      <c r="R344" t="n">
        <v>1</v>
      </c>
      <c r="S344" t="n">
        <v>1</v>
      </c>
      <c r="T344" t="n">
        <v>6</v>
      </c>
      <c r="U344" t="n">
        <v>0</v>
      </c>
      <c r="V344" s="2" t="inlineStr">
        <is>
          <t>Knärot</t>
        </is>
      </c>
      <c r="W344">
        <f>HYPERLINK("https://klasma.github.io/Logging_0883/artfynd/S 1320-2026 artfynd.xlsx", "S 1320-2026")</f>
        <v/>
      </c>
      <c r="X344">
        <f>HYPERLINK("https://klasma.github.io/Logging_0883/kartor/S 1320-2026 karta.png", "S 1320-2026")</f>
        <v/>
      </c>
      <c r="Y344">
        <f>HYPERLINK("https://klasma.github.io/Logging_0883/kartor_geotiff/S 1320-2026 georefererad karta.tif", "S 1320-2026")</f>
        <v/>
      </c>
      <c r="Z344">
        <f>HYPERLINK("https://klasma.github.io/Logging_0883/knärot/S 1320-2026 karta knärot.png", "S 1320-2026")</f>
        <v/>
      </c>
      <c r="AA344">
        <f>HYPERLINK("https://klasma.github.io/Logging_0883/klagomål/S 1320-2026 FSC-klagomål.docx", "S 1320-2026")</f>
        <v/>
      </c>
      <c r="AB344">
        <f>HYPERLINK("https://klasma.github.io/Logging_0883/klagomålsmail/S 1320-2026 FSC-klagomål mail.docx", "S 1320-2026")</f>
        <v/>
      </c>
      <c r="AC344">
        <f>HYPERLINK("https://klasma.github.io/Logging_0883/tillsyn/S 1320-2026 tillsynsbegäran.docx", "S 1320-2026")</f>
        <v/>
      </c>
      <c r="AD344">
        <f>HYPERLINK("https://klasma.github.io/Logging_0883/tillsynsmail/S 1320-2026 tillsynsbegäran mail.docx", "S 1320-2026")</f>
        <v/>
      </c>
    </row>
    <row r="345" ht="15" customHeight="1">
      <c r="A345" t="inlineStr">
        <is>
          <t>S 1637-2026</t>
        </is>
      </c>
      <c r="B345" t="inlineStr">
        <is>
          <t>samrådsanmälan</t>
        </is>
      </c>
      <c r="C345" t="inlineStr">
        <is>
          <t>Annan skogsbruksåtgärd</t>
        </is>
      </c>
      <c r="D345" s="1" t="n">
        <v>46177</v>
      </c>
      <c r="E345" s="1" t="n">
        <v>46323</v>
      </c>
      <c r="F345" t="inlineStr">
        <is>
          <t>KALMAR LÄN</t>
        </is>
      </c>
      <c r="G345" t="inlineStr">
        <is>
          <t>VÄSTERVIK</t>
        </is>
      </c>
      <c r="I345" t="n">
        <v>2.4</v>
      </c>
      <c r="J345" t="n">
        <v>0</v>
      </c>
      <c r="K345" t="n">
        <v>0</v>
      </c>
      <c r="L345" t="n">
        <v>1</v>
      </c>
      <c r="M345" t="n">
        <v>0</v>
      </c>
      <c r="N345" t="n">
        <v>0</v>
      </c>
      <c r="O345" t="n">
        <v>0</v>
      </c>
      <c r="P345" t="n">
        <v>0</v>
      </c>
      <c r="Q345" t="n">
        <v>1</v>
      </c>
      <c r="R345" t="n">
        <v>0</v>
      </c>
      <c r="S345" t="n">
        <v>1</v>
      </c>
      <c r="T345" t="n">
        <v>1</v>
      </c>
      <c r="U345" t="n">
        <v>0</v>
      </c>
      <c r="V345" s="2" t="inlineStr">
        <is>
          <t>Ekträdlöpare</t>
        </is>
      </c>
      <c r="W345">
        <f>HYPERLINK("https://klasma.github.io/Logging_0883/artfynd/S 1637-2026 artfynd.xlsx", "S 1637-2026")</f>
        <v/>
      </c>
      <c r="X345">
        <f>HYPERLINK("https://klasma.github.io/Logging_0883/kartor/S 1637-2026 karta.png", "S 1637-2026")</f>
        <v/>
      </c>
      <c r="Y345">
        <f>HYPERLINK("https://klasma.github.io/Logging_0883/kartor_geotiff/S 1637-2026 georefererad karta.tif", "S 1637-2026")</f>
        <v/>
      </c>
      <c r="AA345">
        <f>HYPERLINK("https://klasma.github.io/Logging_0883/klagomål/S 1637-2026 FSC-klagomål.docx", "S 1637-2026")</f>
        <v/>
      </c>
      <c r="AB345">
        <f>HYPERLINK("https://klasma.github.io/Logging_0883/klagomålsmail/S 1637-2026 FSC-klagomål mail.docx", "S 1637-2026")</f>
        <v/>
      </c>
      <c r="AC345">
        <f>HYPERLINK("https://klasma.github.io/Logging_0883/tillsyn/S 1637-2026 tillsynsbegäran.docx", "S 1637-2026")</f>
        <v/>
      </c>
      <c r="AD345">
        <f>HYPERLINK("https://klasma.github.io/Logging_0883/tillsynsmail/S 1637-2026 tillsynsbegäran mail.docx", "S 1637-2026")</f>
        <v/>
      </c>
    </row>
    <row r="346" ht="15" customHeight="1">
      <c r="A346" t="inlineStr">
        <is>
          <t>S 2142-2026</t>
        </is>
      </c>
      <c r="B346" t="inlineStr">
        <is>
          <t>samrådsanmälan</t>
        </is>
      </c>
      <c r="C346" t="inlineStr">
        <is>
          <t>Annan skogsbruksåtgärd</t>
        </is>
      </c>
      <c r="D346" s="1" t="n">
        <v>46246</v>
      </c>
      <c r="E346" s="1" t="n">
        <v>46323</v>
      </c>
      <c r="F346" t="inlineStr">
        <is>
          <t>KALMAR LÄN</t>
        </is>
      </c>
      <c r="G346" t="inlineStr">
        <is>
          <t>VÄSTERVIK</t>
        </is>
      </c>
      <c r="H346" t="inlineStr">
        <is>
          <t>Kommuner</t>
        </is>
      </c>
      <c r="I346" t="n">
        <v>2</v>
      </c>
      <c r="J346" t="n">
        <v>1</v>
      </c>
      <c r="K346" t="n">
        <v>0</v>
      </c>
      <c r="L346" t="n">
        <v>1</v>
      </c>
      <c r="M346" t="n">
        <v>0</v>
      </c>
      <c r="N346" t="n">
        <v>0</v>
      </c>
      <c r="O346" t="n">
        <v>0</v>
      </c>
      <c r="P346" t="n">
        <v>0</v>
      </c>
      <c r="Q346" t="n">
        <v>1</v>
      </c>
      <c r="R346" t="n">
        <v>0</v>
      </c>
      <c r="S346" t="n">
        <v>1</v>
      </c>
      <c r="T346" t="n">
        <v>1</v>
      </c>
      <c r="U346" t="n">
        <v>0</v>
      </c>
      <c r="V346" s="2" t="inlineStr">
        <is>
          <t>Kungsfiskare</t>
        </is>
      </c>
      <c r="W346">
        <f>HYPERLINK("https://klasma.github.io/Logging_0883/artfynd/S 2142-2026 artfynd.xlsx", "S 2142-2026")</f>
        <v/>
      </c>
      <c r="X346">
        <f>HYPERLINK("https://klasma.github.io/Logging_0883/kartor/S 2142-2026 karta.png", "S 2142-2026")</f>
        <v/>
      </c>
      <c r="Y346">
        <f>HYPERLINK("https://klasma.github.io/Logging_0883/kartor_geotiff/S 2142-2026 georefererad karta.tif", "S 2142-2026")</f>
        <v/>
      </c>
      <c r="AA346">
        <f>HYPERLINK("https://klasma.github.io/Logging_0883/klagomål/S 2142-2026 FSC-klagomål.docx", "S 2142-2026")</f>
        <v/>
      </c>
      <c r="AB346">
        <f>HYPERLINK("https://klasma.github.io/Logging_0883/klagomålsmail/S 2142-2026 FSC-klagomål mail.docx", "S 2142-2026")</f>
        <v/>
      </c>
      <c r="AC346">
        <f>HYPERLINK("https://klasma.github.io/Logging_0883/tillsyn/S 2142-2026 tillsynsbegäran.docx", "S 2142-2026")</f>
        <v/>
      </c>
      <c r="AD346">
        <f>HYPERLINK("https://klasma.github.io/Logging_0883/tillsynsmail/S 2142-2026 tillsynsbegäran mail.docx", "S 2142-2026")</f>
        <v/>
      </c>
    </row>
    <row r="347" ht="15" customHeight="1">
      <c r="A347" t="inlineStr">
        <is>
          <t>A 17953-2022</t>
        </is>
      </c>
      <c r="B347" t="inlineStr">
        <is>
          <t>avverkningsanmälan</t>
        </is>
      </c>
      <c r="C347" t="inlineStr">
        <is>
          <t>Föryngringsavverkning</t>
        </is>
      </c>
      <c r="D347" s="1" t="n">
        <v>44683</v>
      </c>
      <c r="E347" s="1" t="n">
        <v>46323</v>
      </c>
      <c r="F347" t="inlineStr">
        <is>
          <t>KALMAR LÄN</t>
        </is>
      </c>
      <c r="G347" t="inlineStr">
        <is>
          <t>VÄSTERVIK</t>
        </is>
      </c>
      <c r="H347" t="inlineStr">
        <is>
          <t>Sveaskog</t>
        </is>
      </c>
      <c r="I347" t="n">
        <v>0.6</v>
      </c>
      <c r="J347" t="n">
        <v>0</v>
      </c>
      <c r="K347" t="n">
        <v>0</v>
      </c>
      <c r="L347" t="n">
        <v>0</v>
      </c>
      <c r="M347" t="n">
        <v>0</v>
      </c>
      <c r="N347" t="n">
        <v>0</v>
      </c>
      <c r="O347" t="n">
        <v>0</v>
      </c>
      <c r="P347" t="n">
        <v>0</v>
      </c>
      <c r="Q347" t="n">
        <v>0</v>
      </c>
      <c r="R347" t="n">
        <v>0</v>
      </c>
      <c r="S347" t="n">
        <v>0</v>
      </c>
      <c r="T347" t="n">
        <v>0</v>
      </c>
      <c r="U347" t="n">
        <v>0</v>
      </c>
      <c r="V347" s="2" t="inlineStr"/>
    </row>
    <row r="348" ht="15" customHeight="1">
      <c r="A348" t="inlineStr">
        <is>
          <t>A 3145-2022</t>
        </is>
      </c>
      <c r="B348" t="inlineStr">
        <is>
          <t>avverkningsanmälan</t>
        </is>
      </c>
      <c r="C348" t="inlineStr">
        <is>
          <t>Föryngringsavverkning</t>
        </is>
      </c>
      <c r="D348" s="1" t="n">
        <v>44582</v>
      </c>
      <c r="E348" s="1" t="n">
        <v>46323</v>
      </c>
      <c r="F348" t="inlineStr">
        <is>
          <t>KALMAR LÄN</t>
        </is>
      </c>
      <c r="G348" t="inlineStr">
        <is>
          <t>VÄSTERVIK</t>
        </is>
      </c>
      <c r="I348" t="n">
        <v>0.8</v>
      </c>
      <c r="J348" t="n">
        <v>0</v>
      </c>
      <c r="K348" t="n">
        <v>0</v>
      </c>
      <c r="L348" t="n">
        <v>0</v>
      </c>
      <c r="M348" t="n">
        <v>0</v>
      </c>
      <c r="N348" t="n">
        <v>0</v>
      </c>
      <c r="O348" t="n">
        <v>0</v>
      </c>
      <c r="P348" t="n">
        <v>0</v>
      </c>
      <c r="Q348" t="n">
        <v>0</v>
      </c>
      <c r="R348" t="n">
        <v>0</v>
      </c>
      <c r="S348" t="n">
        <v>0</v>
      </c>
      <c r="T348" t="n">
        <v>0</v>
      </c>
      <c r="U348" t="n">
        <v>0</v>
      </c>
      <c r="V348" s="2" t="inlineStr"/>
    </row>
    <row r="349" ht="15" customHeight="1">
      <c r="A349" t="inlineStr">
        <is>
          <t>A 40062-2022</t>
        </is>
      </c>
      <c r="B349" t="inlineStr">
        <is>
          <t>avverkningsanmälan</t>
        </is>
      </c>
      <c r="C349" t="inlineStr">
        <is>
          <t>Föryngringsavverkning</t>
        </is>
      </c>
      <c r="D349" s="1" t="n">
        <v>44820</v>
      </c>
      <c r="E349" s="1" t="n">
        <v>46323</v>
      </c>
      <c r="F349" t="inlineStr">
        <is>
          <t>KALMAR LÄN</t>
        </is>
      </c>
      <c r="G349" t="inlineStr">
        <is>
          <t>VÄSTERVIK</t>
        </is>
      </c>
      <c r="I349" t="n">
        <v>0.7</v>
      </c>
      <c r="J349" t="n">
        <v>0</v>
      </c>
      <c r="K349" t="n">
        <v>0</v>
      </c>
      <c r="L349" t="n">
        <v>0</v>
      </c>
      <c r="M349" t="n">
        <v>0</v>
      </c>
      <c r="N349" t="n">
        <v>0</v>
      </c>
      <c r="O349" t="n">
        <v>0</v>
      </c>
      <c r="P349" t="n">
        <v>0</v>
      </c>
      <c r="Q349" t="n">
        <v>0</v>
      </c>
      <c r="R349" t="n">
        <v>0</v>
      </c>
      <c r="S349" t="n">
        <v>0</v>
      </c>
      <c r="T349" t="n">
        <v>0</v>
      </c>
      <c r="U349" t="n">
        <v>0</v>
      </c>
      <c r="V349" s="2" t="inlineStr"/>
    </row>
    <row r="350" ht="15" customHeight="1">
      <c r="A350" t="inlineStr">
        <is>
          <t>A 52289-2022</t>
        </is>
      </c>
      <c r="B350" t="inlineStr">
        <is>
          <t>avverkningsanmälan</t>
        </is>
      </c>
      <c r="C350" t="inlineStr">
        <is>
          <t>Föryngringsavverkning</t>
        </is>
      </c>
      <c r="D350" s="1" t="n">
        <v>44873</v>
      </c>
      <c r="E350" s="1" t="n">
        <v>46323</v>
      </c>
      <c r="F350" t="inlineStr">
        <is>
          <t>KALMAR LÄN</t>
        </is>
      </c>
      <c r="G350" t="inlineStr">
        <is>
          <t>VÄSTERVIK</t>
        </is>
      </c>
      <c r="I350" t="n">
        <v>0.6</v>
      </c>
      <c r="J350" t="n">
        <v>0</v>
      </c>
      <c r="K350" t="n">
        <v>0</v>
      </c>
      <c r="L350" t="n">
        <v>0</v>
      </c>
      <c r="M350" t="n">
        <v>0</v>
      </c>
      <c r="N350" t="n">
        <v>0</v>
      </c>
      <c r="O350" t="n">
        <v>0</v>
      </c>
      <c r="P350" t="n">
        <v>0</v>
      </c>
      <c r="Q350" t="n">
        <v>0</v>
      </c>
      <c r="R350" t="n">
        <v>0</v>
      </c>
      <c r="S350" t="n">
        <v>0</v>
      </c>
      <c r="T350" t="n">
        <v>0</v>
      </c>
      <c r="U350" t="n">
        <v>0</v>
      </c>
      <c r="V350" s="2" t="inlineStr"/>
    </row>
    <row r="351" ht="15" customHeight="1">
      <c r="A351" t="inlineStr">
        <is>
          <t>A 64822-2021</t>
        </is>
      </c>
      <c r="B351" t="inlineStr">
        <is>
          <t>avverkningsanmälan</t>
        </is>
      </c>
      <c r="C351" t="inlineStr">
        <is>
          <t>Föryngringsavverkning</t>
        </is>
      </c>
      <c r="D351" s="1" t="n">
        <v>44512</v>
      </c>
      <c r="E351" s="1" t="n">
        <v>46323</v>
      </c>
      <c r="F351" t="inlineStr">
        <is>
          <t>KALMAR LÄN</t>
        </is>
      </c>
      <c r="G351" t="inlineStr">
        <is>
          <t>VÄSTERVIK</t>
        </is>
      </c>
      <c r="I351" t="n">
        <v>0.6</v>
      </c>
      <c r="J351" t="n">
        <v>0</v>
      </c>
      <c r="K351" t="n">
        <v>0</v>
      </c>
      <c r="L351" t="n">
        <v>0</v>
      </c>
      <c r="M351" t="n">
        <v>0</v>
      </c>
      <c r="N351" t="n">
        <v>0</v>
      </c>
      <c r="O351" t="n">
        <v>0</v>
      </c>
      <c r="P351" t="n">
        <v>0</v>
      </c>
      <c r="Q351" t="n">
        <v>0</v>
      </c>
      <c r="R351" t="n">
        <v>0</v>
      </c>
      <c r="S351" t="n">
        <v>0</v>
      </c>
      <c r="T351" t="n">
        <v>0</v>
      </c>
      <c r="U351" t="n">
        <v>0</v>
      </c>
      <c r="V351" s="2" t="inlineStr"/>
    </row>
    <row r="352" ht="15" customHeight="1">
      <c r="A352" t="inlineStr">
        <is>
          <t>A 14038-2022</t>
        </is>
      </c>
      <c r="B352" t="inlineStr">
        <is>
          <t>avverkningsanmälan</t>
        </is>
      </c>
      <c r="C352" t="inlineStr">
        <is>
          <t>Föryngringsavverkning</t>
        </is>
      </c>
      <c r="D352" s="1" t="n">
        <v>44650</v>
      </c>
      <c r="E352" s="1" t="n">
        <v>46323</v>
      </c>
      <c r="F352" t="inlineStr">
        <is>
          <t>KALMAR LÄN</t>
        </is>
      </c>
      <c r="G352" t="inlineStr">
        <is>
          <t>VÄSTERVIK</t>
        </is>
      </c>
      <c r="I352" t="n">
        <v>0.6</v>
      </c>
      <c r="J352" t="n">
        <v>0</v>
      </c>
      <c r="K352" t="n">
        <v>0</v>
      </c>
      <c r="L352" t="n">
        <v>0</v>
      </c>
      <c r="M352" t="n">
        <v>0</v>
      </c>
      <c r="N352" t="n">
        <v>0</v>
      </c>
      <c r="O352" t="n">
        <v>0</v>
      </c>
      <c r="P352" t="n">
        <v>0</v>
      </c>
      <c r="Q352" t="n">
        <v>0</v>
      </c>
      <c r="R352" t="n">
        <v>0</v>
      </c>
      <c r="S352" t="n">
        <v>0</v>
      </c>
      <c r="T352" t="n">
        <v>0</v>
      </c>
      <c r="U352" t="n">
        <v>0</v>
      </c>
      <c r="V352" s="2" t="inlineStr"/>
    </row>
    <row r="353" ht="15" customHeight="1">
      <c r="A353" t="inlineStr">
        <is>
          <t>A 29816-2022</t>
        </is>
      </c>
      <c r="B353" t="inlineStr">
        <is>
          <t>avverkningsanmälan</t>
        </is>
      </c>
      <c r="C353" t="inlineStr">
        <is>
          <t>Föryngringsavverkning</t>
        </is>
      </c>
      <c r="D353" s="1" t="n">
        <v>44755</v>
      </c>
      <c r="E353" s="1" t="n">
        <v>46323</v>
      </c>
      <c r="F353" t="inlineStr">
        <is>
          <t>KALMAR LÄN</t>
        </is>
      </c>
      <c r="G353" t="inlineStr">
        <is>
          <t>VÄSTERVIK</t>
        </is>
      </c>
      <c r="H353" t="inlineStr">
        <is>
          <t>Holmen skog AB</t>
        </is>
      </c>
      <c r="I353" t="n">
        <v>0.7</v>
      </c>
      <c r="J353" t="n">
        <v>0</v>
      </c>
      <c r="K353" t="n">
        <v>0</v>
      </c>
      <c r="L353" t="n">
        <v>0</v>
      </c>
      <c r="M353" t="n">
        <v>0</v>
      </c>
      <c r="N353" t="n">
        <v>0</v>
      </c>
      <c r="O353" t="n">
        <v>0</v>
      </c>
      <c r="P353" t="n">
        <v>0</v>
      </c>
      <c r="Q353" t="n">
        <v>0</v>
      </c>
      <c r="R353" t="n">
        <v>0</v>
      </c>
      <c r="S353" t="n">
        <v>0</v>
      </c>
      <c r="T353" t="n">
        <v>0</v>
      </c>
      <c r="U353" t="n">
        <v>0</v>
      </c>
      <c r="V353" s="2" t="inlineStr"/>
    </row>
    <row r="354" ht="15" customHeight="1">
      <c r="A354" t="inlineStr">
        <is>
          <t>A 10117-2022</t>
        </is>
      </c>
      <c r="B354" t="inlineStr">
        <is>
          <t>avverkningsanmälan</t>
        </is>
      </c>
      <c r="C354" t="inlineStr">
        <is>
          <t>Föryngringsavverkning</t>
        </is>
      </c>
      <c r="D354" s="1" t="n">
        <v>44621</v>
      </c>
      <c r="E354" s="1" t="n">
        <v>46323</v>
      </c>
      <c r="F354" t="inlineStr">
        <is>
          <t>KALMAR LÄN</t>
        </is>
      </c>
      <c r="G354" t="inlineStr">
        <is>
          <t>VÄSTERVIK</t>
        </is>
      </c>
      <c r="I354" t="n">
        <v>0.6</v>
      </c>
      <c r="J354" t="n">
        <v>0</v>
      </c>
      <c r="K354" t="n">
        <v>0</v>
      </c>
      <c r="L354" t="n">
        <v>0</v>
      </c>
      <c r="M354" t="n">
        <v>0</v>
      </c>
      <c r="N354" t="n">
        <v>0</v>
      </c>
      <c r="O354" t="n">
        <v>0</v>
      </c>
      <c r="P354" t="n">
        <v>0</v>
      </c>
      <c r="Q354" t="n">
        <v>0</v>
      </c>
      <c r="R354" t="n">
        <v>0</v>
      </c>
      <c r="S354" t="n">
        <v>0</v>
      </c>
      <c r="T354" t="n">
        <v>0</v>
      </c>
      <c r="U354" t="n">
        <v>0</v>
      </c>
      <c r="V354" s="2" t="inlineStr"/>
    </row>
    <row r="355" ht="15" customHeight="1">
      <c r="A355" t="inlineStr">
        <is>
          <t>A 72733-2021</t>
        </is>
      </c>
      <c r="B355" t="inlineStr">
        <is>
          <t>avverkningsanmälan</t>
        </is>
      </c>
      <c r="C355" t="inlineStr">
        <is>
          <t>Föryngringsavverkning</t>
        </is>
      </c>
      <c r="D355" s="1" t="n">
        <v>44546</v>
      </c>
      <c r="E355" s="1" t="n">
        <v>46323</v>
      </c>
      <c r="F355" t="inlineStr">
        <is>
          <t>KALMAR LÄN</t>
        </is>
      </c>
      <c r="G355" t="inlineStr">
        <is>
          <t>VÄSTERVIK</t>
        </is>
      </c>
      <c r="I355" t="n">
        <v>1.2</v>
      </c>
      <c r="J355" t="n">
        <v>0</v>
      </c>
      <c r="K355" t="n">
        <v>0</v>
      </c>
      <c r="L355" t="n">
        <v>0</v>
      </c>
      <c r="M355" t="n">
        <v>0</v>
      </c>
      <c r="N355" t="n">
        <v>0</v>
      </c>
      <c r="O355" t="n">
        <v>0</v>
      </c>
      <c r="P355" t="n">
        <v>0</v>
      </c>
      <c r="Q355" t="n">
        <v>0</v>
      </c>
      <c r="R355" t="n">
        <v>0</v>
      </c>
      <c r="S355" t="n">
        <v>0</v>
      </c>
      <c r="T355" t="n">
        <v>0</v>
      </c>
      <c r="U355" t="n">
        <v>0</v>
      </c>
      <c r="V355" s="2" t="inlineStr"/>
    </row>
    <row r="356" ht="15" customHeight="1">
      <c r="A356" t="inlineStr">
        <is>
          <t>A 46781-2022</t>
        </is>
      </c>
      <c r="B356" t="inlineStr">
        <is>
          <t>avverkningsanmälan</t>
        </is>
      </c>
      <c r="C356" t="inlineStr">
        <is>
          <t>Föryngringsavverkning</t>
        </is>
      </c>
      <c r="D356" s="1" t="n">
        <v>44851</v>
      </c>
      <c r="E356" s="1" t="n">
        <v>46323</v>
      </c>
      <c r="F356" t="inlineStr">
        <is>
          <t>KALMAR LÄN</t>
        </is>
      </c>
      <c r="G356" t="inlineStr">
        <is>
          <t>VÄSTERVIK</t>
        </is>
      </c>
      <c r="I356" t="n">
        <v>13.2</v>
      </c>
      <c r="J356" t="n">
        <v>0</v>
      </c>
      <c r="K356" t="n">
        <v>0</v>
      </c>
      <c r="L356" t="n">
        <v>0</v>
      </c>
      <c r="M356" t="n">
        <v>0</v>
      </c>
      <c r="N356" t="n">
        <v>0</v>
      </c>
      <c r="O356" t="n">
        <v>0</v>
      </c>
      <c r="P356" t="n">
        <v>0</v>
      </c>
      <c r="Q356" t="n">
        <v>0</v>
      </c>
      <c r="R356" t="n">
        <v>0</v>
      </c>
      <c r="S356" t="n">
        <v>0</v>
      </c>
      <c r="T356" t="n">
        <v>0</v>
      </c>
      <c r="U356" t="n">
        <v>0</v>
      </c>
      <c r="V356" s="2" t="inlineStr"/>
    </row>
    <row r="357" ht="15" customHeight="1">
      <c r="A357" t="inlineStr">
        <is>
          <t>A 16765-2022</t>
        </is>
      </c>
      <c r="B357" t="inlineStr">
        <is>
          <t>avverkningsanmälan</t>
        </is>
      </c>
      <c r="C357" t="inlineStr">
        <is>
          <t>Föryngringsavverkning</t>
        </is>
      </c>
      <c r="D357" s="1" t="n">
        <v>44673</v>
      </c>
      <c r="E357" s="1" t="n">
        <v>46323</v>
      </c>
      <c r="F357" t="inlineStr">
        <is>
          <t>KALMAR LÄN</t>
        </is>
      </c>
      <c r="G357" t="inlineStr">
        <is>
          <t>VÄSTERVIK</t>
        </is>
      </c>
      <c r="I357" t="n">
        <v>0.7</v>
      </c>
      <c r="J357" t="n">
        <v>0</v>
      </c>
      <c r="K357" t="n">
        <v>0</v>
      </c>
      <c r="L357" t="n">
        <v>0</v>
      </c>
      <c r="M357" t="n">
        <v>0</v>
      </c>
      <c r="N357" t="n">
        <v>0</v>
      </c>
      <c r="O357" t="n">
        <v>0</v>
      </c>
      <c r="P357" t="n">
        <v>0</v>
      </c>
      <c r="Q357" t="n">
        <v>0</v>
      </c>
      <c r="R357" t="n">
        <v>0</v>
      </c>
      <c r="S357" t="n">
        <v>0</v>
      </c>
      <c r="T357" t="n">
        <v>0</v>
      </c>
      <c r="U357" t="n">
        <v>0</v>
      </c>
      <c r="V357" s="2" t="inlineStr"/>
    </row>
    <row r="358" ht="15" customHeight="1">
      <c r="A358" t="inlineStr">
        <is>
          <t>A 46783-2022</t>
        </is>
      </c>
      <c r="B358" t="inlineStr">
        <is>
          <t>avverkningsanmälan</t>
        </is>
      </c>
      <c r="C358" t="inlineStr">
        <is>
          <t>Föryngringsavverkning</t>
        </is>
      </c>
      <c r="D358" s="1" t="n">
        <v>44851</v>
      </c>
      <c r="E358" s="1" t="n">
        <v>46323</v>
      </c>
      <c r="F358" t="inlineStr">
        <is>
          <t>KALMAR LÄN</t>
        </is>
      </c>
      <c r="G358" t="inlineStr">
        <is>
          <t>VÄSTERVIK</t>
        </is>
      </c>
      <c r="I358" t="n">
        <v>2</v>
      </c>
      <c r="J358" t="n">
        <v>0</v>
      </c>
      <c r="K358" t="n">
        <v>0</v>
      </c>
      <c r="L358" t="n">
        <v>0</v>
      </c>
      <c r="M358" t="n">
        <v>0</v>
      </c>
      <c r="N358" t="n">
        <v>0</v>
      </c>
      <c r="O358" t="n">
        <v>0</v>
      </c>
      <c r="P358" t="n">
        <v>0</v>
      </c>
      <c r="Q358" t="n">
        <v>0</v>
      </c>
      <c r="R358" t="n">
        <v>0</v>
      </c>
      <c r="S358" t="n">
        <v>0</v>
      </c>
      <c r="T358" t="n">
        <v>0</v>
      </c>
      <c r="U358" t="n">
        <v>0</v>
      </c>
      <c r="V358" s="2" t="inlineStr"/>
    </row>
    <row r="359" ht="15" customHeight="1">
      <c r="A359" t="inlineStr">
        <is>
          <t>A 62930-2021</t>
        </is>
      </c>
      <c r="B359" t="inlineStr">
        <is>
          <t>avverkningsanmälan</t>
        </is>
      </c>
      <c r="C359" t="inlineStr">
        <is>
          <t>Föryngringsavverkning</t>
        </is>
      </c>
      <c r="D359" s="1" t="n">
        <v>44504</v>
      </c>
      <c r="E359" s="1" t="n">
        <v>46323</v>
      </c>
      <c r="F359" t="inlineStr">
        <is>
          <t>KALMAR LÄN</t>
        </is>
      </c>
      <c r="G359" t="inlineStr">
        <is>
          <t>VÄSTERVIK</t>
        </is>
      </c>
      <c r="I359" t="n">
        <v>1.3</v>
      </c>
      <c r="J359" t="n">
        <v>0</v>
      </c>
      <c r="K359" t="n">
        <v>0</v>
      </c>
      <c r="L359" t="n">
        <v>0</v>
      </c>
      <c r="M359" t="n">
        <v>0</v>
      </c>
      <c r="N359" t="n">
        <v>0</v>
      </c>
      <c r="O359" t="n">
        <v>0</v>
      </c>
      <c r="P359" t="n">
        <v>0</v>
      </c>
      <c r="Q359" t="n">
        <v>0</v>
      </c>
      <c r="R359" t="n">
        <v>0</v>
      </c>
      <c r="S359" t="n">
        <v>0</v>
      </c>
      <c r="T359" t="n">
        <v>0</v>
      </c>
      <c r="U359" t="n">
        <v>0</v>
      </c>
      <c r="V359" s="2" t="inlineStr"/>
    </row>
    <row r="360" ht="15" customHeight="1">
      <c r="A360" t="inlineStr">
        <is>
          <t>A 55382-2022</t>
        </is>
      </c>
      <c r="B360" t="inlineStr">
        <is>
          <t>avverkningsanmälan</t>
        </is>
      </c>
      <c r="C360" t="inlineStr">
        <is>
          <t>Föryngringsavverkning</t>
        </is>
      </c>
      <c r="D360" s="1" t="n">
        <v>44887</v>
      </c>
      <c r="E360" s="1" t="n">
        <v>46323</v>
      </c>
      <c r="F360" t="inlineStr">
        <is>
          <t>KALMAR LÄN</t>
        </is>
      </c>
      <c r="G360" t="inlineStr">
        <is>
          <t>VÄSTERVIK</t>
        </is>
      </c>
      <c r="I360" t="n">
        <v>3.2</v>
      </c>
      <c r="J360" t="n">
        <v>0</v>
      </c>
      <c r="K360" t="n">
        <v>0</v>
      </c>
      <c r="L360" t="n">
        <v>0</v>
      </c>
      <c r="M360" t="n">
        <v>0</v>
      </c>
      <c r="N360" t="n">
        <v>0</v>
      </c>
      <c r="O360" t="n">
        <v>0</v>
      </c>
      <c r="P360" t="n">
        <v>0</v>
      </c>
      <c r="Q360" t="n">
        <v>0</v>
      </c>
      <c r="R360" t="n">
        <v>0</v>
      </c>
      <c r="S360" t="n">
        <v>0</v>
      </c>
      <c r="T360" t="n">
        <v>0</v>
      </c>
      <c r="U360" t="n">
        <v>0</v>
      </c>
      <c r="V360" s="2" t="inlineStr"/>
    </row>
    <row r="361" ht="15" customHeight="1">
      <c r="A361" t="inlineStr">
        <is>
          <t>A 3718-2022</t>
        </is>
      </c>
      <c r="B361" t="inlineStr">
        <is>
          <t>avverkningsanmälan</t>
        </is>
      </c>
      <c r="C361" t="inlineStr">
        <is>
          <t>Föryngringsavverkning</t>
        </is>
      </c>
      <c r="D361" s="1" t="n">
        <v>44586</v>
      </c>
      <c r="E361" s="1" t="n">
        <v>46323</v>
      </c>
      <c r="F361" t="inlineStr">
        <is>
          <t>KALMAR LÄN</t>
        </is>
      </c>
      <c r="G361" t="inlineStr">
        <is>
          <t>VÄSTERVIK</t>
        </is>
      </c>
      <c r="I361" t="n">
        <v>0.8</v>
      </c>
      <c r="J361" t="n">
        <v>0</v>
      </c>
      <c r="K361" t="n">
        <v>0</v>
      </c>
      <c r="L361" t="n">
        <v>0</v>
      </c>
      <c r="M361" t="n">
        <v>0</v>
      </c>
      <c r="N361" t="n">
        <v>0</v>
      </c>
      <c r="O361" t="n">
        <v>0</v>
      </c>
      <c r="P361" t="n">
        <v>0</v>
      </c>
      <c r="Q361" t="n">
        <v>0</v>
      </c>
      <c r="R361" t="n">
        <v>0</v>
      </c>
      <c r="S361" t="n">
        <v>0</v>
      </c>
      <c r="T361" t="n">
        <v>0</v>
      </c>
      <c r="U361" t="n">
        <v>0</v>
      </c>
      <c r="V361" s="2" t="inlineStr"/>
    </row>
    <row r="362" ht="15" customHeight="1">
      <c r="A362" t="inlineStr">
        <is>
          <t>A 49377-2022</t>
        </is>
      </c>
      <c r="B362" t="inlineStr">
        <is>
          <t>avverkningsanmälan</t>
        </is>
      </c>
      <c r="C362" t="inlineStr">
        <is>
          <t>Föryngringsavverkning</t>
        </is>
      </c>
      <c r="D362" s="1" t="n">
        <v>44861</v>
      </c>
      <c r="E362" s="1" t="n">
        <v>46323</v>
      </c>
      <c r="F362" t="inlineStr">
        <is>
          <t>KALMAR LÄN</t>
        </is>
      </c>
      <c r="G362" t="inlineStr">
        <is>
          <t>VÄSTERVIK</t>
        </is>
      </c>
      <c r="I362" t="n">
        <v>1.1</v>
      </c>
      <c r="J362" t="n">
        <v>0</v>
      </c>
      <c r="K362" t="n">
        <v>0</v>
      </c>
      <c r="L362" t="n">
        <v>0</v>
      </c>
      <c r="M362" t="n">
        <v>0</v>
      </c>
      <c r="N362" t="n">
        <v>0</v>
      </c>
      <c r="O362" t="n">
        <v>0</v>
      </c>
      <c r="P362" t="n">
        <v>0</v>
      </c>
      <c r="Q362" t="n">
        <v>0</v>
      </c>
      <c r="R362" t="n">
        <v>0</v>
      </c>
      <c r="S362" t="n">
        <v>0</v>
      </c>
      <c r="T362" t="n">
        <v>0</v>
      </c>
      <c r="U362" t="n">
        <v>0</v>
      </c>
      <c r="V362" s="2" t="inlineStr"/>
    </row>
    <row r="363" ht="15" customHeight="1">
      <c r="A363" t="inlineStr">
        <is>
          <t>A 4057-2022</t>
        </is>
      </c>
      <c r="B363" t="inlineStr">
        <is>
          <t>avverkningsanmälan</t>
        </is>
      </c>
      <c r="C363" t="inlineStr">
        <is>
          <t>Föryngringsavverkning</t>
        </is>
      </c>
      <c r="D363" s="1" t="n">
        <v>44588</v>
      </c>
      <c r="E363" s="1" t="n">
        <v>46323</v>
      </c>
      <c r="F363" t="inlineStr">
        <is>
          <t>KALMAR LÄN</t>
        </is>
      </c>
      <c r="G363" t="inlineStr">
        <is>
          <t>VÄSTERVIK</t>
        </is>
      </c>
      <c r="H363" t="inlineStr">
        <is>
          <t>Holmen skog AB</t>
        </is>
      </c>
      <c r="I363" t="n">
        <v>2.1</v>
      </c>
      <c r="J363" t="n">
        <v>0</v>
      </c>
      <c r="K363" t="n">
        <v>0</v>
      </c>
      <c r="L363" t="n">
        <v>0</v>
      </c>
      <c r="M363" t="n">
        <v>0</v>
      </c>
      <c r="N363" t="n">
        <v>0</v>
      </c>
      <c r="O363" t="n">
        <v>0</v>
      </c>
      <c r="P363" t="n">
        <v>0</v>
      </c>
      <c r="Q363" t="n">
        <v>0</v>
      </c>
      <c r="R363" t="n">
        <v>0</v>
      </c>
      <c r="S363" t="n">
        <v>0</v>
      </c>
      <c r="T363" t="n">
        <v>0</v>
      </c>
      <c r="U363" t="n">
        <v>0</v>
      </c>
      <c r="V363" s="2" t="inlineStr"/>
    </row>
    <row r="364" ht="15" customHeight="1">
      <c r="A364" t="inlineStr">
        <is>
          <t>A 166-2022</t>
        </is>
      </c>
      <c r="B364" t="inlineStr">
        <is>
          <t>avverkningsanmälan</t>
        </is>
      </c>
      <c r="C364" t="inlineStr">
        <is>
          <t>Avverkning för annat ändamål</t>
        </is>
      </c>
      <c r="D364" s="1" t="n">
        <v>44564</v>
      </c>
      <c r="E364" s="1" t="n">
        <v>46323</v>
      </c>
      <c r="F364" t="inlineStr">
        <is>
          <t>KALMAR LÄN</t>
        </is>
      </c>
      <c r="G364" t="inlineStr">
        <is>
          <t>VÄSTERVIK</t>
        </is>
      </c>
      <c r="I364" t="n">
        <v>1.5</v>
      </c>
      <c r="J364" t="n">
        <v>0</v>
      </c>
      <c r="K364" t="n">
        <v>0</v>
      </c>
      <c r="L364" t="n">
        <v>0</v>
      </c>
      <c r="M364" t="n">
        <v>0</v>
      </c>
      <c r="N364" t="n">
        <v>0</v>
      </c>
      <c r="O364" t="n">
        <v>0</v>
      </c>
      <c r="P364" t="n">
        <v>0</v>
      </c>
      <c r="Q364" t="n">
        <v>0</v>
      </c>
      <c r="R364" t="n">
        <v>0</v>
      </c>
      <c r="S364" t="n">
        <v>0</v>
      </c>
      <c r="T364" t="n">
        <v>0</v>
      </c>
      <c r="U364" t="n">
        <v>0</v>
      </c>
      <c r="V364" s="2" t="inlineStr"/>
    </row>
    <row r="365" ht="15" customHeight="1">
      <c r="A365" t="inlineStr">
        <is>
          <t>A 64558-2021</t>
        </is>
      </c>
      <c r="B365" t="inlineStr">
        <is>
          <t>avverkningsanmälan</t>
        </is>
      </c>
      <c r="C365" t="inlineStr">
        <is>
          <t>Föryngringsavverkning</t>
        </is>
      </c>
      <c r="D365" s="1" t="n">
        <v>44511</v>
      </c>
      <c r="E365" s="1" t="n">
        <v>46323</v>
      </c>
      <c r="F365" t="inlineStr">
        <is>
          <t>KALMAR LÄN</t>
        </is>
      </c>
      <c r="G365" t="inlineStr">
        <is>
          <t>VÄSTERVIK</t>
        </is>
      </c>
      <c r="H365" t="inlineStr">
        <is>
          <t>Övriga Aktiebolag</t>
        </is>
      </c>
      <c r="I365" t="n">
        <v>0.5</v>
      </c>
      <c r="J365" t="n">
        <v>0</v>
      </c>
      <c r="K365" t="n">
        <v>0</v>
      </c>
      <c r="L365" t="n">
        <v>0</v>
      </c>
      <c r="M365" t="n">
        <v>0</v>
      </c>
      <c r="N365" t="n">
        <v>0</v>
      </c>
      <c r="O365" t="n">
        <v>0</v>
      </c>
      <c r="P365" t="n">
        <v>0</v>
      </c>
      <c r="Q365" t="n">
        <v>0</v>
      </c>
      <c r="R365" t="n">
        <v>0</v>
      </c>
      <c r="S365" t="n">
        <v>0</v>
      </c>
      <c r="T365" t="n">
        <v>0</v>
      </c>
      <c r="U365" t="n">
        <v>0</v>
      </c>
      <c r="V365" s="2" t="inlineStr"/>
    </row>
    <row r="366" ht="15" customHeight="1">
      <c r="A366" t="inlineStr">
        <is>
          <t>A 61584-2021</t>
        </is>
      </c>
      <c r="B366" t="inlineStr">
        <is>
          <t>avverkningsanmälan</t>
        </is>
      </c>
      <c r="C366" t="inlineStr">
        <is>
          <t>Föryngringsavverkning</t>
        </is>
      </c>
      <c r="D366" s="1" t="n">
        <v>44501</v>
      </c>
      <c r="E366" s="1" t="n">
        <v>46323</v>
      </c>
      <c r="F366" t="inlineStr">
        <is>
          <t>KALMAR LÄN</t>
        </is>
      </c>
      <c r="G366" t="inlineStr">
        <is>
          <t>VÄSTERVIK</t>
        </is>
      </c>
      <c r="I366" t="n">
        <v>3.3</v>
      </c>
      <c r="J366" t="n">
        <v>0</v>
      </c>
      <c r="K366" t="n">
        <v>0</v>
      </c>
      <c r="L366" t="n">
        <v>0</v>
      </c>
      <c r="M366" t="n">
        <v>0</v>
      </c>
      <c r="N366" t="n">
        <v>0</v>
      </c>
      <c r="O366" t="n">
        <v>0</v>
      </c>
      <c r="P366" t="n">
        <v>0</v>
      </c>
      <c r="Q366" t="n">
        <v>0</v>
      </c>
      <c r="R366" t="n">
        <v>0</v>
      </c>
      <c r="S366" t="n">
        <v>0</v>
      </c>
      <c r="T366" t="n">
        <v>0</v>
      </c>
      <c r="U366" t="n">
        <v>0</v>
      </c>
      <c r="V366" s="2" t="inlineStr"/>
    </row>
    <row r="367" ht="15" customHeight="1">
      <c r="A367" t="inlineStr">
        <is>
          <t>A 40925-2022</t>
        </is>
      </c>
      <c r="B367" t="inlineStr">
        <is>
          <t>avverkningsanmälan</t>
        </is>
      </c>
      <c r="C367" t="inlineStr">
        <is>
          <t>Föryngringsavverkning</t>
        </is>
      </c>
      <c r="D367" s="1" t="n">
        <v>44825</v>
      </c>
      <c r="E367" s="1" t="n">
        <v>46323</v>
      </c>
      <c r="F367" t="inlineStr">
        <is>
          <t>KALMAR LÄN</t>
        </is>
      </c>
      <c r="G367" t="inlineStr">
        <is>
          <t>VÄSTERVIK</t>
        </is>
      </c>
      <c r="H367" t="inlineStr">
        <is>
          <t>Sveaskog</t>
        </is>
      </c>
      <c r="I367" t="n">
        <v>2.4</v>
      </c>
      <c r="J367" t="n">
        <v>0</v>
      </c>
      <c r="K367" t="n">
        <v>0</v>
      </c>
      <c r="L367" t="n">
        <v>0</v>
      </c>
      <c r="M367" t="n">
        <v>0</v>
      </c>
      <c r="N367" t="n">
        <v>0</v>
      </c>
      <c r="O367" t="n">
        <v>0</v>
      </c>
      <c r="P367" t="n">
        <v>0</v>
      </c>
      <c r="Q367" t="n">
        <v>0</v>
      </c>
      <c r="R367" t="n">
        <v>0</v>
      </c>
      <c r="S367" t="n">
        <v>0</v>
      </c>
      <c r="T367" t="n">
        <v>0</v>
      </c>
      <c r="U367" t="n">
        <v>0</v>
      </c>
      <c r="V367" s="2" t="inlineStr"/>
    </row>
    <row r="368" ht="15" customHeight="1">
      <c r="A368" t="inlineStr">
        <is>
          <t>A 320-2022</t>
        </is>
      </c>
      <c r="B368" t="inlineStr">
        <is>
          <t>avverkningsanmälan</t>
        </is>
      </c>
      <c r="C368" t="inlineStr">
        <is>
          <t>Föryngringsavverkning</t>
        </is>
      </c>
      <c r="D368" s="1" t="n">
        <v>44565</v>
      </c>
      <c r="E368" s="1" t="n">
        <v>46323</v>
      </c>
      <c r="F368" t="inlineStr">
        <is>
          <t>KALMAR LÄN</t>
        </is>
      </c>
      <c r="G368" t="inlineStr">
        <is>
          <t>VÄSTERVIK</t>
        </is>
      </c>
      <c r="I368" t="n">
        <v>0.8</v>
      </c>
      <c r="J368" t="n">
        <v>0</v>
      </c>
      <c r="K368" t="n">
        <v>0</v>
      </c>
      <c r="L368" t="n">
        <v>0</v>
      </c>
      <c r="M368" t="n">
        <v>0</v>
      </c>
      <c r="N368" t="n">
        <v>0</v>
      </c>
      <c r="O368" t="n">
        <v>0</v>
      </c>
      <c r="P368" t="n">
        <v>0</v>
      </c>
      <c r="Q368" t="n">
        <v>0</v>
      </c>
      <c r="R368" t="n">
        <v>0</v>
      </c>
      <c r="S368" t="n">
        <v>0</v>
      </c>
      <c r="T368" t="n">
        <v>0</v>
      </c>
      <c r="U368" t="n">
        <v>0</v>
      </c>
      <c r="V368" s="2" t="inlineStr"/>
    </row>
    <row r="369" ht="15" customHeight="1">
      <c r="A369" t="inlineStr">
        <is>
          <t>A 46527-2022</t>
        </is>
      </c>
      <c r="B369" t="inlineStr">
        <is>
          <t>avverkningsanmälan</t>
        </is>
      </c>
      <c r="C369" t="inlineStr">
        <is>
          <t>Föryngringsavverkning</t>
        </is>
      </c>
      <c r="D369" s="1" t="n">
        <v>44848</v>
      </c>
      <c r="E369" s="1" t="n">
        <v>46323</v>
      </c>
      <c r="F369" t="inlineStr">
        <is>
          <t>KALMAR LÄN</t>
        </is>
      </c>
      <c r="G369" t="inlineStr">
        <is>
          <t>VÄSTERVIK</t>
        </is>
      </c>
      <c r="I369" t="n">
        <v>1.7</v>
      </c>
      <c r="J369" t="n">
        <v>0</v>
      </c>
      <c r="K369" t="n">
        <v>0</v>
      </c>
      <c r="L369" t="n">
        <v>0</v>
      </c>
      <c r="M369" t="n">
        <v>0</v>
      </c>
      <c r="N369" t="n">
        <v>0</v>
      </c>
      <c r="O369" t="n">
        <v>0</v>
      </c>
      <c r="P369" t="n">
        <v>0</v>
      </c>
      <c r="Q369" t="n">
        <v>0</v>
      </c>
      <c r="R369" t="n">
        <v>0</v>
      </c>
      <c r="S369" t="n">
        <v>0</v>
      </c>
      <c r="T369" t="n">
        <v>0</v>
      </c>
      <c r="U369" t="n">
        <v>0</v>
      </c>
      <c r="V369" s="2" t="inlineStr"/>
    </row>
    <row r="370" ht="15" customHeight="1">
      <c r="A370" t="inlineStr">
        <is>
          <t>A 38399-2022</t>
        </is>
      </c>
      <c r="B370" t="inlineStr">
        <is>
          <t>avverkningsanmälan</t>
        </is>
      </c>
      <c r="C370" t="inlineStr">
        <is>
          <t>Föryngringsavverkning</t>
        </is>
      </c>
      <c r="D370" s="1" t="n">
        <v>44812</v>
      </c>
      <c r="E370" s="1" t="n">
        <v>46323</v>
      </c>
      <c r="F370" t="inlineStr">
        <is>
          <t>KALMAR LÄN</t>
        </is>
      </c>
      <c r="G370" t="inlineStr">
        <is>
          <t>VÄSTERVIK</t>
        </is>
      </c>
      <c r="I370" t="n">
        <v>0.5</v>
      </c>
      <c r="J370" t="n">
        <v>0</v>
      </c>
      <c r="K370" t="n">
        <v>0</v>
      </c>
      <c r="L370" t="n">
        <v>0</v>
      </c>
      <c r="M370" t="n">
        <v>0</v>
      </c>
      <c r="N370" t="n">
        <v>0</v>
      </c>
      <c r="O370" t="n">
        <v>0</v>
      </c>
      <c r="P370" t="n">
        <v>0</v>
      </c>
      <c r="Q370" t="n">
        <v>0</v>
      </c>
      <c r="R370" t="n">
        <v>0</v>
      </c>
      <c r="S370" t="n">
        <v>0</v>
      </c>
      <c r="T370" t="n">
        <v>0</v>
      </c>
      <c r="U370" t="n">
        <v>0</v>
      </c>
      <c r="V370" s="2" t="inlineStr"/>
    </row>
    <row r="371" ht="15" customHeight="1">
      <c r="A371" t="inlineStr">
        <is>
          <t>A 72378-2021</t>
        </is>
      </c>
      <c r="B371" t="inlineStr">
        <is>
          <t>avverkningsanmälan</t>
        </is>
      </c>
      <c r="C371" t="inlineStr">
        <is>
          <t>Föryngringsavverkning</t>
        </is>
      </c>
      <c r="D371" s="1" t="n">
        <v>44545</v>
      </c>
      <c r="E371" s="1" t="n">
        <v>46323</v>
      </c>
      <c r="F371" t="inlineStr">
        <is>
          <t>KALMAR LÄN</t>
        </is>
      </c>
      <c r="G371" t="inlineStr">
        <is>
          <t>VÄSTERVIK</t>
        </is>
      </c>
      <c r="I371" t="n">
        <v>4.4</v>
      </c>
      <c r="J371" t="n">
        <v>0</v>
      </c>
      <c r="K371" t="n">
        <v>0</v>
      </c>
      <c r="L371" t="n">
        <v>0</v>
      </c>
      <c r="M371" t="n">
        <v>0</v>
      </c>
      <c r="N371" t="n">
        <v>0</v>
      </c>
      <c r="O371" t="n">
        <v>0</v>
      </c>
      <c r="P371" t="n">
        <v>0</v>
      </c>
      <c r="Q371" t="n">
        <v>0</v>
      </c>
      <c r="R371" t="n">
        <v>0</v>
      </c>
      <c r="S371" t="n">
        <v>0</v>
      </c>
      <c r="T371" t="n">
        <v>0</v>
      </c>
      <c r="U371" t="n">
        <v>0</v>
      </c>
      <c r="V371" s="2" t="inlineStr"/>
    </row>
    <row r="372" ht="15" customHeight="1">
      <c r="A372" t="inlineStr">
        <is>
          <t>A 34644-2022</t>
        </is>
      </c>
      <c r="B372" t="inlineStr">
        <is>
          <t>avverkningsanmälan</t>
        </is>
      </c>
      <c r="C372" t="inlineStr">
        <is>
          <t>Föryngringsavverkning</t>
        </is>
      </c>
      <c r="D372" s="1" t="n">
        <v>44795</v>
      </c>
      <c r="E372" s="1" t="n">
        <v>46323</v>
      </c>
      <c r="F372" t="inlineStr">
        <is>
          <t>KALMAR LÄN</t>
        </is>
      </c>
      <c r="G372" t="inlineStr">
        <is>
          <t>VÄSTERVIK</t>
        </is>
      </c>
      <c r="I372" t="n">
        <v>0.5</v>
      </c>
      <c r="J372" t="n">
        <v>0</v>
      </c>
      <c r="K372" t="n">
        <v>0</v>
      </c>
      <c r="L372" t="n">
        <v>0</v>
      </c>
      <c r="M372" t="n">
        <v>0</v>
      </c>
      <c r="N372" t="n">
        <v>0</v>
      </c>
      <c r="O372" t="n">
        <v>0</v>
      </c>
      <c r="P372" t="n">
        <v>0</v>
      </c>
      <c r="Q372" t="n">
        <v>0</v>
      </c>
      <c r="R372" t="n">
        <v>0</v>
      </c>
      <c r="S372" t="n">
        <v>0</v>
      </c>
      <c r="T372" t="n">
        <v>0</v>
      </c>
      <c r="U372" t="n">
        <v>0</v>
      </c>
      <c r="V372" s="2" t="inlineStr"/>
    </row>
    <row r="373" ht="15" customHeight="1">
      <c r="A373" t="inlineStr">
        <is>
          <t>A 34836-2022</t>
        </is>
      </c>
      <c r="B373" t="inlineStr">
        <is>
          <t>avverkningsanmälan</t>
        </is>
      </c>
      <c r="C373" t="inlineStr">
        <is>
          <t>Föryngringsavverkning</t>
        </is>
      </c>
      <c r="D373" s="1" t="n">
        <v>44796</v>
      </c>
      <c r="E373" s="1" t="n">
        <v>46323</v>
      </c>
      <c r="F373" t="inlineStr">
        <is>
          <t>KALMAR LÄN</t>
        </is>
      </c>
      <c r="G373" t="inlineStr">
        <is>
          <t>VÄSTERVIK</t>
        </is>
      </c>
      <c r="I373" t="n">
        <v>1.3</v>
      </c>
      <c r="J373" t="n">
        <v>0</v>
      </c>
      <c r="K373" t="n">
        <v>0</v>
      </c>
      <c r="L373" t="n">
        <v>0</v>
      </c>
      <c r="M373" t="n">
        <v>0</v>
      </c>
      <c r="N373" t="n">
        <v>0</v>
      </c>
      <c r="O373" t="n">
        <v>0</v>
      </c>
      <c r="P373" t="n">
        <v>0</v>
      </c>
      <c r="Q373" t="n">
        <v>0</v>
      </c>
      <c r="R373" t="n">
        <v>0</v>
      </c>
      <c r="S373" t="n">
        <v>0</v>
      </c>
      <c r="T373" t="n">
        <v>0</v>
      </c>
      <c r="U373" t="n">
        <v>0</v>
      </c>
      <c r="V373" s="2" t="inlineStr"/>
    </row>
    <row r="374" ht="15" customHeight="1">
      <c r="A374" t="inlineStr">
        <is>
          <t>A 5551-2022</t>
        </is>
      </c>
      <c r="B374" t="inlineStr">
        <is>
          <t>avverkningsanmälan</t>
        </is>
      </c>
      <c r="C374" t="inlineStr">
        <is>
          <t>Föryngringsavverkning</t>
        </is>
      </c>
      <c r="D374" s="1" t="n">
        <v>44595</v>
      </c>
      <c r="E374" s="1" t="n">
        <v>46323</v>
      </c>
      <c r="F374" t="inlineStr">
        <is>
          <t>KALMAR LÄN</t>
        </is>
      </c>
      <c r="G374" t="inlineStr">
        <is>
          <t>VÄSTERVIK</t>
        </is>
      </c>
      <c r="I374" t="n">
        <v>2.1</v>
      </c>
      <c r="J374" t="n">
        <v>0</v>
      </c>
      <c r="K374" t="n">
        <v>0</v>
      </c>
      <c r="L374" t="n">
        <v>0</v>
      </c>
      <c r="M374" t="n">
        <v>0</v>
      </c>
      <c r="N374" t="n">
        <v>0</v>
      </c>
      <c r="O374" t="n">
        <v>0</v>
      </c>
      <c r="P374" t="n">
        <v>0</v>
      </c>
      <c r="Q374" t="n">
        <v>0</v>
      </c>
      <c r="R374" t="n">
        <v>0</v>
      </c>
      <c r="S374" t="n">
        <v>0</v>
      </c>
      <c r="T374" t="n">
        <v>0</v>
      </c>
      <c r="U374" t="n">
        <v>0</v>
      </c>
      <c r="V374" s="2" t="inlineStr"/>
    </row>
    <row r="375" ht="15" customHeight="1">
      <c r="A375" t="inlineStr">
        <is>
          <t>A 360-2022</t>
        </is>
      </c>
      <c r="B375" t="inlineStr">
        <is>
          <t>avverkningsanmälan</t>
        </is>
      </c>
      <c r="C375" t="inlineStr">
        <is>
          <t>Föryngringsavverkning</t>
        </is>
      </c>
      <c r="D375" s="1" t="n">
        <v>44565</v>
      </c>
      <c r="E375" s="1" t="n">
        <v>46323</v>
      </c>
      <c r="F375" t="inlineStr">
        <is>
          <t>KALMAR LÄN</t>
        </is>
      </c>
      <c r="G375" t="inlineStr">
        <is>
          <t>VÄSTERVIK</t>
        </is>
      </c>
      <c r="I375" t="n">
        <v>0.8</v>
      </c>
      <c r="J375" t="n">
        <v>0</v>
      </c>
      <c r="K375" t="n">
        <v>0</v>
      </c>
      <c r="L375" t="n">
        <v>0</v>
      </c>
      <c r="M375" t="n">
        <v>0</v>
      </c>
      <c r="N375" t="n">
        <v>0</v>
      </c>
      <c r="O375" t="n">
        <v>0</v>
      </c>
      <c r="P375" t="n">
        <v>0</v>
      </c>
      <c r="Q375" t="n">
        <v>0</v>
      </c>
      <c r="R375" t="n">
        <v>0</v>
      </c>
      <c r="S375" t="n">
        <v>0</v>
      </c>
      <c r="T375" t="n">
        <v>0</v>
      </c>
      <c r="U375" t="n">
        <v>0</v>
      </c>
      <c r="V375" s="2" t="inlineStr"/>
    </row>
    <row r="376" ht="15" customHeight="1">
      <c r="A376" t="inlineStr">
        <is>
          <t>A 29909-2022</t>
        </is>
      </c>
      <c r="B376" t="inlineStr">
        <is>
          <t>avverkningsanmälan</t>
        </is>
      </c>
      <c r="C376" t="inlineStr">
        <is>
          <t>Föryngringsavverkning</t>
        </is>
      </c>
      <c r="D376" s="1" t="n">
        <v>44756</v>
      </c>
      <c r="E376" s="1" t="n">
        <v>46323</v>
      </c>
      <c r="F376" t="inlineStr">
        <is>
          <t>KALMAR LÄN</t>
        </is>
      </c>
      <c r="G376" t="inlineStr">
        <is>
          <t>VÄSTERVIK</t>
        </is>
      </c>
      <c r="I376" t="n">
        <v>0.8</v>
      </c>
      <c r="J376" t="n">
        <v>0</v>
      </c>
      <c r="K376" t="n">
        <v>0</v>
      </c>
      <c r="L376" t="n">
        <v>0</v>
      </c>
      <c r="M376" t="n">
        <v>0</v>
      </c>
      <c r="N376" t="n">
        <v>0</v>
      </c>
      <c r="O376" t="n">
        <v>0</v>
      </c>
      <c r="P376" t="n">
        <v>0</v>
      </c>
      <c r="Q376" t="n">
        <v>0</v>
      </c>
      <c r="R376" t="n">
        <v>0</v>
      </c>
      <c r="S376" t="n">
        <v>0</v>
      </c>
      <c r="T376" t="n">
        <v>0</v>
      </c>
      <c r="U376" t="n">
        <v>0</v>
      </c>
      <c r="V376" s="2" t="inlineStr"/>
    </row>
    <row r="377" ht="15" customHeight="1">
      <c r="A377" t="inlineStr">
        <is>
          <t>A 17214-2024</t>
        </is>
      </c>
      <c r="B377" t="inlineStr">
        <is>
          <t>avverkningsanmälan</t>
        </is>
      </c>
      <c r="C377" t="inlineStr">
        <is>
          <t>Föryngringsavverkning</t>
        </is>
      </c>
      <c r="D377" s="1" t="n">
        <v>45414</v>
      </c>
      <c r="E377" s="1" t="n">
        <v>46323</v>
      </c>
      <c r="F377" t="inlineStr">
        <is>
          <t>KALMAR LÄN</t>
        </is>
      </c>
      <c r="G377" t="inlineStr">
        <is>
          <t>VÄSTERVIK</t>
        </is>
      </c>
      <c r="I377" t="n">
        <v>0.5</v>
      </c>
      <c r="J377" t="n">
        <v>0</v>
      </c>
      <c r="K377" t="n">
        <v>0</v>
      </c>
      <c r="L377" t="n">
        <v>0</v>
      </c>
      <c r="M377" t="n">
        <v>0</v>
      </c>
      <c r="N377" t="n">
        <v>0</v>
      </c>
      <c r="O377" t="n">
        <v>0</v>
      </c>
      <c r="P377" t="n">
        <v>0</v>
      </c>
      <c r="Q377" t="n">
        <v>0</v>
      </c>
      <c r="R377" t="n">
        <v>0</v>
      </c>
      <c r="S377" t="n">
        <v>0</v>
      </c>
      <c r="T377" t="n">
        <v>0</v>
      </c>
      <c r="U377" t="n">
        <v>0</v>
      </c>
      <c r="V377" s="2" t="inlineStr"/>
    </row>
    <row r="378" ht="15" customHeight="1">
      <c r="A378" t="inlineStr">
        <is>
          <t>A 23580-2023</t>
        </is>
      </c>
      <c r="B378" t="inlineStr">
        <is>
          <t>avverkningsanmälan</t>
        </is>
      </c>
      <c r="C378" t="inlineStr">
        <is>
          <t>Föryngringsavverkning</t>
        </is>
      </c>
      <c r="D378" s="1" t="n">
        <v>45077</v>
      </c>
      <c r="E378" s="1" t="n">
        <v>46323</v>
      </c>
      <c r="F378" t="inlineStr">
        <is>
          <t>KALMAR LÄN</t>
        </is>
      </c>
      <c r="G378" t="inlineStr">
        <is>
          <t>VÄSTERVIK</t>
        </is>
      </c>
      <c r="I378" t="n">
        <v>1.9</v>
      </c>
      <c r="J378" t="n">
        <v>0</v>
      </c>
      <c r="K378" t="n">
        <v>0</v>
      </c>
      <c r="L378" t="n">
        <v>0</v>
      </c>
      <c r="M378" t="n">
        <v>0</v>
      </c>
      <c r="N378" t="n">
        <v>0</v>
      </c>
      <c r="O378" t="n">
        <v>0</v>
      </c>
      <c r="P378" t="n">
        <v>0</v>
      </c>
      <c r="Q378" t="n">
        <v>0</v>
      </c>
      <c r="R378" t="n">
        <v>0</v>
      </c>
      <c r="S378" t="n">
        <v>0</v>
      </c>
      <c r="T378" t="n">
        <v>0</v>
      </c>
      <c r="U378" t="n">
        <v>0</v>
      </c>
      <c r="V378" s="2" t="inlineStr"/>
    </row>
    <row r="379" ht="15" customHeight="1">
      <c r="A379" t="inlineStr">
        <is>
          <t>A 11584-2023</t>
        </is>
      </c>
      <c r="B379" t="inlineStr">
        <is>
          <t>avverkningsanmälan</t>
        </is>
      </c>
      <c r="C379" t="inlineStr">
        <is>
          <t>Föryngringsavverkning</t>
        </is>
      </c>
      <c r="D379" s="1" t="n">
        <v>44994</v>
      </c>
      <c r="E379" s="1" t="n">
        <v>46323</v>
      </c>
      <c r="F379" t="inlineStr">
        <is>
          <t>KALMAR LÄN</t>
        </is>
      </c>
      <c r="G379" t="inlineStr">
        <is>
          <t>VÄSTERVIK</t>
        </is>
      </c>
      <c r="I379" t="n">
        <v>1</v>
      </c>
      <c r="J379" t="n">
        <v>0</v>
      </c>
      <c r="K379" t="n">
        <v>0</v>
      </c>
      <c r="L379" t="n">
        <v>0</v>
      </c>
      <c r="M379" t="n">
        <v>0</v>
      </c>
      <c r="N379" t="n">
        <v>0</v>
      </c>
      <c r="O379" t="n">
        <v>0</v>
      </c>
      <c r="P379" t="n">
        <v>0</v>
      </c>
      <c r="Q379" t="n">
        <v>0</v>
      </c>
      <c r="R379" t="n">
        <v>0</v>
      </c>
      <c r="S379" t="n">
        <v>0</v>
      </c>
      <c r="T379" t="n">
        <v>0</v>
      </c>
      <c r="U379" t="n">
        <v>0</v>
      </c>
      <c r="V379" s="2" t="inlineStr"/>
    </row>
    <row r="380" ht="15" customHeight="1">
      <c r="A380" t="inlineStr">
        <is>
          <t>A 50691-2022</t>
        </is>
      </c>
      <c r="B380" t="inlineStr">
        <is>
          <t>avverkningsanmälan</t>
        </is>
      </c>
      <c r="C380" t="inlineStr">
        <is>
          <t>Föryngringsavverkning</t>
        </is>
      </c>
      <c r="D380" s="1" t="n">
        <v>44867</v>
      </c>
      <c r="E380" s="1" t="n">
        <v>46323</v>
      </c>
      <c r="F380" t="inlineStr">
        <is>
          <t>KALMAR LÄN</t>
        </is>
      </c>
      <c r="G380" t="inlineStr">
        <is>
          <t>VÄSTERVIK</t>
        </is>
      </c>
      <c r="I380" t="n">
        <v>0.7</v>
      </c>
      <c r="J380" t="n">
        <v>0</v>
      </c>
      <c r="K380" t="n">
        <v>0</v>
      </c>
      <c r="L380" t="n">
        <v>0</v>
      </c>
      <c r="M380" t="n">
        <v>0</v>
      </c>
      <c r="N380" t="n">
        <v>0</v>
      </c>
      <c r="O380" t="n">
        <v>0</v>
      </c>
      <c r="P380" t="n">
        <v>0</v>
      </c>
      <c r="Q380" t="n">
        <v>0</v>
      </c>
      <c r="R380" t="n">
        <v>0</v>
      </c>
      <c r="S380" t="n">
        <v>0</v>
      </c>
      <c r="T380" t="n">
        <v>0</v>
      </c>
      <c r="U380" t="n">
        <v>0</v>
      </c>
      <c r="V380" s="2" t="inlineStr"/>
    </row>
    <row r="381" ht="15" customHeight="1">
      <c r="A381" t="inlineStr">
        <is>
          <t>A 15021-2025</t>
        </is>
      </c>
      <c r="B381" t="inlineStr">
        <is>
          <t>avverkningsanmälan</t>
        </is>
      </c>
      <c r="C381" t="inlineStr">
        <is>
          <t>Föryngringsavverkning</t>
        </is>
      </c>
      <c r="D381" s="1" t="n">
        <v>45743</v>
      </c>
      <c r="E381" s="1" t="n">
        <v>46323</v>
      </c>
      <c r="F381" t="inlineStr">
        <is>
          <t>KALMAR LÄN</t>
        </is>
      </c>
      <c r="G381" t="inlineStr">
        <is>
          <t>VÄSTERVIK</t>
        </is>
      </c>
      <c r="I381" t="n">
        <v>0.5</v>
      </c>
      <c r="J381" t="n">
        <v>0</v>
      </c>
      <c r="K381" t="n">
        <v>0</v>
      </c>
      <c r="L381" t="n">
        <v>0</v>
      </c>
      <c r="M381" t="n">
        <v>0</v>
      </c>
      <c r="N381" t="n">
        <v>0</v>
      </c>
      <c r="O381" t="n">
        <v>0</v>
      </c>
      <c r="P381" t="n">
        <v>0</v>
      </c>
      <c r="Q381" t="n">
        <v>0</v>
      </c>
      <c r="R381" t="n">
        <v>0</v>
      </c>
      <c r="S381" t="n">
        <v>0</v>
      </c>
      <c r="T381" t="n">
        <v>0</v>
      </c>
      <c r="U381" t="n">
        <v>0</v>
      </c>
      <c r="V381" s="2" t="inlineStr"/>
    </row>
    <row r="382" ht="15" customHeight="1">
      <c r="A382" t="inlineStr">
        <is>
          <t>A 35961-2023</t>
        </is>
      </c>
      <c r="B382" t="inlineStr">
        <is>
          <t>avverkningsanmälan</t>
        </is>
      </c>
      <c r="C382" t="inlineStr">
        <is>
          <t>Föryngringsavverkning</t>
        </is>
      </c>
      <c r="D382" s="1" t="n">
        <v>45148</v>
      </c>
      <c r="E382" s="1" t="n">
        <v>46323</v>
      </c>
      <c r="F382" t="inlineStr">
        <is>
          <t>KALMAR LÄN</t>
        </is>
      </c>
      <c r="G382" t="inlineStr">
        <is>
          <t>VÄSTERVIK</t>
        </is>
      </c>
      <c r="H382" t="inlineStr">
        <is>
          <t>Sveaskog</t>
        </is>
      </c>
      <c r="I382" t="n">
        <v>0.6</v>
      </c>
      <c r="J382" t="n">
        <v>0</v>
      </c>
      <c r="K382" t="n">
        <v>0</v>
      </c>
      <c r="L382" t="n">
        <v>0</v>
      </c>
      <c r="M382" t="n">
        <v>0</v>
      </c>
      <c r="N382" t="n">
        <v>0</v>
      </c>
      <c r="O382" t="n">
        <v>0</v>
      </c>
      <c r="P382" t="n">
        <v>0</v>
      </c>
      <c r="Q382" t="n">
        <v>0</v>
      </c>
      <c r="R382" t="n">
        <v>0</v>
      </c>
      <c r="S382" t="n">
        <v>0</v>
      </c>
      <c r="T382" t="n">
        <v>0</v>
      </c>
      <c r="U382" t="n">
        <v>0</v>
      </c>
      <c r="V382" s="2" t="inlineStr"/>
    </row>
    <row r="383" ht="15" customHeight="1">
      <c r="A383" t="inlineStr">
        <is>
          <t>A 61317-2021</t>
        </is>
      </c>
      <c r="B383" t="inlineStr">
        <is>
          <t>avverkningsanmälan</t>
        </is>
      </c>
      <c r="C383" t="inlineStr">
        <is>
          <t>Föryngringsavverkning</t>
        </is>
      </c>
      <c r="D383" s="1" t="n">
        <v>44498</v>
      </c>
      <c r="E383" s="1" t="n">
        <v>46323</v>
      </c>
      <c r="F383" t="inlineStr">
        <is>
          <t>KALMAR LÄN</t>
        </is>
      </c>
      <c r="G383" t="inlineStr">
        <is>
          <t>VÄSTERVIK</t>
        </is>
      </c>
      <c r="I383" t="n">
        <v>0.6</v>
      </c>
      <c r="J383" t="n">
        <v>0</v>
      </c>
      <c r="K383" t="n">
        <v>0</v>
      </c>
      <c r="L383" t="n">
        <v>0</v>
      </c>
      <c r="M383" t="n">
        <v>0</v>
      </c>
      <c r="N383" t="n">
        <v>0</v>
      </c>
      <c r="O383" t="n">
        <v>0</v>
      </c>
      <c r="P383" t="n">
        <v>0</v>
      </c>
      <c r="Q383" t="n">
        <v>0</v>
      </c>
      <c r="R383" t="n">
        <v>0</v>
      </c>
      <c r="S383" t="n">
        <v>0</v>
      </c>
      <c r="T383" t="n">
        <v>0</v>
      </c>
      <c r="U383" t="n">
        <v>0</v>
      </c>
      <c r="V383" s="2" t="inlineStr"/>
    </row>
    <row r="384" ht="15" customHeight="1">
      <c r="A384" t="inlineStr">
        <is>
          <t>A 40920-2022</t>
        </is>
      </c>
      <c r="B384" t="inlineStr">
        <is>
          <t>avverkningsanmälan</t>
        </is>
      </c>
      <c r="C384" t="inlineStr">
        <is>
          <t>Föryngringsavverkning</t>
        </is>
      </c>
      <c r="D384" s="1" t="n">
        <v>44825</v>
      </c>
      <c r="E384" s="1" t="n">
        <v>46323</v>
      </c>
      <c r="F384" t="inlineStr">
        <is>
          <t>KALMAR LÄN</t>
        </is>
      </c>
      <c r="G384" t="inlineStr">
        <is>
          <t>VÄSTERVIK</t>
        </is>
      </c>
      <c r="H384" t="inlineStr">
        <is>
          <t>Sveaskog</t>
        </is>
      </c>
      <c r="I384" t="n">
        <v>0.9</v>
      </c>
      <c r="J384" t="n">
        <v>0</v>
      </c>
      <c r="K384" t="n">
        <v>0</v>
      </c>
      <c r="L384" t="n">
        <v>0</v>
      </c>
      <c r="M384" t="n">
        <v>0</v>
      </c>
      <c r="N384" t="n">
        <v>0</v>
      </c>
      <c r="O384" t="n">
        <v>0</v>
      </c>
      <c r="P384" t="n">
        <v>0</v>
      </c>
      <c r="Q384" t="n">
        <v>0</v>
      </c>
      <c r="R384" t="n">
        <v>0</v>
      </c>
      <c r="S384" t="n">
        <v>0</v>
      </c>
      <c r="T384" t="n">
        <v>0</v>
      </c>
      <c r="U384" t="n">
        <v>0</v>
      </c>
      <c r="V384" s="2" t="inlineStr"/>
    </row>
    <row r="385" ht="15" customHeight="1">
      <c r="A385" t="inlineStr">
        <is>
          <t>A 7100-2023</t>
        </is>
      </c>
      <c r="B385" t="inlineStr">
        <is>
          <t>avverkningsanmälan</t>
        </is>
      </c>
      <c r="C385" t="inlineStr">
        <is>
          <t>Föryngringsavverkning</t>
        </is>
      </c>
      <c r="D385" s="1" t="n">
        <v>44970</v>
      </c>
      <c r="E385" s="1" t="n">
        <v>46323</v>
      </c>
      <c r="F385" t="inlineStr">
        <is>
          <t>KALMAR LÄN</t>
        </is>
      </c>
      <c r="G385" t="inlineStr">
        <is>
          <t>VÄSTERVIK</t>
        </is>
      </c>
      <c r="I385" t="n">
        <v>1.7</v>
      </c>
      <c r="J385" t="n">
        <v>0</v>
      </c>
      <c r="K385" t="n">
        <v>0</v>
      </c>
      <c r="L385" t="n">
        <v>0</v>
      </c>
      <c r="M385" t="n">
        <v>0</v>
      </c>
      <c r="N385" t="n">
        <v>0</v>
      </c>
      <c r="O385" t="n">
        <v>0</v>
      </c>
      <c r="P385" t="n">
        <v>0</v>
      </c>
      <c r="Q385" t="n">
        <v>0</v>
      </c>
      <c r="R385" t="n">
        <v>0</v>
      </c>
      <c r="S385" t="n">
        <v>0</v>
      </c>
      <c r="T385" t="n">
        <v>0</v>
      </c>
      <c r="U385" t="n">
        <v>0</v>
      </c>
      <c r="V385" s="2" t="inlineStr"/>
    </row>
    <row r="386" ht="15" customHeight="1">
      <c r="A386" t="inlineStr">
        <is>
          <t>A 24881-2023</t>
        </is>
      </c>
      <c r="B386" t="inlineStr">
        <is>
          <t>avverkningsanmälan</t>
        </is>
      </c>
      <c r="C386" t="inlineStr">
        <is>
          <t>Föryngringsavverkning</t>
        </is>
      </c>
      <c r="D386" s="1" t="n">
        <v>45085</v>
      </c>
      <c r="E386" s="1" t="n">
        <v>46323</v>
      </c>
      <c r="F386" t="inlineStr">
        <is>
          <t>KALMAR LÄN</t>
        </is>
      </c>
      <c r="G386" t="inlineStr">
        <is>
          <t>VÄSTERVIK</t>
        </is>
      </c>
      <c r="H386" t="inlineStr">
        <is>
          <t>Holmen skog AB</t>
        </is>
      </c>
      <c r="I386" t="n">
        <v>1.6</v>
      </c>
      <c r="J386" t="n">
        <v>0</v>
      </c>
      <c r="K386" t="n">
        <v>0</v>
      </c>
      <c r="L386" t="n">
        <v>0</v>
      </c>
      <c r="M386" t="n">
        <v>0</v>
      </c>
      <c r="N386" t="n">
        <v>0</v>
      </c>
      <c r="O386" t="n">
        <v>0</v>
      </c>
      <c r="P386" t="n">
        <v>0</v>
      </c>
      <c r="Q386" t="n">
        <v>0</v>
      </c>
      <c r="R386" t="n">
        <v>0</v>
      </c>
      <c r="S386" t="n">
        <v>0</v>
      </c>
      <c r="T386" t="n">
        <v>0</v>
      </c>
      <c r="U386" t="n">
        <v>0</v>
      </c>
      <c r="V386" s="2" t="inlineStr"/>
    </row>
    <row r="387" ht="15" customHeight="1">
      <c r="A387" t="inlineStr">
        <is>
          <t>A 43199-2024</t>
        </is>
      </c>
      <c r="B387" t="inlineStr">
        <is>
          <t>avverkningsanmälan</t>
        </is>
      </c>
      <c r="C387" t="inlineStr">
        <is>
          <t>Föryngringsavverkning</t>
        </is>
      </c>
      <c r="D387" s="1" t="n">
        <v>45567</v>
      </c>
      <c r="E387" s="1" t="n">
        <v>46323</v>
      </c>
      <c r="F387" t="inlineStr">
        <is>
          <t>KALMAR LÄN</t>
        </is>
      </c>
      <c r="G387" t="inlineStr">
        <is>
          <t>VÄSTERVIK</t>
        </is>
      </c>
      <c r="I387" t="n">
        <v>1.8</v>
      </c>
      <c r="J387" t="n">
        <v>0</v>
      </c>
      <c r="K387" t="n">
        <v>0</v>
      </c>
      <c r="L387" t="n">
        <v>0</v>
      </c>
      <c r="M387" t="n">
        <v>0</v>
      </c>
      <c r="N387" t="n">
        <v>0</v>
      </c>
      <c r="O387" t="n">
        <v>0</v>
      </c>
      <c r="P387" t="n">
        <v>0</v>
      </c>
      <c r="Q387" t="n">
        <v>0</v>
      </c>
      <c r="R387" t="n">
        <v>0</v>
      </c>
      <c r="S387" t="n">
        <v>0</v>
      </c>
      <c r="T387" t="n">
        <v>0</v>
      </c>
      <c r="U387" t="n">
        <v>0</v>
      </c>
      <c r="V387" s="2" t="inlineStr"/>
    </row>
    <row r="388" ht="15" customHeight="1">
      <c r="A388" t="inlineStr">
        <is>
          <t>A 6346-2023</t>
        </is>
      </c>
      <c r="B388" t="inlineStr">
        <is>
          <t>avverkningsanmälan</t>
        </is>
      </c>
      <c r="C388" t="inlineStr">
        <is>
          <t>Föryngringsavverkning</t>
        </is>
      </c>
      <c r="D388" s="1" t="n">
        <v>44960</v>
      </c>
      <c r="E388" s="1" t="n">
        <v>46323</v>
      </c>
      <c r="F388" t="inlineStr">
        <is>
          <t>KALMAR LÄN</t>
        </is>
      </c>
      <c r="G388" t="inlineStr">
        <is>
          <t>VÄSTERVIK</t>
        </is>
      </c>
      <c r="I388" t="n">
        <v>4.5</v>
      </c>
      <c r="J388" t="n">
        <v>0</v>
      </c>
      <c r="K388" t="n">
        <v>0</v>
      </c>
      <c r="L388" t="n">
        <v>0</v>
      </c>
      <c r="M388" t="n">
        <v>0</v>
      </c>
      <c r="N388" t="n">
        <v>0</v>
      </c>
      <c r="O388" t="n">
        <v>0</v>
      </c>
      <c r="P388" t="n">
        <v>0</v>
      </c>
      <c r="Q388" t="n">
        <v>0</v>
      </c>
      <c r="R388" t="n">
        <v>0</v>
      </c>
      <c r="S388" t="n">
        <v>0</v>
      </c>
      <c r="T388" t="n">
        <v>0</v>
      </c>
      <c r="U388" t="n">
        <v>0</v>
      </c>
      <c r="V388" s="2" t="inlineStr"/>
    </row>
    <row r="389" ht="15" customHeight="1">
      <c r="A389" t="inlineStr">
        <is>
          <t>A 32647-2023</t>
        </is>
      </c>
      <c r="B389" t="inlineStr">
        <is>
          <t>avverkningsanmälan</t>
        </is>
      </c>
      <c r="C389" t="inlineStr">
        <is>
          <t>Föryngringsavverkning</t>
        </is>
      </c>
      <c r="D389" s="1" t="n">
        <v>45121</v>
      </c>
      <c r="E389" s="1" t="n">
        <v>46323</v>
      </c>
      <c r="F389" t="inlineStr">
        <is>
          <t>KALMAR LÄN</t>
        </is>
      </c>
      <c r="G389" t="inlineStr">
        <is>
          <t>VÄSTERVIK</t>
        </is>
      </c>
      <c r="I389" t="n">
        <v>0.9</v>
      </c>
      <c r="J389" t="n">
        <v>0</v>
      </c>
      <c r="K389" t="n">
        <v>0</v>
      </c>
      <c r="L389" t="n">
        <v>0</v>
      </c>
      <c r="M389" t="n">
        <v>0</v>
      </c>
      <c r="N389" t="n">
        <v>0</v>
      </c>
      <c r="O389" t="n">
        <v>0</v>
      </c>
      <c r="P389" t="n">
        <v>0</v>
      </c>
      <c r="Q389" t="n">
        <v>0</v>
      </c>
      <c r="R389" t="n">
        <v>0</v>
      </c>
      <c r="S389" t="n">
        <v>0</v>
      </c>
      <c r="T389" t="n">
        <v>0</v>
      </c>
      <c r="U389" t="n">
        <v>0</v>
      </c>
      <c r="V389" s="2" t="inlineStr"/>
    </row>
    <row r="390" ht="15" customHeight="1">
      <c r="A390" t="inlineStr">
        <is>
          <t>A 1785-2025</t>
        </is>
      </c>
      <c r="B390" t="inlineStr">
        <is>
          <t>avverkningsanmälan</t>
        </is>
      </c>
      <c r="C390" t="inlineStr">
        <is>
          <t>Föryngringsavverkning</t>
        </is>
      </c>
      <c r="D390" s="1" t="n">
        <v>45671</v>
      </c>
      <c r="E390" s="1" t="n">
        <v>46323</v>
      </c>
      <c r="F390" t="inlineStr">
        <is>
          <t>KALMAR LÄN</t>
        </is>
      </c>
      <c r="G390" t="inlineStr">
        <is>
          <t>VÄSTERVIK</t>
        </is>
      </c>
      <c r="H390" t="inlineStr">
        <is>
          <t>Sveaskog</t>
        </is>
      </c>
      <c r="I390" t="n">
        <v>2.8</v>
      </c>
      <c r="J390" t="n">
        <v>0</v>
      </c>
      <c r="K390" t="n">
        <v>0</v>
      </c>
      <c r="L390" t="n">
        <v>0</v>
      </c>
      <c r="M390" t="n">
        <v>0</v>
      </c>
      <c r="N390" t="n">
        <v>0</v>
      </c>
      <c r="O390" t="n">
        <v>0</v>
      </c>
      <c r="P390" t="n">
        <v>0</v>
      </c>
      <c r="Q390" t="n">
        <v>0</v>
      </c>
      <c r="R390" t="n">
        <v>0</v>
      </c>
      <c r="S390" t="n">
        <v>0</v>
      </c>
      <c r="T390" t="n">
        <v>0</v>
      </c>
      <c r="U390" t="n">
        <v>0</v>
      </c>
      <c r="V390" s="2" t="inlineStr"/>
    </row>
    <row r="391" ht="15" customHeight="1">
      <c r="A391" t="inlineStr">
        <is>
          <t>A 959-2022</t>
        </is>
      </c>
      <c r="B391" t="inlineStr">
        <is>
          <t>avverkningsanmälan</t>
        </is>
      </c>
      <c r="C391" t="inlineStr">
        <is>
          <t>Föryngringsavverkning</t>
        </is>
      </c>
      <c r="D391" s="1" t="n">
        <v>44571</v>
      </c>
      <c r="E391" s="1" t="n">
        <v>46323</v>
      </c>
      <c r="F391" t="inlineStr">
        <is>
          <t>KALMAR LÄN</t>
        </is>
      </c>
      <c r="G391" t="inlineStr">
        <is>
          <t>VÄSTERVIK</t>
        </is>
      </c>
      <c r="I391" t="n">
        <v>2.5</v>
      </c>
      <c r="J391" t="n">
        <v>0</v>
      </c>
      <c r="K391" t="n">
        <v>0</v>
      </c>
      <c r="L391" t="n">
        <v>0</v>
      </c>
      <c r="M391" t="n">
        <v>0</v>
      </c>
      <c r="N391" t="n">
        <v>0</v>
      </c>
      <c r="O391" t="n">
        <v>0</v>
      </c>
      <c r="P391" t="n">
        <v>0</v>
      </c>
      <c r="Q391" t="n">
        <v>0</v>
      </c>
      <c r="R391" t="n">
        <v>0</v>
      </c>
      <c r="S391" t="n">
        <v>0</v>
      </c>
      <c r="T391" t="n">
        <v>0</v>
      </c>
      <c r="U391" t="n">
        <v>0</v>
      </c>
      <c r="V391" s="2" t="inlineStr"/>
    </row>
    <row r="392" ht="15" customHeight="1">
      <c r="A392" t="inlineStr">
        <is>
          <t>A 24584-2024</t>
        </is>
      </c>
      <c r="B392" t="inlineStr">
        <is>
          <t>avverkningsanmälan</t>
        </is>
      </c>
      <c r="C392" t="inlineStr">
        <is>
          <t>Föryngringsavverkning</t>
        </is>
      </c>
      <c r="D392" s="1" t="n">
        <v>45460</v>
      </c>
      <c r="E392" s="1" t="n">
        <v>46323</v>
      </c>
      <c r="F392" t="inlineStr">
        <is>
          <t>KALMAR LÄN</t>
        </is>
      </c>
      <c r="G392" t="inlineStr">
        <is>
          <t>VÄSTERVIK</t>
        </is>
      </c>
      <c r="I392" t="n">
        <v>1.5</v>
      </c>
      <c r="J392" t="n">
        <v>0</v>
      </c>
      <c r="K392" t="n">
        <v>0</v>
      </c>
      <c r="L392" t="n">
        <v>0</v>
      </c>
      <c r="M392" t="n">
        <v>0</v>
      </c>
      <c r="N392" t="n">
        <v>0</v>
      </c>
      <c r="O392" t="n">
        <v>0</v>
      </c>
      <c r="P392" t="n">
        <v>0</v>
      </c>
      <c r="Q392" t="n">
        <v>0</v>
      </c>
      <c r="R392" t="n">
        <v>0</v>
      </c>
      <c r="S392" t="n">
        <v>0</v>
      </c>
      <c r="T392" t="n">
        <v>0</v>
      </c>
      <c r="U392" t="n">
        <v>0</v>
      </c>
      <c r="V392" s="2" t="inlineStr"/>
    </row>
    <row r="393" ht="15" customHeight="1">
      <c r="A393" t="inlineStr">
        <is>
          <t>A 9037-2023</t>
        </is>
      </c>
      <c r="B393" t="inlineStr">
        <is>
          <t>avverkningsanmälan</t>
        </is>
      </c>
      <c r="C393" t="inlineStr">
        <is>
          <t>Föryngringsavverkning</t>
        </is>
      </c>
      <c r="D393" s="1" t="n">
        <v>44979</v>
      </c>
      <c r="E393" s="1" t="n">
        <v>46323</v>
      </c>
      <c r="F393" t="inlineStr">
        <is>
          <t>KALMAR LÄN</t>
        </is>
      </c>
      <c r="G393" t="inlineStr">
        <is>
          <t>VÄSTERVIK</t>
        </is>
      </c>
      <c r="I393" t="n">
        <v>1.1</v>
      </c>
      <c r="J393" t="n">
        <v>0</v>
      </c>
      <c r="K393" t="n">
        <v>0</v>
      </c>
      <c r="L393" t="n">
        <v>0</v>
      </c>
      <c r="M393" t="n">
        <v>0</v>
      </c>
      <c r="N393" t="n">
        <v>0</v>
      </c>
      <c r="O393" t="n">
        <v>0</v>
      </c>
      <c r="P393" t="n">
        <v>0</v>
      </c>
      <c r="Q393" t="n">
        <v>0</v>
      </c>
      <c r="R393" t="n">
        <v>0</v>
      </c>
      <c r="S393" t="n">
        <v>0</v>
      </c>
      <c r="T393" t="n">
        <v>0</v>
      </c>
      <c r="U393" t="n">
        <v>0</v>
      </c>
      <c r="V393" s="2" t="inlineStr"/>
    </row>
    <row r="394" ht="15" customHeight="1">
      <c r="A394" t="inlineStr">
        <is>
          <t>A 32764-2022</t>
        </is>
      </c>
      <c r="B394" t="inlineStr">
        <is>
          <t>avverkningsanmälan</t>
        </is>
      </c>
      <c r="C394" t="inlineStr">
        <is>
          <t>Föryngringsavverkning</t>
        </is>
      </c>
      <c r="D394" s="1" t="n">
        <v>44783</v>
      </c>
      <c r="E394" s="1" t="n">
        <v>46323</v>
      </c>
      <c r="F394" t="inlineStr">
        <is>
          <t>KALMAR LÄN</t>
        </is>
      </c>
      <c r="G394" t="inlineStr">
        <is>
          <t>VÄSTERVIK</t>
        </is>
      </c>
      <c r="I394" t="n">
        <v>1</v>
      </c>
      <c r="J394" t="n">
        <v>0</v>
      </c>
      <c r="K394" t="n">
        <v>0</v>
      </c>
      <c r="L394" t="n">
        <v>0</v>
      </c>
      <c r="M394" t="n">
        <v>0</v>
      </c>
      <c r="N394" t="n">
        <v>0</v>
      </c>
      <c r="O394" t="n">
        <v>0</v>
      </c>
      <c r="P394" t="n">
        <v>0</v>
      </c>
      <c r="Q394" t="n">
        <v>0</v>
      </c>
      <c r="R394" t="n">
        <v>0</v>
      </c>
      <c r="S394" t="n">
        <v>0</v>
      </c>
      <c r="T394" t="n">
        <v>0</v>
      </c>
      <c r="U394" t="n">
        <v>0</v>
      </c>
      <c r="V394" s="2" t="inlineStr"/>
    </row>
    <row r="395" ht="15" customHeight="1">
      <c r="A395" t="inlineStr">
        <is>
          <t>A 4624-2023</t>
        </is>
      </c>
      <c r="B395" t="inlineStr">
        <is>
          <t>avverkningsanmälan</t>
        </is>
      </c>
      <c r="C395" t="inlineStr">
        <is>
          <t>Föryngringsavverkning</t>
        </is>
      </c>
      <c r="D395" s="1" t="n">
        <v>44956</v>
      </c>
      <c r="E395" s="1" t="n">
        <v>46323</v>
      </c>
      <c r="F395" t="inlineStr">
        <is>
          <t>KALMAR LÄN</t>
        </is>
      </c>
      <c r="G395" t="inlineStr">
        <is>
          <t>VÄSTERVIK</t>
        </is>
      </c>
      <c r="H395" t="inlineStr">
        <is>
          <t>Holmen skog AB</t>
        </is>
      </c>
      <c r="I395" t="n">
        <v>7.1</v>
      </c>
      <c r="J395" t="n">
        <v>0</v>
      </c>
      <c r="K395" t="n">
        <v>0</v>
      </c>
      <c r="L395" t="n">
        <v>0</v>
      </c>
      <c r="M395" t="n">
        <v>0</v>
      </c>
      <c r="N395" t="n">
        <v>0</v>
      </c>
      <c r="O395" t="n">
        <v>0</v>
      </c>
      <c r="P395" t="n">
        <v>0</v>
      </c>
      <c r="Q395" t="n">
        <v>0</v>
      </c>
      <c r="R395" t="n">
        <v>0</v>
      </c>
      <c r="S395" t="n">
        <v>0</v>
      </c>
      <c r="T395" t="n">
        <v>0</v>
      </c>
      <c r="U395" t="n">
        <v>0</v>
      </c>
      <c r="V395" s="2" t="inlineStr"/>
    </row>
    <row r="396" ht="15" customHeight="1">
      <c r="A396" t="inlineStr">
        <is>
          <t>A 50086-2023</t>
        </is>
      </c>
      <c r="B396" t="inlineStr">
        <is>
          <t>avverkningsanmälan</t>
        </is>
      </c>
      <c r="C396" t="inlineStr">
        <is>
          <t>Föryngringsavverkning</t>
        </is>
      </c>
      <c r="D396" s="1" t="n">
        <v>45215</v>
      </c>
      <c r="E396" s="1" t="n">
        <v>46323</v>
      </c>
      <c r="F396" t="inlineStr">
        <is>
          <t>KALMAR LÄN</t>
        </is>
      </c>
      <c r="G396" t="inlineStr">
        <is>
          <t>VÄSTERVIK</t>
        </is>
      </c>
      <c r="I396" t="n">
        <v>1.4</v>
      </c>
      <c r="J396" t="n">
        <v>0</v>
      </c>
      <c r="K396" t="n">
        <v>0</v>
      </c>
      <c r="L396" t="n">
        <v>0</v>
      </c>
      <c r="M396" t="n">
        <v>0</v>
      </c>
      <c r="N396" t="n">
        <v>0</v>
      </c>
      <c r="O396" t="n">
        <v>0</v>
      </c>
      <c r="P396" t="n">
        <v>0</v>
      </c>
      <c r="Q396" t="n">
        <v>0</v>
      </c>
      <c r="R396" t="n">
        <v>0</v>
      </c>
      <c r="S396" t="n">
        <v>0</v>
      </c>
      <c r="T396" t="n">
        <v>0</v>
      </c>
      <c r="U396" t="n">
        <v>0</v>
      </c>
      <c r="V396" s="2" t="inlineStr"/>
    </row>
    <row r="397" ht="15" customHeight="1">
      <c r="A397" t="inlineStr">
        <is>
          <t>A 13275-2023</t>
        </is>
      </c>
      <c r="B397" t="inlineStr">
        <is>
          <t>avverkningsanmälan</t>
        </is>
      </c>
      <c r="C397" t="inlineStr">
        <is>
          <t>Föryngringsavverkning</t>
        </is>
      </c>
      <c r="D397" s="1" t="n">
        <v>45003</v>
      </c>
      <c r="E397" s="1" t="n">
        <v>46323</v>
      </c>
      <c r="F397" t="inlineStr">
        <is>
          <t>KALMAR LÄN</t>
        </is>
      </c>
      <c r="G397" t="inlineStr">
        <is>
          <t>VÄSTERVIK</t>
        </is>
      </c>
      <c r="I397" t="n">
        <v>1.6</v>
      </c>
      <c r="J397" t="n">
        <v>0</v>
      </c>
      <c r="K397" t="n">
        <v>0</v>
      </c>
      <c r="L397" t="n">
        <v>0</v>
      </c>
      <c r="M397" t="n">
        <v>0</v>
      </c>
      <c r="N397" t="n">
        <v>0</v>
      </c>
      <c r="O397" t="n">
        <v>0</v>
      </c>
      <c r="P397" t="n">
        <v>0</v>
      </c>
      <c r="Q397" t="n">
        <v>0</v>
      </c>
      <c r="R397" t="n">
        <v>0</v>
      </c>
      <c r="S397" t="n">
        <v>0</v>
      </c>
      <c r="T397" t="n">
        <v>0</v>
      </c>
      <c r="U397" t="n">
        <v>0</v>
      </c>
      <c r="V397" s="2" t="inlineStr"/>
      <c r="Z397">
        <f>HYPERLINK("https://klasma.github.io/Logging_0883/knärot/A 13275-2023 karta knärot.png", "A 13275-2023")</f>
        <v/>
      </c>
      <c r="AA397">
        <f>HYPERLINK("https://klasma.github.io/Logging_0883/klagomål/A 13275-2023 FSC-klagomål.docx", "A 13275-2023")</f>
        <v/>
      </c>
      <c r="AB397">
        <f>HYPERLINK("https://klasma.github.io/Logging_0883/klagomålsmail/A 13275-2023 FSC-klagomål mail.docx", "A 13275-2023")</f>
        <v/>
      </c>
      <c r="AC397">
        <f>HYPERLINK("https://klasma.github.io/Logging_0883/tillsyn/A 13275-2023 tillsynsbegäran.docx", "A 13275-2023")</f>
        <v/>
      </c>
      <c r="AD397">
        <f>HYPERLINK("https://klasma.github.io/Logging_0883/tillsynsmail/A 13275-2023 tillsynsbegäran mail.docx", "A 13275-2023")</f>
        <v/>
      </c>
    </row>
    <row r="398" ht="15" customHeight="1">
      <c r="A398" t="inlineStr">
        <is>
          <t>A 3185-2023</t>
        </is>
      </c>
      <c r="B398" t="inlineStr">
        <is>
          <t>avverkningsanmälan</t>
        </is>
      </c>
      <c r="C398" t="inlineStr">
        <is>
          <t>Föryngringsavverkning</t>
        </is>
      </c>
      <c r="D398" s="1" t="n">
        <v>44946</v>
      </c>
      <c r="E398" s="1" t="n">
        <v>46323</v>
      </c>
      <c r="F398" t="inlineStr">
        <is>
          <t>KALMAR LÄN</t>
        </is>
      </c>
      <c r="G398" t="inlineStr">
        <is>
          <t>VÄSTERVIK</t>
        </is>
      </c>
      <c r="I398" t="n">
        <v>0.9</v>
      </c>
      <c r="J398" t="n">
        <v>0</v>
      </c>
      <c r="K398" t="n">
        <v>0</v>
      </c>
      <c r="L398" t="n">
        <v>0</v>
      </c>
      <c r="M398" t="n">
        <v>0</v>
      </c>
      <c r="N398" t="n">
        <v>0</v>
      </c>
      <c r="O398" t="n">
        <v>0</v>
      </c>
      <c r="P398" t="n">
        <v>0</v>
      </c>
      <c r="Q398" t="n">
        <v>0</v>
      </c>
      <c r="R398" t="n">
        <v>0</v>
      </c>
      <c r="S398" t="n">
        <v>0</v>
      </c>
      <c r="T398" t="n">
        <v>0</v>
      </c>
      <c r="U398" t="n">
        <v>0</v>
      </c>
      <c r="V398" s="2" t="inlineStr"/>
    </row>
    <row r="399" ht="15" customHeight="1">
      <c r="A399" t="inlineStr">
        <is>
          <t>A 43759-2023</t>
        </is>
      </c>
      <c r="B399" t="inlineStr">
        <is>
          <t>avverkningsanmälan</t>
        </is>
      </c>
      <c r="C399" t="inlineStr">
        <is>
          <t>Föryngringsavverkning</t>
        </is>
      </c>
      <c r="D399" s="1" t="n">
        <v>45187</v>
      </c>
      <c r="E399" s="1" t="n">
        <v>46323</v>
      </c>
      <c r="F399" t="inlineStr">
        <is>
          <t>KALMAR LÄN</t>
        </is>
      </c>
      <c r="G399" t="inlineStr">
        <is>
          <t>VÄSTERVIK</t>
        </is>
      </c>
      <c r="I399" t="n">
        <v>3.3</v>
      </c>
      <c r="J399" t="n">
        <v>0</v>
      </c>
      <c r="K399" t="n">
        <v>0</v>
      </c>
      <c r="L399" t="n">
        <v>0</v>
      </c>
      <c r="M399" t="n">
        <v>0</v>
      </c>
      <c r="N399" t="n">
        <v>0</v>
      </c>
      <c r="O399" t="n">
        <v>0</v>
      </c>
      <c r="P399" t="n">
        <v>0</v>
      </c>
      <c r="Q399" t="n">
        <v>0</v>
      </c>
      <c r="R399" t="n">
        <v>0</v>
      </c>
      <c r="S399" t="n">
        <v>0</v>
      </c>
      <c r="T399" t="n">
        <v>0</v>
      </c>
      <c r="U399" t="n">
        <v>0</v>
      </c>
      <c r="V399" s="2" t="inlineStr"/>
    </row>
    <row r="400" ht="15" customHeight="1">
      <c r="A400" t="inlineStr">
        <is>
          <t>A 9042-2023</t>
        </is>
      </c>
      <c r="B400" t="inlineStr">
        <is>
          <t>avverkningsanmälan</t>
        </is>
      </c>
      <c r="C400" t="inlineStr">
        <is>
          <t>Föryngringsavverkning</t>
        </is>
      </c>
      <c r="D400" s="1" t="n">
        <v>44979</v>
      </c>
      <c r="E400" s="1" t="n">
        <v>46323</v>
      </c>
      <c r="F400" t="inlineStr">
        <is>
          <t>KALMAR LÄN</t>
        </is>
      </c>
      <c r="G400" t="inlineStr">
        <is>
          <t>VÄSTERVIK</t>
        </is>
      </c>
      <c r="I400" t="n">
        <v>1.7</v>
      </c>
      <c r="J400" t="n">
        <v>0</v>
      </c>
      <c r="K400" t="n">
        <v>0</v>
      </c>
      <c r="L400" t="n">
        <v>0</v>
      </c>
      <c r="M400" t="n">
        <v>0</v>
      </c>
      <c r="N400" t="n">
        <v>0</v>
      </c>
      <c r="O400" t="n">
        <v>0</v>
      </c>
      <c r="P400" t="n">
        <v>0</v>
      </c>
      <c r="Q400" t="n">
        <v>0</v>
      </c>
      <c r="R400" t="n">
        <v>0</v>
      </c>
      <c r="S400" t="n">
        <v>0</v>
      </c>
      <c r="T400" t="n">
        <v>0</v>
      </c>
      <c r="U400" t="n">
        <v>0</v>
      </c>
      <c r="V400" s="2" t="inlineStr"/>
    </row>
    <row r="401" ht="15" customHeight="1">
      <c r="A401" t="inlineStr">
        <is>
          <t>A 69753-2021</t>
        </is>
      </c>
      <c r="B401" t="inlineStr">
        <is>
          <t>avverkningsanmälan</t>
        </is>
      </c>
      <c r="C401" t="inlineStr">
        <is>
          <t>Föryngringsavverkning</t>
        </is>
      </c>
      <c r="D401" s="1" t="n">
        <v>44532</v>
      </c>
      <c r="E401" s="1" t="n">
        <v>46323</v>
      </c>
      <c r="F401" t="inlineStr">
        <is>
          <t>KALMAR LÄN</t>
        </is>
      </c>
      <c r="G401" t="inlineStr">
        <is>
          <t>VÄSTERVIK</t>
        </is>
      </c>
      <c r="I401" t="n">
        <v>3.2</v>
      </c>
      <c r="J401" t="n">
        <v>0</v>
      </c>
      <c r="K401" t="n">
        <v>0</v>
      </c>
      <c r="L401" t="n">
        <v>0</v>
      </c>
      <c r="M401" t="n">
        <v>0</v>
      </c>
      <c r="N401" t="n">
        <v>0</v>
      </c>
      <c r="O401" t="n">
        <v>0</v>
      </c>
      <c r="P401" t="n">
        <v>0</v>
      </c>
      <c r="Q401" t="n">
        <v>0</v>
      </c>
      <c r="R401" t="n">
        <v>0</v>
      </c>
      <c r="S401" t="n">
        <v>0</v>
      </c>
      <c r="T401" t="n">
        <v>0</v>
      </c>
      <c r="U401" t="n">
        <v>0</v>
      </c>
      <c r="V401" s="2" t="inlineStr"/>
    </row>
    <row r="402" ht="15" customHeight="1">
      <c r="A402" t="inlineStr">
        <is>
          <t>A 2098-2023</t>
        </is>
      </c>
      <c r="B402" t="inlineStr">
        <is>
          <t>avverkningsanmälan</t>
        </is>
      </c>
      <c r="C402" t="inlineStr">
        <is>
          <t>Föryngringsavverkning</t>
        </is>
      </c>
      <c r="D402" s="1" t="n">
        <v>44939</v>
      </c>
      <c r="E402" s="1" t="n">
        <v>46323</v>
      </c>
      <c r="F402" t="inlineStr">
        <is>
          <t>KALMAR LÄN</t>
        </is>
      </c>
      <c r="G402" t="inlineStr">
        <is>
          <t>VÄSTERVIK</t>
        </is>
      </c>
      <c r="I402" t="n">
        <v>1.9</v>
      </c>
      <c r="J402" t="n">
        <v>0</v>
      </c>
      <c r="K402" t="n">
        <v>0</v>
      </c>
      <c r="L402" t="n">
        <v>0</v>
      </c>
      <c r="M402" t="n">
        <v>0</v>
      </c>
      <c r="N402" t="n">
        <v>0</v>
      </c>
      <c r="O402" t="n">
        <v>0</v>
      </c>
      <c r="P402" t="n">
        <v>0</v>
      </c>
      <c r="Q402" t="n">
        <v>0</v>
      </c>
      <c r="R402" t="n">
        <v>0</v>
      </c>
      <c r="S402" t="n">
        <v>0</v>
      </c>
      <c r="T402" t="n">
        <v>0</v>
      </c>
      <c r="U402" t="n">
        <v>0</v>
      </c>
      <c r="V402" s="2" t="inlineStr"/>
    </row>
    <row r="403" ht="15" customHeight="1">
      <c r="A403" t="inlineStr">
        <is>
          <t>A 45450-2023</t>
        </is>
      </c>
      <c r="B403" t="inlineStr">
        <is>
          <t>avverkningsanmälan</t>
        </is>
      </c>
      <c r="C403" t="inlineStr">
        <is>
          <t>Föryngringsavverkning</t>
        </is>
      </c>
      <c r="D403" s="1" t="n">
        <v>45194</v>
      </c>
      <c r="E403" s="1" t="n">
        <v>46323</v>
      </c>
      <c r="F403" t="inlineStr">
        <is>
          <t>KALMAR LÄN</t>
        </is>
      </c>
      <c r="G403" t="inlineStr">
        <is>
          <t>VÄSTERVIK</t>
        </is>
      </c>
      <c r="H403" t="inlineStr">
        <is>
          <t>Holmen skog AB</t>
        </is>
      </c>
      <c r="I403" t="n">
        <v>1.5</v>
      </c>
      <c r="J403" t="n">
        <v>0</v>
      </c>
      <c r="K403" t="n">
        <v>0</v>
      </c>
      <c r="L403" t="n">
        <v>0</v>
      </c>
      <c r="M403" t="n">
        <v>0</v>
      </c>
      <c r="N403" t="n">
        <v>0</v>
      </c>
      <c r="O403" t="n">
        <v>0</v>
      </c>
      <c r="P403" t="n">
        <v>0</v>
      </c>
      <c r="Q403" t="n">
        <v>0</v>
      </c>
      <c r="R403" t="n">
        <v>0</v>
      </c>
      <c r="S403" t="n">
        <v>0</v>
      </c>
      <c r="T403" t="n">
        <v>0</v>
      </c>
      <c r="U403" t="n">
        <v>0</v>
      </c>
      <c r="V403" s="2" t="inlineStr"/>
    </row>
    <row r="404" ht="15" customHeight="1">
      <c r="A404" t="inlineStr">
        <is>
          <t>A 45474-2023</t>
        </is>
      </c>
      <c r="B404" t="inlineStr">
        <is>
          <t>avverkningsanmälan</t>
        </is>
      </c>
      <c r="C404" t="inlineStr">
        <is>
          <t>Föryngringsavverkning</t>
        </is>
      </c>
      <c r="D404" s="1" t="n">
        <v>45194</v>
      </c>
      <c r="E404" s="1" t="n">
        <v>46323</v>
      </c>
      <c r="F404" t="inlineStr">
        <is>
          <t>KALMAR LÄN</t>
        </is>
      </c>
      <c r="G404" t="inlineStr">
        <is>
          <t>VÄSTERVIK</t>
        </is>
      </c>
      <c r="H404" t="inlineStr">
        <is>
          <t>Holmen skog AB</t>
        </is>
      </c>
      <c r="I404" t="n">
        <v>1.9</v>
      </c>
      <c r="J404" t="n">
        <v>0</v>
      </c>
      <c r="K404" t="n">
        <v>0</v>
      </c>
      <c r="L404" t="n">
        <v>0</v>
      </c>
      <c r="M404" t="n">
        <v>0</v>
      </c>
      <c r="N404" t="n">
        <v>0</v>
      </c>
      <c r="O404" t="n">
        <v>0</v>
      </c>
      <c r="P404" t="n">
        <v>0</v>
      </c>
      <c r="Q404" t="n">
        <v>0</v>
      </c>
      <c r="R404" t="n">
        <v>0</v>
      </c>
      <c r="S404" t="n">
        <v>0</v>
      </c>
      <c r="T404" t="n">
        <v>0</v>
      </c>
      <c r="U404" t="n">
        <v>0</v>
      </c>
      <c r="V404" s="2" t="inlineStr"/>
    </row>
    <row r="405" ht="15" customHeight="1">
      <c r="A405" t="inlineStr">
        <is>
          <t>A 61728-2023</t>
        </is>
      </c>
      <c r="B405" t="inlineStr">
        <is>
          <t>avverkningsanmälan</t>
        </is>
      </c>
      <c r="C405" t="inlineStr">
        <is>
          <t>Föryngringsavverkning</t>
        </is>
      </c>
      <c r="D405" s="1" t="n">
        <v>45265</v>
      </c>
      <c r="E405" s="1" t="n">
        <v>46323</v>
      </c>
      <c r="F405" t="inlineStr">
        <is>
          <t>KALMAR LÄN</t>
        </is>
      </c>
      <c r="G405" t="inlineStr">
        <is>
          <t>VÄSTERVIK</t>
        </is>
      </c>
      <c r="I405" t="n">
        <v>1.9</v>
      </c>
      <c r="J405" t="n">
        <v>0</v>
      </c>
      <c r="K405" t="n">
        <v>0</v>
      </c>
      <c r="L405" t="n">
        <v>0</v>
      </c>
      <c r="M405" t="n">
        <v>0</v>
      </c>
      <c r="N405" t="n">
        <v>0</v>
      </c>
      <c r="O405" t="n">
        <v>0</v>
      </c>
      <c r="P405" t="n">
        <v>0</v>
      </c>
      <c r="Q405" t="n">
        <v>0</v>
      </c>
      <c r="R405" t="n">
        <v>0</v>
      </c>
      <c r="S405" t="n">
        <v>0</v>
      </c>
      <c r="T405" t="n">
        <v>0</v>
      </c>
      <c r="U405" t="n">
        <v>0</v>
      </c>
      <c r="V405" s="2" t="inlineStr"/>
    </row>
    <row r="406" ht="15" customHeight="1">
      <c r="A406" t="inlineStr">
        <is>
          <t>A 4520-2024</t>
        </is>
      </c>
      <c r="B406" t="inlineStr">
        <is>
          <t>avverkningsanmälan</t>
        </is>
      </c>
      <c r="C406" t="inlineStr">
        <is>
          <t>Föryngringsavverkning</t>
        </is>
      </c>
      <c r="D406" s="1" t="n">
        <v>45327</v>
      </c>
      <c r="E406" s="1" t="n">
        <v>46323</v>
      </c>
      <c r="F406" t="inlineStr">
        <is>
          <t>KALMAR LÄN</t>
        </is>
      </c>
      <c r="G406" t="inlineStr">
        <is>
          <t>VÄSTERVIK</t>
        </is>
      </c>
      <c r="I406" t="n">
        <v>0.5</v>
      </c>
      <c r="J406" t="n">
        <v>0</v>
      </c>
      <c r="K406" t="n">
        <v>0</v>
      </c>
      <c r="L406" t="n">
        <v>0</v>
      </c>
      <c r="M406" t="n">
        <v>0</v>
      </c>
      <c r="N406" t="n">
        <v>0</v>
      </c>
      <c r="O406" t="n">
        <v>0</v>
      </c>
      <c r="P406" t="n">
        <v>0</v>
      </c>
      <c r="Q406" t="n">
        <v>0</v>
      </c>
      <c r="R406" t="n">
        <v>0</v>
      </c>
      <c r="S406" t="n">
        <v>0</v>
      </c>
      <c r="T406" t="n">
        <v>0</v>
      </c>
      <c r="U406" t="n">
        <v>0</v>
      </c>
      <c r="V406" s="2" t="inlineStr"/>
    </row>
    <row r="407" ht="15" customHeight="1">
      <c r="A407" t="inlineStr">
        <is>
          <t>A 33204-2022</t>
        </is>
      </c>
      <c r="B407" t="inlineStr">
        <is>
          <t>avverkningsanmälan</t>
        </is>
      </c>
      <c r="C407" t="inlineStr">
        <is>
          <t>Föryngringsavverkning</t>
        </is>
      </c>
      <c r="D407" s="1" t="n">
        <v>44785</v>
      </c>
      <c r="E407" s="1" t="n">
        <v>46323</v>
      </c>
      <c r="F407" t="inlineStr">
        <is>
          <t>KALMAR LÄN</t>
        </is>
      </c>
      <c r="G407" t="inlineStr">
        <is>
          <t>VÄSTERVIK</t>
        </is>
      </c>
      <c r="I407" t="n">
        <v>0.9</v>
      </c>
      <c r="J407" t="n">
        <v>0</v>
      </c>
      <c r="K407" t="n">
        <v>0</v>
      </c>
      <c r="L407" t="n">
        <v>0</v>
      </c>
      <c r="M407" t="n">
        <v>0</v>
      </c>
      <c r="N407" t="n">
        <v>0</v>
      </c>
      <c r="O407" t="n">
        <v>0</v>
      </c>
      <c r="P407" t="n">
        <v>0</v>
      </c>
      <c r="Q407" t="n">
        <v>0</v>
      </c>
      <c r="R407" t="n">
        <v>0</v>
      </c>
      <c r="S407" t="n">
        <v>0</v>
      </c>
      <c r="T407" t="n">
        <v>0</v>
      </c>
      <c r="U407" t="n">
        <v>0</v>
      </c>
      <c r="V407" s="2" t="inlineStr"/>
    </row>
    <row r="408" ht="15" customHeight="1">
      <c r="A408" t="inlineStr">
        <is>
          <t>A 47363-2023</t>
        </is>
      </c>
      <c r="B408" t="inlineStr">
        <is>
          <t>avverkningsanmälan</t>
        </is>
      </c>
      <c r="C408" t="inlineStr">
        <is>
          <t>Föryngringsavverkning</t>
        </is>
      </c>
      <c r="D408" s="1" t="n">
        <v>45202</v>
      </c>
      <c r="E408" s="1" t="n">
        <v>46323</v>
      </c>
      <c r="F408" t="inlineStr">
        <is>
          <t>KALMAR LÄN</t>
        </is>
      </c>
      <c r="G408" t="inlineStr">
        <is>
          <t>VÄSTERVIK</t>
        </is>
      </c>
      <c r="I408" t="n">
        <v>2.5</v>
      </c>
      <c r="J408" t="n">
        <v>0</v>
      </c>
      <c r="K408" t="n">
        <v>0</v>
      </c>
      <c r="L408" t="n">
        <v>0</v>
      </c>
      <c r="M408" t="n">
        <v>0</v>
      </c>
      <c r="N408" t="n">
        <v>0</v>
      </c>
      <c r="O408" t="n">
        <v>0</v>
      </c>
      <c r="P408" t="n">
        <v>0</v>
      </c>
      <c r="Q408" t="n">
        <v>0</v>
      </c>
      <c r="R408" t="n">
        <v>0</v>
      </c>
      <c r="S408" t="n">
        <v>0</v>
      </c>
      <c r="T408" t="n">
        <v>0</v>
      </c>
      <c r="U408" t="n">
        <v>0</v>
      </c>
      <c r="V408" s="2" t="inlineStr"/>
    </row>
    <row r="409" ht="15" customHeight="1">
      <c r="A409" t="inlineStr">
        <is>
          <t>A 5355-2024</t>
        </is>
      </c>
      <c r="B409" t="inlineStr">
        <is>
          <t>avverkningsanmälan</t>
        </is>
      </c>
      <c r="C409" t="inlineStr">
        <is>
          <t>Föryngringsavverkning</t>
        </is>
      </c>
      <c r="D409" s="1" t="n">
        <v>45331</v>
      </c>
      <c r="E409" s="1" t="n">
        <v>46323</v>
      </c>
      <c r="F409" t="inlineStr">
        <is>
          <t>KALMAR LÄN</t>
        </is>
      </c>
      <c r="G409" t="inlineStr">
        <is>
          <t>VÄSTERVIK</t>
        </is>
      </c>
      <c r="H409" t="inlineStr">
        <is>
          <t>Övriga Aktiebolag</t>
        </is>
      </c>
      <c r="I409" t="n">
        <v>1.8</v>
      </c>
      <c r="J409" t="n">
        <v>0</v>
      </c>
      <c r="K409" t="n">
        <v>0</v>
      </c>
      <c r="L409" t="n">
        <v>0</v>
      </c>
      <c r="M409" t="n">
        <v>0</v>
      </c>
      <c r="N409" t="n">
        <v>0</v>
      </c>
      <c r="O409" t="n">
        <v>0</v>
      </c>
      <c r="P409" t="n">
        <v>0</v>
      </c>
      <c r="Q409" t="n">
        <v>0</v>
      </c>
      <c r="R409" t="n">
        <v>0</v>
      </c>
      <c r="S409" t="n">
        <v>0</v>
      </c>
      <c r="T409" t="n">
        <v>0</v>
      </c>
      <c r="U409" t="n">
        <v>0</v>
      </c>
      <c r="V409" s="2" t="inlineStr"/>
    </row>
    <row r="410" ht="15" customHeight="1">
      <c r="A410" t="inlineStr">
        <is>
          <t>A 31825-2022</t>
        </is>
      </c>
      <c r="B410" t="inlineStr">
        <is>
          <t>avverkningsanmälan</t>
        </is>
      </c>
      <c r="C410" t="inlineStr">
        <is>
          <t>Föryngringsavverkning</t>
        </is>
      </c>
      <c r="D410" s="1" t="n">
        <v>44776</v>
      </c>
      <c r="E410" s="1" t="n">
        <v>46323</v>
      </c>
      <c r="F410" t="inlineStr">
        <is>
          <t>KALMAR LÄN</t>
        </is>
      </c>
      <c r="G410" t="inlineStr">
        <is>
          <t>VÄSTERVIK</t>
        </is>
      </c>
      <c r="I410" t="n">
        <v>0.9</v>
      </c>
      <c r="J410" t="n">
        <v>0</v>
      </c>
      <c r="K410" t="n">
        <v>0</v>
      </c>
      <c r="L410" t="n">
        <v>0</v>
      </c>
      <c r="M410" t="n">
        <v>0</v>
      </c>
      <c r="N410" t="n">
        <v>0</v>
      </c>
      <c r="O410" t="n">
        <v>0</v>
      </c>
      <c r="P410" t="n">
        <v>0</v>
      </c>
      <c r="Q410" t="n">
        <v>0</v>
      </c>
      <c r="R410" t="n">
        <v>0</v>
      </c>
      <c r="S410" t="n">
        <v>0</v>
      </c>
      <c r="T410" t="n">
        <v>0</v>
      </c>
      <c r="U410" t="n">
        <v>0</v>
      </c>
      <c r="V410" s="2" t="inlineStr"/>
    </row>
    <row r="411" ht="15" customHeight="1">
      <c r="A411" t="inlineStr">
        <is>
          <t>A 57366-2023</t>
        </is>
      </c>
      <c r="B411" t="inlineStr">
        <is>
          <t>avverkningsanmälan</t>
        </is>
      </c>
      <c r="C411" t="inlineStr">
        <is>
          <t>Föryngringsavverkning</t>
        </is>
      </c>
      <c r="D411" s="1" t="n">
        <v>45245</v>
      </c>
      <c r="E411" s="1" t="n">
        <v>46323</v>
      </c>
      <c r="F411" t="inlineStr">
        <is>
          <t>KALMAR LÄN</t>
        </is>
      </c>
      <c r="G411" t="inlineStr">
        <is>
          <t>VÄSTERVIK</t>
        </is>
      </c>
      <c r="H411" t="inlineStr">
        <is>
          <t>Sveaskog</t>
        </is>
      </c>
      <c r="I411" t="n">
        <v>0.7</v>
      </c>
      <c r="J411" t="n">
        <v>0</v>
      </c>
      <c r="K411" t="n">
        <v>0</v>
      </c>
      <c r="L411" t="n">
        <v>0</v>
      </c>
      <c r="M411" t="n">
        <v>0</v>
      </c>
      <c r="N411" t="n">
        <v>0</v>
      </c>
      <c r="O411" t="n">
        <v>0</v>
      </c>
      <c r="P411" t="n">
        <v>0</v>
      </c>
      <c r="Q411" t="n">
        <v>0</v>
      </c>
      <c r="R411" t="n">
        <v>0</v>
      </c>
      <c r="S411" t="n">
        <v>0</v>
      </c>
      <c r="T411" t="n">
        <v>0</v>
      </c>
      <c r="U411" t="n">
        <v>0</v>
      </c>
      <c r="V411" s="2" t="inlineStr"/>
    </row>
    <row r="412" ht="15" customHeight="1">
      <c r="A412" t="inlineStr">
        <is>
          <t>A 12595-2023</t>
        </is>
      </c>
      <c r="B412" t="inlineStr">
        <is>
          <t>avverkningsanmälan</t>
        </is>
      </c>
      <c r="C412" t="inlineStr">
        <is>
          <t>Avverkning för att bevara och utveckla /försöksver</t>
        </is>
      </c>
      <c r="D412" s="1" t="n">
        <v>45000</v>
      </c>
      <c r="E412" s="1" t="n">
        <v>46323</v>
      </c>
      <c r="F412" t="inlineStr">
        <is>
          <t>KALMAR LÄN</t>
        </is>
      </c>
      <c r="G412" t="inlineStr">
        <is>
          <t>VÄSTERVIK</t>
        </is>
      </c>
      <c r="H412" t="inlineStr">
        <is>
          <t>Holmen skog AB</t>
        </is>
      </c>
      <c r="I412" t="n">
        <v>2.2</v>
      </c>
      <c r="J412" t="n">
        <v>0</v>
      </c>
      <c r="K412" t="n">
        <v>0</v>
      </c>
      <c r="L412" t="n">
        <v>0</v>
      </c>
      <c r="M412" t="n">
        <v>0</v>
      </c>
      <c r="N412" t="n">
        <v>0</v>
      </c>
      <c r="O412" t="n">
        <v>0</v>
      </c>
      <c r="P412" t="n">
        <v>0</v>
      </c>
      <c r="Q412" t="n">
        <v>0</v>
      </c>
      <c r="R412" t="n">
        <v>0</v>
      </c>
      <c r="S412" t="n">
        <v>0</v>
      </c>
      <c r="T412" t="n">
        <v>0</v>
      </c>
      <c r="U412" t="n">
        <v>0</v>
      </c>
      <c r="V412" s="2" t="inlineStr"/>
    </row>
    <row r="413" ht="15" customHeight="1">
      <c r="A413" t="inlineStr">
        <is>
          <t>A 23411-2022</t>
        </is>
      </c>
      <c r="B413" t="inlineStr">
        <is>
          <t>avverkningsanmälan</t>
        </is>
      </c>
      <c r="C413" t="inlineStr">
        <is>
          <t>Föryngringsavverkning</t>
        </is>
      </c>
      <c r="D413" s="1" t="n">
        <v>44720</v>
      </c>
      <c r="E413" s="1" t="n">
        <v>46323</v>
      </c>
      <c r="F413" t="inlineStr">
        <is>
          <t>KALMAR LÄN</t>
        </is>
      </c>
      <c r="G413" t="inlineStr">
        <is>
          <t>VÄSTERVIK</t>
        </is>
      </c>
      <c r="I413" t="n">
        <v>1.1</v>
      </c>
      <c r="J413" t="n">
        <v>0</v>
      </c>
      <c r="K413" t="n">
        <v>0</v>
      </c>
      <c r="L413" t="n">
        <v>0</v>
      </c>
      <c r="M413" t="n">
        <v>0</v>
      </c>
      <c r="N413" t="n">
        <v>0</v>
      </c>
      <c r="O413" t="n">
        <v>0</v>
      </c>
      <c r="P413" t="n">
        <v>0</v>
      </c>
      <c r="Q413" t="n">
        <v>0</v>
      </c>
      <c r="R413" t="n">
        <v>0</v>
      </c>
      <c r="S413" t="n">
        <v>0</v>
      </c>
      <c r="T413" t="n">
        <v>0</v>
      </c>
      <c r="U413" t="n">
        <v>0</v>
      </c>
      <c r="V413" s="2" t="inlineStr"/>
    </row>
    <row r="414" ht="15" customHeight="1">
      <c r="A414" t="inlineStr">
        <is>
          <t>A 6042-2023</t>
        </is>
      </c>
      <c r="B414" t="inlineStr">
        <is>
          <t>avverkningsanmälan</t>
        </is>
      </c>
      <c r="C414" t="inlineStr">
        <is>
          <t>Föryngringsavverkning</t>
        </is>
      </c>
      <c r="D414" s="1" t="n">
        <v>44964</v>
      </c>
      <c r="E414" s="1" t="n">
        <v>46323</v>
      </c>
      <c r="F414" t="inlineStr">
        <is>
          <t>KALMAR LÄN</t>
        </is>
      </c>
      <c r="G414" t="inlineStr">
        <is>
          <t>VÄSTERVIK</t>
        </is>
      </c>
      <c r="I414" t="n">
        <v>1</v>
      </c>
      <c r="J414" t="n">
        <v>0</v>
      </c>
      <c r="K414" t="n">
        <v>0</v>
      </c>
      <c r="L414" t="n">
        <v>0</v>
      </c>
      <c r="M414" t="n">
        <v>0</v>
      </c>
      <c r="N414" t="n">
        <v>0</v>
      </c>
      <c r="O414" t="n">
        <v>0</v>
      </c>
      <c r="P414" t="n">
        <v>0</v>
      </c>
      <c r="Q414" t="n">
        <v>0</v>
      </c>
      <c r="R414" t="n">
        <v>0</v>
      </c>
      <c r="S414" t="n">
        <v>0</v>
      </c>
      <c r="T414" t="n">
        <v>0</v>
      </c>
      <c r="U414" t="n">
        <v>0</v>
      </c>
      <c r="V414" s="2" t="inlineStr"/>
    </row>
    <row r="415" ht="15" customHeight="1">
      <c r="A415" t="inlineStr">
        <is>
          <t>A 11167-2024</t>
        </is>
      </c>
      <c r="B415" t="inlineStr">
        <is>
          <t>avverkningsanmälan</t>
        </is>
      </c>
      <c r="C415" t="inlineStr">
        <is>
          <t>Föryngringsavverkning</t>
        </is>
      </c>
      <c r="D415" s="1" t="n">
        <v>45371</v>
      </c>
      <c r="E415" s="1" t="n">
        <v>46323</v>
      </c>
      <c r="F415" t="inlineStr">
        <is>
          <t>KALMAR LÄN</t>
        </is>
      </c>
      <c r="G415" t="inlineStr">
        <is>
          <t>VÄSTERVIK</t>
        </is>
      </c>
      <c r="I415" t="n">
        <v>1.1</v>
      </c>
      <c r="J415" t="n">
        <v>0</v>
      </c>
      <c r="K415" t="n">
        <v>0</v>
      </c>
      <c r="L415" t="n">
        <v>0</v>
      </c>
      <c r="M415" t="n">
        <v>0</v>
      </c>
      <c r="N415" t="n">
        <v>0</v>
      </c>
      <c r="O415" t="n">
        <v>0</v>
      </c>
      <c r="P415" t="n">
        <v>0</v>
      </c>
      <c r="Q415" t="n">
        <v>0</v>
      </c>
      <c r="R415" t="n">
        <v>0</v>
      </c>
      <c r="S415" t="n">
        <v>0</v>
      </c>
      <c r="T415" t="n">
        <v>0</v>
      </c>
      <c r="U415" t="n">
        <v>0</v>
      </c>
      <c r="V415" s="2" t="inlineStr"/>
    </row>
    <row r="416" ht="15" customHeight="1">
      <c r="A416" t="inlineStr">
        <is>
          <t>A 4508-2023</t>
        </is>
      </c>
      <c r="B416" t="inlineStr">
        <is>
          <t>avverkningsanmälan</t>
        </is>
      </c>
      <c r="C416" t="inlineStr">
        <is>
          <t>Föryngringsavverkning</t>
        </is>
      </c>
      <c r="D416" s="1" t="n">
        <v>44956</v>
      </c>
      <c r="E416" s="1" t="n">
        <v>46323</v>
      </c>
      <c r="F416" t="inlineStr">
        <is>
          <t>KALMAR LÄN</t>
        </is>
      </c>
      <c r="G416" t="inlineStr">
        <is>
          <t>VÄSTERVIK</t>
        </is>
      </c>
      <c r="I416" t="n">
        <v>0.5</v>
      </c>
      <c r="J416" t="n">
        <v>0</v>
      </c>
      <c r="K416" t="n">
        <v>0</v>
      </c>
      <c r="L416" t="n">
        <v>0</v>
      </c>
      <c r="M416" t="n">
        <v>0</v>
      </c>
      <c r="N416" t="n">
        <v>0</v>
      </c>
      <c r="O416" t="n">
        <v>0</v>
      </c>
      <c r="P416" t="n">
        <v>0</v>
      </c>
      <c r="Q416" t="n">
        <v>0</v>
      </c>
      <c r="R416" t="n">
        <v>0</v>
      </c>
      <c r="S416" t="n">
        <v>0</v>
      </c>
      <c r="T416" t="n">
        <v>0</v>
      </c>
      <c r="U416" t="n">
        <v>0</v>
      </c>
      <c r="V416" s="2" t="inlineStr"/>
    </row>
    <row r="417" ht="15" customHeight="1">
      <c r="A417" t="inlineStr">
        <is>
          <t>A 8619-2024</t>
        </is>
      </c>
      <c r="B417" t="inlineStr">
        <is>
          <t>avverkningsanmälan</t>
        </is>
      </c>
      <c r="C417" t="inlineStr">
        <is>
          <t>Föryngringsavverkning</t>
        </is>
      </c>
      <c r="D417" s="1" t="n">
        <v>45355</v>
      </c>
      <c r="E417" s="1" t="n">
        <v>46323</v>
      </c>
      <c r="F417" t="inlineStr">
        <is>
          <t>KALMAR LÄN</t>
        </is>
      </c>
      <c r="G417" t="inlineStr">
        <is>
          <t>VÄSTERVIK</t>
        </is>
      </c>
      <c r="I417" t="n">
        <v>1.6</v>
      </c>
      <c r="J417" t="n">
        <v>0</v>
      </c>
      <c r="K417" t="n">
        <v>0</v>
      </c>
      <c r="L417" t="n">
        <v>0</v>
      </c>
      <c r="M417" t="n">
        <v>0</v>
      </c>
      <c r="N417" t="n">
        <v>0</v>
      </c>
      <c r="O417" t="n">
        <v>0</v>
      </c>
      <c r="P417" t="n">
        <v>0</v>
      </c>
      <c r="Q417" t="n">
        <v>0</v>
      </c>
      <c r="R417" t="n">
        <v>0</v>
      </c>
      <c r="S417" t="n">
        <v>0</v>
      </c>
      <c r="T417" t="n">
        <v>0</v>
      </c>
      <c r="U417" t="n">
        <v>0</v>
      </c>
      <c r="V417" s="2" t="inlineStr"/>
    </row>
    <row r="418" ht="15" customHeight="1">
      <c r="A418" t="inlineStr">
        <is>
          <t>A 562-2023</t>
        </is>
      </c>
      <c r="B418" t="inlineStr">
        <is>
          <t>avverkningsanmälan</t>
        </is>
      </c>
      <c r="C418" t="inlineStr">
        <is>
          <t>Föryngringsavverkning</t>
        </is>
      </c>
      <c r="D418" s="1" t="n">
        <v>44930</v>
      </c>
      <c r="E418" s="1" t="n">
        <v>46323</v>
      </c>
      <c r="F418" t="inlineStr">
        <is>
          <t>KALMAR LÄN</t>
        </is>
      </c>
      <c r="G418" t="inlineStr">
        <is>
          <t>VÄSTERVIK</t>
        </is>
      </c>
      <c r="I418" t="n">
        <v>0.4</v>
      </c>
      <c r="J418" t="n">
        <v>0</v>
      </c>
      <c r="K418" t="n">
        <v>0</v>
      </c>
      <c r="L418" t="n">
        <v>0</v>
      </c>
      <c r="M418" t="n">
        <v>0</v>
      </c>
      <c r="N418" t="n">
        <v>0</v>
      </c>
      <c r="O418" t="n">
        <v>0</v>
      </c>
      <c r="P418" t="n">
        <v>0</v>
      </c>
      <c r="Q418" t="n">
        <v>0</v>
      </c>
      <c r="R418" t="n">
        <v>0</v>
      </c>
      <c r="S418" t="n">
        <v>0</v>
      </c>
      <c r="T418" t="n">
        <v>0</v>
      </c>
      <c r="U418" t="n">
        <v>0</v>
      </c>
      <c r="V418" s="2" t="inlineStr"/>
    </row>
    <row r="419" ht="15" customHeight="1">
      <c r="A419" t="inlineStr">
        <is>
          <t>A 55828-2022</t>
        </is>
      </c>
      <c r="B419" t="inlineStr">
        <is>
          <t>avverkningsanmälan</t>
        </is>
      </c>
      <c r="C419" t="inlineStr">
        <is>
          <t>Föryngringsavverkning</t>
        </is>
      </c>
      <c r="D419" s="1" t="n">
        <v>44888</v>
      </c>
      <c r="E419" s="1" t="n">
        <v>46323</v>
      </c>
      <c r="F419" t="inlineStr">
        <is>
          <t>KALMAR LÄN</t>
        </is>
      </c>
      <c r="G419" t="inlineStr">
        <is>
          <t>VÄSTERVIK</t>
        </is>
      </c>
      <c r="I419" t="n">
        <v>1</v>
      </c>
      <c r="J419" t="n">
        <v>0</v>
      </c>
      <c r="K419" t="n">
        <v>0</v>
      </c>
      <c r="L419" t="n">
        <v>0</v>
      </c>
      <c r="M419" t="n">
        <v>0</v>
      </c>
      <c r="N419" t="n">
        <v>0</v>
      </c>
      <c r="O419" t="n">
        <v>0</v>
      </c>
      <c r="P419" t="n">
        <v>0</v>
      </c>
      <c r="Q419" t="n">
        <v>0</v>
      </c>
      <c r="R419" t="n">
        <v>0</v>
      </c>
      <c r="S419" t="n">
        <v>0</v>
      </c>
      <c r="T419" t="n">
        <v>0</v>
      </c>
      <c r="U419" t="n">
        <v>0</v>
      </c>
      <c r="V419" s="2" t="inlineStr"/>
    </row>
    <row r="420" ht="15" customHeight="1">
      <c r="A420" t="inlineStr">
        <is>
          <t>A 53077-2024</t>
        </is>
      </c>
      <c r="B420" t="inlineStr">
        <is>
          <t>avverkningsanmälan</t>
        </is>
      </c>
      <c r="C420" t="inlineStr">
        <is>
          <t>Föryngringsavverkning</t>
        </is>
      </c>
      <c r="D420" s="1" t="n">
        <v>45611</v>
      </c>
      <c r="E420" s="1" t="n">
        <v>46323</v>
      </c>
      <c r="F420" t="inlineStr">
        <is>
          <t>KALMAR LÄN</t>
        </is>
      </c>
      <c r="G420" t="inlineStr">
        <is>
          <t>VÄSTERVIK</t>
        </is>
      </c>
      <c r="H420" t="inlineStr">
        <is>
          <t>Holmen skog AB</t>
        </is>
      </c>
      <c r="I420" t="n">
        <v>3</v>
      </c>
      <c r="J420" t="n">
        <v>0</v>
      </c>
      <c r="K420" t="n">
        <v>0</v>
      </c>
      <c r="L420" t="n">
        <v>0</v>
      </c>
      <c r="M420" t="n">
        <v>0</v>
      </c>
      <c r="N420" t="n">
        <v>0</v>
      </c>
      <c r="O420" t="n">
        <v>0</v>
      </c>
      <c r="P420" t="n">
        <v>0</v>
      </c>
      <c r="Q420" t="n">
        <v>0</v>
      </c>
      <c r="R420" t="n">
        <v>0</v>
      </c>
      <c r="S420" t="n">
        <v>0</v>
      </c>
      <c r="T420" t="n">
        <v>0</v>
      </c>
      <c r="U420" t="n">
        <v>0</v>
      </c>
      <c r="V420" s="2" t="inlineStr"/>
    </row>
    <row r="421" ht="15" customHeight="1">
      <c r="A421" t="inlineStr">
        <is>
          <t>A 28222-2024</t>
        </is>
      </c>
      <c r="B421" t="inlineStr">
        <is>
          <t>avverkningsanmälan</t>
        </is>
      </c>
      <c r="C421" t="inlineStr">
        <is>
          <t>Föryngringsavverkning</t>
        </is>
      </c>
      <c r="D421" s="1" t="n">
        <v>45477</v>
      </c>
      <c r="E421" s="1" t="n">
        <v>46323</v>
      </c>
      <c r="F421" t="inlineStr">
        <is>
          <t>KALMAR LÄN</t>
        </is>
      </c>
      <c r="G421" t="inlineStr">
        <is>
          <t>VÄSTERVIK</t>
        </is>
      </c>
      <c r="I421" t="n">
        <v>1</v>
      </c>
      <c r="J421" t="n">
        <v>0</v>
      </c>
      <c r="K421" t="n">
        <v>0</v>
      </c>
      <c r="L421" t="n">
        <v>0</v>
      </c>
      <c r="M421" t="n">
        <v>0</v>
      </c>
      <c r="N421" t="n">
        <v>0</v>
      </c>
      <c r="O421" t="n">
        <v>0</v>
      </c>
      <c r="P421" t="n">
        <v>0</v>
      </c>
      <c r="Q421" t="n">
        <v>0</v>
      </c>
      <c r="R421" t="n">
        <v>0</v>
      </c>
      <c r="S421" t="n">
        <v>0</v>
      </c>
      <c r="T421" t="n">
        <v>0</v>
      </c>
      <c r="U421" t="n">
        <v>0</v>
      </c>
      <c r="V421" s="2" t="inlineStr"/>
    </row>
    <row r="422" ht="15" customHeight="1">
      <c r="A422" t="inlineStr">
        <is>
          <t>A 60147-2024</t>
        </is>
      </c>
      <c r="B422" t="inlineStr">
        <is>
          <t>avverkningsanmälan</t>
        </is>
      </c>
      <c r="C422" t="inlineStr">
        <is>
          <t>Föryngringsavverkning</t>
        </is>
      </c>
      <c r="D422" s="1" t="n">
        <v>45642</v>
      </c>
      <c r="E422" s="1" t="n">
        <v>46323</v>
      </c>
      <c r="F422" t="inlineStr">
        <is>
          <t>KALMAR LÄN</t>
        </is>
      </c>
      <c r="G422" t="inlineStr">
        <is>
          <t>VÄSTERVIK</t>
        </is>
      </c>
      <c r="I422" t="n">
        <v>0.5</v>
      </c>
      <c r="J422" t="n">
        <v>0</v>
      </c>
      <c r="K422" t="n">
        <v>0</v>
      </c>
      <c r="L422" t="n">
        <v>0</v>
      </c>
      <c r="M422" t="n">
        <v>0</v>
      </c>
      <c r="N422" t="n">
        <v>0</v>
      </c>
      <c r="O422" t="n">
        <v>0</v>
      </c>
      <c r="P422" t="n">
        <v>0</v>
      </c>
      <c r="Q422" t="n">
        <v>0</v>
      </c>
      <c r="R422" t="n">
        <v>0</v>
      </c>
      <c r="S422" t="n">
        <v>0</v>
      </c>
      <c r="T422" t="n">
        <v>0</v>
      </c>
      <c r="U422" t="n">
        <v>0</v>
      </c>
      <c r="V422" s="2" t="inlineStr"/>
    </row>
    <row r="423" ht="15" customHeight="1">
      <c r="A423" t="inlineStr">
        <is>
          <t>A 29952-2022</t>
        </is>
      </c>
      <c r="B423" t="inlineStr">
        <is>
          <t>avverkningsanmälan</t>
        </is>
      </c>
      <c r="C423" t="inlineStr">
        <is>
          <t>Föryngringsavverkning</t>
        </is>
      </c>
      <c r="D423" s="1" t="n">
        <v>44756</v>
      </c>
      <c r="E423" s="1" t="n">
        <v>46323</v>
      </c>
      <c r="F423" t="inlineStr">
        <is>
          <t>KALMAR LÄN</t>
        </is>
      </c>
      <c r="G423" t="inlineStr">
        <is>
          <t>VÄSTERVIK</t>
        </is>
      </c>
      <c r="I423" t="n">
        <v>1.9</v>
      </c>
      <c r="J423" t="n">
        <v>0</v>
      </c>
      <c r="K423" t="n">
        <v>0</v>
      </c>
      <c r="L423" t="n">
        <v>0</v>
      </c>
      <c r="M423" t="n">
        <v>0</v>
      </c>
      <c r="N423" t="n">
        <v>0</v>
      </c>
      <c r="O423" t="n">
        <v>0</v>
      </c>
      <c r="P423" t="n">
        <v>0</v>
      </c>
      <c r="Q423" t="n">
        <v>0</v>
      </c>
      <c r="R423" t="n">
        <v>0</v>
      </c>
      <c r="S423" t="n">
        <v>0</v>
      </c>
      <c r="T423" t="n">
        <v>0</v>
      </c>
      <c r="U423" t="n">
        <v>0</v>
      </c>
      <c r="V423" s="2" t="inlineStr"/>
    </row>
    <row r="424" ht="15" customHeight="1">
      <c r="A424" t="inlineStr">
        <is>
          <t>A 35417-2022</t>
        </is>
      </c>
      <c r="B424" t="inlineStr">
        <is>
          <t>avverkningsanmälan</t>
        </is>
      </c>
      <c r="C424" t="inlineStr">
        <is>
          <t>Föryngringsavverkning</t>
        </is>
      </c>
      <c r="D424" s="1" t="n">
        <v>44798</v>
      </c>
      <c r="E424" s="1" t="n">
        <v>46323</v>
      </c>
      <c r="F424" t="inlineStr">
        <is>
          <t>KALMAR LÄN</t>
        </is>
      </c>
      <c r="G424" t="inlineStr">
        <is>
          <t>VÄSTERVIK</t>
        </is>
      </c>
      <c r="I424" t="n">
        <v>5.2</v>
      </c>
      <c r="J424" t="n">
        <v>0</v>
      </c>
      <c r="K424" t="n">
        <v>0</v>
      </c>
      <c r="L424" t="n">
        <v>0</v>
      </c>
      <c r="M424" t="n">
        <v>0</v>
      </c>
      <c r="N424" t="n">
        <v>0</v>
      </c>
      <c r="O424" t="n">
        <v>0</v>
      </c>
      <c r="P424" t="n">
        <v>0</v>
      </c>
      <c r="Q424" t="n">
        <v>0</v>
      </c>
      <c r="R424" t="n">
        <v>0</v>
      </c>
      <c r="S424" t="n">
        <v>0</v>
      </c>
      <c r="T424" t="n">
        <v>0</v>
      </c>
      <c r="U424" t="n">
        <v>0</v>
      </c>
      <c r="V424" s="2" t="inlineStr"/>
    </row>
    <row r="425" ht="15" customHeight="1">
      <c r="A425" t="inlineStr">
        <is>
          <t>A 12433-2024</t>
        </is>
      </c>
      <c r="B425" t="inlineStr">
        <is>
          <t>avverkningsanmälan</t>
        </is>
      </c>
      <c r="C425" t="inlineStr">
        <is>
          <t>Föryngringsavverkning</t>
        </is>
      </c>
      <c r="D425" s="1" t="n">
        <v>45379</v>
      </c>
      <c r="E425" s="1" t="n">
        <v>46323</v>
      </c>
      <c r="F425" t="inlineStr">
        <is>
          <t>KALMAR LÄN</t>
        </is>
      </c>
      <c r="G425" t="inlineStr">
        <is>
          <t>VÄSTERVIK</t>
        </is>
      </c>
      <c r="I425" t="n">
        <v>0.9</v>
      </c>
      <c r="J425" t="n">
        <v>0</v>
      </c>
      <c r="K425" t="n">
        <v>0</v>
      </c>
      <c r="L425" t="n">
        <v>0</v>
      </c>
      <c r="M425" t="n">
        <v>0</v>
      </c>
      <c r="N425" t="n">
        <v>0</v>
      </c>
      <c r="O425" t="n">
        <v>0</v>
      </c>
      <c r="P425" t="n">
        <v>0</v>
      </c>
      <c r="Q425" t="n">
        <v>0</v>
      </c>
      <c r="R425" t="n">
        <v>0</v>
      </c>
      <c r="S425" t="n">
        <v>0</v>
      </c>
      <c r="T425" t="n">
        <v>0</v>
      </c>
      <c r="U425" t="n">
        <v>0</v>
      </c>
      <c r="V425" s="2" t="inlineStr"/>
    </row>
    <row r="426" ht="15" customHeight="1">
      <c r="A426" t="inlineStr">
        <is>
          <t>A 17650-2023</t>
        </is>
      </c>
      <c r="B426" t="inlineStr">
        <is>
          <t>avverkningsanmälan</t>
        </is>
      </c>
      <c r="C426" t="inlineStr">
        <is>
          <t>Föryngringsavverkning</t>
        </is>
      </c>
      <c r="D426" s="1" t="n">
        <v>45036</v>
      </c>
      <c r="E426" s="1" t="n">
        <v>46323</v>
      </c>
      <c r="F426" t="inlineStr">
        <is>
          <t>KALMAR LÄN</t>
        </is>
      </c>
      <c r="G426" t="inlineStr">
        <is>
          <t>VÄSTERVIK</t>
        </is>
      </c>
      <c r="I426" t="n">
        <v>0.3</v>
      </c>
      <c r="J426" t="n">
        <v>0</v>
      </c>
      <c r="K426" t="n">
        <v>0</v>
      </c>
      <c r="L426" t="n">
        <v>0</v>
      </c>
      <c r="M426" t="n">
        <v>0</v>
      </c>
      <c r="N426" t="n">
        <v>0</v>
      </c>
      <c r="O426" t="n">
        <v>0</v>
      </c>
      <c r="P426" t="n">
        <v>0</v>
      </c>
      <c r="Q426" t="n">
        <v>0</v>
      </c>
      <c r="R426" t="n">
        <v>0</v>
      </c>
      <c r="S426" t="n">
        <v>0</v>
      </c>
      <c r="T426" t="n">
        <v>0</v>
      </c>
      <c r="U426" t="n">
        <v>0</v>
      </c>
      <c r="V426" s="2" t="inlineStr"/>
    </row>
    <row r="427" ht="15" customHeight="1">
      <c r="A427" t="inlineStr">
        <is>
          <t>A 49708-2024</t>
        </is>
      </c>
      <c r="B427" t="inlineStr">
        <is>
          <t>avverkningsanmälan</t>
        </is>
      </c>
      <c r="C427" t="inlineStr">
        <is>
          <t>Föryngringsavverkning</t>
        </is>
      </c>
      <c r="D427" s="1" t="n">
        <v>45596</v>
      </c>
      <c r="E427" s="1" t="n">
        <v>46323</v>
      </c>
      <c r="F427" t="inlineStr">
        <is>
          <t>KALMAR LÄN</t>
        </is>
      </c>
      <c r="G427" t="inlineStr">
        <is>
          <t>VÄSTERVIK</t>
        </is>
      </c>
      <c r="I427" t="n">
        <v>1.6</v>
      </c>
      <c r="J427" t="n">
        <v>0</v>
      </c>
      <c r="K427" t="n">
        <v>0</v>
      </c>
      <c r="L427" t="n">
        <v>0</v>
      </c>
      <c r="M427" t="n">
        <v>0</v>
      </c>
      <c r="N427" t="n">
        <v>0</v>
      </c>
      <c r="O427" t="n">
        <v>0</v>
      </c>
      <c r="P427" t="n">
        <v>0</v>
      </c>
      <c r="Q427" t="n">
        <v>0</v>
      </c>
      <c r="R427" t="n">
        <v>0</v>
      </c>
      <c r="S427" t="n">
        <v>0</v>
      </c>
      <c r="T427" t="n">
        <v>0</v>
      </c>
      <c r="U427" t="n">
        <v>0</v>
      </c>
      <c r="V427" s="2" t="inlineStr"/>
    </row>
    <row r="428" ht="15" customHeight="1">
      <c r="A428" t="inlineStr">
        <is>
          <t>A 46267-2022</t>
        </is>
      </c>
      <c r="B428" t="inlineStr">
        <is>
          <t>avverkningsanmälan</t>
        </is>
      </c>
      <c r="C428" t="inlineStr">
        <is>
          <t>Föryngringsavverkning</t>
        </is>
      </c>
      <c r="D428" s="1" t="n">
        <v>44847</v>
      </c>
      <c r="E428" s="1" t="n">
        <v>46323</v>
      </c>
      <c r="F428" t="inlineStr">
        <is>
          <t>KALMAR LÄN</t>
        </is>
      </c>
      <c r="G428" t="inlineStr">
        <is>
          <t>VÄSTERVIK</t>
        </is>
      </c>
      <c r="I428" t="n">
        <v>1.7</v>
      </c>
      <c r="J428" t="n">
        <v>0</v>
      </c>
      <c r="K428" t="n">
        <v>0</v>
      </c>
      <c r="L428" t="n">
        <v>0</v>
      </c>
      <c r="M428" t="n">
        <v>0</v>
      </c>
      <c r="N428" t="n">
        <v>0</v>
      </c>
      <c r="O428" t="n">
        <v>0</v>
      </c>
      <c r="P428" t="n">
        <v>0</v>
      </c>
      <c r="Q428" t="n">
        <v>0</v>
      </c>
      <c r="R428" t="n">
        <v>0</v>
      </c>
      <c r="S428" t="n">
        <v>0</v>
      </c>
      <c r="T428" t="n">
        <v>0</v>
      </c>
      <c r="U428" t="n">
        <v>0</v>
      </c>
      <c r="V428" s="2" t="inlineStr"/>
    </row>
    <row r="429" ht="15" customHeight="1">
      <c r="A429" t="inlineStr">
        <is>
          <t>A 47939-2023</t>
        </is>
      </c>
      <c r="B429" t="inlineStr">
        <is>
          <t>avverkningsanmälan</t>
        </is>
      </c>
      <c r="C429" t="inlineStr">
        <is>
          <t>Föryngringsavverkning</t>
        </is>
      </c>
      <c r="D429" s="1" t="n">
        <v>45204</v>
      </c>
      <c r="E429" s="1" t="n">
        <v>46323</v>
      </c>
      <c r="F429" t="inlineStr">
        <is>
          <t>KALMAR LÄN</t>
        </is>
      </c>
      <c r="G429" t="inlineStr">
        <is>
          <t>VÄSTERVIK</t>
        </is>
      </c>
      <c r="I429" t="n">
        <v>3.7</v>
      </c>
      <c r="J429" t="n">
        <v>0</v>
      </c>
      <c r="K429" t="n">
        <v>0</v>
      </c>
      <c r="L429" t="n">
        <v>0</v>
      </c>
      <c r="M429" t="n">
        <v>0</v>
      </c>
      <c r="N429" t="n">
        <v>0</v>
      </c>
      <c r="O429" t="n">
        <v>0</v>
      </c>
      <c r="P429" t="n">
        <v>0</v>
      </c>
      <c r="Q429" t="n">
        <v>0</v>
      </c>
      <c r="R429" t="n">
        <v>0</v>
      </c>
      <c r="S429" t="n">
        <v>0</v>
      </c>
      <c r="T429" t="n">
        <v>0</v>
      </c>
      <c r="U429" t="n">
        <v>0</v>
      </c>
      <c r="V429" s="2" t="inlineStr"/>
    </row>
    <row r="430" ht="15" customHeight="1">
      <c r="A430" t="inlineStr">
        <is>
          <t>A 64920-2021</t>
        </is>
      </c>
      <c r="B430" t="inlineStr">
        <is>
          <t>avverkningsanmälan</t>
        </is>
      </c>
      <c r="C430" t="inlineStr">
        <is>
          <t>Föryngringsavverkning</t>
        </is>
      </c>
      <c r="D430" s="1" t="n">
        <v>44512</v>
      </c>
      <c r="E430" s="1" t="n">
        <v>46323</v>
      </c>
      <c r="F430" t="inlineStr">
        <is>
          <t>KALMAR LÄN</t>
        </is>
      </c>
      <c r="G430" t="inlineStr">
        <is>
          <t>VÄSTERVIK</t>
        </is>
      </c>
      <c r="I430" t="n">
        <v>1.2</v>
      </c>
      <c r="J430" t="n">
        <v>0</v>
      </c>
      <c r="K430" t="n">
        <v>0</v>
      </c>
      <c r="L430" t="n">
        <v>0</v>
      </c>
      <c r="M430" t="n">
        <v>0</v>
      </c>
      <c r="N430" t="n">
        <v>0</v>
      </c>
      <c r="O430" t="n">
        <v>0</v>
      </c>
      <c r="P430" t="n">
        <v>0</v>
      </c>
      <c r="Q430" t="n">
        <v>0</v>
      </c>
      <c r="R430" t="n">
        <v>0</v>
      </c>
      <c r="S430" t="n">
        <v>0</v>
      </c>
      <c r="T430" t="n">
        <v>0</v>
      </c>
      <c r="U430" t="n">
        <v>0</v>
      </c>
      <c r="V430" s="2" t="inlineStr"/>
      <c r="Z430">
        <f>HYPERLINK("https://klasma.github.io/Logging_0883/knärot/A 64920-2021 karta knärot.png", "A 64920-2021")</f>
        <v/>
      </c>
      <c r="AA430">
        <f>HYPERLINK("https://klasma.github.io/Logging_0883/klagomål/A 64920-2021 FSC-klagomål.docx", "A 64920-2021")</f>
        <v/>
      </c>
      <c r="AB430">
        <f>HYPERLINK("https://klasma.github.io/Logging_0883/klagomålsmail/A 64920-2021 FSC-klagomål mail.docx", "A 64920-2021")</f>
        <v/>
      </c>
      <c r="AC430">
        <f>HYPERLINK("https://klasma.github.io/Logging_0883/tillsyn/A 64920-2021 tillsynsbegäran.docx", "A 64920-2021")</f>
        <v/>
      </c>
      <c r="AD430">
        <f>HYPERLINK("https://klasma.github.io/Logging_0883/tillsynsmail/A 64920-2021 tillsynsbegäran mail.docx", "A 64920-2021")</f>
        <v/>
      </c>
    </row>
    <row r="431" ht="15" customHeight="1">
      <c r="A431" t="inlineStr">
        <is>
          <t>A 35652-2023</t>
        </is>
      </c>
      <c r="B431" t="inlineStr">
        <is>
          <t>avverkningsanmälan</t>
        </is>
      </c>
      <c r="C431" t="inlineStr">
        <is>
          <t>Föryngringsavverkning</t>
        </is>
      </c>
      <c r="D431" s="1" t="n">
        <v>45147</v>
      </c>
      <c r="E431" s="1" t="n">
        <v>46323</v>
      </c>
      <c r="F431" t="inlineStr">
        <is>
          <t>KALMAR LÄN</t>
        </is>
      </c>
      <c r="G431" t="inlineStr">
        <is>
          <t>VÄSTERVIK</t>
        </is>
      </c>
      <c r="I431" t="n">
        <v>0.5</v>
      </c>
      <c r="J431" t="n">
        <v>0</v>
      </c>
      <c r="K431" t="n">
        <v>0</v>
      </c>
      <c r="L431" t="n">
        <v>0</v>
      </c>
      <c r="M431" t="n">
        <v>0</v>
      </c>
      <c r="N431" t="n">
        <v>0</v>
      </c>
      <c r="O431" t="n">
        <v>0</v>
      </c>
      <c r="P431" t="n">
        <v>0</v>
      </c>
      <c r="Q431" t="n">
        <v>0</v>
      </c>
      <c r="R431" t="n">
        <v>0</v>
      </c>
      <c r="S431" t="n">
        <v>0</v>
      </c>
      <c r="T431" t="n">
        <v>0</v>
      </c>
      <c r="U431" t="n">
        <v>0</v>
      </c>
      <c r="V431" s="2" t="inlineStr"/>
    </row>
    <row r="432" ht="15" customHeight="1">
      <c r="A432" t="inlineStr">
        <is>
          <t>A 5691-2025</t>
        </is>
      </c>
      <c r="B432" t="inlineStr">
        <is>
          <t>avverkningsanmälan</t>
        </is>
      </c>
      <c r="C432" t="inlineStr">
        <is>
          <t>Avverkning för annat ändamål</t>
        </is>
      </c>
      <c r="D432" s="1" t="n">
        <v>45694</v>
      </c>
      <c r="E432" s="1" t="n">
        <v>46323</v>
      </c>
      <c r="F432" t="inlineStr">
        <is>
          <t>KALMAR LÄN</t>
        </is>
      </c>
      <c r="G432" t="inlineStr">
        <is>
          <t>VÄSTERVIK</t>
        </is>
      </c>
      <c r="I432" t="n">
        <v>0.8</v>
      </c>
      <c r="J432" t="n">
        <v>0</v>
      </c>
      <c r="K432" t="n">
        <v>0</v>
      </c>
      <c r="L432" t="n">
        <v>0</v>
      </c>
      <c r="M432" t="n">
        <v>0</v>
      </c>
      <c r="N432" t="n">
        <v>0</v>
      </c>
      <c r="O432" t="n">
        <v>0</v>
      </c>
      <c r="P432" t="n">
        <v>0</v>
      </c>
      <c r="Q432" t="n">
        <v>0</v>
      </c>
      <c r="R432" t="n">
        <v>0</v>
      </c>
      <c r="S432" t="n">
        <v>0</v>
      </c>
      <c r="T432" t="n">
        <v>0</v>
      </c>
      <c r="U432" t="n">
        <v>0</v>
      </c>
      <c r="V432" s="2" t="inlineStr"/>
    </row>
    <row r="433" ht="15" customHeight="1">
      <c r="A433" t="inlineStr">
        <is>
          <t>A 17652-2023</t>
        </is>
      </c>
      <c r="B433" t="inlineStr">
        <is>
          <t>avverkningsanmälan</t>
        </is>
      </c>
      <c r="C433" t="inlineStr">
        <is>
          <t>Föryngringsavverkning</t>
        </is>
      </c>
      <c r="D433" s="1" t="n">
        <v>45036</v>
      </c>
      <c r="E433" s="1" t="n">
        <v>46323</v>
      </c>
      <c r="F433" t="inlineStr">
        <is>
          <t>KALMAR LÄN</t>
        </is>
      </c>
      <c r="G433" t="inlineStr">
        <is>
          <t>VÄSTERVIK</t>
        </is>
      </c>
      <c r="I433" t="n">
        <v>0.2</v>
      </c>
      <c r="J433" t="n">
        <v>0</v>
      </c>
      <c r="K433" t="n">
        <v>0</v>
      </c>
      <c r="L433" t="n">
        <v>0</v>
      </c>
      <c r="M433" t="n">
        <v>0</v>
      </c>
      <c r="N433" t="n">
        <v>0</v>
      </c>
      <c r="O433" t="n">
        <v>0</v>
      </c>
      <c r="P433" t="n">
        <v>0</v>
      </c>
      <c r="Q433" t="n">
        <v>0</v>
      </c>
      <c r="R433" t="n">
        <v>0</v>
      </c>
      <c r="S433" t="n">
        <v>0</v>
      </c>
      <c r="T433" t="n">
        <v>0</v>
      </c>
      <c r="U433" t="n">
        <v>0</v>
      </c>
      <c r="V433" s="2" t="inlineStr"/>
    </row>
    <row r="434" ht="15" customHeight="1">
      <c r="A434" t="inlineStr">
        <is>
          <t>A 12643-2024</t>
        </is>
      </c>
      <c r="B434" t="inlineStr">
        <is>
          <t>avverkningsanmälan</t>
        </is>
      </c>
      <c r="C434" t="inlineStr">
        <is>
          <t>Avverkning för annat ändamål</t>
        </is>
      </c>
      <c r="D434" s="1" t="n">
        <v>45379</v>
      </c>
      <c r="E434" s="1" t="n">
        <v>46323</v>
      </c>
      <c r="F434" t="inlineStr">
        <is>
          <t>KALMAR LÄN</t>
        </is>
      </c>
      <c r="G434" t="inlineStr">
        <is>
          <t>VÄSTERVIK</t>
        </is>
      </c>
      <c r="H434" t="inlineStr">
        <is>
          <t>Kommuner</t>
        </is>
      </c>
      <c r="I434" t="n">
        <v>2.1</v>
      </c>
      <c r="J434" t="n">
        <v>0</v>
      </c>
      <c r="K434" t="n">
        <v>0</v>
      </c>
      <c r="L434" t="n">
        <v>0</v>
      </c>
      <c r="M434" t="n">
        <v>0</v>
      </c>
      <c r="N434" t="n">
        <v>0</v>
      </c>
      <c r="O434" t="n">
        <v>0</v>
      </c>
      <c r="P434" t="n">
        <v>0</v>
      </c>
      <c r="Q434" t="n">
        <v>0</v>
      </c>
      <c r="R434" t="n">
        <v>0</v>
      </c>
      <c r="S434" t="n">
        <v>0</v>
      </c>
      <c r="T434" t="n">
        <v>0</v>
      </c>
      <c r="U434" t="n">
        <v>0</v>
      </c>
      <c r="V434" s="2" t="inlineStr"/>
    </row>
    <row r="435" ht="15" customHeight="1">
      <c r="A435" t="inlineStr">
        <is>
          <t>A 49706-2024</t>
        </is>
      </c>
      <c r="B435" t="inlineStr">
        <is>
          <t>avverkningsanmälan</t>
        </is>
      </c>
      <c r="C435" t="inlineStr">
        <is>
          <t>Föryngringsavverkning</t>
        </is>
      </c>
      <c r="D435" s="1" t="n">
        <v>45596</v>
      </c>
      <c r="E435" s="1" t="n">
        <v>46323</v>
      </c>
      <c r="F435" t="inlineStr">
        <is>
          <t>KALMAR LÄN</t>
        </is>
      </c>
      <c r="G435" t="inlineStr">
        <is>
          <t>VÄSTERVIK</t>
        </is>
      </c>
      <c r="I435" t="n">
        <v>1</v>
      </c>
      <c r="J435" t="n">
        <v>0</v>
      </c>
      <c r="K435" t="n">
        <v>0</v>
      </c>
      <c r="L435" t="n">
        <v>0</v>
      </c>
      <c r="M435" t="n">
        <v>0</v>
      </c>
      <c r="N435" t="n">
        <v>0</v>
      </c>
      <c r="O435" t="n">
        <v>0</v>
      </c>
      <c r="P435" t="n">
        <v>0</v>
      </c>
      <c r="Q435" t="n">
        <v>0</v>
      </c>
      <c r="R435" t="n">
        <v>0</v>
      </c>
      <c r="S435" t="n">
        <v>0</v>
      </c>
      <c r="T435" t="n">
        <v>0</v>
      </c>
      <c r="U435" t="n">
        <v>0</v>
      </c>
      <c r="V435" s="2" t="inlineStr"/>
    </row>
    <row r="436" ht="15" customHeight="1">
      <c r="A436" t="inlineStr">
        <is>
          <t>A 9770-2023</t>
        </is>
      </c>
      <c r="B436" t="inlineStr">
        <is>
          <t>avverkningsanmälan</t>
        </is>
      </c>
      <c r="C436" t="inlineStr">
        <is>
          <t>Föryngringsavverkning</t>
        </is>
      </c>
      <c r="D436" s="1" t="n">
        <v>44984</v>
      </c>
      <c r="E436" s="1" t="n">
        <v>46323</v>
      </c>
      <c r="F436" t="inlineStr">
        <is>
          <t>KALMAR LÄN</t>
        </is>
      </c>
      <c r="G436" t="inlineStr">
        <is>
          <t>VÄSTERVIK</t>
        </is>
      </c>
      <c r="I436" t="n">
        <v>0.7</v>
      </c>
      <c r="J436" t="n">
        <v>0</v>
      </c>
      <c r="K436" t="n">
        <v>0</v>
      </c>
      <c r="L436" t="n">
        <v>0</v>
      </c>
      <c r="M436" t="n">
        <v>0</v>
      </c>
      <c r="N436" t="n">
        <v>0</v>
      </c>
      <c r="O436" t="n">
        <v>0</v>
      </c>
      <c r="P436" t="n">
        <v>0</v>
      </c>
      <c r="Q436" t="n">
        <v>0</v>
      </c>
      <c r="R436" t="n">
        <v>0</v>
      </c>
      <c r="S436" t="n">
        <v>0</v>
      </c>
      <c r="T436" t="n">
        <v>0</v>
      </c>
      <c r="U436" t="n">
        <v>0</v>
      </c>
      <c r="V436" s="2" t="inlineStr"/>
    </row>
    <row r="437" ht="15" customHeight="1">
      <c r="A437" t="inlineStr">
        <is>
          <t>A 9792-2023</t>
        </is>
      </c>
      <c r="B437" t="inlineStr">
        <is>
          <t>avverkningsanmälan</t>
        </is>
      </c>
      <c r="C437" t="inlineStr">
        <is>
          <t>Föryngringsavverkning</t>
        </is>
      </c>
      <c r="D437" s="1" t="n">
        <v>44984</v>
      </c>
      <c r="E437" s="1" t="n">
        <v>46323</v>
      </c>
      <c r="F437" t="inlineStr">
        <is>
          <t>KALMAR LÄN</t>
        </is>
      </c>
      <c r="G437" t="inlineStr">
        <is>
          <t>VÄSTERVIK</t>
        </is>
      </c>
      <c r="H437" t="inlineStr">
        <is>
          <t>Holmen skog AB</t>
        </is>
      </c>
      <c r="I437" t="n">
        <v>2</v>
      </c>
      <c r="J437" t="n">
        <v>0</v>
      </c>
      <c r="K437" t="n">
        <v>0</v>
      </c>
      <c r="L437" t="n">
        <v>0</v>
      </c>
      <c r="M437" t="n">
        <v>0</v>
      </c>
      <c r="N437" t="n">
        <v>0</v>
      </c>
      <c r="O437" t="n">
        <v>0</v>
      </c>
      <c r="P437" t="n">
        <v>0</v>
      </c>
      <c r="Q437" t="n">
        <v>0</v>
      </c>
      <c r="R437" t="n">
        <v>0</v>
      </c>
      <c r="S437" t="n">
        <v>0</v>
      </c>
      <c r="T437" t="n">
        <v>0</v>
      </c>
      <c r="U437" t="n">
        <v>0</v>
      </c>
      <c r="V437" s="2" t="inlineStr"/>
    </row>
    <row r="438" ht="15" customHeight="1">
      <c r="A438" t="inlineStr">
        <is>
          <t>A 1096-2024</t>
        </is>
      </c>
      <c r="B438" t="inlineStr">
        <is>
          <t>avverkningsanmälan</t>
        </is>
      </c>
      <c r="C438" t="inlineStr">
        <is>
          <t>Föryngringsavverkning</t>
        </is>
      </c>
      <c r="D438" s="1" t="n">
        <v>45302</v>
      </c>
      <c r="E438" s="1" t="n">
        <v>46323</v>
      </c>
      <c r="F438" t="inlineStr">
        <is>
          <t>KALMAR LÄN</t>
        </is>
      </c>
      <c r="G438" t="inlineStr">
        <is>
          <t>VÄSTERVIK</t>
        </is>
      </c>
      <c r="I438" t="n">
        <v>2.6</v>
      </c>
      <c r="J438" t="n">
        <v>0</v>
      </c>
      <c r="K438" t="n">
        <v>0</v>
      </c>
      <c r="L438" t="n">
        <v>0</v>
      </c>
      <c r="M438" t="n">
        <v>0</v>
      </c>
      <c r="N438" t="n">
        <v>0</v>
      </c>
      <c r="O438" t="n">
        <v>0</v>
      </c>
      <c r="P438" t="n">
        <v>0</v>
      </c>
      <c r="Q438" t="n">
        <v>0</v>
      </c>
      <c r="R438" t="n">
        <v>0</v>
      </c>
      <c r="S438" t="n">
        <v>0</v>
      </c>
      <c r="T438" t="n">
        <v>0</v>
      </c>
      <c r="U438" t="n">
        <v>0</v>
      </c>
      <c r="V438" s="2" t="inlineStr"/>
    </row>
    <row r="439" ht="15" customHeight="1">
      <c r="A439" t="inlineStr">
        <is>
          <t>A 24567-2024</t>
        </is>
      </c>
      <c r="B439" t="inlineStr">
        <is>
          <t>avverkningsanmälan</t>
        </is>
      </c>
      <c r="C439" t="inlineStr">
        <is>
          <t>Föryngringsavverkning</t>
        </is>
      </c>
      <c r="D439" s="1" t="n">
        <v>45460</v>
      </c>
      <c r="E439" s="1" t="n">
        <v>46323</v>
      </c>
      <c r="F439" t="inlineStr">
        <is>
          <t>KALMAR LÄN</t>
        </is>
      </c>
      <c r="G439" t="inlineStr">
        <is>
          <t>VÄSTERVIK</t>
        </is>
      </c>
      <c r="I439" t="n">
        <v>5.1</v>
      </c>
      <c r="J439" t="n">
        <v>0</v>
      </c>
      <c r="K439" t="n">
        <v>0</v>
      </c>
      <c r="L439" t="n">
        <v>0</v>
      </c>
      <c r="M439" t="n">
        <v>0</v>
      </c>
      <c r="N439" t="n">
        <v>0</v>
      </c>
      <c r="O439" t="n">
        <v>0</v>
      </c>
      <c r="P439" t="n">
        <v>0</v>
      </c>
      <c r="Q439" t="n">
        <v>0</v>
      </c>
      <c r="R439" t="n">
        <v>0</v>
      </c>
      <c r="S439" t="n">
        <v>0</v>
      </c>
      <c r="T439" t="n">
        <v>0</v>
      </c>
      <c r="U439" t="n">
        <v>0</v>
      </c>
      <c r="V439" s="2" t="inlineStr"/>
    </row>
    <row r="440" ht="15" customHeight="1">
      <c r="A440" t="inlineStr">
        <is>
          <t>A 34650-2023</t>
        </is>
      </c>
      <c r="B440" t="inlineStr">
        <is>
          <t>avverkningsanmälan</t>
        </is>
      </c>
      <c r="C440" t="inlineStr">
        <is>
          <t>Föryngringsavverkning</t>
        </is>
      </c>
      <c r="D440" s="1" t="n">
        <v>45140</v>
      </c>
      <c r="E440" s="1" t="n">
        <v>46323</v>
      </c>
      <c r="F440" t="inlineStr">
        <is>
          <t>KALMAR LÄN</t>
        </is>
      </c>
      <c r="G440" t="inlineStr">
        <is>
          <t>VÄSTERVIK</t>
        </is>
      </c>
      <c r="I440" t="n">
        <v>1.4</v>
      </c>
      <c r="J440" t="n">
        <v>0</v>
      </c>
      <c r="K440" t="n">
        <v>0</v>
      </c>
      <c r="L440" t="n">
        <v>0</v>
      </c>
      <c r="M440" t="n">
        <v>0</v>
      </c>
      <c r="N440" t="n">
        <v>0</v>
      </c>
      <c r="O440" t="n">
        <v>0</v>
      </c>
      <c r="P440" t="n">
        <v>0</v>
      </c>
      <c r="Q440" t="n">
        <v>0</v>
      </c>
      <c r="R440" t="n">
        <v>0</v>
      </c>
      <c r="S440" t="n">
        <v>0</v>
      </c>
      <c r="T440" t="n">
        <v>0</v>
      </c>
      <c r="U440" t="n">
        <v>0</v>
      </c>
      <c r="V440" s="2" t="inlineStr"/>
    </row>
    <row r="441" ht="15" customHeight="1">
      <c r="A441" t="inlineStr">
        <is>
          <t>A 944-2024</t>
        </is>
      </c>
      <c r="B441" t="inlineStr">
        <is>
          <t>avverkningsanmälan</t>
        </is>
      </c>
      <c r="C441" t="inlineStr">
        <is>
          <t>Föryngringsavverkning</t>
        </is>
      </c>
      <c r="D441" s="1" t="n">
        <v>45301</v>
      </c>
      <c r="E441" s="1" t="n">
        <v>46323</v>
      </c>
      <c r="F441" t="inlineStr">
        <is>
          <t>KALMAR LÄN</t>
        </is>
      </c>
      <c r="G441" t="inlineStr">
        <is>
          <t>VÄSTERVIK</t>
        </is>
      </c>
      <c r="I441" t="n">
        <v>2.2</v>
      </c>
      <c r="J441" t="n">
        <v>0</v>
      </c>
      <c r="K441" t="n">
        <v>0</v>
      </c>
      <c r="L441" t="n">
        <v>0</v>
      </c>
      <c r="M441" t="n">
        <v>0</v>
      </c>
      <c r="N441" t="n">
        <v>0</v>
      </c>
      <c r="O441" t="n">
        <v>0</v>
      </c>
      <c r="P441" t="n">
        <v>0</v>
      </c>
      <c r="Q441" t="n">
        <v>0</v>
      </c>
      <c r="R441" t="n">
        <v>0</v>
      </c>
      <c r="S441" t="n">
        <v>0</v>
      </c>
      <c r="T441" t="n">
        <v>0</v>
      </c>
      <c r="U441" t="n">
        <v>0</v>
      </c>
      <c r="V441" s="2" t="inlineStr"/>
    </row>
    <row r="442" ht="15" customHeight="1">
      <c r="A442" t="inlineStr">
        <is>
          <t>A 946-2024</t>
        </is>
      </c>
      <c r="B442" t="inlineStr">
        <is>
          <t>avverkningsanmälan</t>
        </is>
      </c>
      <c r="C442" t="inlineStr">
        <is>
          <t>Föryngringsavverkning</t>
        </is>
      </c>
      <c r="D442" s="1" t="n">
        <v>45301</v>
      </c>
      <c r="E442" s="1" t="n">
        <v>46323</v>
      </c>
      <c r="F442" t="inlineStr">
        <is>
          <t>KALMAR LÄN</t>
        </is>
      </c>
      <c r="G442" t="inlineStr">
        <is>
          <t>VÄSTERVIK</t>
        </is>
      </c>
      <c r="I442" t="n">
        <v>1</v>
      </c>
      <c r="J442" t="n">
        <v>0</v>
      </c>
      <c r="K442" t="n">
        <v>0</v>
      </c>
      <c r="L442" t="n">
        <v>0</v>
      </c>
      <c r="M442" t="n">
        <v>0</v>
      </c>
      <c r="N442" t="n">
        <v>0</v>
      </c>
      <c r="O442" t="n">
        <v>0</v>
      </c>
      <c r="P442" t="n">
        <v>0</v>
      </c>
      <c r="Q442" t="n">
        <v>0</v>
      </c>
      <c r="R442" t="n">
        <v>0</v>
      </c>
      <c r="S442" t="n">
        <v>0</v>
      </c>
      <c r="T442" t="n">
        <v>0</v>
      </c>
      <c r="U442" t="n">
        <v>0</v>
      </c>
      <c r="V442" s="2" t="inlineStr"/>
    </row>
    <row r="443" ht="15" customHeight="1">
      <c r="A443" t="inlineStr">
        <is>
          <t>A 21752-2024</t>
        </is>
      </c>
      <c r="B443" t="inlineStr">
        <is>
          <t>avverkningsanmälan</t>
        </is>
      </c>
      <c r="C443" t="inlineStr">
        <is>
          <t>Föryngringsavverkning</t>
        </is>
      </c>
      <c r="D443" s="1" t="n">
        <v>45442</v>
      </c>
      <c r="E443" s="1" t="n">
        <v>46323</v>
      </c>
      <c r="F443" t="inlineStr">
        <is>
          <t>KALMAR LÄN</t>
        </is>
      </c>
      <c r="G443" t="inlineStr">
        <is>
          <t>VÄSTERVIK</t>
        </is>
      </c>
      <c r="H443" t="inlineStr">
        <is>
          <t>Holmen skog AB</t>
        </is>
      </c>
      <c r="I443" t="n">
        <v>2.3</v>
      </c>
      <c r="J443" t="n">
        <v>0</v>
      </c>
      <c r="K443" t="n">
        <v>0</v>
      </c>
      <c r="L443" t="n">
        <v>0</v>
      </c>
      <c r="M443" t="n">
        <v>0</v>
      </c>
      <c r="N443" t="n">
        <v>0</v>
      </c>
      <c r="O443" t="n">
        <v>0</v>
      </c>
      <c r="P443" t="n">
        <v>0</v>
      </c>
      <c r="Q443" t="n">
        <v>0</v>
      </c>
      <c r="R443" t="n">
        <v>0</v>
      </c>
      <c r="S443" t="n">
        <v>0</v>
      </c>
      <c r="T443" t="n">
        <v>0</v>
      </c>
      <c r="U443" t="n">
        <v>0</v>
      </c>
      <c r="V443" s="2" t="inlineStr"/>
    </row>
    <row r="444" ht="15" customHeight="1">
      <c r="A444" t="inlineStr">
        <is>
          <t>A 31686-2023</t>
        </is>
      </c>
      <c r="B444" t="inlineStr">
        <is>
          <t>avverkningsanmälan</t>
        </is>
      </c>
      <c r="C444" t="inlineStr">
        <is>
          <t>Föryngringsavverkning</t>
        </is>
      </c>
      <c r="D444" s="1" t="n">
        <v>45117</v>
      </c>
      <c r="E444" s="1" t="n">
        <v>46323</v>
      </c>
      <c r="F444" t="inlineStr">
        <is>
          <t>KALMAR LÄN</t>
        </is>
      </c>
      <c r="G444" t="inlineStr">
        <is>
          <t>VÄSTERVIK</t>
        </is>
      </c>
      <c r="I444" t="n">
        <v>1.7</v>
      </c>
      <c r="J444" t="n">
        <v>0</v>
      </c>
      <c r="K444" t="n">
        <v>0</v>
      </c>
      <c r="L444" t="n">
        <v>0</v>
      </c>
      <c r="M444" t="n">
        <v>0</v>
      </c>
      <c r="N444" t="n">
        <v>0</v>
      </c>
      <c r="O444" t="n">
        <v>0</v>
      </c>
      <c r="P444" t="n">
        <v>0</v>
      </c>
      <c r="Q444" t="n">
        <v>0</v>
      </c>
      <c r="R444" t="n">
        <v>0</v>
      </c>
      <c r="S444" t="n">
        <v>0</v>
      </c>
      <c r="T444" t="n">
        <v>0</v>
      </c>
      <c r="U444" t="n">
        <v>0</v>
      </c>
      <c r="V444" s="2" t="inlineStr"/>
    </row>
    <row r="445" ht="15" customHeight="1">
      <c r="A445" t="inlineStr">
        <is>
          <t>A 17315-2023</t>
        </is>
      </c>
      <c r="B445" t="inlineStr">
        <is>
          <t>avverkningsanmälan</t>
        </is>
      </c>
      <c r="C445" t="inlineStr">
        <is>
          <t>Föryngringsavverkning</t>
        </is>
      </c>
      <c r="D445" s="1" t="n">
        <v>45035</v>
      </c>
      <c r="E445" s="1" t="n">
        <v>46323</v>
      </c>
      <c r="F445" t="inlineStr">
        <is>
          <t>KALMAR LÄN</t>
        </is>
      </c>
      <c r="G445" t="inlineStr">
        <is>
          <t>VÄSTERVIK</t>
        </is>
      </c>
      <c r="I445" t="n">
        <v>1.5</v>
      </c>
      <c r="J445" t="n">
        <v>0</v>
      </c>
      <c r="K445" t="n">
        <v>0</v>
      </c>
      <c r="L445" t="n">
        <v>0</v>
      </c>
      <c r="M445" t="n">
        <v>0</v>
      </c>
      <c r="N445" t="n">
        <v>0</v>
      </c>
      <c r="O445" t="n">
        <v>0</v>
      </c>
      <c r="P445" t="n">
        <v>0</v>
      </c>
      <c r="Q445" t="n">
        <v>0</v>
      </c>
      <c r="R445" t="n">
        <v>0</v>
      </c>
      <c r="S445" t="n">
        <v>0</v>
      </c>
      <c r="T445" t="n">
        <v>0</v>
      </c>
      <c r="U445" t="n">
        <v>0</v>
      </c>
      <c r="V445" s="2" t="inlineStr"/>
    </row>
    <row r="446" ht="15" customHeight="1">
      <c r="A446" t="inlineStr">
        <is>
          <t>A 14529-2022</t>
        </is>
      </c>
      <c r="B446" t="inlineStr">
        <is>
          <t>avverkningsanmälan</t>
        </is>
      </c>
      <c r="C446" t="inlineStr">
        <is>
          <t>Föryngringsavverkning</t>
        </is>
      </c>
      <c r="D446" s="1" t="n">
        <v>44655</v>
      </c>
      <c r="E446" s="1" t="n">
        <v>46323</v>
      </c>
      <c r="F446" t="inlineStr">
        <is>
          <t>KALMAR LÄN</t>
        </is>
      </c>
      <c r="G446" t="inlineStr">
        <is>
          <t>VÄSTERVIK</t>
        </is>
      </c>
      <c r="I446" t="n">
        <v>1</v>
      </c>
      <c r="J446" t="n">
        <v>0</v>
      </c>
      <c r="K446" t="n">
        <v>0</v>
      </c>
      <c r="L446" t="n">
        <v>0</v>
      </c>
      <c r="M446" t="n">
        <v>0</v>
      </c>
      <c r="N446" t="n">
        <v>0</v>
      </c>
      <c r="O446" t="n">
        <v>0</v>
      </c>
      <c r="P446" t="n">
        <v>0</v>
      </c>
      <c r="Q446" t="n">
        <v>0</v>
      </c>
      <c r="R446" t="n">
        <v>0</v>
      </c>
      <c r="S446" t="n">
        <v>0</v>
      </c>
      <c r="T446" t="n">
        <v>0</v>
      </c>
      <c r="U446" t="n">
        <v>0</v>
      </c>
      <c r="V446" s="2" t="inlineStr"/>
    </row>
    <row r="447" ht="15" customHeight="1">
      <c r="A447" t="inlineStr">
        <is>
          <t>A 25180-2023</t>
        </is>
      </c>
      <c r="B447" t="inlineStr">
        <is>
          <t>avverkningsanmälan</t>
        </is>
      </c>
      <c r="C447" t="inlineStr">
        <is>
          <t>Föryngringsavverkning</t>
        </is>
      </c>
      <c r="D447" s="1" t="n">
        <v>45086</v>
      </c>
      <c r="E447" s="1" t="n">
        <v>46323</v>
      </c>
      <c r="F447" t="inlineStr">
        <is>
          <t>KALMAR LÄN</t>
        </is>
      </c>
      <c r="G447" t="inlineStr">
        <is>
          <t>VÄSTERVIK</t>
        </is>
      </c>
      <c r="I447" t="n">
        <v>0.5</v>
      </c>
      <c r="J447" t="n">
        <v>0</v>
      </c>
      <c r="K447" t="n">
        <v>0</v>
      </c>
      <c r="L447" t="n">
        <v>0</v>
      </c>
      <c r="M447" t="n">
        <v>0</v>
      </c>
      <c r="N447" t="n">
        <v>0</v>
      </c>
      <c r="O447" t="n">
        <v>0</v>
      </c>
      <c r="P447" t="n">
        <v>0</v>
      </c>
      <c r="Q447" t="n">
        <v>0</v>
      </c>
      <c r="R447" t="n">
        <v>0</v>
      </c>
      <c r="S447" t="n">
        <v>0</v>
      </c>
      <c r="T447" t="n">
        <v>0</v>
      </c>
      <c r="U447" t="n">
        <v>0</v>
      </c>
      <c r="V447" s="2" t="inlineStr"/>
    </row>
    <row r="448" ht="15" customHeight="1">
      <c r="A448" t="inlineStr">
        <is>
          <t>A 34672-2022</t>
        </is>
      </c>
      <c r="B448" t="inlineStr">
        <is>
          <t>avverkningsanmälan</t>
        </is>
      </c>
      <c r="C448" t="inlineStr">
        <is>
          <t>Föryngringsavverkning</t>
        </is>
      </c>
      <c r="D448" s="1" t="n">
        <v>44795</v>
      </c>
      <c r="E448" s="1" t="n">
        <v>46323</v>
      </c>
      <c r="F448" t="inlineStr">
        <is>
          <t>KALMAR LÄN</t>
        </is>
      </c>
      <c r="G448" t="inlineStr">
        <is>
          <t>VÄSTERVIK</t>
        </is>
      </c>
      <c r="I448" t="n">
        <v>1.1</v>
      </c>
      <c r="J448" t="n">
        <v>0</v>
      </c>
      <c r="K448" t="n">
        <v>0</v>
      </c>
      <c r="L448" t="n">
        <v>0</v>
      </c>
      <c r="M448" t="n">
        <v>0</v>
      </c>
      <c r="N448" t="n">
        <v>0</v>
      </c>
      <c r="O448" t="n">
        <v>0</v>
      </c>
      <c r="P448" t="n">
        <v>0</v>
      </c>
      <c r="Q448" t="n">
        <v>0</v>
      </c>
      <c r="R448" t="n">
        <v>0</v>
      </c>
      <c r="S448" t="n">
        <v>0</v>
      </c>
      <c r="T448" t="n">
        <v>0</v>
      </c>
      <c r="U448" t="n">
        <v>0</v>
      </c>
      <c r="V448" s="2" t="inlineStr"/>
    </row>
    <row r="449" ht="15" customHeight="1">
      <c r="A449" t="inlineStr">
        <is>
          <t>A 23626-2024</t>
        </is>
      </c>
      <c r="B449" t="inlineStr">
        <is>
          <t>avverkningsanmälan</t>
        </is>
      </c>
      <c r="C449" t="inlineStr">
        <is>
          <t>Föryngringsavverkning</t>
        </is>
      </c>
      <c r="D449" s="1" t="n">
        <v>45454</v>
      </c>
      <c r="E449" s="1" t="n">
        <v>46323</v>
      </c>
      <c r="F449" t="inlineStr">
        <is>
          <t>KALMAR LÄN</t>
        </is>
      </c>
      <c r="G449" t="inlineStr">
        <is>
          <t>VÄSTERVIK</t>
        </is>
      </c>
      <c r="I449" t="n">
        <v>2.1</v>
      </c>
      <c r="J449" t="n">
        <v>0</v>
      </c>
      <c r="K449" t="n">
        <v>0</v>
      </c>
      <c r="L449" t="n">
        <v>0</v>
      </c>
      <c r="M449" t="n">
        <v>0</v>
      </c>
      <c r="N449" t="n">
        <v>0</v>
      </c>
      <c r="O449" t="n">
        <v>0</v>
      </c>
      <c r="P449" t="n">
        <v>0</v>
      </c>
      <c r="Q449" t="n">
        <v>0</v>
      </c>
      <c r="R449" t="n">
        <v>0</v>
      </c>
      <c r="S449" t="n">
        <v>0</v>
      </c>
      <c r="T449" t="n">
        <v>0</v>
      </c>
      <c r="U449" t="n">
        <v>0</v>
      </c>
      <c r="V449" s="2" t="inlineStr"/>
    </row>
    <row r="450" ht="15" customHeight="1">
      <c r="A450" t="inlineStr">
        <is>
          <t>A 37858-2023</t>
        </is>
      </c>
      <c r="B450" t="inlineStr">
        <is>
          <t>avverkningsanmälan</t>
        </is>
      </c>
      <c r="C450" t="inlineStr">
        <is>
          <t>Föryngringsavverkning</t>
        </is>
      </c>
      <c r="D450" s="1" t="n">
        <v>45160</v>
      </c>
      <c r="E450" s="1" t="n">
        <v>46323</v>
      </c>
      <c r="F450" t="inlineStr">
        <is>
          <t>KALMAR LÄN</t>
        </is>
      </c>
      <c r="G450" t="inlineStr">
        <is>
          <t>VÄSTERVIK</t>
        </is>
      </c>
      <c r="I450" t="n">
        <v>3</v>
      </c>
      <c r="J450" t="n">
        <v>0</v>
      </c>
      <c r="K450" t="n">
        <v>0</v>
      </c>
      <c r="L450" t="n">
        <v>0</v>
      </c>
      <c r="M450" t="n">
        <v>0</v>
      </c>
      <c r="N450" t="n">
        <v>0</v>
      </c>
      <c r="O450" t="n">
        <v>0</v>
      </c>
      <c r="P450" t="n">
        <v>0</v>
      </c>
      <c r="Q450" t="n">
        <v>0</v>
      </c>
      <c r="R450" t="n">
        <v>0</v>
      </c>
      <c r="S450" t="n">
        <v>0</v>
      </c>
      <c r="T450" t="n">
        <v>0</v>
      </c>
      <c r="U450" t="n">
        <v>0</v>
      </c>
      <c r="V450" s="2" t="inlineStr"/>
    </row>
    <row r="451" ht="15" customHeight="1">
      <c r="A451" t="inlineStr">
        <is>
          <t>A 40168-2025</t>
        </is>
      </c>
      <c r="B451" t="inlineStr">
        <is>
          <t>avverkningsanmälan</t>
        </is>
      </c>
      <c r="C451" t="inlineStr">
        <is>
          <t>Föryngringsavverkning</t>
        </is>
      </c>
      <c r="D451" s="1" t="n">
        <v>45894</v>
      </c>
      <c r="E451" s="1" t="n">
        <v>46323</v>
      </c>
      <c r="F451" t="inlineStr">
        <is>
          <t>KALMAR LÄN</t>
        </is>
      </c>
      <c r="G451" t="inlineStr">
        <is>
          <t>VÄSTERVIK</t>
        </is>
      </c>
      <c r="I451" t="n">
        <v>0.3</v>
      </c>
      <c r="J451" t="n">
        <v>0</v>
      </c>
      <c r="K451" t="n">
        <v>0</v>
      </c>
      <c r="L451" t="n">
        <v>0</v>
      </c>
      <c r="M451" t="n">
        <v>0</v>
      </c>
      <c r="N451" t="n">
        <v>0</v>
      </c>
      <c r="O451" t="n">
        <v>0</v>
      </c>
      <c r="P451" t="n">
        <v>0</v>
      </c>
      <c r="Q451" t="n">
        <v>0</v>
      </c>
      <c r="R451" t="n">
        <v>0</v>
      </c>
      <c r="S451" t="n">
        <v>0</v>
      </c>
      <c r="T451" t="n">
        <v>0</v>
      </c>
      <c r="U451" t="n">
        <v>0</v>
      </c>
      <c r="V451" s="2" t="inlineStr"/>
    </row>
    <row r="452" ht="15" customHeight="1">
      <c r="A452" t="inlineStr">
        <is>
          <t>A 2951-2025</t>
        </is>
      </c>
      <c r="B452" t="inlineStr">
        <is>
          <t>avverkningsanmälan</t>
        </is>
      </c>
      <c r="C452" t="inlineStr">
        <is>
          <t>Föryngringsavverkning</t>
        </is>
      </c>
      <c r="D452" s="1" t="n">
        <v>45678</v>
      </c>
      <c r="E452" s="1" t="n">
        <v>46323</v>
      </c>
      <c r="F452" t="inlineStr">
        <is>
          <t>KALMAR LÄN</t>
        </is>
      </c>
      <c r="G452" t="inlineStr">
        <is>
          <t>VÄSTERVIK</t>
        </is>
      </c>
      <c r="I452" t="n">
        <v>0.5</v>
      </c>
      <c r="J452" t="n">
        <v>0</v>
      </c>
      <c r="K452" t="n">
        <v>0</v>
      </c>
      <c r="L452" t="n">
        <v>0</v>
      </c>
      <c r="M452" t="n">
        <v>0</v>
      </c>
      <c r="N452" t="n">
        <v>0</v>
      </c>
      <c r="O452" t="n">
        <v>0</v>
      </c>
      <c r="P452" t="n">
        <v>0</v>
      </c>
      <c r="Q452" t="n">
        <v>0</v>
      </c>
      <c r="R452" t="n">
        <v>0</v>
      </c>
      <c r="S452" t="n">
        <v>0</v>
      </c>
      <c r="T452" t="n">
        <v>0</v>
      </c>
      <c r="U452" t="n">
        <v>0</v>
      </c>
      <c r="V452" s="2" t="inlineStr"/>
    </row>
    <row r="453" ht="15" customHeight="1">
      <c r="A453" t="inlineStr">
        <is>
          <t>A 60634-2023</t>
        </is>
      </c>
      <c r="B453" t="inlineStr">
        <is>
          <t>avverkningsanmälan</t>
        </is>
      </c>
      <c r="C453" t="inlineStr">
        <is>
          <t>Föryngringsavverkning</t>
        </is>
      </c>
      <c r="D453" s="1" t="n">
        <v>45260</v>
      </c>
      <c r="E453" s="1" t="n">
        <v>46323</v>
      </c>
      <c r="F453" t="inlineStr">
        <is>
          <t>KALMAR LÄN</t>
        </is>
      </c>
      <c r="G453" t="inlineStr">
        <is>
          <t>VÄSTERVIK</t>
        </is>
      </c>
      <c r="I453" t="n">
        <v>2</v>
      </c>
      <c r="J453" t="n">
        <v>0</v>
      </c>
      <c r="K453" t="n">
        <v>0</v>
      </c>
      <c r="L453" t="n">
        <v>0</v>
      </c>
      <c r="M453" t="n">
        <v>0</v>
      </c>
      <c r="N453" t="n">
        <v>0</v>
      </c>
      <c r="O453" t="n">
        <v>0</v>
      </c>
      <c r="P453" t="n">
        <v>0</v>
      </c>
      <c r="Q453" t="n">
        <v>0</v>
      </c>
      <c r="R453" t="n">
        <v>0</v>
      </c>
      <c r="S453" t="n">
        <v>0</v>
      </c>
      <c r="T453" t="n">
        <v>0</v>
      </c>
      <c r="U453" t="n">
        <v>0</v>
      </c>
      <c r="V453" s="2" t="inlineStr"/>
    </row>
    <row r="454" ht="15" customHeight="1">
      <c r="A454" t="inlineStr">
        <is>
          <t>A 47267-2023</t>
        </is>
      </c>
      <c r="B454" t="inlineStr">
        <is>
          <t>avverkningsanmälan</t>
        </is>
      </c>
      <c r="C454" t="inlineStr">
        <is>
          <t>Föryngringsavverkning</t>
        </is>
      </c>
      <c r="D454" s="1" t="n">
        <v>45202</v>
      </c>
      <c r="E454" s="1" t="n">
        <v>46323</v>
      </c>
      <c r="F454" t="inlineStr">
        <is>
          <t>KALMAR LÄN</t>
        </is>
      </c>
      <c r="G454" t="inlineStr">
        <is>
          <t>VÄSTERVIK</t>
        </is>
      </c>
      <c r="I454" t="n">
        <v>0.5</v>
      </c>
      <c r="J454" t="n">
        <v>0</v>
      </c>
      <c r="K454" t="n">
        <v>0</v>
      </c>
      <c r="L454" t="n">
        <v>0</v>
      </c>
      <c r="M454" t="n">
        <v>0</v>
      </c>
      <c r="N454" t="n">
        <v>0</v>
      </c>
      <c r="O454" t="n">
        <v>0</v>
      </c>
      <c r="P454" t="n">
        <v>0</v>
      </c>
      <c r="Q454" t="n">
        <v>0</v>
      </c>
      <c r="R454" t="n">
        <v>0</v>
      </c>
      <c r="S454" t="n">
        <v>0</v>
      </c>
      <c r="T454" t="n">
        <v>0</v>
      </c>
      <c r="U454" t="n">
        <v>0</v>
      </c>
      <c r="V454" s="2" t="inlineStr"/>
    </row>
    <row r="455" ht="15" customHeight="1">
      <c r="A455" t="inlineStr">
        <is>
          <t>A 29404-2024</t>
        </is>
      </c>
      <c r="B455" t="inlineStr">
        <is>
          <t>avverkningsanmälan</t>
        </is>
      </c>
      <c r="C455" t="inlineStr">
        <is>
          <t>Föryngringsavverkning</t>
        </is>
      </c>
      <c r="D455" s="1" t="n">
        <v>45483</v>
      </c>
      <c r="E455" s="1" t="n">
        <v>46323</v>
      </c>
      <c r="F455" t="inlineStr">
        <is>
          <t>KALMAR LÄN</t>
        </is>
      </c>
      <c r="G455" t="inlineStr">
        <is>
          <t>VÄSTERVIK</t>
        </is>
      </c>
      <c r="I455" t="n">
        <v>2.2</v>
      </c>
      <c r="J455" t="n">
        <v>0</v>
      </c>
      <c r="K455" t="n">
        <v>0</v>
      </c>
      <c r="L455" t="n">
        <v>0</v>
      </c>
      <c r="M455" t="n">
        <v>0</v>
      </c>
      <c r="N455" t="n">
        <v>0</v>
      </c>
      <c r="O455" t="n">
        <v>0</v>
      </c>
      <c r="P455" t="n">
        <v>0</v>
      </c>
      <c r="Q455" t="n">
        <v>0</v>
      </c>
      <c r="R455" t="n">
        <v>0</v>
      </c>
      <c r="S455" t="n">
        <v>0</v>
      </c>
      <c r="T455" t="n">
        <v>0</v>
      </c>
      <c r="U455" t="n">
        <v>0</v>
      </c>
      <c r="V455" s="2" t="inlineStr"/>
    </row>
    <row r="456" ht="15" customHeight="1">
      <c r="A456" t="inlineStr">
        <is>
          <t>A 56188-2023</t>
        </is>
      </c>
      <c r="B456" t="inlineStr">
        <is>
          <t>avverkningsanmälan</t>
        </is>
      </c>
      <c r="C456" t="inlineStr">
        <is>
          <t>Föryngringsavverkning</t>
        </is>
      </c>
      <c r="D456" s="1" t="n">
        <v>45240</v>
      </c>
      <c r="E456" s="1" t="n">
        <v>46323</v>
      </c>
      <c r="F456" t="inlineStr">
        <is>
          <t>KALMAR LÄN</t>
        </is>
      </c>
      <c r="G456" t="inlineStr">
        <is>
          <t>VÄSTERVIK</t>
        </is>
      </c>
      <c r="I456" t="n">
        <v>1.9</v>
      </c>
      <c r="J456" t="n">
        <v>0</v>
      </c>
      <c r="K456" t="n">
        <v>0</v>
      </c>
      <c r="L456" t="n">
        <v>0</v>
      </c>
      <c r="M456" t="n">
        <v>0</v>
      </c>
      <c r="N456" t="n">
        <v>0</v>
      </c>
      <c r="O456" t="n">
        <v>0</v>
      </c>
      <c r="P456" t="n">
        <v>0</v>
      </c>
      <c r="Q456" t="n">
        <v>0</v>
      </c>
      <c r="R456" t="n">
        <v>0</v>
      </c>
      <c r="S456" t="n">
        <v>0</v>
      </c>
      <c r="T456" t="n">
        <v>0</v>
      </c>
      <c r="U456" t="n">
        <v>0</v>
      </c>
      <c r="V456" s="2" t="inlineStr"/>
    </row>
    <row r="457" ht="15" customHeight="1">
      <c r="A457" t="inlineStr">
        <is>
          <t>A 4496-2022</t>
        </is>
      </c>
      <c r="B457" t="inlineStr">
        <is>
          <t>avverkningsanmälan</t>
        </is>
      </c>
      <c r="C457" t="inlineStr">
        <is>
          <t>Föryngringsavverkning</t>
        </is>
      </c>
      <c r="D457" s="1" t="n">
        <v>44589</v>
      </c>
      <c r="E457" s="1" t="n">
        <v>46323</v>
      </c>
      <c r="F457" t="inlineStr">
        <is>
          <t>KALMAR LÄN</t>
        </is>
      </c>
      <c r="G457" t="inlineStr">
        <is>
          <t>VÄSTERVIK</t>
        </is>
      </c>
      <c r="I457" t="n">
        <v>0.7</v>
      </c>
      <c r="J457" t="n">
        <v>0</v>
      </c>
      <c r="K457" t="n">
        <v>0</v>
      </c>
      <c r="L457" t="n">
        <v>0</v>
      </c>
      <c r="M457" t="n">
        <v>0</v>
      </c>
      <c r="N457" t="n">
        <v>0</v>
      </c>
      <c r="O457" t="n">
        <v>0</v>
      </c>
      <c r="P457" t="n">
        <v>0</v>
      </c>
      <c r="Q457" t="n">
        <v>0</v>
      </c>
      <c r="R457" t="n">
        <v>0</v>
      </c>
      <c r="S457" t="n">
        <v>0</v>
      </c>
      <c r="T457" t="n">
        <v>0</v>
      </c>
      <c r="U457" t="n">
        <v>0</v>
      </c>
      <c r="V457" s="2" t="inlineStr"/>
    </row>
    <row r="458" ht="15" customHeight="1">
      <c r="A458" t="inlineStr">
        <is>
          <t>A 49286-2022</t>
        </is>
      </c>
      <c r="B458" t="inlineStr">
        <is>
          <t>avverkningsanmälan</t>
        </is>
      </c>
      <c r="C458" t="inlineStr">
        <is>
          <t>Föryngringsavverkning</t>
        </is>
      </c>
      <c r="D458" s="1" t="n">
        <v>44861</v>
      </c>
      <c r="E458" s="1" t="n">
        <v>46323</v>
      </c>
      <c r="F458" t="inlineStr">
        <is>
          <t>KALMAR LÄN</t>
        </is>
      </c>
      <c r="G458" t="inlineStr">
        <is>
          <t>VÄSTERVIK</t>
        </is>
      </c>
      <c r="I458" t="n">
        <v>2.6</v>
      </c>
      <c r="J458" t="n">
        <v>0</v>
      </c>
      <c r="K458" t="n">
        <v>0</v>
      </c>
      <c r="L458" t="n">
        <v>0</v>
      </c>
      <c r="M458" t="n">
        <v>0</v>
      </c>
      <c r="N458" t="n">
        <v>0</v>
      </c>
      <c r="O458" t="n">
        <v>0</v>
      </c>
      <c r="P458" t="n">
        <v>0</v>
      </c>
      <c r="Q458" t="n">
        <v>0</v>
      </c>
      <c r="R458" t="n">
        <v>0</v>
      </c>
      <c r="S458" t="n">
        <v>0</v>
      </c>
      <c r="T458" t="n">
        <v>0</v>
      </c>
      <c r="U458" t="n">
        <v>0</v>
      </c>
      <c r="V458" s="2" t="inlineStr"/>
    </row>
    <row r="459" ht="15" customHeight="1">
      <c r="A459" t="inlineStr">
        <is>
          <t>A 14080-2025</t>
        </is>
      </c>
      <c r="B459" t="inlineStr">
        <is>
          <t>avverkningsanmälan</t>
        </is>
      </c>
      <c r="C459" t="inlineStr">
        <is>
          <t>Föryngringsavverkning</t>
        </is>
      </c>
      <c r="D459" s="1" t="n">
        <v>45740</v>
      </c>
      <c r="E459" s="1" t="n">
        <v>46323</v>
      </c>
      <c r="F459" t="inlineStr">
        <is>
          <t>KALMAR LÄN</t>
        </is>
      </c>
      <c r="G459" t="inlineStr">
        <is>
          <t>VÄSTERVIK</t>
        </is>
      </c>
      <c r="H459" t="inlineStr">
        <is>
          <t>Sveaskog</t>
        </is>
      </c>
      <c r="I459" t="n">
        <v>2</v>
      </c>
      <c r="J459" t="n">
        <v>0</v>
      </c>
      <c r="K459" t="n">
        <v>0</v>
      </c>
      <c r="L459" t="n">
        <v>0</v>
      </c>
      <c r="M459" t="n">
        <v>0</v>
      </c>
      <c r="N459" t="n">
        <v>0</v>
      </c>
      <c r="O459" t="n">
        <v>0</v>
      </c>
      <c r="P459" t="n">
        <v>0</v>
      </c>
      <c r="Q459" t="n">
        <v>0</v>
      </c>
      <c r="R459" t="n">
        <v>0</v>
      </c>
      <c r="S459" t="n">
        <v>0</v>
      </c>
      <c r="T459" t="n">
        <v>0</v>
      </c>
      <c r="U459" t="n">
        <v>0</v>
      </c>
      <c r="V459" s="2" t="inlineStr"/>
    </row>
    <row r="460" ht="15" customHeight="1">
      <c r="A460" t="inlineStr">
        <is>
          <t>A 8005-2023</t>
        </is>
      </c>
      <c r="B460" t="inlineStr">
        <is>
          <t>avverkningsanmälan</t>
        </is>
      </c>
      <c r="C460" t="inlineStr">
        <is>
          <t>Föryngringsavverkning</t>
        </is>
      </c>
      <c r="D460" s="1" t="n">
        <v>44973</v>
      </c>
      <c r="E460" s="1" t="n">
        <v>46323</v>
      </c>
      <c r="F460" t="inlineStr">
        <is>
          <t>KALMAR LÄN</t>
        </is>
      </c>
      <c r="G460" t="inlineStr">
        <is>
          <t>VÄSTERVIK</t>
        </is>
      </c>
      <c r="I460" t="n">
        <v>2</v>
      </c>
      <c r="J460" t="n">
        <v>0</v>
      </c>
      <c r="K460" t="n">
        <v>0</v>
      </c>
      <c r="L460" t="n">
        <v>0</v>
      </c>
      <c r="M460" t="n">
        <v>0</v>
      </c>
      <c r="N460" t="n">
        <v>0</v>
      </c>
      <c r="O460" t="n">
        <v>0</v>
      </c>
      <c r="P460" t="n">
        <v>0</v>
      </c>
      <c r="Q460" t="n">
        <v>0</v>
      </c>
      <c r="R460" t="n">
        <v>0</v>
      </c>
      <c r="S460" t="n">
        <v>0</v>
      </c>
      <c r="T460" t="n">
        <v>0</v>
      </c>
      <c r="U460" t="n">
        <v>0</v>
      </c>
      <c r="V460" s="2" t="inlineStr"/>
    </row>
    <row r="461" ht="15" customHeight="1">
      <c r="A461" t="inlineStr">
        <is>
          <t>A 56046-2023</t>
        </is>
      </c>
      <c r="B461" t="inlineStr">
        <is>
          <t>avverkningsanmälan</t>
        </is>
      </c>
      <c r="C461" t="inlineStr">
        <is>
          <t>Föryngringsavverkning</t>
        </is>
      </c>
      <c r="D461" s="1" t="n">
        <v>45240</v>
      </c>
      <c r="E461" s="1" t="n">
        <v>46323</v>
      </c>
      <c r="F461" t="inlineStr">
        <is>
          <t>KALMAR LÄN</t>
        </is>
      </c>
      <c r="G461" t="inlineStr">
        <is>
          <t>VÄSTERVIK</t>
        </is>
      </c>
      <c r="I461" t="n">
        <v>0.9</v>
      </c>
      <c r="J461" t="n">
        <v>0</v>
      </c>
      <c r="K461" t="n">
        <v>0</v>
      </c>
      <c r="L461" t="n">
        <v>0</v>
      </c>
      <c r="M461" t="n">
        <v>0</v>
      </c>
      <c r="N461" t="n">
        <v>0</v>
      </c>
      <c r="O461" t="n">
        <v>0</v>
      </c>
      <c r="P461" t="n">
        <v>0</v>
      </c>
      <c r="Q461" t="n">
        <v>0</v>
      </c>
      <c r="R461" t="n">
        <v>0</v>
      </c>
      <c r="S461" t="n">
        <v>0</v>
      </c>
      <c r="T461" t="n">
        <v>0</v>
      </c>
      <c r="U461" t="n">
        <v>0</v>
      </c>
      <c r="V461" s="2" t="inlineStr"/>
    </row>
    <row r="462" ht="15" customHeight="1">
      <c r="A462" t="inlineStr">
        <is>
          <t>A 47124-2023</t>
        </is>
      </c>
      <c r="B462" t="inlineStr">
        <is>
          <t>avverkningsanmälan</t>
        </is>
      </c>
      <c r="C462" t="inlineStr">
        <is>
          <t>Föryngringsavverkning</t>
        </is>
      </c>
      <c r="D462" s="1" t="n">
        <v>45201</v>
      </c>
      <c r="E462" s="1" t="n">
        <v>46323</v>
      </c>
      <c r="F462" t="inlineStr">
        <is>
          <t>KALMAR LÄN</t>
        </is>
      </c>
      <c r="G462" t="inlineStr">
        <is>
          <t>VÄSTERVIK</t>
        </is>
      </c>
      <c r="I462" t="n">
        <v>1.5</v>
      </c>
      <c r="J462" t="n">
        <v>0</v>
      </c>
      <c r="K462" t="n">
        <v>0</v>
      </c>
      <c r="L462" t="n">
        <v>0</v>
      </c>
      <c r="M462" t="n">
        <v>0</v>
      </c>
      <c r="N462" t="n">
        <v>0</v>
      </c>
      <c r="O462" t="n">
        <v>0</v>
      </c>
      <c r="P462" t="n">
        <v>0</v>
      </c>
      <c r="Q462" t="n">
        <v>0</v>
      </c>
      <c r="R462" t="n">
        <v>0</v>
      </c>
      <c r="S462" t="n">
        <v>0</v>
      </c>
      <c r="T462" t="n">
        <v>0</v>
      </c>
      <c r="U462" t="n">
        <v>0</v>
      </c>
      <c r="V462" s="2" t="inlineStr"/>
    </row>
    <row r="463" ht="15" customHeight="1">
      <c r="A463" t="inlineStr">
        <is>
          <t>A 59696-2023</t>
        </is>
      </c>
      <c r="B463" t="inlineStr">
        <is>
          <t>avverkningsanmälan</t>
        </is>
      </c>
      <c r="C463" t="inlineStr">
        <is>
          <t>Föryngringsavverkning</t>
        </is>
      </c>
      <c r="D463" s="1" t="n">
        <v>45256</v>
      </c>
      <c r="E463" s="1" t="n">
        <v>46323</v>
      </c>
      <c r="F463" t="inlineStr">
        <is>
          <t>KALMAR LÄN</t>
        </is>
      </c>
      <c r="G463" t="inlineStr">
        <is>
          <t>VÄSTERVIK</t>
        </is>
      </c>
      <c r="H463" t="inlineStr">
        <is>
          <t>Sveaskog</t>
        </is>
      </c>
      <c r="I463" t="n">
        <v>1.2</v>
      </c>
      <c r="J463" t="n">
        <v>0</v>
      </c>
      <c r="K463" t="n">
        <v>0</v>
      </c>
      <c r="L463" t="n">
        <v>0</v>
      </c>
      <c r="M463" t="n">
        <v>0</v>
      </c>
      <c r="N463" t="n">
        <v>0</v>
      </c>
      <c r="O463" t="n">
        <v>0</v>
      </c>
      <c r="P463" t="n">
        <v>0</v>
      </c>
      <c r="Q463" t="n">
        <v>0</v>
      </c>
      <c r="R463" t="n">
        <v>0</v>
      </c>
      <c r="S463" t="n">
        <v>0</v>
      </c>
      <c r="T463" t="n">
        <v>0</v>
      </c>
      <c r="U463" t="n">
        <v>0</v>
      </c>
      <c r="V463" s="2" t="inlineStr"/>
    </row>
    <row r="464" ht="15" customHeight="1">
      <c r="A464" t="inlineStr">
        <is>
          <t>A 60056-2023</t>
        </is>
      </c>
      <c r="B464" t="inlineStr">
        <is>
          <t>avverkningsanmälan</t>
        </is>
      </c>
      <c r="C464" t="inlineStr">
        <is>
          <t>Avverkning för annat ändamål</t>
        </is>
      </c>
      <c r="D464" s="1" t="n">
        <v>45258</v>
      </c>
      <c r="E464" s="1" t="n">
        <v>46323</v>
      </c>
      <c r="F464" t="inlineStr">
        <is>
          <t>KALMAR LÄN</t>
        </is>
      </c>
      <c r="G464" t="inlineStr">
        <is>
          <t>VÄSTERVIK</t>
        </is>
      </c>
      <c r="I464" t="n">
        <v>0.4</v>
      </c>
      <c r="J464" t="n">
        <v>0</v>
      </c>
      <c r="K464" t="n">
        <v>0</v>
      </c>
      <c r="L464" t="n">
        <v>0</v>
      </c>
      <c r="M464" t="n">
        <v>0</v>
      </c>
      <c r="N464" t="n">
        <v>0</v>
      </c>
      <c r="O464" t="n">
        <v>0</v>
      </c>
      <c r="P464" t="n">
        <v>0</v>
      </c>
      <c r="Q464" t="n">
        <v>0</v>
      </c>
      <c r="R464" t="n">
        <v>0</v>
      </c>
      <c r="S464" t="n">
        <v>0</v>
      </c>
      <c r="T464" t="n">
        <v>0</v>
      </c>
      <c r="U464" t="n">
        <v>0</v>
      </c>
      <c r="V464" s="2" t="inlineStr"/>
    </row>
    <row r="465" ht="15" customHeight="1">
      <c r="A465" t="inlineStr">
        <is>
          <t>A 6941-2025</t>
        </is>
      </c>
      <c r="B465" t="inlineStr">
        <is>
          <t>avverkningsanmälan</t>
        </is>
      </c>
      <c r="C465" t="inlineStr">
        <is>
          <t>Föryngringsavverkning</t>
        </is>
      </c>
      <c r="D465" s="1" t="n">
        <v>45701</v>
      </c>
      <c r="E465" s="1" t="n">
        <v>46323</v>
      </c>
      <c r="F465" t="inlineStr">
        <is>
          <t>KALMAR LÄN</t>
        </is>
      </c>
      <c r="G465" t="inlineStr">
        <is>
          <t>VÄSTERVIK</t>
        </is>
      </c>
      <c r="I465" t="n">
        <v>1.3</v>
      </c>
      <c r="J465" t="n">
        <v>0</v>
      </c>
      <c r="K465" t="n">
        <v>0</v>
      </c>
      <c r="L465" t="n">
        <v>0</v>
      </c>
      <c r="M465" t="n">
        <v>0</v>
      </c>
      <c r="N465" t="n">
        <v>0</v>
      </c>
      <c r="O465" t="n">
        <v>0</v>
      </c>
      <c r="P465" t="n">
        <v>0</v>
      </c>
      <c r="Q465" t="n">
        <v>0</v>
      </c>
      <c r="R465" t="n">
        <v>0</v>
      </c>
      <c r="S465" t="n">
        <v>0</v>
      </c>
      <c r="T465" t="n">
        <v>0</v>
      </c>
      <c r="U465" t="n">
        <v>0</v>
      </c>
      <c r="V465" s="2" t="inlineStr"/>
    </row>
    <row r="466" ht="15" customHeight="1">
      <c r="A466" t="inlineStr">
        <is>
          <t>A 46790-2022</t>
        </is>
      </c>
      <c r="B466" t="inlineStr">
        <is>
          <t>avverkningsanmälan</t>
        </is>
      </c>
      <c r="C466" t="inlineStr">
        <is>
          <t>Föryngringsavverkning</t>
        </is>
      </c>
      <c r="D466" s="1" t="n">
        <v>44851</v>
      </c>
      <c r="E466" s="1" t="n">
        <v>46323</v>
      </c>
      <c r="F466" t="inlineStr">
        <is>
          <t>KALMAR LÄN</t>
        </is>
      </c>
      <c r="G466" t="inlineStr">
        <is>
          <t>VÄSTERVIK</t>
        </is>
      </c>
      <c r="I466" t="n">
        <v>9.9</v>
      </c>
      <c r="J466" t="n">
        <v>0</v>
      </c>
      <c r="K466" t="n">
        <v>0</v>
      </c>
      <c r="L466" t="n">
        <v>0</v>
      </c>
      <c r="M466" t="n">
        <v>0</v>
      </c>
      <c r="N466" t="n">
        <v>0</v>
      </c>
      <c r="O466" t="n">
        <v>0</v>
      </c>
      <c r="P466" t="n">
        <v>0</v>
      </c>
      <c r="Q466" t="n">
        <v>0</v>
      </c>
      <c r="R466" t="n">
        <v>0</v>
      </c>
      <c r="S466" t="n">
        <v>0</v>
      </c>
      <c r="T466" t="n">
        <v>0</v>
      </c>
      <c r="U466" t="n">
        <v>0</v>
      </c>
      <c r="V466" s="2" t="inlineStr"/>
    </row>
    <row r="467" ht="15" customHeight="1">
      <c r="A467" t="inlineStr">
        <is>
          <t>A 50127-2023</t>
        </is>
      </c>
      <c r="B467" t="inlineStr">
        <is>
          <t>avverkningsanmälan</t>
        </is>
      </c>
      <c r="C467" t="inlineStr">
        <is>
          <t>Föryngringsavverkning</t>
        </is>
      </c>
      <c r="D467" s="1" t="n">
        <v>45215</v>
      </c>
      <c r="E467" s="1" t="n">
        <v>46323</v>
      </c>
      <c r="F467" t="inlineStr">
        <is>
          <t>KALMAR LÄN</t>
        </is>
      </c>
      <c r="G467" t="inlineStr">
        <is>
          <t>VÄSTERVIK</t>
        </is>
      </c>
      <c r="I467" t="n">
        <v>1.2</v>
      </c>
      <c r="J467" t="n">
        <v>0</v>
      </c>
      <c r="K467" t="n">
        <v>0</v>
      </c>
      <c r="L467" t="n">
        <v>0</v>
      </c>
      <c r="M467" t="n">
        <v>0</v>
      </c>
      <c r="N467" t="n">
        <v>0</v>
      </c>
      <c r="O467" t="n">
        <v>0</v>
      </c>
      <c r="P467" t="n">
        <v>0</v>
      </c>
      <c r="Q467" t="n">
        <v>0</v>
      </c>
      <c r="R467" t="n">
        <v>0</v>
      </c>
      <c r="S467" t="n">
        <v>0</v>
      </c>
      <c r="T467" t="n">
        <v>0</v>
      </c>
      <c r="U467" t="n">
        <v>0</v>
      </c>
      <c r="V467" s="2" t="inlineStr"/>
    </row>
    <row r="468" ht="15" customHeight="1">
      <c r="A468" t="inlineStr">
        <is>
          <t>A 62304-2022</t>
        </is>
      </c>
      <c r="B468" t="inlineStr">
        <is>
          <t>avverkningsanmälan</t>
        </is>
      </c>
      <c r="C468" t="inlineStr">
        <is>
          <t>Föryngringsavverkning</t>
        </is>
      </c>
      <c r="D468" s="1" t="n">
        <v>44923</v>
      </c>
      <c r="E468" s="1" t="n">
        <v>46323</v>
      </c>
      <c r="F468" t="inlineStr">
        <is>
          <t>KALMAR LÄN</t>
        </is>
      </c>
      <c r="G468" t="inlineStr">
        <is>
          <t>VÄSTERVIK</t>
        </is>
      </c>
      <c r="I468" t="n">
        <v>1</v>
      </c>
      <c r="J468" t="n">
        <v>0</v>
      </c>
      <c r="K468" t="n">
        <v>0</v>
      </c>
      <c r="L468" t="n">
        <v>0</v>
      </c>
      <c r="M468" t="n">
        <v>0</v>
      </c>
      <c r="N468" t="n">
        <v>0</v>
      </c>
      <c r="O468" t="n">
        <v>0</v>
      </c>
      <c r="P468" t="n">
        <v>0</v>
      </c>
      <c r="Q468" t="n">
        <v>0</v>
      </c>
      <c r="R468" t="n">
        <v>0</v>
      </c>
      <c r="S468" t="n">
        <v>0</v>
      </c>
      <c r="T468" t="n">
        <v>0</v>
      </c>
      <c r="U468" t="n">
        <v>0</v>
      </c>
      <c r="V468" s="2" t="inlineStr"/>
    </row>
    <row r="469" ht="15" customHeight="1">
      <c r="A469" t="inlineStr">
        <is>
          <t>A 62306-2022</t>
        </is>
      </c>
      <c r="B469" t="inlineStr">
        <is>
          <t>avverkningsanmälan</t>
        </is>
      </c>
      <c r="C469" t="inlineStr">
        <is>
          <t>Föryngringsavverkning</t>
        </is>
      </c>
      <c r="D469" s="1" t="n">
        <v>44923</v>
      </c>
      <c r="E469" s="1" t="n">
        <v>46323</v>
      </c>
      <c r="F469" t="inlineStr">
        <is>
          <t>KALMAR LÄN</t>
        </is>
      </c>
      <c r="G469" t="inlineStr">
        <is>
          <t>VÄSTERVIK</t>
        </is>
      </c>
      <c r="I469" t="n">
        <v>1.5</v>
      </c>
      <c r="J469" t="n">
        <v>0</v>
      </c>
      <c r="K469" t="n">
        <v>0</v>
      </c>
      <c r="L469" t="n">
        <v>0</v>
      </c>
      <c r="M469" t="n">
        <v>0</v>
      </c>
      <c r="N469" t="n">
        <v>0</v>
      </c>
      <c r="O469" t="n">
        <v>0</v>
      </c>
      <c r="P469" t="n">
        <v>0</v>
      </c>
      <c r="Q469" t="n">
        <v>0</v>
      </c>
      <c r="R469" t="n">
        <v>0</v>
      </c>
      <c r="S469" t="n">
        <v>0</v>
      </c>
      <c r="T469" t="n">
        <v>0</v>
      </c>
      <c r="U469" t="n">
        <v>0</v>
      </c>
      <c r="V469" s="2" t="inlineStr"/>
    </row>
    <row r="470" ht="15" customHeight="1">
      <c r="A470" t="inlineStr">
        <is>
          <t>A 32388-2024</t>
        </is>
      </c>
      <c r="B470" t="inlineStr">
        <is>
          <t>avverkningsanmälan</t>
        </is>
      </c>
      <c r="C470" t="inlineStr">
        <is>
          <t>Föryngringsavverkning</t>
        </is>
      </c>
      <c r="D470" s="1" t="n">
        <v>45512</v>
      </c>
      <c r="E470" s="1" t="n">
        <v>46323</v>
      </c>
      <c r="F470" t="inlineStr">
        <is>
          <t>KALMAR LÄN</t>
        </is>
      </c>
      <c r="G470" t="inlineStr">
        <is>
          <t>VÄSTERVIK</t>
        </is>
      </c>
      <c r="I470" t="n">
        <v>1.2</v>
      </c>
      <c r="J470" t="n">
        <v>0</v>
      </c>
      <c r="K470" t="n">
        <v>0</v>
      </c>
      <c r="L470" t="n">
        <v>0</v>
      </c>
      <c r="M470" t="n">
        <v>0</v>
      </c>
      <c r="N470" t="n">
        <v>0</v>
      </c>
      <c r="O470" t="n">
        <v>0</v>
      </c>
      <c r="P470" t="n">
        <v>0</v>
      </c>
      <c r="Q470" t="n">
        <v>0</v>
      </c>
      <c r="R470" t="n">
        <v>0</v>
      </c>
      <c r="S470" t="n">
        <v>0</v>
      </c>
      <c r="T470" t="n">
        <v>0</v>
      </c>
      <c r="U470" t="n">
        <v>0</v>
      </c>
      <c r="V470" s="2" t="inlineStr"/>
    </row>
    <row r="471" ht="15" customHeight="1">
      <c r="A471" t="inlineStr">
        <is>
          <t>A 32389-2024</t>
        </is>
      </c>
      <c r="B471" t="inlineStr">
        <is>
          <t>avverkningsanmälan</t>
        </is>
      </c>
      <c r="C471" t="inlineStr">
        <is>
          <t>Föryngringsavverkning</t>
        </is>
      </c>
      <c r="D471" s="1" t="n">
        <v>45512</v>
      </c>
      <c r="E471" s="1" t="n">
        <v>46323</v>
      </c>
      <c r="F471" t="inlineStr">
        <is>
          <t>KALMAR LÄN</t>
        </is>
      </c>
      <c r="G471" t="inlineStr">
        <is>
          <t>VÄSTERVIK</t>
        </is>
      </c>
      <c r="I471" t="n">
        <v>1.3</v>
      </c>
      <c r="J471" t="n">
        <v>0</v>
      </c>
      <c r="K471" t="n">
        <v>0</v>
      </c>
      <c r="L471" t="n">
        <v>0</v>
      </c>
      <c r="M471" t="n">
        <v>0</v>
      </c>
      <c r="N471" t="n">
        <v>0</v>
      </c>
      <c r="O471" t="n">
        <v>0</v>
      </c>
      <c r="P471" t="n">
        <v>0</v>
      </c>
      <c r="Q471" t="n">
        <v>0</v>
      </c>
      <c r="R471" t="n">
        <v>0</v>
      </c>
      <c r="S471" t="n">
        <v>0</v>
      </c>
      <c r="T471" t="n">
        <v>0</v>
      </c>
      <c r="U471" t="n">
        <v>0</v>
      </c>
      <c r="V471" s="2" t="inlineStr"/>
    </row>
    <row r="472" ht="15" customHeight="1">
      <c r="A472" t="inlineStr">
        <is>
          <t>A 23080-2023</t>
        </is>
      </c>
      <c r="B472" t="inlineStr">
        <is>
          <t>avverkningsanmälan</t>
        </is>
      </c>
      <c r="C472" t="inlineStr">
        <is>
          <t>Föryngringsavverkning</t>
        </is>
      </c>
      <c r="D472" s="1" t="n">
        <v>45075</v>
      </c>
      <c r="E472" s="1" t="n">
        <v>46323</v>
      </c>
      <c r="F472" t="inlineStr">
        <is>
          <t>KALMAR LÄN</t>
        </is>
      </c>
      <c r="G472" t="inlineStr">
        <is>
          <t>VÄSTERVIK</t>
        </is>
      </c>
      <c r="I472" t="n">
        <v>0.6</v>
      </c>
      <c r="J472" t="n">
        <v>0</v>
      </c>
      <c r="K472" t="n">
        <v>0</v>
      </c>
      <c r="L472" t="n">
        <v>0</v>
      </c>
      <c r="M472" t="n">
        <v>0</v>
      </c>
      <c r="N472" t="n">
        <v>0</v>
      </c>
      <c r="O472" t="n">
        <v>0</v>
      </c>
      <c r="P472" t="n">
        <v>0</v>
      </c>
      <c r="Q472" t="n">
        <v>0</v>
      </c>
      <c r="R472" t="n">
        <v>0</v>
      </c>
      <c r="S472" t="n">
        <v>0</v>
      </c>
      <c r="T472" t="n">
        <v>0</v>
      </c>
      <c r="U472" t="n">
        <v>0</v>
      </c>
      <c r="V472" s="2" t="inlineStr"/>
    </row>
    <row r="473" ht="15" customHeight="1">
      <c r="A473" t="inlineStr">
        <is>
          <t>A 54190-2022</t>
        </is>
      </c>
      <c r="B473" t="inlineStr">
        <is>
          <t>avverkningsanmälan</t>
        </is>
      </c>
      <c r="C473" t="inlineStr">
        <is>
          <t>Föryngringsavverkning</t>
        </is>
      </c>
      <c r="D473" s="1" t="n">
        <v>44881</v>
      </c>
      <c r="E473" s="1" t="n">
        <v>46323</v>
      </c>
      <c r="F473" t="inlineStr">
        <is>
          <t>KALMAR LÄN</t>
        </is>
      </c>
      <c r="G473" t="inlineStr">
        <is>
          <t>VÄSTERVIK</t>
        </is>
      </c>
      <c r="I473" t="n">
        <v>7.4</v>
      </c>
      <c r="J473" t="n">
        <v>0</v>
      </c>
      <c r="K473" t="n">
        <v>0</v>
      </c>
      <c r="L473" t="n">
        <v>0</v>
      </c>
      <c r="M473" t="n">
        <v>0</v>
      </c>
      <c r="N473" t="n">
        <v>0</v>
      </c>
      <c r="O473" t="n">
        <v>0</v>
      </c>
      <c r="P473" t="n">
        <v>0</v>
      </c>
      <c r="Q473" t="n">
        <v>0</v>
      </c>
      <c r="R473" t="n">
        <v>0</v>
      </c>
      <c r="S473" t="n">
        <v>0</v>
      </c>
      <c r="T473" t="n">
        <v>0</v>
      </c>
      <c r="U473" t="n">
        <v>0</v>
      </c>
      <c r="V473" s="2" t="inlineStr"/>
    </row>
    <row r="474" ht="15" customHeight="1">
      <c r="A474" t="inlineStr">
        <is>
          <t>A 11122-2025</t>
        </is>
      </c>
      <c r="B474" t="inlineStr">
        <is>
          <t>avverkningsanmälan</t>
        </is>
      </c>
      <c r="C474" t="inlineStr">
        <is>
          <t>Föryngringsavverkning</t>
        </is>
      </c>
      <c r="D474" s="1" t="n">
        <v>45723</v>
      </c>
      <c r="E474" s="1" t="n">
        <v>46323</v>
      </c>
      <c r="F474" t="inlineStr">
        <is>
          <t>KALMAR LÄN</t>
        </is>
      </c>
      <c r="G474" t="inlineStr">
        <is>
          <t>VÄSTERVIK</t>
        </is>
      </c>
      <c r="I474" t="n">
        <v>0.3</v>
      </c>
      <c r="J474" t="n">
        <v>0</v>
      </c>
      <c r="K474" t="n">
        <v>0</v>
      </c>
      <c r="L474" t="n">
        <v>0</v>
      </c>
      <c r="M474" t="n">
        <v>0</v>
      </c>
      <c r="N474" t="n">
        <v>0</v>
      </c>
      <c r="O474" t="n">
        <v>0</v>
      </c>
      <c r="P474" t="n">
        <v>0</v>
      </c>
      <c r="Q474" t="n">
        <v>0</v>
      </c>
      <c r="R474" t="n">
        <v>0</v>
      </c>
      <c r="S474" t="n">
        <v>0</v>
      </c>
      <c r="T474" t="n">
        <v>0</v>
      </c>
      <c r="U474" t="n">
        <v>0</v>
      </c>
      <c r="V474" s="2" t="inlineStr"/>
    </row>
    <row r="475" ht="15" customHeight="1">
      <c r="A475" t="inlineStr">
        <is>
          <t>A 8597-2023</t>
        </is>
      </c>
      <c r="B475" t="inlineStr">
        <is>
          <t>avverkningsanmälan</t>
        </is>
      </c>
      <c r="C475" t="inlineStr">
        <is>
          <t>Föryngringsavverkning</t>
        </is>
      </c>
      <c r="D475" s="1" t="n">
        <v>44977</v>
      </c>
      <c r="E475" s="1" t="n">
        <v>46323</v>
      </c>
      <c r="F475" t="inlineStr">
        <is>
          <t>KALMAR LÄN</t>
        </is>
      </c>
      <c r="G475" t="inlineStr">
        <is>
          <t>VÄSTERVIK</t>
        </is>
      </c>
      <c r="I475" t="n">
        <v>0.2</v>
      </c>
      <c r="J475" t="n">
        <v>0</v>
      </c>
      <c r="K475" t="n">
        <v>0</v>
      </c>
      <c r="L475" t="n">
        <v>0</v>
      </c>
      <c r="M475" t="n">
        <v>0</v>
      </c>
      <c r="N475" t="n">
        <v>0</v>
      </c>
      <c r="O475" t="n">
        <v>0</v>
      </c>
      <c r="P475" t="n">
        <v>0</v>
      </c>
      <c r="Q475" t="n">
        <v>0</v>
      </c>
      <c r="R475" t="n">
        <v>0</v>
      </c>
      <c r="S475" t="n">
        <v>0</v>
      </c>
      <c r="T475" t="n">
        <v>0</v>
      </c>
      <c r="U475" t="n">
        <v>0</v>
      </c>
      <c r="V475" s="2" t="inlineStr"/>
    </row>
    <row r="476" ht="15" customHeight="1">
      <c r="A476" t="inlineStr">
        <is>
          <t>A 21831-2023</t>
        </is>
      </c>
      <c r="B476" t="inlineStr">
        <is>
          <t>avverkningsanmälan</t>
        </is>
      </c>
      <c r="C476" t="inlineStr">
        <is>
          <t>Föryngringsavverkning</t>
        </is>
      </c>
      <c r="D476" s="1" t="n">
        <v>45068</v>
      </c>
      <c r="E476" s="1" t="n">
        <v>46323</v>
      </c>
      <c r="F476" t="inlineStr">
        <is>
          <t>KALMAR LÄN</t>
        </is>
      </c>
      <c r="G476" t="inlineStr">
        <is>
          <t>VÄSTERVIK</t>
        </is>
      </c>
      <c r="I476" t="n">
        <v>0.4</v>
      </c>
      <c r="J476" t="n">
        <v>0</v>
      </c>
      <c r="K476" t="n">
        <v>0</v>
      </c>
      <c r="L476" t="n">
        <v>0</v>
      </c>
      <c r="M476" t="n">
        <v>0</v>
      </c>
      <c r="N476" t="n">
        <v>0</v>
      </c>
      <c r="O476" t="n">
        <v>0</v>
      </c>
      <c r="P476" t="n">
        <v>0</v>
      </c>
      <c r="Q476" t="n">
        <v>0</v>
      </c>
      <c r="R476" t="n">
        <v>0</v>
      </c>
      <c r="S476" t="n">
        <v>0</v>
      </c>
      <c r="T476" t="n">
        <v>0</v>
      </c>
      <c r="U476" t="n">
        <v>0</v>
      </c>
      <c r="V476" s="2" t="inlineStr"/>
    </row>
    <row r="477" ht="15" customHeight="1">
      <c r="A477" t="inlineStr">
        <is>
          <t>A 33969-2024</t>
        </is>
      </c>
      <c r="B477" t="inlineStr">
        <is>
          <t>avverkningsanmälan</t>
        </is>
      </c>
      <c r="C477" t="inlineStr">
        <is>
          <t>Föryngringsavverkning</t>
        </is>
      </c>
      <c r="D477" s="1" t="n">
        <v>45523</v>
      </c>
      <c r="E477" s="1" t="n">
        <v>46323</v>
      </c>
      <c r="F477" t="inlineStr">
        <is>
          <t>KALMAR LÄN</t>
        </is>
      </c>
      <c r="G477" t="inlineStr">
        <is>
          <t>VÄSTERVIK</t>
        </is>
      </c>
      <c r="I477" t="n">
        <v>0.6</v>
      </c>
      <c r="J477" t="n">
        <v>0</v>
      </c>
      <c r="K477" t="n">
        <v>0</v>
      </c>
      <c r="L477" t="n">
        <v>0</v>
      </c>
      <c r="M477" t="n">
        <v>0</v>
      </c>
      <c r="N477" t="n">
        <v>0</v>
      </c>
      <c r="O477" t="n">
        <v>0</v>
      </c>
      <c r="P477" t="n">
        <v>0</v>
      </c>
      <c r="Q477" t="n">
        <v>0</v>
      </c>
      <c r="R477" t="n">
        <v>0</v>
      </c>
      <c r="S477" t="n">
        <v>0</v>
      </c>
      <c r="T477" t="n">
        <v>0</v>
      </c>
      <c r="U477" t="n">
        <v>0</v>
      </c>
      <c r="V477" s="2" t="inlineStr"/>
    </row>
    <row r="478" ht="15" customHeight="1">
      <c r="A478" t="inlineStr">
        <is>
          <t>A 29405-2024</t>
        </is>
      </c>
      <c r="B478" t="inlineStr">
        <is>
          <t>avverkningsanmälan</t>
        </is>
      </c>
      <c r="C478" t="inlineStr">
        <is>
          <t>Föryngringsavverkning</t>
        </is>
      </c>
      <c r="D478" s="1" t="n">
        <v>45483</v>
      </c>
      <c r="E478" s="1" t="n">
        <v>46323</v>
      </c>
      <c r="F478" t="inlineStr">
        <is>
          <t>KALMAR LÄN</t>
        </is>
      </c>
      <c r="G478" t="inlineStr">
        <is>
          <t>VÄSTERVIK</t>
        </is>
      </c>
      <c r="I478" t="n">
        <v>1.8</v>
      </c>
      <c r="J478" t="n">
        <v>0</v>
      </c>
      <c r="K478" t="n">
        <v>0</v>
      </c>
      <c r="L478" t="n">
        <v>0</v>
      </c>
      <c r="M478" t="n">
        <v>0</v>
      </c>
      <c r="N478" t="n">
        <v>0</v>
      </c>
      <c r="O478" t="n">
        <v>0</v>
      </c>
      <c r="P478" t="n">
        <v>0</v>
      </c>
      <c r="Q478" t="n">
        <v>0</v>
      </c>
      <c r="R478" t="n">
        <v>0</v>
      </c>
      <c r="S478" t="n">
        <v>0</v>
      </c>
      <c r="T478" t="n">
        <v>0</v>
      </c>
      <c r="U478" t="n">
        <v>0</v>
      </c>
      <c r="V478" s="2" t="inlineStr"/>
    </row>
    <row r="479" ht="15" customHeight="1">
      <c r="A479" t="inlineStr">
        <is>
          <t>A 3190-2023</t>
        </is>
      </c>
      <c r="B479" t="inlineStr">
        <is>
          <t>avverkningsanmälan</t>
        </is>
      </c>
      <c r="C479" t="inlineStr">
        <is>
          <t>Föryngringsavverkning</t>
        </is>
      </c>
      <c r="D479" s="1" t="n">
        <v>44946</v>
      </c>
      <c r="E479" s="1" t="n">
        <v>46323</v>
      </c>
      <c r="F479" t="inlineStr">
        <is>
          <t>KALMAR LÄN</t>
        </is>
      </c>
      <c r="G479" t="inlineStr">
        <is>
          <t>VÄSTERVIK</t>
        </is>
      </c>
      <c r="I479" t="n">
        <v>0.9</v>
      </c>
      <c r="J479" t="n">
        <v>0</v>
      </c>
      <c r="K479" t="n">
        <v>0</v>
      </c>
      <c r="L479" t="n">
        <v>0</v>
      </c>
      <c r="M479" t="n">
        <v>0</v>
      </c>
      <c r="N479" t="n">
        <v>0</v>
      </c>
      <c r="O479" t="n">
        <v>0</v>
      </c>
      <c r="P479" t="n">
        <v>0</v>
      </c>
      <c r="Q479" t="n">
        <v>0</v>
      </c>
      <c r="R479" t="n">
        <v>0</v>
      </c>
      <c r="S479" t="n">
        <v>0</v>
      </c>
      <c r="T479" t="n">
        <v>0</v>
      </c>
      <c r="U479" t="n">
        <v>0</v>
      </c>
      <c r="V479" s="2" t="inlineStr"/>
    </row>
    <row r="480" ht="15" customHeight="1">
      <c r="A480" t="inlineStr">
        <is>
          <t>A 23316-2023</t>
        </is>
      </c>
      <c r="B480" t="inlineStr">
        <is>
          <t>avverkningsanmälan</t>
        </is>
      </c>
      <c r="C480" t="inlineStr">
        <is>
          <t>Föryngringsavverkning</t>
        </is>
      </c>
      <c r="D480" s="1" t="n">
        <v>45076</v>
      </c>
      <c r="E480" s="1" t="n">
        <v>46323</v>
      </c>
      <c r="F480" t="inlineStr">
        <is>
          <t>KALMAR LÄN</t>
        </is>
      </c>
      <c r="G480" t="inlineStr">
        <is>
          <t>VÄSTERVIK</t>
        </is>
      </c>
      <c r="I480" t="n">
        <v>3.6</v>
      </c>
      <c r="J480" t="n">
        <v>0</v>
      </c>
      <c r="K480" t="n">
        <v>0</v>
      </c>
      <c r="L480" t="n">
        <v>0</v>
      </c>
      <c r="M480" t="n">
        <v>0</v>
      </c>
      <c r="N480" t="n">
        <v>0</v>
      </c>
      <c r="O480" t="n">
        <v>0</v>
      </c>
      <c r="P480" t="n">
        <v>0</v>
      </c>
      <c r="Q480" t="n">
        <v>0</v>
      </c>
      <c r="R480" t="n">
        <v>0</v>
      </c>
      <c r="S480" t="n">
        <v>0</v>
      </c>
      <c r="T480" t="n">
        <v>0</v>
      </c>
      <c r="U480" t="n">
        <v>0</v>
      </c>
      <c r="V480" s="2" t="inlineStr"/>
    </row>
    <row r="481" ht="15" customHeight="1">
      <c r="A481" t="inlineStr">
        <is>
          <t>A 5348-2024</t>
        </is>
      </c>
      <c r="B481" t="inlineStr">
        <is>
          <t>avverkningsanmälan</t>
        </is>
      </c>
      <c r="C481" t="inlineStr">
        <is>
          <t>Föryngringsavverkning</t>
        </is>
      </c>
      <c r="D481" s="1" t="n">
        <v>45331</v>
      </c>
      <c r="E481" s="1" t="n">
        <v>46323</v>
      </c>
      <c r="F481" t="inlineStr">
        <is>
          <t>KALMAR LÄN</t>
        </is>
      </c>
      <c r="G481" t="inlineStr">
        <is>
          <t>VÄSTERVIK</t>
        </is>
      </c>
      <c r="H481" t="inlineStr">
        <is>
          <t>Övriga Aktiebolag</t>
        </is>
      </c>
      <c r="I481" t="n">
        <v>0.8</v>
      </c>
      <c r="J481" t="n">
        <v>0</v>
      </c>
      <c r="K481" t="n">
        <v>0</v>
      </c>
      <c r="L481" t="n">
        <v>0</v>
      </c>
      <c r="M481" t="n">
        <v>0</v>
      </c>
      <c r="N481" t="n">
        <v>0</v>
      </c>
      <c r="O481" t="n">
        <v>0</v>
      </c>
      <c r="P481" t="n">
        <v>0</v>
      </c>
      <c r="Q481" t="n">
        <v>0</v>
      </c>
      <c r="R481" t="n">
        <v>0</v>
      </c>
      <c r="S481" t="n">
        <v>0</v>
      </c>
      <c r="T481" t="n">
        <v>0</v>
      </c>
      <c r="U481" t="n">
        <v>0</v>
      </c>
      <c r="V481" s="2" t="inlineStr"/>
    </row>
    <row r="482" ht="15" customHeight="1">
      <c r="A482" t="inlineStr">
        <is>
          <t>A 46562-2022</t>
        </is>
      </c>
      <c r="B482" t="inlineStr">
        <is>
          <t>avverkningsanmälan</t>
        </is>
      </c>
      <c r="C482" t="inlineStr">
        <is>
          <t>Föryngringsavverkning</t>
        </is>
      </c>
      <c r="D482" s="1" t="n">
        <v>44848</v>
      </c>
      <c r="E482" s="1" t="n">
        <v>46323</v>
      </c>
      <c r="F482" t="inlineStr">
        <is>
          <t>KALMAR LÄN</t>
        </is>
      </c>
      <c r="G482" t="inlineStr">
        <is>
          <t>VÄSTERVIK</t>
        </is>
      </c>
      <c r="H482" t="inlineStr">
        <is>
          <t>Sveaskog</t>
        </is>
      </c>
      <c r="I482" t="n">
        <v>1</v>
      </c>
      <c r="J482" t="n">
        <v>0</v>
      </c>
      <c r="K482" t="n">
        <v>0</v>
      </c>
      <c r="L482" t="n">
        <v>0</v>
      </c>
      <c r="M482" t="n">
        <v>0</v>
      </c>
      <c r="N482" t="n">
        <v>0</v>
      </c>
      <c r="O482" t="n">
        <v>0</v>
      </c>
      <c r="P482" t="n">
        <v>0</v>
      </c>
      <c r="Q482" t="n">
        <v>0</v>
      </c>
      <c r="R482" t="n">
        <v>0</v>
      </c>
      <c r="S482" t="n">
        <v>0</v>
      </c>
      <c r="T482" t="n">
        <v>0</v>
      </c>
      <c r="U482" t="n">
        <v>0</v>
      </c>
      <c r="V482" s="2" t="inlineStr"/>
    </row>
    <row r="483" ht="15" customHeight="1">
      <c r="A483" t="inlineStr">
        <is>
          <t>A 14072-2025</t>
        </is>
      </c>
      <c r="B483" t="inlineStr">
        <is>
          <t>avverkningsanmälan</t>
        </is>
      </c>
      <c r="C483" t="inlineStr">
        <is>
          <t>Föryngringsavverkning</t>
        </is>
      </c>
      <c r="D483" s="1" t="n">
        <v>45740</v>
      </c>
      <c r="E483" s="1" t="n">
        <v>46323</v>
      </c>
      <c r="F483" t="inlineStr">
        <is>
          <t>KALMAR LÄN</t>
        </is>
      </c>
      <c r="G483" t="inlineStr">
        <is>
          <t>VÄSTERVIK</t>
        </is>
      </c>
      <c r="H483" t="inlineStr">
        <is>
          <t>Sveaskog</t>
        </is>
      </c>
      <c r="I483" t="n">
        <v>1.9</v>
      </c>
      <c r="J483" t="n">
        <v>0</v>
      </c>
      <c r="K483" t="n">
        <v>0</v>
      </c>
      <c r="L483" t="n">
        <v>0</v>
      </c>
      <c r="M483" t="n">
        <v>0</v>
      </c>
      <c r="N483" t="n">
        <v>0</v>
      </c>
      <c r="O483" t="n">
        <v>0</v>
      </c>
      <c r="P483" t="n">
        <v>0</v>
      </c>
      <c r="Q483" t="n">
        <v>0</v>
      </c>
      <c r="R483" t="n">
        <v>0</v>
      </c>
      <c r="S483" t="n">
        <v>0</v>
      </c>
      <c r="T483" t="n">
        <v>0</v>
      </c>
      <c r="U483" t="n">
        <v>0</v>
      </c>
      <c r="V483" s="2" t="inlineStr"/>
    </row>
    <row r="484" ht="15" customHeight="1">
      <c r="A484" t="inlineStr">
        <is>
          <t>A 16692-2025</t>
        </is>
      </c>
      <c r="B484" t="inlineStr">
        <is>
          <t>avverkningsanmälan</t>
        </is>
      </c>
      <c r="C484" t="inlineStr">
        <is>
          <t>Föryngringsavverkning</t>
        </is>
      </c>
      <c r="D484" s="1" t="n">
        <v>45754</v>
      </c>
      <c r="E484" s="1" t="n">
        <v>46323</v>
      </c>
      <c r="F484" t="inlineStr">
        <is>
          <t>KALMAR LÄN</t>
        </is>
      </c>
      <c r="G484" t="inlineStr">
        <is>
          <t>VÄSTERVIK</t>
        </is>
      </c>
      <c r="H484" t="inlineStr">
        <is>
          <t>Sveaskog</t>
        </is>
      </c>
      <c r="I484" t="n">
        <v>0.6</v>
      </c>
      <c r="J484" t="n">
        <v>0</v>
      </c>
      <c r="K484" t="n">
        <v>0</v>
      </c>
      <c r="L484" t="n">
        <v>0</v>
      </c>
      <c r="M484" t="n">
        <v>0</v>
      </c>
      <c r="N484" t="n">
        <v>0</v>
      </c>
      <c r="O484" t="n">
        <v>0</v>
      </c>
      <c r="P484" t="n">
        <v>0</v>
      </c>
      <c r="Q484" t="n">
        <v>0</v>
      </c>
      <c r="R484" t="n">
        <v>0</v>
      </c>
      <c r="S484" t="n">
        <v>0</v>
      </c>
      <c r="T484" t="n">
        <v>0</v>
      </c>
      <c r="U484" t="n">
        <v>0</v>
      </c>
      <c r="V484" s="2" t="inlineStr"/>
    </row>
    <row r="485" ht="15" customHeight="1">
      <c r="A485" t="inlineStr">
        <is>
          <t>A 10725-2023</t>
        </is>
      </c>
      <c r="B485" t="inlineStr">
        <is>
          <t>avverkningsanmälan</t>
        </is>
      </c>
      <c r="C485" t="inlineStr">
        <is>
          <t>Föryngringsavverkning</t>
        </is>
      </c>
      <c r="D485" s="1" t="n">
        <v>44988</v>
      </c>
      <c r="E485" s="1" t="n">
        <v>46323</v>
      </c>
      <c r="F485" t="inlineStr">
        <is>
          <t>KALMAR LÄN</t>
        </is>
      </c>
      <c r="G485" t="inlineStr">
        <is>
          <t>VÄSTERVIK</t>
        </is>
      </c>
      <c r="I485" t="n">
        <v>0.6</v>
      </c>
      <c r="J485" t="n">
        <v>0</v>
      </c>
      <c r="K485" t="n">
        <v>0</v>
      </c>
      <c r="L485" t="n">
        <v>0</v>
      </c>
      <c r="M485" t="n">
        <v>0</v>
      </c>
      <c r="N485" t="n">
        <v>0</v>
      </c>
      <c r="O485" t="n">
        <v>0</v>
      </c>
      <c r="P485" t="n">
        <v>0</v>
      </c>
      <c r="Q485" t="n">
        <v>0</v>
      </c>
      <c r="R485" t="n">
        <v>0</v>
      </c>
      <c r="S485" t="n">
        <v>0</v>
      </c>
      <c r="T485" t="n">
        <v>0</v>
      </c>
      <c r="U485" t="n">
        <v>0</v>
      </c>
      <c r="V485" s="2" t="inlineStr"/>
    </row>
    <row r="486" ht="15" customHeight="1">
      <c r="A486" t="inlineStr">
        <is>
          <t>A 7360-2023</t>
        </is>
      </c>
      <c r="B486" t="inlineStr">
        <is>
          <t>avverkningsanmälan</t>
        </is>
      </c>
      <c r="C486" t="inlineStr">
        <is>
          <t>Föryngringsavverkning</t>
        </is>
      </c>
      <c r="D486" s="1" t="n">
        <v>44971</v>
      </c>
      <c r="E486" s="1" t="n">
        <v>46323</v>
      </c>
      <c r="F486" t="inlineStr">
        <is>
          <t>KALMAR LÄN</t>
        </is>
      </c>
      <c r="G486" t="inlineStr">
        <is>
          <t>VÄSTERVIK</t>
        </is>
      </c>
      <c r="I486" t="n">
        <v>0.5</v>
      </c>
      <c r="J486" t="n">
        <v>0</v>
      </c>
      <c r="K486" t="n">
        <v>0</v>
      </c>
      <c r="L486" t="n">
        <v>0</v>
      </c>
      <c r="M486" t="n">
        <v>0</v>
      </c>
      <c r="N486" t="n">
        <v>0</v>
      </c>
      <c r="O486" t="n">
        <v>0</v>
      </c>
      <c r="P486" t="n">
        <v>0</v>
      </c>
      <c r="Q486" t="n">
        <v>0</v>
      </c>
      <c r="R486" t="n">
        <v>0</v>
      </c>
      <c r="S486" t="n">
        <v>0</v>
      </c>
      <c r="T486" t="n">
        <v>0</v>
      </c>
      <c r="U486" t="n">
        <v>0</v>
      </c>
      <c r="V486" s="2" t="inlineStr"/>
    </row>
    <row r="487" ht="15" customHeight="1">
      <c r="A487" t="inlineStr">
        <is>
          <t>A 17306-2023</t>
        </is>
      </c>
      <c r="B487" t="inlineStr">
        <is>
          <t>avverkningsanmälan</t>
        </is>
      </c>
      <c r="C487" t="inlineStr">
        <is>
          <t>Föryngringsavverkning</t>
        </is>
      </c>
      <c r="D487" s="1" t="n">
        <v>45035</v>
      </c>
      <c r="E487" s="1" t="n">
        <v>46323</v>
      </c>
      <c r="F487" t="inlineStr">
        <is>
          <t>KALMAR LÄN</t>
        </is>
      </c>
      <c r="G487" t="inlineStr">
        <is>
          <t>VÄSTERVIK</t>
        </is>
      </c>
      <c r="I487" t="n">
        <v>4.3</v>
      </c>
      <c r="J487" t="n">
        <v>0</v>
      </c>
      <c r="K487" t="n">
        <v>0</v>
      </c>
      <c r="L487" t="n">
        <v>0</v>
      </c>
      <c r="M487" t="n">
        <v>0</v>
      </c>
      <c r="N487" t="n">
        <v>0</v>
      </c>
      <c r="O487" t="n">
        <v>0</v>
      </c>
      <c r="P487" t="n">
        <v>0</v>
      </c>
      <c r="Q487" t="n">
        <v>0</v>
      </c>
      <c r="R487" t="n">
        <v>0</v>
      </c>
      <c r="S487" t="n">
        <v>0</v>
      </c>
      <c r="T487" t="n">
        <v>0</v>
      </c>
      <c r="U487" t="n">
        <v>0</v>
      </c>
      <c r="V487" s="2" t="inlineStr"/>
    </row>
    <row r="488" ht="15" customHeight="1">
      <c r="A488" t="inlineStr">
        <is>
          <t>A 23317-2023</t>
        </is>
      </c>
      <c r="B488" t="inlineStr">
        <is>
          <t>avverkningsanmälan</t>
        </is>
      </c>
      <c r="C488" t="inlineStr">
        <is>
          <t>Föryngringsavverkning</t>
        </is>
      </c>
      <c r="D488" s="1" t="n">
        <v>45076</v>
      </c>
      <c r="E488" s="1" t="n">
        <v>46323</v>
      </c>
      <c r="F488" t="inlineStr">
        <is>
          <t>KALMAR LÄN</t>
        </is>
      </c>
      <c r="G488" t="inlineStr">
        <is>
          <t>VÄSTERVIK</t>
        </is>
      </c>
      <c r="I488" t="n">
        <v>1.1</v>
      </c>
      <c r="J488" t="n">
        <v>0</v>
      </c>
      <c r="K488" t="n">
        <v>0</v>
      </c>
      <c r="L488" t="n">
        <v>0</v>
      </c>
      <c r="M488" t="n">
        <v>0</v>
      </c>
      <c r="N488" t="n">
        <v>0</v>
      </c>
      <c r="O488" t="n">
        <v>0</v>
      </c>
      <c r="P488" t="n">
        <v>0</v>
      </c>
      <c r="Q488" t="n">
        <v>0</v>
      </c>
      <c r="R488" t="n">
        <v>0</v>
      </c>
      <c r="S488" t="n">
        <v>0</v>
      </c>
      <c r="T488" t="n">
        <v>0</v>
      </c>
      <c r="U488" t="n">
        <v>0</v>
      </c>
      <c r="V488" s="2" t="inlineStr"/>
    </row>
    <row r="489" ht="15" customHeight="1">
      <c r="A489" t="inlineStr">
        <is>
          <t>A 2543-2024</t>
        </is>
      </c>
      <c r="B489" t="inlineStr">
        <is>
          <t>avverkningsanmälan</t>
        </is>
      </c>
      <c r="C489" t="inlineStr">
        <is>
          <t>Föryngringsavverkning</t>
        </is>
      </c>
      <c r="D489" s="1" t="n">
        <v>45313</v>
      </c>
      <c r="E489" s="1" t="n">
        <v>46323</v>
      </c>
      <c r="F489" t="inlineStr">
        <is>
          <t>KALMAR LÄN</t>
        </is>
      </c>
      <c r="G489" t="inlineStr">
        <is>
          <t>VÄSTERVIK</t>
        </is>
      </c>
      <c r="I489" t="n">
        <v>1.4</v>
      </c>
      <c r="J489" t="n">
        <v>0</v>
      </c>
      <c r="K489" t="n">
        <v>0</v>
      </c>
      <c r="L489" t="n">
        <v>0</v>
      </c>
      <c r="M489" t="n">
        <v>0</v>
      </c>
      <c r="N489" t="n">
        <v>0</v>
      </c>
      <c r="O489" t="n">
        <v>0</v>
      </c>
      <c r="P489" t="n">
        <v>0</v>
      </c>
      <c r="Q489" t="n">
        <v>0</v>
      </c>
      <c r="R489" t="n">
        <v>0</v>
      </c>
      <c r="S489" t="n">
        <v>0</v>
      </c>
      <c r="T489" t="n">
        <v>0</v>
      </c>
      <c r="U489" t="n">
        <v>0</v>
      </c>
      <c r="V489" s="2" t="inlineStr"/>
    </row>
    <row r="490" ht="15" customHeight="1">
      <c r="A490" t="inlineStr">
        <is>
          <t>A 9220-2023</t>
        </is>
      </c>
      <c r="B490" t="inlineStr">
        <is>
          <t>avverkningsanmälan</t>
        </is>
      </c>
      <c r="C490" t="inlineStr">
        <is>
          <t>Föryngringsavverkning</t>
        </is>
      </c>
      <c r="D490" s="1" t="n">
        <v>44980</v>
      </c>
      <c r="E490" s="1" t="n">
        <v>46323</v>
      </c>
      <c r="F490" t="inlineStr">
        <is>
          <t>KALMAR LÄN</t>
        </is>
      </c>
      <c r="G490" t="inlineStr">
        <is>
          <t>VÄSTERVIK</t>
        </is>
      </c>
      <c r="I490" t="n">
        <v>0.7</v>
      </c>
      <c r="J490" t="n">
        <v>0</v>
      </c>
      <c r="K490" t="n">
        <v>0</v>
      </c>
      <c r="L490" t="n">
        <v>0</v>
      </c>
      <c r="M490" t="n">
        <v>0</v>
      </c>
      <c r="N490" t="n">
        <v>0</v>
      </c>
      <c r="O490" t="n">
        <v>0</v>
      </c>
      <c r="P490" t="n">
        <v>0</v>
      </c>
      <c r="Q490" t="n">
        <v>0</v>
      </c>
      <c r="R490" t="n">
        <v>0</v>
      </c>
      <c r="S490" t="n">
        <v>0</v>
      </c>
      <c r="T490" t="n">
        <v>0</v>
      </c>
      <c r="U490" t="n">
        <v>0</v>
      </c>
      <c r="V490" s="2" t="inlineStr"/>
    </row>
    <row r="491" ht="15" customHeight="1">
      <c r="A491" t="inlineStr">
        <is>
          <t>A 35162-2024</t>
        </is>
      </c>
      <c r="B491" t="inlineStr">
        <is>
          <t>avverkningsanmälan</t>
        </is>
      </c>
      <c r="C491" t="inlineStr">
        <is>
          <t>Föryngringsavverkning</t>
        </is>
      </c>
      <c r="D491" s="1" t="n">
        <v>45530</v>
      </c>
      <c r="E491" s="1" t="n">
        <v>46323</v>
      </c>
      <c r="F491" t="inlineStr">
        <is>
          <t>KALMAR LÄN</t>
        </is>
      </c>
      <c r="G491" t="inlineStr">
        <is>
          <t>VÄSTERVIK</t>
        </is>
      </c>
      <c r="H491" t="inlineStr">
        <is>
          <t>Sveaskog</t>
        </is>
      </c>
      <c r="I491" t="n">
        <v>0.7</v>
      </c>
      <c r="J491" t="n">
        <v>0</v>
      </c>
      <c r="K491" t="n">
        <v>0</v>
      </c>
      <c r="L491" t="n">
        <v>0</v>
      </c>
      <c r="M491" t="n">
        <v>0</v>
      </c>
      <c r="N491" t="n">
        <v>0</v>
      </c>
      <c r="O491" t="n">
        <v>0</v>
      </c>
      <c r="P491" t="n">
        <v>0</v>
      </c>
      <c r="Q491" t="n">
        <v>0</v>
      </c>
      <c r="R491" t="n">
        <v>0</v>
      </c>
      <c r="S491" t="n">
        <v>0</v>
      </c>
      <c r="T491" t="n">
        <v>0</v>
      </c>
      <c r="U491" t="n">
        <v>0</v>
      </c>
      <c r="V491" s="2" t="inlineStr"/>
    </row>
    <row r="492" ht="15" customHeight="1">
      <c r="A492" t="inlineStr">
        <is>
          <t>A 1568-2023</t>
        </is>
      </c>
      <c r="B492" t="inlineStr">
        <is>
          <t>avverkningsanmälan</t>
        </is>
      </c>
      <c r="C492" t="inlineStr">
        <is>
          <t>Föryngringsavverkning</t>
        </is>
      </c>
      <c r="D492" s="1" t="n">
        <v>44937</v>
      </c>
      <c r="E492" s="1" t="n">
        <v>46323</v>
      </c>
      <c r="F492" t="inlineStr">
        <is>
          <t>KALMAR LÄN</t>
        </is>
      </c>
      <c r="G492" t="inlineStr">
        <is>
          <t>VÄSTERVIK</t>
        </is>
      </c>
      <c r="I492" t="n">
        <v>0.8</v>
      </c>
      <c r="J492" t="n">
        <v>0</v>
      </c>
      <c r="K492" t="n">
        <v>0</v>
      </c>
      <c r="L492" t="n">
        <v>0</v>
      </c>
      <c r="M492" t="n">
        <v>0</v>
      </c>
      <c r="N492" t="n">
        <v>0</v>
      </c>
      <c r="O492" t="n">
        <v>0</v>
      </c>
      <c r="P492" t="n">
        <v>0</v>
      </c>
      <c r="Q492" t="n">
        <v>0</v>
      </c>
      <c r="R492" t="n">
        <v>0</v>
      </c>
      <c r="S492" t="n">
        <v>0</v>
      </c>
      <c r="T492" t="n">
        <v>0</v>
      </c>
      <c r="U492" t="n">
        <v>0</v>
      </c>
      <c r="V492" s="2" t="inlineStr"/>
    </row>
    <row r="493" ht="15" customHeight="1">
      <c r="A493" t="inlineStr">
        <is>
          <t>A 34646-2023</t>
        </is>
      </c>
      <c r="B493" t="inlineStr">
        <is>
          <t>avverkningsanmälan</t>
        </is>
      </c>
      <c r="C493" t="inlineStr">
        <is>
          <t>Föryngringsavverkning</t>
        </is>
      </c>
      <c r="D493" s="1" t="n">
        <v>45140</v>
      </c>
      <c r="E493" s="1" t="n">
        <v>46323</v>
      </c>
      <c r="F493" t="inlineStr">
        <is>
          <t>KALMAR LÄN</t>
        </is>
      </c>
      <c r="G493" t="inlineStr">
        <is>
          <t>VÄSTERVIK</t>
        </is>
      </c>
      <c r="I493" t="n">
        <v>3.1</v>
      </c>
      <c r="J493" t="n">
        <v>0</v>
      </c>
      <c r="K493" t="n">
        <v>0</v>
      </c>
      <c r="L493" t="n">
        <v>0</v>
      </c>
      <c r="M493" t="n">
        <v>0</v>
      </c>
      <c r="N493" t="n">
        <v>0</v>
      </c>
      <c r="O493" t="n">
        <v>0</v>
      </c>
      <c r="P493" t="n">
        <v>0</v>
      </c>
      <c r="Q493" t="n">
        <v>0</v>
      </c>
      <c r="R493" t="n">
        <v>0</v>
      </c>
      <c r="S493" t="n">
        <v>0</v>
      </c>
      <c r="T493" t="n">
        <v>0</v>
      </c>
      <c r="U493" t="n">
        <v>0</v>
      </c>
      <c r="V493" s="2" t="inlineStr"/>
    </row>
    <row r="494" ht="15" customHeight="1">
      <c r="A494" t="inlineStr">
        <is>
          <t>A 58707-2022</t>
        </is>
      </c>
      <c r="B494" t="inlineStr">
        <is>
          <t>avverkningsanmälan</t>
        </is>
      </c>
      <c r="C494" t="inlineStr">
        <is>
          <t>Föryngringsavverkning</t>
        </is>
      </c>
      <c r="D494" s="1" t="n">
        <v>44902</v>
      </c>
      <c r="E494" s="1" t="n">
        <v>46323</v>
      </c>
      <c r="F494" t="inlineStr">
        <is>
          <t>KALMAR LÄN</t>
        </is>
      </c>
      <c r="G494" t="inlineStr">
        <is>
          <t>VÄSTERVIK</t>
        </is>
      </c>
      <c r="I494" t="n">
        <v>2.3</v>
      </c>
      <c r="J494" t="n">
        <v>0</v>
      </c>
      <c r="K494" t="n">
        <v>0</v>
      </c>
      <c r="L494" t="n">
        <v>0</v>
      </c>
      <c r="M494" t="n">
        <v>0</v>
      </c>
      <c r="N494" t="n">
        <v>0</v>
      </c>
      <c r="O494" t="n">
        <v>0</v>
      </c>
      <c r="P494" t="n">
        <v>0</v>
      </c>
      <c r="Q494" t="n">
        <v>0</v>
      </c>
      <c r="R494" t="n">
        <v>0</v>
      </c>
      <c r="S494" t="n">
        <v>0</v>
      </c>
      <c r="T494" t="n">
        <v>0</v>
      </c>
      <c r="U494" t="n">
        <v>0</v>
      </c>
      <c r="V494" s="2" t="inlineStr"/>
    </row>
    <row r="495" ht="15" customHeight="1">
      <c r="A495" t="inlineStr">
        <is>
          <t>A 25714-2023</t>
        </is>
      </c>
      <c r="B495" t="inlineStr">
        <is>
          <t>avverkningsanmälan</t>
        </is>
      </c>
      <c r="C495" t="inlineStr">
        <is>
          <t>Föryngringsavverkning</t>
        </is>
      </c>
      <c r="D495" s="1" t="n">
        <v>45089</v>
      </c>
      <c r="E495" s="1" t="n">
        <v>46323</v>
      </c>
      <c r="F495" t="inlineStr">
        <is>
          <t>KALMAR LÄN</t>
        </is>
      </c>
      <c r="G495" t="inlineStr">
        <is>
          <t>VÄSTERVIK</t>
        </is>
      </c>
      <c r="I495" t="n">
        <v>10.5</v>
      </c>
      <c r="J495" t="n">
        <v>0</v>
      </c>
      <c r="K495" t="n">
        <v>0</v>
      </c>
      <c r="L495" t="n">
        <v>0</v>
      </c>
      <c r="M495" t="n">
        <v>0</v>
      </c>
      <c r="N495" t="n">
        <v>0</v>
      </c>
      <c r="O495" t="n">
        <v>0</v>
      </c>
      <c r="P495" t="n">
        <v>0</v>
      </c>
      <c r="Q495" t="n">
        <v>0</v>
      </c>
      <c r="R495" t="n">
        <v>0</v>
      </c>
      <c r="S495" t="n">
        <v>0</v>
      </c>
      <c r="T495" t="n">
        <v>0</v>
      </c>
      <c r="U495" t="n">
        <v>0</v>
      </c>
      <c r="V495" s="2" t="inlineStr"/>
    </row>
    <row r="496" ht="15" customHeight="1">
      <c r="A496" t="inlineStr">
        <is>
          <t>A 45202-2023</t>
        </is>
      </c>
      <c r="B496" t="inlineStr">
        <is>
          <t>avverkningsanmälan</t>
        </is>
      </c>
      <c r="C496" t="inlineStr">
        <is>
          <t>Föryngringsavverkning</t>
        </is>
      </c>
      <c r="D496" s="1" t="n">
        <v>45191</v>
      </c>
      <c r="E496" s="1" t="n">
        <v>46323</v>
      </c>
      <c r="F496" t="inlineStr">
        <is>
          <t>KALMAR LÄN</t>
        </is>
      </c>
      <c r="G496" t="inlineStr">
        <is>
          <t>VÄSTERVIK</t>
        </is>
      </c>
      <c r="H496" t="inlineStr">
        <is>
          <t>Holmen skog AB</t>
        </is>
      </c>
      <c r="I496" t="n">
        <v>1.3</v>
      </c>
      <c r="J496" t="n">
        <v>0</v>
      </c>
      <c r="K496" t="n">
        <v>0</v>
      </c>
      <c r="L496" t="n">
        <v>0</v>
      </c>
      <c r="M496" t="n">
        <v>0</v>
      </c>
      <c r="N496" t="n">
        <v>0</v>
      </c>
      <c r="O496" t="n">
        <v>0</v>
      </c>
      <c r="P496" t="n">
        <v>0</v>
      </c>
      <c r="Q496" t="n">
        <v>0</v>
      </c>
      <c r="R496" t="n">
        <v>0</v>
      </c>
      <c r="S496" t="n">
        <v>0</v>
      </c>
      <c r="T496" t="n">
        <v>0</v>
      </c>
      <c r="U496" t="n">
        <v>0</v>
      </c>
      <c r="V496" s="2" t="inlineStr"/>
    </row>
    <row r="497" ht="15" customHeight="1">
      <c r="A497" t="inlineStr">
        <is>
          <t>A 39278-2024</t>
        </is>
      </c>
      <c r="B497" t="inlineStr">
        <is>
          <t>avverkningsanmälan</t>
        </is>
      </c>
      <c r="C497" t="inlineStr">
        <is>
          <t>Föryngringsavverkning</t>
        </is>
      </c>
      <c r="D497" s="1" t="n">
        <v>45551</v>
      </c>
      <c r="E497" s="1" t="n">
        <v>46323</v>
      </c>
      <c r="F497" t="inlineStr">
        <is>
          <t>KALMAR LÄN</t>
        </is>
      </c>
      <c r="G497" t="inlineStr">
        <is>
          <t>VÄSTERVIK</t>
        </is>
      </c>
      <c r="I497" t="n">
        <v>2.9</v>
      </c>
      <c r="J497" t="n">
        <v>0</v>
      </c>
      <c r="K497" t="n">
        <v>0</v>
      </c>
      <c r="L497" t="n">
        <v>0</v>
      </c>
      <c r="M497" t="n">
        <v>0</v>
      </c>
      <c r="N497" t="n">
        <v>0</v>
      </c>
      <c r="O497" t="n">
        <v>0</v>
      </c>
      <c r="P497" t="n">
        <v>0</v>
      </c>
      <c r="Q497" t="n">
        <v>0</v>
      </c>
      <c r="R497" t="n">
        <v>0</v>
      </c>
      <c r="S497" t="n">
        <v>0</v>
      </c>
      <c r="T497" t="n">
        <v>0</v>
      </c>
      <c r="U497" t="n">
        <v>0</v>
      </c>
      <c r="V497" s="2" t="inlineStr"/>
    </row>
    <row r="498" ht="15" customHeight="1">
      <c r="A498" t="inlineStr">
        <is>
          <t>A 170-2022</t>
        </is>
      </c>
      <c r="B498" t="inlineStr">
        <is>
          <t>avverkningsanmälan</t>
        </is>
      </c>
      <c r="C498" t="inlineStr">
        <is>
          <t>Föryngringsavverkning</t>
        </is>
      </c>
      <c r="D498" s="1" t="n">
        <v>44564</v>
      </c>
      <c r="E498" s="1" t="n">
        <v>46323</v>
      </c>
      <c r="F498" t="inlineStr">
        <is>
          <t>KALMAR LÄN</t>
        </is>
      </c>
      <c r="G498" t="inlineStr">
        <is>
          <t>VÄSTERVIK</t>
        </is>
      </c>
      <c r="I498" t="n">
        <v>0.8</v>
      </c>
      <c r="J498" t="n">
        <v>0</v>
      </c>
      <c r="K498" t="n">
        <v>0</v>
      </c>
      <c r="L498" t="n">
        <v>0</v>
      </c>
      <c r="M498" t="n">
        <v>0</v>
      </c>
      <c r="N498" t="n">
        <v>0</v>
      </c>
      <c r="O498" t="n">
        <v>0</v>
      </c>
      <c r="P498" t="n">
        <v>0</v>
      </c>
      <c r="Q498" t="n">
        <v>0</v>
      </c>
      <c r="R498" t="n">
        <v>0</v>
      </c>
      <c r="S498" t="n">
        <v>0</v>
      </c>
      <c r="T498" t="n">
        <v>0</v>
      </c>
      <c r="U498" t="n">
        <v>0</v>
      </c>
      <c r="V498" s="2" t="inlineStr"/>
    </row>
    <row r="499" ht="15" customHeight="1">
      <c r="A499" t="inlineStr">
        <is>
          <t>A 174-2022</t>
        </is>
      </c>
      <c r="B499" t="inlineStr">
        <is>
          <t>avverkningsanmälan</t>
        </is>
      </c>
      <c r="C499" t="inlineStr">
        <is>
          <t>Föryngringsavverkning</t>
        </is>
      </c>
      <c r="D499" s="1" t="n">
        <v>44564</v>
      </c>
      <c r="E499" s="1" t="n">
        <v>46323</v>
      </c>
      <c r="F499" t="inlineStr">
        <is>
          <t>KALMAR LÄN</t>
        </is>
      </c>
      <c r="G499" t="inlineStr">
        <is>
          <t>VÄSTERVIK</t>
        </is>
      </c>
      <c r="I499" t="n">
        <v>1.9</v>
      </c>
      <c r="J499" t="n">
        <v>0</v>
      </c>
      <c r="K499" t="n">
        <v>0</v>
      </c>
      <c r="L499" t="n">
        <v>0</v>
      </c>
      <c r="M499" t="n">
        <v>0</v>
      </c>
      <c r="N499" t="n">
        <v>0</v>
      </c>
      <c r="O499" t="n">
        <v>0</v>
      </c>
      <c r="P499" t="n">
        <v>0</v>
      </c>
      <c r="Q499" t="n">
        <v>0</v>
      </c>
      <c r="R499" t="n">
        <v>0</v>
      </c>
      <c r="S499" t="n">
        <v>0</v>
      </c>
      <c r="T499" t="n">
        <v>0</v>
      </c>
      <c r="U499" t="n">
        <v>0</v>
      </c>
      <c r="V499" s="2" t="inlineStr"/>
    </row>
    <row r="500" ht="15" customHeight="1">
      <c r="A500" t="inlineStr">
        <is>
          <t>A 52845-2023</t>
        </is>
      </c>
      <c r="B500" t="inlineStr">
        <is>
          <t>avverkningsanmälan</t>
        </is>
      </c>
      <c r="C500" t="inlineStr">
        <is>
          <t>Föryngringsavverkning</t>
        </is>
      </c>
      <c r="D500" s="1" t="n">
        <v>45226</v>
      </c>
      <c r="E500" s="1" t="n">
        <v>46323</v>
      </c>
      <c r="F500" t="inlineStr">
        <is>
          <t>KALMAR LÄN</t>
        </is>
      </c>
      <c r="G500" t="inlineStr">
        <is>
          <t>VÄSTERVIK</t>
        </is>
      </c>
      <c r="H500" t="inlineStr">
        <is>
          <t>Holmen skog AB</t>
        </is>
      </c>
      <c r="I500" t="n">
        <v>1.2</v>
      </c>
      <c r="J500" t="n">
        <v>0</v>
      </c>
      <c r="K500" t="n">
        <v>0</v>
      </c>
      <c r="L500" t="n">
        <v>0</v>
      </c>
      <c r="M500" t="n">
        <v>0</v>
      </c>
      <c r="N500" t="n">
        <v>0</v>
      </c>
      <c r="O500" t="n">
        <v>0</v>
      </c>
      <c r="P500" t="n">
        <v>0</v>
      </c>
      <c r="Q500" t="n">
        <v>0</v>
      </c>
      <c r="R500" t="n">
        <v>0</v>
      </c>
      <c r="S500" t="n">
        <v>0</v>
      </c>
      <c r="T500" t="n">
        <v>0</v>
      </c>
      <c r="U500" t="n">
        <v>0</v>
      </c>
      <c r="V500" s="2" t="inlineStr"/>
    </row>
    <row r="501" ht="15" customHeight="1">
      <c r="A501" t="inlineStr">
        <is>
          <t>A 21015-2025</t>
        </is>
      </c>
      <c r="B501" t="inlineStr">
        <is>
          <t>avverkningsanmälan</t>
        </is>
      </c>
      <c r="C501" t="inlineStr">
        <is>
          <t>Föryngringsavverkning</t>
        </is>
      </c>
      <c r="D501" s="1" t="n">
        <v>45777</v>
      </c>
      <c r="E501" s="1" t="n">
        <v>46323</v>
      </c>
      <c r="F501" t="inlineStr">
        <is>
          <t>KALMAR LÄN</t>
        </is>
      </c>
      <c r="G501" t="inlineStr">
        <is>
          <t>VÄSTERVIK</t>
        </is>
      </c>
      <c r="I501" t="n">
        <v>1</v>
      </c>
      <c r="J501" t="n">
        <v>0</v>
      </c>
      <c r="K501" t="n">
        <v>0</v>
      </c>
      <c r="L501" t="n">
        <v>0</v>
      </c>
      <c r="M501" t="n">
        <v>0</v>
      </c>
      <c r="N501" t="n">
        <v>0</v>
      </c>
      <c r="O501" t="n">
        <v>0</v>
      </c>
      <c r="P501" t="n">
        <v>0</v>
      </c>
      <c r="Q501" t="n">
        <v>0</v>
      </c>
      <c r="R501" t="n">
        <v>0</v>
      </c>
      <c r="S501" t="n">
        <v>0</v>
      </c>
      <c r="T501" t="n">
        <v>0</v>
      </c>
      <c r="U501" t="n">
        <v>0</v>
      </c>
      <c r="V501" s="2" t="inlineStr"/>
    </row>
    <row r="502" ht="15" customHeight="1">
      <c r="A502" t="inlineStr">
        <is>
          <t>A 58731-2024</t>
        </is>
      </c>
      <c r="B502" t="inlineStr">
        <is>
          <t>avverkningsanmälan</t>
        </is>
      </c>
      <c r="C502" t="inlineStr">
        <is>
          <t>Föryngringsavverkning</t>
        </is>
      </c>
      <c r="D502" s="1" t="n">
        <v>45635</v>
      </c>
      <c r="E502" s="1" t="n">
        <v>46323</v>
      </c>
      <c r="F502" t="inlineStr">
        <is>
          <t>KALMAR LÄN</t>
        </is>
      </c>
      <c r="G502" t="inlineStr">
        <is>
          <t>VÄSTERVIK</t>
        </is>
      </c>
      <c r="I502" t="n">
        <v>2.3</v>
      </c>
      <c r="J502" t="n">
        <v>0</v>
      </c>
      <c r="K502" t="n">
        <v>0</v>
      </c>
      <c r="L502" t="n">
        <v>0</v>
      </c>
      <c r="M502" t="n">
        <v>0</v>
      </c>
      <c r="N502" t="n">
        <v>0</v>
      </c>
      <c r="O502" t="n">
        <v>0</v>
      </c>
      <c r="P502" t="n">
        <v>0</v>
      </c>
      <c r="Q502" t="n">
        <v>0</v>
      </c>
      <c r="R502" t="n">
        <v>0</v>
      </c>
      <c r="S502" t="n">
        <v>0</v>
      </c>
      <c r="T502" t="n">
        <v>0</v>
      </c>
      <c r="U502" t="n">
        <v>0</v>
      </c>
      <c r="V502" s="2" t="inlineStr"/>
    </row>
    <row r="503" ht="15" customHeight="1">
      <c r="A503" t="inlineStr">
        <is>
          <t>A 14114-2025</t>
        </is>
      </c>
      <c r="B503" t="inlineStr">
        <is>
          <t>avverkningsanmälan</t>
        </is>
      </c>
      <c r="C503" t="inlineStr">
        <is>
          <t>Föryngringsavverkning</t>
        </is>
      </c>
      <c r="D503" s="1" t="n">
        <v>45740</v>
      </c>
      <c r="E503" s="1" t="n">
        <v>46323</v>
      </c>
      <c r="F503" t="inlineStr">
        <is>
          <t>KALMAR LÄN</t>
        </is>
      </c>
      <c r="G503" t="inlineStr">
        <is>
          <t>VÄSTERVIK</t>
        </is>
      </c>
      <c r="H503" t="inlineStr">
        <is>
          <t>Sveaskog</t>
        </is>
      </c>
      <c r="I503" t="n">
        <v>0.9</v>
      </c>
      <c r="J503" t="n">
        <v>0</v>
      </c>
      <c r="K503" t="n">
        <v>0</v>
      </c>
      <c r="L503" t="n">
        <v>0</v>
      </c>
      <c r="M503" t="n">
        <v>0</v>
      </c>
      <c r="N503" t="n">
        <v>0</v>
      </c>
      <c r="O503" t="n">
        <v>0</v>
      </c>
      <c r="P503" t="n">
        <v>0</v>
      </c>
      <c r="Q503" t="n">
        <v>0</v>
      </c>
      <c r="R503" t="n">
        <v>0</v>
      </c>
      <c r="S503" t="n">
        <v>0</v>
      </c>
      <c r="T503" t="n">
        <v>0</v>
      </c>
      <c r="U503" t="n">
        <v>0</v>
      </c>
      <c r="V503" s="2" t="inlineStr"/>
    </row>
    <row r="504" ht="15" customHeight="1">
      <c r="A504" t="inlineStr">
        <is>
          <t>A 4463-2022</t>
        </is>
      </c>
      <c r="B504" t="inlineStr">
        <is>
          <t>avverkningsanmälan</t>
        </is>
      </c>
      <c r="C504" t="inlineStr">
        <is>
          <t>Föryngringsavverkning</t>
        </is>
      </c>
      <c r="D504" s="1" t="n">
        <v>44589</v>
      </c>
      <c r="E504" s="1" t="n">
        <v>46323</v>
      </c>
      <c r="F504" t="inlineStr">
        <is>
          <t>KALMAR LÄN</t>
        </is>
      </c>
      <c r="G504" t="inlineStr">
        <is>
          <t>VÄSTERVIK</t>
        </is>
      </c>
      <c r="H504" t="inlineStr">
        <is>
          <t>Holmen skog AB</t>
        </is>
      </c>
      <c r="I504" t="n">
        <v>1.8</v>
      </c>
      <c r="J504" t="n">
        <v>0</v>
      </c>
      <c r="K504" t="n">
        <v>0</v>
      </c>
      <c r="L504" t="n">
        <v>0</v>
      </c>
      <c r="M504" t="n">
        <v>0</v>
      </c>
      <c r="N504" t="n">
        <v>0</v>
      </c>
      <c r="O504" t="n">
        <v>0</v>
      </c>
      <c r="P504" t="n">
        <v>0</v>
      </c>
      <c r="Q504" t="n">
        <v>0</v>
      </c>
      <c r="R504" t="n">
        <v>0</v>
      </c>
      <c r="S504" t="n">
        <v>0</v>
      </c>
      <c r="T504" t="n">
        <v>0</v>
      </c>
      <c r="U504" t="n">
        <v>0</v>
      </c>
      <c r="V504" s="2" t="inlineStr"/>
    </row>
    <row r="505" ht="15" customHeight="1">
      <c r="A505" t="inlineStr">
        <is>
          <t>A 25488-2023</t>
        </is>
      </c>
      <c r="B505" t="inlineStr">
        <is>
          <t>avverkningsanmälan</t>
        </is>
      </c>
      <c r="C505" t="inlineStr">
        <is>
          <t>Föryngringsavverkning</t>
        </is>
      </c>
      <c r="D505" s="1" t="n">
        <v>45089</v>
      </c>
      <c r="E505" s="1" t="n">
        <v>46323</v>
      </c>
      <c r="F505" t="inlineStr">
        <is>
          <t>KALMAR LÄN</t>
        </is>
      </c>
      <c r="G505" t="inlineStr">
        <is>
          <t>VÄSTERVIK</t>
        </is>
      </c>
      <c r="I505" t="n">
        <v>2.3</v>
      </c>
      <c r="J505" t="n">
        <v>0</v>
      </c>
      <c r="K505" t="n">
        <v>0</v>
      </c>
      <c r="L505" t="n">
        <v>0</v>
      </c>
      <c r="M505" t="n">
        <v>0</v>
      </c>
      <c r="N505" t="n">
        <v>0</v>
      </c>
      <c r="O505" t="n">
        <v>0</v>
      </c>
      <c r="P505" t="n">
        <v>0</v>
      </c>
      <c r="Q505" t="n">
        <v>0</v>
      </c>
      <c r="R505" t="n">
        <v>0</v>
      </c>
      <c r="S505" t="n">
        <v>0</v>
      </c>
      <c r="T505" t="n">
        <v>0</v>
      </c>
      <c r="U505" t="n">
        <v>0</v>
      </c>
      <c r="V505" s="2" t="inlineStr"/>
    </row>
    <row r="506" ht="15" customHeight="1">
      <c r="A506" t="inlineStr">
        <is>
          <t>A 14212-2022</t>
        </is>
      </c>
      <c r="B506" t="inlineStr">
        <is>
          <t>avverkningsanmälan</t>
        </is>
      </c>
      <c r="C506" t="inlineStr">
        <is>
          <t>Föryngringsavverkning</t>
        </is>
      </c>
      <c r="D506" s="1" t="n">
        <v>44651</v>
      </c>
      <c r="E506" s="1" t="n">
        <v>46323</v>
      </c>
      <c r="F506" t="inlineStr">
        <is>
          <t>KALMAR LÄN</t>
        </is>
      </c>
      <c r="G506" t="inlineStr">
        <is>
          <t>VÄSTERVIK</t>
        </is>
      </c>
      <c r="I506" t="n">
        <v>1.5</v>
      </c>
      <c r="J506" t="n">
        <v>0</v>
      </c>
      <c r="K506" t="n">
        <v>0</v>
      </c>
      <c r="L506" t="n">
        <v>0</v>
      </c>
      <c r="M506" t="n">
        <v>0</v>
      </c>
      <c r="N506" t="n">
        <v>0</v>
      </c>
      <c r="O506" t="n">
        <v>0</v>
      </c>
      <c r="P506" t="n">
        <v>0</v>
      </c>
      <c r="Q506" t="n">
        <v>0</v>
      </c>
      <c r="R506" t="n">
        <v>0</v>
      </c>
      <c r="S506" t="n">
        <v>0</v>
      </c>
      <c r="T506" t="n">
        <v>0</v>
      </c>
      <c r="U506" t="n">
        <v>0</v>
      </c>
      <c r="V506" s="2" t="inlineStr"/>
    </row>
    <row r="507" ht="15" customHeight="1">
      <c r="A507" t="inlineStr">
        <is>
          <t>A 14105-2025</t>
        </is>
      </c>
      <c r="B507" t="inlineStr">
        <is>
          <t>avverkningsanmälan</t>
        </is>
      </c>
      <c r="C507" t="inlineStr">
        <is>
          <t>Föryngringsavverkning</t>
        </is>
      </c>
      <c r="D507" s="1" t="n">
        <v>45740</v>
      </c>
      <c r="E507" s="1" t="n">
        <v>46323</v>
      </c>
      <c r="F507" t="inlineStr">
        <is>
          <t>KALMAR LÄN</t>
        </is>
      </c>
      <c r="G507" t="inlineStr">
        <is>
          <t>VÄSTERVIK</t>
        </is>
      </c>
      <c r="H507" t="inlineStr">
        <is>
          <t>Sveaskog</t>
        </is>
      </c>
      <c r="I507" t="n">
        <v>1.2</v>
      </c>
      <c r="J507" t="n">
        <v>0</v>
      </c>
      <c r="K507" t="n">
        <v>0</v>
      </c>
      <c r="L507" t="n">
        <v>0</v>
      </c>
      <c r="M507" t="n">
        <v>0</v>
      </c>
      <c r="N507" t="n">
        <v>0</v>
      </c>
      <c r="O507" t="n">
        <v>0</v>
      </c>
      <c r="P507" t="n">
        <v>0</v>
      </c>
      <c r="Q507" t="n">
        <v>0</v>
      </c>
      <c r="R507" t="n">
        <v>0</v>
      </c>
      <c r="S507" t="n">
        <v>0</v>
      </c>
      <c r="T507" t="n">
        <v>0</v>
      </c>
      <c r="U507" t="n">
        <v>0</v>
      </c>
      <c r="V507" s="2" t="inlineStr"/>
    </row>
    <row r="508" ht="15" customHeight="1">
      <c r="A508" t="inlineStr">
        <is>
          <t>A 14109-2025</t>
        </is>
      </c>
      <c r="B508" t="inlineStr">
        <is>
          <t>avverkningsanmälan</t>
        </is>
      </c>
      <c r="C508" t="inlineStr">
        <is>
          <t>Föryngringsavverkning</t>
        </is>
      </c>
      <c r="D508" s="1" t="n">
        <v>45740</v>
      </c>
      <c r="E508" s="1" t="n">
        <v>46323</v>
      </c>
      <c r="F508" t="inlineStr">
        <is>
          <t>KALMAR LÄN</t>
        </is>
      </c>
      <c r="G508" t="inlineStr">
        <is>
          <t>VÄSTERVIK</t>
        </is>
      </c>
      <c r="H508" t="inlineStr">
        <is>
          <t>Sveaskog</t>
        </is>
      </c>
      <c r="I508" t="n">
        <v>2.2</v>
      </c>
      <c r="J508" t="n">
        <v>0</v>
      </c>
      <c r="K508" t="n">
        <v>0</v>
      </c>
      <c r="L508" t="n">
        <v>0</v>
      </c>
      <c r="M508" t="n">
        <v>0</v>
      </c>
      <c r="N508" t="n">
        <v>0</v>
      </c>
      <c r="O508" t="n">
        <v>0</v>
      </c>
      <c r="P508" t="n">
        <v>0</v>
      </c>
      <c r="Q508" t="n">
        <v>0</v>
      </c>
      <c r="R508" t="n">
        <v>0</v>
      </c>
      <c r="S508" t="n">
        <v>0</v>
      </c>
      <c r="T508" t="n">
        <v>0</v>
      </c>
      <c r="U508" t="n">
        <v>0</v>
      </c>
      <c r="V508" s="2" t="inlineStr"/>
    </row>
    <row r="509" ht="15" customHeight="1">
      <c r="A509" t="inlineStr">
        <is>
          <t>A 28894-2023</t>
        </is>
      </c>
      <c r="B509" t="inlineStr">
        <is>
          <t>avverkningsanmälan</t>
        </is>
      </c>
      <c r="C509" t="inlineStr">
        <is>
          <t>Föryngringsavverkning</t>
        </is>
      </c>
      <c r="D509" s="1" t="n">
        <v>45104</v>
      </c>
      <c r="E509" s="1" t="n">
        <v>46323</v>
      </c>
      <c r="F509" t="inlineStr">
        <is>
          <t>KALMAR LÄN</t>
        </is>
      </c>
      <c r="G509" t="inlineStr">
        <is>
          <t>VÄSTERVIK</t>
        </is>
      </c>
      <c r="I509" t="n">
        <v>0.7</v>
      </c>
      <c r="J509" t="n">
        <v>0</v>
      </c>
      <c r="K509" t="n">
        <v>0</v>
      </c>
      <c r="L509" t="n">
        <v>0</v>
      </c>
      <c r="M509" t="n">
        <v>0</v>
      </c>
      <c r="N509" t="n">
        <v>0</v>
      </c>
      <c r="O509" t="n">
        <v>0</v>
      </c>
      <c r="P509" t="n">
        <v>0</v>
      </c>
      <c r="Q509" t="n">
        <v>0</v>
      </c>
      <c r="R509" t="n">
        <v>0</v>
      </c>
      <c r="S509" t="n">
        <v>0</v>
      </c>
      <c r="T509" t="n">
        <v>0</v>
      </c>
      <c r="U509" t="n">
        <v>0</v>
      </c>
      <c r="V509" s="2" t="inlineStr"/>
    </row>
    <row r="510" ht="15" customHeight="1">
      <c r="A510" t="inlineStr">
        <is>
          <t>A 24578-2024</t>
        </is>
      </c>
      <c r="B510" t="inlineStr">
        <is>
          <t>avverkningsanmälan</t>
        </is>
      </c>
      <c r="C510" t="inlineStr">
        <is>
          <t>Föryngringsavverkning</t>
        </is>
      </c>
      <c r="D510" s="1" t="n">
        <v>45460</v>
      </c>
      <c r="E510" s="1" t="n">
        <v>46323</v>
      </c>
      <c r="F510" t="inlineStr">
        <is>
          <t>KALMAR LÄN</t>
        </is>
      </c>
      <c r="G510" t="inlineStr">
        <is>
          <t>VÄSTERVIK</t>
        </is>
      </c>
      <c r="I510" t="n">
        <v>1.2</v>
      </c>
      <c r="J510" t="n">
        <v>0</v>
      </c>
      <c r="K510" t="n">
        <v>0</v>
      </c>
      <c r="L510" t="n">
        <v>0</v>
      </c>
      <c r="M510" t="n">
        <v>0</v>
      </c>
      <c r="N510" t="n">
        <v>0</v>
      </c>
      <c r="O510" t="n">
        <v>0</v>
      </c>
      <c r="P510" t="n">
        <v>0</v>
      </c>
      <c r="Q510" t="n">
        <v>0</v>
      </c>
      <c r="R510" t="n">
        <v>0</v>
      </c>
      <c r="S510" t="n">
        <v>0</v>
      </c>
      <c r="T510" t="n">
        <v>0</v>
      </c>
      <c r="U510" t="n">
        <v>0</v>
      </c>
      <c r="V510" s="2" t="inlineStr"/>
    </row>
    <row r="511" ht="15" customHeight="1">
      <c r="A511" t="inlineStr">
        <is>
          <t>A 48887-2025</t>
        </is>
      </c>
      <c r="B511" t="inlineStr">
        <is>
          <t>avverkningsanmälan</t>
        </is>
      </c>
      <c r="C511" t="inlineStr">
        <is>
          <t>Föryngringsavverkning</t>
        </is>
      </c>
      <c r="D511" s="1" t="n">
        <v>45937</v>
      </c>
      <c r="E511" s="1" t="n">
        <v>46323</v>
      </c>
      <c r="F511" t="inlineStr">
        <is>
          <t>KALMAR LÄN</t>
        </is>
      </c>
      <c r="G511" t="inlineStr">
        <is>
          <t>VÄSTERVIK</t>
        </is>
      </c>
      <c r="H511" t="inlineStr">
        <is>
          <t>Sveaskog</t>
        </is>
      </c>
      <c r="I511" t="n">
        <v>3.7</v>
      </c>
      <c r="J511" t="n">
        <v>0</v>
      </c>
      <c r="K511" t="n">
        <v>0</v>
      </c>
      <c r="L511" t="n">
        <v>0</v>
      </c>
      <c r="M511" t="n">
        <v>0</v>
      </c>
      <c r="N511" t="n">
        <v>0</v>
      </c>
      <c r="O511" t="n">
        <v>0</v>
      </c>
      <c r="P511" t="n">
        <v>0</v>
      </c>
      <c r="Q511" t="n">
        <v>0</v>
      </c>
      <c r="R511" t="n">
        <v>0</v>
      </c>
      <c r="S511" t="n">
        <v>0</v>
      </c>
      <c r="T511" t="n">
        <v>0</v>
      </c>
      <c r="U511" t="n">
        <v>0</v>
      </c>
      <c r="V511" s="2" t="inlineStr"/>
    </row>
    <row r="512" ht="15" customHeight="1">
      <c r="A512" t="inlineStr">
        <is>
          <t>A 48897-2025</t>
        </is>
      </c>
      <c r="B512" t="inlineStr">
        <is>
          <t>avverkningsanmälan</t>
        </is>
      </c>
      <c r="C512" t="inlineStr">
        <is>
          <t>Avverkning för att bevara och utveckla /försöksver</t>
        </is>
      </c>
      <c r="D512" s="1" t="n">
        <v>45937</v>
      </c>
      <c r="E512" s="1" t="n">
        <v>46323</v>
      </c>
      <c r="F512" t="inlineStr">
        <is>
          <t>KALMAR LÄN</t>
        </is>
      </c>
      <c r="G512" t="inlineStr">
        <is>
          <t>VÄSTERVIK</t>
        </is>
      </c>
      <c r="H512" t="inlineStr">
        <is>
          <t>Sveaskog</t>
        </is>
      </c>
      <c r="I512" t="n">
        <v>4.9</v>
      </c>
      <c r="J512" t="n">
        <v>0</v>
      </c>
      <c r="K512" t="n">
        <v>0</v>
      </c>
      <c r="L512" t="n">
        <v>0</v>
      </c>
      <c r="M512" t="n">
        <v>0</v>
      </c>
      <c r="N512" t="n">
        <v>0</v>
      </c>
      <c r="O512" t="n">
        <v>0</v>
      </c>
      <c r="P512" t="n">
        <v>0</v>
      </c>
      <c r="Q512" t="n">
        <v>0</v>
      </c>
      <c r="R512" t="n">
        <v>0</v>
      </c>
      <c r="S512" t="n">
        <v>0</v>
      </c>
      <c r="T512" t="n">
        <v>0</v>
      </c>
      <c r="U512" t="n">
        <v>0</v>
      </c>
      <c r="V512" s="2" t="inlineStr"/>
    </row>
    <row r="513" ht="15" customHeight="1">
      <c r="A513" t="inlineStr">
        <is>
          <t>A 48873-2025</t>
        </is>
      </c>
      <c r="B513" t="inlineStr">
        <is>
          <t>avverkningsanmälan</t>
        </is>
      </c>
      <c r="C513" t="inlineStr">
        <is>
          <t>Avverkning för att bevara och utveckla /försöksver</t>
        </is>
      </c>
      <c r="D513" s="1" t="n">
        <v>45937</v>
      </c>
      <c r="E513" s="1" t="n">
        <v>46323</v>
      </c>
      <c r="F513" t="inlineStr">
        <is>
          <t>KALMAR LÄN</t>
        </is>
      </c>
      <c r="G513" t="inlineStr">
        <is>
          <t>VÄSTERVIK</t>
        </is>
      </c>
      <c r="H513" t="inlineStr">
        <is>
          <t>Sveaskog</t>
        </is>
      </c>
      <c r="I513" t="n">
        <v>2.7</v>
      </c>
      <c r="J513" t="n">
        <v>0</v>
      </c>
      <c r="K513" t="n">
        <v>0</v>
      </c>
      <c r="L513" t="n">
        <v>0</v>
      </c>
      <c r="M513" t="n">
        <v>0</v>
      </c>
      <c r="N513" t="n">
        <v>0</v>
      </c>
      <c r="O513" t="n">
        <v>0</v>
      </c>
      <c r="P513" t="n">
        <v>0</v>
      </c>
      <c r="Q513" t="n">
        <v>0</v>
      </c>
      <c r="R513" t="n">
        <v>0</v>
      </c>
      <c r="S513" t="n">
        <v>0</v>
      </c>
      <c r="T513" t="n">
        <v>0</v>
      </c>
      <c r="U513" t="n">
        <v>0</v>
      </c>
      <c r="V513" s="2" t="inlineStr"/>
    </row>
    <row r="514" ht="15" customHeight="1">
      <c r="A514" t="inlineStr">
        <is>
          <t>A 36400-2024</t>
        </is>
      </c>
      <c r="B514" t="inlineStr">
        <is>
          <t>avverkningsanmälan</t>
        </is>
      </c>
      <c r="C514" t="inlineStr">
        <is>
          <t>Föryngringsavverkning</t>
        </is>
      </c>
      <c r="D514" s="1" t="n">
        <v>45535</v>
      </c>
      <c r="E514" s="1" t="n">
        <v>46323</v>
      </c>
      <c r="F514" t="inlineStr">
        <is>
          <t>KALMAR LÄN</t>
        </is>
      </c>
      <c r="G514" t="inlineStr">
        <is>
          <t>VÄSTERVIK</t>
        </is>
      </c>
      <c r="I514" t="n">
        <v>1.7</v>
      </c>
      <c r="J514" t="n">
        <v>0</v>
      </c>
      <c r="K514" t="n">
        <v>0</v>
      </c>
      <c r="L514" t="n">
        <v>0</v>
      </c>
      <c r="M514" t="n">
        <v>0</v>
      </c>
      <c r="N514" t="n">
        <v>0</v>
      </c>
      <c r="O514" t="n">
        <v>0</v>
      </c>
      <c r="P514" t="n">
        <v>0</v>
      </c>
      <c r="Q514" t="n">
        <v>0</v>
      </c>
      <c r="R514" t="n">
        <v>0</v>
      </c>
      <c r="S514" t="n">
        <v>0</v>
      </c>
      <c r="T514" t="n">
        <v>0</v>
      </c>
      <c r="U514" t="n">
        <v>0</v>
      </c>
      <c r="V514" s="2" t="inlineStr"/>
    </row>
    <row r="515" ht="15" customHeight="1">
      <c r="A515" t="inlineStr">
        <is>
          <t>A 3776-2024</t>
        </is>
      </c>
      <c r="B515" t="inlineStr">
        <is>
          <t>avverkningsanmälan</t>
        </is>
      </c>
      <c r="C515" t="inlineStr">
        <is>
          <t>Föryngringsavverkning</t>
        </is>
      </c>
      <c r="D515" s="1" t="n">
        <v>45321</v>
      </c>
      <c r="E515" s="1" t="n">
        <v>46323</v>
      </c>
      <c r="F515" t="inlineStr">
        <is>
          <t>KALMAR LÄN</t>
        </is>
      </c>
      <c r="G515" t="inlineStr">
        <is>
          <t>VÄSTERVIK</t>
        </is>
      </c>
      <c r="I515" t="n">
        <v>4.8</v>
      </c>
      <c r="J515" t="n">
        <v>0</v>
      </c>
      <c r="K515" t="n">
        <v>0</v>
      </c>
      <c r="L515" t="n">
        <v>0</v>
      </c>
      <c r="M515" t="n">
        <v>0</v>
      </c>
      <c r="N515" t="n">
        <v>0</v>
      </c>
      <c r="O515" t="n">
        <v>0</v>
      </c>
      <c r="P515" t="n">
        <v>0</v>
      </c>
      <c r="Q515" t="n">
        <v>0</v>
      </c>
      <c r="R515" t="n">
        <v>0</v>
      </c>
      <c r="S515" t="n">
        <v>0</v>
      </c>
      <c r="T515" t="n">
        <v>0</v>
      </c>
      <c r="U515" t="n">
        <v>0</v>
      </c>
      <c r="V515" s="2" t="inlineStr"/>
    </row>
    <row r="516" ht="15" customHeight="1">
      <c r="A516" t="inlineStr">
        <is>
          <t>A 19333-2023</t>
        </is>
      </c>
      <c r="B516" t="inlineStr">
        <is>
          <t>avverkningsanmälan</t>
        </is>
      </c>
      <c r="C516" t="inlineStr">
        <is>
          <t>Föryngringsavverkning</t>
        </is>
      </c>
      <c r="D516" s="1" t="n">
        <v>45049</v>
      </c>
      <c r="E516" s="1" t="n">
        <v>46323</v>
      </c>
      <c r="F516" t="inlineStr">
        <is>
          <t>KALMAR LÄN</t>
        </is>
      </c>
      <c r="G516" t="inlineStr">
        <is>
          <t>VÄSTERVIK</t>
        </is>
      </c>
      <c r="I516" t="n">
        <v>0.5</v>
      </c>
      <c r="J516" t="n">
        <v>0</v>
      </c>
      <c r="K516" t="n">
        <v>0</v>
      </c>
      <c r="L516" t="n">
        <v>0</v>
      </c>
      <c r="M516" t="n">
        <v>0</v>
      </c>
      <c r="N516" t="n">
        <v>0</v>
      </c>
      <c r="O516" t="n">
        <v>0</v>
      </c>
      <c r="P516" t="n">
        <v>0</v>
      </c>
      <c r="Q516" t="n">
        <v>0</v>
      </c>
      <c r="R516" t="n">
        <v>0</v>
      </c>
      <c r="S516" t="n">
        <v>0</v>
      </c>
      <c r="T516" t="n">
        <v>0</v>
      </c>
      <c r="U516" t="n">
        <v>0</v>
      </c>
      <c r="V516" s="2" t="inlineStr"/>
    </row>
    <row r="517" ht="15" customHeight="1">
      <c r="A517" t="inlineStr">
        <is>
          <t>A 15097-2023</t>
        </is>
      </c>
      <c r="B517" t="inlineStr">
        <is>
          <t>avverkningsanmälan</t>
        </is>
      </c>
      <c r="C517" t="inlineStr">
        <is>
          <t>Föryngringsavverkning</t>
        </is>
      </c>
      <c r="D517" s="1" t="n">
        <v>45016</v>
      </c>
      <c r="E517" s="1" t="n">
        <v>46323</v>
      </c>
      <c r="F517" t="inlineStr">
        <is>
          <t>KALMAR LÄN</t>
        </is>
      </c>
      <c r="G517" t="inlineStr">
        <is>
          <t>VÄSTERVIK</t>
        </is>
      </c>
      <c r="I517" t="n">
        <v>5.9</v>
      </c>
      <c r="J517" t="n">
        <v>0</v>
      </c>
      <c r="K517" t="n">
        <v>0</v>
      </c>
      <c r="L517" t="n">
        <v>0</v>
      </c>
      <c r="M517" t="n">
        <v>0</v>
      </c>
      <c r="N517" t="n">
        <v>0</v>
      </c>
      <c r="O517" t="n">
        <v>0</v>
      </c>
      <c r="P517" t="n">
        <v>0</v>
      </c>
      <c r="Q517" t="n">
        <v>0</v>
      </c>
      <c r="R517" t="n">
        <v>0</v>
      </c>
      <c r="S517" t="n">
        <v>0</v>
      </c>
      <c r="T517" t="n">
        <v>0</v>
      </c>
      <c r="U517" t="n">
        <v>0</v>
      </c>
      <c r="V517" s="2" t="inlineStr"/>
    </row>
    <row r="518" ht="15" customHeight="1">
      <c r="A518" t="inlineStr">
        <is>
          <t>A 60710-2022</t>
        </is>
      </c>
      <c r="B518" t="inlineStr">
        <is>
          <t>avverkningsanmälan</t>
        </is>
      </c>
      <c r="C518" t="inlineStr">
        <is>
          <t>Föryngringsavverkning</t>
        </is>
      </c>
      <c r="D518" s="1" t="n">
        <v>44912</v>
      </c>
      <c r="E518" s="1" t="n">
        <v>46323</v>
      </c>
      <c r="F518" t="inlineStr">
        <is>
          <t>KALMAR LÄN</t>
        </is>
      </c>
      <c r="G518" t="inlineStr">
        <is>
          <t>VÄSTERVIK</t>
        </is>
      </c>
      <c r="H518" t="inlineStr">
        <is>
          <t>Övriga Aktiebolag</t>
        </is>
      </c>
      <c r="I518" t="n">
        <v>0.6</v>
      </c>
      <c r="J518" t="n">
        <v>0</v>
      </c>
      <c r="K518" t="n">
        <v>0</v>
      </c>
      <c r="L518" t="n">
        <v>0</v>
      </c>
      <c r="M518" t="n">
        <v>0</v>
      </c>
      <c r="N518" t="n">
        <v>0</v>
      </c>
      <c r="O518" t="n">
        <v>0</v>
      </c>
      <c r="P518" t="n">
        <v>0</v>
      </c>
      <c r="Q518" t="n">
        <v>0</v>
      </c>
      <c r="R518" t="n">
        <v>0</v>
      </c>
      <c r="S518" t="n">
        <v>0</v>
      </c>
      <c r="T518" t="n">
        <v>0</v>
      </c>
      <c r="U518" t="n">
        <v>0</v>
      </c>
      <c r="V518" s="2" t="inlineStr"/>
    </row>
    <row r="519" ht="15" customHeight="1">
      <c r="A519" t="inlineStr">
        <is>
          <t>A 60713-2022</t>
        </is>
      </c>
      <c r="B519" t="inlineStr">
        <is>
          <t>avverkningsanmälan</t>
        </is>
      </c>
      <c r="C519" t="inlineStr">
        <is>
          <t>Föryngringsavverkning</t>
        </is>
      </c>
      <c r="D519" s="1" t="n">
        <v>44912</v>
      </c>
      <c r="E519" s="1" t="n">
        <v>46323</v>
      </c>
      <c r="F519" t="inlineStr">
        <is>
          <t>KALMAR LÄN</t>
        </is>
      </c>
      <c r="G519" t="inlineStr">
        <is>
          <t>VÄSTERVIK</t>
        </is>
      </c>
      <c r="H519" t="inlineStr">
        <is>
          <t>Övriga Aktiebolag</t>
        </is>
      </c>
      <c r="I519" t="n">
        <v>2.6</v>
      </c>
      <c r="J519" t="n">
        <v>0</v>
      </c>
      <c r="K519" t="n">
        <v>0</v>
      </c>
      <c r="L519" t="n">
        <v>0</v>
      </c>
      <c r="M519" t="n">
        <v>0</v>
      </c>
      <c r="N519" t="n">
        <v>0</v>
      </c>
      <c r="O519" t="n">
        <v>0</v>
      </c>
      <c r="P519" t="n">
        <v>0</v>
      </c>
      <c r="Q519" t="n">
        <v>0</v>
      </c>
      <c r="R519" t="n">
        <v>0</v>
      </c>
      <c r="S519" t="n">
        <v>0</v>
      </c>
      <c r="T519" t="n">
        <v>0</v>
      </c>
      <c r="U519" t="n">
        <v>0</v>
      </c>
      <c r="V519" s="2" t="inlineStr"/>
    </row>
    <row r="520" ht="15" customHeight="1">
      <c r="A520" t="inlineStr">
        <is>
          <t>A 46070-2023</t>
        </is>
      </c>
      <c r="B520" t="inlineStr">
        <is>
          <t>avverkningsanmälan</t>
        </is>
      </c>
      <c r="C520" t="inlineStr">
        <is>
          <t>Föryngringsavverkning</t>
        </is>
      </c>
      <c r="D520" s="1" t="n">
        <v>45196</v>
      </c>
      <c r="E520" s="1" t="n">
        <v>46323</v>
      </c>
      <c r="F520" t="inlineStr">
        <is>
          <t>KALMAR LÄN</t>
        </is>
      </c>
      <c r="G520" t="inlineStr">
        <is>
          <t>VÄSTERVIK</t>
        </is>
      </c>
      <c r="H520" t="inlineStr">
        <is>
          <t>Sveaskog</t>
        </is>
      </c>
      <c r="I520" t="n">
        <v>0.7</v>
      </c>
      <c r="J520" t="n">
        <v>0</v>
      </c>
      <c r="K520" t="n">
        <v>0</v>
      </c>
      <c r="L520" t="n">
        <v>0</v>
      </c>
      <c r="M520" t="n">
        <v>0</v>
      </c>
      <c r="N520" t="n">
        <v>0</v>
      </c>
      <c r="O520" t="n">
        <v>0</v>
      </c>
      <c r="P520" t="n">
        <v>0</v>
      </c>
      <c r="Q520" t="n">
        <v>0</v>
      </c>
      <c r="R520" t="n">
        <v>0</v>
      </c>
      <c r="S520" t="n">
        <v>0</v>
      </c>
      <c r="T520" t="n">
        <v>0</v>
      </c>
      <c r="U520" t="n">
        <v>0</v>
      </c>
      <c r="V520" s="2" t="inlineStr"/>
    </row>
    <row r="521" ht="15" customHeight="1">
      <c r="A521" t="inlineStr">
        <is>
          <t>A 49616-2025</t>
        </is>
      </c>
      <c r="B521" t="inlineStr">
        <is>
          <t>avverkningsanmälan</t>
        </is>
      </c>
      <c r="C521" t="inlineStr">
        <is>
          <t>Föryngringsavverkning</t>
        </is>
      </c>
      <c r="D521" s="1" t="n">
        <v>45939</v>
      </c>
      <c r="E521" s="1" t="n">
        <v>46323</v>
      </c>
      <c r="F521" t="inlineStr">
        <is>
          <t>KALMAR LÄN</t>
        </is>
      </c>
      <c r="G521" t="inlineStr">
        <is>
          <t>VÄSTERVIK</t>
        </is>
      </c>
      <c r="H521" t="inlineStr">
        <is>
          <t>Holmen skog AB</t>
        </is>
      </c>
      <c r="I521" t="n">
        <v>1.9</v>
      </c>
      <c r="J521" t="n">
        <v>0</v>
      </c>
      <c r="K521" t="n">
        <v>0</v>
      </c>
      <c r="L521" t="n">
        <v>0</v>
      </c>
      <c r="M521" t="n">
        <v>0</v>
      </c>
      <c r="N521" t="n">
        <v>0</v>
      </c>
      <c r="O521" t="n">
        <v>0</v>
      </c>
      <c r="P521" t="n">
        <v>0</v>
      </c>
      <c r="Q521" t="n">
        <v>0</v>
      </c>
      <c r="R521" t="n">
        <v>0</v>
      </c>
      <c r="S521" t="n">
        <v>0</v>
      </c>
      <c r="T521" t="n">
        <v>0</v>
      </c>
      <c r="U521" t="n">
        <v>0</v>
      </c>
      <c r="V521" s="2" t="inlineStr"/>
    </row>
    <row r="522" ht="15" customHeight="1">
      <c r="A522" t="inlineStr">
        <is>
          <t>A 49648-2025</t>
        </is>
      </c>
      <c r="B522" t="inlineStr">
        <is>
          <t>avverkningsanmälan</t>
        </is>
      </c>
      <c r="C522" t="inlineStr">
        <is>
          <t>Föryngringsavverkning</t>
        </is>
      </c>
      <c r="D522" s="1" t="n">
        <v>45939</v>
      </c>
      <c r="E522" s="1" t="n">
        <v>46323</v>
      </c>
      <c r="F522" t="inlineStr">
        <is>
          <t>KALMAR LÄN</t>
        </is>
      </c>
      <c r="G522" t="inlineStr">
        <is>
          <t>VÄSTERVIK</t>
        </is>
      </c>
      <c r="H522" t="inlineStr">
        <is>
          <t>Holmen skog AB</t>
        </is>
      </c>
      <c r="I522" t="n">
        <v>7.2</v>
      </c>
      <c r="J522" t="n">
        <v>0</v>
      </c>
      <c r="K522" t="n">
        <v>0</v>
      </c>
      <c r="L522" t="n">
        <v>0</v>
      </c>
      <c r="M522" t="n">
        <v>0</v>
      </c>
      <c r="N522" t="n">
        <v>0</v>
      </c>
      <c r="O522" t="n">
        <v>0</v>
      </c>
      <c r="P522" t="n">
        <v>0</v>
      </c>
      <c r="Q522" t="n">
        <v>0</v>
      </c>
      <c r="R522" t="n">
        <v>0</v>
      </c>
      <c r="S522" t="n">
        <v>0</v>
      </c>
      <c r="T522" t="n">
        <v>0</v>
      </c>
      <c r="U522" t="n">
        <v>0</v>
      </c>
      <c r="V522" s="2" t="inlineStr"/>
    </row>
    <row r="523" ht="15" customHeight="1">
      <c r="A523" t="inlineStr">
        <is>
          <t>A 38174-2023</t>
        </is>
      </c>
      <c r="B523" t="inlineStr">
        <is>
          <t>avverkningsanmälan</t>
        </is>
      </c>
      <c r="C523" t="inlineStr">
        <is>
          <t>Föryngringsavverkning</t>
        </is>
      </c>
      <c r="D523" s="1" t="n">
        <v>45161</v>
      </c>
      <c r="E523" s="1" t="n">
        <v>46323</v>
      </c>
      <c r="F523" t="inlineStr">
        <is>
          <t>KALMAR LÄN</t>
        </is>
      </c>
      <c r="G523" t="inlineStr">
        <is>
          <t>VÄSTERVIK</t>
        </is>
      </c>
      <c r="I523" t="n">
        <v>3.4</v>
      </c>
      <c r="J523" t="n">
        <v>0</v>
      </c>
      <c r="K523" t="n">
        <v>0</v>
      </c>
      <c r="L523" t="n">
        <v>0</v>
      </c>
      <c r="M523" t="n">
        <v>0</v>
      </c>
      <c r="N523" t="n">
        <v>0</v>
      </c>
      <c r="O523" t="n">
        <v>0</v>
      </c>
      <c r="P523" t="n">
        <v>0</v>
      </c>
      <c r="Q523" t="n">
        <v>0</v>
      </c>
      <c r="R523" t="n">
        <v>0</v>
      </c>
      <c r="S523" t="n">
        <v>0</v>
      </c>
      <c r="T523" t="n">
        <v>0</v>
      </c>
      <c r="U523" t="n">
        <v>0</v>
      </c>
      <c r="V523" s="2" t="inlineStr"/>
    </row>
    <row r="524" ht="15" customHeight="1">
      <c r="A524" t="inlineStr">
        <is>
          <t>A 56440-2024</t>
        </is>
      </c>
      <c r="B524" t="inlineStr">
        <is>
          <t>avverkningsanmälan</t>
        </is>
      </c>
      <c r="C524" t="inlineStr">
        <is>
          <t>Föryngringsavverkning</t>
        </is>
      </c>
      <c r="D524" s="1" t="n">
        <v>45625</v>
      </c>
      <c r="E524" s="1" t="n">
        <v>46323</v>
      </c>
      <c r="F524" t="inlineStr">
        <is>
          <t>KALMAR LÄN</t>
        </is>
      </c>
      <c r="G524" t="inlineStr">
        <is>
          <t>VÄSTERVIK</t>
        </is>
      </c>
      <c r="H524" t="inlineStr">
        <is>
          <t>Övriga Aktiebolag</t>
        </is>
      </c>
      <c r="I524" t="n">
        <v>3</v>
      </c>
      <c r="J524" t="n">
        <v>0</v>
      </c>
      <c r="K524" t="n">
        <v>0</v>
      </c>
      <c r="L524" t="n">
        <v>0</v>
      </c>
      <c r="M524" t="n">
        <v>0</v>
      </c>
      <c r="N524" t="n">
        <v>0</v>
      </c>
      <c r="O524" t="n">
        <v>0</v>
      </c>
      <c r="P524" t="n">
        <v>0</v>
      </c>
      <c r="Q524" t="n">
        <v>0</v>
      </c>
      <c r="R524" t="n">
        <v>0</v>
      </c>
      <c r="S524" t="n">
        <v>0</v>
      </c>
      <c r="T524" t="n">
        <v>0</v>
      </c>
      <c r="U524" t="n">
        <v>0</v>
      </c>
      <c r="V524" s="2" t="inlineStr"/>
    </row>
    <row r="525" ht="15" customHeight="1">
      <c r="A525" t="inlineStr">
        <is>
          <t>A 37716-2023</t>
        </is>
      </c>
      <c r="B525" t="inlineStr">
        <is>
          <t>avverkningsanmälan</t>
        </is>
      </c>
      <c r="C525" t="inlineStr">
        <is>
          <t>Föryngringsavverkning</t>
        </is>
      </c>
      <c r="D525" s="1" t="n">
        <v>45159</v>
      </c>
      <c r="E525" s="1" t="n">
        <v>46323</v>
      </c>
      <c r="F525" t="inlineStr">
        <is>
          <t>KALMAR LÄN</t>
        </is>
      </c>
      <c r="G525" t="inlineStr">
        <is>
          <t>VÄSTERVIK</t>
        </is>
      </c>
      <c r="I525" t="n">
        <v>1.7</v>
      </c>
      <c r="J525" t="n">
        <v>0</v>
      </c>
      <c r="K525" t="n">
        <v>0</v>
      </c>
      <c r="L525" t="n">
        <v>0</v>
      </c>
      <c r="M525" t="n">
        <v>0</v>
      </c>
      <c r="N525" t="n">
        <v>0</v>
      </c>
      <c r="O525" t="n">
        <v>0</v>
      </c>
      <c r="P525" t="n">
        <v>0</v>
      </c>
      <c r="Q525" t="n">
        <v>0</v>
      </c>
      <c r="R525" t="n">
        <v>0</v>
      </c>
      <c r="S525" t="n">
        <v>0</v>
      </c>
      <c r="T525" t="n">
        <v>0</v>
      </c>
      <c r="U525" t="n">
        <v>0</v>
      </c>
      <c r="V525" s="2" t="inlineStr"/>
    </row>
    <row r="526" ht="15" customHeight="1">
      <c r="A526" t="inlineStr">
        <is>
          <t>A 58216-2022</t>
        </is>
      </c>
      <c r="B526" t="inlineStr">
        <is>
          <t>avverkningsanmälan</t>
        </is>
      </c>
      <c r="C526" t="inlineStr">
        <is>
          <t>Föryngringsavverkning</t>
        </is>
      </c>
      <c r="D526" s="1" t="n">
        <v>44901</v>
      </c>
      <c r="E526" s="1" t="n">
        <v>46323</v>
      </c>
      <c r="F526" t="inlineStr">
        <is>
          <t>KALMAR LÄN</t>
        </is>
      </c>
      <c r="G526" t="inlineStr">
        <is>
          <t>VÄSTERVIK</t>
        </is>
      </c>
      <c r="I526" t="n">
        <v>0.5</v>
      </c>
      <c r="J526" t="n">
        <v>0</v>
      </c>
      <c r="K526" t="n">
        <v>0</v>
      </c>
      <c r="L526" t="n">
        <v>0</v>
      </c>
      <c r="M526" t="n">
        <v>0</v>
      </c>
      <c r="N526" t="n">
        <v>0</v>
      </c>
      <c r="O526" t="n">
        <v>0</v>
      </c>
      <c r="P526" t="n">
        <v>0</v>
      </c>
      <c r="Q526" t="n">
        <v>0</v>
      </c>
      <c r="R526" t="n">
        <v>0</v>
      </c>
      <c r="S526" t="n">
        <v>0</v>
      </c>
      <c r="T526" t="n">
        <v>0</v>
      </c>
      <c r="U526" t="n">
        <v>0</v>
      </c>
      <c r="V526" s="2" t="inlineStr"/>
    </row>
    <row r="527" ht="15" customHeight="1">
      <c r="A527" t="inlineStr">
        <is>
          <t>A 50911-2022</t>
        </is>
      </c>
      <c r="B527" t="inlineStr">
        <is>
          <t>avverkningsanmälan</t>
        </is>
      </c>
      <c r="C527" t="inlineStr">
        <is>
          <t>Föryngringsavverkning</t>
        </is>
      </c>
      <c r="D527" s="1" t="n">
        <v>44867</v>
      </c>
      <c r="E527" s="1" t="n">
        <v>46323</v>
      </c>
      <c r="F527" t="inlineStr">
        <is>
          <t>KALMAR LÄN</t>
        </is>
      </c>
      <c r="G527" t="inlineStr">
        <is>
          <t>VÄSTERVIK</t>
        </is>
      </c>
      <c r="H527" t="inlineStr">
        <is>
          <t>Sveaskog</t>
        </is>
      </c>
      <c r="I527" t="n">
        <v>3</v>
      </c>
      <c r="J527" t="n">
        <v>0</v>
      </c>
      <c r="K527" t="n">
        <v>0</v>
      </c>
      <c r="L527" t="n">
        <v>0</v>
      </c>
      <c r="M527" t="n">
        <v>0</v>
      </c>
      <c r="N527" t="n">
        <v>0</v>
      </c>
      <c r="O527" t="n">
        <v>0</v>
      </c>
      <c r="P527" t="n">
        <v>0</v>
      </c>
      <c r="Q527" t="n">
        <v>0</v>
      </c>
      <c r="R527" t="n">
        <v>0</v>
      </c>
      <c r="S527" t="n">
        <v>0</v>
      </c>
      <c r="T527" t="n">
        <v>0</v>
      </c>
      <c r="U527" t="n">
        <v>0</v>
      </c>
      <c r="V527" s="2" t="inlineStr"/>
    </row>
    <row r="528" ht="15" customHeight="1">
      <c r="A528" t="inlineStr">
        <is>
          <t>A 36906-2024</t>
        </is>
      </c>
      <c r="B528" t="inlineStr">
        <is>
          <t>avverkningsanmälan</t>
        </is>
      </c>
      <c r="C528" t="inlineStr">
        <is>
          <t>Föryngringsavverkning</t>
        </is>
      </c>
      <c r="D528" s="1" t="n">
        <v>45538</v>
      </c>
      <c r="E528" s="1" t="n">
        <v>46323</v>
      </c>
      <c r="F528" t="inlineStr">
        <is>
          <t>KALMAR LÄN</t>
        </is>
      </c>
      <c r="G528" t="inlineStr">
        <is>
          <t>VÄSTERVIK</t>
        </is>
      </c>
      <c r="I528" t="n">
        <v>2</v>
      </c>
      <c r="J528" t="n">
        <v>0</v>
      </c>
      <c r="K528" t="n">
        <v>0</v>
      </c>
      <c r="L528" t="n">
        <v>0</v>
      </c>
      <c r="M528" t="n">
        <v>0</v>
      </c>
      <c r="N528" t="n">
        <v>0</v>
      </c>
      <c r="O528" t="n">
        <v>0</v>
      </c>
      <c r="P528" t="n">
        <v>0</v>
      </c>
      <c r="Q528" t="n">
        <v>0</v>
      </c>
      <c r="R528" t="n">
        <v>0</v>
      </c>
      <c r="S528" t="n">
        <v>0</v>
      </c>
      <c r="T528" t="n">
        <v>0</v>
      </c>
      <c r="U528" t="n">
        <v>0</v>
      </c>
      <c r="V528" s="2" t="inlineStr"/>
    </row>
    <row r="529" ht="15" customHeight="1">
      <c r="A529" t="inlineStr">
        <is>
          <t>A 5234-2024</t>
        </is>
      </c>
      <c r="B529" t="inlineStr">
        <is>
          <t>avverkningsanmälan</t>
        </is>
      </c>
      <c r="C529" t="inlineStr">
        <is>
          <t>Föryngringsavverkning</t>
        </is>
      </c>
      <c r="D529" s="1" t="n">
        <v>45330</v>
      </c>
      <c r="E529" s="1" t="n">
        <v>46323</v>
      </c>
      <c r="F529" t="inlineStr">
        <is>
          <t>KALMAR LÄN</t>
        </is>
      </c>
      <c r="G529" t="inlineStr">
        <is>
          <t>VÄSTERVIK</t>
        </is>
      </c>
      <c r="I529" t="n">
        <v>1.3</v>
      </c>
      <c r="J529" t="n">
        <v>0</v>
      </c>
      <c r="K529" t="n">
        <v>0</v>
      </c>
      <c r="L529" t="n">
        <v>0</v>
      </c>
      <c r="M529" t="n">
        <v>0</v>
      </c>
      <c r="N529" t="n">
        <v>0</v>
      </c>
      <c r="O529" t="n">
        <v>0</v>
      </c>
      <c r="P529" t="n">
        <v>0</v>
      </c>
      <c r="Q529" t="n">
        <v>0</v>
      </c>
      <c r="R529" t="n">
        <v>0</v>
      </c>
      <c r="S529" t="n">
        <v>0</v>
      </c>
      <c r="T529" t="n">
        <v>0</v>
      </c>
      <c r="U529" t="n">
        <v>0</v>
      </c>
      <c r="V529" s="2" t="inlineStr"/>
    </row>
    <row r="530" ht="15" customHeight="1">
      <c r="A530" t="inlineStr">
        <is>
          <t>A 13748-2024</t>
        </is>
      </c>
      <c r="B530" t="inlineStr">
        <is>
          <t>avverkningsanmälan</t>
        </is>
      </c>
      <c r="C530" t="inlineStr">
        <is>
          <t>Föryngringsavverkning</t>
        </is>
      </c>
      <c r="D530" s="1" t="n">
        <v>45390</v>
      </c>
      <c r="E530" s="1" t="n">
        <v>46323</v>
      </c>
      <c r="F530" t="inlineStr">
        <is>
          <t>KALMAR LÄN</t>
        </is>
      </c>
      <c r="G530" t="inlineStr">
        <is>
          <t>VÄSTERVIK</t>
        </is>
      </c>
      <c r="I530" t="n">
        <v>2.2</v>
      </c>
      <c r="J530" t="n">
        <v>0</v>
      </c>
      <c r="K530" t="n">
        <v>0</v>
      </c>
      <c r="L530" t="n">
        <v>0</v>
      </c>
      <c r="M530" t="n">
        <v>0</v>
      </c>
      <c r="N530" t="n">
        <v>0</v>
      </c>
      <c r="O530" t="n">
        <v>0</v>
      </c>
      <c r="P530" t="n">
        <v>0</v>
      </c>
      <c r="Q530" t="n">
        <v>0</v>
      </c>
      <c r="R530" t="n">
        <v>0</v>
      </c>
      <c r="S530" t="n">
        <v>0</v>
      </c>
      <c r="T530" t="n">
        <v>0</v>
      </c>
      <c r="U530" t="n">
        <v>0</v>
      </c>
      <c r="V530" s="2" t="inlineStr"/>
    </row>
    <row r="531" ht="15" customHeight="1">
      <c r="A531" t="inlineStr">
        <is>
          <t>A 36888-2024</t>
        </is>
      </c>
      <c r="B531" t="inlineStr">
        <is>
          <t>avverkningsanmälan</t>
        </is>
      </c>
      <c r="C531" t="inlineStr">
        <is>
          <t>Föryngringsavverkning</t>
        </is>
      </c>
      <c r="D531" s="1" t="n">
        <v>45538</v>
      </c>
      <c r="E531" s="1" t="n">
        <v>46323</v>
      </c>
      <c r="F531" t="inlineStr">
        <is>
          <t>KALMAR LÄN</t>
        </is>
      </c>
      <c r="G531" t="inlineStr">
        <is>
          <t>VÄSTERVIK</t>
        </is>
      </c>
      <c r="I531" t="n">
        <v>1.5</v>
      </c>
      <c r="J531" t="n">
        <v>0</v>
      </c>
      <c r="K531" t="n">
        <v>0</v>
      </c>
      <c r="L531" t="n">
        <v>0</v>
      </c>
      <c r="M531" t="n">
        <v>0</v>
      </c>
      <c r="N531" t="n">
        <v>0</v>
      </c>
      <c r="O531" t="n">
        <v>0</v>
      </c>
      <c r="P531" t="n">
        <v>0</v>
      </c>
      <c r="Q531" t="n">
        <v>0</v>
      </c>
      <c r="R531" t="n">
        <v>0</v>
      </c>
      <c r="S531" t="n">
        <v>0</v>
      </c>
      <c r="T531" t="n">
        <v>0</v>
      </c>
      <c r="U531" t="n">
        <v>0</v>
      </c>
      <c r="V531" s="2" t="inlineStr"/>
    </row>
    <row r="532" ht="15" customHeight="1">
      <c r="A532" t="inlineStr">
        <is>
          <t>A 2746-2023</t>
        </is>
      </c>
      <c r="B532" t="inlineStr">
        <is>
          <t>avverkningsanmälan</t>
        </is>
      </c>
      <c r="C532" t="inlineStr">
        <is>
          <t>Föryngringsavverkning</t>
        </is>
      </c>
      <c r="D532" s="1" t="n">
        <v>44944</v>
      </c>
      <c r="E532" s="1" t="n">
        <v>46323</v>
      </c>
      <c r="F532" t="inlineStr">
        <is>
          <t>KALMAR LÄN</t>
        </is>
      </c>
      <c r="G532" t="inlineStr">
        <is>
          <t>VÄSTERVIK</t>
        </is>
      </c>
      <c r="I532" t="n">
        <v>5.5</v>
      </c>
      <c r="J532" t="n">
        <v>0</v>
      </c>
      <c r="K532" t="n">
        <v>0</v>
      </c>
      <c r="L532" t="n">
        <v>0</v>
      </c>
      <c r="M532" t="n">
        <v>0</v>
      </c>
      <c r="N532" t="n">
        <v>0</v>
      </c>
      <c r="O532" t="n">
        <v>0</v>
      </c>
      <c r="P532" t="n">
        <v>0</v>
      </c>
      <c r="Q532" t="n">
        <v>0</v>
      </c>
      <c r="R532" t="n">
        <v>0</v>
      </c>
      <c r="S532" t="n">
        <v>0</v>
      </c>
      <c r="T532" t="n">
        <v>0</v>
      </c>
      <c r="U532" t="n">
        <v>0</v>
      </c>
      <c r="V532" s="2" t="inlineStr"/>
    </row>
    <row r="533" ht="15" customHeight="1">
      <c r="A533" t="inlineStr">
        <is>
          <t>A 58209-2022</t>
        </is>
      </c>
      <c r="B533" t="inlineStr">
        <is>
          <t>avverkningsanmälan</t>
        </is>
      </c>
      <c r="C533" t="inlineStr">
        <is>
          <t>Föryngringsavverkning</t>
        </is>
      </c>
      <c r="D533" s="1" t="n">
        <v>44901</v>
      </c>
      <c r="E533" s="1" t="n">
        <v>46323</v>
      </c>
      <c r="F533" t="inlineStr">
        <is>
          <t>KALMAR LÄN</t>
        </is>
      </c>
      <c r="G533" t="inlineStr">
        <is>
          <t>VÄSTERVIK</t>
        </is>
      </c>
      <c r="I533" t="n">
        <v>1.5</v>
      </c>
      <c r="J533" t="n">
        <v>0</v>
      </c>
      <c r="K533" t="n">
        <v>0</v>
      </c>
      <c r="L533" t="n">
        <v>0</v>
      </c>
      <c r="M533" t="n">
        <v>0</v>
      </c>
      <c r="N533" t="n">
        <v>0</v>
      </c>
      <c r="O533" t="n">
        <v>0</v>
      </c>
      <c r="P533" t="n">
        <v>0</v>
      </c>
      <c r="Q533" t="n">
        <v>0</v>
      </c>
      <c r="R533" t="n">
        <v>0</v>
      </c>
      <c r="S533" t="n">
        <v>0</v>
      </c>
      <c r="T533" t="n">
        <v>0</v>
      </c>
      <c r="U533" t="n">
        <v>0</v>
      </c>
      <c r="V533" s="2" t="inlineStr"/>
    </row>
    <row r="534" ht="15" customHeight="1">
      <c r="A534" t="inlineStr">
        <is>
          <t>A 62921-2023</t>
        </is>
      </c>
      <c r="B534" t="inlineStr">
        <is>
          <t>avverkningsanmälan</t>
        </is>
      </c>
      <c r="C534" t="inlineStr">
        <is>
          <t>Föryngringsavverkning</t>
        </is>
      </c>
      <c r="D534" s="1" t="n">
        <v>45272</v>
      </c>
      <c r="E534" s="1" t="n">
        <v>46323</v>
      </c>
      <c r="F534" t="inlineStr">
        <is>
          <t>KALMAR LÄN</t>
        </is>
      </c>
      <c r="G534" t="inlineStr">
        <is>
          <t>VÄSTERVIK</t>
        </is>
      </c>
      <c r="I534" t="n">
        <v>0.7</v>
      </c>
      <c r="J534" t="n">
        <v>0</v>
      </c>
      <c r="K534" t="n">
        <v>0</v>
      </c>
      <c r="L534" t="n">
        <v>0</v>
      </c>
      <c r="M534" t="n">
        <v>0</v>
      </c>
      <c r="N534" t="n">
        <v>0</v>
      </c>
      <c r="O534" t="n">
        <v>0</v>
      </c>
      <c r="P534" t="n">
        <v>0</v>
      </c>
      <c r="Q534" t="n">
        <v>0</v>
      </c>
      <c r="R534" t="n">
        <v>0</v>
      </c>
      <c r="S534" t="n">
        <v>0</v>
      </c>
      <c r="T534" t="n">
        <v>0</v>
      </c>
      <c r="U534" t="n">
        <v>0</v>
      </c>
      <c r="V534" s="2" t="inlineStr"/>
    </row>
    <row r="535" ht="15" customHeight="1">
      <c r="A535" t="inlineStr">
        <is>
          <t>A 5982-2023</t>
        </is>
      </c>
      <c r="B535" t="inlineStr">
        <is>
          <t>avverkningsanmälan</t>
        </is>
      </c>
      <c r="C535" t="inlineStr">
        <is>
          <t>Föryngringsavverkning</t>
        </is>
      </c>
      <c r="D535" s="1" t="n">
        <v>44964</v>
      </c>
      <c r="E535" s="1" t="n">
        <v>46323</v>
      </c>
      <c r="F535" t="inlineStr">
        <is>
          <t>KALMAR LÄN</t>
        </is>
      </c>
      <c r="G535" t="inlineStr">
        <is>
          <t>VÄSTERVIK</t>
        </is>
      </c>
      <c r="I535" t="n">
        <v>2.8</v>
      </c>
      <c r="J535" t="n">
        <v>0</v>
      </c>
      <c r="K535" t="n">
        <v>0</v>
      </c>
      <c r="L535" t="n">
        <v>0</v>
      </c>
      <c r="M535" t="n">
        <v>0</v>
      </c>
      <c r="N535" t="n">
        <v>0</v>
      </c>
      <c r="O535" t="n">
        <v>0</v>
      </c>
      <c r="P535" t="n">
        <v>0</v>
      </c>
      <c r="Q535" t="n">
        <v>0</v>
      </c>
      <c r="R535" t="n">
        <v>0</v>
      </c>
      <c r="S535" t="n">
        <v>0</v>
      </c>
      <c r="T535" t="n">
        <v>0</v>
      </c>
      <c r="U535" t="n">
        <v>0</v>
      </c>
      <c r="V535" s="2" t="inlineStr"/>
    </row>
    <row r="536" ht="15" customHeight="1">
      <c r="A536" t="inlineStr">
        <is>
          <t>A 51513-2025</t>
        </is>
      </c>
      <c r="B536" t="inlineStr">
        <is>
          <t>avverkningsanmälan</t>
        </is>
      </c>
      <c r="C536" t="inlineStr">
        <is>
          <t>Föryngringsavverkning</t>
        </is>
      </c>
      <c r="D536" s="1" t="n">
        <v>45950</v>
      </c>
      <c r="E536" s="1" t="n">
        <v>46323</v>
      </c>
      <c r="F536" t="inlineStr">
        <is>
          <t>KALMAR LÄN</t>
        </is>
      </c>
      <c r="G536" t="inlineStr">
        <is>
          <t>VÄSTERVIK</t>
        </is>
      </c>
      <c r="I536" t="n">
        <v>2.4</v>
      </c>
      <c r="J536" t="n">
        <v>0</v>
      </c>
      <c r="K536" t="n">
        <v>0</v>
      </c>
      <c r="L536" t="n">
        <v>0</v>
      </c>
      <c r="M536" t="n">
        <v>0</v>
      </c>
      <c r="N536" t="n">
        <v>0</v>
      </c>
      <c r="O536" t="n">
        <v>0</v>
      </c>
      <c r="P536" t="n">
        <v>0</v>
      </c>
      <c r="Q536" t="n">
        <v>0</v>
      </c>
      <c r="R536" t="n">
        <v>0</v>
      </c>
      <c r="S536" t="n">
        <v>0</v>
      </c>
      <c r="T536" t="n">
        <v>0</v>
      </c>
      <c r="U536" t="n">
        <v>0</v>
      </c>
      <c r="V536" s="2" t="inlineStr"/>
    </row>
    <row r="537" ht="15" customHeight="1">
      <c r="A537" t="inlineStr">
        <is>
          <t>A 51520-2025</t>
        </is>
      </c>
      <c r="B537" t="inlineStr">
        <is>
          <t>avverkningsanmälan</t>
        </is>
      </c>
      <c r="C537" t="inlineStr">
        <is>
          <t>Föryngringsavverkning</t>
        </is>
      </c>
      <c r="D537" s="1" t="n">
        <v>45950</v>
      </c>
      <c r="E537" s="1" t="n">
        <v>46323</v>
      </c>
      <c r="F537" t="inlineStr">
        <is>
          <t>KALMAR LÄN</t>
        </is>
      </c>
      <c r="G537" t="inlineStr">
        <is>
          <t>VÄSTERVIK</t>
        </is>
      </c>
      <c r="I537" t="n">
        <v>3.6</v>
      </c>
      <c r="J537" t="n">
        <v>0</v>
      </c>
      <c r="K537" t="n">
        <v>0</v>
      </c>
      <c r="L537" t="n">
        <v>0</v>
      </c>
      <c r="M537" t="n">
        <v>0</v>
      </c>
      <c r="N537" t="n">
        <v>0</v>
      </c>
      <c r="O537" t="n">
        <v>0</v>
      </c>
      <c r="P537" t="n">
        <v>0</v>
      </c>
      <c r="Q537" t="n">
        <v>0</v>
      </c>
      <c r="R537" t="n">
        <v>0</v>
      </c>
      <c r="S537" t="n">
        <v>0</v>
      </c>
      <c r="T537" t="n">
        <v>0</v>
      </c>
      <c r="U537" t="n">
        <v>0</v>
      </c>
      <c r="V537" s="2" t="inlineStr"/>
    </row>
    <row r="538" ht="15" customHeight="1">
      <c r="A538" t="inlineStr">
        <is>
          <t>A 51182-2025</t>
        </is>
      </c>
      <c r="B538" t="inlineStr">
        <is>
          <t>avverkningsanmälan</t>
        </is>
      </c>
      <c r="C538" t="inlineStr">
        <is>
          <t>Föryngringsavverkning</t>
        </is>
      </c>
      <c r="D538" s="1" t="n">
        <v>45947</v>
      </c>
      <c r="E538" s="1" t="n">
        <v>46323</v>
      </c>
      <c r="F538" t="inlineStr">
        <is>
          <t>KALMAR LÄN</t>
        </is>
      </c>
      <c r="G538" t="inlineStr">
        <is>
          <t>VÄSTERVIK</t>
        </is>
      </c>
      <c r="I538" t="n">
        <v>0.5</v>
      </c>
      <c r="J538" t="n">
        <v>0</v>
      </c>
      <c r="K538" t="n">
        <v>0</v>
      </c>
      <c r="L538" t="n">
        <v>0</v>
      </c>
      <c r="M538" t="n">
        <v>0</v>
      </c>
      <c r="N538" t="n">
        <v>0</v>
      </c>
      <c r="O538" t="n">
        <v>0</v>
      </c>
      <c r="P538" t="n">
        <v>0</v>
      </c>
      <c r="Q538" t="n">
        <v>0</v>
      </c>
      <c r="R538" t="n">
        <v>0</v>
      </c>
      <c r="S538" t="n">
        <v>0</v>
      </c>
      <c r="T538" t="n">
        <v>0</v>
      </c>
      <c r="U538" t="n">
        <v>0</v>
      </c>
      <c r="V538" s="2" t="inlineStr"/>
    </row>
    <row r="539" ht="15" customHeight="1">
      <c r="A539" t="inlineStr">
        <is>
          <t>A 4583-2023</t>
        </is>
      </c>
      <c r="B539" t="inlineStr">
        <is>
          <t>avverkningsanmälan</t>
        </is>
      </c>
      <c r="C539" t="inlineStr">
        <is>
          <t>Föryngringsavverkning</t>
        </is>
      </c>
      <c r="D539" s="1" t="n">
        <v>44956</v>
      </c>
      <c r="E539" s="1" t="n">
        <v>46323</v>
      </c>
      <c r="F539" t="inlineStr">
        <is>
          <t>KALMAR LÄN</t>
        </is>
      </c>
      <c r="G539" t="inlineStr">
        <is>
          <t>VÄSTERVIK</t>
        </is>
      </c>
      <c r="I539" t="n">
        <v>2.2</v>
      </c>
      <c r="J539" t="n">
        <v>0</v>
      </c>
      <c r="K539" t="n">
        <v>0</v>
      </c>
      <c r="L539" t="n">
        <v>0</v>
      </c>
      <c r="M539" t="n">
        <v>0</v>
      </c>
      <c r="N539" t="n">
        <v>0</v>
      </c>
      <c r="O539" t="n">
        <v>0</v>
      </c>
      <c r="P539" t="n">
        <v>0</v>
      </c>
      <c r="Q539" t="n">
        <v>0</v>
      </c>
      <c r="R539" t="n">
        <v>0</v>
      </c>
      <c r="S539" t="n">
        <v>0</v>
      </c>
      <c r="T539" t="n">
        <v>0</v>
      </c>
      <c r="U539" t="n">
        <v>0</v>
      </c>
      <c r="V539" s="2" t="inlineStr"/>
    </row>
    <row r="540" ht="15" customHeight="1">
      <c r="A540" t="inlineStr">
        <is>
          <t>A 60453-2024</t>
        </is>
      </c>
      <c r="B540" t="inlineStr">
        <is>
          <t>avverkningsanmälan</t>
        </is>
      </c>
      <c r="C540" t="inlineStr">
        <is>
          <t>Föryngringsavverkning</t>
        </is>
      </c>
      <c r="D540" s="1" t="n">
        <v>45643</v>
      </c>
      <c r="E540" s="1" t="n">
        <v>46323</v>
      </c>
      <c r="F540" t="inlineStr">
        <is>
          <t>KALMAR LÄN</t>
        </is>
      </c>
      <c r="G540" t="inlineStr">
        <is>
          <t>VÄSTERVIK</t>
        </is>
      </c>
      <c r="I540" t="n">
        <v>7.1</v>
      </c>
      <c r="J540" t="n">
        <v>0</v>
      </c>
      <c r="K540" t="n">
        <v>0</v>
      </c>
      <c r="L540" t="n">
        <v>0</v>
      </c>
      <c r="M540" t="n">
        <v>0</v>
      </c>
      <c r="N540" t="n">
        <v>0</v>
      </c>
      <c r="O540" t="n">
        <v>0</v>
      </c>
      <c r="P540" t="n">
        <v>0</v>
      </c>
      <c r="Q540" t="n">
        <v>0</v>
      </c>
      <c r="R540" t="n">
        <v>0</v>
      </c>
      <c r="S540" t="n">
        <v>0</v>
      </c>
      <c r="T540" t="n">
        <v>0</v>
      </c>
      <c r="U540" t="n">
        <v>0</v>
      </c>
      <c r="V540" s="2" t="inlineStr"/>
    </row>
    <row r="541" ht="15" customHeight="1">
      <c r="A541" t="inlineStr">
        <is>
          <t>A 51515-2025</t>
        </is>
      </c>
      <c r="B541" t="inlineStr">
        <is>
          <t>avverkningsanmälan</t>
        </is>
      </c>
      <c r="C541" t="inlineStr">
        <is>
          <t>Föryngringsavverkning</t>
        </is>
      </c>
      <c r="D541" s="1" t="n">
        <v>45950</v>
      </c>
      <c r="E541" s="1" t="n">
        <v>46323</v>
      </c>
      <c r="F541" t="inlineStr">
        <is>
          <t>KALMAR LÄN</t>
        </is>
      </c>
      <c r="G541" t="inlineStr">
        <is>
          <t>VÄSTERVIK</t>
        </is>
      </c>
      <c r="I541" t="n">
        <v>1.4</v>
      </c>
      <c r="J541" t="n">
        <v>0</v>
      </c>
      <c r="K541" t="n">
        <v>0</v>
      </c>
      <c r="L541" t="n">
        <v>0</v>
      </c>
      <c r="M541" t="n">
        <v>0</v>
      </c>
      <c r="N541" t="n">
        <v>0</v>
      </c>
      <c r="O541" t="n">
        <v>0</v>
      </c>
      <c r="P541" t="n">
        <v>0</v>
      </c>
      <c r="Q541" t="n">
        <v>0</v>
      </c>
      <c r="R541" t="n">
        <v>0</v>
      </c>
      <c r="S541" t="n">
        <v>0</v>
      </c>
      <c r="T541" t="n">
        <v>0</v>
      </c>
      <c r="U541" t="n">
        <v>0</v>
      </c>
      <c r="V541" s="2" t="inlineStr"/>
    </row>
    <row r="542" ht="15" customHeight="1">
      <c r="A542" t="inlineStr">
        <is>
          <t>A 51983-2025</t>
        </is>
      </c>
      <c r="B542" t="inlineStr">
        <is>
          <t>avverkningsanmälan</t>
        </is>
      </c>
      <c r="C542" t="inlineStr">
        <is>
          <t>Föryngringsavverkning</t>
        </is>
      </c>
      <c r="D542" s="1" t="n">
        <v>45952</v>
      </c>
      <c r="E542" s="1" t="n">
        <v>46323</v>
      </c>
      <c r="F542" t="inlineStr">
        <is>
          <t>KALMAR LÄN</t>
        </is>
      </c>
      <c r="G542" t="inlineStr">
        <is>
          <t>VÄSTERVIK</t>
        </is>
      </c>
      <c r="I542" t="n">
        <v>2.6</v>
      </c>
      <c r="J542" t="n">
        <v>0</v>
      </c>
      <c r="K542" t="n">
        <v>0</v>
      </c>
      <c r="L542" t="n">
        <v>0</v>
      </c>
      <c r="M542" t="n">
        <v>0</v>
      </c>
      <c r="N542" t="n">
        <v>0</v>
      </c>
      <c r="O542" t="n">
        <v>0</v>
      </c>
      <c r="P542" t="n">
        <v>0</v>
      </c>
      <c r="Q542" t="n">
        <v>0</v>
      </c>
      <c r="R542" t="n">
        <v>0</v>
      </c>
      <c r="S542" t="n">
        <v>0</v>
      </c>
      <c r="T542" t="n">
        <v>0</v>
      </c>
      <c r="U542" t="n">
        <v>0</v>
      </c>
      <c r="V542" s="2" t="inlineStr"/>
    </row>
    <row r="543" ht="15" customHeight="1">
      <c r="A543" t="inlineStr">
        <is>
          <t>A 32137-2024</t>
        </is>
      </c>
      <c r="B543" t="inlineStr">
        <is>
          <t>avverkningsanmälan</t>
        </is>
      </c>
      <c r="C543" t="inlineStr">
        <is>
          <t>Föryngringsavverkning</t>
        </is>
      </c>
      <c r="D543" s="1" t="n">
        <v>45511</v>
      </c>
      <c r="E543" s="1" t="n">
        <v>46323</v>
      </c>
      <c r="F543" t="inlineStr">
        <is>
          <t>KALMAR LÄN</t>
        </is>
      </c>
      <c r="G543" t="inlineStr">
        <is>
          <t>VÄSTERVIK</t>
        </is>
      </c>
      <c r="H543" t="inlineStr">
        <is>
          <t>Övriga Aktiebolag</t>
        </is>
      </c>
      <c r="I543" t="n">
        <v>1.4</v>
      </c>
      <c r="J543" t="n">
        <v>0</v>
      </c>
      <c r="K543" t="n">
        <v>0</v>
      </c>
      <c r="L543" t="n">
        <v>0</v>
      </c>
      <c r="M543" t="n">
        <v>0</v>
      </c>
      <c r="N543" t="n">
        <v>0</v>
      </c>
      <c r="O543" t="n">
        <v>0</v>
      </c>
      <c r="P543" t="n">
        <v>0</v>
      </c>
      <c r="Q543" t="n">
        <v>0</v>
      </c>
      <c r="R543" t="n">
        <v>0</v>
      </c>
      <c r="S543" t="n">
        <v>0</v>
      </c>
      <c r="T543" t="n">
        <v>0</v>
      </c>
      <c r="U543" t="n">
        <v>0</v>
      </c>
      <c r="V543" s="2" t="inlineStr"/>
    </row>
    <row r="544" ht="15" customHeight="1">
      <c r="A544" t="inlineStr">
        <is>
          <t>A 47120-2023</t>
        </is>
      </c>
      <c r="B544" t="inlineStr">
        <is>
          <t>avverkningsanmälan</t>
        </is>
      </c>
      <c r="C544" t="inlineStr">
        <is>
          <t>Föryngringsavverkning</t>
        </is>
      </c>
      <c r="D544" s="1" t="n">
        <v>45201</v>
      </c>
      <c r="E544" s="1" t="n">
        <v>46323</v>
      </c>
      <c r="F544" t="inlineStr">
        <is>
          <t>KALMAR LÄN</t>
        </is>
      </c>
      <c r="G544" t="inlineStr">
        <is>
          <t>VÄSTERVIK</t>
        </is>
      </c>
      <c r="I544" t="n">
        <v>1.1</v>
      </c>
      <c r="J544" t="n">
        <v>0</v>
      </c>
      <c r="K544" t="n">
        <v>0</v>
      </c>
      <c r="L544" t="n">
        <v>0</v>
      </c>
      <c r="M544" t="n">
        <v>0</v>
      </c>
      <c r="N544" t="n">
        <v>0</v>
      </c>
      <c r="O544" t="n">
        <v>0</v>
      </c>
      <c r="P544" t="n">
        <v>0</v>
      </c>
      <c r="Q544" t="n">
        <v>0</v>
      </c>
      <c r="R544" t="n">
        <v>0</v>
      </c>
      <c r="S544" t="n">
        <v>0</v>
      </c>
      <c r="T544" t="n">
        <v>0</v>
      </c>
      <c r="U544" t="n">
        <v>0</v>
      </c>
      <c r="V544" s="2" t="inlineStr"/>
    </row>
    <row r="545" ht="15" customHeight="1">
      <c r="A545" t="inlineStr">
        <is>
          <t>A 47123-2023</t>
        </is>
      </c>
      <c r="B545" t="inlineStr">
        <is>
          <t>avverkningsanmälan</t>
        </is>
      </c>
      <c r="C545" t="inlineStr">
        <is>
          <t>Föryngringsavverkning</t>
        </is>
      </c>
      <c r="D545" s="1" t="n">
        <v>45201</v>
      </c>
      <c r="E545" s="1" t="n">
        <v>46323</v>
      </c>
      <c r="F545" t="inlineStr">
        <is>
          <t>KALMAR LÄN</t>
        </is>
      </c>
      <c r="G545" t="inlineStr">
        <is>
          <t>VÄSTERVIK</t>
        </is>
      </c>
      <c r="I545" t="n">
        <v>0.5</v>
      </c>
      <c r="J545" t="n">
        <v>0</v>
      </c>
      <c r="K545" t="n">
        <v>0</v>
      </c>
      <c r="L545" t="n">
        <v>0</v>
      </c>
      <c r="M545" t="n">
        <v>0</v>
      </c>
      <c r="N545" t="n">
        <v>0</v>
      </c>
      <c r="O545" t="n">
        <v>0</v>
      </c>
      <c r="P545" t="n">
        <v>0</v>
      </c>
      <c r="Q545" t="n">
        <v>0</v>
      </c>
      <c r="R545" t="n">
        <v>0</v>
      </c>
      <c r="S545" t="n">
        <v>0</v>
      </c>
      <c r="T545" t="n">
        <v>0</v>
      </c>
      <c r="U545" t="n">
        <v>0</v>
      </c>
      <c r="V545" s="2" t="inlineStr"/>
    </row>
    <row r="546" ht="15" customHeight="1">
      <c r="A546" t="inlineStr">
        <is>
          <t>A 46718-2023</t>
        </is>
      </c>
      <c r="B546" t="inlineStr">
        <is>
          <t>avverkningsanmälan</t>
        </is>
      </c>
      <c r="C546" t="inlineStr">
        <is>
          <t>Föryngringsavverkning</t>
        </is>
      </c>
      <c r="D546" s="1" t="n">
        <v>45198</v>
      </c>
      <c r="E546" s="1" t="n">
        <v>46323</v>
      </c>
      <c r="F546" t="inlineStr">
        <is>
          <t>KALMAR LÄN</t>
        </is>
      </c>
      <c r="G546" t="inlineStr">
        <is>
          <t>VÄSTERVIK</t>
        </is>
      </c>
      <c r="I546" t="n">
        <v>0.4</v>
      </c>
      <c r="J546" t="n">
        <v>0</v>
      </c>
      <c r="K546" t="n">
        <v>0</v>
      </c>
      <c r="L546" t="n">
        <v>0</v>
      </c>
      <c r="M546" t="n">
        <v>0</v>
      </c>
      <c r="N546" t="n">
        <v>0</v>
      </c>
      <c r="O546" t="n">
        <v>0</v>
      </c>
      <c r="P546" t="n">
        <v>0</v>
      </c>
      <c r="Q546" t="n">
        <v>0</v>
      </c>
      <c r="R546" t="n">
        <v>0</v>
      </c>
      <c r="S546" t="n">
        <v>0</v>
      </c>
      <c r="T546" t="n">
        <v>0</v>
      </c>
      <c r="U546" t="n">
        <v>0</v>
      </c>
      <c r="V546" s="2" t="inlineStr"/>
    </row>
    <row r="547" ht="15" customHeight="1">
      <c r="A547" t="inlineStr">
        <is>
          <t>A 5450-2022</t>
        </is>
      </c>
      <c r="B547" t="inlineStr">
        <is>
          <t>avverkningsanmälan</t>
        </is>
      </c>
      <c r="C547" t="inlineStr">
        <is>
          <t>Avverkning för annat ändamål</t>
        </is>
      </c>
      <c r="D547" s="1" t="n">
        <v>44595</v>
      </c>
      <c r="E547" s="1" t="n">
        <v>46323</v>
      </c>
      <c r="F547" t="inlineStr">
        <is>
          <t>KALMAR LÄN</t>
        </is>
      </c>
      <c r="G547" t="inlineStr">
        <is>
          <t>VÄSTERVIK</t>
        </is>
      </c>
      <c r="I547" t="n">
        <v>0.7</v>
      </c>
      <c r="J547" t="n">
        <v>0</v>
      </c>
      <c r="K547" t="n">
        <v>0</v>
      </c>
      <c r="L547" t="n">
        <v>0</v>
      </c>
      <c r="M547" t="n">
        <v>0</v>
      </c>
      <c r="N547" t="n">
        <v>0</v>
      </c>
      <c r="O547" t="n">
        <v>0</v>
      </c>
      <c r="P547" t="n">
        <v>0</v>
      </c>
      <c r="Q547" t="n">
        <v>0</v>
      </c>
      <c r="R547" t="n">
        <v>0</v>
      </c>
      <c r="S547" t="n">
        <v>0</v>
      </c>
      <c r="T547" t="n">
        <v>0</v>
      </c>
      <c r="U547" t="n">
        <v>0</v>
      </c>
      <c r="V547" s="2" t="inlineStr"/>
    </row>
    <row r="548" ht="15" customHeight="1">
      <c r="A548" t="inlineStr">
        <is>
          <t>A 26776-2023</t>
        </is>
      </c>
      <c r="B548" t="inlineStr">
        <is>
          <t>avverkningsanmälan</t>
        </is>
      </c>
      <c r="C548" t="inlineStr">
        <is>
          <t>Föryngringsavverkning</t>
        </is>
      </c>
      <c r="D548" s="1" t="n">
        <v>45093</v>
      </c>
      <c r="E548" s="1" t="n">
        <v>46323</v>
      </c>
      <c r="F548" t="inlineStr">
        <is>
          <t>KALMAR LÄN</t>
        </is>
      </c>
      <c r="G548" t="inlineStr">
        <is>
          <t>VÄSTERVIK</t>
        </is>
      </c>
      <c r="I548" t="n">
        <v>1.3</v>
      </c>
      <c r="J548" t="n">
        <v>0</v>
      </c>
      <c r="K548" t="n">
        <v>0</v>
      </c>
      <c r="L548" t="n">
        <v>0</v>
      </c>
      <c r="M548" t="n">
        <v>0</v>
      </c>
      <c r="N548" t="n">
        <v>0</v>
      </c>
      <c r="O548" t="n">
        <v>0</v>
      </c>
      <c r="P548" t="n">
        <v>0</v>
      </c>
      <c r="Q548" t="n">
        <v>0</v>
      </c>
      <c r="R548" t="n">
        <v>0</v>
      </c>
      <c r="S548" t="n">
        <v>0</v>
      </c>
      <c r="T548" t="n">
        <v>0</v>
      </c>
      <c r="U548" t="n">
        <v>0</v>
      </c>
      <c r="V548" s="2" t="inlineStr"/>
    </row>
    <row r="549" ht="15" customHeight="1">
      <c r="A549" t="inlineStr">
        <is>
          <t>A 52488-2025</t>
        </is>
      </c>
      <c r="B549" t="inlineStr">
        <is>
          <t>avverkningsanmälan</t>
        </is>
      </c>
      <c r="C549" t="inlineStr">
        <is>
          <t>Föryngringsavverkning</t>
        </is>
      </c>
      <c r="D549" s="1" t="n">
        <v>45953</v>
      </c>
      <c r="E549" s="1" t="n">
        <v>46323</v>
      </c>
      <c r="F549" t="inlineStr">
        <is>
          <t>KALMAR LÄN</t>
        </is>
      </c>
      <c r="G549" t="inlineStr">
        <is>
          <t>VÄSTERVIK</t>
        </is>
      </c>
      <c r="I549" t="n">
        <v>0.5</v>
      </c>
      <c r="J549" t="n">
        <v>0</v>
      </c>
      <c r="K549" t="n">
        <v>0</v>
      </c>
      <c r="L549" t="n">
        <v>0</v>
      </c>
      <c r="M549" t="n">
        <v>0</v>
      </c>
      <c r="N549" t="n">
        <v>0</v>
      </c>
      <c r="O549" t="n">
        <v>0</v>
      </c>
      <c r="P549" t="n">
        <v>0</v>
      </c>
      <c r="Q549" t="n">
        <v>0</v>
      </c>
      <c r="R549" t="n">
        <v>0</v>
      </c>
      <c r="S549" t="n">
        <v>0</v>
      </c>
      <c r="T549" t="n">
        <v>0</v>
      </c>
      <c r="U549" t="n">
        <v>0</v>
      </c>
      <c r="V549" s="2" t="inlineStr"/>
    </row>
    <row r="550" ht="15" customHeight="1">
      <c r="A550" t="inlineStr">
        <is>
          <t>A 52492-2025</t>
        </is>
      </c>
      <c r="B550" t="inlineStr">
        <is>
          <t>avverkningsanmälan</t>
        </is>
      </c>
      <c r="C550" t="inlineStr">
        <is>
          <t>Föryngringsavverkning</t>
        </is>
      </c>
      <c r="D550" s="1" t="n">
        <v>45953</v>
      </c>
      <c r="E550" s="1" t="n">
        <v>46323</v>
      </c>
      <c r="F550" t="inlineStr">
        <is>
          <t>KALMAR LÄN</t>
        </is>
      </c>
      <c r="G550" t="inlineStr">
        <is>
          <t>VÄSTERVIK</t>
        </is>
      </c>
      <c r="I550" t="n">
        <v>0.9</v>
      </c>
      <c r="J550" t="n">
        <v>0</v>
      </c>
      <c r="K550" t="n">
        <v>0</v>
      </c>
      <c r="L550" t="n">
        <v>0</v>
      </c>
      <c r="M550" t="n">
        <v>0</v>
      </c>
      <c r="N550" t="n">
        <v>0</v>
      </c>
      <c r="O550" t="n">
        <v>0</v>
      </c>
      <c r="P550" t="n">
        <v>0</v>
      </c>
      <c r="Q550" t="n">
        <v>0</v>
      </c>
      <c r="R550" t="n">
        <v>0</v>
      </c>
      <c r="S550" t="n">
        <v>0</v>
      </c>
      <c r="T550" t="n">
        <v>0</v>
      </c>
      <c r="U550" t="n">
        <v>0</v>
      </c>
      <c r="V550" s="2" t="inlineStr"/>
    </row>
    <row r="551" ht="15" customHeight="1">
      <c r="A551" t="inlineStr">
        <is>
          <t>A 52495-2025</t>
        </is>
      </c>
      <c r="B551" t="inlineStr">
        <is>
          <t>avverkningsanmälan</t>
        </is>
      </c>
      <c r="C551" t="inlineStr">
        <is>
          <t>Föryngringsavverkning</t>
        </is>
      </c>
      <c r="D551" s="1" t="n">
        <v>45953</v>
      </c>
      <c r="E551" s="1" t="n">
        <v>46323</v>
      </c>
      <c r="F551" t="inlineStr">
        <is>
          <t>KALMAR LÄN</t>
        </is>
      </c>
      <c r="G551" t="inlineStr">
        <is>
          <t>VÄSTERVIK</t>
        </is>
      </c>
      <c r="I551" t="n">
        <v>1</v>
      </c>
      <c r="J551" t="n">
        <v>0</v>
      </c>
      <c r="K551" t="n">
        <v>0</v>
      </c>
      <c r="L551" t="n">
        <v>0</v>
      </c>
      <c r="M551" t="n">
        <v>0</v>
      </c>
      <c r="N551" t="n">
        <v>0</v>
      </c>
      <c r="O551" t="n">
        <v>0</v>
      </c>
      <c r="P551" t="n">
        <v>0</v>
      </c>
      <c r="Q551" t="n">
        <v>0</v>
      </c>
      <c r="R551" t="n">
        <v>0</v>
      </c>
      <c r="S551" t="n">
        <v>0</v>
      </c>
      <c r="T551" t="n">
        <v>0</v>
      </c>
      <c r="U551" t="n">
        <v>0</v>
      </c>
      <c r="V551" s="2" t="inlineStr"/>
    </row>
    <row r="552" ht="15" customHeight="1">
      <c r="A552" t="inlineStr">
        <is>
          <t>A 16586-2022</t>
        </is>
      </c>
      <c r="B552" t="inlineStr">
        <is>
          <t>avverkningsanmälan</t>
        </is>
      </c>
      <c r="C552" t="inlineStr">
        <is>
          <t>Föryngringsavverkning</t>
        </is>
      </c>
      <c r="D552" s="1" t="n">
        <v>44672</v>
      </c>
      <c r="E552" s="1" t="n">
        <v>46323</v>
      </c>
      <c r="F552" t="inlineStr">
        <is>
          <t>KALMAR LÄN</t>
        </is>
      </c>
      <c r="G552" t="inlineStr">
        <is>
          <t>VÄSTERVIK</t>
        </is>
      </c>
      <c r="H552" t="inlineStr">
        <is>
          <t>Sveaskog</t>
        </is>
      </c>
      <c r="I552" t="n">
        <v>1</v>
      </c>
      <c r="J552" t="n">
        <v>0</v>
      </c>
      <c r="K552" t="n">
        <v>0</v>
      </c>
      <c r="L552" t="n">
        <v>0</v>
      </c>
      <c r="M552" t="n">
        <v>0</v>
      </c>
      <c r="N552" t="n">
        <v>0</v>
      </c>
      <c r="O552" t="n">
        <v>0</v>
      </c>
      <c r="P552" t="n">
        <v>0</v>
      </c>
      <c r="Q552" t="n">
        <v>0</v>
      </c>
      <c r="R552" t="n">
        <v>0</v>
      </c>
      <c r="S552" t="n">
        <v>0</v>
      </c>
      <c r="T552" t="n">
        <v>0</v>
      </c>
      <c r="U552" t="n">
        <v>0</v>
      </c>
      <c r="V552" s="2" t="inlineStr"/>
    </row>
    <row r="553" ht="15" customHeight="1">
      <c r="A553" t="inlineStr">
        <is>
          <t>A 73640-2021</t>
        </is>
      </c>
      <c r="B553" t="inlineStr">
        <is>
          <t>avverkningsanmälan</t>
        </is>
      </c>
      <c r="C553" t="inlineStr">
        <is>
          <t>Föryngringsavverkning</t>
        </is>
      </c>
      <c r="D553" s="1" t="n">
        <v>44552</v>
      </c>
      <c r="E553" s="1" t="n">
        <v>46323</v>
      </c>
      <c r="F553" t="inlineStr">
        <is>
          <t>KALMAR LÄN</t>
        </is>
      </c>
      <c r="G553" t="inlineStr">
        <is>
          <t>VÄSTERVIK</t>
        </is>
      </c>
      <c r="I553" t="n">
        <v>1.9</v>
      </c>
      <c r="J553" t="n">
        <v>0</v>
      </c>
      <c r="K553" t="n">
        <v>0</v>
      </c>
      <c r="L553" t="n">
        <v>0</v>
      </c>
      <c r="M553" t="n">
        <v>0</v>
      </c>
      <c r="N553" t="n">
        <v>0</v>
      </c>
      <c r="O553" t="n">
        <v>0</v>
      </c>
      <c r="P553" t="n">
        <v>0</v>
      </c>
      <c r="Q553" t="n">
        <v>0</v>
      </c>
      <c r="R553" t="n">
        <v>0</v>
      </c>
      <c r="S553" t="n">
        <v>0</v>
      </c>
      <c r="T553" t="n">
        <v>0</v>
      </c>
      <c r="U553" t="n">
        <v>0</v>
      </c>
      <c r="V553" s="2" t="inlineStr"/>
    </row>
    <row r="554" ht="15" customHeight="1">
      <c r="A554" t="inlineStr">
        <is>
          <t>A 53334-2025</t>
        </is>
      </c>
      <c r="B554" t="inlineStr">
        <is>
          <t>avverkningsanmälan</t>
        </is>
      </c>
      <c r="C554" t="inlineStr">
        <is>
          <t>Avverkning för annat ändamål</t>
        </is>
      </c>
      <c r="D554" s="1" t="n">
        <v>45959</v>
      </c>
      <c r="E554" s="1" t="n">
        <v>46323</v>
      </c>
      <c r="F554" t="inlineStr">
        <is>
          <t>KALMAR LÄN</t>
        </is>
      </c>
      <c r="G554" t="inlineStr">
        <is>
          <t>VÄSTERVIK</t>
        </is>
      </c>
      <c r="H554" t="inlineStr">
        <is>
          <t>Sveaskog</t>
        </is>
      </c>
      <c r="I554" t="n">
        <v>1.4</v>
      </c>
      <c r="J554" t="n">
        <v>0</v>
      </c>
      <c r="K554" t="n">
        <v>0</v>
      </c>
      <c r="L554" t="n">
        <v>0</v>
      </c>
      <c r="M554" t="n">
        <v>0</v>
      </c>
      <c r="N554" t="n">
        <v>0</v>
      </c>
      <c r="O554" t="n">
        <v>0</v>
      </c>
      <c r="P554" t="n">
        <v>0</v>
      </c>
      <c r="Q554" t="n">
        <v>0</v>
      </c>
      <c r="R554" t="n">
        <v>0</v>
      </c>
      <c r="S554" t="n">
        <v>0</v>
      </c>
      <c r="T554" t="n">
        <v>0</v>
      </c>
      <c r="U554" t="n">
        <v>0</v>
      </c>
      <c r="V554" s="2" t="inlineStr"/>
    </row>
    <row r="555" ht="15" customHeight="1">
      <c r="A555" t="inlineStr">
        <is>
          <t>A 35108-2024</t>
        </is>
      </c>
      <c r="B555" t="inlineStr">
        <is>
          <t>avverkningsanmälan</t>
        </is>
      </c>
      <c r="C555" t="inlineStr">
        <is>
          <t>Föryngringsavverkning</t>
        </is>
      </c>
      <c r="D555" s="1" t="n">
        <v>45529</v>
      </c>
      <c r="E555" s="1" t="n">
        <v>46323</v>
      </c>
      <c r="F555" t="inlineStr">
        <is>
          <t>KALMAR LÄN</t>
        </is>
      </c>
      <c r="G555" t="inlineStr">
        <is>
          <t>VÄSTERVIK</t>
        </is>
      </c>
      <c r="I555" t="n">
        <v>10.5</v>
      </c>
      <c r="J555" t="n">
        <v>0</v>
      </c>
      <c r="K555" t="n">
        <v>0</v>
      </c>
      <c r="L555" t="n">
        <v>0</v>
      </c>
      <c r="M555" t="n">
        <v>0</v>
      </c>
      <c r="N555" t="n">
        <v>0</v>
      </c>
      <c r="O555" t="n">
        <v>0</v>
      </c>
      <c r="P555" t="n">
        <v>0</v>
      </c>
      <c r="Q555" t="n">
        <v>0</v>
      </c>
      <c r="R555" t="n">
        <v>0</v>
      </c>
      <c r="S555" t="n">
        <v>0</v>
      </c>
      <c r="T555" t="n">
        <v>0</v>
      </c>
      <c r="U555" t="n">
        <v>0</v>
      </c>
      <c r="V555" s="2" t="inlineStr"/>
    </row>
    <row r="556" ht="15" customHeight="1">
      <c r="A556" t="inlineStr">
        <is>
          <t>A 40050-2022</t>
        </is>
      </c>
      <c r="B556" t="inlineStr">
        <is>
          <t>avverkningsanmälan</t>
        </is>
      </c>
      <c r="C556" t="inlineStr">
        <is>
          <t>Föryngringsavverkning</t>
        </is>
      </c>
      <c r="D556" s="1" t="n">
        <v>44820</v>
      </c>
      <c r="E556" s="1" t="n">
        <v>46323</v>
      </c>
      <c r="F556" t="inlineStr">
        <is>
          <t>KALMAR LÄN</t>
        </is>
      </c>
      <c r="G556" t="inlineStr">
        <is>
          <t>VÄSTERVIK</t>
        </is>
      </c>
      <c r="I556" t="n">
        <v>1.8</v>
      </c>
      <c r="J556" t="n">
        <v>0</v>
      </c>
      <c r="K556" t="n">
        <v>0</v>
      </c>
      <c r="L556" t="n">
        <v>0</v>
      </c>
      <c r="M556" t="n">
        <v>0</v>
      </c>
      <c r="N556" t="n">
        <v>0</v>
      </c>
      <c r="O556" t="n">
        <v>0</v>
      </c>
      <c r="P556" t="n">
        <v>0</v>
      </c>
      <c r="Q556" t="n">
        <v>0</v>
      </c>
      <c r="R556" t="n">
        <v>0</v>
      </c>
      <c r="S556" t="n">
        <v>0</v>
      </c>
      <c r="T556" t="n">
        <v>0</v>
      </c>
      <c r="U556" t="n">
        <v>0</v>
      </c>
      <c r="V556" s="2" t="inlineStr"/>
    </row>
    <row r="557" ht="15" customHeight="1">
      <c r="A557" t="inlineStr">
        <is>
          <t>A 35456-2024</t>
        </is>
      </c>
      <c r="B557" t="inlineStr">
        <is>
          <t>avverkningsanmälan</t>
        </is>
      </c>
      <c r="C557" t="inlineStr">
        <is>
          <t>Föryngringsavverkning</t>
        </is>
      </c>
      <c r="D557" s="1" t="n">
        <v>45531</v>
      </c>
      <c r="E557" s="1" t="n">
        <v>46323</v>
      </c>
      <c r="F557" t="inlineStr">
        <is>
          <t>KALMAR LÄN</t>
        </is>
      </c>
      <c r="G557" t="inlineStr">
        <is>
          <t>VÄSTERVIK</t>
        </is>
      </c>
      <c r="I557" t="n">
        <v>5.8</v>
      </c>
      <c r="J557" t="n">
        <v>0</v>
      </c>
      <c r="K557" t="n">
        <v>0</v>
      </c>
      <c r="L557" t="n">
        <v>0</v>
      </c>
      <c r="M557" t="n">
        <v>0</v>
      </c>
      <c r="N557" t="n">
        <v>0</v>
      </c>
      <c r="O557" t="n">
        <v>0</v>
      </c>
      <c r="P557" t="n">
        <v>0</v>
      </c>
      <c r="Q557" t="n">
        <v>0</v>
      </c>
      <c r="R557" t="n">
        <v>0</v>
      </c>
      <c r="S557" t="n">
        <v>0</v>
      </c>
      <c r="T557" t="n">
        <v>0</v>
      </c>
      <c r="U557" t="n">
        <v>0</v>
      </c>
      <c r="V557" s="2" t="inlineStr"/>
    </row>
    <row r="558" ht="15" customHeight="1">
      <c r="A558" t="inlineStr">
        <is>
          <t>A 31691-2023</t>
        </is>
      </c>
      <c r="B558" t="inlineStr">
        <is>
          <t>avverkningsanmälan</t>
        </is>
      </c>
      <c r="C558" t="inlineStr">
        <is>
          <t>Föryngringsavverkning</t>
        </is>
      </c>
      <c r="D558" s="1" t="n">
        <v>45117</v>
      </c>
      <c r="E558" s="1" t="n">
        <v>46323</v>
      </c>
      <c r="F558" t="inlineStr">
        <is>
          <t>KALMAR LÄN</t>
        </is>
      </c>
      <c r="G558" t="inlineStr">
        <is>
          <t>VÄSTERVIK</t>
        </is>
      </c>
      <c r="I558" t="n">
        <v>0.6</v>
      </c>
      <c r="J558" t="n">
        <v>0</v>
      </c>
      <c r="K558" t="n">
        <v>0</v>
      </c>
      <c r="L558" t="n">
        <v>0</v>
      </c>
      <c r="M558" t="n">
        <v>0</v>
      </c>
      <c r="N558" t="n">
        <v>0</v>
      </c>
      <c r="O558" t="n">
        <v>0</v>
      </c>
      <c r="P558" t="n">
        <v>0</v>
      </c>
      <c r="Q558" t="n">
        <v>0</v>
      </c>
      <c r="R558" t="n">
        <v>0</v>
      </c>
      <c r="S558" t="n">
        <v>0</v>
      </c>
      <c r="T558" t="n">
        <v>0</v>
      </c>
      <c r="U558" t="n">
        <v>0</v>
      </c>
      <c r="V558" s="2" t="inlineStr"/>
    </row>
    <row r="559" ht="15" customHeight="1">
      <c r="A559" t="inlineStr">
        <is>
          <t>A 1568-2024</t>
        </is>
      </c>
      <c r="B559" t="inlineStr">
        <is>
          <t>avverkningsanmälan</t>
        </is>
      </c>
      <c r="C559" t="inlineStr">
        <is>
          <t>Föryngringsavverkning</t>
        </is>
      </c>
      <c r="D559" s="1" t="n">
        <v>45306</v>
      </c>
      <c r="E559" s="1" t="n">
        <v>46323</v>
      </c>
      <c r="F559" t="inlineStr">
        <is>
          <t>KALMAR LÄN</t>
        </is>
      </c>
      <c r="G559" t="inlineStr">
        <is>
          <t>VÄSTERVIK</t>
        </is>
      </c>
      <c r="I559" t="n">
        <v>3.4</v>
      </c>
      <c r="J559" t="n">
        <v>0</v>
      </c>
      <c r="K559" t="n">
        <v>0</v>
      </c>
      <c r="L559" t="n">
        <v>0</v>
      </c>
      <c r="M559" t="n">
        <v>0</v>
      </c>
      <c r="N559" t="n">
        <v>0</v>
      </c>
      <c r="O559" t="n">
        <v>0</v>
      </c>
      <c r="P559" t="n">
        <v>0</v>
      </c>
      <c r="Q559" t="n">
        <v>0</v>
      </c>
      <c r="R559" t="n">
        <v>0</v>
      </c>
      <c r="S559" t="n">
        <v>0</v>
      </c>
      <c r="T559" t="n">
        <v>0</v>
      </c>
      <c r="U559" t="n">
        <v>0</v>
      </c>
      <c r="V559" s="2" t="inlineStr"/>
    </row>
    <row r="560" ht="15" customHeight="1">
      <c r="A560" t="inlineStr">
        <is>
          <t>A 1572-2024</t>
        </is>
      </c>
      <c r="B560" t="inlineStr">
        <is>
          <t>avverkningsanmälan</t>
        </is>
      </c>
      <c r="C560" t="inlineStr">
        <is>
          <t>Föryngringsavverkning</t>
        </is>
      </c>
      <c r="D560" s="1" t="n">
        <v>45306</v>
      </c>
      <c r="E560" s="1" t="n">
        <v>46323</v>
      </c>
      <c r="F560" t="inlineStr">
        <is>
          <t>KALMAR LÄN</t>
        </is>
      </c>
      <c r="G560" t="inlineStr">
        <is>
          <t>VÄSTERVIK</t>
        </is>
      </c>
      <c r="I560" t="n">
        <v>4.4</v>
      </c>
      <c r="J560" t="n">
        <v>0</v>
      </c>
      <c r="K560" t="n">
        <v>0</v>
      </c>
      <c r="L560" t="n">
        <v>0</v>
      </c>
      <c r="M560" t="n">
        <v>0</v>
      </c>
      <c r="N560" t="n">
        <v>0</v>
      </c>
      <c r="O560" t="n">
        <v>0</v>
      </c>
      <c r="P560" t="n">
        <v>0</v>
      </c>
      <c r="Q560" t="n">
        <v>0</v>
      </c>
      <c r="R560" t="n">
        <v>0</v>
      </c>
      <c r="S560" t="n">
        <v>0</v>
      </c>
      <c r="T560" t="n">
        <v>0</v>
      </c>
      <c r="U560" t="n">
        <v>0</v>
      </c>
      <c r="V560" s="2" t="inlineStr"/>
    </row>
    <row r="561" ht="15" customHeight="1">
      <c r="A561" t="inlineStr">
        <is>
          <t>A 9249-2024</t>
        </is>
      </c>
      <c r="B561" t="inlineStr">
        <is>
          <t>avverkningsanmälan</t>
        </is>
      </c>
      <c r="C561" t="inlineStr">
        <is>
          <t>Föryngringsavverkning</t>
        </is>
      </c>
      <c r="D561" s="1" t="n">
        <v>45358</v>
      </c>
      <c r="E561" s="1" t="n">
        <v>46323</v>
      </c>
      <c r="F561" t="inlineStr">
        <is>
          <t>KALMAR LÄN</t>
        </is>
      </c>
      <c r="G561" t="inlineStr">
        <is>
          <t>VÄSTERVIK</t>
        </is>
      </c>
      <c r="I561" t="n">
        <v>0.7</v>
      </c>
      <c r="J561" t="n">
        <v>0</v>
      </c>
      <c r="K561" t="n">
        <v>0</v>
      </c>
      <c r="L561" t="n">
        <v>0</v>
      </c>
      <c r="M561" t="n">
        <v>0</v>
      </c>
      <c r="N561" t="n">
        <v>0</v>
      </c>
      <c r="O561" t="n">
        <v>0</v>
      </c>
      <c r="P561" t="n">
        <v>0</v>
      </c>
      <c r="Q561" t="n">
        <v>0</v>
      </c>
      <c r="R561" t="n">
        <v>0</v>
      </c>
      <c r="S561" t="n">
        <v>0</v>
      </c>
      <c r="T561" t="n">
        <v>0</v>
      </c>
      <c r="U561" t="n">
        <v>0</v>
      </c>
      <c r="V561" s="2" t="inlineStr"/>
    </row>
    <row r="562" ht="15" customHeight="1">
      <c r="A562" t="inlineStr">
        <is>
          <t>A 53884-2025</t>
        </is>
      </c>
      <c r="B562" t="inlineStr">
        <is>
          <t>avverkningsanmälan</t>
        </is>
      </c>
      <c r="C562" t="inlineStr">
        <is>
          <t>Avverkning för att bevara och utveckla /försöksver</t>
        </is>
      </c>
      <c r="D562" s="1" t="n">
        <v>45961</v>
      </c>
      <c r="E562" s="1" t="n">
        <v>46323</v>
      </c>
      <c r="F562" t="inlineStr">
        <is>
          <t>KALMAR LÄN</t>
        </is>
      </c>
      <c r="G562" t="inlineStr">
        <is>
          <t>VÄSTERVIK</t>
        </is>
      </c>
      <c r="H562" t="inlineStr">
        <is>
          <t>Sveaskog</t>
        </is>
      </c>
      <c r="I562" t="n">
        <v>1.4</v>
      </c>
      <c r="J562" t="n">
        <v>0</v>
      </c>
      <c r="K562" t="n">
        <v>0</v>
      </c>
      <c r="L562" t="n">
        <v>0</v>
      </c>
      <c r="M562" t="n">
        <v>0</v>
      </c>
      <c r="N562" t="n">
        <v>0</v>
      </c>
      <c r="O562" t="n">
        <v>0</v>
      </c>
      <c r="P562" t="n">
        <v>0</v>
      </c>
      <c r="Q562" t="n">
        <v>0</v>
      </c>
      <c r="R562" t="n">
        <v>0</v>
      </c>
      <c r="S562" t="n">
        <v>0</v>
      </c>
      <c r="T562" t="n">
        <v>0</v>
      </c>
      <c r="U562" t="n">
        <v>0</v>
      </c>
      <c r="V562" s="2" t="inlineStr"/>
    </row>
    <row r="563" ht="15" customHeight="1">
      <c r="A563" t="inlineStr">
        <is>
          <t>A 12435-2024</t>
        </is>
      </c>
      <c r="B563" t="inlineStr">
        <is>
          <t>avverkningsanmälan</t>
        </is>
      </c>
      <c r="C563" t="inlineStr">
        <is>
          <t>Föryngringsavverkning</t>
        </is>
      </c>
      <c r="D563" s="1" t="n">
        <v>45379</v>
      </c>
      <c r="E563" s="1" t="n">
        <v>46323</v>
      </c>
      <c r="F563" t="inlineStr">
        <is>
          <t>KALMAR LÄN</t>
        </is>
      </c>
      <c r="G563" t="inlineStr">
        <is>
          <t>VÄSTERVIK</t>
        </is>
      </c>
      <c r="I563" t="n">
        <v>0.4</v>
      </c>
      <c r="J563" t="n">
        <v>0</v>
      </c>
      <c r="K563" t="n">
        <v>0</v>
      </c>
      <c r="L563" t="n">
        <v>0</v>
      </c>
      <c r="M563" t="n">
        <v>0</v>
      </c>
      <c r="N563" t="n">
        <v>0</v>
      </c>
      <c r="O563" t="n">
        <v>0</v>
      </c>
      <c r="P563" t="n">
        <v>0</v>
      </c>
      <c r="Q563" t="n">
        <v>0</v>
      </c>
      <c r="R563" t="n">
        <v>0</v>
      </c>
      <c r="S563" t="n">
        <v>0</v>
      </c>
      <c r="T563" t="n">
        <v>0</v>
      </c>
      <c r="U563" t="n">
        <v>0</v>
      </c>
      <c r="V563" s="2" t="inlineStr"/>
    </row>
    <row r="564" ht="15" customHeight="1">
      <c r="A564" t="inlineStr">
        <is>
          <t>A 3828-2024</t>
        </is>
      </c>
      <c r="B564" t="inlineStr">
        <is>
          <t>avverkningsanmälan</t>
        </is>
      </c>
      <c r="C564" t="inlineStr">
        <is>
          <t>Föryngringsavverkning</t>
        </is>
      </c>
      <c r="D564" s="1" t="n">
        <v>45321</v>
      </c>
      <c r="E564" s="1" t="n">
        <v>46323</v>
      </c>
      <c r="F564" t="inlineStr">
        <is>
          <t>KALMAR LÄN</t>
        </is>
      </c>
      <c r="G564" t="inlineStr">
        <is>
          <t>VÄSTERVIK</t>
        </is>
      </c>
      <c r="H564" t="inlineStr">
        <is>
          <t>Holmen skog AB</t>
        </is>
      </c>
      <c r="I564" t="n">
        <v>1.9</v>
      </c>
      <c r="J564" t="n">
        <v>0</v>
      </c>
      <c r="K564" t="n">
        <v>0</v>
      </c>
      <c r="L564" t="n">
        <v>0</v>
      </c>
      <c r="M564" t="n">
        <v>0</v>
      </c>
      <c r="N564" t="n">
        <v>0</v>
      </c>
      <c r="O564" t="n">
        <v>0</v>
      </c>
      <c r="P564" t="n">
        <v>0</v>
      </c>
      <c r="Q564" t="n">
        <v>0</v>
      </c>
      <c r="R564" t="n">
        <v>0</v>
      </c>
      <c r="S564" t="n">
        <v>0</v>
      </c>
      <c r="T564" t="n">
        <v>0</v>
      </c>
      <c r="U564" t="n">
        <v>0</v>
      </c>
      <c r="V564" s="2" t="inlineStr"/>
    </row>
    <row r="565" ht="15" customHeight="1">
      <c r="A565" t="inlineStr">
        <is>
          <t>A 7934-2023</t>
        </is>
      </c>
      <c r="B565" t="inlineStr">
        <is>
          <t>avverkningsanmälan</t>
        </is>
      </c>
      <c r="C565" t="inlineStr">
        <is>
          <t>Föryngringsavverkning</t>
        </is>
      </c>
      <c r="D565" s="1" t="n">
        <v>44973</v>
      </c>
      <c r="E565" s="1" t="n">
        <v>46323</v>
      </c>
      <c r="F565" t="inlineStr">
        <is>
          <t>KALMAR LÄN</t>
        </is>
      </c>
      <c r="G565" t="inlineStr">
        <is>
          <t>VÄSTERVIK</t>
        </is>
      </c>
      <c r="I565" t="n">
        <v>4.1</v>
      </c>
      <c r="J565" t="n">
        <v>0</v>
      </c>
      <c r="K565" t="n">
        <v>0</v>
      </c>
      <c r="L565" t="n">
        <v>0</v>
      </c>
      <c r="M565" t="n">
        <v>0</v>
      </c>
      <c r="N565" t="n">
        <v>0</v>
      </c>
      <c r="O565" t="n">
        <v>0</v>
      </c>
      <c r="P565" t="n">
        <v>0</v>
      </c>
      <c r="Q565" t="n">
        <v>0</v>
      </c>
      <c r="R565" t="n">
        <v>0</v>
      </c>
      <c r="S565" t="n">
        <v>0</v>
      </c>
      <c r="T565" t="n">
        <v>0</v>
      </c>
      <c r="U565" t="n">
        <v>0</v>
      </c>
      <c r="V565" s="2" t="inlineStr"/>
    </row>
    <row r="566" ht="15" customHeight="1">
      <c r="A566" t="inlineStr">
        <is>
          <t>A 53854-2025</t>
        </is>
      </c>
      <c r="B566" t="inlineStr">
        <is>
          <t>avverkningsanmälan</t>
        </is>
      </c>
      <c r="C566" t="inlineStr">
        <is>
          <t>Avverkning för att bevara och utveckla /försöksver</t>
        </is>
      </c>
      <c r="D566" s="1" t="n">
        <v>45961</v>
      </c>
      <c r="E566" s="1" t="n">
        <v>46323</v>
      </c>
      <c r="F566" t="inlineStr">
        <is>
          <t>KALMAR LÄN</t>
        </is>
      </c>
      <c r="G566" t="inlineStr">
        <is>
          <t>VÄSTERVIK</t>
        </is>
      </c>
      <c r="H566" t="inlineStr">
        <is>
          <t>Sveaskog</t>
        </is>
      </c>
      <c r="I566" t="n">
        <v>3.9</v>
      </c>
      <c r="J566" t="n">
        <v>0</v>
      </c>
      <c r="K566" t="n">
        <v>0</v>
      </c>
      <c r="L566" t="n">
        <v>0</v>
      </c>
      <c r="M566" t="n">
        <v>0</v>
      </c>
      <c r="N566" t="n">
        <v>0</v>
      </c>
      <c r="O566" t="n">
        <v>0</v>
      </c>
      <c r="P566" t="n">
        <v>0</v>
      </c>
      <c r="Q566" t="n">
        <v>0</v>
      </c>
      <c r="R566" t="n">
        <v>0</v>
      </c>
      <c r="S566" t="n">
        <v>0</v>
      </c>
      <c r="T566" t="n">
        <v>0</v>
      </c>
      <c r="U566" t="n">
        <v>0</v>
      </c>
      <c r="V566" s="2" t="inlineStr"/>
    </row>
    <row r="567" ht="15" customHeight="1">
      <c r="A567" t="inlineStr">
        <is>
          <t>A 53872-2025</t>
        </is>
      </c>
      <c r="B567" t="inlineStr">
        <is>
          <t>avverkningsanmälan</t>
        </is>
      </c>
      <c r="C567" t="inlineStr">
        <is>
          <t>Avverkning för att bevara och utveckla /försöksver</t>
        </is>
      </c>
      <c r="D567" s="1" t="n">
        <v>45961</v>
      </c>
      <c r="E567" s="1" t="n">
        <v>46323</v>
      </c>
      <c r="F567" t="inlineStr">
        <is>
          <t>KALMAR LÄN</t>
        </is>
      </c>
      <c r="G567" t="inlineStr">
        <is>
          <t>VÄSTERVIK</t>
        </is>
      </c>
      <c r="H567" t="inlineStr">
        <is>
          <t>Sveaskog</t>
        </is>
      </c>
      <c r="I567" t="n">
        <v>1.6</v>
      </c>
      <c r="J567" t="n">
        <v>0</v>
      </c>
      <c r="K567" t="n">
        <v>0</v>
      </c>
      <c r="L567" t="n">
        <v>0</v>
      </c>
      <c r="M567" t="n">
        <v>0</v>
      </c>
      <c r="N567" t="n">
        <v>0</v>
      </c>
      <c r="O567" t="n">
        <v>0</v>
      </c>
      <c r="P567" t="n">
        <v>0</v>
      </c>
      <c r="Q567" t="n">
        <v>0</v>
      </c>
      <c r="R567" t="n">
        <v>0</v>
      </c>
      <c r="S567" t="n">
        <v>0</v>
      </c>
      <c r="T567" t="n">
        <v>0</v>
      </c>
      <c r="U567" t="n">
        <v>0</v>
      </c>
      <c r="V567" s="2" t="inlineStr"/>
    </row>
    <row r="568" ht="15" customHeight="1">
      <c r="A568" t="inlineStr">
        <is>
          <t>A 17314-2023</t>
        </is>
      </c>
      <c r="B568" t="inlineStr">
        <is>
          <t>avverkningsanmälan</t>
        </is>
      </c>
      <c r="C568" t="inlineStr">
        <is>
          <t>Föryngringsavverkning</t>
        </is>
      </c>
      <c r="D568" s="1" t="n">
        <v>45035</v>
      </c>
      <c r="E568" s="1" t="n">
        <v>46323</v>
      </c>
      <c r="F568" t="inlineStr">
        <is>
          <t>KALMAR LÄN</t>
        </is>
      </c>
      <c r="G568" t="inlineStr">
        <is>
          <t>VÄSTERVIK</t>
        </is>
      </c>
      <c r="I568" t="n">
        <v>0.7</v>
      </c>
      <c r="J568" t="n">
        <v>0</v>
      </c>
      <c r="K568" t="n">
        <v>0</v>
      </c>
      <c r="L568" t="n">
        <v>0</v>
      </c>
      <c r="M568" t="n">
        <v>0</v>
      </c>
      <c r="N568" t="n">
        <v>0</v>
      </c>
      <c r="O568" t="n">
        <v>0</v>
      </c>
      <c r="P568" t="n">
        <v>0</v>
      </c>
      <c r="Q568" t="n">
        <v>0</v>
      </c>
      <c r="R568" t="n">
        <v>0</v>
      </c>
      <c r="S568" t="n">
        <v>0</v>
      </c>
      <c r="T568" t="n">
        <v>0</v>
      </c>
      <c r="U568" t="n">
        <v>0</v>
      </c>
      <c r="V568" s="2" t="inlineStr"/>
    </row>
    <row r="569" ht="15" customHeight="1">
      <c r="A569" t="inlineStr">
        <is>
          <t>A 8594-2023</t>
        </is>
      </c>
      <c r="B569" t="inlineStr">
        <is>
          <t>avverkningsanmälan</t>
        </is>
      </c>
      <c r="C569" t="inlineStr">
        <is>
          <t>Föryngringsavverkning</t>
        </is>
      </c>
      <c r="D569" s="1" t="n">
        <v>44977</v>
      </c>
      <c r="E569" s="1" t="n">
        <v>46323</v>
      </c>
      <c r="F569" t="inlineStr">
        <is>
          <t>KALMAR LÄN</t>
        </is>
      </c>
      <c r="G569" t="inlineStr">
        <is>
          <t>VÄSTERVIK</t>
        </is>
      </c>
      <c r="I569" t="n">
        <v>0.7</v>
      </c>
      <c r="J569" t="n">
        <v>0</v>
      </c>
      <c r="K569" t="n">
        <v>0</v>
      </c>
      <c r="L569" t="n">
        <v>0</v>
      </c>
      <c r="M569" t="n">
        <v>0</v>
      </c>
      <c r="N569" t="n">
        <v>0</v>
      </c>
      <c r="O569" t="n">
        <v>0</v>
      </c>
      <c r="P569" t="n">
        <v>0</v>
      </c>
      <c r="Q569" t="n">
        <v>0</v>
      </c>
      <c r="R569" t="n">
        <v>0</v>
      </c>
      <c r="S569" t="n">
        <v>0</v>
      </c>
      <c r="T569" t="n">
        <v>0</v>
      </c>
      <c r="U569" t="n">
        <v>0</v>
      </c>
      <c r="V569" s="2" t="inlineStr"/>
    </row>
    <row r="570" ht="15" customHeight="1">
      <c r="A570" t="inlineStr">
        <is>
          <t>A 7925-2023</t>
        </is>
      </c>
      <c r="B570" t="inlineStr">
        <is>
          <t>avverkningsanmälan</t>
        </is>
      </c>
      <c r="C570" t="inlineStr">
        <is>
          <t>Föryngringsavverkning</t>
        </is>
      </c>
      <c r="D570" s="1" t="n">
        <v>44973</v>
      </c>
      <c r="E570" s="1" t="n">
        <v>46323</v>
      </c>
      <c r="F570" t="inlineStr">
        <is>
          <t>KALMAR LÄN</t>
        </is>
      </c>
      <c r="G570" t="inlineStr">
        <is>
          <t>VÄSTERVIK</t>
        </is>
      </c>
      <c r="I570" t="n">
        <v>4.9</v>
      </c>
      <c r="J570" t="n">
        <v>0</v>
      </c>
      <c r="K570" t="n">
        <v>0</v>
      </c>
      <c r="L570" t="n">
        <v>0</v>
      </c>
      <c r="M570" t="n">
        <v>0</v>
      </c>
      <c r="N570" t="n">
        <v>0</v>
      </c>
      <c r="O570" t="n">
        <v>0</v>
      </c>
      <c r="P570" t="n">
        <v>0</v>
      </c>
      <c r="Q570" t="n">
        <v>0</v>
      </c>
      <c r="R570" t="n">
        <v>0</v>
      </c>
      <c r="S570" t="n">
        <v>0</v>
      </c>
      <c r="T570" t="n">
        <v>0</v>
      </c>
      <c r="U570" t="n">
        <v>0</v>
      </c>
      <c r="V570" s="2" t="inlineStr"/>
    </row>
    <row r="571" ht="15" customHeight="1">
      <c r="A571" t="inlineStr">
        <is>
          <t>A 51510-2024</t>
        </is>
      </c>
      <c r="B571" t="inlineStr">
        <is>
          <t>avverkningsanmälan</t>
        </is>
      </c>
      <c r="C571" t="inlineStr">
        <is>
          <t>Föryngringsavverkning</t>
        </is>
      </c>
      <c r="D571" s="1" t="n">
        <v>45604</v>
      </c>
      <c r="E571" s="1" t="n">
        <v>46323</v>
      </c>
      <c r="F571" t="inlineStr">
        <is>
          <t>KALMAR LÄN</t>
        </is>
      </c>
      <c r="G571" t="inlineStr">
        <is>
          <t>VÄSTERVIK</t>
        </is>
      </c>
      <c r="H571" t="inlineStr">
        <is>
          <t>Övriga Aktiebolag</t>
        </is>
      </c>
      <c r="I571" t="n">
        <v>1.5</v>
      </c>
      <c r="J571" t="n">
        <v>0</v>
      </c>
      <c r="K571" t="n">
        <v>0</v>
      </c>
      <c r="L571" t="n">
        <v>0</v>
      </c>
      <c r="M571" t="n">
        <v>0</v>
      </c>
      <c r="N571" t="n">
        <v>0</v>
      </c>
      <c r="O571" t="n">
        <v>0</v>
      </c>
      <c r="P571" t="n">
        <v>0</v>
      </c>
      <c r="Q571" t="n">
        <v>0</v>
      </c>
      <c r="R571" t="n">
        <v>0</v>
      </c>
      <c r="S571" t="n">
        <v>0</v>
      </c>
      <c r="T571" t="n">
        <v>0</v>
      </c>
      <c r="U571" t="n">
        <v>0</v>
      </c>
      <c r="V571" s="2" t="inlineStr"/>
    </row>
    <row r="572" ht="15" customHeight="1">
      <c r="A572" t="inlineStr">
        <is>
          <t>A 8007-2023</t>
        </is>
      </c>
      <c r="B572" t="inlineStr">
        <is>
          <t>avverkningsanmälan</t>
        </is>
      </c>
      <c r="C572" t="inlineStr">
        <is>
          <t>Föryngringsavverkning</t>
        </is>
      </c>
      <c r="D572" s="1" t="n">
        <v>44973</v>
      </c>
      <c r="E572" s="1" t="n">
        <v>46323</v>
      </c>
      <c r="F572" t="inlineStr">
        <is>
          <t>KALMAR LÄN</t>
        </is>
      </c>
      <c r="G572" t="inlineStr">
        <is>
          <t>VÄSTERVIK</t>
        </is>
      </c>
      <c r="I572" t="n">
        <v>4.5</v>
      </c>
      <c r="J572" t="n">
        <v>0</v>
      </c>
      <c r="K572" t="n">
        <v>0</v>
      </c>
      <c r="L572" t="n">
        <v>0</v>
      </c>
      <c r="M572" t="n">
        <v>0</v>
      </c>
      <c r="N572" t="n">
        <v>0</v>
      </c>
      <c r="O572" t="n">
        <v>0</v>
      </c>
      <c r="P572" t="n">
        <v>0</v>
      </c>
      <c r="Q572" t="n">
        <v>0</v>
      </c>
      <c r="R572" t="n">
        <v>0</v>
      </c>
      <c r="S572" t="n">
        <v>0</v>
      </c>
      <c r="T572" t="n">
        <v>0</v>
      </c>
      <c r="U572" t="n">
        <v>0</v>
      </c>
      <c r="V572" s="2" t="inlineStr"/>
    </row>
    <row r="573" ht="15" customHeight="1">
      <c r="A573" t="inlineStr">
        <is>
          <t>A 42746-2024</t>
        </is>
      </c>
      <c r="B573" t="inlineStr">
        <is>
          <t>avverkningsanmälan</t>
        </is>
      </c>
      <c r="C573" t="inlineStr">
        <is>
          <t>Föryngringsavverkning</t>
        </is>
      </c>
      <c r="D573" s="1" t="n">
        <v>45566</v>
      </c>
      <c r="E573" s="1" t="n">
        <v>46323</v>
      </c>
      <c r="F573" t="inlineStr">
        <is>
          <t>KALMAR LÄN</t>
        </is>
      </c>
      <c r="G573" t="inlineStr">
        <is>
          <t>VÄSTERVIK</t>
        </is>
      </c>
      <c r="I573" t="n">
        <v>2</v>
      </c>
      <c r="J573" t="n">
        <v>0</v>
      </c>
      <c r="K573" t="n">
        <v>0</v>
      </c>
      <c r="L573" t="n">
        <v>0</v>
      </c>
      <c r="M573" t="n">
        <v>0</v>
      </c>
      <c r="N573" t="n">
        <v>0</v>
      </c>
      <c r="O573" t="n">
        <v>0</v>
      </c>
      <c r="P573" t="n">
        <v>0</v>
      </c>
      <c r="Q573" t="n">
        <v>0</v>
      </c>
      <c r="R573" t="n">
        <v>0</v>
      </c>
      <c r="S573" t="n">
        <v>0</v>
      </c>
      <c r="T573" t="n">
        <v>0</v>
      </c>
      <c r="U573" t="n">
        <v>0</v>
      </c>
      <c r="V573" s="2" t="inlineStr"/>
    </row>
    <row r="574" ht="15" customHeight="1">
      <c r="A574" t="inlineStr">
        <is>
          <t>A 55489-2025</t>
        </is>
      </c>
      <c r="B574" t="inlineStr">
        <is>
          <t>avverkningsanmälan</t>
        </is>
      </c>
      <c r="C574" t="inlineStr">
        <is>
          <t>Föryngringsavverkning</t>
        </is>
      </c>
      <c r="D574" s="1" t="n">
        <v>45971</v>
      </c>
      <c r="E574" s="1" t="n">
        <v>46323</v>
      </c>
      <c r="F574" t="inlineStr">
        <is>
          <t>KALMAR LÄN</t>
        </is>
      </c>
      <c r="G574" t="inlineStr">
        <is>
          <t>VÄSTERVIK</t>
        </is>
      </c>
      <c r="H574" t="inlineStr">
        <is>
          <t>Holmen skog AB</t>
        </is>
      </c>
      <c r="I574" t="n">
        <v>1.5</v>
      </c>
      <c r="J574" t="n">
        <v>0</v>
      </c>
      <c r="K574" t="n">
        <v>0</v>
      </c>
      <c r="L574" t="n">
        <v>0</v>
      </c>
      <c r="M574" t="n">
        <v>0</v>
      </c>
      <c r="N574" t="n">
        <v>0</v>
      </c>
      <c r="O574" t="n">
        <v>0</v>
      </c>
      <c r="P574" t="n">
        <v>0</v>
      </c>
      <c r="Q574" t="n">
        <v>0</v>
      </c>
      <c r="R574" t="n">
        <v>0</v>
      </c>
      <c r="S574" t="n">
        <v>0</v>
      </c>
      <c r="T574" t="n">
        <v>0</v>
      </c>
      <c r="U574" t="n">
        <v>0</v>
      </c>
      <c r="V574" s="2" t="inlineStr"/>
    </row>
    <row r="575" ht="15" customHeight="1">
      <c r="A575" t="inlineStr">
        <is>
          <t>A 61529-2022</t>
        </is>
      </c>
      <c r="B575" t="inlineStr">
        <is>
          <t>avverkningsanmälan</t>
        </is>
      </c>
      <c r="C575" t="inlineStr">
        <is>
          <t>Föryngringsavverkning</t>
        </is>
      </c>
      <c r="D575" s="1" t="n">
        <v>44910</v>
      </c>
      <c r="E575" s="1" t="n">
        <v>46323</v>
      </c>
      <c r="F575" t="inlineStr">
        <is>
          <t>KALMAR LÄN</t>
        </is>
      </c>
      <c r="G575" t="inlineStr">
        <is>
          <t>VÄSTERVIK</t>
        </is>
      </c>
      <c r="I575" t="n">
        <v>6.5</v>
      </c>
      <c r="J575" t="n">
        <v>0</v>
      </c>
      <c r="K575" t="n">
        <v>0</v>
      </c>
      <c r="L575" t="n">
        <v>0</v>
      </c>
      <c r="M575" t="n">
        <v>0</v>
      </c>
      <c r="N575" t="n">
        <v>0</v>
      </c>
      <c r="O575" t="n">
        <v>0</v>
      </c>
      <c r="P575" t="n">
        <v>0</v>
      </c>
      <c r="Q575" t="n">
        <v>0</v>
      </c>
      <c r="R575" t="n">
        <v>0</v>
      </c>
      <c r="S575" t="n">
        <v>0</v>
      </c>
      <c r="T575" t="n">
        <v>0</v>
      </c>
      <c r="U575" t="n">
        <v>0</v>
      </c>
      <c r="V575" s="2" t="inlineStr"/>
    </row>
    <row r="576" ht="15" customHeight="1">
      <c r="A576" t="inlineStr">
        <is>
          <t>A 48035-2024</t>
        </is>
      </c>
      <c r="B576" t="inlineStr">
        <is>
          <t>avverkningsanmälan</t>
        </is>
      </c>
      <c r="C576" t="inlineStr">
        <is>
          <t>Föryngringsavverkning</t>
        </is>
      </c>
      <c r="D576" s="1" t="n">
        <v>45589</v>
      </c>
      <c r="E576" s="1" t="n">
        <v>46323</v>
      </c>
      <c r="F576" t="inlineStr">
        <is>
          <t>KALMAR LÄN</t>
        </is>
      </c>
      <c r="G576" t="inlineStr">
        <is>
          <t>VÄSTERVIK</t>
        </is>
      </c>
      <c r="I576" t="n">
        <v>2.1</v>
      </c>
      <c r="J576" t="n">
        <v>0</v>
      </c>
      <c r="K576" t="n">
        <v>0</v>
      </c>
      <c r="L576" t="n">
        <v>0</v>
      </c>
      <c r="M576" t="n">
        <v>0</v>
      </c>
      <c r="N576" t="n">
        <v>0</v>
      </c>
      <c r="O576" t="n">
        <v>0</v>
      </c>
      <c r="P576" t="n">
        <v>0</v>
      </c>
      <c r="Q576" t="n">
        <v>0</v>
      </c>
      <c r="R576" t="n">
        <v>0</v>
      </c>
      <c r="S576" t="n">
        <v>0</v>
      </c>
      <c r="T576" t="n">
        <v>0</v>
      </c>
      <c r="U576" t="n">
        <v>0</v>
      </c>
      <c r="V576" s="2" t="inlineStr"/>
    </row>
    <row r="577" ht="15" customHeight="1">
      <c r="A577" t="inlineStr">
        <is>
          <t>A 55557-2025</t>
        </is>
      </c>
      <c r="B577" t="inlineStr">
        <is>
          <t>avverkningsanmälan</t>
        </is>
      </c>
      <c r="C577" t="inlineStr">
        <is>
          <t>Föryngringsavverkning</t>
        </is>
      </c>
      <c r="D577" s="1" t="n">
        <v>45971</v>
      </c>
      <c r="E577" s="1" t="n">
        <v>46323</v>
      </c>
      <c r="F577" t="inlineStr">
        <is>
          <t>KALMAR LÄN</t>
        </is>
      </c>
      <c r="G577" t="inlineStr">
        <is>
          <t>VÄSTERVIK</t>
        </is>
      </c>
      <c r="H577" t="inlineStr">
        <is>
          <t>Holmen skog AB</t>
        </is>
      </c>
      <c r="I577" t="n">
        <v>0.9</v>
      </c>
      <c r="J577" t="n">
        <v>0</v>
      </c>
      <c r="K577" t="n">
        <v>0</v>
      </c>
      <c r="L577" t="n">
        <v>0</v>
      </c>
      <c r="M577" t="n">
        <v>0</v>
      </c>
      <c r="N577" t="n">
        <v>0</v>
      </c>
      <c r="O577" t="n">
        <v>0</v>
      </c>
      <c r="P577" t="n">
        <v>0</v>
      </c>
      <c r="Q577" t="n">
        <v>0</v>
      </c>
      <c r="R577" t="n">
        <v>0</v>
      </c>
      <c r="S577" t="n">
        <v>0</v>
      </c>
      <c r="T577" t="n">
        <v>0</v>
      </c>
      <c r="U577" t="n">
        <v>0</v>
      </c>
      <c r="V577" s="2" t="inlineStr"/>
    </row>
    <row r="578" ht="15" customHeight="1">
      <c r="A578" t="inlineStr">
        <is>
          <t>A 10116-2022</t>
        </is>
      </c>
      <c r="B578" t="inlineStr">
        <is>
          <t>avverkningsanmälan</t>
        </is>
      </c>
      <c r="C578" t="inlineStr">
        <is>
          <t>Föryngringsavverkning</t>
        </is>
      </c>
      <c r="D578" s="1" t="n">
        <v>44621</v>
      </c>
      <c r="E578" s="1" t="n">
        <v>46323</v>
      </c>
      <c r="F578" t="inlineStr">
        <is>
          <t>KALMAR LÄN</t>
        </is>
      </c>
      <c r="G578" t="inlineStr">
        <is>
          <t>VÄSTERVIK</t>
        </is>
      </c>
      <c r="I578" t="n">
        <v>1.6</v>
      </c>
      <c r="J578" t="n">
        <v>0</v>
      </c>
      <c r="K578" t="n">
        <v>0</v>
      </c>
      <c r="L578" t="n">
        <v>0</v>
      </c>
      <c r="M578" t="n">
        <v>0</v>
      </c>
      <c r="N578" t="n">
        <v>0</v>
      </c>
      <c r="O578" t="n">
        <v>0</v>
      </c>
      <c r="P578" t="n">
        <v>0</v>
      </c>
      <c r="Q578" t="n">
        <v>0</v>
      </c>
      <c r="R578" t="n">
        <v>0</v>
      </c>
      <c r="S578" t="n">
        <v>0</v>
      </c>
      <c r="T578" t="n">
        <v>0</v>
      </c>
      <c r="U578" t="n">
        <v>0</v>
      </c>
      <c r="V578" s="2" t="inlineStr"/>
    </row>
    <row r="579" ht="15" customHeight="1">
      <c r="A579" t="inlineStr">
        <is>
          <t>A 55152-2025</t>
        </is>
      </c>
      <c r="B579" t="inlineStr">
        <is>
          <t>avverkningsanmälan</t>
        </is>
      </c>
      <c r="C579" t="inlineStr">
        <is>
          <t>Föryngringsavverkning</t>
        </is>
      </c>
      <c r="D579" s="1" t="n">
        <v>45968</v>
      </c>
      <c r="E579" s="1" t="n">
        <v>46323</v>
      </c>
      <c r="F579" t="inlineStr">
        <is>
          <t>KALMAR LÄN</t>
        </is>
      </c>
      <c r="G579" t="inlineStr">
        <is>
          <t>VÄSTERVIK</t>
        </is>
      </c>
      <c r="H579" t="inlineStr">
        <is>
          <t>Holmen skog AB</t>
        </is>
      </c>
      <c r="I579" t="n">
        <v>0.6</v>
      </c>
      <c r="J579" t="n">
        <v>0</v>
      </c>
      <c r="K579" t="n">
        <v>0</v>
      </c>
      <c r="L579" t="n">
        <v>0</v>
      </c>
      <c r="M579" t="n">
        <v>0</v>
      </c>
      <c r="N579" t="n">
        <v>0</v>
      </c>
      <c r="O579" t="n">
        <v>0</v>
      </c>
      <c r="P579" t="n">
        <v>0</v>
      </c>
      <c r="Q579" t="n">
        <v>0</v>
      </c>
      <c r="R579" t="n">
        <v>0</v>
      </c>
      <c r="S579" t="n">
        <v>0</v>
      </c>
      <c r="T579" t="n">
        <v>0</v>
      </c>
      <c r="U579" t="n">
        <v>0</v>
      </c>
      <c r="V579" s="2" t="inlineStr"/>
    </row>
    <row r="580" ht="15" customHeight="1">
      <c r="A580" t="inlineStr">
        <is>
          <t>A 49452-2023</t>
        </is>
      </c>
      <c r="B580" t="inlineStr">
        <is>
          <t>avverkningsanmälan</t>
        </is>
      </c>
      <c r="C580" t="inlineStr">
        <is>
          <t>Föryngringsavverkning</t>
        </is>
      </c>
      <c r="D580" s="1" t="n">
        <v>45211</v>
      </c>
      <c r="E580" s="1" t="n">
        <v>46323</v>
      </c>
      <c r="F580" t="inlineStr">
        <is>
          <t>KALMAR LÄN</t>
        </is>
      </c>
      <c r="G580" t="inlineStr">
        <is>
          <t>VÄSTERVIK</t>
        </is>
      </c>
      <c r="H580" t="inlineStr">
        <is>
          <t>Övriga Aktiebolag</t>
        </is>
      </c>
      <c r="I580" t="n">
        <v>2.2</v>
      </c>
      <c r="J580" t="n">
        <v>0</v>
      </c>
      <c r="K580" t="n">
        <v>0</v>
      </c>
      <c r="L580" t="n">
        <v>0</v>
      </c>
      <c r="M580" t="n">
        <v>0</v>
      </c>
      <c r="N580" t="n">
        <v>0</v>
      </c>
      <c r="O580" t="n">
        <v>0</v>
      </c>
      <c r="P580" t="n">
        <v>0</v>
      </c>
      <c r="Q580" t="n">
        <v>0</v>
      </c>
      <c r="R580" t="n">
        <v>0</v>
      </c>
      <c r="S580" t="n">
        <v>0</v>
      </c>
      <c r="T580" t="n">
        <v>0</v>
      </c>
      <c r="U580" t="n">
        <v>0</v>
      </c>
      <c r="V580" s="2" t="inlineStr"/>
    </row>
    <row r="581" ht="15" customHeight="1">
      <c r="A581" t="inlineStr">
        <is>
          <t>A 59170-2022</t>
        </is>
      </c>
      <c r="B581" t="inlineStr">
        <is>
          <t>avverkningsanmälan</t>
        </is>
      </c>
      <c r="C581" t="inlineStr">
        <is>
          <t>Föryngringsavverkning</t>
        </is>
      </c>
      <c r="D581" s="1" t="n">
        <v>44904</v>
      </c>
      <c r="E581" s="1" t="n">
        <v>46323</v>
      </c>
      <c r="F581" t="inlineStr">
        <is>
          <t>KALMAR LÄN</t>
        </is>
      </c>
      <c r="G581" t="inlineStr">
        <is>
          <t>VÄSTERVIK</t>
        </is>
      </c>
      <c r="I581" t="n">
        <v>1.3</v>
      </c>
      <c r="J581" t="n">
        <v>0</v>
      </c>
      <c r="K581" t="n">
        <v>0</v>
      </c>
      <c r="L581" t="n">
        <v>0</v>
      </c>
      <c r="M581" t="n">
        <v>0</v>
      </c>
      <c r="N581" t="n">
        <v>0</v>
      </c>
      <c r="O581" t="n">
        <v>0</v>
      </c>
      <c r="P581" t="n">
        <v>0</v>
      </c>
      <c r="Q581" t="n">
        <v>0</v>
      </c>
      <c r="R581" t="n">
        <v>0</v>
      </c>
      <c r="S581" t="n">
        <v>0</v>
      </c>
      <c r="T581" t="n">
        <v>0</v>
      </c>
      <c r="U581" t="n">
        <v>0</v>
      </c>
      <c r="V581" s="2" t="inlineStr"/>
    </row>
    <row r="582" ht="15" customHeight="1">
      <c r="A582" t="inlineStr">
        <is>
          <t>A 59212-2022</t>
        </is>
      </c>
      <c r="B582" t="inlineStr">
        <is>
          <t>avverkningsanmälan</t>
        </is>
      </c>
      <c r="C582" t="inlineStr">
        <is>
          <t>Föryngringsavverkning</t>
        </is>
      </c>
      <c r="D582" s="1" t="n">
        <v>44904</v>
      </c>
      <c r="E582" s="1" t="n">
        <v>46323</v>
      </c>
      <c r="F582" t="inlineStr">
        <is>
          <t>KALMAR LÄN</t>
        </is>
      </c>
      <c r="G582" t="inlineStr">
        <is>
          <t>VÄSTERVIK</t>
        </is>
      </c>
      <c r="I582" t="n">
        <v>2.3</v>
      </c>
      <c r="J582" t="n">
        <v>0</v>
      </c>
      <c r="K582" t="n">
        <v>0</v>
      </c>
      <c r="L582" t="n">
        <v>0</v>
      </c>
      <c r="M582" t="n">
        <v>0</v>
      </c>
      <c r="N582" t="n">
        <v>0</v>
      </c>
      <c r="O582" t="n">
        <v>0</v>
      </c>
      <c r="P582" t="n">
        <v>0</v>
      </c>
      <c r="Q582" t="n">
        <v>0</v>
      </c>
      <c r="R582" t="n">
        <v>0</v>
      </c>
      <c r="S582" t="n">
        <v>0</v>
      </c>
      <c r="T582" t="n">
        <v>0</v>
      </c>
      <c r="U582" t="n">
        <v>0</v>
      </c>
      <c r="V582" s="2" t="inlineStr"/>
    </row>
    <row r="583" ht="15" customHeight="1">
      <c r="A583" t="inlineStr">
        <is>
          <t>A 59227-2022</t>
        </is>
      </c>
      <c r="B583" t="inlineStr">
        <is>
          <t>avverkningsanmälan</t>
        </is>
      </c>
      <c r="C583" t="inlineStr">
        <is>
          <t>Föryngringsavverkning</t>
        </is>
      </c>
      <c r="D583" s="1" t="n">
        <v>44904</v>
      </c>
      <c r="E583" s="1" t="n">
        <v>46323</v>
      </c>
      <c r="F583" t="inlineStr">
        <is>
          <t>KALMAR LÄN</t>
        </is>
      </c>
      <c r="G583" t="inlineStr">
        <is>
          <t>VÄSTERVIK</t>
        </is>
      </c>
      <c r="I583" t="n">
        <v>6</v>
      </c>
      <c r="J583" t="n">
        <v>0</v>
      </c>
      <c r="K583" t="n">
        <v>0</v>
      </c>
      <c r="L583" t="n">
        <v>0</v>
      </c>
      <c r="M583" t="n">
        <v>0</v>
      </c>
      <c r="N583" t="n">
        <v>0</v>
      </c>
      <c r="O583" t="n">
        <v>0</v>
      </c>
      <c r="P583" t="n">
        <v>0</v>
      </c>
      <c r="Q583" t="n">
        <v>0</v>
      </c>
      <c r="R583" t="n">
        <v>0</v>
      </c>
      <c r="S583" t="n">
        <v>0</v>
      </c>
      <c r="T583" t="n">
        <v>0</v>
      </c>
      <c r="U583" t="n">
        <v>0</v>
      </c>
      <c r="V583" s="2" t="inlineStr"/>
    </row>
    <row r="584" ht="15" customHeight="1">
      <c r="A584" t="inlineStr">
        <is>
          <t>A 29557-2024</t>
        </is>
      </c>
      <c r="B584" t="inlineStr">
        <is>
          <t>avverkningsanmälan</t>
        </is>
      </c>
      <c r="C584" t="inlineStr">
        <is>
          <t>Föryngringsavverkning</t>
        </is>
      </c>
      <c r="D584" s="1" t="n">
        <v>45484</v>
      </c>
      <c r="E584" s="1" t="n">
        <v>46323</v>
      </c>
      <c r="F584" t="inlineStr">
        <is>
          <t>KALMAR LÄN</t>
        </is>
      </c>
      <c r="G584" t="inlineStr">
        <is>
          <t>VÄSTERVIK</t>
        </is>
      </c>
      <c r="I584" t="n">
        <v>5.9</v>
      </c>
      <c r="J584" t="n">
        <v>0</v>
      </c>
      <c r="K584" t="n">
        <v>0</v>
      </c>
      <c r="L584" t="n">
        <v>0</v>
      </c>
      <c r="M584" t="n">
        <v>0</v>
      </c>
      <c r="N584" t="n">
        <v>0</v>
      </c>
      <c r="O584" t="n">
        <v>0</v>
      </c>
      <c r="P584" t="n">
        <v>0</v>
      </c>
      <c r="Q584" t="n">
        <v>0</v>
      </c>
      <c r="R584" t="n">
        <v>0</v>
      </c>
      <c r="S584" t="n">
        <v>0</v>
      </c>
      <c r="T584" t="n">
        <v>0</v>
      </c>
      <c r="U584" t="n">
        <v>0</v>
      </c>
      <c r="V584" s="2" t="inlineStr"/>
    </row>
    <row r="585" ht="15" customHeight="1">
      <c r="A585" t="inlineStr">
        <is>
          <t>A 8382-2023</t>
        </is>
      </c>
      <c r="B585" t="inlineStr">
        <is>
          <t>avverkningsanmälan</t>
        </is>
      </c>
      <c r="C585" t="inlineStr">
        <is>
          <t>Föryngringsavverkning</t>
        </is>
      </c>
      <c r="D585" s="1" t="n">
        <v>44977</v>
      </c>
      <c r="E585" s="1" t="n">
        <v>46323</v>
      </c>
      <c r="F585" t="inlineStr">
        <is>
          <t>KALMAR LÄN</t>
        </is>
      </c>
      <c r="G585" t="inlineStr">
        <is>
          <t>VÄSTERVIK</t>
        </is>
      </c>
      <c r="I585" t="n">
        <v>1.1</v>
      </c>
      <c r="J585" t="n">
        <v>0</v>
      </c>
      <c r="K585" t="n">
        <v>0</v>
      </c>
      <c r="L585" t="n">
        <v>0</v>
      </c>
      <c r="M585" t="n">
        <v>0</v>
      </c>
      <c r="N585" t="n">
        <v>0</v>
      </c>
      <c r="O585" t="n">
        <v>0</v>
      </c>
      <c r="P585" t="n">
        <v>0</v>
      </c>
      <c r="Q585" t="n">
        <v>0</v>
      </c>
      <c r="R585" t="n">
        <v>0</v>
      </c>
      <c r="S585" t="n">
        <v>0</v>
      </c>
      <c r="T585" t="n">
        <v>0</v>
      </c>
      <c r="U585" t="n">
        <v>0</v>
      </c>
      <c r="V585" s="2" t="inlineStr"/>
    </row>
    <row r="586" ht="15" customHeight="1">
      <c r="A586" t="inlineStr">
        <is>
          <t>A 35959-2023</t>
        </is>
      </c>
      <c r="B586" t="inlineStr">
        <is>
          <t>avverkningsanmälan</t>
        </is>
      </c>
      <c r="C586" t="inlineStr">
        <is>
          <t>Föryngringsavverkning</t>
        </is>
      </c>
      <c r="D586" s="1" t="n">
        <v>45148</v>
      </c>
      <c r="E586" s="1" t="n">
        <v>46323</v>
      </c>
      <c r="F586" t="inlineStr">
        <is>
          <t>KALMAR LÄN</t>
        </is>
      </c>
      <c r="G586" t="inlineStr">
        <is>
          <t>VÄSTERVIK</t>
        </is>
      </c>
      <c r="H586" t="inlineStr">
        <is>
          <t>Sveaskog</t>
        </is>
      </c>
      <c r="I586" t="n">
        <v>1.1</v>
      </c>
      <c r="J586" t="n">
        <v>0</v>
      </c>
      <c r="K586" t="n">
        <v>0</v>
      </c>
      <c r="L586" t="n">
        <v>0</v>
      </c>
      <c r="M586" t="n">
        <v>0</v>
      </c>
      <c r="N586" t="n">
        <v>0</v>
      </c>
      <c r="O586" t="n">
        <v>0</v>
      </c>
      <c r="P586" t="n">
        <v>0</v>
      </c>
      <c r="Q586" t="n">
        <v>0</v>
      </c>
      <c r="R586" t="n">
        <v>0</v>
      </c>
      <c r="S586" t="n">
        <v>0</v>
      </c>
      <c r="T586" t="n">
        <v>0</v>
      </c>
      <c r="U586" t="n">
        <v>0</v>
      </c>
      <c r="V586" s="2" t="inlineStr"/>
    </row>
    <row r="587" ht="15" customHeight="1">
      <c r="A587" t="inlineStr">
        <is>
          <t>A 60685-2024</t>
        </is>
      </c>
      <c r="B587" t="inlineStr">
        <is>
          <t>avverkningsanmälan</t>
        </is>
      </c>
      <c r="C587" t="inlineStr">
        <is>
          <t>Föryngringsavverkning</t>
        </is>
      </c>
      <c r="D587" s="1" t="n">
        <v>45644</v>
      </c>
      <c r="E587" s="1" t="n">
        <v>46323</v>
      </c>
      <c r="F587" t="inlineStr">
        <is>
          <t>KALMAR LÄN</t>
        </is>
      </c>
      <c r="G587" t="inlineStr">
        <is>
          <t>VÄSTERVIK</t>
        </is>
      </c>
      <c r="H587" t="inlineStr">
        <is>
          <t>Holmen skog AB</t>
        </is>
      </c>
      <c r="I587" t="n">
        <v>1</v>
      </c>
      <c r="J587" t="n">
        <v>0</v>
      </c>
      <c r="K587" t="n">
        <v>0</v>
      </c>
      <c r="L587" t="n">
        <v>0</v>
      </c>
      <c r="M587" t="n">
        <v>0</v>
      </c>
      <c r="N587" t="n">
        <v>0</v>
      </c>
      <c r="O587" t="n">
        <v>0</v>
      </c>
      <c r="P587" t="n">
        <v>0</v>
      </c>
      <c r="Q587" t="n">
        <v>0</v>
      </c>
      <c r="R587" t="n">
        <v>0</v>
      </c>
      <c r="S587" t="n">
        <v>0</v>
      </c>
      <c r="T587" t="n">
        <v>0</v>
      </c>
      <c r="U587" t="n">
        <v>0</v>
      </c>
      <c r="V587" s="2" t="inlineStr"/>
    </row>
    <row r="588" ht="15" customHeight="1">
      <c r="A588" t="inlineStr">
        <is>
          <t>A 56857-2025</t>
        </is>
      </c>
      <c r="B588" t="inlineStr">
        <is>
          <t>avverkningsanmälan</t>
        </is>
      </c>
      <c r="C588" t="inlineStr">
        <is>
          <t>Föryngringsavverkning</t>
        </is>
      </c>
      <c r="D588" s="1" t="n">
        <v>45978</v>
      </c>
      <c r="E588" s="1" t="n">
        <v>46323</v>
      </c>
      <c r="F588" t="inlineStr">
        <is>
          <t>KALMAR LÄN</t>
        </is>
      </c>
      <c r="G588" t="inlineStr">
        <is>
          <t>VÄSTERVIK</t>
        </is>
      </c>
      <c r="H588" t="inlineStr">
        <is>
          <t>Holmen skog AB</t>
        </is>
      </c>
      <c r="I588" t="n">
        <v>5.5</v>
      </c>
      <c r="J588" t="n">
        <v>0</v>
      </c>
      <c r="K588" t="n">
        <v>0</v>
      </c>
      <c r="L588" t="n">
        <v>0</v>
      </c>
      <c r="M588" t="n">
        <v>0</v>
      </c>
      <c r="N588" t="n">
        <v>0</v>
      </c>
      <c r="O588" t="n">
        <v>0</v>
      </c>
      <c r="P588" t="n">
        <v>0</v>
      </c>
      <c r="Q588" t="n">
        <v>0</v>
      </c>
      <c r="R588" t="n">
        <v>0</v>
      </c>
      <c r="S588" t="n">
        <v>0</v>
      </c>
      <c r="T588" t="n">
        <v>0</v>
      </c>
      <c r="U588" t="n">
        <v>0</v>
      </c>
      <c r="V588" s="2" t="inlineStr"/>
    </row>
    <row r="589" ht="15" customHeight="1">
      <c r="A589" t="inlineStr">
        <is>
          <t>A 36050-2024</t>
        </is>
      </c>
      <c r="B589" t="inlineStr">
        <is>
          <t>avverkningsanmälan</t>
        </is>
      </c>
      <c r="C589" t="inlineStr">
        <is>
          <t>Föryngringsavverkning</t>
        </is>
      </c>
      <c r="D589" s="1" t="n">
        <v>45533</v>
      </c>
      <c r="E589" s="1" t="n">
        <v>46323</v>
      </c>
      <c r="F589" t="inlineStr">
        <is>
          <t>KALMAR LÄN</t>
        </is>
      </c>
      <c r="G589" t="inlineStr">
        <is>
          <t>VÄSTERVIK</t>
        </is>
      </c>
      <c r="H589" t="inlineStr">
        <is>
          <t>Holmen skog AB</t>
        </is>
      </c>
      <c r="I589" t="n">
        <v>1.3</v>
      </c>
      <c r="J589" t="n">
        <v>0</v>
      </c>
      <c r="K589" t="n">
        <v>0</v>
      </c>
      <c r="L589" t="n">
        <v>0</v>
      </c>
      <c r="M589" t="n">
        <v>0</v>
      </c>
      <c r="N589" t="n">
        <v>0</v>
      </c>
      <c r="O589" t="n">
        <v>0</v>
      </c>
      <c r="P589" t="n">
        <v>0</v>
      </c>
      <c r="Q589" t="n">
        <v>0</v>
      </c>
      <c r="R589" t="n">
        <v>0</v>
      </c>
      <c r="S589" t="n">
        <v>0</v>
      </c>
      <c r="T589" t="n">
        <v>0</v>
      </c>
      <c r="U589" t="n">
        <v>0</v>
      </c>
      <c r="V589" s="2" t="inlineStr"/>
    </row>
    <row r="590" ht="15" customHeight="1">
      <c r="A590" t="inlineStr">
        <is>
          <t>A 45463-2024</t>
        </is>
      </c>
      <c r="B590" t="inlineStr">
        <is>
          <t>avverkningsanmälan</t>
        </is>
      </c>
      <c r="C590" t="inlineStr">
        <is>
          <t>Föryngringsavverkning</t>
        </is>
      </c>
      <c r="D590" s="1" t="n">
        <v>45576</v>
      </c>
      <c r="E590" s="1" t="n">
        <v>46323</v>
      </c>
      <c r="F590" t="inlineStr">
        <is>
          <t>KALMAR LÄN</t>
        </is>
      </c>
      <c r="G590" t="inlineStr">
        <is>
          <t>VÄSTERVIK</t>
        </is>
      </c>
      <c r="I590" t="n">
        <v>0.8</v>
      </c>
      <c r="J590" t="n">
        <v>0</v>
      </c>
      <c r="K590" t="n">
        <v>0</v>
      </c>
      <c r="L590" t="n">
        <v>0</v>
      </c>
      <c r="M590" t="n">
        <v>0</v>
      </c>
      <c r="N590" t="n">
        <v>0</v>
      </c>
      <c r="O590" t="n">
        <v>0</v>
      </c>
      <c r="P590" t="n">
        <v>0</v>
      </c>
      <c r="Q590" t="n">
        <v>0</v>
      </c>
      <c r="R590" t="n">
        <v>0</v>
      </c>
      <c r="S590" t="n">
        <v>0</v>
      </c>
      <c r="T590" t="n">
        <v>0</v>
      </c>
      <c r="U590" t="n">
        <v>0</v>
      </c>
      <c r="V590" s="2" t="inlineStr"/>
    </row>
    <row r="591" ht="15" customHeight="1">
      <c r="A591" t="inlineStr">
        <is>
          <t>A 9025-2022</t>
        </is>
      </c>
      <c r="B591" t="inlineStr">
        <is>
          <t>avverkningsanmälan</t>
        </is>
      </c>
      <c r="C591" t="inlineStr">
        <is>
          <t>Föryngringsavverkning</t>
        </is>
      </c>
      <c r="D591" s="1" t="n">
        <v>44615</v>
      </c>
      <c r="E591" s="1" t="n">
        <v>46323</v>
      </c>
      <c r="F591" t="inlineStr">
        <is>
          <t>KALMAR LÄN</t>
        </is>
      </c>
      <c r="G591" t="inlineStr">
        <is>
          <t>VÄSTERVIK</t>
        </is>
      </c>
      <c r="I591" t="n">
        <v>0.6</v>
      </c>
      <c r="J591" t="n">
        <v>0</v>
      </c>
      <c r="K591" t="n">
        <v>0</v>
      </c>
      <c r="L591" t="n">
        <v>0</v>
      </c>
      <c r="M591" t="n">
        <v>0</v>
      </c>
      <c r="N591" t="n">
        <v>0</v>
      </c>
      <c r="O591" t="n">
        <v>0</v>
      </c>
      <c r="P591" t="n">
        <v>0</v>
      </c>
      <c r="Q591" t="n">
        <v>0</v>
      </c>
      <c r="R591" t="n">
        <v>0</v>
      </c>
      <c r="S591" t="n">
        <v>0</v>
      </c>
      <c r="T591" t="n">
        <v>0</v>
      </c>
      <c r="U591" t="n">
        <v>0</v>
      </c>
      <c r="V591" s="2" t="inlineStr"/>
    </row>
    <row r="592" ht="15" customHeight="1">
      <c r="A592" t="inlineStr">
        <is>
          <t>A 33814-2023</t>
        </is>
      </c>
      <c r="B592" t="inlineStr">
        <is>
          <t>avverkningsanmälan</t>
        </is>
      </c>
      <c r="C592" t="inlineStr">
        <is>
          <t>Föryngringsavverkning</t>
        </is>
      </c>
      <c r="D592" s="1" t="n">
        <v>45133</v>
      </c>
      <c r="E592" s="1" t="n">
        <v>46323</v>
      </c>
      <c r="F592" t="inlineStr">
        <is>
          <t>KALMAR LÄN</t>
        </is>
      </c>
      <c r="G592" t="inlineStr">
        <is>
          <t>VÄSTERVIK</t>
        </is>
      </c>
      <c r="I592" t="n">
        <v>3.9</v>
      </c>
      <c r="J592" t="n">
        <v>0</v>
      </c>
      <c r="K592" t="n">
        <v>0</v>
      </c>
      <c r="L592" t="n">
        <v>0</v>
      </c>
      <c r="M592" t="n">
        <v>0</v>
      </c>
      <c r="N592" t="n">
        <v>0</v>
      </c>
      <c r="O592" t="n">
        <v>0</v>
      </c>
      <c r="P592" t="n">
        <v>0</v>
      </c>
      <c r="Q592" t="n">
        <v>0</v>
      </c>
      <c r="R592" t="n">
        <v>0</v>
      </c>
      <c r="S592" t="n">
        <v>0</v>
      </c>
      <c r="T592" t="n">
        <v>0</v>
      </c>
      <c r="U592" t="n">
        <v>0</v>
      </c>
      <c r="V592" s="2" t="inlineStr"/>
    </row>
    <row r="593" ht="15" customHeight="1">
      <c r="A593" t="inlineStr">
        <is>
          <t>A 1787-2025</t>
        </is>
      </c>
      <c r="B593" t="inlineStr">
        <is>
          <t>avverkningsanmälan</t>
        </is>
      </c>
      <c r="C593" t="inlineStr">
        <is>
          <t>Föryngringsavverkning</t>
        </is>
      </c>
      <c r="D593" s="1" t="n">
        <v>45671</v>
      </c>
      <c r="E593" s="1" t="n">
        <v>46323</v>
      </c>
      <c r="F593" t="inlineStr">
        <is>
          <t>KALMAR LÄN</t>
        </is>
      </c>
      <c r="G593" t="inlineStr">
        <is>
          <t>VÄSTERVIK</t>
        </is>
      </c>
      <c r="H593" t="inlineStr">
        <is>
          <t>Sveaskog</t>
        </is>
      </c>
      <c r="I593" t="n">
        <v>0.6</v>
      </c>
      <c r="J593" t="n">
        <v>0</v>
      </c>
      <c r="K593" t="n">
        <v>0</v>
      </c>
      <c r="L593" t="n">
        <v>0</v>
      </c>
      <c r="M593" t="n">
        <v>0</v>
      </c>
      <c r="N593" t="n">
        <v>0</v>
      </c>
      <c r="O593" t="n">
        <v>0</v>
      </c>
      <c r="P593" t="n">
        <v>0</v>
      </c>
      <c r="Q593" t="n">
        <v>0</v>
      </c>
      <c r="R593" t="n">
        <v>0</v>
      </c>
      <c r="S593" t="n">
        <v>0</v>
      </c>
      <c r="T593" t="n">
        <v>0</v>
      </c>
      <c r="U593" t="n">
        <v>0</v>
      </c>
      <c r="V593" s="2" t="inlineStr"/>
    </row>
    <row r="594" ht="15" customHeight="1">
      <c r="A594" t="inlineStr">
        <is>
          <t>A 40674-2023</t>
        </is>
      </c>
      <c r="B594" t="inlineStr">
        <is>
          <t>avverkningsanmälan</t>
        </is>
      </c>
      <c r="C594" t="inlineStr">
        <is>
          <t>Föryngringsavverkning</t>
        </is>
      </c>
      <c r="D594" s="1" t="n">
        <v>45170</v>
      </c>
      <c r="E594" s="1" t="n">
        <v>46323</v>
      </c>
      <c r="F594" t="inlineStr">
        <is>
          <t>KALMAR LÄN</t>
        </is>
      </c>
      <c r="G594" t="inlineStr">
        <is>
          <t>VÄSTERVIK</t>
        </is>
      </c>
      <c r="I594" t="n">
        <v>4.2</v>
      </c>
      <c r="J594" t="n">
        <v>0</v>
      </c>
      <c r="K594" t="n">
        <v>0</v>
      </c>
      <c r="L594" t="n">
        <v>0</v>
      </c>
      <c r="M594" t="n">
        <v>0</v>
      </c>
      <c r="N594" t="n">
        <v>0</v>
      </c>
      <c r="O594" t="n">
        <v>0</v>
      </c>
      <c r="P594" t="n">
        <v>0</v>
      </c>
      <c r="Q594" t="n">
        <v>0</v>
      </c>
      <c r="R594" t="n">
        <v>0</v>
      </c>
      <c r="S594" t="n">
        <v>0</v>
      </c>
      <c r="T594" t="n">
        <v>0</v>
      </c>
      <c r="U594" t="n">
        <v>0</v>
      </c>
      <c r="V594" s="2" t="inlineStr"/>
    </row>
    <row r="595" ht="15" customHeight="1">
      <c r="A595" t="inlineStr">
        <is>
          <t>A 40677-2023</t>
        </is>
      </c>
      <c r="B595" t="inlineStr">
        <is>
          <t>avverkningsanmälan</t>
        </is>
      </c>
      <c r="C595" t="inlineStr">
        <is>
          <t>Föryngringsavverkning</t>
        </is>
      </c>
      <c r="D595" s="1" t="n">
        <v>45170</v>
      </c>
      <c r="E595" s="1" t="n">
        <v>46323</v>
      </c>
      <c r="F595" t="inlineStr">
        <is>
          <t>KALMAR LÄN</t>
        </is>
      </c>
      <c r="G595" t="inlineStr">
        <is>
          <t>VÄSTERVIK</t>
        </is>
      </c>
      <c r="I595" t="n">
        <v>1</v>
      </c>
      <c r="J595" t="n">
        <v>0</v>
      </c>
      <c r="K595" t="n">
        <v>0</v>
      </c>
      <c r="L595" t="n">
        <v>0</v>
      </c>
      <c r="M595" t="n">
        <v>0</v>
      </c>
      <c r="N595" t="n">
        <v>0</v>
      </c>
      <c r="O595" t="n">
        <v>0</v>
      </c>
      <c r="P595" t="n">
        <v>0</v>
      </c>
      <c r="Q595" t="n">
        <v>0</v>
      </c>
      <c r="R595" t="n">
        <v>0</v>
      </c>
      <c r="S595" t="n">
        <v>0</v>
      </c>
      <c r="T595" t="n">
        <v>0</v>
      </c>
      <c r="U595" t="n">
        <v>0</v>
      </c>
      <c r="V595" s="2" t="inlineStr"/>
    </row>
    <row r="596" ht="15" customHeight="1">
      <c r="A596" t="inlineStr">
        <is>
          <t>A 57688-2024</t>
        </is>
      </c>
      <c r="B596" t="inlineStr">
        <is>
          <t>avverkningsanmälan</t>
        </is>
      </c>
      <c r="C596" t="inlineStr">
        <is>
          <t>Föryngringsavverkning</t>
        </is>
      </c>
      <c r="D596" s="1" t="n">
        <v>45630</v>
      </c>
      <c r="E596" s="1" t="n">
        <v>46323</v>
      </c>
      <c r="F596" t="inlineStr">
        <is>
          <t>KALMAR LÄN</t>
        </is>
      </c>
      <c r="G596" t="inlineStr">
        <is>
          <t>VÄSTERVIK</t>
        </is>
      </c>
      <c r="I596" t="n">
        <v>3.1</v>
      </c>
      <c r="J596" t="n">
        <v>0</v>
      </c>
      <c r="K596" t="n">
        <v>0</v>
      </c>
      <c r="L596" t="n">
        <v>0</v>
      </c>
      <c r="M596" t="n">
        <v>0</v>
      </c>
      <c r="N596" t="n">
        <v>0</v>
      </c>
      <c r="O596" t="n">
        <v>0</v>
      </c>
      <c r="P596" t="n">
        <v>0</v>
      </c>
      <c r="Q596" t="n">
        <v>0</v>
      </c>
      <c r="R596" t="n">
        <v>0</v>
      </c>
      <c r="S596" t="n">
        <v>0</v>
      </c>
      <c r="T596" t="n">
        <v>0</v>
      </c>
      <c r="U596" t="n">
        <v>0</v>
      </c>
      <c r="V596" s="2" t="inlineStr"/>
    </row>
    <row r="597" ht="15" customHeight="1">
      <c r="A597" t="inlineStr">
        <is>
          <t>A 15106-2023</t>
        </is>
      </c>
      <c r="B597" t="inlineStr">
        <is>
          <t>avverkningsanmälan</t>
        </is>
      </c>
      <c r="C597" t="inlineStr">
        <is>
          <t>Föryngringsavverkning</t>
        </is>
      </c>
      <c r="D597" s="1" t="n">
        <v>45016</v>
      </c>
      <c r="E597" s="1" t="n">
        <v>46323</v>
      </c>
      <c r="F597" t="inlineStr">
        <is>
          <t>KALMAR LÄN</t>
        </is>
      </c>
      <c r="G597" t="inlineStr">
        <is>
          <t>VÄSTERVIK</t>
        </is>
      </c>
      <c r="I597" t="n">
        <v>0.4</v>
      </c>
      <c r="J597" t="n">
        <v>0</v>
      </c>
      <c r="K597" t="n">
        <v>0</v>
      </c>
      <c r="L597" t="n">
        <v>0</v>
      </c>
      <c r="M597" t="n">
        <v>0</v>
      </c>
      <c r="N597" t="n">
        <v>0</v>
      </c>
      <c r="O597" t="n">
        <v>0</v>
      </c>
      <c r="P597" t="n">
        <v>0</v>
      </c>
      <c r="Q597" t="n">
        <v>0</v>
      </c>
      <c r="R597" t="n">
        <v>0</v>
      </c>
      <c r="S597" t="n">
        <v>0</v>
      </c>
      <c r="T597" t="n">
        <v>0</v>
      </c>
      <c r="U597" t="n">
        <v>0</v>
      </c>
      <c r="V597" s="2" t="inlineStr"/>
    </row>
    <row r="598" ht="15" customHeight="1">
      <c r="A598" t="inlineStr">
        <is>
          <t>A 58170-2025</t>
        </is>
      </c>
      <c r="B598" t="inlineStr">
        <is>
          <t>avverkningsanmälan</t>
        </is>
      </c>
      <c r="C598" t="inlineStr">
        <is>
          <t>Föryngringsavverkning</t>
        </is>
      </c>
      <c r="D598" s="1" t="n">
        <v>45982</v>
      </c>
      <c r="E598" s="1" t="n">
        <v>46323</v>
      </c>
      <c r="F598" t="inlineStr">
        <is>
          <t>KALMAR LÄN</t>
        </is>
      </c>
      <c r="G598" t="inlineStr">
        <is>
          <t>VÄSTERVIK</t>
        </is>
      </c>
      <c r="I598" t="n">
        <v>0.9</v>
      </c>
      <c r="J598" t="n">
        <v>0</v>
      </c>
      <c r="K598" t="n">
        <v>0</v>
      </c>
      <c r="L598" t="n">
        <v>0</v>
      </c>
      <c r="M598" t="n">
        <v>0</v>
      </c>
      <c r="N598" t="n">
        <v>0</v>
      </c>
      <c r="O598" t="n">
        <v>0</v>
      </c>
      <c r="P598" t="n">
        <v>0</v>
      </c>
      <c r="Q598" t="n">
        <v>0</v>
      </c>
      <c r="R598" t="n">
        <v>0</v>
      </c>
      <c r="S598" t="n">
        <v>0</v>
      </c>
      <c r="T598" t="n">
        <v>0</v>
      </c>
      <c r="U598" t="n">
        <v>0</v>
      </c>
      <c r="V598" s="2" t="inlineStr"/>
    </row>
    <row r="599" ht="15" customHeight="1">
      <c r="A599" t="inlineStr">
        <is>
          <t>A 61543-2025</t>
        </is>
      </c>
      <c r="B599" t="inlineStr">
        <is>
          <t>avverkningsanmälan</t>
        </is>
      </c>
      <c r="C599" t="inlineStr">
        <is>
          <t>Föryngringsavverkning</t>
        </is>
      </c>
      <c r="D599" s="1" t="n">
        <v>46001</v>
      </c>
      <c r="E599" s="1" t="n">
        <v>46323</v>
      </c>
      <c r="F599" t="inlineStr">
        <is>
          <t>KALMAR LÄN</t>
        </is>
      </c>
      <c r="G599" t="inlineStr">
        <is>
          <t>VÄSTERVIK</t>
        </is>
      </c>
      <c r="H599" t="inlineStr">
        <is>
          <t>Sveaskog</t>
        </is>
      </c>
      <c r="I599" t="n">
        <v>2.1</v>
      </c>
      <c r="J599" t="n">
        <v>0</v>
      </c>
      <c r="K599" t="n">
        <v>0</v>
      </c>
      <c r="L599" t="n">
        <v>0</v>
      </c>
      <c r="M599" t="n">
        <v>0</v>
      </c>
      <c r="N599" t="n">
        <v>0</v>
      </c>
      <c r="O599" t="n">
        <v>0</v>
      </c>
      <c r="P599" t="n">
        <v>0</v>
      </c>
      <c r="Q599" t="n">
        <v>0</v>
      </c>
      <c r="R599" t="n">
        <v>0</v>
      </c>
      <c r="S599" t="n">
        <v>0</v>
      </c>
      <c r="T599" t="n">
        <v>0</v>
      </c>
      <c r="U599" t="n">
        <v>0</v>
      </c>
      <c r="V599" s="2" t="inlineStr"/>
    </row>
    <row r="600" ht="15" customHeight="1">
      <c r="A600" t="inlineStr">
        <is>
          <t>A 61544-2025</t>
        </is>
      </c>
      <c r="B600" t="inlineStr">
        <is>
          <t>avverkningsanmälan</t>
        </is>
      </c>
      <c r="C600" t="inlineStr">
        <is>
          <t>Föryngringsavverkning</t>
        </is>
      </c>
      <c r="D600" s="1" t="n">
        <v>46001</v>
      </c>
      <c r="E600" s="1" t="n">
        <v>46323</v>
      </c>
      <c r="F600" t="inlineStr">
        <is>
          <t>KALMAR LÄN</t>
        </is>
      </c>
      <c r="G600" t="inlineStr">
        <is>
          <t>VÄSTERVIK</t>
        </is>
      </c>
      <c r="H600" t="inlineStr">
        <is>
          <t>Sveaskog</t>
        </is>
      </c>
      <c r="I600" t="n">
        <v>17.8</v>
      </c>
      <c r="J600" t="n">
        <v>0</v>
      </c>
      <c r="K600" t="n">
        <v>0</v>
      </c>
      <c r="L600" t="n">
        <v>0</v>
      </c>
      <c r="M600" t="n">
        <v>0</v>
      </c>
      <c r="N600" t="n">
        <v>0</v>
      </c>
      <c r="O600" t="n">
        <v>0</v>
      </c>
      <c r="P600" t="n">
        <v>0</v>
      </c>
      <c r="Q600" t="n">
        <v>0</v>
      </c>
      <c r="R600" t="n">
        <v>0</v>
      </c>
      <c r="S600" t="n">
        <v>0</v>
      </c>
      <c r="T600" t="n">
        <v>0</v>
      </c>
      <c r="U600" t="n">
        <v>0</v>
      </c>
      <c r="V600" s="2" t="inlineStr"/>
    </row>
    <row r="601" ht="15" customHeight="1">
      <c r="A601" t="inlineStr">
        <is>
          <t>A 58360-2025</t>
        </is>
      </c>
      <c r="B601" t="inlineStr">
        <is>
          <t>avverkningsanmälan</t>
        </is>
      </c>
      <c r="C601" t="inlineStr">
        <is>
          <t>Föryngringsavverkning</t>
        </is>
      </c>
      <c r="D601" s="1" t="n">
        <v>45985</v>
      </c>
      <c r="E601" s="1" t="n">
        <v>46323</v>
      </c>
      <c r="F601" t="inlineStr">
        <is>
          <t>KALMAR LÄN</t>
        </is>
      </c>
      <c r="G601" t="inlineStr">
        <is>
          <t>VÄSTERVIK</t>
        </is>
      </c>
      <c r="I601" t="n">
        <v>0.5</v>
      </c>
      <c r="J601" t="n">
        <v>0</v>
      </c>
      <c r="K601" t="n">
        <v>0</v>
      </c>
      <c r="L601" t="n">
        <v>0</v>
      </c>
      <c r="M601" t="n">
        <v>0</v>
      </c>
      <c r="N601" t="n">
        <v>0</v>
      </c>
      <c r="O601" t="n">
        <v>0</v>
      </c>
      <c r="P601" t="n">
        <v>0</v>
      </c>
      <c r="Q601" t="n">
        <v>0</v>
      </c>
      <c r="R601" t="n">
        <v>0</v>
      </c>
      <c r="S601" t="n">
        <v>0</v>
      </c>
      <c r="T601" t="n">
        <v>0</v>
      </c>
      <c r="U601" t="n">
        <v>0</v>
      </c>
      <c r="V601" s="2" t="inlineStr"/>
    </row>
    <row r="602" ht="15" customHeight="1">
      <c r="A602" t="inlineStr">
        <is>
          <t>A 61542-2025</t>
        </is>
      </c>
      <c r="B602" t="inlineStr">
        <is>
          <t>avverkningsanmälan</t>
        </is>
      </c>
      <c r="C602" t="inlineStr">
        <is>
          <t>Föryngringsavverkning</t>
        </is>
      </c>
      <c r="D602" s="1" t="n">
        <v>46001</v>
      </c>
      <c r="E602" s="1" t="n">
        <v>46323</v>
      </c>
      <c r="F602" t="inlineStr">
        <is>
          <t>KALMAR LÄN</t>
        </is>
      </c>
      <c r="G602" t="inlineStr">
        <is>
          <t>VÄSTERVIK</t>
        </is>
      </c>
      <c r="H602" t="inlineStr">
        <is>
          <t>Sveaskog</t>
        </is>
      </c>
      <c r="I602" t="n">
        <v>5.9</v>
      </c>
      <c r="J602" t="n">
        <v>0</v>
      </c>
      <c r="K602" t="n">
        <v>0</v>
      </c>
      <c r="L602" t="n">
        <v>0</v>
      </c>
      <c r="M602" t="n">
        <v>0</v>
      </c>
      <c r="N602" t="n">
        <v>0</v>
      </c>
      <c r="O602" t="n">
        <v>0</v>
      </c>
      <c r="P602" t="n">
        <v>0</v>
      </c>
      <c r="Q602" t="n">
        <v>0</v>
      </c>
      <c r="R602" t="n">
        <v>0</v>
      </c>
      <c r="S602" t="n">
        <v>0</v>
      </c>
      <c r="T602" t="n">
        <v>0</v>
      </c>
      <c r="U602" t="n">
        <v>0</v>
      </c>
      <c r="V602" s="2" t="inlineStr"/>
    </row>
    <row r="603" ht="15" customHeight="1">
      <c r="A603" t="inlineStr">
        <is>
          <t>A 38045-2023</t>
        </is>
      </c>
      <c r="B603" t="inlineStr">
        <is>
          <t>avverkningsanmälan</t>
        </is>
      </c>
      <c r="C603" t="inlineStr">
        <is>
          <t>Föryngringsavverkning</t>
        </is>
      </c>
      <c r="D603" s="1" t="n">
        <v>45160</v>
      </c>
      <c r="E603" s="1" t="n">
        <v>46323</v>
      </c>
      <c r="F603" t="inlineStr">
        <is>
          <t>KALMAR LÄN</t>
        </is>
      </c>
      <c r="G603" t="inlineStr">
        <is>
          <t>VÄSTERVIK</t>
        </is>
      </c>
      <c r="H603" t="inlineStr">
        <is>
          <t>Sveaskog</t>
        </is>
      </c>
      <c r="I603" t="n">
        <v>7.9</v>
      </c>
      <c r="J603" t="n">
        <v>0</v>
      </c>
      <c r="K603" t="n">
        <v>0</v>
      </c>
      <c r="L603" t="n">
        <v>0</v>
      </c>
      <c r="M603" t="n">
        <v>0</v>
      </c>
      <c r="N603" t="n">
        <v>0</v>
      </c>
      <c r="O603" t="n">
        <v>0</v>
      </c>
      <c r="P603" t="n">
        <v>0</v>
      </c>
      <c r="Q603" t="n">
        <v>0</v>
      </c>
      <c r="R603" t="n">
        <v>0</v>
      </c>
      <c r="S603" t="n">
        <v>0</v>
      </c>
      <c r="T603" t="n">
        <v>0</v>
      </c>
      <c r="U603" t="n">
        <v>0</v>
      </c>
      <c r="V603" s="2" t="inlineStr"/>
    </row>
    <row r="604" ht="15" customHeight="1">
      <c r="A604" t="inlineStr">
        <is>
          <t>A 58349-2025</t>
        </is>
      </c>
      <c r="B604" t="inlineStr">
        <is>
          <t>avverkningsanmälan</t>
        </is>
      </c>
      <c r="C604" t="inlineStr">
        <is>
          <t>Föryngringsavverkning</t>
        </is>
      </c>
      <c r="D604" s="1" t="n">
        <v>45985</v>
      </c>
      <c r="E604" s="1" t="n">
        <v>46323</v>
      </c>
      <c r="F604" t="inlineStr">
        <is>
          <t>KALMAR LÄN</t>
        </is>
      </c>
      <c r="G604" t="inlineStr">
        <is>
          <t>VÄSTERVIK</t>
        </is>
      </c>
      <c r="I604" t="n">
        <v>0.8</v>
      </c>
      <c r="J604" t="n">
        <v>0</v>
      </c>
      <c r="K604" t="n">
        <v>0</v>
      </c>
      <c r="L604" t="n">
        <v>0</v>
      </c>
      <c r="M604" t="n">
        <v>0</v>
      </c>
      <c r="N604" t="n">
        <v>0</v>
      </c>
      <c r="O604" t="n">
        <v>0</v>
      </c>
      <c r="P604" t="n">
        <v>0</v>
      </c>
      <c r="Q604" t="n">
        <v>0</v>
      </c>
      <c r="R604" t="n">
        <v>0</v>
      </c>
      <c r="S604" t="n">
        <v>0</v>
      </c>
      <c r="T604" t="n">
        <v>0</v>
      </c>
      <c r="U604" t="n">
        <v>0</v>
      </c>
      <c r="V604" s="2" t="inlineStr"/>
    </row>
    <row r="605" ht="15" customHeight="1">
      <c r="A605" t="inlineStr">
        <is>
          <t>A 58771-2025</t>
        </is>
      </c>
      <c r="B605" t="inlineStr">
        <is>
          <t>avverkningsanmälan</t>
        </is>
      </c>
      <c r="C605" t="inlineStr">
        <is>
          <t>Föryngringsavverkning</t>
        </is>
      </c>
      <c r="D605" s="1" t="n">
        <v>45986</v>
      </c>
      <c r="E605" s="1" t="n">
        <v>46323</v>
      </c>
      <c r="F605" t="inlineStr">
        <is>
          <t>KALMAR LÄN</t>
        </is>
      </c>
      <c r="G605" t="inlineStr">
        <is>
          <t>VÄSTERVIK</t>
        </is>
      </c>
      <c r="H605" t="inlineStr">
        <is>
          <t>Holmen skog AB</t>
        </is>
      </c>
      <c r="I605" t="n">
        <v>0.5</v>
      </c>
      <c r="J605" t="n">
        <v>0</v>
      </c>
      <c r="K605" t="n">
        <v>0</v>
      </c>
      <c r="L605" t="n">
        <v>0</v>
      </c>
      <c r="M605" t="n">
        <v>0</v>
      </c>
      <c r="N605" t="n">
        <v>0</v>
      </c>
      <c r="O605" t="n">
        <v>0</v>
      </c>
      <c r="P605" t="n">
        <v>0</v>
      </c>
      <c r="Q605" t="n">
        <v>0</v>
      </c>
      <c r="R605" t="n">
        <v>0</v>
      </c>
      <c r="S605" t="n">
        <v>0</v>
      </c>
      <c r="T605" t="n">
        <v>0</v>
      </c>
      <c r="U605" t="n">
        <v>0</v>
      </c>
      <c r="V605" s="2" t="inlineStr"/>
    </row>
    <row r="606" ht="15" customHeight="1">
      <c r="A606" t="inlineStr">
        <is>
          <t>A 58370-2025</t>
        </is>
      </c>
      <c r="B606" t="inlineStr">
        <is>
          <t>avverkningsanmälan</t>
        </is>
      </c>
      <c r="C606" t="inlineStr">
        <is>
          <t>Föryngringsavverkning</t>
        </is>
      </c>
      <c r="D606" s="1" t="n">
        <v>45985</v>
      </c>
      <c r="E606" s="1" t="n">
        <v>46323</v>
      </c>
      <c r="F606" t="inlineStr">
        <is>
          <t>KALMAR LÄN</t>
        </is>
      </c>
      <c r="G606" t="inlineStr">
        <is>
          <t>VÄSTERVIK</t>
        </is>
      </c>
      <c r="I606" t="n">
        <v>1.7</v>
      </c>
      <c r="J606" t="n">
        <v>0</v>
      </c>
      <c r="K606" t="n">
        <v>0</v>
      </c>
      <c r="L606" t="n">
        <v>0</v>
      </c>
      <c r="M606" t="n">
        <v>0</v>
      </c>
      <c r="N606" t="n">
        <v>0</v>
      </c>
      <c r="O606" t="n">
        <v>0</v>
      </c>
      <c r="P606" t="n">
        <v>0</v>
      </c>
      <c r="Q606" t="n">
        <v>0</v>
      </c>
      <c r="R606" t="n">
        <v>0</v>
      </c>
      <c r="S606" t="n">
        <v>0</v>
      </c>
      <c r="T606" t="n">
        <v>0</v>
      </c>
      <c r="U606" t="n">
        <v>0</v>
      </c>
      <c r="V606" s="2" t="inlineStr"/>
    </row>
    <row r="607" ht="15" customHeight="1">
      <c r="A607" t="inlineStr">
        <is>
          <t>A 36555-2024</t>
        </is>
      </c>
      <c r="B607" t="inlineStr">
        <is>
          <t>avverkningsanmälan</t>
        </is>
      </c>
      <c r="C607" t="inlineStr">
        <is>
          <t>Avverkning för annat ändamål</t>
        </is>
      </c>
      <c r="D607" s="1" t="n">
        <v>45537</v>
      </c>
      <c r="E607" s="1" t="n">
        <v>46323</v>
      </c>
      <c r="F607" t="inlineStr">
        <is>
          <t>KALMAR LÄN</t>
        </is>
      </c>
      <c r="G607" t="inlineStr">
        <is>
          <t>VÄSTERVIK</t>
        </is>
      </c>
      <c r="H607" t="inlineStr">
        <is>
          <t>Kommuner</t>
        </is>
      </c>
      <c r="I607" t="n">
        <v>0.8</v>
      </c>
      <c r="J607" t="n">
        <v>0</v>
      </c>
      <c r="K607" t="n">
        <v>0</v>
      </c>
      <c r="L607" t="n">
        <v>0</v>
      </c>
      <c r="M607" t="n">
        <v>0</v>
      </c>
      <c r="N607" t="n">
        <v>0</v>
      </c>
      <c r="O607" t="n">
        <v>0</v>
      </c>
      <c r="P607" t="n">
        <v>0</v>
      </c>
      <c r="Q607" t="n">
        <v>0</v>
      </c>
      <c r="R607" t="n">
        <v>0</v>
      </c>
      <c r="S607" t="n">
        <v>0</v>
      </c>
      <c r="T607" t="n">
        <v>0</v>
      </c>
      <c r="U607" t="n">
        <v>0</v>
      </c>
      <c r="V607" s="2" t="inlineStr"/>
    </row>
    <row r="608" ht="15" customHeight="1">
      <c r="A608" t="inlineStr">
        <is>
          <t>A 58377-2025</t>
        </is>
      </c>
      <c r="B608" t="inlineStr">
        <is>
          <t>avverkningsanmälan</t>
        </is>
      </c>
      <c r="C608" t="inlineStr">
        <is>
          <t>Föryngringsavverkning</t>
        </is>
      </c>
      <c r="D608" s="1" t="n">
        <v>45985</v>
      </c>
      <c r="E608" s="1" t="n">
        <v>46323</v>
      </c>
      <c r="F608" t="inlineStr">
        <is>
          <t>KALMAR LÄN</t>
        </is>
      </c>
      <c r="G608" t="inlineStr">
        <is>
          <t>VÄSTERVIK</t>
        </is>
      </c>
      <c r="I608" t="n">
        <v>0.6</v>
      </c>
      <c r="J608" t="n">
        <v>0</v>
      </c>
      <c r="K608" t="n">
        <v>0</v>
      </c>
      <c r="L608" t="n">
        <v>0</v>
      </c>
      <c r="M608" t="n">
        <v>0</v>
      </c>
      <c r="N608" t="n">
        <v>0</v>
      </c>
      <c r="O608" t="n">
        <v>0</v>
      </c>
      <c r="P608" t="n">
        <v>0</v>
      </c>
      <c r="Q608" t="n">
        <v>0</v>
      </c>
      <c r="R608" t="n">
        <v>0</v>
      </c>
      <c r="S608" t="n">
        <v>0</v>
      </c>
      <c r="T608" t="n">
        <v>0</v>
      </c>
      <c r="U608" t="n">
        <v>0</v>
      </c>
      <c r="V608" s="2" t="inlineStr"/>
    </row>
    <row r="609" ht="15" customHeight="1">
      <c r="A609" t="inlineStr">
        <is>
          <t>A 28037-2024</t>
        </is>
      </c>
      <c r="B609" t="inlineStr">
        <is>
          <t>avverkningsanmälan</t>
        </is>
      </c>
      <c r="C609" t="inlineStr">
        <is>
          <t>Föryngringsavverkning</t>
        </is>
      </c>
      <c r="D609" s="1" t="n">
        <v>45476</v>
      </c>
      <c r="E609" s="1" t="n">
        <v>46323</v>
      </c>
      <c r="F609" t="inlineStr">
        <is>
          <t>KALMAR LÄN</t>
        </is>
      </c>
      <c r="G609" t="inlineStr">
        <is>
          <t>VÄSTERVIK</t>
        </is>
      </c>
      <c r="I609" t="n">
        <v>1</v>
      </c>
      <c r="J609" t="n">
        <v>0</v>
      </c>
      <c r="K609" t="n">
        <v>0</v>
      </c>
      <c r="L609" t="n">
        <v>0</v>
      </c>
      <c r="M609" t="n">
        <v>0</v>
      </c>
      <c r="N609" t="n">
        <v>0</v>
      </c>
      <c r="O609" t="n">
        <v>0</v>
      </c>
      <c r="P609" t="n">
        <v>0</v>
      </c>
      <c r="Q609" t="n">
        <v>0</v>
      </c>
      <c r="R609" t="n">
        <v>0</v>
      </c>
      <c r="S609" t="n">
        <v>0</v>
      </c>
      <c r="T609" t="n">
        <v>0</v>
      </c>
      <c r="U609" t="n">
        <v>0</v>
      </c>
      <c r="V609" s="2" t="inlineStr"/>
    </row>
    <row r="610" ht="15" customHeight="1">
      <c r="A610" t="inlineStr">
        <is>
          <t>A 58778-2025</t>
        </is>
      </c>
      <c r="B610" t="inlineStr">
        <is>
          <t>avverkningsanmälan</t>
        </is>
      </c>
      <c r="C610" t="inlineStr">
        <is>
          <t>Föryngringsavverkning</t>
        </is>
      </c>
      <c r="D610" s="1" t="n">
        <v>45986</v>
      </c>
      <c r="E610" s="1" t="n">
        <v>46323</v>
      </c>
      <c r="F610" t="inlineStr">
        <is>
          <t>KALMAR LÄN</t>
        </is>
      </c>
      <c r="G610" t="inlineStr">
        <is>
          <t>VÄSTERVIK</t>
        </is>
      </c>
      <c r="H610" t="inlineStr">
        <is>
          <t>Holmen skog AB</t>
        </is>
      </c>
      <c r="I610" t="n">
        <v>0.9</v>
      </c>
      <c r="J610" t="n">
        <v>0</v>
      </c>
      <c r="K610" t="n">
        <v>0</v>
      </c>
      <c r="L610" t="n">
        <v>0</v>
      </c>
      <c r="M610" t="n">
        <v>0</v>
      </c>
      <c r="N610" t="n">
        <v>0</v>
      </c>
      <c r="O610" t="n">
        <v>0</v>
      </c>
      <c r="P610" t="n">
        <v>0</v>
      </c>
      <c r="Q610" t="n">
        <v>0</v>
      </c>
      <c r="R610" t="n">
        <v>0</v>
      </c>
      <c r="S610" t="n">
        <v>0</v>
      </c>
      <c r="T610" t="n">
        <v>0</v>
      </c>
      <c r="U610" t="n">
        <v>0</v>
      </c>
      <c r="V610" s="2" t="inlineStr"/>
    </row>
    <row r="611" ht="15" customHeight="1">
      <c r="A611" t="inlineStr">
        <is>
          <t>A 58367-2025</t>
        </is>
      </c>
      <c r="B611" t="inlineStr">
        <is>
          <t>avverkningsanmälan</t>
        </is>
      </c>
      <c r="C611" t="inlineStr">
        <is>
          <t>Föryngringsavverkning</t>
        </is>
      </c>
      <c r="D611" s="1" t="n">
        <v>45985</v>
      </c>
      <c r="E611" s="1" t="n">
        <v>46323</v>
      </c>
      <c r="F611" t="inlineStr">
        <is>
          <t>KALMAR LÄN</t>
        </is>
      </c>
      <c r="G611" t="inlineStr">
        <is>
          <t>VÄSTERVIK</t>
        </is>
      </c>
      <c r="I611" t="n">
        <v>2.2</v>
      </c>
      <c r="J611" t="n">
        <v>0</v>
      </c>
      <c r="K611" t="n">
        <v>0</v>
      </c>
      <c r="L611" t="n">
        <v>0</v>
      </c>
      <c r="M611" t="n">
        <v>0</v>
      </c>
      <c r="N611" t="n">
        <v>0</v>
      </c>
      <c r="O611" t="n">
        <v>0</v>
      </c>
      <c r="P611" t="n">
        <v>0</v>
      </c>
      <c r="Q611" t="n">
        <v>0</v>
      </c>
      <c r="R611" t="n">
        <v>0</v>
      </c>
      <c r="S611" t="n">
        <v>0</v>
      </c>
      <c r="T611" t="n">
        <v>0</v>
      </c>
      <c r="U611" t="n">
        <v>0</v>
      </c>
      <c r="V611" s="2" t="inlineStr"/>
    </row>
    <row r="612" ht="15" customHeight="1">
      <c r="A612" t="inlineStr">
        <is>
          <t>A 59187-2025</t>
        </is>
      </c>
      <c r="B612" t="inlineStr">
        <is>
          <t>avverkningsanmälan</t>
        </is>
      </c>
      <c r="C612" t="inlineStr">
        <is>
          <t>Föryngringsavverkning</t>
        </is>
      </c>
      <c r="D612" s="1" t="n">
        <v>45988</v>
      </c>
      <c r="E612" s="1" t="n">
        <v>46323</v>
      </c>
      <c r="F612" t="inlineStr">
        <is>
          <t>KALMAR LÄN</t>
        </is>
      </c>
      <c r="G612" t="inlineStr">
        <is>
          <t>VÄSTERVIK</t>
        </is>
      </c>
      <c r="I612" t="n">
        <v>1.6</v>
      </c>
      <c r="J612" t="n">
        <v>0</v>
      </c>
      <c r="K612" t="n">
        <v>0</v>
      </c>
      <c r="L612" t="n">
        <v>0</v>
      </c>
      <c r="M612" t="n">
        <v>0</v>
      </c>
      <c r="N612" t="n">
        <v>0</v>
      </c>
      <c r="O612" t="n">
        <v>0</v>
      </c>
      <c r="P612" t="n">
        <v>0</v>
      </c>
      <c r="Q612" t="n">
        <v>0</v>
      </c>
      <c r="R612" t="n">
        <v>0</v>
      </c>
      <c r="S612" t="n">
        <v>0</v>
      </c>
      <c r="T612" t="n">
        <v>0</v>
      </c>
      <c r="U612" t="n">
        <v>0</v>
      </c>
      <c r="V612" s="2" t="inlineStr"/>
    </row>
    <row r="613" ht="15" customHeight="1">
      <c r="A613" t="inlineStr">
        <is>
          <t>A 62750-2025</t>
        </is>
      </c>
      <c r="B613" t="inlineStr">
        <is>
          <t>avverkningsanmälan</t>
        </is>
      </c>
      <c r="C613" t="inlineStr">
        <is>
          <t>Föryngringsavverkning</t>
        </is>
      </c>
      <c r="D613" s="1" t="n">
        <v>46008</v>
      </c>
      <c r="E613" s="1" t="n">
        <v>46323</v>
      </c>
      <c r="F613" t="inlineStr">
        <is>
          <t>KALMAR LÄN</t>
        </is>
      </c>
      <c r="G613" t="inlineStr">
        <is>
          <t>VÄSTERVIK</t>
        </is>
      </c>
      <c r="I613" t="n">
        <v>2.6</v>
      </c>
      <c r="J613" t="n">
        <v>0</v>
      </c>
      <c r="K613" t="n">
        <v>0</v>
      </c>
      <c r="L613" t="n">
        <v>0</v>
      </c>
      <c r="M613" t="n">
        <v>0</v>
      </c>
      <c r="N613" t="n">
        <v>0</v>
      </c>
      <c r="O613" t="n">
        <v>0</v>
      </c>
      <c r="P613" t="n">
        <v>0</v>
      </c>
      <c r="Q613" t="n">
        <v>0</v>
      </c>
      <c r="R613" t="n">
        <v>0</v>
      </c>
      <c r="S613" t="n">
        <v>0</v>
      </c>
      <c r="T613" t="n">
        <v>0</v>
      </c>
      <c r="U613" t="n">
        <v>0</v>
      </c>
      <c r="V613" s="2" t="inlineStr"/>
    </row>
    <row r="614" ht="15" customHeight="1">
      <c r="A614" t="inlineStr">
        <is>
          <t>A 62743-2025</t>
        </is>
      </c>
      <c r="B614" t="inlineStr">
        <is>
          <t>avverkningsanmälan</t>
        </is>
      </c>
      <c r="C614" t="inlineStr">
        <is>
          <t>Föryngringsavverkning</t>
        </is>
      </c>
      <c r="D614" s="1" t="n">
        <v>46008</v>
      </c>
      <c r="E614" s="1" t="n">
        <v>46323</v>
      </c>
      <c r="F614" t="inlineStr">
        <is>
          <t>KALMAR LÄN</t>
        </is>
      </c>
      <c r="G614" t="inlineStr">
        <is>
          <t>VÄSTERVIK</t>
        </is>
      </c>
      <c r="I614" t="n">
        <v>7.5</v>
      </c>
      <c r="J614" t="n">
        <v>0</v>
      </c>
      <c r="K614" t="n">
        <v>0</v>
      </c>
      <c r="L614" t="n">
        <v>0</v>
      </c>
      <c r="M614" t="n">
        <v>0</v>
      </c>
      <c r="N614" t="n">
        <v>0</v>
      </c>
      <c r="O614" t="n">
        <v>0</v>
      </c>
      <c r="P614" t="n">
        <v>0</v>
      </c>
      <c r="Q614" t="n">
        <v>0</v>
      </c>
      <c r="R614" t="n">
        <v>0</v>
      </c>
      <c r="S614" t="n">
        <v>0</v>
      </c>
      <c r="T614" t="n">
        <v>0</v>
      </c>
      <c r="U614" t="n">
        <v>0</v>
      </c>
      <c r="V614" s="2" t="inlineStr"/>
    </row>
    <row r="615" ht="15" customHeight="1">
      <c r="A615" t="inlineStr">
        <is>
          <t>A 62765-2025</t>
        </is>
      </c>
      <c r="B615" t="inlineStr">
        <is>
          <t>avverkningsanmälan</t>
        </is>
      </c>
      <c r="C615" t="inlineStr">
        <is>
          <t>Föryngringsavverkning</t>
        </is>
      </c>
      <c r="D615" s="1" t="n">
        <v>46008</v>
      </c>
      <c r="E615" s="1" t="n">
        <v>46323</v>
      </c>
      <c r="F615" t="inlineStr">
        <is>
          <t>KALMAR LÄN</t>
        </is>
      </c>
      <c r="G615" t="inlineStr">
        <is>
          <t>VÄSTERVIK</t>
        </is>
      </c>
      <c r="I615" t="n">
        <v>1.5</v>
      </c>
      <c r="J615" t="n">
        <v>0</v>
      </c>
      <c r="K615" t="n">
        <v>0</v>
      </c>
      <c r="L615" t="n">
        <v>0</v>
      </c>
      <c r="M615" t="n">
        <v>0</v>
      </c>
      <c r="N615" t="n">
        <v>0</v>
      </c>
      <c r="O615" t="n">
        <v>0</v>
      </c>
      <c r="P615" t="n">
        <v>0</v>
      </c>
      <c r="Q615" t="n">
        <v>0</v>
      </c>
      <c r="R615" t="n">
        <v>0</v>
      </c>
      <c r="S615" t="n">
        <v>0</v>
      </c>
      <c r="T615" t="n">
        <v>0</v>
      </c>
      <c r="U615" t="n">
        <v>0</v>
      </c>
      <c r="V615" s="2" t="inlineStr"/>
    </row>
    <row r="616" ht="15" customHeight="1">
      <c r="A616" t="inlineStr">
        <is>
          <t>A 62752-2025</t>
        </is>
      </c>
      <c r="B616" t="inlineStr">
        <is>
          <t>avverkningsanmälan</t>
        </is>
      </c>
      <c r="C616" t="inlineStr">
        <is>
          <t>Föryngringsavverkning</t>
        </is>
      </c>
      <c r="D616" s="1" t="n">
        <v>46008</v>
      </c>
      <c r="E616" s="1" t="n">
        <v>46323</v>
      </c>
      <c r="F616" t="inlineStr">
        <is>
          <t>KALMAR LÄN</t>
        </is>
      </c>
      <c r="G616" t="inlineStr">
        <is>
          <t>VÄSTERVIK</t>
        </is>
      </c>
      <c r="I616" t="n">
        <v>9.4</v>
      </c>
      <c r="J616" t="n">
        <v>0</v>
      </c>
      <c r="K616" t="n">
        <v>0</v>
      </c>
      <c r="L616" t="n">
        <v>0</v>
      </c>
      <c r="M616" t="n">
        <v>0</v>
      </c>
      <c r="N616" t="n">
        <v>0</v>
      </c>
      <c r="O616" t="n">
        <v>0</v>
      </c>
      <c r="P616" t="n">
        <v>0</v>
      </c>
      <c r="Q616" t="n">
        <v>0</v>
      </c>
      <c r="R616" t="n">
        <v>0</v>
      </c>
      <c r="S616" t="n">
        <v>0</v>
      </c>
      <c r="T616" t="n">
        <v>0</v>
      </c>
      <c r="U616" t="n">
        <v>0</v>
      </c>
      <c r="V616" s="2" t="inlineStr"/>
    </row>
    <row r="617" ht="15" customHeight="1">
      <c r="A617" t="inlineStr">
        <is>
          <t>A 62756-2025</t>
        </is>
      </c>
      <c r="B617" t="inlineStr">
        <is>
          <t>avverkningsanmälan</t>
        </is>
      </c>
      <c r="C617" t="inlineStr">
        <is>
          <t>Föryngringsavverkning</t>
        </is>
      </c>
      <c r="D617" s="1" t="n">
        <v>46008</v>
      </c>
      <c r="E617" s="1" t="n">
        <v>46323</v>
      </c>
      <c r="F617" t="inlineStr">
        <is>
          <t>KALMAR LÄN</t>
        </is>
      </c>
      <c r="G617" t="inlineStr">
        <is>
          <t>VÄSTERVIK</t>
        </is>
      </c>
      <c r="I617" t="n">
        <v>3.1</v>
      </c>
      <c r="J617" t="n">
        <v>0</v>
      </c>
      <c r="K617" t="n">
        <v>0</v>
      </c>
      <c r="L617" t="n">
        <v>0</v>
      </c>
      <c r="M617" t="n">
        <v>0</v>
      </c>
      <c r="N617" t="n">
        <v>0</v>
      </c>
      <c r="O617" t="n">
        <v>0</v>
      </c>
      <c r="P617" t="n">
        <v>0</v>
      </c>
      <c r="Q617" t="n">
        <v>0</v>
      </c>
      <c r="R617" t="n">
        <v>0</v>
      </c>
      <c r="S617" t="n">
        <v>0</v>
      </c>
      <c r="T617" t="n">
        <v>0</v>
      </c>
      <c r="U617" t="n">
        <v>0</v>
      </c>
      <c r="V617" s="2" t="inlineStr"/>
    </row>
    <row r="618" ht="15" customHeight="1">
      <c r="A618" t="inlineStr">
        <is>
          <t>A 62789-2025</t>
        </is>
      </c>
      <c r="B618" t="inlineStr">
        <is>
          <t>avverkningsanmälan</t>
        </is>
      </c>
      <c r="C618" t="inlineStr">
        <is>
          <t>Föryngringsavverkning</t>
        </is>
      </c>
      <c r="D618" s="1" t="n">
        <v>46008</v>
      </c>
      <c r="E618" s="1" t="n">
        <v>46323</v>
      </c>
      <c r="F618" t="inlineStr">
        <is>
          <t>KALMAR LÄN</t>
        </is>
      </c>
      <c r="G618" t="inlineStr">
        <is>
          <t>VÄSTERVIK</t>
        </is>
      </c>
      <c r="I618" t="n">
        <v>0.5</v>
      </c>
      <c r="J618" t="n">
        <v>0</v>
      </c>
      <c r="K618" t="n">
        <v>0</v>
      </c>
      <c r="L618" t="n">
        <v>0</v>
      </c>
      <c r="M618" t="n">
        <v>0</v>
      </c>
      <c r="N618" t="n">
        <v>0</v>
      </c>
      <c r="O618" t="n">
        <v>0</v>
      </c>
      <c r="P618" t="n">
        <v>0</v>
      </c>
      <c r="Q618" t="n">
        <v>0</v>
      </c>
      <c r="R618" t="n">
        <v>0</v>
      </c>
      <c r="S618" t="n">
        <v>0</v>
      </c>
      <c r="T618" t="n">
        <v>0</v>
      </c>
      <c r="U618" t="n">
        <v>0</v>
      </c>
      <c r="V618" s="2" t="inlineStr"/>
    </row>
    <row r="619" ht="15" customHeight="1">
      <c r="A619" t="inlineStr">
        <is>
          <t>A 62782-2025</t>
        </is>
      </c>
      <c r="B619" t="inlineStr">
        <is>
          <t>avverkningsanmälan</t>
        </is>
      </c>
      <c r="C619" t="inlineStr">
        <is>
          <t>Föryngringsavverkning</t>
        </is>
      </c>
      <c r="D619" s="1" t="n">
        <v>46008</v>
      </c>
      <c r="E619" s="1" t="n">
        <v>46323</v>
      </c>
      <c r="F619" t="inlineStr">
        <is>
          <t>KALMAR LÄN</t>
        </is>
      </c>
      <c r="G619" t="inlineStr">
        <is>
          <t>VÄSTERVIK</t>
        </is>
      </c>
      <c r="I619" t="n">
        <v>0.6</v>
      </c>
      <c r="J619" t="n">
        <v>0</v>
      </c>
      <c r="K619" t="n">
        <v>0</v>
      </c>
      <c r="L619" t="n">
        <v>0</v>
      </c>
      <c r="M619" t="n">
        <v>0</v>
      </c>
      <c r="N619" t="n">
        <v>0</v>
      </c>
      <c r="O619" t="n">
        <v>0</v>
      </c>
      <c r="P619" t="n">
        <v>0</v>
      </c>
      <c r="Q619" t="n">
        <v>0</v>
      </c>
      <c r="R619" t="n">
        <v>0</v>
      </c>
      <c r="S619" t="n">
        <v>0</v>
      </c>
      <c r="T619" t="n">
        <v>0</v>
      </c>
      <c r="U619" t="n">
        <v>0</v>
      </c>
      <c r="V619" s="2" t="inlineStr"/>
    </row>
    <row r="620" ht="15" customHeight="1">
      <c r="A620" t="inlineStr">
        <is>
          <t>A 62770-2025</t>
        </is>
      </c>
      <c r="B620" t="inlineStr">
        <is>
          <t>avverkningsanmälan</t>
        </is>
      </c>
      <c r="C620" t="inlineStr">
        <is>
          <t>Föryngringsavverkning</t>
        </is>
      </c>
      <c r="D620" s="1" t="n">
        <v>46008</v>
      </c>
      <c r="E620" s="1" t="n">
        <v>46323</v>
      </c>
      <c r="F620" t="inlineStr">
        <is>
          <t>KALMAR LÄN</t>
        </is>
      </c>
      <c r="G620" t="inlineStr">
        <is>
          <t>VÄSTERVIK</t>
        </is>
      </c>
      <c r="I620" t="n">
        <v>3.2</v>
      </c>
      <c r="J620" t="n">
        <v>0</v>
      </c>
      <c r="K620" t="n">
        <v>0</v>
      </c>
      <c r="L620" t="n">
        <v>0</v>
      </c>
      <c r="M620" t="n">
        <v>0</v>
      </c>
      <c r="N620" t="n">
        <v>0</v>
      </c>
      <c r="O620" t="n">
        <v>0</v>
      </c>
      <c r="P620" t="n">
        <v>0</v>
      </c>
      <c r="Q620" t="n">
        <v>0</v>
      </c>
      <c r="R620" t="n">
        <v>0</v>
      </c>
      <c r="S620" t="n">
        <v>0</v>
      </c>
      <c r="T620" t="n">
        <v>0</v>
      </c>
      <c r="U620" t="n">
        <v>0</v>
      </c>
      <c r="V620" s="2" t="inlineStr"/>
    </row>
    <row r="621" ht="15" customHeight="1">
      <c r="A621" t="inlineStr">
        <is>
          <t>A 3041-2025</t>
        </is>
      </c>
      <c r="B621" t="inlineStr">
        <is>
          <t>avverkningsanmälan</t>
        </is>
      </c>
      <c r="C621" t="inlineStr">
        <is>
          <t>Föryngringsavverkning</t>
        </is>
      </c>
      <c r="D621" s="1" t="n">
        <v>45678</v>
      </c>
      <c r="E621" s="1" t="n">
        <v>46323</v>
      </c>
      <c r="F621" t="inlineStr">
        <is>
          <t>KALMAR LÄN</t>
        </is>
      </c>
      <c r="G621" t="inlineStr">
        <is>
          <t>VÄSTERVIK</t>
        </is>
      </c>
      <c r="I621" t="n">
        <v>0.7</v>
      </c>
      <c r="J621" t="n">
        <v>0</v>
      </c>
      <c r="K621" t="n">
        <v>0</v>
      </c>
      <c r="L621" t="n">
        <v>0</v>
      </c>
      <c r="M621" t="n">
        <v>0</v>
      </c>
      <c r="N621" t="n">
        <v>0</v>
      </c>
      <c r="O621" t="n">
        <v>0</v>
      </c>
      <c r="P621" t="n">
        <v>0</v>
      </c>
      <c r="Q621" t="n">
        <v>0</v>
      </c>
      <c r="R621" t="n">
        <v>0</v>
      </c>
      <c r="S621" t="n">
        <v>0</v>
      </c>
      <c r="T621" t="n">
        <v>0</v>
      </c>
      <c r="U621" t="n">
        <v>0</v>
      </c>
      <c r="V621" s="2" t="inlineStr"/>
      <c r="Z621">
        <f>HYPERLINK("https://klasma.github.io/Logging_0883/knärot/A 3041-2025 karta knärot.png", "A 3041-2025")</f>
        <v/>
      </c>
      <c r="AA621">
        <f>HYPERLINK("https://klasma.github.io/Logging_0883/klagomål/A 3041-2025 FSC-klagomål.docx", "A 3041-2025")</f>
        <v/>
      </c>
      <c r="AB621">
        <f>HYPERLINK("https://klasma.github.io/Logging_0883/klagomålsmail/A 3041-2025 FSC-klagomål mail.docx", "A 3041-2025")</f>
        <v/>
      </c>
      <c r="AC621">
        <f>HYPERLINK("https://klasma.github.io/Logging_0883/tillsyn/A 3041-2025 tillsynsbegäran.docx", "A 3041-2025")</f>
        <v/>
      </c>
      <c r="AD621">
        <f>HYPERLINK("https://klasma.github.io/Logging_0883/tillsynsmail/A 3041-2025 tillsynsbegäran mail.docx", "A 3041-2025")</f>
        <v/>
      </c>
    </row>
    <row r="622" ht="15" customHeight="1">
      <c r="A622" t="inlineStr">
        <is>
          <t>A 2360-2025</t>
        </is>
      </c>
      <c r="B622" t="inlineStr">
        <is>
          <t>avverkningsanmälan</t>
        </is>
      </c>
      <c r="C622" t="inlineStr">
        <is>
          <t>Föryngringsavverkning</t>
        </is>
      </c>
      <c r="D622" s="1" t="n">
        <v>45673</v>
      </c>
      <c r="E622" s="1" t="n">
        <v>46323</v>
      </c>
      <c r="F622" t="inlineStr">
        <is>
          <t>KALMAR LÄN</t>
        </is>
      </c>
      <c r="G622" t="inlineStr">
        <is>
          <t>VÄSTERVIK</t>
        </is>
      </c>
      <c r="I622" t="n">
        <v>3</v>
      </c>
      <c r="J622" t="n">
        <v>0</v>
      </c>
      <c r="K622" t="n">
        <v>0</v>
      </c>
      <c r="L622" t="n">
        <v>0</v>
      </c>
      <c r="M622" t="n">
        <v>0</v>
      </c>
      <c r="N622" t="n">
        <v>0</v>
      </c>
      <c r="O622" t="n">
        <v>0</v>
      </c>
      <c r="P622" t="n">
        <v>0</v>
      </c>
      <c r="Q622" t="n">
        <v>0</v>
      </c>
      <c r="R622" t="n">
        <v>0</v>
      </c>
      <c r="S622" t="n">
        <v>0</v>
      </c>
      <c r="T622" t="n">
        <v>0</v>
      </c>
      <c r="U622" t="n">
        <v>0</v>
      </c>
      <c r="V622" s="2" t="inlineStr"/>
    </row>
    <row r="623" ht="15" customHeight="1">
      <c r="A623" t="inlineStr">
        <is>
          <t>A 60178-2025</t>
        </is>
      </c>
      <c r="B623" t="inlineStr">
        <is>
          <t>avverkningsanmälan</t>
        </is>
      </c>
      <c r="C623" t="inlineStr">
        <is>
          <t>Föryngringsavverkning</t>
        </is>
      </c>
      <c r="D623" s="1" t="n">
        <v>45994</v>
      </c>
      <c r="E623" s="1" t="n">
        <v>46323</v>
      </c>
      <c r="F623" t="inlineStr">
        <is>
          <t>KALMAR LÄN</t>
        </is>
      </c>
      <c r="G623" t="inlineStr">
        <is>
          <t>VÄSTERVIK</t>
        </is>
      </c>
      <c r="I623" t="n">
        <v>1.4</v>
      </c>
      <c r="J623" t="n">
        <v>0</v>
      </c>
      <c r="K623" t="n">
        <v>0</v>
      </c>
      <c r="L623" t="n">
        <v>0</v>
      </c>
      <c r="M623" t="n">
        <v>0</v>
      </c>
      <c r="N623" t="n">
        <v>0</v>
      </c>
      <c r="O623" t="n">
        <v>0</v>
      </c>
      <c r="P623" t="n">
        <v>0</v>
      </c>
      <c r="Q623" t="n">
        <v>0</v>
      </c>
      <c r="R623" t="n">
        <v>0</v>
      </c>
      <c r="S623" t="n">
        <v>0</v>
      </c>
      <c r="T623" t="n">
        <v>0</v>
      </c>
      <c r="U623" t="n">
        <v>0</v>
      </c>
      <c r="V623" s="2" t="inlineStr"/>
    </row>
    <row r="624" ht="15" customHeight="1">
      <c r="A624" t="inlineStr">
        <is>
          <t>A 21824-2023</t>
        </is>
      </c>
      <c r="B624" t="inlineStr">
        <is>
          <t>avverkningsanmälan</t>
        </is>
      </c>
      <c r="C624" t="inlineStr">
        <is>
          <t>Föryngringsavverkning</t>
        </is>
      </c>
      <c r="D624" s="1" t="n">
        <v>45068</v>
      </c>
      <c r="E624" s="1" t="n">
        <v>46323</v>
      </c>
      <c r="F624" t="inlineStr">
        <is>
          <t>KALMAR LÄN</t>
        </is>
      </c>
      <c r="G624" t="inlineStr">
        <is>
          <t>VÄSTERVIK</t>
        </is>
      </c>
      <c r="I624" t="n">
        <v>1.7</v>
      </c>
      <c r="J624" t="n">
        <v>0</v>
      </c>
      <c r="K624" t="n">
        <v>0</v>
      </c>
      <c r="L624" t="n">
        <v>0</v>
      </c>
      <c r="M624" t="n">
        <v>0</v>
      </c>
      <c r="N624" t="n">
        <v>0</v>
      </c>
      <c r="O624" t="n">
        <v>0</v>
      </c>
      <c r="P624" t="n">
        <v>0</v>
      </c>
      <c r="Q624" t="n">
        <v>0</v>
      </c>
      <c r="R624" t="n">
        <v>0</v>
      </c>
      <c r="S624" t="n">
        <v>0</v>
      </c>
      <c r="T624" t="n">
        <v>0</v>
      </c>
      <c r="U624" t="n">
        <v>0</v>
      </c>
      <c r="V624" s="2" t="inlineStr"/>
    </row>
    <row r="625" ht="15" customHeight="1">
      <c r="A625" t="inlineStr">
        <is>
          <t>A 63589-2025</t>
        </is>
      </c>
      <c r="B625" t="inlineStr">
        <is>
          <t>avverkningsanmälan</t>
        </is>
      </c>
      <c r="C625" t="inlineStr">
        <is>
          <t>Föryngringsavverkning</t>
        </is>
      </c>
      <c r="D625" s="1" t="n">
        <v>46013</v>
      </c>
      <c r="E625" s="1" t="n">
        <v>46323</v>
      </c>
      <c r="F625" t="inlineStr">
        <is>
          <t>KALMAR LÄN</t>
        </is>
      </c>
      <c r="G625" t="inlineStr">
        <is>
          <t>VÄSTERVIK</t>
        </is>
      </c>
      <c r="H625" t="inlineStr">
        <is>
          <t>Sveaskog</t>
        </is>
      </c>
      <c r="I625" t="n">
        <v>13.2</v>
      </c>
      <c r="J625" t="n">
        <v>0</v>
      </c>
      <c r="K625" t="n">
        <v>0</v>
      </c>
      <c r="L625" t="n">
        <v>0</v>
      </c>
      <c r="M625" t="n">
        <v>0</v>
      </c>
      <c r="N625" t="n">
        <v>0</v>
      </c>
      <c r="O625" t="n">
        <v>0</v>
      </c>
      <c r="P625" t="n">
        <v>0</v>
      </c>
      <c r="Q625" t="n">
        <v>0</v>
      </c>
      <c r="R625" t="n">
        <v>0</v>
      </c>
      <c r="S625" t="n">
        <v>0</v>
      </c>
      <c r="T625" t="n">
        <v>0</v>
      </c>
      <c r="U625" t="n">
        <v>0</v>
      </c>
      <c r="V625" s="2" t="inlineStr"/>
    </row>
    <row r="626" ht="15" customHeight="1">
      <c r="A626" t="inlineStr">
        <is>
          <t>A 56377-2024</t>
        </is>
      </c>
      <c r="B626" t="inlineStr">
        <is>
          <t>avverkningsanmälan</t>
        </is>
      </c>
      <c r="C626" t="inlineStr">
        <is>
          <t>Föryngringsavverkning</t>
        </is>
      </c>
      <c r="D626" s="1" t="n">
        <v>45625</v>
      </c>
      <c r="E626" s="1" t="n">
        <v>46323</v>
      </c>
      <c r="F626" t="inlineStr">
        <is>
          <t>KALMAR LÄN</t>
        </is>
      </c>
      <c r="G626" t="inlineStr">
        <is>
          <t>VÄSTERVIK</t>
        </is>
      </c>
      <c r="H626" t="inlineStr">
        <is>
          <t>Sveaskog</t>
        </is>
      </c>
      <c r="I626" t="n">
        <v>1.3</v>
      </c>
      <c r="J626" t="n">
        <v>0</v>
      </c>
      <c r="K626" t="n">
        <v>0</v>
      </c>
      <c r="L626" t="n">
        <v>0</v>
      </c>
      <c r="M626" t="n">
        <v>0</v>
      </c>
      <c r="N626" t="n">
        <v>0</v>
      </c>
      <c r="O626" t="n">
        <v>0</v>
      </c>
      <c r="P626" t="n">
        <v>0</v>
      </c>
      <c r="Q626" t="n">
        <v>0</v>
      </c>
      <c r="R626" t="n">
        <v>0</v>
      </c>
      <c r="S626" t="n">
        <v>0</v>
      </c>
      <c r="T626" t="n">
        <v>0</v>
      </c>
      <c r="U626" t="n">
        <v>0</v>
      </c>
      <c r="V626" s="2" t="inlineStr"/>
    </row>
    <row r="627" ht="15" customHeight="1">
      <c r="A627" t="inlineStr">
        <is>
          <t>A 1788-2025</t>
        </is>
      </c>
      <c r="B627" t="inlineStr">
        <is>
          <t>avverkningsanmälan</t>
        </is>
      </c>
      <c r="C627" t="inlineStr">
        <is>
          <t>Föryngringsavverkning</t>
        </is>
      </c>
      <c r="D627" s="1" t="n">
        <v>45671</v>
      </c>
      <c r="E627" s="1" t="n">
        <v>46323</v>
      </c>
      <c r="F627" t="inlineStr">
        <is>
          <t>KALMAR LÄN</t>
        </is>
      </c>
      <c r="G627" t="inlineStr">
        <is>
          <t>VÄSTERVIK</t>
        </is>
      </c>
      <c r="H627" t="inlineStr">
        <is>
          <t>Sveaskog</t>
        </is>
      </c>
      <c r="I627" t="n">
        <v>2.7</v>
      </c>
      <c r="J627" t="n">
        <v>0</v>
      </c>
      <c r="K627" t="n">
        <v>0</v>
      </c>
      <c r="L627" t="n">
        <v>0</v>
      </c>
      <c r="M627" t="n">
        <v>0</v>
      </c>
      <c r="N627" t="n">
        <v>0</v>
      </c>
      <c r="O627" t="n">
        <v>0</v>
      </c>
      <c r="P627" t="n">
        <v>0</v>
      </c>
      <c r="Q627" t="n">
        <v>0</v>
      </c>
      <c r="R627" t="n">
        <v>0</v>
      </c>
      <c r="S627" t="n">
        <v>0</v>
      </c>
      <c r="T627" t="n">
        <v>0</v>
      </c>
      <c r="U627" t="n">
        <v>0</v>
      </c>
      <c r="V627" s="2" t="inlineStr"/>
    </row>
    <row r="628" ht="15" customHeight="1">
      <c r="A628" t="inlineStr">
        <is>
          <t>A 51496-2024</t>
        </is>
      </c>
      <c r="B628" t="inlineStr">
        <is>
          <t>avverkningsanmälan</t>
        </is>
      </c>
      <c r="C628" t="inlineStr">
        <is>
          <t>Föryngringsavverkning</t>
        </is>
      </c>
      <c r="D628" s="1" t="n">
        <v>45604</v>
      </c>
      <c r="E628" s="1" t="n">
        <v>46323</v>
      </c>
      <c r="F628" t="inlineStr">
        <is>
          <t>KALMAR LÄN</t>
        </is>
      </c>
      <c r="G628" t="inlineStr">
        <is>
          <t>VÄSTERVIK</t>
        </is>
      </c>
      <c r="H628" t="inlineStr">
        <is>
          <t>Övriga Aktiebolag</t>
        </is>
      </c>
      <c r="I628" t="n">
        <v>4.6</v>
      </c>
      <c r="J628" t="n">
        <v>0</v>
      </c>
      <c r="K628" t="n">
        <v>0</v>
      </c>
      <c r="L628" t="n">
        <v>0</v>
      </c>
      <c r="M628" t="n">
        <v>0</v>
      </c>
      <c r="N628" t="n">
        <v>0</v>
      </c>
      <c r="O628" t="n">
        <v>0</v>
      </c>
      <c r="P628" t="n">
        <v>0</v>
      </c>
      <c r="Q628" t="n">
        <v>0</v>
      </c>
      <c r="R628" t="n">
        <v>0</v>
      </c>
      <c r="S628" t="n">
        <v>0</v>
      </c>
      <c r="T628" t="n">
        <v>0</v>
      </c>
      <c r="U628" t="n">
        <v>0</v>
      </c>
      <c r="V628" s="2" t="inlineStr"/>
    </row>
    <row r="629" ht="15" customHeight="1">
      <c r="A629" t="inlineStr">
        <is>
          <t>A 63587-2025</t>
        </is>
      </c>
      <c r="B629" t="inlineStr">
        <is>
          <t>avverkningsanmälan</t>
        </is>
      </c>
      <c r="C629" t="inlineStr">
        <is>
          <t>Föryngringsavverkning</t>
        </is>
      </c>
      <c r="D629" s="1" t="n">
        <v>46013</v>
      </c>
      <c r="E629" s="1" t="n">
        <v>46323</v>
      </c>
      <c r="F629" t="inlineStr">
        <is>
          <t>KALMAR LÄN</t>
        </is>
      </c>
      <c r="G629" t="inlineStr">
        <is>
          <t>VÄSTERVIK</t>
        </is>
      </c>
      <c r="H629" t="inlineStr">
        <is>
          <t>Sveaskog</t>
        </is>
      </c>
      <c r="I629" t="n">
        <v>2.5</v>
      </c>
      <c r="J629" t="n">
        <v>0</v>
      </c>
      <c r="K629" t="n">
        <v>0</v>
      </c>
      <c r="L629" t="n">
        <v>0</v>
      </c>
      <c r="M629" t="n">
        <v>0</v>
      </c>
      <c r="N629" t="n">
        <v>0</v>
      </c>
      <c r="O629" t="n">
        <v>0</v>
      </c>
      <c r="P629" t="n">
        <v>0</v>
      </c>
      <c r="Q629" t="n">
        <v>0</v>
      </c>
      <c r="R629" t="n">
        <v>0</v>
      </c>
      <c r="S629" t="n">
        <v>0</v>
      </c>
      <c r="T629" t="n">
        <v>0</v>
      </c>
      <c r="U629" t="n">
        <v>0</v>
      </c>
      <c r="V629" s="2" t="inlineStr"/>
    </row>
    <row r="630" ht="15" customHeight="1">
      <c r="A630" t="inlineStr">
        <is>
          <t>A 63588-2025</t>
        </is>
      </c>
      <c r="B630" t="inlineStr">
        <is>
          <t>avverkningsanmälan</t>
        </is>
      </c>
      <c r="C630" t="inlineStr">
        <is>
          <t>Föryngringsavverkning</t>
        </is>
      </c>
      <c r="D630" s="1" t="n">
        <v>46013</v>
      </c>
      <c r="E630" s="1" t="n">
        <v>46323</v>
      </c>
      <c r="F630" t="inlineStr">
        <is>
          <t>KALMAR LÄN</t>
        </is>
      </c>
      <c r="G630" t="inlineStr">
        <is>
          <t>VÄSTERVIK</t>
        </is>
      </c>
      <c r="H630" t="inlineStr">
        <is>
          <t>Sveaskog</t>
        </is>
      </c>
      <c r="I630" t="n">
        <v>8.800000000000001</v>
      </c>
      <c r="J630" t="n">
        <v>0</v>
      </c>
      <c r="K630" t="n">
        <v>0</v>
      </c>
      <c r="L630" t="n">
        <v>0</v>
      </c>
      <c r="M630" t="n">
        <v>0</v>
      </c>
      <c r="N630" t="n">
        <v>0</v>
      </c>
      <c r="O630" t="n">
        <v>0</v>
      </c>
      <c r="P630" t="n">
        <v>0</v>
      </c>
      <c r="Q630" t="n">
        <v>0</v>
      </c>
      <c r="R630" t="n">
        <v>0</v>
      </c>
      <c r="S630" t="n">
        <v>0</v>
      </c>
      <c r="T630" t="n">
        <v>0</v>
      </c>
      <c r="U630" t="n">
        <v>0</v>
      </c>
      <c r="V630" s="2" t="inlineStr"/>
    </row>
    <row r="631" ht="15" customHeight="1">
      <c r="A631" t="inlineStr">
        <is>
          <t>A 63590-2025</t>
        </is>
      </c>
      <c r="B631" t="inlineStr">
        <is>
          <t>avverkningsanmälan</t>
        </is>
      </c>
      <c r="C631" t="inlineStr">
        <is>
          <t>Föryngringsavverkning</t>
        </is>
      </c>
      <c r="D631" s="1" t="n">
        <v>46013</v>
      </c>
      <c r="E631" s="1" t="n">
        <v>46323</v>
      </c>
      <c r="F631" t="inlineStr">
        <is>
          <t>KALMAR LÄN</t>
        </is>
      </c>
      <c r="G631" t="inlineStr">
        <is>
          <t>VÄSTERVIK</t>
        </is>
      </c>
      <c r="H631" t="inlineStr">
        <is>
          <t>Sveaskog</t>
        </is>
      </c>
      <c r="I631" t="n">
        <v>3.9</v>
      </c>
      <c r="J631" t="n">
        <v>0</v>
      </c>
      <c r="K631" t="n">
        <v>0</v>
      </c>
      <c r="L631" t="n">
        <v>0</v>
      </c>
      <c r="M631" t="n">
        <v>0</v>
      </c>
      <c r="N631" t="n">
        <v>0</v>
      </c>
      <c r="O631" t="n">
        <v>0</v>
      </c>
      <c r="P631" t="n">
        <v>0</v>
      </c>
      <c r="Q631" t="n">
        <v>0</v>
      </c>
      <c r="R631" t="n">
        <v>0</v>
      </c>
      <c r="S631" t="n">
        <v>0</v>
      </c>
      <c r="T631" t="n">
        <v>0</v>
      </c>
      <c r="U631" t="n">
        <v>0</v>
      </c>
      <c r="V631" s="2" t="inlineStr"/>
    </row>
    <row r="632" ht="15" customHeight="1">
      <c r="A632" t="inlineStr">
        <is>
          <t>A 63591-2025</t>
        </is>
      </c>
      <c r="B632" t="inlineStr">
        <is>
          <t>avverkningsanmälan</t>
        </is>
      </c>
      <c r="C632" t="inlineStr">
        <is>
          <t>Föryngringsavverkning</t>
        </is>
      </c>
      <c r="D632" s="1" t="n">
        <v>46013</v>
      </c>
      <c r="E632" s="1" t="n">
        <v>46323</v>
      </c>
      <c r="F632" t="inlineStr">
        <is>
          <t>KALMAR LÄN</t>
        </is>
      </c>
      <c r="G632" t="inlineStr">
        <is>
          <t>VÄSTERVIK</t>
        </is>
      </c>
      <c r="H632" t="inlineStr">
        <is>
          <t>Sveaskog</t>
        </is>
      </c>
      <c r="I632" t="n">
        <v>13.7</v>
      </c>
      <c r="J632" t="n">
        <v>0</v>
      </c>
      <c r="K632" t="n">
        <v>0</v>
      </c>
      <c r="L632" t="n">
        <v>0</v>
      </c>
      <c r="M632" t="n">
        <v>0</v>
      </c>
      <c r="N632" t="n">
        <v>0</v>
      </c>
      <c r="O632" t="n">
        <v>0</v>
      </c>
      <c r="P632" t="n">
        <v>0</v>
      </c>
      <c r="Q632" t="n">
        <v>0</v>
      </c>
      <c r="R632" t="n">
        <v>0</v>
      </c>
      <c r="S632" t="n">
        <v>0</v>
      </c>
      <c r="T632" t="n">
        <v>0</v>
      </c>
      <c r="U632" t="n">
        <v>0</v>
      </c>
      <c r="V632" s="2" t="inlineStr"/>
    </row>
    <row r="633" ht="15" customHeight="1">
      <c r="A633" t="inlineStr">
        <is>
          <t>A 28657-2024</t>
        </is>
      </c>
      <c r="B633" t="inlineStr">
        <is>
          <t>avverkningsanmälan</t>
        </is>
      </c>
      <c r="C633" t="inlineStr">
        <is>
          <t>Föryngringsavverkning</t>
        </is>
      </c>
      <c r="D633" s="1" t="n">
        <v>45478</v>
      </c>
      <c r="E633" s="1" t="n">
        <v>46323</v>
      </c>
      <c r="F633" t="inlineStr">
        <is>
          <t>KALMAR LÄN</t>
        </is>
      </c>
      <c r="G633" t="inlineStr">
        <is>
          <t>VÄSTERVIK</t>
        </is>
      </c>
      <c r="I633" t="n">
        <v>0.5</v>
      </c>
      <c r="J633" t="n">
        <v>0</v>
      </c>
      <c r="K633" t="n">
        <v>0</v>
      </c>
      <c r="L633" t="n">
        <v>0</v>
      </c>
      <c r="M633" t="n">
        <v>0</v>
      </c>
      <c r="N633" t="n">
        <v>0</v>
      </c>
      <c r="O633" t="n">
        <v>0</v>
      </c>
      <c r="P633" t="n">
        <v>0</v>
      </c>
      <c r="Q633" t="n">
        <v>0</v>
      </c>
      <c r="R633" t="n">
        <v>0</v>
      </c>
      <c r="S633" t="n">
        <v>0</v>
      </c>
      <c r="T633" t="n">
        <v>0</v>
      </c>
      <c r="U633" t="n">
        <v>0</v>
      </c>
      <c r="V633" s="2" t="inlineStr"/>
    </row>
    <row r="634" ht="15" customHeight="1">
      <c r="A634" t="inlineStr">
        <is>
          <t>A 26061-2024</t>
        </is>
      </c>
      <c r="B634" t="inlineStr">
        <is>
          <t>avverkningsanmälan</t>
        </is>
      </c>
      <c r="C634" t="inlineStr">
        <is>
          <t>Föryngringsavverkning</t>
        </is>
      </c>
      <c r="D634" s="1" t="n">
        <v>45468</v>
      </c>
      <c r="E634" s="1" t="n">
        <v>46323</v>
      </c>
      <c r="F634" t="inlineStr">
        <is>
          <t>KALMAR LÄN</t>
        </is>
      </c>
      <c r="G634" t="inlineStr">
        <is>
          <t>VÄSTERVIK</t>
        </is>
      </c>
      <c r="I634" t="n">
        <v>0.5</v>
      </c>
      <c r="J634" t="n">
        <v>0</v>
      </c>
      <c r="K634" t="n">
        <v>0</v>
      </c>
      <c r="L634" t="n">
        <v>0</v>
      </c>
      <c r="M634" t="n">
        <v>0</v>
      </c>
      <c r="N634" t="n">
        <v>0</v>
      </c>
      <c r="O634" t="n">
        <v>0</v>
      </c>
      <c r="P634" t="n">
        <v>0</v>
      </c>
      <c r="Q634" t="n">
        <v>0</v>
      </c>
      <c r="R634" t="n">
        <v>0</v>
      </c>
      <c r="S634" t="n">
        <v>0</v>
      </c>
      <c r="T634" t="n">
        <v>0</v>
      </c>
      <c r="U634" t="n">
        <v>0</v>
      </c>
      <c r="V634" s="2" t="inlineStr"/>
    </row>
    <row r="635" ht="15" customHeight="1">
      <c r="A635" t="inlineStr">
        <is>
          <t>A 26066-2024</t>
        </is>
      </c>
      <c r="B635" t="inlineStr">
        <is>
          <t>avverkningsanmälan</t>
        </is>
      </c>
      <c r="C635" t="inlineStr">
        <is>
          <t>Föryngringsavverkning</t>
        </is>
      </c>
      <c r="D635" s="1" t="n">
        <v>45468</v>
      </c>
      <c r="E635" s="1" t="n">
        <v>46323</v>
      </c>
      <c r="F635" t="inlineStr">
        <is>
          <t>KALMAR LÄN</t>
        </is>
      </c>
      <c r="G635" t="inlineStr">
        <is>
          <t>VÄSTERVIK</t>
        </is>
      </c>
      <c r="I635" t="n">
        <v>0.6</v>
      </c>
      <c r="J635" t="n">
        <v>0</v>
      </c>
      <c r="K635" t="n">
        <v>0</v>
      </c>
      <c r="L635" t="n">
        <v>0</v>
      </c>
      <c r="M635" t="n">
        <v>0</v>
      </c>
      <c r="N635" t="n">
        <v>0</v>
      </c>
      <c r="O635" t="n">
        <v>0</v>
      </c>
      <c r="P635" t="n">
        <v>0</v>
      </c>
      <c r="Q635" t="n">
        <v>0</v>
      </c>
      <c r="R635" t="n">
        <v>0</v>
      </c>
      <c r="S635" t="n">
        <v>0</v>
      </c>
      <c r="T635" t="n">
        <v>0</v>
      </c>
      <c r="U635" t="n">
        <v>0</v>
      </c>
      <c r="V635" s="2" t="inlineStr"/>
    </row>
    <row r="636" ht="15" customHeight="1">
      <c r="A636" t="inlineStr">
        <is>
          <t>A 58764-2024</t>
        </is>
      </c>
      <c r="B636" t="inlineStr">
        <is>
          <t>avverkningsanmälan</t>
        </is>
      </c>
      <c r="C636" t="inlineStr">
        <is>
          <t>Föryngringsavverkning</t>
        </is>
      </c>
      <c r="D636" s="1" t="n">
        <v>45635</v>
      </c>
      <c r="E636" s="1" t="n">
        <v>46323</v>
      </c>
      <c r="F636" t="inlineStr">
        <is>
          <t>KALMAR LÄN</t>
        </is>
      </c>
      <c r="G636" t="inlineStr">
        <is>
          <t>VÄSTERVIK</t>
        </is>
      </c>
      <c r="I636" t="n">
        <v>0.7</v>
      </c>
      <c r="J636" t="n">
        <v>0</v>
      </c>
      <c r="K636" t="n">
        <v>0</v>
      </c>
      <c r="L636" t="n">
        <v>0</v>
      </c>
      <c r="M636" t="n">
        <v>0</v>
      </c>
      <c r="N636" t="n">
        <v>0</v>
      </c>
      <c r="O636" t="n">
        <v>0</v>
      </c>
      <c r="P636" t="n">
        <v>0</v>
      </c>
      <c r="Q636" t="n">
        <v>0</v>
      </c>
      <c r="R636" t="n">
        <v>0</v>
      </c>
      <c r="S636" t="n">
        <v>0</v>
      </c>
      <c r="T636" t="n">
        <v>0</v>
      </c>
      <c r="U636" t="n">
        <v>0</v>
      </c>
      <c r="V636" s="2" t="inlineStr"/>
    </row>
    <row r="637" ht="15" customHeight="1">
      <c r="A637" t="inlineStr">
        <is>
          <t>A 63835-2025</t>
        </is>
      </c>
      <c r="B637" t="inlineStr">
        <is>
          <t>avverkningsanmälan</t>
        </is>
      </c>
      <c r="C637" t="inlineStr">
        <is>
          <t>Föryngringsavverkning</t>
        </is>
      </c>
      <c r="D637" s="1" t="n">
        <v>46020</v>
      </c>
      <c r="E637" s="1" t="n">
        <v>46323</v>
      </c>
      <c r="F637" t="inlineStr">
        <is>
          <t>KALMAR LÄN</t>
        </is>
      </c>
      <c r="G637" t="inlineStr">
        <is>
          <t>VÄSTERVIK</t>
        </is>
      </c>
      <c r="I637" t="n">
        <v>2.8</v>
      </c>
      <c r="J637" t="n">
        <v>0</v>
      </c>
      <c r="K637" t="n">
        <v>0</v>
      </c>
      <c r="L637" t="n">
        <v>0</v>
      </c>
      <c r="M637" t="n">
        <v>0</v>
      </c>
      <c r="N637" t="n">
        <v>0</v>
      </c>
      <c r="O637" t="n">
        <v>0</v>
      </c>
      <c r="P637" t="n">
        <v>0</v>
      </c>
      <c r="Q637" t="n">
        <v>0</v>
      </c>
      <c r="R637" t="n">
        <v>0</v>
      </c>
      <c r="S637" t="n">
        <v>0</v>
      </c>
      <c r="T637" t="n">
        <v>0</v>
      </c>
      <c r="U637" t="n">
        <v>0</v>
      </c>
      <c r="V637" s="2" t="inlineStr"/>
    </row>
    <row r="638" ht="15" customHeight="1">
      <c r="A638" t="inlineStr">
        <is>
          <t>A 13489-2022</t>
        </is>
      </c>
      <c r="B638" t="inlineStr">
        <is>
          <t>avverkningsanmälan</t>
        </is>
      </c>
      <c r="C638" t="inlineStr">
        <is>
          <t>Föryngringsavverkning</t>
        </is>
      </c>
      <c r="D638" s="1" t="n">
        <v>44646</v>
      </c>
      <c r="E638" s="1" t="n">
        <v>46323</v>
      </c>
      <c r="F638" t="inlineStr">
        <is>
          <t>KALMAR LÄN</t>
        </is>
      </c>
      <c r="G638" t="inlineStr">
        <is>
          <t>VÄSTERVIK</t>
        </is>
      </c>
      <c r="I638" t="n">
        <v>2.5</v>
      </c>
      <c r="J638" t="n">
        <v>0</v>
      </c>
      <c r="K638" t="n">
        <v>0</v>
      </c>
      <c r="L638" t="n">
        <v>0</v>
      </c>
      <c r="M638" t="n">
        <v>0</v>
      </c>
      <c r="N638" t="n">
        <v>0</v>
      </c>
      <c r="O638" t="n">
        <v>0</v>
      </c>
      <c r="P638" t="n">
        <v>0</v>
      </c>
      <c r="Q638" t="n">
        <v>0</v>
      </c>
      <c r="R638" t="n">
        <v>0</v>
      </c>
      <c r="S638" t="n">
        <v>0</v>
      </c>
      <c r="T638" t="n">
        <v>0</v>
      </c>
      <c r="U638" t="n">
        <v>0</v>
      </c>
      <c r="V638" s="2" t="inlineStr"/>
    </row>
    <row r="639" ht="15" customHeight="1">
      <c r="A639" t="inlineStr">
        <is>
          <t>A 7883-2025</t>
        </is>
      </c>
      <c r="B639" t="inlineStr">
        <is>
          <t>avverkningsanmälan</t>
        </is>
      </c>
      <c r="C639" t="inlineStr">
        <is>
          <t>Föryngringsavverkning</t>
        </is>
      </c>
      <c r="D639" s="1" t="n">
        <v>45706</v>
      </c>
      <c r="E639" s="1" t="n">
        <v>46323</v>
      </c>
      <c r="F639" t="inlineStr">
        <is>
          <t>KALMAR LÄN</t>
        </is>
      </c>
      <c r="G639" t="inlineStr">
        <is>
          <t>VÄSTERVIK</t>
        </is>
      </c>
      <c r="I639" t="n">
        <v>0.2</v>
      </c>
      <c r="J639" t="n">
        <v>0</v>
      </c>
      <c r="K639" t="n">
        <v>0</v>
      </c>
      <c r="L639" t="n">
        <v>0</v>
      </c>
      <c r="M639" t="n">
        <v>0</v>
      </c>
      <c r="N639" t="n">
        <v>0</v>
      </c>
      <c r="O639" t="n">
        <v>0</v>
      </c>
      <c r="P639" t="n">
        <v>0</v>
      </c>
      <c r="Q639" t="n">
        <v>0</v>
      </c>
      <c r="R639" t="n">
        <v>0</v>
      </c>
      <c r="S639" t="n">
        <v>0</v>
      </c>
      <c r="T639" t="n">
        <v>0</v>
      </c>
      <c r="U639" t="n">
        <v>0</v>
      </c>
      <c r="V639" s="2" t="inlineStr"/>
    </row>
    <row r="640" ht="15" customHeight="1">
      <c r="A640" t="inlineStr">
        <is>
          <t>A 33842-2025</t>
        </is>
      </c>
      <c r="B640" t="inlineStr">
        <is>
          <t>avverkningsanmälan</t>
        </is>
      </c>
      <c r="C640" t="inlineStr">
        <is>
          <t>Föryngringsavverkning</t>
        </is>
      </c>
      <c r="D640" s="1" t="n">
        <v>45842</v>
      </c>
      <c r="E640" s="1" t="n">
        <v>46323</v>
      </c>
      <c r="F640" t="inlineStr">
        <is>
          <t>KALMAR LÄN</t>
        </is>
      </c>
      <c r="G640" t="inlineStr">
        <is>
          <t>VÄSTERVIK</t>
        </is>
      </c>
      <c r="I640" t="n">
        <v>2</v>
      </c>
      <c r="J640" t="n">
        <v>0</v>
      </c>
      <c r="K640" t="n">
        <v>0</v>
      </c>
      <c r="L640" t="n">
        <v>0</v>
      </c>
      <c r="M640" t="n">
        <v>0</v>
      </c>
      <c r="N640" t="n">
        <v>0</v>
      </c>
      <c r="O640" t="n">
        <v>0</v>
      </c>
      <c r="P640" t="n">
        <v>0</v>
      </c>
      <c r="Q640" t="n">
        <v>0</v>
      </c>
      <c r="R640" t="n">
        <v>0</v>
      </c>
      <c r="S640" t="n">
        <v>0</v>
      </c>
      <c r="T640" t="n">
        <v>0</v>
      </c>
      <c r="U640" t="n">
        <v>0</v>
      </c>
      <c r="V640" s="2" t="inlineStr"/>
    </row>
    <row r="641" ht="15" customHeight="1">
      <c r="A641" t="inlineStr">
        <is>
          <t>A 28863-2026</t>
        </is>
      </c>
      <c r="B641" t="inlineStr">
        <is>
          <t>avverkningsanmälan</t>
        </is>
      </c>
      <c r="C641" t="inlineStr">
        <is>
          <t>Föryngringsavverkning</t>
        </is>
      </c>
      <c r="D641" s="1" t="n">
        <v>46199</v>
      </c>
      <c r="E641" s="1" t="n">
        <v>46323</v>
      </c>
      <c r="F641" t="inlineStr">
        <is>
          <t>KALMAR LÄN</t>
        </is>
      </c>
      <c r="G641" t="inlineStr">
        <is>
          <t>VÄSTERVIK</t>
        </is>
      </c>
      <c r="H641" t="inlineStr">
        <is>
          <t>Naturvårdsverket</t>
        </is>
      </c>
      <c r="I641" t="n">
        <v>15</v>
      </c>
      <c r="J641" t="n">
        <v>0</v>
      </c>
      <c r="K641" t="n">
        <v>0</v>
      </c>
      <c r="L641" t="n">
        <v>0</v>
      </c>
      <c r="M641" t="n">
        <v>0</v>
      </c>
      <c r="N641" t="n">
        <v>0</v>
      </c>
      <c r="O641" t="n">
        <v>0</v>
      </c>
      <c r="P641" t="n">
        <v>0</v>
      </c>
      <c r="Q641" t="n">
        <v>0</v>
      </c>
      <c r="R641" t="n">
        <v>0</v>
      </c>
      <c r="S641" t="n">
        <v>0</v>
      </c>
      <c r="T641" t="n">
        <v>0</v>
      </c>
      <c r="U641" t="n">
        <v>0</v>
      </c>
      <c r="V641" s="2" t="inlineStr"/>
    </row>
    <row r="642" ht="15" customHeight="1">
      <c r="A642" t="inlineStr">
        <is>
          <t>A 895-2026</t>
        </is>
      </c>
      <c r="B642" t="inlineStr">
        <is>
          <t>avverkningsanmälan</t>
        </is>
      </c>
      <c r="C642" t="inlineStr">
        <is>
          <t>Föryngringsavverkning</t>
        </is>
      </c>
      <c r="D642" s="1" t="n">
        <v>46030</v>
      </c>
      <c r="E642" s="1" t="n">
        <v>46323</v>
      </c>
      <c r="F642" t="inlineStr">
        <is>
          <t>KALMAR LÄN</t>
        </is>
      </c>
      <c r="G642" t="inlineStr">
        <is>
          <t>VÄSTERVIK</t>
        </is>
      </c>
      <c r="H642" t="inlineStr">
        <is>
          <t>Kyrkan</t>
        </is>
      </c>
      <c r="I642" t="n">
        <v>3.2</v>
      </c>
      <c r="J642" t="n">
        <v>0</v>
      </c>
      <c r="K642" t="n">
        <v>0</v>
      </c>
      <c r="L642" t="n">
        <v>0</v>
      </c>
      <c r="M642" t="n">
        <v>0</v>
      </c>
      <c r="N642" t="n">
        <v>0</v>
      </c>
      <c r="O642" t="n">
        <v>0</v>
      </c>
      <c r="P642" t="n">
        <v>0</v>
      </c>
      <c r="Q642" t="n">
        <v>0</v>
      </c>
      <c r="R642" t="n">
        <v>0</v>
      </c>
      <c r="S642" t="n">
        <v>0</v>
      </c>
      <c r="T642" t="n">
        <v>0</v>
      </c>
      <c r="U642" t="n">
        <v>0</v>
      </c>
      <c r="V642" s="2" t="inlineStr"/>
    </row>
    <row r="643" ht="15" customHeight="1">
      <c r="A643" t="inlineStr">
        <is>
          <t>A 28862-2026</t>
        </is>
      </c>
      <c r="B643" t="inlineStr">
        <is>
          <t>avverkningsanmälan</t>
        </is>
      </c>
      <c r="C643" t="inlineStr">
        <is>
          <t>Föryngringsavverkning</t>
        </is>
      </c>
      <c r="D643" s="1" t="n">
        <v>46199</v>
      </c>
      <c r="E643" s="1" t="n">
        <v>46323</v>
      </c>
      <c r="F643" t="inlineStr">
        <is>
          <t>KALMAR LÄN</t>
        </is>
      </c>
      <c r="G643" t="inlineStr">
        <is>
          <t>VÄSTERVIK</t>
        </is>
      </c>
      <c r="H643" t="inlineStr">
        <is>
          <t>Naturvårdsverket</t>
        </is>
      </c>
      <c r="I643" t="n">
        <v>3.2</v>
      </c>
      <c r="J643" t="n">
        <v>0</v>
      </c>
      <c r="K643" t="n">
        <v>0</v>
      </c>
      <c r="L643" t="n">
        <v>0</v>
      </c>
      <c r="M643" t="n">
        <v>0</v>
      </c>
      <c r="N643" t="n">
        <v>0</v>
      </c>
      <c r="O643" t="n">
        <v>0</v>
      </c>
      <c r="P643" t="n">
        <v>0</v>
      </c>
      <c r="Q643" t="n">
        <v>0</v>
      </c>
      <c r="R643" t="n">
        <v>0</v>
      </c>
      <c r="S643" t="n">
        <v>0</v>
      </c>
      <c r="T643" t="n">
        <v>0</v>
      </c>
      <c r="U643" t="n">
        <v>0</v>
      </c>
      <c r="V643" s="2" t="inlineStr"/>
    </row>
    <row r="644" ht="15" customHeight="1">
      <c r="A644" t="inlineStr">
        <is>
          <t>A 1488-2026</t>
        </is>
      </c>
      <c r="B644" t="inlineStr">
        <is>
          <t>avverkningsanmälan</t>
        </is>
      </c>
      <c r="C644" t="inlineStr">
        <is>
          <t>Föryngringsavverkning</t>
        </is>
      </c>
      <c r="D644" s="1" t="n">
        <v>46034</v>
      </c>
      <c r="E644" s="1" t="n">
        <v>46323</v>
      </c>
      <c r="F644" t="inlineStr">
        <is>
          <t>KALMAR LÄN</t>
        </is>
      </c>
      <c r="G644" t="inlineStr">
        <is>
          <t>VÄSTERVIK</t>
        </is>
      </c>
      <c r="I644" t="n">
        <v>2</v>
      </c>
      <c r="J644" t="n">
        <v>0</v>
      </c>
      <c r="K644" t="n">
        <v>0</v>
      </c>
      <c r="L644" t="n">
        <v>0</v>
      </c>
      <c r="M644" t="n">
        <v>0</v>
      </c>
      <c r="N644" t="n">
        <v>0</v>
      </c>
      <c r="O644" t="n">
        <v>0</v>
      </c>
      <c r="P644" t="n">
        <v>0</v>
      </c>
      <c r="Q644" t="n">
        <v>0</v>
      </c>
      <c r="R644" t="n">
        <v>0</v>
      </c>
      <c r="S644" t="n">
        <v>0</v>
      </c>
      <c r="T644" t="n">
        <v>0</v>
      </c>
      <c r="U644" t="n">
        <v>0</v>
      </c>
      <c r="V644" s="2" t="inlineStr"/>
    </row>
    <row r="645" ht="15" customHeight="1">
      <c r="A645" t="inlineStr">
        <is>
          <t>A 1489-2026</t>
        </is>
      </c>
      <c r="B645" t="inlineStr">
        <is>
          <t>avverkningsanmälan</t>
        </is>
      </c>
      <c r="C645" t="inlineStr">
        <is>
          <t>Föryngringsavverkning</t>
        </is>
      </c>
      <c r="D645" s="1" t="n">
        <v>46034</v>
      </c>
      <c r="E645" s="1" t="n">
        <v>46323</v>
      </c>
      <c r="F645" t="inlineStr">
        <is>
          <t>KALMAR LÄN</t>
        </is>
      </c>
      <c r="G645" t="inlineStr">
        <is>
          <t>VÄSTERVIK</t>
        </is>
      </c>
      <c r="I645" t="n">
        <v>2.4</v>
      </c>
      <c r="J645" t="n">
        <v>0</v>
      </c>
      <c r="K645" t="n">
        <v>0</v>
      </c>
      <c r="L645" t="n">
        <v>0</v>
      </c>
      <c r="M645" t="n">
        <v>0</v>
      </c>
      <c r="N645" t="n">
        <v>0</v>
      </c>
      <c r="O645" t="n">
        <v>0</v>
      </c>
      <c r="P645" t="n">
        <v>0</v>
      </c>
      <c r="Q645" t="n">
        <v>0</v>
      </c>
      <c r="R645" t="n">
        <v>0</v>
      </c>
      <c r="S645" t="n">
        <v>0</v>
      </c>
      <c r="T645" t="n">
        <v>0</v>
      </c>
      <c r="U645" t="n">
        <v>0</v>
      </c>
      <c r="V645" s="2" t="inlineStr"/>
    </row>
    <row r="646" ht="15" customHeight="1">
      <c r="A646" t="inlineStr">
        <is>
          <t>A 29286-2026</t>
        </is>
      </c>
      <c r="B646" t="inlineStr">
        <is>
          <t>avverkningsanmälan</t>
        </is>
      </c>
      <c r="C646" t="inlineStr">
        <is>
          <t>Föryngringsavverkning</t>
        </is>
      </c>
      <c r="D646" s="1" t="n">
        <v>46202</v>
      </c>
      <c r="E646" s="1" t="n">
        <v>46323</v>
      </c>
      <c r="F646" t="inlineStr">
        <is>
          <t>KALMAR LÄN</t>
        </is>
      </c>
      <c r="G646" t="inlineStr">
        <is>
          <t>VÄSTERVIK</t>
        </is>
      </c>
      <c r="I646" t="n">
        <v>1.6</v>
      </c>
      <c r="J646" t="n">
        <v>0</v>
      </c>
      <c r="K646" t="n">
        <v>0</v>
      </c>
      <c r="L646" t="n">
        <v>0</v>
      </c>
      <c r="M646" t="n">
        <v>0</v>
      </c>
      <c r="N646" t="n">
        <v>0</v>
      </c>
      <c r="O646" t="n">
        <v>0</v>
      </c>
      <c r="P646" t="n">
        <v>0</v>
      </c>
      <c r="Q646" t="n">
        <v>0</v>
      </c>
      <c r="R646" t="n">
        <v>0</v>
      </c>
      <c r="S646" t="n">
        <v>0</v>
      </c>
      <c r="T646" t="n">
        <v>0</v>
      </c>
      <c r="U646" t="n">
        <v>0</v>
      </c>
      <c r="V646" s="2" t="inlineStr"/>
    </row>
    <row r="647" ht="15" customHeight="1">
      <c r="A647" t="inlineStr">
        <is>
          <t>A 1486-2026</t>
        </is>
      </c>
      <c r="B647" t="inlineStr">
        <is>
          <t>avverkningsanmälan</t>
        </is>
      </c>
      <c r="C647" t="inlineStr">
        <is>
          <t>Föryngringsavverkning</t>
        </is>
      </c>
      <c r="D647" s="1" t="n">
        <v>46034</v>
      </c>
      <c r="E647" s="1" t="n">
        <v>46323</v>
      </c>
      <c r="F647" t="inlineStr">
        <is>
          <t>KALMAR LÄN</t>
        </is>
      </c>
      <c r="G647" t="inlineStr">
        <is>
          <t>VÄSTERVIK</t>
        </is>
      </c>
      <c r="I647" t="n">
        <v>1.2</v>
      </c>
      <c r="J647" t="n">
        <v>0</v>
      </c>
      <c r="K647" t="n">
        <v>0</v>
      </c>
      <c r="L647" t="n">
        <v>0</v>
      </c>
      <c r="M647" t="n">
        <v>0</v>
      </c>
      <c r="N647" t="n">
        <v>0</v>
      </c>
      <c r="O647" t="n">
        <v>0</v>
      </c>
      <c r="P647" t="n">
        <v>0</v>
      </c>
      <c r="Q647" t="n">
        <v>0</v>
      </c>
      <c r="R647" t="n">
        <v>0</v>
      </c>
      <c r="S647" t="n">
        <v>0</v>
      </c>
      <c r="T647" t="n">
        <v>0</v>
      </c>
      <c r="U647" t="n">
        <v>0</v>
      </c>
      <c r="V647" s="2" t="inlineStr"/>
    </row>
    <row r="648" ht="15" customHeight="1">
      <c r="A648" t="inlineStr">
        <is>
          <t>A 1487-2026</t>
        </is>
      </c>
      <c r="B648" t="inlineStr">
        <is>
          <t>avverkningsanmälan</t>
        </is>
      </c>
      <c r="C648" t="inlineStr">
        <is>
          <t>Föryngringsavverkning</t>
        </is>
      </c>
      <c r="D648" s="1" t="n">
        <v>46034</v>
      </c>
      <c r="E648" s="1" t="n">
        <v>46323</v>
      </c>
      <c r="F648" t="inlineStr">
        <is>
          <t>KALMAR LÄN</t>
        </is>
      </c>
      <c r="G648" t="inlineStr">
        <is>
          <t>VÄSTERVIK</t>
        </is>
      </c>
      <c r="I648" t="n">
        <v>2.4</v>
      </c>
      <c r="J648" t="n">
        <v>0</v>
      </c>
      <c r="K648" t="n">
        <v>0</v>
      </c>
      <c r="L648" t="n">
        <v>0</v>
      </c>
      <c r="M648" t="n">
        <v>0</v>
      </c>
      <c r="N648" t="n">
        <v>0</v>
      </c>
      <c r="O648" t="n">
        <v>0</v>
      </c>
      <c r="P648" t="n">
        <v>0</v>
      </c>
      <c r="Q648" t="n">
        <v>0</v>
      </c>
      <c r="R648" t="n">
        <v>0</v>
      </c>
      <c r="S648" t="n">
        <v>0</v>
      </c>
      <c r="T648" t="n">
        <v>0</v>
      </c>
      <c r="U648" t="n">
        <v>0</v>
      </c>
      <c r="V648" s="2" t="inlineStr"/>
    </row>
    <row r="649" ht="15" customHeight="1">
      <c r="A649" t="inlineStr">
        <is>
          <t>A 29851-2026</t>
        </is>
      </c>
      <c r="B649" t="inlineStr">
        <is>
          <t>avverkningsanmälan</t>
        </is>
      </c>
      <c r="C649" t="inlineStr">
        <is>
          <t>Föryngringsavverkning</t>
        </is>
      </c>
      <c r="D649" s="1" t="n">
        <v>46205</v>
      </c>
      <c r="E649" s="1" t="n">
        <v>46323</v>
      </c>
      <c r="F649" t="inlineStr">
        <is>
          <t>KALMAR LÄN</t>
        </is>
      </c>
      <c r="G649" t="inlineStr">
        <is>
          <t>VÄSTERVIK</t>
        </is>
      </c>
      <c r="I649" t="n">
        <v>6.2</v>
      </c>
      <c r="J649" t="n">
        <v>0</v>
      </c>
      <c r="K649" t="n">
        <v>0</v>
      </c>
      <c r="L649" t="n">
        <v>0</v>
      </c>
      <c r="M649" t="n">
        <v>0</v>
      </c>
      <c r="N649" t="n">
        <v>0</v>
      </c>
      <c r="O649" t="n">
        <v>0</v>
      </c>
      <c r="P649" t="n">
        <v>0</v>
      </c>
      <c r="Q649" t="n">
        <v>0</v>
      </c>
      <c r="R649" t="n">
        <v>0</v>
      </c>
      <c r="S649" t="n">
        <v>0</v>
      </c>
      <c r="T649" t="n">
        <v>0</v>
      </c>
      <c r="U649" t="n">
        <v>0</v>
      </c>
      <c r="V649" s="2" t="inlineStr"/>
    </row>
    <row r="650" ht="15" customHeight="1">
      <c r="A650" t="inlineStr">
        <is>
          <t>A 29945-2026</t>
        </is>
      </c>
      <c r="B650" t="inlineStr">
        <is>
          <t>avverkningsanmälan</t>
        </is>
      </c>
      <c r="C650" t="inlineStr">
        <is>
          <t>Föryngringsavverkning</t>
        </is>
      </c>
      <c r="D650" s="1" t="n">
        <v>46205</v>
      </c>
      <c r="E650" s="1" t="n">
        <v>46323</v>
      </c>
      <c r="F650" t="inlineStr">
        <is>
          <t>KALMAR LÄN</t>
        </is>
      </c>
      <c r="G650" t="inlineStr">
        <is>
          <t>VÄSTERVIK</t>
        </is>
      </c>
      <c r="I650" t="n">
        <v>2.9</v>
      </c>
      <c r="J650" t="n">
        <v>0</v>
      </c>
      <c r="K650" t="n">
        <v>0</v>
      </c>
      <c r="L650" t="n">
        <v>0</v>
      </c>
      <c r="M650" t="n">
        <v>0</v>
      </c>
      <c r="N650" t="n">
        <v>0</v>
      </c>
      <c r="O650" t="n">
        <v>0</v>
      </c>
      <c r="P650" t="n">
        <v>0</v>
      </c>
      <c r="Q650" t="n">
        <v>0</v>
      </c>
      <c r="R650" t="n">
        <v>0</v>
      </c>
      <c r="S650" t="n">
        <v>0</v>
      </c>
      <c r="T650" t="n">
        <v>0</v>
      </c>
      <c r="U650" t="n">
        <v>0</v>
      </c>
      <c r="V650" s="2" t="inlineStr"/>
    </row>
    <row r="651" ht="15" customHeight="1">
      <c r="A651" t="inlineStr">
        <is>
          <t>A 55037-2024</t>
        </is>
      </c>
      <c r="B651" t="inlineStr">
        <is>
          <t>avverkningsanmälan</t>
        </is>
      </c>
      <c r="C651" t="inlineStr">
        <is>
          <t>Föryngringsavverkning</t>
        </is>
      </c>
      <c r="D651" s="1" t="n">
        <v>45621</v>
      </c>
      <c r="E651" s="1" t="n">
        <v>46323</v>
      </c>
      <c r="F651" t="inlineStr">
        <is>
          <t>KALMAR LÄN</t>
        </is>
      </c>
      <c r="G651" t="inlineStr">
        <is>
          <t>VÄSTERVIK</t>
        </is>
      </c>
      <c r="H651" t="inlineStr">
        <is>
          <t>Sveaskog</t>
        </is>
      </c>
      <c r="I651" t="n">
        <v>0.6</v>
      </c>
      <c r="J651" t="n">
        <v>0</v>
      </c>
      <c r="K651" t="n">
        <v>0</v>
      </c>
      <c r="L651" t="n">
        <v>0</v>
      </c>
      <c r="M651" t="n">
        <v>0</v>
      </c>
      <c r="N651" t="n">
        <v>0</v>
      </c>
      <c r="O651" t="n">
        <v>0</v>
      </c>
      <c r="P651" t="n">
        <v>0</v>
      </c>
      <c r="Q651" t="n">
        <v>0</v>
      </c>
      <c r="R651" t="n">
        <v>0</v>
      </c>
      <c r="S651" t="n">
        <v>0</v>
      </c>
      <c r="T651" t="n">
        <v>0</v>
      </c>
      <c r="U651" t="n">
        <v>0</v>
      </c>
      <c r="V651" s="2" t="inlineStr"/>
    </row>
    <row r="652" ht="15" customHeight="1">
      <c r="A652" t="inlineStr">
        <is>
          <t>A 29988-2026</t>
        </is>
      </c>
      <c r="B652" t="inlineStr">
        <is>
          <t>avverkningsanmälan</t>
        </is>
      </c>
      <c r="C652" t="inlineStr">
        <is>
          <t>Föryngringsavverkning</t>
        </is>
      </c>
      <c r="D652" s="1" t="n">
        <v>46205</v>
      </c>
      <c r="E652" s="1" t="n">
        <v>46323</v>
      </c>
      <c r="F652" t="inlineStr">
        <is>
          <t>KALMAR LÄN</t>
        </is>
      </c>
      <c r="G652" t="inlineStr">
        <is>
          <t>VÄSTERVIK</t>
        </is>
      </c>
      <c r="H652" t="inlineStr">
        <is>
          <t>Sveaskog</t>
        </is>
      </c>
      <c r="I652" t="n">
        <v>4.1</v>
      </c>
      <c r="J652" t="n">
        <v>0</v>
      </c>
      <c r="K652" t="n">
        <v>0</v>
      </c>
      <c r="L652" t="n">
        <v>0</v>
      </c>
      <c r="M652" t="n">
        <v>0</v>
      </c>
      <c r="N652" t="n">
        <v>0</v>
      </c>
      <c r="O652" t="n">
        <v>0</v>
      </c>
      <c r="P652" t="n">
        <v>0</v>
      </c>
      <c r="Q652" t="n">
        <v>0</v>
      </c>
      <c r="R652" t="n">
        <v>0</v>
      </c>
      <c r="S652" t="n">
        <v>0</v>
      </c>
      <c r="T652" t="n">
        <v>0</v>
      </c>
      <c r="U652" t="n">
        <v>0</v>
      </c>
      <c r="V652" s="2" t="inlineStr"/>
    </row>
    <row r="653" ht="15" customHeight="1">
      <c r="A653" t="inlineStr">
        <is>
          <t>A 19551-2023</t>
        </is>
      </c>
      <c r="B653" t="inlineStr">
        <is>
          <t>avverkningsanmälan</t>
        </is>
      </c>
      <c r="C653" t="inlineStr">
        <is>
          <t>Föryngringsavverkning</t>
        </is>
      </c>
      <c r="D653" s="1" t="n">
        <v>45049</v>
      </c>
      <c r="E653" s="1" t="n">
        <v>46323</v>
      </c>
      <c r="F653" t="inlineStr">
        <is>
          <t>KALMAR LÄN</t>
        </is>
      </c>
      <c r="G653" t="inlineStr">
        <is>
          <t>VÄSTERVIK</t>
        </is>
      </c>
      <c r="I653" t="n">
        <v>3.2</v>
      </c>
      <c r="J653" t="n">
        <v>0</v>
      </c>
      <c r="K653" t="n">
        <v>0</v>
      </c>
      <c r="L653" t="n">
        <v>0</v>
      </c>
      <c r="M653" t="n">
        <v>0</v>
      </c>
      <c r="N653" t="n">
        <v>0</v>
      </c>
      <c r="O653" t="n">
        <v>0</v>
      </c>
      <c r="P653" t="n">
        <v>0</v>
      </c>
      <c r="Q653" t="n">
        <v>0</v>
      </c>
      <c r="R653" t="n">
        <v>0</v>
      </c>
      <c r="S653" t="n">
        <v>0</v>
      </c>
      <c r="T653" t="n">
        <v>0</v>
      </c>
      <c r="U653" t="n">
        <v>0</v>
      </c>
      <c r="V653" s="2" t="inlineStr"/>
    </row>
    <row r="654" ht="15" customHeight="1">
      <c r="A654" t="inlineStr">
        <is>
          <t>A 28390-2024</t>
        </is>
      </c>
      <c r="B654" t="inlineStr">
        <is>
          <t>avverkningsanmälan</t>
        </is>
      </c>
      <c r="C654" t="inlineStr">
        <is>
          <t>Föryngringsavverkning</t>
        </is>
      </c>
      <c r="D654" s="1" t="n">
        <v>45477</v>
      </c>
      <c r="E654" s="1" t="n">
        <v>46323</v>
      </c>
      <c r="F654" t="inlineStr">
        <is>
          <t>KALMAR LÄN</t>
        </is>
      </c>
      <c r="G654" t="inlineStr">
        <is>
          <t>VÄSTERVIK</t>
        </is>
      </c>
      <c r="H654" t="inlineStr">
        <is>
          <t>Holmen skog AB</t>
        </is>
      </c>
      <c r="I654" t="n">
        <v>1.4</v>
      </c>
      <c r="J654" t="n">
        <v>0</v>
      </c>
      <c r="K654" t="n">
        <v>0</v>
      </c>
      <c r="L654" t="n">
        <v>0</v>
      </c>
      <c r="M654" t="n">
        <v>0</v>
      </c>
      <c r="N654" t="n">
        <v>0</v>
      </c>
      <c r="O654" t="n">
        <v>0</v>
      </c>
      <c r="P654" t="n">
        <v>0</v>
      </c>
      <c r="Q654" t="n">
        <v>0</v>
      </c>
      <c r="R654" t="n">
        <v>0</v>
      </c>
      <c r="S654" t="n">
        <v>0</v>
      </c>
      <c r="T654" t="n">
        <v>0</v>
      </c>
      <c r="U654" t="n">
        <v>0</v>
      </c>
      <c r="V654" s="2" t="inlineStr"/>
    </row>
    <row r="655" ht="15" customHeight="1">
      <c r="A655" t="inlineStr">
        <is>
          <t>A 17054-2025</t>
        </is>
      </c>
      <c r="B655" t="inlineStr">
        <is>
          <t>avverkningsanmälan</t>
        </is>
      </c>
      <c r="C655" t="inlineStr">
        <is>
          <t>Föryngringsavverkning</t>
        </is>
      </c>
      <c r="D655" s="1" t="n">
        <v>45755</v>
      </c>
      <c r="E655" s="1" t="n">
        <v>46323</v>
      </c>
      <c r="F655" t="inlineStr">
        <is>
          <t>KALMAR LÄN</t>
        </is>
      </c>
      <c r="G655" t="inlineStr">
        <is>
          <t>VÄSTERVIK</t>
        </is>
      </c>
      <c r="I655" t="n">
        <v>0.4</v>
      </c>
      <c r="J655" t="n">
        <v>0</v>
      </c>
      <c r="K655" t="n">
        <v>0</v>
      </c>
      <c r="L655" t="n">
        <v>0</v>
      </c>
      <c r="M655" t="n">
        <v>0</v>
      </c>
      <c r="N655" t="n">
        <v>0</v>
      </c>
      <c r="O655" t="n">
        <v>0</v>
      </c>
      <c r="P655" t="n">
        <v>0</v>
      </c>
      <c r="Q655" t="n">
        <v>0</v>
      </c>
      <c r="R655" t="n">
        <v>0</v>
      </c>
      <c r="S655" t="n">
        <v>0</v>
      </c>
      <c r="T655" t="n">
        <v>0</v>
      </c>
      <c r="U655" t="n">
        <v>0</v>
      </c>
      <c r="V655" s="2" t="inlineStr"/>
    </row>
    <row r="656" ht="15" customHeight="1">
      <c r="A656" t="inlineStr">
        <is>
          <t>A 26770-2023</t>
        </is>
      </c>
      <c r="B656" t="inlineStr">
        <is>
          <t>avverkningsanmälan</t>
        </is>
      </c>
      <c r="C656" t="inlineStr">
        <is>
          <t>Föryngringsavverkning</t>
        </is>
      </c>
      <c r="D656" s="1" t="n">
        <v>45093</v>
      </c>
      <c r="E656" s="1" t="n">
        <v>46323</v>
      </c>
      <c r="F656" t="inlineStr">
        <is>
          <t>KALMAR LÄN</t>
        </is>
      </c>
      <c r="G656" t="inlineStr">
        <is>
          <t>VÄSTERVIK</t>
        </is>
      </c>
      <c r="I656" t="n">
        <v>2.6</v>
      </c>
      <c r="J656" t="n">
        <v>0</v>
      </c>
      <c r="K656" t="n">
        <v>0</v>
      </c>
      <c r="L656" t="n">
        <v>0</v>
      </c>
      <c r="M656" t="n">
        <v>0</v>
      </c>
      <c r="N656" t="n">
        <v>0</v>
      </c>
      <c r="O656" t="n">
        <v>0</v>
      </c>
      <c r="P656" t="n">
        <v>0</v>
      </c>
      <c r="Q656" t="n">
        <v>0</v>
      </c>
      <c r="R656" t="n">
        <v>0</v>
      </c>
      <c r="S656" t="n">
        <v>0</v>
      </c>
      <c r="T656" t="n">
        <v>0</v>
      </c>
      <c r="U656" t="n">
        <v>0</v>
      </c>
      <c r="V656" s="2" t="inlineStr"/>
    </row>
    <row r="657" ht="15" customHeight="1">
      <c r="A657" t="inlineStr">
        <is>
          <t>A 26772-2023</t>
        </is>
      </c>
      <c r="B657" t="inlineStr">
        <is>
          <t>avverkningsanmälan</t>
        </is>
      </c>
      <c r="C657" t="inlineStr">
        <is>
          <t>Föryngringsavverkning</t>
        </is>
      </c>
      <c r="D657" s="1" t="n">
        <v>45093</v>
      </c>
      <c r="E657" s="1" t="n">
        <v>46323</v>
      </c>
      <c r="F657" t="inlineStr">
        <is>
          <t>KALMAR LÄN</t>
        </is>
      </c>
      <c r="G657" t="inlineStr">
        <is>
          <t>VÄSTERVIK</t>
        </is>
      </c>
      <c r="I657" t="n">
        <v>2</v>
      </c>
      <c r="J657" t="n">
        <v>0</v>
      </c>
      <c r="K657" t="n">
        <v>0</v>
      </c>
      <c r="L657" t="n">
        <v>0</v>
      </c>
      <c r="M657" t="n">
        <v>0</v>
      </c>
      <c r="N657" t="n">
        <v>0</v>
      </c>
      <c r="O657" t="n">
        <v>0</v>
      </c>
      <c r="P657" t="n">
        <v>0</v>
      </c>
      <c r="Q657" t="n">
        <v>0</v>
      </c>
      <c r="R657" t="n">
        <v>0</v>
      </c>
      <c r="S657" t="n">
        <v>0</v>
      </c>
      <c r="T657" t="n">
        <v>0</v>
      </c>
      <c r="U657" t="n">
        <v>0</v>
      </c>
      <c r="V657" s="2" t="inlineStr"/>
    </row>
    <row r="658" ht="15" customHeight="1">
      <c r="A658" t="inlineStr">
        <is>
          <t>A 26773-2023</t>
        </is>
      </c>
      <c r="B658" t="inlineStr">
        <is>
          <t>avverkningsanmälan</t>
        </is>
      </c>
      <c r="C658" t="inlineStr">
        <is>
          <t>Föryngringsavverkning</t>
        </is>
      </c>
      <c r="D658" s="1" t="n">
        <v>45093</v>
      </c>
      <c r="E658" s="1" t="n">
        <v>46323</v>
      </c>
      <c r="F658" t="inlineStr">
        <is>
          <t>KALMAR LÄN</t>
        </is>
      </c>
      <c r="G658" t="inlineStr">
        <is>
          <t>VÄSTERVIK</t>
        </is>
      </c>
      <c r="I658" t="n">
        <v>2.2</v>
      </c>
      <c r="J658" t="n">
        <v>0</v>
      </c>
      <c r="K658" t="n">
        <v>0</v>
      </c>
      <c r="L658" t="n">
        <v>0</v>
      </c>
      <c r="M658" t="n">
        <v>0</v>
      </c>
      <c r="N658" t="n">
        <v>0</v>
      </c>
      <c r="O658" t="n">
        <v>0</v>
      </c>
      <c r="P658" t="n">
        <v>0</v>
      </c>
      <c r="Q658" t="n">
        <v>0</v>
      </c>
      <c r="R658" t="n">
        <v>0</v>
      </c>
      <c r="S658" t="n">
        <v>0</v>
      </c>
      <c r="T658" t="n">
        <v>0</v>
      </c>
      <c r="U658" t="n">
        <v>0</v>
      </c>
      <c r="V658" s="2" t="inlineStr"/>
    </row>
    <row r="659" ht="15" customHeight="1">
      <c r="A659" t="inlineStr">
        <is>
          <t>A 46130-2023</t>
        </is>
      </c>
      <c r="B659" t="inlineStr">
        <is>
          <t>avverkningsanmälan</t>
        </is>
      </c>
      <c r="C659" t="inlineStr">
        <is>
          <t>Föryngringsavverkning</t>
        </is>
      </c>
      <c r="D659" s="1" t="n">
        <v>45196</v>
      </c>
      <c r="E659" s="1" t="n">
        <v>46323</v>
      </c>
      <c r="F659" t="inlineStr">
        <is>
          <t>KALMAR LÄN</t>
        </is>
      </c>
      <c r="G659" t="inlineStr">
        <is>
          <t>VÄSTERVIK</t>
        </is>
      </c>
      <c r="H659" t="inlineStr">
        <is>
          <t>Sveaskog</t>
        </is>
      </c>
      <c r="I659" t="n">
        <v>1.7</v>
      </c>
      <c r="J659" t="n">
        <v>0</v>
      </c>
      <c r="K659" t="n">
        <v>0</v>
      </c>
      <c r="L659" t="n">
        <v>0</v>
      </c>
      <c r="M659" t="n">
        <v>0</v>
      </c>
      <c r="N659" t="n">
        <v>0</v>
      </c>
      <c r="O659" t="n">
        <v>0</v>
      </c>
      <c r="P659" t="n">
        <v>0</v>
      </c>
      <c r="Q659" t="n">
        <v>0</v>
      </c>
      <c r="R659" t="n">
        <v>0</v>
      </c>
      <c r="S659" t="n">
        <v>0</v>
      </c>
      <c r="T659" t="n">
        <v>0</v>
      </c>
      <c r="U659" t="n">
        <v>0</v>
      </c>
      <c r="V659" s="2" t="inlineStr"/>
    </row>
    <row r="660" ht="15" customHeight="1">
      <c r="A660" t="inlineStr">
        <is>
          <t>A 16207-2022</t>
        </is>
      </c>
      <c r="B660" t="inlineStr">
        <is>
          <t>avverkningsanmälan</t>
        </is>
      </c>
      <c r="C660" t="inlineStr">
        <is>
          <t>Föryngringsavverkning</t>
        </is>
      </c>
      <c r="D660" s="1" t="n">
        <v>44669</v>
      </c>
      <c r="E660" s="1" t="n">
        <v>46323</v>
      </c>
      <c r="F660" t="inlineStr">
        <is>
          <t>KALMAR LÄN</t>
        </is>
      </c>
      <c r="G660" t="inlineStr">
        <is>
          <t>VÄSTERVIK</t>
        </is>
      </c>
      <c r="I660" t="n">
        <v>1.1</v>
      </c>
      <c r="J660" t="n">
        <v>0</v>
      </c>
      <c r="K660" t="n">
        <v>0</v>
      </c>
      <c r="L660" t="n">
        <v>0</v>
      </c>
      <c r="M660" t="n">
        <v>0</v>
      </c>
      <c r="N660" t="n">
        <v>0</v>
      </c>
      <c r="O660" t="n">
        <v>0</v>
      </c>
      <c r="P660" t="n">
        <v>0</v>
      </c>
      <c r="Q660" t="n">
        <v>0</v>
      </c>
      <c r="R660" t="n">
        <v>0</v>
      </c>
      <c r="S660" t="n">
        <v>0</v>
      </c>
      <c r="T660" t="n">
        <v>0</v>
      </c>
      <c r="U660" t="n">
        <v>0</v>
      </c>
      <c r="V660" s="2" t="inlineStr"/>
    </row>
    <row r="661" ht="15" customHeight="1">
      <c r="A661" t="inlineStr">
        <is>
          <t>A 719-2026</t>
        </is>
      </c>
      <c r="B661" t="inlineStr">
        <is>
          <t>avverkningsanmälan</t>
        </is>
      </c>
      <c r="C661" t="inlineStr">
        <is>
          <t>Föryngringsavverkning</t>
        </is>
      </c>
      <c r="D661" s="1" t="n">
        <v>46029</v>
      </c>
      <c r="E661" s="1" t="n">
        <v>46323</v>
      </c>
      <c r="F661" t="inlineStr">
        <is>
          <t>KALMAR LÄN</t>
        </is>
      </c>
      <c r="G661" t="inlineStr">
        <is>
          <t>VÄSTERVIK</t>
        </is>
      </c>
      <c r="I661" t="n">
        <v>2.2</v>
      </c>
      <c r="J661" t="n">
        <v>0</v>
      </c>
      <c r="K661" t="n">
        <v>0</v>
      </c>
      <c r="L661" t="n">
        <v>0</v>
      </c>
      <c r="M661" t="n">
        <v>0</v>
      </c>
      <c r="N661" t="n">
        <v>0</v>
      </c>
      <c r="O661" t="n">
        <v>0</v>
      </c>
      <c r="P661" t="n">
        <v>0</v>
      </c>
      <c r="Q661" t="n">
        <v>0</v>
      </c>
      <c r="R661" t="n">
        <v>0</v>
      </c>
      <c r="S661" t="n">
        <v>0</v>
      </c>
      <c r="T661" t="n">
        <v>0</v>
      </c>
      <c r="U661" t="n">
        <v>0</v>
      </c>
      <c r="V661" s="2" t="inlineStr"/>
    </row>
    <row r="662" ht="15" customHeight="1">
      <c r="A662" t="inlineStr">
        <is>
          <t>A 50651-2025</t>
        </is>
      </c>
      <c r="B662" t="inlineStr">
        <is>
          <t>avverkningsanmälan</t>
        </is>
      </c>
      <c r="C662" t="inlineStr">
        <is>
          <t>Föryngringsavverkning</t>
        </is>
      </c>
      <c r="D662" s="1" t="n">
        <v>45945</v>
      </c>
      <c r="E662" s="1" t="n">
        <v>46323</v>
      </c>
      <c r="F662" t="inlineStr">
        <is>
          <t>KALMAR LÄN</t>
        </is>
      </c>
      <c r="G662" t="inlineStr">
        <is>
          <t>VÄSTERVIK</t>
        </is>
      </c>
      <c r="I662" t="n">
        <v>0.7</v>
      </c>
      <c r="J662" t="n">
        <v>0</v>
      </c>
      <c r="K662" t="n">
        <v>0</v>
      </c>
      <c r="L662" t="n">
        <v>0</v>
      </c>
      <c r="M662" t="n">
        <v>0</v>
      </c>
      <c r="N662" t="n">
        <v>0</v>
      </c>
      <c r="O662" t="n">
        <v>0</v>
      </c>
      <c r="P662" t="n">
        <v>0</v>
      </c>
      <c r="Q662" t="n">
        <v>0</v>
      </c>
      <c r="R662" t="n">
        <v>0</v>
      </c>
      <c r="S662" t="n">
        <v>0</v>
      </c>
      <c r="T662" t="n">
        <v>0</v>
      </c>
      <c r="U662" t="n">
        <v>0</v>
      </c>
      <c r="V662" s="2" t="inlineStr"/>
    </row>
    <row r="663" ht="15" customHeight="1">
      <c r="A663" t="inlineStr">
        <is>
          <t>A 4190-2026</t>
        </is>
      </c>
      <c r="B663" t="inlineStr">
        <is>
          <t>avverkningsanmälan</t>
        </is>
      </c>
      <c r="C663" t="inlineStr">
        <is>
          <t>Föryngringsavverkning</t>
        </is>
      </c>
      <c r="D663" s="1" t="n">
        <v>46044</v>
      </c>
      <c r="E663" s="1" t="n">
        <v>46323</v>
      </c>
      <c r="F663" t="inlineStr">
        <is>
          <t>KALMAR LÄN</t>
        </is>
      </c>
      <c r="G663" t="inlineStr">
        <is>
          <t>VÄSTERVIK</t>
        </is>
      </c>
      <c r="I663" t="n">
        <v>10.5</v>
      </c>
      <c r="J663" t="n">
        <v>0</v>
      </c>
      <c r="K663" t="n">
        <v>0</v>
      </c>
      <c r="L663" t="n">
        <v>0</v>
      </c>
      <c r="M663" t="n">
        <v>0</v>
      </c>
      <c r="N663" t="n">
        <v>0</v>
      </c>
      <c r="O663" t="n">
        <v>0</v>
      </c>
      <c r="P663" t="n">
        <v>0</v>
      </c>
      <c r="Q663" t="n">
        <v>0</v>
      </c>
      <c r="R663" t="n">
        <v>0</v>
      </c>
      <c r="S663" t="n">
        <v>0</v>
      </c>
      <c r="T663" t="n">
        <v>0</v>
      </c>
      <c r="U663" t="n">
        <v>0</v>
      </c>
      <c r="V663" s="2" t="inlineStr"/>
    </row>
    <row r="664" ht="15" customHeight="1">
      <c r="A664" t="inlineStr">
        <is>
          <t>A 4191-2026</t>
        </is>
      </c>
      <c r="B664" t="inlineStr">
        <is>
          <t>avverkningsanmälan</t>
        </is>
      </c>
      <c r="C664" t="inlineStr">
        <is>
          <t>Föryngringsavverkning</t>
        </is>
      </c>
      <c r="D664" s="1" t="n">
        <v>46044</v>
      </c>
      <c r="E664" s="1" t="n">
        <v>46323</v>
      </c>
      <c r="F664" t="inlineStr">
        <is>
          <t>KALMAR LÄN</t>
        </is>
      </c>
      <c r="G664" t="inlineStr">
        <is>
          <t>VÄSTERVIK</t>
        </is>
      </c>
      <c r="I664" t="n">
        <v>10.9</v>
      </c>
      <c r="J664" t="n">
        <v>0</v>
      </c>
      <c r="K664" t="n">
        <v>0</v>
      </c>
      <c r="L664" t="n">
        <v>0</v>
      </c>
      <c r="M664" t="n">
        <v>0</v>
      </c>
      <c r="N664" t="n">
        <v>0</v>
      </c>
      <c r="O664" t="n">
        <v>0</v>
      </c>
      <c r="P664" t="n">
        <v>0</v>
      </c>
      <c r="Q664" t="n">
        <v>0</v>
      </c>
      <c r="R664" t="n">
        <v>0</v>
      </c>
      <c r="S664" t="n">
        <v>0</v>
      </c>
      <c r="T664" t="n">
        <v>0</v>
      </c>
      <c r="U664" t="n">
        <v>0</v>
      </c>
      <c r="V664" s="2" t="inlineStr"/>
    </row>
    <row r="665" ht="15" customHeight="1">
      <c r="A665" t="inlineStr">
        <is>
          <t>A 4192-2026</t>
        </is>
      </c>
      <c r="B665" t="inlineStr">
        <is>
          <t>avverkningsanmälan</t>
        </is>
      </c>
      <c r="C665" t="inlineStr">
        <is>
          <t>Föryngringsavverkning</t>
        </is>
      </c>
      <c r="D665" s="1" t="n">
        <v>46044</v>
      </c>
      <c r="E665" s="1" t="n">
        <v>46323</v>
      </c>
      <c r="F665" t="inlineStr">
        <is>
          <t>KALMAR LÄN</t>
        </is>
      </c>
      <c r="G665" t="inlineStr">
        <is>
          <t>VÄSTERVIK</t>
        </is>
      </c>
      <c r="I665" t="n">
        <v>16.6</v>
      </c>
      <c r="J665" t="n">
        <v>0</v>
      </c>
      <c r="K665" t="n">
        <v>0</v>
      </c>
      <c r="L665" t="n">
        <v>0</v>
      </c>
      <c r="M665" t="n">
        <v>0</v>
      </c>
      <c r="N665" t="n">
        <v>0</v>
      </c>
      <c r="O665" t="n">
        <v>0</v>
      </c>
      <c r="P665" t="n">
        <v>0</v>
      </c>
      <c r="Q665" t="n">
        <v>0</v>
      </c>
      <c r="R665" t="n">
        <v>0</v>
      </c>
      <c r="S665" t="n">
        <v>0</v>
      </c>
      <c r="T665" t="n">
        <v>0</v>
      </c>
      <c r="U665" t="n">
        <v>0</v>
      </c>
      <c r="V665" s="2" t="inlineStr"/>
    </row>
    <row r="666" ht="15" customHeight="1">
      <c r="A666" t="inlineStr">
        <is>
          <t>A 3610-2026</t>
        </is>
      </c>
      <c r="B666" t="inlineStr">
        <is>
          <t>avverkningsanmälan</t>
        </is>
      </c>
      <c r="C666" t="inlineStr">
        <is>
          <t>Föryngringsavverkning</t>
        </is>
      </c>
      <c r="D666" s="1" t="n">
        <v>46042</v>
      </c>
      <c r="E666" s="1" t="n">
        <v>46323</v>
      </c>
      <c r="F666" t="inlineStr">
        <is>
          <t>KALMAR LÄN</t>
        </is>
      </c>
      <c r="G666" t="inlineStr">
        <is>
          <t>VÄSTERVIK</t>
        </is>
      </c>
      <c r="I666" t="n">
        <v>9.9</v>
      </c>
      <c r="J666" t="n">
        <v>0</v>
      </c>
      <c r="K666" t="n">
        <v>0</v>
      </c>
      <c r="L666" t="n">
        <v>0</v>
      </c>
      <c r="M666" t="n">
        <v>0</v>
      </c>
      <c r="N666" t="n">
        <v>0</v>
      </c>
      <c r="O666" t="n">
        <v>0</v>
      </c>
      <c r="P666" t="n">
        <v>0</v>
      </c>
      <c r="Q666" t="n">
        <v>0</v>
      </c>
      <c r="R666" t="n">
        <v>0</v>
      </c>
      <c r="S666" t="n">
        <v>0</v>
      </c>
      <c r="T666" t="n">
        <v>0</v>
      </c>
      <c r="U666" t="n">
        <v>0</v>
      </c>
      <c r="V666" s="2" t="inlineStr"/>
    </row>
    <row r="667" ht="15" customHeight="1">
      <c r="A667" t="inlineStr">
        <is>
          <t>A 4185-2026</t>
        </is>
      </c>
      <c r="B667" t="inlineStr">
        <is>
          <t>avverkningsanmälan</t>
        </is>
      </c>
      <c r="C667" t="inlineStr">
        <is>
          <t>Föryngringsavverkning</t>
        </is>
      </c>
      <c r="D667" s="1" t="n">
        <v>46044</v>
      </c>
      <c r="E667" s="1" t="n">
        <v>46323</v>
      </c>
      <c r="F667" t="inlineStr">
        <is>
          <t>KALMAR LÄN</t>
        </is>
      </c>
      <c r="G667" t="inlineStr">
        <is>
          <t>VÄSTERVIK</t>
        </is>
      </c>
      <c r="I667" t="n">
        <v>2</v>
      </c>
      <c r="J667" t="n">
        <v>0</v>
      </c>
      <c r="K667" t="n">
        <v>0</v>
      </c>
      <c r="L667" t="n">
        <v>0</v>
      </c>
      <c r="M667" t="n">
        <v>0</v>
      </c>
      <c r="N667" t="n">
        <v>0</v>
      </c>
      <c r="O667" t="n">
        <v>0</v>
      </c>
      <c r="P667" t="n">
        <v>0</v>
      </c>
      <c r="Q667" t="n">
        <v>0</v>
      </c>
      <c r="R667" t="n">
        <v>0</v>
      </c>
      <c r="S667" t="n">
        <v>0</v>
      </c>
      <c r="T667" t="n">
        <v>0</v>
      </c>
      <c r="U667" t="n">
        <v>0</v>
      </c>
      <c r="V667" s="2" t="inlineStr"/>
    </row>
    <row r="668" ht="15" customHeight="1">
      <c r="A668" t="inlineStr">
        <is>
          <t>A 4186-2026</t>
        </is>
      </c>
      <c r="B668" t="inlineStr">
        <is>
          <t>avverkningsanmälan</t>
        </is>
      </c>
      <c r="C668" t="inlineStr">
        <is>
          <t>Föryngringsavverkning</t>
        </is>
      </c>
      <c r="D668" s="1" t="n">
        <v>46044</v>
      </c>
      <c r="E668" s="1" t="n">
        <v>46323</v>
      </c>
      <c r="F668" t="inlineStr">
        <is>
          <t>KALMAR LÄN</t>
        </is>
      </c>
      <c r="G668" t="inlineStr">
        <is>
          <t>VÄSTERVIK</t>
        </is>
      </c>
      <c r="I668" t="n">
        <v>8.800000000000001</v>
      </c>
      <c r="J668" t="n">
        <v>0</v>
      </c>
      <c r="K668" t="n">
        <v>0</v>
      </c>
      <c r="L668" t="n">
        <v>0</v>
      </c>
      <c r="M668" t="n">
        <v>0</v>
      </c>
      <c r="N668" t="n">
        <v>0</v>
      </c>
      <c r="O668" t="n">
        <v>0</v>
      </c>
      <c r="P668" t="n">
        <v>0</v>
      </c>
      <c r="Q668" t="n">
        <v>0</v>
      </c>
      <c r="R668" t="n">
        <v>0</v>
      </c>
      <c r="S668" t="n">
        <v>0</v>
      </c>
      <c r="T668" t="n">
        <v>0</v>
      </c>
      <c r="U668" t="n">
        <v>0</v>
      </c>
      <c r="V668" s="2" t="inlineStr"/>
    </row>
    <row r="669" ht="15" customHeight="1">
      <c r="A669" t="inlineStr">
        <is>
          <t>A 4189-2026</t>
        </is>
      </c>
      <c r="B669" t="inlineStr">
        <is>
          <t>avverkningsanmälan</t>
        </is>
      </c>
      <c r="C669" t="inlineStr">
        <is>
          <t>Föryngringsavverkning</t>
        </is>
      </c>
      <c r="D669" s="1" t="n">
        <v>46044</v>
      </c>
      <c r="E669" s="1" t="n">
        <v>46323</v>
      </c>
      <c r="F669" t="inlineStr">
        <is>
          <t>KALMAR LÄN</t>
        </is>
      </c>
      <c r="G669" t="inlineStr">
        <is>
          <t>VÄSTERVIK</t>
        </is>
      </c>
      <c r="I669" t="n">
        <v>3.4</v>
      </c>
      <c r="J669" t="n">
        <v>0</v>
      </c>
      <c r="K669" t="n">
        <v>0</v>
      </c>
      <c r="L669" t="n">
        <v>0</v>
      </c>
      <c r="M669" t="n">
        <v>0</v>
      </c>
      <c r="N669" t="n">
        <v>0</v>
      </c>
      <c r="O669" t="n">
        <v>0</v>
      </c>
      <c r="P669" t="n">
        <v>0</v>
      </c>
      <c r="Q669" t="n">
        <v>0</v>
      </c>
      <c r="R669" t="n">
        <v>0</v>
      </c>
      <c r="S669" t="n">
        <v>0</v>
      </c>
      <c r="T669" t="n">
        <v>0</v>
      </c>
      <c r="U669" t="n">
        <v>0</v>
      </c>
      <c r="V669" s="2" t="inlineStr"/>
    </row>
    <row r="670" ht="15" customHeight="1">
      <c r="A670" t="inlineStr">
        <is>
          <t>A 4188-2026</t>
        </is>
      </c>
      <c r="B670" t="inlineStr">
        <is>
          <t>avverkningsanmälan</t>
        </is>
      </c>
      <c r="C670" t="inlineStr">
        <is>
          <t>Föryngringsavverkning</t>
        </is>
      </c>
      <c r="D670" s="1" t="n">
        <v>46044</v>
      </c>
      <c r="E670" s="1" t="n">
        <v>46323</v>
      </c>
      <c r="F670" t="inlineStr">
        <is>
          <t>KALMAR LÄN</t>
        </is>
      </c>
      <c r="G670" t="inlineStr">
        <is>
          <t>VÄSTERVIK</t>
        </is>
      </c>
      <c r="I670" t="n">
        <v>3.1</v>
      </c>
      <c r="J670" t="n">
        <v>0</v>
      </c>
      <c r="K670" t="n">
        <v>0</v>
      </c>
      <c r="L670" t="n">
        <v>0</v>
      </c>
      <c r="M670" t="n">
        <v>0</v>
      </c>
      <c r="N670" t="n">
        <v>0</v>
      </c>
      <c r="O670" t="n">
        <v>0</v>
      </c>
      <c r="P670" t="n">
        <v>0</v>
      </c>
      <c r="Q670" t="n">
        <v>0</v>
      </c>
      <c r="R670" t="n">
        <v>0</v>
      </c>
      <c r="S670" t="n">
        <v>0</v>
      </c>
      <c r="T670" t="n">
        <v>0</v>
      </c>
      <c r="U670" t="n">
        <v>0</v>
      </c>
      <c r="V670" s="2" t="inlineStr"/>
    </row>
    <row r="671" ht="15" customHeight="1">
      <c r="A671" t="inlineStr">
        <is>
          <t>A 56042-2023</t>
        </is>
      </c>
      <c r="B671" t="inlineStr">
        <is>
          <t>avverkningsanmälan</t>
        </is>
      </c>
      <c r="C671" t="inlineStr">
        <is>
          <t>Föryngringsavverkning</t>
        </is>
      </c>
      <c r="D671" s="1" t="n">
        <v>45240</v>
      </c>
      <c r="E671" s="1" t="n">
        <v>46323</v>
      </c>
      <c r="F671" t="inlineStr">
        <is>
          <t>KALMAR LÄN</t>
        </is>
      </c>
      <c r="G671" t="inlineStr">
        <is>
          <t>VÄSTERVIK</t>
        </is>
      </c>
      <c r="I671" t="n">
        <v>0.7</v>
      </c>
      <c r="J671" t="n">
        <v>0</v>
      </c>
      <c r="K671" t="n">
        <v>0</v>
      </c>
      <c r="L671" t="n">
        <v>0</v>
      </c>
      <c r="M671" t="n">
        <v>0</v>
      </c>
      <c r="N671" t="n">
        <v>0</v>
      </c>
      <c r="O671" t="n">
        <v>0</v>
      </c>
      <c r="P671" t="n">
        <v>0</v>
      </c>
      <c r="Q671" t="n">
        <v>0</v>
      </c>
      <c r="R671" t="n">
        <v>0</v>
      </c>
      <c r="S671" t="n">
        <v>0</v>
      </c>
      <c r="T671" t="n">
        <v>0</v>
      </c>
      <c r="U671" t="n">
        <v>0</v>
      </c>
      <c r="V671" s="2" t="inlineStr"/>
    </row>
    <row r="672" ht="15" customHeight="1">
      <c r="A672" t="inlineStr">
        <is>
          <t>A 23745-2025</t>
        </is>
      </c>
      <c r="B672" t="inlineStr">
        <is>
          <t>avverkningsanmälan</t>
        </is>
      </c>
      <c r="C672" t="inlineStr">
        <is>
          <t>Föryngringsavverkning</t>
        </is>
      </c>
      <c r="D672" s="1" t="n">
        <v>45793</v>
      </c>
      <c r="E672" s="1" t="n">
        <v>46323</v>
      </c>
      <c r="F672" t="inlineStr">
        <is>
          <t>KALMAR LÄN</t>
        </is>
      </c>
      <c r="G672" t="inlineStr">
        <is>
          <t>VÄSTERVIK</t>
        </is>
      </c>
      <c r="H672" t="inlineStr">
        <is>
          <t>Holmen skog AB</t>
        </is>
      </c>
      <c r="I672" t="n">
        <v>3.7</v>
      </c>
      <c r="J672" t="n">
        <v>0</v>
      </c>
      <c r="K672" t="n">
        <v>0</v>
      </c>
      <c r="L672" t="n">
        <v>0</v>
      </c>
      <c r="M672" t="n">
        <v>0</v>
      </c>
      <c r="N672" t="n">
        <v>0</v>
      </c>
      <c r="O672" t="n">
        <v>0</v>
      </c>
      <c r="P672" t="n">
        <v>0</v>
      </c>
      <c r="Q672" t="n">
        <v>0</v>
      </c>
      <c r="R672" t="n">
        <v>0</v>
      </c>
      <c r="S672" t="n">
        <v>0</v>
      </c>
      <c r="T672" t="n">
        <v>0</v>
      </c>
      <c r="U672" t="n">
        <v>0</v>
      </c>
      <c r="V672" s="2" t="inlineStr"/>
    </row>
    <row r="673" ht="15" customHeight="1">
      <c r="A673" t="inlineStr">
        <is>
          <t>A 35662-2023</t>
        </is>
      </c>
      <c r="B673" t="inlineStr">
        <is>
          <t>avverkningsanmälan</t>
        </is>
      </c>
      <c r="C673" t="inlineStr">
        <is>
          <t>Föryngringsavverkning</t>
        </is>
      </c>
      <c r="D673" s="1" t="n">
        <v>45147</v>
      </c>
      <c r="E673" s="1" t="n">
        <v>46323</v>
      </c>
      <c r="F673" t="inlineStr">
        <is>
          <t>KALMAR LÄN</t>
        </is>
      </c>
      <c r="G673" t="inlineStr">
        <is>
          <t>VÄSTERVIK</t>
        </is>
      </c>
      <c r="I673" t="n">
        <v>0.4</v>
      </c>
      <c r="J673" t="n">
        <v>0</v>
      </c>
      <c r="K673" t="n">
        <v>0</v>
      </c>
      <c r="L673" t="n">
        <v>0</v>
      </c>
      <c r="M673" t="n">
        <v>0</v>
      </c>
      <c r="N673" t="n">
        <v>0</v>
      </c>
      <c r="O673" t="n">
        <v>0</v>
      </c>
      <c r="P673" t="n">
        <v>0</v>
      </c>
      <c r="Q673" t="n">
        <v>0</v>
      </c>
      <c r="R673" t="n">
        <v>0</v>
      </c>
      <c r="S673" t="n">
        <v>0</v>
      </c>
      <c r="T673" t="n">
        <v>0</v>
      </c>
      <c r="U673" t="n">
        <v>0</v>
      </c>
      <c r="V673" s="2" t="inlineStr"/>
    </row>
    <row r="674" ht="15" customHeight="1">
      <c r="A674" t="inlineStr">
        <is>
          <t>A 1585-2022</t>
        </is>
      </c>
      <c r="B674" t="inlineStr">
        <is>
          <t>avverkningsanmälan</t>
        </is>
      </c>
      <c r="C674" t="inlineStr">
        <is>
          <t>Föryngringsavverkning</t>
        </is>
      </c>
      <c r="D674" s="1" t="n">
        <v>44573</v>
      </c>
      <c r="E674" s="1" t="n">
        <v>46323</v>
      </c>
      <c r="F674" t="inlineStr">
        <is>
          <t>KALMAR LÄN</t>
        </is>
      </c>
      <c r="G674" t="inlineStr">
        <is>
          <t>VÄSTERVIK</t>
        </is>
      </c>
      <c r="H674" t="inlineStr">
        <is>
          <t>Holmen skog AB</t>
        </is>
      </c>
      <c r="I674" t="n">
        <v>2.4</v>
      </c>
      <c r="J674" t="n">
        <v>0</v>
      </c>
      <c r="K674" t="n">
        <v>0</v>
      </c>
      <c r="L674" t="n">
        <v>0</v>
      </c>
      <c r="M674" t="n">
        <v>0</v>
      </c>
      <c r="N674" t="n">
        <v>0</v>
      </c>
      <c r="O674" t="n">
        <v>0</v>
      </c>
      <c r="P674" t="n">
        <v>0</v>
      </c>
      <c r="Q674" t="n">
        <v>0</v>
      </c>
      <c r="R674" t="n">
        <v>0</v>
      </c>
      <c r="S674" t="n">
        <v>0</v>
      </c>
      <c r="T674" t="n">
        <v>0</v>
      </c>
      <c r="U674" t="n">
        <v>0</v>
      </c>
      <c r="V674" s="2" t="inlineStr"/>
    </row>
    <row r="675" ht="15" customHeight="1">
      <c r="A675" t="inlineStr">
        <is>
          <t>A 31214-2026</t>
        </is>
      </c>
      <c r="B675" t="inlineStr">
        <is>
          <t>avverkningsanmälan</t>
        </is>
      </c>
      <c r="C675" t="inlineStr">
        <is>
          <t>Föryngringsavverkning</t>
        </is>
      </c>
      <c r="D675" s="1" t="n">
        <v>46217</v>
      </c>
      <c r="E675" s="1" t="n">
        <v>46323</v>
      </c>
      <c r="F675" t="inlineStr">
        <is>
          <t>KALMAR LÄN</t>
        </is>
      </c>
      <c r="G675" t="inlineStr">
        <is>
          <t>VÄSTERVIK</t>
        </is>
      </c>
      <c r="I675" t="n">
        <v>1.5</v>
      </c>
      <c r="J675" t="n">
        <v>0</v>
      </c>
      <c r="K675" t="n">
        <v>0</v>
      </c>
      <c r="L675" t="n">
        <v>0</v>
      </c>
      <c r="M675" t="n">
        <v>0</v>
      </c>
      <c r="N675" t="n">
        <v>0</v>
      </c>
      <c r="O675" t="n">
        <v>0</v>
      </c>
      <c r="P675" t="n">
        <v>0</v>
      </c>
      <c r="Q675" t="n">
        <v>0</v>
      </c>
      <c r="R675" t="n">
        <v>0</v>
      </c>
      <c r="S675" t="n">
        <v>0</v>
      </c>
      <c r="T675" t="n">
        <v>0</v>
      </c>
      <c r="U675" t="n">
        <v>0</v>
      </c>
      <c r="V675" s="2" t="inlineStr"/>
    </row>
    <row r="676" ht="15" customHeight="1">
      <c r="A676" t="inlineStr">
        <is>
          <t>A 31215-2026</t>
        </is>
      </c>
      <c r="B676" t="inlineStr">
        <is>
          <t>avverkningsanmälan</t>
        </is>
      </c>
      <c r="C676" t="inlineStr">
        <is>
          <t>Föryngringsavverkning</t>
        </is>
      </c>
      <c r="D676" s="1" t="n">
        <v>46217</v>
      </c>
      <c r="E676" s="1" t="n">
        <v>46323</v>
      </c>
      <c r="F676" t="inlineStr">
        <is>
          <t>KALMAR LÄN</t>
        </is>
      </c>
      <c r="G676" t="inlineStr">
        <is>
          <t>VÄSTERVIK</t>
        </is>
      </c>
      <c r="I676" t="n">
        <v>1.1</v>
      </c>
      <c r="J676" t="n">
        <v>0</v>
      </c>
      <c r="K676" t="n">
        <v>0</v>
      </c>
      <c r="L676" t="n">
        <v>0</v>
      </c>
      <c r="M676" t="n">
        <v>0</v>
      </c>
      <c r="N676" t="n">
        <v>0</v>
      </c>
      <c r="O676" t="n">
        <v>0</v>
      </c>
      <c r="P676" t="n">
        <v>0</v>
      </c>
      <c r="Q676" t="n">
        <v>0</v>
      </c>
      <c r="R676" t="n">
        <v>0</v>
      </c>
      <c r="S676" t="n">
        <v>0</v>
      </c>
      <c r="T676" t="n">
        <v>0</v>
      </c>
      <c r="U676" t="n">
        <v>0</v>
      </c>
      <c r="V676" s="2" t="inlineStr"/>
    </row>
    <row r="677" ht="15" customHeight="1">
      <c r="A677" t="inlineStr">
        <is>
          <t>A 31220-2026</t>
        </is>
      </c>
      <c r="B677" t="inlineStr">
        <is>
          <t>avverkningsanmälan</t>
        </is>
      </c>
      <c r="C677" t="inlineStr">
        <is>
          <t>Föryngringsavverkning</t>
        </is>
      </c>
      <c r="D677" s="1" t="n">
        <v>46217</v>
      </c>
      <c r="E677" s="1" t="n">
        <v>46323</v>
      </c>
      <c r="F677" t="inlineStr">
        <is>
          <t>KALMAR LÄN</t>
        </is>
      </c>
      <c r="G677" t="inlineStr">
        <is>
          <t>VÄSTERVIK</t>
        </is>
      </c>
      <c r="I677" t="n">
        <v>6.2</v>
      </c>
      <c r="J677" t="n">
        <v>0</v>
      </c>
      <c r="K677" t="n">
        <v>0</v>
      </c>
      <c r="L677" t="n">
        <v>0</v>
      </c>
      <c r="M677" t="n">
        <v>0</v>
      </c>
      <c r="N677" t="n">
        <v>0</v>
      </c>
      <c r="O677" t="n">
        <v>0</v>
      </c>
      <c r="P677" t="n">
        <v>0</v>
      </c>
      <c r="Q677" t="n">
        <v>0</v>
      </c>
      <c r="R677" t="n">
        <v>0</v>
      </c>
      <c r="S677" t="n">
        <v>0</v>
      </c>
      <c r="T677" t="n">
        <v>0</v>
      </c>
      <c r="U677" t="n">
        <v>0</v>
      </c>
      <c r="V677" s="2" t="inlineStr"/>
    </row>
    <row r="678" ht="15" customHeight="1">
      <c r="A678" t="inlineStr">
        <is>
          <t>A 57367-2023</t>
        </is>
      </c>
      <c r="B678" t="inlineStr">
        <is>
          <t>avverkningsanmälan</t>
        </is>
      </c>
      <c r="C678" t="inlineStr">
        <is>
          <t>Föryngringsavverkning</t>
        </is>
      </c>
      <c r="D678" s="1" t="n">
        <v>45245</v>
      </c>
      <c r="E678" s="1" t="n">
        <v>46323</v>
      </c>
      <c r="F678" t="inlineStr">
        <is>
          <t>KALMAR LÄN</t>
        </is>
      </c>
      <c r="G678" t="inlineStr">
        <is>
          <t>VÄSTERVIK</t>
        </is>
      </c>
      <c r="H678" t="inlineStr">
        <is>
          <t>Sveaskog</t>
        </is>
      </c>
      <c r="I678" t="n">
        <v>1.9</v>
      </c>
      <c r="J678" t="n">
        <v>0</v>
      </c>
      <c r="K678" t="n">
        <v>0</v>
      </c>
      <c r="L678" t="n">
        <v>0</v>
      </c>
      <c r="M678" t="n">
        <v>0</v>
      </c>
      <c r="N678" t="n">
        <v>0</v>
      </c>
      <c r="O678" t="n">
        <v>0</v>
      </c>
      <c r="P678" t="n">
        <v>0</v>
      </c>
      <c r="Q678" t="n">
        <v>0</v>
      </c>
      <c r="R678" t="n">
        <v>0</v>
      </c>
      <c r="S678" t="n">
        <v>0</v>
      </c>
      <c r="T678" t="n">
        <v>0</v>
      </c>
      <c r="U678" t="n">
        <v>0</v>
      </c>
      <c r="V678" s="2" t="inlineStr"/>
    </row>
    <row r="679" ht="15" customHeight="1">
      <c r="A679" t="inlineStr">
        <is>
          <t>A 35960-2023</t>
        </is>
      </c>
      <c r="B679" t="inlineStr">
        <is>
          <t>avverkningsanmälan</t>
        </is>
      </c>
      <c r="C679" t="inlineStr">
        <is>
          <t>Föryngringsavverkning</t>
        </is>
      </c>
      <c r="D679" s="1" t="n">
        <v>45148</v>
      </c>
      <c r="E679" s="1" t="n">
        <v>46323</v>
      </c>
      <c r="F679" t="inlineStr">
        <is>
          <t>KALMAR LÄN</t>
        </is>
      </c>
      <c r="G679" t="inlineStr">
        <is>
          <t>VÄSTERVIK</t>
        </is>
      </c>
      <c r="H679" t="inlineStr">
        <is>
          <t>Sveaskog</t>
        </is>
      </c>
      <c r="I679" t="n">
        <v>1.9</v>
      </c>
      <c r="J679" t="n">
        <v>0</v>
      </c>
      <c r="K679" t="n">
        <v>0</v>
      </c>
      <c r="L679" t="n">
        <v>0</v>
      </c>
      <c r="M679" t="n">
        <v>0</v>
      </c>
      <c r="N679" t="n">
        <v>0</v>
      </c>
      <c r="O679" t="n">
        <v>0</v>
      </c>
      <c r="P679" t="n">
        <v>0</v>
      </c>
      <c r="Q679" t="n">
        <v>0</v>
      </c>
      <c r="R679" t="n">
        <v>0</v>
      </c>
      <c r="S679" t="n">
        <v>0</v>
      </c>
      <c r="T679" t="n">
        <v>0</v>
      </c>
      <c r="U679" t="n">
        <v>0</v>
      </c>
      <c r="V679" s="2" t="inlineStr"/>
    </row>
    <row r="680" ht="15" customHeight="1">
      <c r="A680" t="inlineStr">
        <is>
          <t>A 10441-2022</t>
        </is>
      </c>
      <c r="B680" t="inlineStr">
        <is>
          <t>avverkningsanmälan</t>
        </is>
      </c>
      <c r="C680" t="inlineStr">
        <is>
          <t>Föryngringsavverkning</t>
        </is>
      </c>
      <c r="D680" s="1" t="n">
        <v>44623</v>
      </c>
      <c r="E680" s="1" t="n">
        <v>46323</v>
      </c>
      <c r="F680" t="inlineStr">
        <is>
          <t>KALMAR LÄN</t>
        </is>
      </c>
      <c r="G680" t="inlineStr">
        <is>
          <t>VÄSTERVIK</t>
        </is>
      </c>
      <c r="H680" t="inlineStr">
        <is>
          <t>Holmen skog AB</t>
        </is>
      </c>
      <c r="I680" t="n">
        <v>1.4</v>
      </c>
      <c r="J680" t="n">
        <v>0</v>
      </c>
      <c r="K680" t="n">
        <v>0</v>
      </c>
      <c r="L680" t="n">
        <v>0</v>
      </c>
      <c r="M680" t="n">
        <v>0</v>
      </c>
      <c r="N680" t="n">
        <v>0</v>
      </c>
      <c r="O680" t="n">
        <v>0</v>
      </c>
      <c r="P680" t="n">
        <v>0</v>
      </c>
      <c r="Q680" t="n">
        <v>0</v>
      </c>
      <c r="R680" t="n">
        <v>0</v>
      </c>
      <c r="S680" t="n">
        <v>0</v>
      </c>
      <c r="T680" t="n">
        <v>0</v>
      </c>
      <c r="U680" t="n">
        <v>0</v>
      </c>
      <c r="V680" s="2" t="inlineStr"/>
    </row>
    <row r="681" ht="15" customHeight="1">
      <c r="A681" t="inlineStr">
        <is>
          <t>A 11988-2022</t>
        </is>
      </c>
      <c r="B681" t="inlineStr">
        <is>
          <t>avverkningsanmälan</t>
        </is>
      </c>
      <c r="C681" t="inlineStr">
        <is>
          <t>Föryngringsavverkning</t>
        </is>
      </c>
      <c r="D681" s="1" t="n">
        <v>44635</v>
      </c>
      <c r="E681" s="1" t="n">
        <v>46323</v>
      </c>
      <c r="F681" t="inlineStr">
        <is>
          <t>KALMAR LÄN</t>
        </is>
      </c>
      <c r="G681" t="inlineStr">
        <is>
          <t>VÄSTERVIK</t>
        </is>
      </c>
      <c r="I681" t="n">
        <v>1.1</v>
      </c>
      <c r="J681" t="n">
        <v>0</v>
      </c>
      <c r="K681" t="n">
        <v>0</v>
      </c>
      <c r="L681" t="n">
        <v>0</v>
      </c>
      <c r="M681" t="n">
        <v>0</v>
      </c>
      <c r="N681" t="n">
        <v>0</v>
      </c>
      <c r="O681" t="n">
        <v>0</v>
      </c>
      <c r="P681" t="n">
        <v>0</v>
      </c>
      <c r="Q681" t="n">
        <v>0</v>
      </c>
      <c r="R681" t="n">
        <v>0</v>
      </c>
      <c r="S681" t="n">
        <v>0</v>
      </c>
      <c r="T681" t="n">
        <v>0</v>
      </c>
      <c r="U681" t="n">
        <v>0</v>
      </c>
      <c r="V681" s="2" t="inlineStr"/>
    </row>
    <row r="682" ht="15" customHeight="1">
      <c r="A682" t="inlineStr">
        <is>
          <t>A 5740-2026</t>
        </is>
      </c>
      <c r="B682" t="inlineStr">
        <is>
          <t>avverkningsanmälan</t>
        </is>
      </c>
      <c r="C682" t="inlineStr">
        <is>
          <t>Föryngringsavverkning</t>
        </is>
      </c>
      <c r="D682" s="1" t="n">
        <v>46051</v>
      </c>
      <c r="E682" s="1" t="n">
        <v>46323</v>
      </c>
      <c r="F682" t="inlineStr">
        <is>
          <t>KALMAR LÄN</t>
        </is>
      </c>
      <c r="G682" t="inlineStr">
        <is>
          <t>VÄSTERVIK</t>
        </is>
      </c>
      <c r="H682" t="inlineStr">
        <is>
          <t>Kyrkan</t>
        </is>
      </c>
      <c r="I682" t="n">
        <v>7.7</v>
      </c>
      <c r="J682" t="n">
        <v>0</v>
      </c>
      <c r="K682" t="n">
        <v>0</v>
      </c>
      <c r="L682" t="n">
        <v>0</v>
      </c>
      <c r="M682" t="n">
        <v>0</v>
      </c>
      <c r="N682" t="n">
        <v>0</v>
      </c>
      <c r="O682" t="n">
        <v>0</v>
      </c>
      <c r="P682" t="n">
        <v>0</v>
      </c>
      <c r="Q682" t="n">
        <v>0</v>
      </c>
      <c r="R682" t="n">
        <v>0</v>
      </c>
      <c r="S682" t="n">
        <v>0</v>
      </c>
      <c r="T682" t="n">
        <v>0</v>
      </c>
      <c r="U682" t="n">
        <v>0</v>
      </c>
      <c r="V682" s="2" t="inlineStr"/>
    </row>
    <row r="683" ht="15" customHeight="1">
      <c r="A683" t="inlineStr">
        <is>
          <t>A 23022-2025</t>
        </is>
      </c>
      <c r="B683" t="inlineStr">
        <is>
          <t>avverkningsanmälan</t>
        </is>
      </c>
      <c r="C683" t="inlineStr">
        <is>
          <t>Föryngringsavverkning</t>
        </is>
      </c>
      <c r="D683" s="1" t="n">
        <v>45790</v>
      </c>
      <c r="E683" s="1" t="n">
        <v>46323</v>
      </c>
      <c r="F683" t="inlineStr">
        <is>
          <t>KALMAR LÄN</t>
        </is>
      </c>
      <c r="G683" t="inlineStr">
        <is>
          <t>VÄSTERVIK</t>
        </is>
      </c>
      <c r="I683" t="n">
        <v>3.3</v>
      </c>
      <c r="J683" t="n">
        <v>0</v>
      </c>
      <c r="K683" t="n">
        <v>0</v>
      </c>
      <c r="L683" t="n">
        <v>0</v>
      </c>
      <c r="M683" t="n">
        <v>0</v>
      </c>
      <c r="N683" t="n">
        <v>0</v>
      </c>
      <c r="O683" t="n">
        <v>0</v>
      </c>
      <c r="P683" t="n">
        <v>0</v>
      </c>
      <c r="Q683" t="n">
        <v>0</v>
      </c>
      <c r="R683" t="n">
        <v>0</v>
      </c>
      <c r="S683" t="n">
        <v>0</v>
      </c>
      <c r="T683" t="n">
        <v>0</v>
      </c>
      <c r="U683" t="n">
        <v>0</v>
      </c>
      <c r="V683" s="2" t="inlineStr"/>
    </row>
    <row r="684" ht="15" customHeight="1">
      <c r="A684" t="inlineStr">
        <is>
          <t>A 55866-2023</t>
        </is>
      </c>
      <c r="B684" t="inlineStr">
        <is>
          <t>avverkningsanmälan</t>
        </is>
      </c>
      <c r="C684" t="inlineStr">
        <is>
          <t>Avverkning för annat ändamål</t>
        </is>
      </c>
      <c r="D684" s="1" t="n">
        <v>45239</v>
      </c>
      <c r="E684" s="1" t="n">
        <v>46323</v>
      </c>
      <c r="F684" t="inlineStr">
        <is>
          <t>KALMAR LÄN</t>
        </is>
      </c>
      <c r="G684" t="inlineStr">
        <is>
          <t>VÄSTERVIK</t>
        </is>
      </c>
      <c r="I684" t="n">
        <v>1.3</v>
      </c>
      <c r="J684" t="n">
        <v>0</v>
      </c>
      <c r="K684" t="n">
        <v>0</v>
      </c>
      <c r="L684" t="n">
        <v>0</v>
      </c>
      <c r="M684" t="n">
        <v>0</v>
      </c>
      <c r="N684" t="n">
        <v>0</v>
      </c>
      <c r="O684" t="n">
        <v>0</v>
      </c>
      <c r="P684" t="n">
        <v>0</v>
      </c>
      <c r="Q684" t="n">
        <v>0</v>
      </c>
      <c r="R684" t="n">
        <v>0</v>
      </c>
      <c r="S684" t="n">
        <v>0</v>
      </c>
      <c r="T684" t="n">
        <v>0</v>
      </c>
      <c r="U684" t="n">
        <v>0</v>
      </c>
      <c r="V684" s="2" t="inlineStr"/>
    </row>
    <row r="685" ht="15" customHeight="1">
      <c r="A685" t="inlineStr">
        <is>
          <t>A 35770-2023</t>
        </is>
      </c>
      <c r="B685" t="inlineStr">
        <is>
          <t>avverkningsanmälan</t>
        </is>
      </c>
      <c r="C685" t="inlineStr">
        <is>
          <t>Föryngringsavverkning</t>
        </is>
      </c>
      <c r="D685" s="1" t="n">
        <v>45147</v>
      </c>
      <c r="E685" s="1" t="n">
        <v>46323</v>
      </c>
      <c r="F685" t="inlineStr">
        <is>
          <t>KALMAR LÄN</t>
        </is>
      </c>
      <c r="G685" t="inlineStr">
        <is>
          <t>VÄSTERVIK</t>
        </is>
      </c>
      <c r="H685" t="inlineStr">
        <is>
          <t>Holmen skog AB</t>
        </is>
      </c>
      <c r="I685" t="n">
        <v>2</v>
      </c>
      <c r="J685" t="n">
        <v>0</v>
      </c>
      <c r="K685" t="n">
        <v>0</v>
      </c>
      <c r="L685" t="n">
        <v>0</v>
      </c>
      <c r="M685" t="n">
        <v>0</v>
      </c>
      <c r="N685" t="n">
        <v>0</v>
      </c>
      <c r="O685" t="n">
        <v>0</v>
      </c>
      <c r="P685" t="n">
        <v>0</v>
      </c>
      <c r="Q685" t="n">
        <v>0</v>
      </c>
      <c r="R685" t="n">
        <v>0</v>
      </c>
      <c r="S685" t="n">
        <v>0</v>
      </c>
      <c r="T685" t="n">
        <v>0</v>
      </c>
      <c r="U685" t="n">
        <v>0</v>
      </c>
      <c r="V685" s="2" t="inlineStr"/>
    </row>
    <row r="686" ht="15" customHeight="1">
      <c r="A686" t="inlineStr">
        <is>
          <t>A 6315-2026</t>
        </is>
      </c>
      <c r="B686" t="inlineStr">
        <is>
          <t>avverkningsanmälan</t>
        </is>
      </c>
      <c r="C686" t="inlineStr">
        <is>
          <t>Föryngringsavverkning</t>
        </is>
      </c>
      <c r="D686" s="1" t="n">
        <v>46055</v>
      </c>
      <c r="E686" s="1" t="n">
        <v>46323</v>
      </c>
      <c r="F686" t="inlineStr">
        <is>
          <t>KALMAR LÄN</t>
        </is>
      </c>
      <c r="G686" t="inlineStr">
        <is>
          <t>VÄSTERVIK</t>
        </is>
      </c>
      <c r="I686" t="n">
        <v>2.6</v>
      </c>
      <c r="J686" t="n">
        <v>0</v>
      </c>
      <c r="K686" t="n">
        <v>0</v>
      </c>
      <c r="L686" t="n">
        <v>0</v>
      </c>
      <c r="M686" t="n">
        <v>0</v>
      </c>
      <c r="N686" t="n">
        <v>0</v>
      </c>
      <c r="O686" t="n">
        <v>0</v>
      </c>
      <c r="P686" t="n">
        <v>0</v>
      </c>
      <c r="Q686" t="n">
        <v>0</v>
      </c>
      <c r="R686" t="n">
        <v>0</v>
      </c>
      <c r="S686" t="n">
        <v>0</v>
      </c>
      <c r="T686" t="n">
        <v>0</v>
      </c>
      <c r="U686" t="n">
        <v>0</v>
      </c>
      <c r="V686" s="2" t="inlineStr"/>
    </row>
    <row r="687" ht="15" customHeight="1">
      <c r="A687" t="inlineStr">
        <is>
          <t>A 36643-2023</t>
        </is>
      </c>
      <c r="B687" t="inlineStr">
        <is>
          <t>avverkningsanmälan</t>
        </is>
      </c>
      <c r="C687" t="inlineStr">
        <is>
          <t>Föryngringsavverkning</t>
        </is>
      </c>
      <c r="D687" s="1" t="n">
        <v>45153</v>
      </c>
      <c r="E687" s="1" t="n">
        <v>46323</v>
      </c>
      <c r="F687" t="inlineStr">
        <is>
          <t>KALMAR LÄN</t>
        </is>
      </c>
      <c r="G687" t="inlineStr">
        <is>
          <t>VÄSTERVIK</t>
        </is>
      </c>
      <c r="I687" t="n">
        <v>0.8</v>
      </c>
      <c r="J687" t="n">
        <v>0</v>
      </c>
      <c r="K687" t="n">
        <v>0</v>
      </c>
      <c r="L687" t="n">
        <v>0</v>
      </c>
      <c r="M687" t="n">
        <v>0</v>
      </c>
      <c r="N687" t="n">
        <v>0</v>
      </c>
      <c r="O687" t="n">
        <v>0</v>
      </c>
      <c r="P687" t="n">
        <v>0</v>
      </c>
      <c r="Q687" t="n">
        <v>0</v>
      </c>
      <c r="R687" t="n">
        <v>0</v>
      </c>
      <c r="S687" t="n">
        <v>0</v>
      </c>
      <c r="T687" t="n">
        <v>0</v>
      </c>
      <c r="U687" t="n">
        <v>0</v>
      </c>
      <c r="V687" s="2" t="inlineStr"/>
    </row>
    <row r="688" ht="15" customHeight="1">
      <c r="A688" t="inlineStr">
        <is>
          <t>A 54784-2023</t>
        </is>
      </c>
      <c r="B688" t="inlineStr">
        <is>
          <t>avverkningsanmälan</t>
        </is>
      </c>
      <c r="C688" t="inlineStr">
        <is>
          <t>Föryngringsavverkning</t>
        </is>
      </c>
      <c r="D688" s="1" t="n">
        <v>45236</v>
      </c>
      <c r="E688" s="1" t="n">
        <v>46323</v>
      </c>
      <c r="F688" t="inlineStr">
        <is>
          <t>KALMAR LÄN</t>
        </is>
      </c>
      <c r="G688" t="inlineStr">
        <is>
          <t>VÄSTERVIK</t>
        </is>
      </c>
      <c r="I688" t="n">
        <v>1.3</v>
      </c>
      <c r="J688" t="n">
        <v>0</v>
      </c>
      <c r="K688" t="n">
        <v>0</v>
      </c>
      <c r="L688" t="n">
        <v>0</v>
      </c>
      <c r="M688" t="n">
        <v>0</v>
      </c>
      <c r="N688" t="n">
        <v>0</v>
      </c>
      <c r="O688" t="n">
        <v>0</v>
      </c>
      <c r="P688" t="n">
        <v>0</v>
      </c>
      <c r="Q688" t="n">
        <v>0</v>
      </c>
      <c r="R688" t="n">
        <v>0</v>
      </c>
      <c r="S688" t="n">
        <v>0</v>
      </c>
      <c r="T688" t="n">
        <v>0</v>
      </c>
      <c r="U688" t="n">
        <v>0</v>
      </c>
      <c r="V688" s="2" t="inlineStr"/>
    </row>
    <row r="689" ht="15" customHeight="1">
      <c r="A689" t="inlineStr">
        <is>
          <t>A 49507-2023</t>
        </is>
      </c>
      <c r="B689" t="inlineStr">
        <is>
          <t>avverkningsanmälan</t>
        </is>
      </c>
      <c r="C689" t="inlineStr">
        <is>
          <t>Föryngringsavverkning</t>
        </is>
      </c>
      <c r="D689" s="1" t="n">
        <v>45211</v>
      </c>
      <c r="E689" s="1" t="n">
        <v>46323</v>
      </c>
      <c r="F689" t="inlineStr">
        <is>
          <t>KALMAR LÄN</t>
        </is>
      </c>
      <c r="G689" t="inlineStr">
        <is>
          <t>VÄSTERVIK</t>
        </is>
      </c>
      <c r="H689" t="inlineStr">
        <is>
          <t>Övriga Aktiebolag</t>
        </is>
      </c>
      <c r="I689" t="n">
        <v>1</v>
      </c>
      <c r="J689" t="n">
        <v>0</v>
      </c>
      <c r="K689" t="n">
        <v>0</v>
      </c>
      <c r="L689" t="n">
        <v>0</v>
      </c>
      <c r="M689" t="n">
        <v>0</v>
      </c>
      <c r="N689" t="n">
        <v>0</v>
      </c>
      <c r="O689" t="n">
        <v>0</v>
      </c>
      <c r="P689" t="n">
        <v>0</v>
      </c>
      <c r="Q689" t="n">
        <v>0</v>
      </c>
      <c r="R689" t="n">
        <v>0</v>
      </c>
      <c r="S689" t="n">
        <v>0</v>
      </c>
      <c r="T689" t="n">
        <v>0</v>
      </c>
      <c r="U689" t="n">
        <v>0</v>
      </c>
      <c r="V689" s="2" t="inlineStr"/>
    </row>
    <row r="690" ht="15" customHeight="1">
      <c r="A690" t="inlineStr">
        <is>
          <t>A 7840-2025</t>
        </is>
      </c>
      <c r="B690" t="inlineStr">
        <is>
          <t>avverkningsanmälan</t>
        </is>
      </c>
      <c r="C690" t="inlineStr">
        <is>
          <t>Föryngringsavverkning</t>
        </is>
      </c>
      <c r="D690" s="1" t="n">
        <v>45706</v>
      </c>
      <c r="E690" s="1" t="n">
        <v>46323</v>
      </c>
      <c r="F690" t="inlineStr">
        <is>
          <t>KALMAR LÄN</t>
        </is>
      </c>
      <c r="G690" t="inlineStr">
        <is>
          <t>VÄSTERVIK</t>
        </is>
      </c>
      <c r="I690" t="n">
        <v>0.7</v>
      </c>
      <c r="J690" t="n">
        <v>0</v>
      </c>
      <c r="K690" t="n">
        <v>0</v>
      </c>
      <c r="L690" t="n">
        <v>0</v>
      </c>
      <c r="M690" t="n">
        <v>0</v>
      </c>
      <c r="N690" t="n">
        <v>0</v>
      </c>
      <c r="O690" t="n">
        <v>0</v>
      </c>
      <c r="P690" t="n">
        <v>0</v>
      </c>
      <c r="Q690" t="n">
        <v>0</v>
      </c>
      <c r="R690" t="n">
        <v>0</v>
      </c>
      <c r="S690" t="n">
        <v>0</v>
      </c>
      <c r="T690" t="n">
        <v>0</v>
      </c>
      <c r="U690" t="n">
        <v>0</v>
      </c>
      <c r="V690" s="2" t="inlineStr"/>
    </row>
    <row r="691" ht="15" customHeight="1">
      <c r="A691" t="inlineStr">
        <is>
          <t>A 24819-2025</t>
        </is>
      </c>
      <c r="B691" t="inlineStr">
        <is>
          <t>avverkningsanmälan</t>
        </is>
      </c>
      <c r="C691" t="inlineStr">
        <is>
          <t>Föryngringsavverkning</t>
        </is>
      </c>
      <c r="D691" s="1" t="n">
        <v>45799</v>
      </c>
      <c r="E691" s="1" t="n">
        <v>46323</v>
      </c>
      <c r="F691" t="inlineStr">
        <is>
          <t>KALMAR LÄN</t>
        </is>
      </c>
      <c r="G691" t="inlineStr">
        <is>
          <t>VÄSTERVIK</t>
        </is>
      </c>
      <c r="I691" t="n">
        <v>1.2</v>
      </c>
      <c r="J691" t="n">
        <v>0</v>
      </c>
      <c r="K691" t="n">
        <v>0</v>
      </c>
      <c r="L691" t="n">
        <v>0</v>
      </c>
      <c r="M691" t="n">
        <v>0</v>
      </c>
      <c r="N691" t="n">
        <v>0</v>
      </c>
      <c r="O691" t="n">
        <v>0</v>
      </c>
      <c r="P691" t="n">
        <v>0</v>
      </c>
      <c r="Q691" t="n">
        <v>0</v>
      </c>
      <c r="R691" t="n">
        <v>0</v>
      </c>
      <c r="S691" t="n">
        <v>0</v>
      </c>
      <c r="T691" t="n">
        <v>0</v>
      </c>
      <c r="U691" t="n">
        <v>0</v>
      </c>
      <c r="V691" s="2" t="inlineStr"/>
    </row>
    <row r="692" ht="15" customHeight="1">
      <c r="A692" t="inlineStr">
        <is>
          <t>A 7521-2026</t>
        </is>
      </c>
      <c r="B692" t="inlineStr">
        <is>
          <t>avverkningsanmälan</t>
        </is>
      </c>
      <c r="C692" t="inlineStr">
        <is>
          <t>Föryngringsavverkning</t>
        </is>
      </c>
      <c r="D692" s="1" t="n">
        <v>46059</v>
      </c>
      <c r="E692" s="1" t="n">
        <v>46323</v>
      </c>
      <c r="F692" t="inlineStr">
        <is>
          <t>KALMAR LÄN</t>
        </is>
      </c>
      <c r="G692" t="inlineStr">
        <is>
          <t>VÄSTERVIK</t>
        </is>
      </c>
      <c r="I692" t="n">
        <v>1.8</v>
      </c>
      <c r="J692" t="n">
        <v>0</v>
      </c>
      <c r="K692" t="n">
        <v>0</v>
      </c>
      <c r="L692" t="n">
        <v>0</v>
      </c>
      <c r="M692" t="n">
        <v>0</v>
      </c>
      <c r="N692" t="n">
        <v>0</v>
      </c>
      <c r="O692" t="n">
        <v>0</v>
      </c>
      <c r="P692" t="n">
        <v>0</v>
      </c>
      <c r="Q692" t="n">
        <v>0</v>
      </c>
      <c r="R692" t="n">
        <v>0</v>
      </c>
      <c r="S692" t="n">
        <v>0</v>
      </c>
      <c r="T692" t="n">
        <v>0</v>
      </c>
      <c r="U692" t="n">
        <v>0</v>
      </c>
      <c r="V692" s="2" t="inlineStr"/>
    </row>
    <row r="693" ht="15" customHeight="1">
      <c r="A693" t="inlineStr">
        <is>
          <t>A 58703-2023</t>
        </is>
      </c>
      <c r="B693" t="inlineStr">
        <is>
          <t>avverkningsanmälan</t>
        </is>
      </c>
      <c r="C693" t="inlineStr">
        <is>
          <t>Föryngringsavverkning</t>
        </is>
      </c>
      <c r="D693" s="1" t="n">
        <v>45251</v>
      </c>
      <c r="E693" s="1" t="n">
        <v>46323</v>
      </c>
      <c r="F693" t="inlineStr">
        <is>
          <t>KALMAR LÄN</t>
        </is>
      </c>
      <c r="G693" t="inlineStr">
        <is>
          <t>VÄSTERVIK</t>
        </is>
      </c>
      <c r="H693" t="inlineStr">
        <is>
          <t>Övriga Aktiebolag</t>
        </is>
      </c>
      <c r="I693" t="n">
        <v>2.7</v>
      </c>
      <c r="J693" t="n">
        <v>0</v>
      </c>
      <c r="K693" t="n">
        <v>0</v>
      </c>
      <c r="L693" t="n">
        <v>0</v>
      </c>
      <c r="M693" t="n">
        <v>0</v>
      </c>
      <c r="N693" t="n">
        <v>0</v>
      </c>
      <c r="O693" t="n">
        <v>0</v>
      </c>
      <c r="P693" t="n">
        <v>0</v>
      </c>
      <c r="Q693" t="n">
        <v>0</v>
      </c>
      <c r="R693" t="n">
        <v>0</v>
      </c>
      <c r="S693" t="n">
        <v>0</v>
      </c>
      <c r="T693" t="n">
        <v>0</v>
      </c>
      <c r="U693" t="n">
        <v>0</v>
      </c>
      <c r="V693" s="2" t="inlineStr"/>
    </row>
    <row r="694" ht="15" customHeight="1">
      <c r="A694" t="inlineStr">
        <is>
          <t>A 32131-2026</t>
        </is>
      </c>
      <c r="B694" t="inlineStr">
        <is>
          <t>avverkningsanmälan</t>
        </is>
      </c>
      <c r="C694" t="inlineStr">
        <is>
          <t>Föryngringsavverkning</t>
        </is>
      </c>
      <c r="D694" s="1" t="n">
        <v>46234</v>
      </c>
      <c r="E694" s="1" t="n">
        <v>46323</v>
      </c>
      <c r="F694" t="inlineStr">
        <is>
          <t>KALMAR LÄN</t>
        </is>
      </c>
      <c r="G694" t="inlineStr">
        <is>
          <t>VÄSTERVIK</t>
        </is>
      </c>
      <c r="H694" t="inlineStr">
        <is>
          <t>Holmen skog AB</t>
        </is>
      </c>
      <c r="I694" t="n">
        <v>5.7</v>
      </c>
      <c r="J694" t="n">
        <v>0</v>
      </c>
      <c r="K694" t="n">
        <v>0</v>
      </c>
      <c r="L694" t="n">
        <v>0</v>
      </c>
      <c r="M694" t="n">
        <v>0</v>
      </c>
      <c r="N694" t="n">
        <v>0</v>
      </c>
      <c r="O694" t="n">
        <v>0</v>
      </c>
      <c r="P694" t="n">
        <v>0</v>
      </c>
      <c r="Q694" t="n">
        <v>0</v>
      </c>
      <c r="R694" t="n">
        <v>0</v>
      </c>
      <c r="S694" t="n">
        <v>0</v>
      </c>
      <c r="T694" t="n">
        <v>0</v>
      </c>
      <c r="U694" t="n">
        <v>0</v>
      </c>
      <c r="V694" s="2" t="inlineStr"/>
    </row>
    <row r="695" ht="15" customHeight="1">
      <c r="A695" t="inlineStr">
        <is>
          <t>A 32368-2026</t>
        </is>
      </c>
      <c r="B695" t="inlineStr">
        <is>
          <t>avverkningsanmälan</t>
        </is>
      </c>
      <c r="C695" t="inlineStr">
        <is>
          <t>Föryngringsavverkning</t>
        </is>
      </c>
      <c r="D695" s="1" t="n">
        <v>46238</v>
      </c>
      <c r="E695" s="1" t="n">
        <v>46323</v>
      </c>
      <c r="F695" t="inlineStr">
        <is>
          <t>KALMAR LÄN</t>
        </is>
      </c>
      <c r="G695" t="inlineStr">
        <is>
          <t>VÄSTERVIK</t>
        </is>
      </c>
      <c r="I695" t="n">
        <v>2.9</v>
      </c>
      <c r="J695" t="n">
        <v>0</v>
      </c>
      <c r="K695" t="n">
        <v>0</v>
      </c>
      <c r="L695" t="n">
        <v>0</v>
      </c>
      <c r="M695" t="n">
        <v>0</v>
      </c>
      <c r="N695" t="n">
        <v>0</v>
      </c>
      <c r="O695" t="n">
        <v>0</v>
      </c>
      <c r="P695" t="n">
        <v>0</v>
      </c>
      <c r="Q695" t="n">
        <v>0</v>
      </c>
      <c r="R695" t="n">
        <v>0</v>
      </c>
      <c r="S695" t="n">
        <v>0</v>
      </c>
      <c r="T695" t="n">
        <v>0</v>
      </c>
      <c r="U695" t="n">
        <v>0</v>
      </c>
      <c r="V695" s="2" t="inlineStr"/>
    </row>
    <row r="696" ht="15" customHeight="1">
      <c r="A696" t="inlineStr">
        <is>
          <t>A 32566-2026</t>
        </is>
      </c>
      <c r="B696" t="inlineStr">
        <is>
          <t>avverkningsanmälan</t>
        </is>
      </c>
      <c r="C696" t="inlineStr">
        <is>
          <t>Föryngringsavverkning</t>
        </is>
      </c>
      <c r="D696" s="1" t="n">
        <v>46239</v>
      </c>
      <c r="E696" s="1" t="n">
        <v>46323</v>
      </c>
      <c r="F696" t="inlineStr">
        <is>
          <t>KALMAR LÄN</t>
        </is>
      </c>
      <c r="G696" t="inlineStr">
        <is>
          <t>VÄSTERVIK</t>
        </is>
      </c>
      <c r="I696" t="n">
        <v>3.5</v>
      </c>
      <c r="J696" t="n">
        <v>0</v>
      </c>
      <c r="K696" t="n">
        <v>0</v>
      </c>
      <c r="L696" t="n">
        <v>0</v>
      </c>
      <c r="M696" t="n">
        <v>0</v>
      </c>
      <c r="N696" t="n">
        <v>0</v>
      </c>
      <c r="O696" t="n">
        <v>0</v>
      </c>
      <c r="P696" t="n">
        <v>0</v>
      </c>
      <c r="Q696" t="n">
        <v>0</v>
      </c>
      <c r="R696" t="n">
        <v>0</v>
      </c>
      <c r="S696" t="n">
        <v>0</v>
      </c>
      <c r="T696" t="n">
        <v>0</v>
      </c>
      <c r="U696" t="n">
        <v>0</v>
      </c>
      <c r="V696" s="2" t="inlineStr"/>
    </row>
    <row r="697" ht="15" customHeight="1">
      <c r="A697" t="inlineStr">
        <is>
          <t>A 32370-2026</t>
        </is>
      </c>
      <c r="B697" t="inlineStr">
        <is>
          <t>avverkningsanmälan</t>
        </is>
      </c>
      <c r="C697" t="inlineStr">
        <is>
          <t>Föryngringsavverkning</t>
        </is>
      </c>
      <c r="D697" s="1" t="n">
        <v>46238</v>
      </c>
      <c r="E697" s="1" t="n">
        <v>46323</v>
      </c>
      <c r="F697" t="inlineStr">
        <is>
          <t>KALMAR LÄN</t>
        </is>
      </c>
      <c r="G697" t="inlineStr">
        <is>
          <t>VÄSTERVIK</t>
        </is>
      </c>
      <c r="I697" t="n">
        <v>1</v>
      </c>
      <c r="J697" t="n">
        <v>0</v>
      </c>
      <c r="K697" t="n">
        <v>0</v>
      </c>
      <c r="L697" t="n">
        <v>0</v>
      </c>
      <c r="M697" t="n">
        <v>0</v>
      </c>
      <c r="N697" t="n">
        <v>0</v>
      </c>
      <c r="O697" t="n">
        <v>0</v>
      </c>
      <c r="P697" t="n">
        <v>0</v>
      </c>
      <c r="Q697" t="n">
        <v>0</v>
      </c>
      <c r="R697" t="n">
        <v>0</v>
      </c>
      <c r="S697" t="n">
        <v>0</v>
      </c>
      <c r="T697" t="n">
        <v>0</v>
      </c>
      <c r="U697" t="n">
        <v>0</v>
      </c>
      <c r="V697" s="2" t="inlineStr"/>
    </row>
    <row r="698" ht="15" customHeight="1">
      <c r="A698" t="inlineStr">
        <is>
          <t>A 32374-2026</t>
        </is>
      </c>
      <c r="B698" t="inlineStr">
        <is>
          <t>avverkningsanmälan</t>
        </is>
      </c>
      <c r="C698" t="inlineStr">
        <is>
          <t>Föryngringsavverkning</t>
        </is>
      </c>
      <c r="D698" s="1" t="n">
        <v>46238</v>
      </c>
      <c r="E698" s="1" t="n">
        <v>46323</v>
      </c>
      <c r="F698" t="inlineStr">
        <is>
          <t>KALMAR LÄN</t>
        </is>
      </c>
      <c r="G698" t="inlineStr">
        <is>
          <t>VÄSTERVIK</t>
        </is>
      </c>
      <c r="I698" t="n">
        <v>1.6</v>
      </c>
      <c r="J698" t="n">
        <v>0</v>
      </c>
      <c r="K698" t="n">
        <v>0</v>
      </c>
      <c r="L698" t="n">
        <v>0</v>
      </c>
      <c r="M698" t="n">
        <v>0</v>
      </c>
      <c r="N698" t="n">
        <v>0</v>
      </c>
      <c r="O698" t="n">
        <v>0</v>
      </c>
      <c r="P698" t="n">
        <v>0</v>
      </c>
      <c r="Q698" t="n">
        <v>0</v>
      </c>
      <c r="R698" t="n">
        <v>0</v>
      </c>
      <c r="S698" t="n">
        <v>0</v>
      </c>
      <c r="T698" t="n">
        <v>0</v>
      </c>
      <c r="U698" t="n">
        <v>0</v>
      </c>
      <c r="V698" s="2" t="inlineStr"/>
    </row>
    <row r="699" ht="15" customHeight="1">
      <c r="A699" t="inlineStr">
        <is>
          <t>A 32384-2026</t>
        </is>
      </c>
      <c r="B699" t="inlineStr">
        <is>
          <t>avverkningsanmälan</t>
        </is>
      </c>
      <c r="C699" t="inlineStr">
        <is>
          <t>Föryngringsavverkning</t>
        </is>
      </c>
      <c r="D699" s="1" t="n">
        <v>46238</v>
      </c>
      <c r="E699" s="1" t="n">
        <v>46323</v>
      </c>
      <c r="F699" t="inlineStr">
        <is>
          <t>KALMAR LÄN</t>
        </is>
      </c>
      <c r="G699" t="inlineStr">
        <is>
          <t>VÄSTERVIK</t>
        </is>
      </c>
      <c r="I699" t="n">
        <v>2.5</v>
      </c>
      <c r="J699" t="n">
        <v>0</v>
      </c>
      <c r="K699" t="n">
        <v>0</v>
      </c>
      <c r="L699" t="n">
        <v>0</v>
      </c>
      <c r="M699" t="n">
        <v>0</v>
      </c>
      <c r="N699" t="n">
        <v>0</v>
      </c>
      <c r="O699" t="n">
        <v>0</v>
      </c>
      <c r="P699" t="n">
        <v>0</v>
      </c>
      <c r="Q699" t="n">
        <v>0</v>
      </c>
      <c r="R699" t="n">
        <v>0</v>
      </c>
      <c r="S699" t="n">
        <v>0</v>
      </c>
      <c r="T699" t="n">
        <v>0</v>
      </c>
      <c r="U699" t="n">
        <v>0</v>
      </c>
      <c r="V699" s="2" t="inlineStr"/>
    </row>
    <row r="700" ht="15" customHeight="1">
      <c r="A700" t="inlineStr">
        <is>
          <t>A 16080-2025</t>
        </is>
      </c>
      <c r="B700" t="inlineStr">
        <is>
          <t>avverkningsanmälan</t>
        </is>
      </c>
      <c r="C700" t="inlineStr">
        <is>
          <t>Föryngringsavverkning</t>
        </is>
      </c>
      <c r="D700" s="1" t="n">
        <v>45749</v>
      </c>
      <c r="E700" s="1" t="n">
        <v>46323</v>
      </c>
      <c r="F700" t="inlineStr">
        <is>
          <t>KALMAR LÄN</t>
        </is>
      </c>
      <c r="G700" t="inlineStr">
        <is>
          <t>VÄSTERVIK</t>
        </is>
      </c>
      <c r="I700" t="n">
        <v>1.9</v>
      </c>
      <c r="J700" t="n">
        <v>0</v>
      </c>
      <c r="K700" t="n">
        <v>0</v>
      </c>
      <c r="L700" t="n">
        <v>0</v>
      </c>
      <c r="M700" t="n">
        <v>0</v>
      </c>
      <c r="N700" t="n">
        <v>0</v>
      </c>
      <c r="O700" t="n">
        <v>0</v>
      </c>
      <c r="P700" t="n">
        <v>0</v>
      </c>
      <c r="Q700" t="n">
        <v>0</v>
      </c>
      <c r="R700" t="n">
        <v>0</v>
      </c>
      <c r="S700" t="n">
        <v>0</v>
      </c>
      <c r="T700" t="n">
        <v>0</v>
      </c>
      <c r="U700" t="n">
        <v>0</v>
      </c>
      <c r="V700" s="2" t="inlineStr"/>
    </row>
    <row r="701" ht="15" customHeight="1">
      <c r="A701" t="inlineStr">
        <is>
          <t>A 41926-2024</t>
        </is>
      </c>
      <c r="B701" t="inlineStr">
        <is>
          <t>avverkningsanmälan</t>
        </is>
      </c>
      <c r="C701" t="inlineStr">
        <is>
          <t>Föryngringsavverkning</t>
        </is>
      </c>
      <c r="D701" s="1" t="n">
        <v>45561</v>
      </c>
      <c r="E701" s="1" t="n">
        <v>46323</v>
      </c>
      <c r="F701" t="inlineStr">
        <is>
          <t>KALMAR LÄN</t>
        </is>
      </c>
      <c r="G701" t="inlineStr">
        <is>
          <t>VÄSTERVIK</t>
        </is>
      </c>
      <c r="H701" t="inlineStr">
        <is>
          <t>Kyrkan</t>
        </is>
      </c>
      <c r="I701" t="n">
        <v>10</v>
      </c>
      <c r="J701" t="n">
        <v>0</v>
      </c>
      <c r="K701" t="n">
        <v>0</v>
      </c>
      <c r="L701" t="n">
        <v>0</v>
      </c>
      <c r="M701" t="n">
        <v>0</v>
      </c>
      <c r="N701" t="n">
        <v>0</v>
      </c>
      <c r="O701" t="n">
        <v>0</v>
      </c>
      <c r="P701" t="n">
        <v>0</v>
      </c>
      <c r="Q701" t="n">
        <v>0</v>
      </c>
      <c r="R701" t="n">
        <v>0</v>
      </c>
      <c r="S701" t="n">
        <v>0</v>
      </c>
      <c r="T701" t="n">
        <v>0</v>
      </c>
      <c r="U701" t="n">
        <v>0</v>
      </c>
      <c r="V701" s="2" t="inlineStr"/>
    </row>
    <row r="702" ht="15" customHeight="1">
      <c r="A702" t="inlineStr">
        <is>
          <t>A 32380-2026</t>
        </is>
      </c>
      <c r="B702" t="inlineStr">
        <is>
          <t>avverkningsanmälan</t>
        </is>
      </c>
      <c r="C702" t="inlineStr">
        <is>
          <t>Föryngringsavverkning</t>
        </is>
      </c>
      <c r="D702" s="1" t="n">
        <v>46238</v>
      </c>
      <c r="E702" s="1" t="n">
        <v>46323</v>
      </c>
      <c r="F702" t="inlineStr">
        <is>
          <t>KALMAR LÄN</t>
        </is>
      </c>
      <c r="G702" t="inlineStr">
        <is>
          <t>VÄSTERVIK</t>
        </is>
      </c>
      <c r="I702" t="n">
        <v>4.8</v>
      </c>
      <c r="J702" t="n">
        <v>0</v>
      </c>
      <c r="K702" t="n">
        <v>0</v>
      </c>
      <c r="L702" t="n">
        <v>0</v>
      </c>
      <c r="M702" t="n">
        <v>0</v>
      </c>
      <c r="N702" t="n">
        <v>0</v>
      </c>
      <c r="O702" t="n">
        <v>0</v>
      </c>
      <c r="P702" t="n">
        <v>0</v>
      </c>
      <c r="Q702" t="n">
        <v>0</v>
      </c>
      <c r="R702" t="n">
        <v>0</v>
      </c>
      <c r="S702" t="n">
        <v>0</v>
      </c>
      <c r="T702" t="n">
        <v>0</v>
      </c>
      <c r="U702" t="n">
        <v>0</v>
      </c>
      <c r="V702" s="2" t="inlineStr"/>
    </row>
    <row r="703" ht="15" customHeight="1">
      <c r="A703" t="inlineStr">
        <is>
          <t>A 14237-2024</t>
        </is>
      </c>
      <c r="B703" t="inlineStr">
        <is>
          <t>avverkningsanmälan</t>
        </is>
      </c>
      <c r="C703" t="inlineStr">
        <is>
          <t>Föryngringsavverkning</t>
        </is>
      </c>
      <c r="D703" s="1" t="n">
        <v>45393</v>
      </c>
      <c r="E703" s="1" t="n">
        <v>46323</v>
      </c>
      <c r="F703" t="inlineStr">
        <is>
          <t>KALMAR LÄN</t>
        </is>
      </c>
      <c r="G703" t="inlineStr">
        <is>
          <t>VÄSTERVIK</t>
        </is>
      </c>
      <c r="I703" t="n">
        <v>0.9</v>
      </c>
      <c r="J703" t="n">
        <v>0</v>
      </c>
      <c r="K703" t="n">
        <v>0</v>
      </c>
      <c r="L703" t="n">
        <v>0</v>
      </c>
      <c r="M703" t="n">
        <v>0</v>
      </c>
      <c r="N703" t="n">
        <v>0</v>
      </c>
      <c r="O703" t="n">
        <v>0</v>
      </c>
      <c r="P703" t="n">
        <v>0</v>
      </c>
      <c r="Q703" t="n">
        <v>0</v>
      </c>
      <c r="R703" t="n">
        <v>0</v>
      </c>
      <c r="S703" t="n">
        <v>0</v>
      </c>
      <c r="T703" t="n">
        <v>0</v>
      </c>
      <c r="U703" t="n">
        <v>0</v>
      </c>
      <c r="V703" s="2" t="inlineStr"/>
    </row>
    <row r="704" ht="15" customHeight="1">
      <c r="A704" t="inlineStr">
        <is>
          <t>A 32404-2026</t>
        </is>
      </c>
      <c r="B704" t="inlineStr">
        <is>
          <t>avverkningsanmälan</t>
        </is>
      </c>
      <c r="C704" t="inlineStr">
        <is>
          <t>Föryngringsavverkning</t>
        </is>
      </c>
      <c r="D704" s="1" t="n">
        <v>46238</v>
      </c>
      <c r="E704" s="1" t="n">
        <v>46323</v>
      </c>
      <c r="F704" t="inlineStr">
        <is>
          <t>KALMAR LÄN</t>
        </is>
      </c>
      <c r="G704" t="inlineStr">
        <is>
          <t>VÄSTERVIK</t>
        </is>
      </c>
      <c r="I704" t="n">
        <v>7</v>
      </c>
      <c r="J704" t="n">
        <v>0</v>
      </c>
      <c r="K704" t="n">
        <v>0</v>
      </c>
      <c r="L704" t="n">
        <v>0</v>
      </c>
      <c r="M704" t="n">
        <v>0</v>
      </c>
      <c r="N704" t="n">
        <v>0</v>
      </c>
      <c r="O704" t="n">
        <v>0</v>
      </c>
      <c r="P704" t="n">
        <v>0</v>
      </c>
      <c r="Q704" t="n">
        <v>0</v>
      </c>
      <c r="R704" t="n">
        <v>0</v>
      </c>
      <c r="S704" t="n">
        <v>0</v>
      </c>
      <c r="T704" t="n">
        <v>0</v>
      </c>
      <c r="U704" t="n">
        <v>0</v>
      </c>
      <c r="V704" s="2" t="inlineStr"/>
    </row>
    <row r="705" ht="15" customHeight="1">
      <c r="A705" t="inlineStr">
        <is>
          <t>A 10774-2025</t>
        </is>
      </c>
      <c r="B705" t="inlineStr">
        <is>
          <t>avverkningsanmälan</t>
        </is>
      </c>
      <c r="C705" t="inlineStr">
        <is>
          <t>Föryngringsavverkning</t>
        </is>
      </c>
      <c r="D705" s="1" t="n">
        <v>45722</v>
      </c>
      <c r="E705" s="1" t="n">
        <v>46323</v>
      </c>
      <c r="F705" t="inlineStr">
        <is>
          <t>KALMAR LÄN</t>
        </is>
      </c>
      <c r="G705" t="inlineStr">
        <is>
          <t>VÄSTERVIK</t>
        </is>
      </c>
      <c r="I705" t="n">
        <v>0.6</v>
      </c>
      <c r="J705" t="n">
        <v>0</v>
      </c>
      <c r="K705" t="n">
        <v>0</v>
      </c>
      <c r="L705" t="n">
        <v>0</v>
      </c>
      <c r="M705" t="n">
        <v>0</v>
      </c>
      <c r="N705" t="n">
        <v>0</v>
      </c>
      <c r="O705" t="n">
        <v>0</v>
      </c>
      <c r="P705" t="n">
        <v>0</v>
      </c>
      <c r="Q705" t="n">
        <v>0</v>
      </c>
      <c r="R705" t="n">
        <v>0</v>
      </c>
      <c r="S705" t="n">
        <v>0</v>
      </c>
      <c r="T705" t="n">
        <v>0</v>
      </c>
      <c r="U705" t="n">
        <v>0</v>
      </c>
      <c r="V705" s="2" t="inlineStr"/>
    </row>
    <row r="706" ht="15" customHeight="1">
      <c r="A706" t="inlineStr">
        <is>
          <t>A 23743-2022</t>
        </is>
      </c>
      <c r="B706" t="inlineStr">
        <is>
          <t>avverkningsanmälan</t>
        </is>
      </c>
      <c r="C706" t="inlineStr">
        <is>
          <t>Föryngringsavverkning</t>
        </is>
      </c>
      <c r="D706" s="1" t="n">
        <v>44722</v>
      </c>
      <c r="E706" s="1" t="n">
        <v>46323</v>
      </c>
      <c r="F706" t="inlineStr">
        <is>
          <t>KALMAR LÄN</t>
        </is>
      </c>
      <c r="G706" t="inlineStr">
        <is>
          <t>VÄSTERVIK</t>
        </is>
      </c>
      <c r="I706" t="n">
        <v>1.2</v>
      </c>
      <c r="J706" t="n">
        <v>0</v>
      </c>
      <c r="K706" t="n">
        <v>0</v>
      </c>
      <c r="L706" t="n">
        <v>0</v>
      </c>
      <c r="M706" t="n">
        <v>0</v>
      </c>
      <c r="N706" t="n">
        <v>0</v>
      </c>
      <c r="O706" t="n">
        <v>0</v>
      </c>
      <c r="P706" t="n">
        <v>0</v>
      </c>
      <c r="Q706" t="n">
        <v>0</v>
      </c>
      <c r="R706" t="n">
        <v>0</v>
      </c>
      <c r="S706" t="n">
        <v>0</v>
      </c>
      <c r="T706" t="n">
        <v>0</v>
      </c>
      <c r="U706" t="n">
        <v>0</v>
      </c>
      <c r="V706" s="2" t="inlineStr"/>
    </row>
    <row r="707" ht="15" customHeight="1">
      <c r="A707" t="inlineStr">
        <is>
          <t>A 32392-2026</t>
        </is>
      </c>
      <c r="B707" t="inlineStr">
        <is>
          <t>avverkningsanmälan</t>
        </is>
      </c>
      <c r="C707" t="inlineStr">
        <is>
          <t>Föryngringsavverkning</t>
        </is>
      </c>
      <c r="D707" s="1" t="n">
        <v>46238</v>
      </c>
      <c r="E707" s="1" t="n">
        <v>46323</v>
      </c>
      <c r="F707" t="inlineStr">
        <is>
          <t>KALMAR LÄN</t>
        </is>
      </c>
      <c r="G707" t="inlineStr">
        <is>
          <t>VÄSTERVIK</t>
        </is>
      </c>
      <c r="I707" t="n">
        <v>3.7</v>
      </c>
      <c r="J707" t="n">
        <v>0</v>
      </c>
      <c r="K707" t="n">
        <v>0</v>
      </c>
      <c r="L707" t="n">
        <v>0</v>
      </c>
      <c r="M707" t="n">
        <v>0</v>
      </c>
      <c r="N707" t="n">
        <v>0</v>
      </c>
      <c r="O707" t="n">
        <v>0</v>
      </c>
      <c r="P707" t="n">
        <v>0</v>
      </c>
      <c r="Q707" t="n">
        <v>0</v>
      </c>
      <c r="R707" t="n">
        <v>0</v>
      </c>
      <c r="S707" t="n">
        <v>0</v>
      </c>
      <c r="T707" t="n">
        <v>0</v>
      </c>
      <c r="U707" t="n">
        <v>0</v>
      </c>
      <c r="V707" s="2" t="inlineStr"/>
    </row>
    <row r="708" ht="15" customHeight="1">
      <c r="A708" t="inlineStr">
        <is>
          <t>A 37642-2023</t>
        </is>
      </c>
      <c r="B708" t="inlineStr">
        <is>
          <t>avverkningsanmälan</t>
        </is>
      </c>
      <c r="C708" t="inlineStr">
        <is>
          <t>Föryngringsavverkning</t>
        </is>
      </c>
      <c r="D708" s="1" t="n">
        <v>45159</v>
      </c>
      <c r="E708" s="1" t="n">
        <v>46323</v>
      </c>
      <c r="F708" t="inlineStr">
        <is>
          <t>KALMAR LÄN</t>
        </is>
      </c>
      <c r="G708" t="inlineStr">
        <is>
          <t>VÄSTERVIK</t>
        </is>
      </c>
      <c r="I708" t="n">
        <v>0.6</v>
      </c>
      <c r="J708" t="n">
        <v>0</v>
      </c>
      <c r="K708" t="n">
        <v>0</v>
      </c>
      <c r="L708" t="n">
        <v>0</v>
      </c>
      <c r="M708" t="n">
        <v>0</v>
      </c>
      <c r="N708" t="n">
        <v>0</v>
      </c>
      <c r="O708" t="n">
        <v>0</v>
      </c>
      <c r="P708" t="n">
        <v>0</v>
      </c>
      <c r="Q708" t="n">
        <v>0</v>
      </c>
      <c r="R708" t="n">
        <v>0</v>
      </c>
      <c r="S708" t="n">
        <v>0</v>
      </c>
      <c r="T708" t="n">
        <v>0</v>
      </c>
      <c r="U708" t="n">
        <v>0</v>
      </c>
      <c r="V708" s="2" t="inlineStr"/>
    </row>
    <row r="709" ht="15" customHeight="1">
      <c r="A709" t="inlineStr">
        <is>
          <t>A 54951-2023</t>
        </is>
      </c>
      <c r="B709" t="inlineStr">
        <is>
          <t>avverkningsanmälan</t>
        </is>
      </c>
      <c r="C709" t="inlineStr">
        <is>
          <t>Föryngringsavverkning</t>
        </is>
      </c>
      <c r="D709" s="1" t="n">
        <v>45236</v>
      </c>
      <c r="E709" s="1" t="n">
        <v>46323</v>
      </c>
      <c r="F709" t="inlineStr">
        <is>
          <t>KALMAR LÄN</t>
        </is>
      </c>
      <c r="G709" t="inlineStr">
        <is>
          <t>VÄSTERVIK</t>
        </is>
      </c>
      <c r="H709" t="inlineStr">
        <is>
          <t>Övriga Aktiebolag</t>
        </is>
      </c>
      <c r="I709" t="n">
        <v>0.9</v>
      </c>
      <c r="J709" t="n">
        <v>0</v>
      </c>
      <c r="K709" t="n">
        <v>0</v>
      </c>
      <c r="L709" t="n">
        <v>0</v>
      </c>
      <c r="M709" t="n">
        <v>0</v>
      </c>
      <c r="N709" t="n">
        <v>0</v>
      </c>
      <c r="O709" t="n">
        <v>0</v>
      </c>
      <c r="P709" t="n">
        <v>0</v>
      </c>
      <c r="Q709" t="n">
        <v>0</v>
      </c>
      <c r="R709" t="n">
        <v>0</v>
      </c>
      <c r="S709" t="n">
        <v>0</v>
      </c>
      <c r="T709" t="n">
        <v>0</v>
      </c>
      <c r="U709" t="n">
        <v>0</v>
      </c>
      <c r="V709" s="2" t="inlineStr"/>
    </row>
    <row r="710" ht="15" customHeight="1">
      <c r="A710" t="inlineStr">
        <is>
          <t>A 52049-2023</t>
        </is>
      </c>
      <c r="B710" t="inlineStr">
        <is>
          <t>avverkningsanmälan</t>
        </is>
      </c>
      <c r="C710" t="inlineStr">
        <is>
          <t>Föryngringsavverkning</t>
        </is>
      </c>
      <c r="D710" s="1" t="n">
        <v>45216</v>
      </c>
      <c r="E710" s="1" t="n">
        <v>46323</v>
      </c>
      <c r="F710" t="inlineStr">
        <is>
          <t>KALMAR LÄN</t>
        </is>
      </c>
      <c r="G710" t="inlineStr">
        <is>
          <t>VÄSTERVIK</t>
        </is>
      </c>
      <c r="I710" t="n">
        <v>4.4</v>
      </c>
      <c r="J710" t="n">
        <v>0</v>
      </c>
      <c r="K710" t="n">
        <v>0</v>
      </c>
      <c r="L710" t="n">
        <v>0</v>
      </c>
      <c r="M710" t="n">
        <v>0</v>
      </c>
      <c r="N710" t="n">
        <v>0</v>
      </c>
      <c r="O710" t="n">
        <v>0</v>
      </c>
      <c r="P710" t="n">
        <v>0</v>
      </c>
      <c r="Q710" t="n">
        <v>0</v>
      </c>
      <c r="R710" t="n">
        <v>0</v>
      </c>
      <c r="S710" t="n">
        <v>0</v>
      </c>
      <c r="T710" t="n">
        <v>0</v>
      </c>
      <c r="U710" t="n">
        <v>0</v>
      </c>
      <c r="V710" s="2" t="inlineStr"/>
    </row>
    <row r="711" ht="15" customHeight="1">
      <c r="A711" t="inlineStr">
        <is>
          <t>A 38897-2026</t>
        </is>
      </c>
      <c r="B711" t="inlineStr">
        <is>
          <t>avverkningsanmälan</t>
        </is>
      </c>
      <c r="C711" t="inlineStr">
        <is>
          <t>Föryngringsavverkning</t>
        </is>
      </c>
      <c r="D711" s="1" t="n">
        <v>46286</v>
      </c>
      <c r="E711" s="1" t="n">
        <v>46323</v>
      </c>
      <c r="F711" t="inlineStr">
        <is>
          <t>KALMAR LÄN</t>
        </is>
      </c>
      <c r="G711" t="inlineStr">
        <is>
          <t>VÄSTERVIK</t>
        </is>
      </c>
      <c r="I711" t="n">
        <v>0.5</v>
      </c>
      <c r="J711" t="n">
        <v>0</v>
      </c>
      <c r="K711" t="n">
        <v>0</v>
      </c>
      <c r="L711" t="n">
        <v>0</v>
      </c>
      <c r="M711" t="n">
        <v>0</v>
      </c>
      <c r="N711" t="n">
        <v>0</v>
      </c>
      <c r="O711" t="n">
        <v>0</v>
      </c>
      <c r="P711" t="n">
        <v>0</v>
      </c>
      <c r="Q711" t="n">
        <v>0</v>
      </c>
      <c r="R711" t="n">
        <v>0</v>
      </c>
      <c r="S711" t="n">
        <v>0</v>
      </c>
      <c r="T711" t="n">
        <v>0</v>
      </c>
      <c r="U711" t="n">
        <v>0</v>
      </c>
      <c r="V711" s="2" t="inlineStr"/>
    </row>
    <row r="712" ht="15" customHeight="1">
      <c r="A712" t="inlineStr">
        <is>
          <t>A 30035-2023</t>
        </is>
      </c>
      <c r="B712" t="inlineStr">
        <is>
          <t>avverkningsanmälan</t>
        </is>
      </c>
      <c r="C712" t="inlineStr">
        <is>
          <t>Föryngringsavverkning</t>
        </is>
      </c>
      <c r="D712" s="1" t="n">
        <v>45110</v>
      </c>
      <c r="E712" s="1" t="n">
        <v>46323</v>
      </c>
      <c r="F712" t="inlineStr">
        <is>
          <t>KALMAR LÄN</t>
        </is>
      </c>
      <c r="G712" t="inlineStr">
        <is>
          <t>VÄSTERVIK</t>
        </is>
      </c>
      <c r="H712" t="inlineStr">
        <is>
          <t>Holmen skog AB</t>
        </is>
      </c>
      <c r="I712" t="n">
        <v>1.1</v>
      </c>
      <c r="J712" t="n">
        <v>0</v>
      </c>
      <c r="K712" t="n">
        <v>0</v>
      </c>
      <c r="L712" t="n">
        <v>0</v>
      </c>
      <c r="M712" t="n">
        <v>0</v>
      </c>
      <c r="N712" t="n">
        <v>0</v>
      </c>
      <c r="O712" t="n">
        <v>0</v>
      </c>
      <c r="P712" t="n">
        <v>0</v>
      </c>
      <c r="Q712" t="n">
        <v>0</v>
      </c>
      <c r="R712" t="n">
        <v>0</v>
      </c>
      <c r="S712" t="n">
        <v>0</v>
      </c>
      <c r="T712" t="n">
        <v>0</v>
      </c>
      <c r="U712" t="n">
        <v>0</v>
      </c>
      <c r="V712" s="2" t="inlineStr"/>
    </row>
    <row r="713" ht="15" customHeight="1">
      <c r="A713" t="inlineStr">
        <is>
          <t>A 4579-2023</t>
        </is>
      </c>
      <c r="B713" t="inlineStr">
        <is>
          <t>avverkningsanmälan</t>
        </is>
      </c>
      <c r="C713" t="inlineStr">
        <is>
          <t>Föryngringsavverkning</t>
        </is>
      </c>
      <c r="D713" s="1" t="n">
        <v>44956</v>
      </c>
      <c r="E713" s="1" t="n">
        <v>46323</v>
      </c>
      <c r="F713" t="inlineStr">
        <is>
          <t>KALMAR LÄN</t>
        </is>
      </c>
      <c r="G713" t="inlineStr">
        <is>
          <t>VÄSTERVIK</t>
        </is>
      </c>
      <c r="I713" t="n">
        <v>2.2</v>
      </c>
      <c r="J713" t="n">
        <v>0</v>
      </c>
      <c r="K713" t="n">
        <v>0</v>
      </c>
      <c r="L713" t="n">
        <v>0</v>
      </c>
      <c r="M713" t="n">
        <v>0</v>
      </c>
      <c r="N713" t="n">
        <v>0</v>
      </c>
      <c r="O713" t="n">
        <v>0</v>
      </c>
      <c r="P713" t="n">
        <v>0</v>
      </c>
      <c r="Q713" t="n">
        <v>0</v>
      </c>
      <c r="R713" t="n">
        <v>0</v>
      </c>
      <c r="S713" t="n">
        <v>0</v>
      </c>
      <c r="T713" t="n">
        <v>0</v>
      </c>
      <c r="U713" t="n">
        <v>0</v>
      </c>
      <c r="V713" s="2" t="inlineStr"/>
    </row>
    <row r="714" ht="15" customHeight="1">
      <c r="A714" t="inlineStr">
        <is>
          <t>A 65059-2023</t>
        </is>
      </c>
      <c r="B714" t="inlineStr">
        <is>
          <t>avverkningsanmälan</t>
        </is>
      </c>
      <c r="C714" t="inlineStr">
        <is>
          <t>Föryngringsavverkning</t>
        </is>
      </c>
      <c r="D714" s="1" t="n">
        <v>45287</v>
      </c>
      <c r="E714" s="1" t="n">
        <v>46323</v>
      </c>
      <c r="F714" t="inlineStr">
        <is>
          <t>KALMAR LÄN</t>
        </is>
      </c>
      <c r="G714" t="inlineStr">
        <is>
          <t>VÄSTERVIK</t>
        </is>
      </c>
      <c r="H714" t="inlineStr">
        <is>
          <t>Holmen skog AB</t>
        </is>
      </c>
      <c r="I714" t="n">
        <v>4.9</v>
      </c>
      <c r="J714" t="n">
        <v>0</v>
      </c>
      <c r="K714" t="n">
        <v>0</v>
      </c>
      <c r="L714" t="n">
        <v>0</v>
      </c>
      <c r="M714" t="n">
        <v>0</v>
      </c>
      <c r="N714" t="n">
        <v>0</v>
      </c>
      <c r="O714" t="n">
        <v>0</v>
      </c>
      <c r="P714" t="n">
        <v>0</v>
      </c>
      <c r="Q714" t="n">
        <v>0</v>
      </c>
      <c r="R714" t="n">
        <v>0</v>
      </c>
      <c r="S714" t="n">
        <v>0</v>
      </c>
      <c r="T714" t="n">
        <v>0</v>
      </c>
      <c r="U714" t="n">
        <v>0</v>
      </c>
      <c r="V714" s="2" t="inlineStr"/>
    </row>
    <row r="715" ht="15" customHeight="1">
      <c r="A715" t="inlineStr">
        <is>
          <t>A 61556-2023</t>
        </is>
      </c>
      <c r="B715" t="inlineStr">
        <is>
          <t>avverkningsanmälan</t>
        </is>
      </c>
      <c r="C715" t="inlineStr">
        <is>
          <t>Föryngringsavverkning</t>
        </is>
      </c>
      <c r="D715" s="1" t="n">
        <v>45261</v>
      </c>
      <c r="E715" s="1" t="n">
        <v>46323</v>
      </c>
      <c r="F715" t="inlineStr">
        <is>
          <t>KALMAR LÄN</t>
        </is>
      </c>
      <c r="G715" t="inlineStr">
        <is>
          <t>VÄSTERVIK</t>
        </is>
      </c>
      <c r="H715" t="inlineStr">
        <is>
          <t>Övriga Aktiebolag</t>
        </is>
      </c>
      <c r="I715" t="n">
        <v>13.9</v>
      </c>
      <c r="J715" t="n">
        <v>0</v>
      </c>
      <c r="K715" t="n">
        <v>0</v>
      </c>
      <c r="L715" t="n">
        <v>0</v>
      </c>
      <c r="M715" t="n">
        <v>0</v>
      </c>
      <c r="N715" t="n">
        <v>0</v>
      </c>
      <c r="O715" t="n">
        <v>0</v>
      </c>
      <c r="P715" t="n">
        <v>0</v>
      </c>
      <c r="Q715" t="n">
        <v>0</v>
      </c>
      <c r="R715" t="n">
        <v>0</v>
      </c>
      <c r="S715" t="n">
        <v>0</v>
      </c>
      <c r="T715" t="n">
        <v>0</v>
      </c>
      <c r="U715" t="n">
        <v>0</v>
      </c>
      <c r="V715" s="2" t="inlineStr"/>
    </row>
    <row r="716" ht="15" customHeight="1">
      <c r="A716" t="inlineStr">
        <is>
          <t>A 26548-2026</t>
        </is>
      </c>
      <c r="B716" t="inlineStr">
        <is>
          <t>avverkningsanmälan</t>
        </is>
      </c>
      <c r="C716" t="inlineStr">
        <is>
          <t>Föryngringsavverkning</t>
        </is>
      </c>
      <c r="D716" s="1" t="n">
        <v>46183</v>
      </c>
      <c r="E716" s="1" t="n">
        <v>46323</v>
      </c>
      <c r="F716" t="inlineStr">
        <is>
          <t>KALMAR LÄN</t>
        </is>
      </c>
      <c r="G716" t="inlineStr">
        <is>
          <t>VÄSTERVIK</t>
        </is>
      </c>
      <c r="I716" t="n">
        <v>4.6</v>
      </c>
      <c r="J716" t="n">
        <v>0</v>
      </c>
      <c r="K716" t="n">
        <v>0</v>
      </c>
      <c r="L716" t="n">
        <v>0</v>
      </c>
      <c r="M716" t="n">
        <v>0</v>
      </c>
      <c r="N716" t="n">
        <v>0</v>
      </c>
      <c r="O716" t="n">
        <v>0</v>
      </c>
      <c r="P716" t="n">
        <v>0</v>
      </c>
      <c r="Q716" t="n">
        <v>0</v>
      </c>
      <c r="R716" t="n">
        <v>0</v>
      </c>
      <c r="S716" t="n">
        <v>0</v>
      </c>
      <c r="T716" t="n">
        <v>0</v>
      </c>
      <c r="U716" t="n">
        <v>0</v>
      </c>
      <c r="V716" s="2" t="inlineStr"/>
    </row>
    <row r="717" ht="15" customHeight="1">
      <c r="A717" t="inlineStr">
        <is>
          <t>A 34420-2024</t>
        </is>
      </c>
      <c r="B717" t="inlineStr">
        <is>
          <t>avverkningsanmälan</t>
        </is>
      </c>
      <c r="C717" t="inlineStr">
        <is>
          <t>Föryngringsavverkning</t>
        </is>
      </c>
      <c r="D717" s="1" t="n">
        <v>45525</v>
      </c>
      <c r="E717" s="1" t="n">
        <v>46323</v>
      </c>
      <c r="F717" t="inlineStr">
        <is>
          <t>KALMAR LÄN</t>
        </is>
      </c>
      <c r="G717" t="inlineStr">
        <is>
          <t>VÄSTERVIK</t>
        </is>
      </c>
      <c r="H717" t="inlineStr">
        <is>
          <t>Holmen skog AB</t>
        </is>
      </c>
      <c r="I717" t="n">
        <v>1.3</v>
      </c>
      <c r="J717" t="n">
        <v>0</v>
      </c>
      <c r="K717" t="n">
        <v>0</v>
      </c>
      <c r="L717" t="n">
        <v>0</v>
      </c>
      <c r="M717" t="n">
        <v>0</v>
      </c>
      <c r="N717" t="n">
        <v>0</v>
      </c>
      <c r="O717" t="n">
        <v>0</v>
      </c>
      <c r="P717" t="n">
        <v>0</v>
      </c>
      <c r="Q717" t="n">
        <v>0</v>
      </c>
      <c r="R717" t="n">
        <v>0</v>
      </c>
      <c r="S717" t="n">
        <v>0</v>
      </c>
      <c r="T717" t="n">
        <v>0</v>
      </c>
      <c r="U717" t="n">
        <v>0</v>
      </c>
      <c r="V717" s="2" t="inlineStr"/>
    </row>
    <row r="718" ht="15" customHeight="1">
      <c r="A718" t="inlineStr">
        <is>
          <t>A 38505-2026</t>
        </is>
      </c>
      <c r="B718" t="inlineStr">
        <is>
          <t>avverkningsanmälan</t>
        </is>
      </c>
      <c r="C718" t="inlineStr">
        <is>
          <t>Föryngringsavverkning</t>
        </is>
      </c>
      <c r="D718" s="1" t="n">
        <v>46282</v>
      </c>
      <c r="E718" s="1" t="n">
        <v>46323</v>
      </c>
      <c r="F718" t="inlineStr">
        <is>
          <t>KALMAR LÄN</t>
        </is>
      </c>
      <c r="G718" t="inlineStr">
        <is>
          <t>VÄSTERVIK</t>
        </is>
      </c>
      <c r="I718" t="n">
        <v>0.6</v>
      </c>
      <c r="J718" t="n">
        <v>0</v>
      </c>
      <c r="K718" t="n">
        <v>0</v>
      </c>
      <c r="L718" t="n">
        <v>0</v>
      </c>
      <c r="M718" t="n">
        <v>0</v>
      </c>
      <c r="N718" t="n">
        <v>0</v>
      </c>
      <c r="O718" t="n">
        <v>0</v>
      </c>
      <c r="P718" t="n">
        <v>0</v>
      </c>
      <c r="Q718" t="n">
        <v>0</v>
      </c>
      <c r="R718" t="n">
        <v>0</v>
      </c>
      <c r="S718" t="n">
        <v>0</v>
      </c>
      <c r="T718" t="n">
        <v>0</v>
      </c>
      <c r="U718" t="n">
        <v>0</v>
      </c>
      <c r="V718" s="2" t="inlineStr"/>
    </row>
    <row r="719" ht="15" customHeight="1">
      <c r="A719" t="inlineStr">
        <is>
          <t>A 51566-2025</t>
        </is>
      </c>
      <c r="B719" t="inlineStr">
        <is>
          <t>avverkningsanmälan</t>
        </is>
      </c>
      <c r="C719" t="inlineStr">
        <is>
          <t>Föryngringsavverkning</t>
        </is>
      </c>
      <c r="D719" s="1" t="n">
        <v>45951</v>
      </c>
      <c r="E719" s="1" t="n">
        <v>46323</v>
      </c>
      <c r="F719" t="inlineStr">
        <is>
          <t>KALMAR LÄN</t>
        </is>
      </c>
      <c r="G719" t="inlineStr">
        <is>
          <t>VÄSTERVIK</t>
        </is>
      </c>
      <c r="I719" t="n">
        <v>3.4</v>
      </c>
      <c r="J719" t="n">
        <v>0</v>
      </c>
      <c r="K719" t="n">
        <v>0</v>
      </c>
      <c r="L719" t="n">
        <v>0</v>
      </c>
      <c r="M719" t="n">
        <v>0</v>
      </c>
      <c r="N719" t="n">
        <v>0</v>
      </c>
      <c r="O719" t="n">
        <v>0</v>
      </c>
      <c r="P719" t="n">
        <v>0</v>
      </c>
      <c r="Q719" t="n">
        <v>0</v>
      </c>
      <c r="R719" t="n">
        <v>0</v>
      </c>
      <c r="S719" t="n">
        <v>0</v>
      </c>
      <c r="T719" t="n">
        <v>0</v>
      </c>
      <c r="U719" t="n">
        <v>0</v>
      </c>
      <c r="V719" s="2" t="inlineStr"/>
    </row>
    <row r="720" ht="15" customHeight="1">
      <c r="A720" t="inlineStr">
        <is>
          <t>A 63018-2023</t>
        </is>
      </c>
      <c r="B720" t="inlineStr">
        <is>
          <t>avverkningsanmälan</t>
        </is>
      </c>
      <c r="C720" t="inlineStr">
        <is>
          <t>Föryngringsavverkning</t>
        </is>
      </c>
      <c r="D720" s="1" t="n">
        <v>45272</v>
      </c>
      <c r="E720" s="1" t="n">
        <v>46323</v>
      </c>
      <c r="F720" t="inlineStr">
        <is>
          <t>KALMAR LÄN</t>
        </is>
      </c>
      <c r="G720" t="inlineStr">
        <is>
          <t>VÄSTERVIK</t>
        </is>
      </c>
      <c r="I720" t="n">
        <v>1.7</v>
      </c>
      <c r="J720" t="n">
        <v>0</v>
      </c>
      <c r="K720" t="n">
        <v>0</v>
      </c>
      <c r="L720" t="n">
        <v>0</v>
      </c>
      <c r="M720" t="n">
        <v>0</v>
      </c>
      <c r="N720" t="n">
        <v>0</v>
      </c>
      <c r="O720" t="n">
        <v>0</v>
      </c>
      <c r="P720" t="n">
        <v>0</v>
      </c>
      <c r="Q720" t="n">
        <v>0</v>
      </c>
      <c r="R720" t="n">
        <v>0</v>
      </c>
      <c r="S720" t="n">
        <v>0</v>
      </c>
      <c r="T720" t="n">
        <v>0</v>
      </c>
      <c r="U720" t="n">
        <v>0</v>
      </c>
      <c r="V720" s="2" t="inlineStr"/>
    </row>
    <row r="721" ht="15" customHeight="1">
      <c r="A721" t="inlineStr">
        <is>
          <t>A 3467-2025</t>
        </is>
      </c>
      <c r="B721" t="inlineStr">
        <is>
          <t>avverkningsanmälan</t>
        </is>
      </c>
      <c r="C721" t="inlineStr">
        <is>
          <t>Föryngringsavverkning</t>
        </is>
      </c>
      <c r="D721" s="1" t="n">
        <v>45680</v>
      </c>
      <c r="E721" s="1" t="n">
        <v>46323</v>
      </c>
      <c r="F721" t="inlineStr">
        <is>
          <t>KALMAR LÄN</t>
        </is>
      </c>
      <c r="G721" t="inlineStr">
        <is>
          <t>VÄSTERVIK</t>
        </is>
      </c>
      <c r="I721" t="n">
        <v>2.7</v>
      </c>
      <c r="J721" t="n">
        <v>0</v>
      </c>
      <c r="K721" t="n">
        <v>0</v>
      </c>
      <c r="L721" t="n">
        <v>0</v>
      </c>
      <c r="M721" t="n">
        <v>0</v>
      </c>
      <c r="N721" t="n">
        <v>0</v>
      </c>
      <c r="O721" t="n">
        <v>0</v>
      </c>
      <c r="P721" t="n">
        <v>0</v>
      </c>
      <c r="Q721" t="n">
        <v>0</v>
      </c>
      <c r="R721" t="n">
        <v>0</v>
      </c>
      <c r="S721" t="n">
        <v>0</v>
      </c>
      <c r="T721" t="n">
        <v>0</v>
      </c>
      <c r="U721" t="n">
        <v>0</v>
      </c>
      <c r="V721" s="2" t="inlineStr"/>
    </row>
    <row r="722" ht="15" customHeight="1">
      <c r="A722" t="inlineStr">
        <is>
          <t>A 6021-2024</t>
        </is>
      </c>
      <c r="B722" t="inlineStr">
        <is>
          <t>avverkningsanmälan</t>
        </is>
      </c>
      <c r="C722" t="inlineStr">
        <is>
          <t>Föryngringsavverkning</t>
        </is>
      </c>
      <c r="D722" s="1" t="n">
        <v>45336</v>
      </c>
      <c r="E722" s="1" t="n">
        <v>46323</v>
      </c>
      <c r="F722" t="inlineStr">
        <is>
          <t>KALMAR LÄN</t>
        </is>
      </c>
      <c r="G722" t="inlineStr">
        <is>
          <t>VÄSTERVIK</t>
        </is>
      </c>
      <c r="I722" t="n">
        <v>1.7</v>
      </c>
      <c r="J722" t="n">
        <v>0</v>
      </c>
      <c r="K722" t="n">
        <v>0</v>
      </c>
      <c r="L722" t="n">
        <v>0</v>
      </c>
      <c r="M722" t="n">
        <v>0</v>
      </c>
      <c r="N722" t="n">
        <v>0</v>
      </c>
      <c r="O722" t="n">
        <v>0</v>
      </c>
      <c r="P722" t="n">
        <v>0</v>
      </c>
      <c r="Q722" t="n">
        <v>0</v>
      </c>
      <c r="R722" t="n">
        <v>0</v>
      </c>
      <c r="S722" t="n">
        <v>0</v>
      </c>
      <c r="T722" t="n">
        <v>0</v>
      </c>
      <c r="U722" t="n">
        <v>0</v>
      </c>
      <c r="V722" s="2" t="inlineStr"/>
    </row>
    <row r="723" ht="15" customHeight="1">
      <c r="A723" t="inlineStr">
        <is>
          <t>A 55287-2023</t>
        </is>
      </c>
      <c r="B723" t="inlineStr">
        <is>
          <t>avverkningsanmälan</t>
        </is>
      </c>
      <c r="C723" t="inlineStr">
        <is>
          <t>Föryngringsavverkning</t>
        </is>
      </c>
      <c r="D723" s="1" t="n">
        <v>45237</v>
      </c>
      <c r="E723" s="1" t="n">
        <v>46323</v>
      </c>
      <c r="F723" t="inlineStr">
        <is>
          <t>KALMAR LÄN</t>
        </is>
      </c>
      <c r="G723" t="inlineStr">
        <is>
          <t>VÄSTERVIK</t>
        </is>
      </c>
      <c r="I723" t="n">
        <v>2.3</v>
      </c>
      <c r="J723" t="n">
        <v>0</v>
      </c>
      <c r="K723" t="n">
        <v>0</v>
      </c>
      <c r="L723" t="n">
        <v>0</v>
      </c>
      <c r="M723" t="n">
        <v>0</v>
      </c>
      <c r="N723" t="n">
        <v>0</v>
      </c>
      <c r="O723" t="n">
        <v>0</v>
      </c>
      <c r="P723" t="n">
        <v>0</v>
      </c>
      <c r="Q723" t="n">
        <v>0</v>
      </c>
      <c r="R723" t="n">
        <v>0</v>
      </c>
      <c r="S723" t="n">
        <v>0</v>
      </c>
      <c r="T723" t="n">
        <v>0</v>
      </c>
      <c r="U723" t="n">
        <v>0</v>
      </c>
      <c r="V723" s="2" t="inlineStr"/>
    </row>
    <row r="724" ht="15" customHeight="1">
      <c r="A724" t="inlineStr">
        <is>
          <t>A 2168-2024</t>
        </is>
      </c>
      <c r="B724" t="inlineStr">
        <is>
          <t>avverkningsanmälan</t>
        </is>
      </c>
      <c r="C724" t="inlineStr">
        <is>
          <t>Föryngringsavverkning</t>
        </is>
      </c>
      <c r="D724" s="1" t="n">
        <v>45309</v>
      </c>
      <c r="E724" s="1" t="n">
        <v>46323</v>
      </c>
      <c r="F724" t="inlineStr">
        <is>
          <t>KALMAR LÄN</t>
        </is>
      </c>
      <c r="G724" t="inlineStr">
        <is>
          <t>VÄSTERVIK</t>
        </is>
      </c>
      <c r="I724" t="n">
        <v>2</v>
      </c>
      <c r="J724" t="n">
        <v>0</v>
      </c>
      <c r="K724" t="n">
        <v>0</v>
      </c>
      <c r="L724" t="n">
        <v>0</v>
      </c>
      <c r="M724" t="n">
        <v>0</v>
      </c>
      <c r="N724" t="n">
        <v>0</v>
      </c>
      <c r="O724" t="n">
        <v>0</v>
      </c>
      <c r="P724" t="n">
        <v>0</v>
      </c>
      <c r="Q724" t="n">
        <v>0</v>
      </c>
      <c r="R724" t="n">
        <v>0</v>
      </c>
      <c r="S724" t="n">
        <v>0</v>
      </c>
      <c r="T724" t="n">
        <v>0</v>
      </c>
      <c r="U724" t="n">
        <v>0</v>
      </c>
      <c r="V724" s="2" t="inlineStr"/>
    </row>
    <row r="725" ht="15" customHeight="1">
      <c r="A725" t="inlineStr">
        <is>
          <t>A 10688-2024</t>
        </is>
      </c>
      <c r="B725" t="inlineStr">
        <is>
          <t>avverkningsanmälan</t>
        </is>
      </c>
      <c r="C725" t="inlineStr">
        <is>
          <t>Föryngringsavverkning</t>
        </is>
      </c>
      <c r="D725" s="1" t="n">
        <v>45369</v>
      </c>
      <c r="E725" s="1" t="n">
        <v>46323</v>
      </c>
      <c r="F725" t="inlineStr">
        <is>
          <t>KALMAR LÄN</t>
        </is>
      </c>
      <c r="G725" t="inlineStr">
        <is>
          <t>VÄSTERVIK</t>
        </is>
      </c>
      <c r="I725" t="n">
        <v>1.1</v>
      </c>
      <c r="J725" t="n">
        <v>0</v>
      </c>
      <c r="K725" t="n">
        <v>0</v>
      </c>
      <c r="L725" t="n">
        <v>0</v>
      </c>
      <c r="M725" t="n">
        <v>0</v>
      </c>
      <c r="N725" t="n">
        <v>0</v>
      </c>
      <c r="O725" t="n">
        <v>0</v>
      </c>
      <c r="P725" t="n">
        <v>0</v>
      </c>
      <c r="Q725" t="n">
        <v>0</v>
      </c>
      <c r="R725" t="n">
        <v>0</v>
      </c>
      <c r="S725" t="n">
        <v>0</v>
      </c>
      <c r="T725" t="n">
        <v>0</v>
      </c>
      <c r="U725" t="n">
        <v>0</v>
      </c>
      <c r="V725" s="2" t="inlineStr"/>
    </row>
    <row r="726" ht="15" customHeight="1">
      <c r="A726" t="inlineStr">
        <is>
          <t>A 37936-2022</t>
        </is>
      </c>
      <c r="B726" t="inlineStr">
        <is>
          <t>avverkningsanmälan</t>
        </is>
      </c>
      <c r="C726" t="inlineStr">
        <is>
          <t>Föryngringsavverkning</t>
        </is>
      </c>
      <c r="D726" s="1" t="n">
        <v>44811</v>
      </c>
      <c r="E726" s="1" t="n">
        <v>46323</v>
      </c>
      <c r="F726" t="inlineStr">
        <is>
          <t>KALMAR LÄN</t>
        </is>
      </c>
      <c r="G726" t="inlineStr">
        <is>
          <t>VÄSTERVIK</t>
        </is>
      </c>
      <c r="I726" t="n">
        <v>0.9</v>
      </c>
      <c r="J726" t="n">
        <v>0</v>
      </c>
      <c r="K726" t="n">
        <v>0</v>
      </c>
      <c r="L726" t="n">
        <v>0</v>
      </c>
      <c r="M726" t="n">
        <v>0</v>
      </c>
      <c r="N726" t="n">
        <v>0</v>
      </c>
      <c r="O726" t="n">
        <v>0</v>
      </c>
      <c r="P726" t="n">
        <v>0</v>
      </c>
      <c r="Q726" t="n">
        <v>0</v>
      </c>
      <c r="R726" t="n">
        <v>0</v>
      </c>
      <c r="S726" t="n">
        <v>0</v>
      </c>
      <c r="T726" t="n">
        <v>0</v>
      </c>
      <c r="U726" t="n">
        <v>0</v>
      </c>
      <c r="V726" s="2" t="inlineStr"/>
    </row>
    <row r="727" ht="15" customHeight="1">
      <c r="A727" t="inlineStr">
        <is>
          <t>A 55289-2023</t>
        </is>
      </c>
      <c r="B727" t="inlineStr">
        <is>
          <t>avverkningsanmälan</t>
        </is>
      </c>
      <c r="C727" t="inlineStr">
        <is>
          <t>Föryngringsavverkning</t>
        </is>
      </c>
      <c r="D727" s="1" t="n">
        <v>45237</v>
      </c>
      <c r="E727" s="1" t="n">
        <v>46323</v>
      </c>
      <c r="F727" t="inlineStr">
        <is>
          <t>KALMAR LÄN</t>
        </is>
      </c>
      <c r="G727" t="inlineStr">
        <is>
          <t>VÄSTERVIK</t>
        </is>
      </c>
      <c r="I727" t="n">
        <v>1.7</v>
      </c>
      <c r="J727" t="n">
        <v>0</v>
      </c>
      <c r="K727" t="n">
        <v>0</v>
      </c>
      <c r="L727" t="n">
        <v>0</v>
      </c>
      <c r="M727" t="n">
        <v>0</v>
      </c>
      <c r="N727" t="n">
        <v>0</v>
      </c>
      <c r="O727" t="n">
        <v>0</v>
      </c>
      <c r="P727" t="n">
        <v>0</v>
      </c>
      <c r="Q727" t="n">
        <v>0</v>
      </c>
      <c r="R727" t="n">
        <v>0</v>
      </c>
      <c r="S727" t="n">
        <v>0</v>
      </c>
      <c r="T727" t="n">
        <v>0</v>
      </c>
      <c r="U727" t="n">
        <v>0</v>
      </c>
      <c r="V727" s="2" t="inlineStr"/>
    </row>
    <row r="728" ht="15" customHeight="1">
      <c r="A728" t="inlineStr">
        <is>
          <t>A 33207-2022</t>
        </is>
      </c>
      <c r="B728" t="inlineStr">
        <is>
          <t>avverkningsanmälan</t>
        </is>
      </c>
      <c r="C728" t="inlineStr">
        <is>
          <t>Föryngringsavverkning</t>
        </is>
      </c>
      <c r="D728" s="1" t="n">
        <v>44785</v>
      </c>
      <c r="E728" s="1" t="n">
        <v>46323</v>
      </c>
      <c r="F728" t="inlineStr">
        <is>
          <t>KALMAR LÄN</t>
        </is>
      </c>
      <c r="G728" t="inlineStr">
        <is>
          <t>VÄSTERVIK</t>
        </is>
      </c>
      <c r="I728" t="n">
        <v>0.9</v>
      </c>
      <c r="J728" t="n">
        <v>0</v>
      </c>
      <c r="K728" t="n">
        <v>0</v>
      </c>
      <c r="L728" t="n">
        <v>0</v>
      </c>
      <c r="M728" t="n">
        <v>0</v>
      </c>
      <c r="N728" t="n">
        <v>0</v>
      </c>
      <c r="O728" t="n">
        <v>0</v>
      </c>
      <c r="P728" t="n">
        <v>0</v>
      </c>
      <c r="Q728" t="n">
        <v>0</v>
      </c>
      <c r="R728" t="n">
        <v>0</v>
      </c>
      <c r="S728" t="n">
        <v>0</v>
      </c>
      <c r="T728" t="n">
        <v>0</v>
      </c>
      <c r="U728" t="n">
        <v>0</v>
      </c>
      <c r="V728" s="2" t="inlineStr"/>
    </row>
    <row r="729" ht="15" customHeight="1">
      <c r="A729" t="inlineStr">
        <is>
          <t>A 33210-2022</t>
        </is>
      </c>
      <c r="B729" t="inlineStr">
        <is>
          <t>avverkningsanmälan</t>
        </is>
      </c>
      <c r="C729" t="inlineStr">
        <is>
          <t>Föryngringsavverkning</t>
        </is>
      </c>
      <c r="D729" s="1" t="n">
        <v>44785</v>
      </c>
      <c r="E729" s="1" t="n">
        <v>46323</v>
      </c>
      <c r="F729" t="inlineStr">
        <is>
          <t>KALMAR LÄN</t>
        </is>
      </c>
      <c r="G729" t="inlineStr">
        <is>
          <t>VÄSTERVIK</t>
        </is>
      </c>
      <c r="I729" t="n">
        <v>3.2</v>
      </c>
      <c r="J729" t="n">
        <v>0</v>
      </c>
      <c r="K729" t="n">
        <v>0</v>
      </c>
      <c r="L729" t="n">
        <v>0</v>
      </c>
      <c r="M729" t="n">
        <v>0</v>
      </c>
      <c r="N729" t="n">
        <v>0</v>
      </c>
      <c r="O729" t="n">
        <v>0</v>
      </c>
      <c r="P729" t="n">
        <v>0</v>
      </c>
      <c r="Q729" t="n">
        <v>0</v>
      </c>
      <c r="R729" t="n">
        <v>0</v>
      </c>
      <c r="S729" t="n">
        <v>0</v>
      </c>
      <c r="T729" t="n">
        <v>0</v>
      </c>
      <c r="U729" t="n">
        <v>0</v>
      </c>
      <c r="V729" s="2" t="inlineStr"/>
    </row>
    <row r="730" ht="15" customHeight="1">
      <c r="A730" t="inlineStr">
        <is>
          <t>A 10515-2024</t>
        </is>
      </c>
      <c r="B730" t="inlineStr">
        <is>
          <t>avverkningsanmälan</t>
        </is>
      </c>
      <c r="C730" t="inlineStr">
        <is>
          <t>Föryngringsavverkning</t>
        </is>
      </c>
      <c r="D730" s="1" t="n">
        <v>45366</v>
      </c>
      <c r="E730" s="1" t="n">
        <v>46323</v>
      </c>
      <c r="F730" t="inlineStr">
        <is>
          <t>KALMAR LÄN</t>
        </is>
      </c>
      <c r="G730" t="inlineStr">
        <is>
          <t>VÄSTERVIK</t>
        </is>
      </c>
      <c r="H730" t="inlineStr">
        <is>
          <t>Kyrkan</t>
        </is>
      </c>
      <c r="I730" t="n">
        <v>3.5</v>
      </c>
      <c r="J730" t="n">
        <v>0</v>
      </c>
      <c r="K730" t="n">
        <v>0</v>
      </c>
      <c r="L730" t="n">
        <v>0</v>
      </c>
      <c r="M730" t="n">
        <v>0</v>
      </c>
      <c r="N730" t="n">
        <v>0</v>
      </c>
      <c r="O730" t="n">
        <v>0</v>
      </c>
      <c r="P730" t="n">
        <v>0</v>
      </c>
      <c r="Q730" t="n">
        <v>0</v>
      </c>
      <c r="R730" t="n">
        <v>0</v>
      </c>
      <c r="S730" t="n">
        <v>0</v>
      </c>
      <c r="T730" t="n">
        <v>0</v>
      </c>
      <c r="U730" t="n">
        <v>0</v>
      </c>
      <c r="V730" s="2" t="inlineStr"/>
    </row>
    <row r="731" ht="15" customHeight="1">
      <c r="A731" t="inlineStr">
        <is>
          <t>A 46088-2023</t>
        </is>
      </c>
      <c r="B731" t="inlineStr">
        <is>
          <t>avverkningsanmälan</t>
        </is>
      </c>
      <c r="C731" t="inlineStr">
        <is>
          <t>Avverkning för att bevara och utveckla /försöksver</t>
        </is>
      </c>
      <c r="D731" s="1" t="n">
        <v>45196</v>
      </c>
      <c r="E731" s="1" t="n">
        <v>46323</v>
      </c>
      <c r="F731" t="inlineStr">
        <is>
          <t>KALMAR LÄN</t>
        </is>
      </c>
      <c r="G731" t="inlineStr">
        <is>
          <t>VÄSTERVIK</t>
        </is>
      </c>
      <c r="H731" t="inlineStr">
        <is>
          <t>Sveaskog</t>
        </is>
      </c>
      <c r="I731" t="n">
        <v>1.6</v>
      </c>
      <c r="J731" t="n">
        <v>0</v>
      </c>
      <c r="K731" t="n">
        <v>0</v>
      </c>
      <c r="L731" t="n">
        <v>0</v>
      </c>
      <c r="M731" t="n">
        <v>0</v>
      </c>
      <c r="N731" t="n">
        <v>0</v>
      </c>
      <c r="O731" t="n">
        <v>0</v>
      </c>
      <c r="P731" t="n">
        <v>0</v>
      </c>
      <c r="Q731" t="n">
        <v>0</v>
      </c>
      <c r="R731" t="n">
        <v>0</v>
      </c>
      <c r="S731" t="n">
        <v>0</v>
      </c>
      <c r="T731" t="n">
        <v>0</v>
      </c>
      <c r="U731" t="n">
        <v>0</v>
      </c>
      <c r="V731" s="2" t="inlineStr"/>
    </row>
    <row r="732" ht="15" customHeight="1">
      <c r="A732" t="inlineStr">
        <is>
          <t>A 46121-2023</t>
        </is>
      </c>
      <c r="B732" t="inlineStr">
        <is>
          <t>avverkningsanmälan</t>
        </is>
      </c>
      <c r="C732" t="inlineStr">
        <is>
          <t>Föryngringsavverkning</t>
        </is>
      </c>
      <c r="D732" s="1" t="n">
        <v>45196</v>
      </c>
      <c r="E732" s="1" t="n">
        <v>46323</v>
      </c>
      <c r="F732" t="inlineStr">
        <is>
          <t>KALMAR LÄN</t>
        </is>
      </c>
      <c r="G732" t="inlineStr">
        <is>
          <t>VÄSTERVIK</t>
        </is>
      </c>
      <c r="H732" t="inlineStr">
        <is>
          <t>Sveaskog</t>
        </is>
      </c>
      <c r="I732" t="n">
        <v>3.3</v>
      </c>
      <c r="J732" t="n">
        <v>0</v>
      </c>
      <c r="K732" t="n">
        <v>0</v>
      </c>
      <c r="L732" t="n">
        <v>0</v>
      </c>
      <c r="M732" t="n">
        <v>0</v>
      </c>
      <c r="N732" t="n">
        <v>0</v>
      </c>
      <c r="O732" t="n">
        <v>0</v>
      </c>
      <c r="P732" t="n">
        <v>0</v>
      </c>
      <c r="Q732" t="n">
        <v>0</v>
      </c>
      <c r="R732" t="n">
        <v>0</v>
      </c>
      <c r="S732" t="n">
        <v>0</v>
      </c>
      <c r="T732" t="n">
        <v>0</v>
      </c>
      <c r="U732" t="n">
        <v>0</v>
      </c>
      <c r="V732" s="2" t="inlineStr"/>
    </row>
    <row r="733" ht="15" customHeight="1">
      <c r="A733" t="inlineStr">
        <is>
          <t>A 56033-2023</t>
        </is>
      </c>
      <c r="B733" t="inlineStr">
        <is>
          <t>avverkningsanmälan</t>
        </is>
      </c>
      <c r="C733" t="inlineStr">
        <is>
          <t>Föryngringsavverkning</t>
        </is>
      </c>
      <c r="D733" s="1" t="n">
        <v>45240</v>
      </c>
      <c r="E733" s="1" t="n">
        <v>46323</v>
      </c>
      <c r="F733" t="inlineStr">
        <is>
          <t>KALMAR LÄN</t>
        </is>
      </c>
      <c r="G733" t="inlineStr">
        <is>
          <t>VÄSTERVIK</t>
        </is>
      </c>
      <c r="I733" t="n">
        <v>0.4</v>
      </c>
      <c r="J733" t="n">
        <v>0</v>
      </c>
      <c r="K733" t="n">
        <v>0</v>
      </c>
      <c r="L733" t="n">
        <v>0</v>
      </c>
      <c r="M733" t="n">
        <v>0</v>
      </c>
      <c r="N733" t="n">
        <v>0</v>
      </c>
      <c r="O733" t="n">
        <v>0</v>
      </c>
      <c r="P733" t="n">
        <v>0</v>
      </c>
      <c r="Q733" t="n">
        <v>0</v>
      </c>
      <c r="R733" t="n">
        <v>0</v>
      </c>
      <c r="S733" t="n">
        <v>0</v>
      </c>
      <c r="T733" t="n">
        <v>0</v>
      </c>
      <c r="U733" t="n">
        <v>0</v>
      </c>
      <c r="V733" s="2" t="inlineStr"/>
    </row>
    <row r="734" ht="15" customHeight="1">
      <c r="A734" t="inlineStr">
        <is>
          <t>A 33186-2026</t>
        </is>
      </c>
      <c r="B734" t="inlineStr">
        <is>
          <t>avverkningsanmälan</t>
        </is>
      </c>
      <c r="C734" t="inlineStr">
        <is>
          <t>Föryngringsavverkning</t>
        </is>
      </c>
      <c r="D734" s="1" t="n">
        <v>46246</v>
      </c>
      <c r="E734" s="1" t="n">
        <v>46323</v>
      </c>
      <c r="F734" t="inlineStr">
        <is>
          <t>KALMAR LÄN</t>
        </is>
      </c>
      <c r="G734" t="inlineStr">
        <is>
          <t>VÄSTERVIK</t>
        </is>
      </c>
      <c r="I734" t="n">
        <v>1</v>
      </c>
      <c r="J734" t="n">
        <v>0</v>
      </c>
      <c r="K734" t="n">
        <v>0</v>
      </c>
      <c r="L734" t="n">
        <v>0</v>
      </c>
      <c r="M734" t="n">
        <v>0</v>
      </c>
      <c r="N734" t="n">
        <v>0</v>
      </c>
      <c r="O734" t="n">
        <v>0</v>
      </c>
      <c r="P734" t="n">
        <v>0</v>
      </c>
      <c r="Q734" t="n">
        <v>0</v>
      </c>
      <c r="R734" t="n">
        <v>0</v>
      </c>
      <c r="S734" t="n">
        <v>0</v>
      </c>
      <c r="T734" t="n">
        <v>0</v>
      </c>
      <c r="U734" t="n">
        <v>0</v>
      </c>
      <c r="V734" s="2" t="inlineStr"/>
    </row>
    <row r="735" ht="15" customHeight="1">
      <c r="A735" t="inlineStr">
        <is>
          <t>A 28404-2024</t>
        </is>
      </c>
      <c r="B735" t="inlineStr">
        <is>
          <t>avverkningsanmälan</t>
        </is>
      </c>
      <c r="C735" t="inlineStr">
        <is>
          <t>Föryngringsavverkning</t>
        </is>
      </c>
      <c r="D735" s="1" t="n">
        <v>45477</v>
      </c>
      <c r="E735" s="1" t="n">
        <v>46323</v>
      </c>
      <c r="F735" t="inlineStr">
        <is>
          <t>KALMAR LÄN</t>
        </is>
      </c>
      <c r="G735" t="inlineStr">
        <is>
          <t>VÄSTERVIK</t>
        </is>
      </c>
      <c r="H735" t="inlineStr">
        <is>
          <t>Holmen skog AB</t>
        </is>
      </c>
      <c r="I735" t="n">
        <v>0.6</v>
      </c>
      <c r="J735" t="n">
        <v>0</v>
      </c>
      <c r="K735" t="n">
        <v>0</v>
      </c>
      <c r="L735" t="n">
        <v>0</v>
      </c>
      <c r="M735" t="n">
        <v>0</v>
      </c>
      <c r="N735" t="n">
        <v>0</v>
      </c>
      <c r="O735" t="n">
        <v>0</v>
      </c>
      <c r="P735" t="n">
        <v>0</v>
      </c>
      <c r="Q735" t="n">
        <v>0</v>
      </c>
      <c r="R735" t="n">
        <v>0</v>
      </c>
      <c r="S735" t="n">
        <v>0</v>
      </c>
      <c r="T735" t="n">
        <v>0</v>
      </c>
      <c r="U735" t="n">
        <v>0</v>
      </c>
      <c r="V735" s="2" t="inlineStr"/>
    </row>
    <row r="736" ht="15" customHeight="1">
      <c r="A736" t="inlineStr">
        <is>
          <t>A 28415-2024</t>
        </is>
      </c>
      <c r="B736" t="inlineStr">
        <is>
          <t>avverkningsanmälan</t>
        </is>
      </c>
      <c r="C736" t="inlineStr">
        <is>
          <t>Föryngringsavverkning</t>
        </is>
      </c>
      <c r="D736" s="1" t="n">
        <v>45477</v>
      </c>
      <c r="E736" s="1" t="n">
        <v>46323</v>
      </c>
      <c r="F736" t="inlineStr">
        <is>
          <t>KALMAR LÄN</t>
        </is>
      </c>
      <c r="G736" t="inlineStr">
        <is>
          <t>VÄSTERVIK</t>
        </is>
      </c>
      <c r="H736" t="inlineStr">
        <is>
          <t>Holmen skog AB</t>
        </is>
      </c>
      <c r="I736" t="n">
        <v>2.7</v>
      </c>
      <c r="J736" t="n">
        <v>0</v>
      </c>
      <c r="K736" t="n">
        <v>0</v>
      </c>
      <c r="L736" t="n">
        <v>0</v>
      </c>
      <c r="M736" t="n">
        <v>0</v>
      </c>
      <c r="N736" t="n">
        <v>0</v>
      </c>
      <c r="O736" t="n">
        <v>0</v>
      </c>
      <c r="P736" t="n">
        <v>0</v>
      </c>
      <c r="Q736" t="n">
        <v>0</v>
      </c>
      <c r="R736" t="n">
        <v>0</v>
      </c>
      <c r="S736" t="n">
        <v>0</v>
      </c>
      <c r="T736" t="n">
        <v>0</v>
      </c>
      <c r="U736" t="n">
        <v>0</v>
      </c>
      <c r="V736" s="2" t="inlineStr"/>
    </row>
    <row r="737" ht="15" customHeight="1">
      <c r="A737" t="inlineStr">
        <is>
          <t>A 934-2024</t>
        </is>
      </c>
      <c r="B737" t="inlineStr">
        <is>
          <t>avverkningsanmälan</t>
        </is>
      </c>
      <c r="C737" t="inlineStr">
        <is>
          <t>Föryngringsavverkning</t>
        </is>
      </c>
      <c r="D737" s="1" t="n">
        <v>45301</v>
      </c>
      <c r="E737" s="1" t="n">
        <v>46323</v>
      </c>
      <c r="F737" t="inlineStr">
        <is>
          <t>KALMAR LÄN</t>
        </is>
      </c>
      <c r="G737" t="inlineStr">
        <is>
          <t>VÄSTERVIK</t>
        </is>
      </c>
      <c r="I737" t="n">
        <v>2.3</v>
      </c>
      <c r="J737" t="n">
        <v>0</v>
      </c>
      <c r="K737" t="n">
        <v>0</v>
      </c>
      <c r="L737" t="n">
        <v>0</v>
      </c>
      <c r="M737" t="n">
        <v>0</v>
      </c>
      <c r="N737" t="n">
        <v>0</v>
      </c>
      <c r="O737" t="n">
        <v>0</v>
      </c>
      <c r="P737" t="n">
        <v>0</v>
      </c>
      <c r="Q737" t="n">
        <v>0</v>
      </c>
      <c r="R737" t="n">
        <v>0</v>
      </c>
      <c r="S737" t="n">
        <v>0</v>
      </c>
      <c r="T737" t="n">
        <v>0</v>
      </c>
      <c r="U737" t="n">
        <v>0</v>
      </c>
      <c r="V737" s="2" t="inlineStr"/>
    </row>
    <row r="738" ht="15" customHeight="1">
      <c r="A738" t="inlineStr">
        <is>
          <t>A 936-2024</t>
        </is>
      </c>
      <c r="B738" t="inlineStr">
        <is>
          <t>avverkningsanmälan</t>
        </is>
      </c>
      <c r="C738" t="inlineStr">
        <is>
          <t>Avverkning för att bevara och utveckla /försöksver</t>
        </is>
      </c>
      <c r="D738" s="1" t="n">
        <v>45301</v>
      </c>
      <c r="E738" s="1" t="n">
        <v>46323</v>
      </c>
      <c r="F738" t="inlineStr">
        <is>
          <t>KALMAR LÄN</t>
        </is>
      </c>
      <c r="G738" t="inlineStr">
        <is>
          <t>VÄSTERVIK</t>
        </is>
      </c>
      <c r="I738" t="n">
        <v>1.4</v>
      </c>
      <c r="J738" t="n">
        <v>0</v>
      </c>
      <c r="K738" t="n">
        <v>0</v>
      </c>
      <c r="L738" t="n">
        <v>0</v>
      </c>
      <c r="M738" t="n">
        <v>0</v>
      </c>
      <c r="N738" t="n">
        <v>0</v>
      </c>
      <c r="O738" t="n">
        <v>0</v>
      </c>
      <c r="P738" t="n">
        <v>0</v>
      </c>
      <c r="Q738" t="n">
        <v>0</v>
      </c>
      <c r="R738" t="n">
        <v>0</v>
      </c>
      <c r="S738" t="n">
        <v>0</v>
      </c>
      <c r="T738" t="n">
        <v>0</v>
      </c>
      <c r="U738" t="n">
        <v>0</v>
      </c>
      <c r="V738" s="2" t="inlineStr"/>
    </row>
    <row r="739" ht="15" customHeight="1">
      <c r="A739" t="inlineStr">
        <is>
          <t>A 21857-2026</t>
        </is>
      </c>
      <c r="B739" t="inlineStr">
        <is>
          <t>avverkningsanmälan</t>
        </is>
      </c>
      <c r="C739" t="inlineStr">
        <is>
          <t>Föryngringsavverkning</t>
        </is>
      </c>
      <c r="D739" s="1" t="n">
        <v>46150</v>
      </c>
      <c r="E739" s="1" t="n">
        <v>46323</v>
      </c>
      <c r="F739" t="inlineStr">
        <is>
          <t>KALMAR LÄN</t>
        </is>
      </c>
      <c r="G739" t="inlineStr">
        <is>
          <t>VÄSTERVIK</t>
        </is>
      </c>
      <c r="I739" t="n">
        <v>1.5</v>
      </c>
      <c r="J739" t="n">
        <v>0</v>
      </c>
      <c r="K739" t="n">
        <v>0</v>
      </c>
      <c r="L739" t="n">
        <v>0</v>
      </c>
      <c r="M739" t="n">
        <v>0</v>
      </c>
      <c r="N739" t="n">
        <v>0</v>
      </c>
      <c r="O739" t="n">
        <v>0</v>
      </c>
      <c r="P739" t="n">
        <v>0</v>
      </c>
      <c r="Q739" t="n">
        <v>0</v>
      </c>
      <c r="R739" t="n">
        <v>0</v>
      </c>
      <c r="S739" t="n">
        <v>0</v>
      </c>
      <c r="T739" t="n">
        <v>0</v>
      </c>
      <c r="U739" t="n">
        <v>0</v>
      </c>
      <c r="V739" s="2" t="inlineStr"/>
    </row>
    <row r="740" ht="15" customHeight="1">
      <c r="A740" t="inlineStr">
        <is>
          <t>A 25434-2023</t>
        </is>
      </c>
      <c r="B740" t="inlineStr">
        <is>
          <t>avverkningsanmälan</t>
        </is>
      </c>
      <c r="C740" t="inlineStr">
        <is>
          <t>Föryngringsavverkning</t>
        </is>
      </c>
      <c r="D740" s="1" t="n">
        <v>45089</v>
      </c>
      <c r="E740" s="1" t="n">
        <v>46323</v>
      </c>
      <c r="F740" t="inlineStr">
        <is>
          <t>KALMAR LÄN</t>
        </is>
      </c>
      <c r="G740" t="inlineStr">
        <is>
          <t>VÄSTERVIK</t>
        </is>
      </c>
      <c r="I740" t="n">
        <v>0.9</v>
      </c>
      <c r="J740" t="n">
        <v>0</v>
      </c>
      <c r="K740" t="n">
        <v>0</v>
      </c>
      <c r="L740" t="n">
        <v>0</v>
      </c>
      <c r="M740" t="n">
        <v>0</v>
      </c>
      <c r="N740" t="n">
        <v>0</v>
      </c>
      <c r="O740" t="n">
        <v>0</v>
      </c>
      <c r="P740" t="n">
        <v>0</v>
      </c>
      <c r="Q740" t="n">
        <v>0</v>
      </c>
      <c r="R740" t="n">
        <v>0</v>
      </c>
      <c r="S740" t="n">
        <v>0</v>
      </c>
      <c r="T740" t="n">
        <v>0</v>
      </c>
      <c r="U740" t="n">
        <v>0</v>
      </c>
      <c r="V740" s="2" t="inlineStr"/>
    </row>
    <row r="741" ht="15" customHeight="1">
      <c r="A741" t="inlineStr">
        <is>
          <t>A 18068-2023</t>
        </is>
      </c>
      <c r="B741" t="inlineStr">
        <is>
          <t>avverkningsanmälan</t>
        </is>
      </c>
      <c r="C741" t="inlineStr">
        <is>
          <t>Föryngringsavverkning</t>
        </is>
      </c>
      <c r="D741" s="1" t="n">
        <v>45040</v>
      </c>
      <c r="E741" s="1" t="n">
        <v>46323</v>
      </c>
      <c r="F741" t="inlineStr">
        <is>
          <t>KALMAR LÄN</t>
        </is>
      </c>
      <c r="G741" t="inlineStr">
        <is>
          <t>VÄSTERVIK</t>
        </is>
      </c>
      <c r="I741" t="n">
        <v>1.5</v>
      </c>
      <c r="J741" t="n">
        <v>0</v>
      </c>
      <c r="K741" t="n">
        <v>0</v>
      </c>
      <c r="L741" t="n">
        <v>0</v>
      </c>
      <c r="M741" t="n">
        <v>0</v>
      </c>
      <c r="N741" t="n">
        <v>0</v>
      </c>
      <c r="O741" t="n">
        <v>0</v>
      </c>
      <c r="P741" t="n">
        <v>0</v>
      </c>
      <c r="Q741" t="n">
        <v>0</v>
      </c>
      <c r="R741" t="n">
        <v>0</v>
      </c>
      <c r="S741" t="n">
        <v>0</v>
      </c>
      <c r="T741" t="n">
        <v>0</v>
      </c>
      <c r="U741" t="n">
        <v>0</v>
      </c>
      <c r="V741" s="2" t="inlineStr"/>
    </row>
    <row r="742" ht="15" customHeight="1">
      <c r="A742" t="inlineStr">
        <is>
          <t>A 1872-2026</t>
        </is>
      </c>
      <c r="B742" t="inlineStr">
        <is>
          <t>avverkningsanmälan</t>
        </is>
      </c>
      <c r="C742" t="inlineStr">
        <is>
          <t>Föryngringsavverkning</t>
        </is>
      </c>
      <c r="D742" s="1" t="n">
        <v>46035</v>
      </c>
      <c r="E742" s="1" t="n">
        <v>46323</v>
      </c>
      <c r="F742" t="inlineStr">
        <is>
          <t>KALMAR LÄN</t>
        </is>
      </c>
      <c r="G742" t="inlineStr">
        <is>
          <t>VÄSTERVIK</t>
        </is>
      </c>
      <c r="I742" t="n">
        <v>3</v>
      </c>
      <c r="J742" t="n">
        <v>0</v>
      </c>
      <c r="K742" t="n">
        <v>0</v>
      </c>
      <c r="L742" t="n">
        <v>0</v>
      </c>
      <c r="M742" t="n">
        <v>0</v>
      </c>
      <c r="N742" t="n">
        <v>0</v>
      </c>
      <c r="O742" t="n">
        <v>0</v>
      </c>
      <c r="P742" t="n">
        <v>0</v>
      </c>
      <c r="Q742" t="n">
        <v>0</v>
      </c>
      <c r="R742" t="n">
        <v>0</v>
      </c>
      <c r="S742" t="n">
        <v>0</v>
      </c>
      <c r="T742" t="n">
        <v>0</v>
      </c>
      <c r="U742" t="n">
        <v>0</v>
      </c>
      <c r="V742" s="2" t="inlineStr"/>
    </row>
    <row r="743" ht="15" customHeight="1">
      <c r="A743" t="inlineStr">
        <is>
          <t>A 39755-2026</t>
        </is>
      </c>
      <c r="B743" t="inlineStr">
        <is>
          <t>avverkningsanmälan</t>
        </is>
      </c>
      <c r="C743" t="inlineStr">
        <is>
          <t>Föryngringsavverkning</t>
        </is>
      </c>
      <c r="D743" s="1" t="n">
        <v>46290</v>
      </c>
      <c r="E743" s="1" t="n">
        <v>46323</v>
      </c>
      <c r="F743" t="inlineStr">
        <is>
          <t>KALMAR LÄN</t>
        </is>
      </c>
      <c r="G743" t="inlineStr">
        <is>
          <t>VÄSTERVIK</t>
        </is>
      </c>
      <c r="H743" t="inlineStr">
        <is>
          <t>Sveaskog</t>
        </is>
      </c>
      <c r="I743" t="n">
        <v>6.3</v>
      </c>
      <c r="J743" t="n">
        <v>0</v>
      </c>
      <c r="K743" t="n">
        <v>0</v>
      </c>
      <c r="L743" t="n">
        <v>0</v>
      </c>
      <c r="M743" t="n">
        <v>0</v>
      </c>
      <c r="N743" t="n">
        <v>0</v>
      </c>
      <c r="O743" t="n">
        <v>0</v>
      </c>
      <c r="P743" t="n">
        <v>0</v>
      </c>
      <c r="Q743" t="n">
        <v>0</v>
      </c>
      <c r="R743" t="n">
        <v>0</v>
      </c>
      <c r="S743" t="n">
        <v>0</v>
      </c>
      <c r="T743" t="n">
        <v>0</v>
      </c>
      <c r="U743" t="n">
        <v>0</v>
      </c>
      <c r="V743" s="2" t="inlineStr"/>
    </row>
    <row r="744" ht="15" customHeight="1">
      <c r="A744" t="inlineStr">
        <is>
          <t>A 25197-2026</t>
        </is>
      </c>
      <c r="B744" t="inlineStr">
        <is>
          <t>avverkningsanmälan</t>
        </is>
      </c>
      <c r="C744" t="inlineStr">
        <is>
          <t>Föryngringsavverkning</t>
        </is>
      </c>
      <c r="D744" s="1" t="n">
        <v>46175</v>
      </c>
      <c r="E744" s="1" t="n">
        <v>46323</v>
      </c>
      <c r="F744" t="inlineStr">
        <is>
          <t>KALMAR LÄN</t>
        </is>
      </c>
      <c r="G744" t="inlineStr">
        <is>
          <t>VÄSTERVIK</t>
        </is>
      </c>
      <c r="I744" t="n">
        <v>1.2</v>
      </c>
      <c r="J744" t="n">
        <v>0</v>
      </c>
      <c r="K744" t="n">
        <v>0</v>
      </c>
      <c r="L744" t="n">
        <v>0</v>
      </c>
      <c r="M744" t="n">
        <v>0</v>
      </c>
      <c r="N744" t="n">
        <v>0</v>
      </c>
      <c r="O744" t="n">
        <v>0</v>
      </c>
      <c r="P744" t="n">
        <v>0</v>
      </c>
      <c r="Q744" t="n">
        <v>0</v>
      </c>
      <c r="R744" t="n">
        <v>0</v>
      </c>
      <c r="S744" t="n">
        <v>0</v>
      </c>
      <c r="T744" t="n">
        <v>0</v>
      </c>
      <c r="U744" t="n">
        <v>0</v>
      </c>
      <c r="V744" s="2" t="inlineStr"/>
    </row>
    <row r="745" ht="15" customHeight="1">
      <c r="A745" t="inlineStr">
        <is>
          <t>A 925-2024</t>
        </is>
      </c>
      <c r="B745" t="inlineStr">
        <is>
          <t>avverkningsanmälan</t>
        </is>
      </c>
      <c r="C745" t="inlineStr">
        <is>
          <t>Avverkning för annat ändamål</t>
        </is>
      </c>
      <c r="D745" s="1" t="n">
        <v>45301</v>
      </c>
      <c r="E745" s="1" t="n">
        <v>46323</v>
      </c>
      <c r="F745" t="inlineStr">
        <is>
          <t>KALMAR LÄN</t>
        </is>
      </c>
      <c r="G745" t="inlineStr">
        <is>
          <t>VÄSTERVIK</t>
        </is>
      </c>
      <c r="I745" t="n">
        <v>1.1</v>
      </c>
      <c r="J745" t="n">
        <v>0</v>
      </c>
      <c r="K745" t="n">
        <v>0</v>
      </c>
      <c r="L745" t="n">
        <v>0</v>
      </c>
      <c r="M745" t="n">
        <v>0</v>
      </c>
      <c r="N745" t="n">
        <v>0</v>
      </c>
      <c r="O745" t="n">
        <v>0</v>
      </c>
      <c r="P745" t="n">
        <v>0</v>
      </c>
      <c r="Q745" t="n">
        <v>0</v>
      </c>
      <c r="R745" t="n">
        <v>0</v>
      </c>
      <c r="S745" t="n">
        <v>0</v>
      </c>
      <c r="T745" t="n">
        <v>0</v>
      </c>
      <c r="U745" t="n">
        <v>0</v>
      </c>
      <c r="V745" s="2" t="inlineStr"/>
    </row>
    <row r="746" ht="15" customHeight="1">
      <c r="A746" t="inlineStr">
        <is>
          <t>A 15297-2026</t>
        </is>
      </c>
      <c r="B746" t="inlineStr">
        <is>
          <t>avverkningsanmälan</t>
        </is>
      </c>
      <c r="C746" t="inlineStr">
        <is>
          <t>Föryngringsavverkning</t>
        </is>
      </c>
      <c r="D746" s="1" t="n">
        <v>46105</v>
      </c>
      <c r="E746" s="1" t="n">
        <v>46323</v>
      </c>
      <c r="F746" t="inlineStr">
        <is>
          <t>KALMAR LÄN</t>
        </is>
      </c>
      <c r="G746" t="inlineStr">
        <is>
          <t>VÄSTERVIK</t>
        </is>
      </c>
      <c r="H746" t="inlineStr">
        <is>
          <t>Holmen skog AB</t>
        </is>
      </c>
      <c r="I746" t="n">
        <v>4.8</v>
      </c>
      <c r="J746" t="n">
        <v>0</v>
      </c>
      <c r="K746" t="n">
        <v>0</v>
      </c>
      <c r="L746" t="n">
        <v>0</v>
      </c>
      <c r="M746" t="n">
        <v>0</v>
      </c>
      <c r="N746" t="n">
        <v>0</v>
      </c>
      <c r="O746" t="n">
        <v>0</v>
      </c>
      <c r="P746" t="n">
        <v>0</v>
      </c>
      <c r="Q746" t="n">
        <v>0</v>
      </c>
      <c r="R746" t="n">
        <v>0</v>
      </c>
      <c r="S746" t="n">
        <v>0</v>
      </c>
      <c r="T746" t="n">
        <v>0</v>
      </c>
      <c r="U746" t="n">
        <v>0</v>
      </c>
      <c r="V746" s="2" t="inlineStr"/>
    </row>
    <row r="747" ht="15" customHeight="1">
      <c r="A747" t="inlineStr">
        <is>
          <t>A 33277-2023</t>
        </is>
      </c>
      <c r="B747" t="inlineStr">
        <is>
          <t>avverkningsanmälan</t>
        </is>
      </c>
      <c r="C747" t="inlineStr">
        <is>
          <t>Föryngringsavverkning</t>
        </is>
      </c>
      <c r="D747" s="1" t="n">
        <v>45114</v>
      </c>
      <c r="E747" s="1" t="n">
        <v>46323</v>
      </c>
      <c r="F747" t="inlineStr">
        <is>
          <t>KALMAR LÄN</t>
        </is>
      </c>
      <c r="G747" t="inlineStr">
        <is>
          <t>VÄSTERVIK</t>
        </is>
      </c>
      <c r="I747" t="n">
        <v>0.7</v>
      </c>
      <c r="J747" t="n">
        <v>0</v>
      </c>
      <c r="K747" t="n">
        <v>0</v>
      </c>
      <c r="L747" t="n">
        <v>0</v>
      </c>
      <c r="M747" t="n">
        <v>0</v>
      </c>
      <c r="N747" t="n">
        <v>0</v>
      </c>
      <c r="O747" t="n">
        <v>0</v>
      </c>
      <c r="P747" t="n">
        <v>0</v>
      </c>
      <c r="Q747" t="n">
        <v>0</v>
      </c>
      <c r="R747" t="n">
        <v>0</v>
      </c>
      <c r="S747" t="n">
        <v>0</v>
      </c>
      <c r="T747" t="n">
        <v>0</v>
      </c>
      <c r="U747" t="n">
        <v>0</v>
      </c>
      <c r="V747" s="2" t="inlineStr"/>
    </row>
    <row r="748" ht="15" customHeight="1">
      <c r="A748" t="inlineStr">
        <is>
          <t>A 63890-2023</t>
        </is>
      </c>
      <c r="B748" t="inlineStr">
        <is>
          <t>avverkningsanmälan</t>
        </is>
      </c>
      <c r="C748" t="inlineStr">
        <is>
          <t>Föryngringsavverkning</t>
        </is>
      </c>
      <c r="D748" s="1" t="n">
        <v>45278</v>
      </c>
      <c r="E748" s="1" t="n">
        <v>46323</v>
      </c>
      <c r="F748" t="inlineStr">
        <is>
          <t>KALMAR LÄN</t>
        </is>
      </c>
      <c r="G748" t="inlineStr">
        <is>
          <t>VÄSTERVIK</t>
        </is>
      </c>
      <c r="I748" t="n">
        <v>2.3</v>
      </c>
      <c r="J748" t="n">
        <v>0</v>
      </c>
      <c r="K748" t="n">
        <v>0</v>
      </c>
      <c r="L748" t="n">
        <v>0</v>
      </c>
      <c r="M748" t="n">
        <v>0</v>
      </c>
      <c r="N748" t="n">
        <v>0</v>
      </c>
      <c r="O748" t="n">
        <v>0</v>
      </c>
      <c r="P748" t="n">
        <v>0</v>
      </c>
      <c r="Q748" t="n">
        <v>0</v>
      </c>
      <c r="R748" t="n">
        <v>0</v>
      </c>
      <c r="S748" t="n">
        <v>0</v>
      </c>
      <c r="T748" t="n">
        <v>0</v>
      </c>
      <c r="U748" t="n">
        <v>0</v>
      </c>
      <c r="V748" s="2" t="inlineStr"/>
    </row>
    <row r="749" ht="15" customHeight="1">
      <c r="A749" t="inlineStr">
        <is>
          <t>A 4911-2026</t>
        </is>
      </c>
      <c r="B749" t="inlineStr">
        <is>
          <t>avverkningsanmälan</t>
        </is>
      </c>
      <c r="C749" t="inlineStr">
        <is>
          <t>Föryngringsavverkning</t>
        </is>
      </c>
      <c r="D749" s="1" t="n">
        <v>46048</v>
      </c>
      <c r="E749" s="1" t="n">
        <v>46323</v>
      </c>
      <c r="F749" t="inlineStr">
        <is>
          <t>KALMAR LÄN</t>
        </is>
      </c>
      <c r="G749" t="inlineStr">
        <is>
          <t>VÄSTERVIK</t>
        </is>
      </c>
      <c r="I749" t="n">
        <v>1.1</v>
      </c>
      <c r="J749" t="n">
        <v>0</v>
      </c>
      <c r="K749" t="n">
        <v>0</v>
      </c>
      <c r="L749" t="n">
        <v>0</v>
      </c>
      <c r="M749" t="n">
        <v>0</v>
      </c>
      <c r="N749" t="n">
        <v>0</v>
      </c>
      <c r="O749" t="n">
        <v>0</v>
      </c>
      <c r="P749" t="n">
        <v>0</v>
      </c>
      <c r="Q749" t="n">
        <v>0</v>
      </c>
      <c r="R749" t="n">
        <v>0</v>
      </c>
      <c r="S749" t="n">
        <v>0</v>
      </c>
      <c r="T749" t="n">
        <v>0</v>
      </c>
      <c r="U749" t="n">
        <v>0</v>
      </c>
      <c r="V749" s="2" t="inlineStr"/>
    </row>
    <row r="750" ht="15" customHeight="1">
      <c r="A750" t="inlineStr">
        <is>
          <t>A 39738-2026</t>
        </is>
      </c>
      <c r="B750" t="inlineStr">
        <is>
          <t>avverkningsanmälan</t>
        </is>
      </c>
      <c r="C750" t="inlineStr">
        <is>
          <t>Föryngringsavverkning</t>
        </is>
      </c>
      <c r="D750" s="1" t="n">
        <v>46290</v>
      </c>
      <c r="E750" s="1" t="n">
        <v>46323</v>
      </c>
      <c r="F750" t="inlineStr">
        <is>
          <t>KALMAR LÄN</t>
        </is>
      </c>
      <c r="G750" t="inlineStr">
        <is>
          <t>VÄSTERVIK</t>
        </is>
      </c>
      <c r="H750" t="inlineStr">
        <is>
          <t>Sveaskog</t>
        </is>
      </c>
      <c r="I750" t="n">
        <v>2.3</v>
      </c>
      <c r="J750" t="n">
        <v>0</v>
      </c>
      <c r="K750" t="n">
        <v>0</v>
      </c>
      <c r="L750" t="n">
        <v>0</v>
      </c>
      <c r="M750" t="n">
        <v>0</v>
      </c>
      <c r="N750" t="n">
        <v>0</v>
      </c>
      <c r="O750" t="n">
        <v>0</v>
      </c>
      <c r="P750" t="n">
        <v>0</v>
      </c>
      <c r="Q750" t="n">
        <v>0</v>
      </c>
      <c r="R750" t="n">
        <v>0</v>
      </c>
      <c r="S750" t="n">
        <v>0</v>
      </c>
      <c r="T750" t="n">
        <v>0</v>
      </c>
      <c r="U750" t="n">
        <v>0</v>
      </c>
      <c r="V750" s="2" t="inlineStr"/>
    </row>
    <row r="751" ht="15" customHeight="1">
      <c r="A751" t="inlineStr">
        <is>
          <t>A 39751-2026</t>
        </is>
      </c>
      <c r="B751" t="inlineStr">
        <is>
          <t>avverkningsanmälan</t>
        </is>
      </c>
      <c r="C751" t="inlineStr">
        <is>
          <t>Föryngringsavverkning</t>
        </is>
      </c>
      <c r="D751" s="1" t="n">
        <v>46290</v>
      </c>
      <c r="E751" s="1" t="n">
        <v>46323</v>
      </c>
      <c r="F751" t="inlineStr">
        <is>
          <t>KALMAR LÄN</t>
        </is>
      </c>
      <c r="G751" t="inlineStr">
        <is>
          <t>VÄSTERVIK</t>
        </is>
      </c>
      <c r="H751" t="inlineStr">
        <is>
          <t>Sveaskog</t>
        </is>
      </c>
      <c r="I751" t="n">
        <v>7.8</v>
      </c>
      <c r="J751" t="n">
        <v>0</v>
      </c>
      <c r="K751" t="n">
        <v>0</v>
      </c>
      <c r="L751" t="n">
        <v>0</v>
      </c>
      <c r="M751" t="n">
        <v>0</v>
      </c>
      <c r="N751" t="n">
        <v>0</v>
      </c>
      <c r="O751" t="n">
        <v>0</v>
      </c>
      <c r="P751" t="n">
        <v>0</v>
      </c>
      <c r="Q751" t="n">
        <v>0</v>
      </c>
      <c r="R751" t="n">
        <v>0</v>
      </c>
      <c r="S751" t="n">
        <v>0</v>
      </c>
      <c r="T751" t="n">
        <v>0</v>
      </c>
      <c r="U751" t="n">
        <v>0</v>
      </c>
      <c r="V751" s="2" t="inlineStr"/>
    </row>
    <row r="752" ht="15" customHeight="1">
      <c r="A752" t="inlineStr">
        <is>
          <t>A 928-2024</t>
        </is>
      </c>
      <c r="B752" t="inlineStr">
        <is>
          <t>avverkningsanmälan</t>
        </is>
      </c>
      <c r="C752" t="inlineStr">
        <is>
          <t>Föryngringsavverkning</t>
        </is>
      </c>
      <c r="D752" s="1" t="n">
        <v>45301</v>
      </c>
      <c r="E752" s="1" t="n">
        <v>46323</v>
      </c>
      <c r="F752" t="inlineStr">
        <is>
          <t>KALMAR LÄN</t>
        </is>
      </c>
      <c r="G752" t="inlineStr">
        <is>
          <t>VÄSTERVIK</t>
        </is>
      </c>
      <c r="I752" t="n">
        <v>4.8</v>
      </c>
      <c r="J752" t="n">
        <v>0</v>
      </c>
      <c r="K752" t="n">
        <v>0</v>
      </c>
      <c r="L752" t="n">
        <v>0</v>
      </c>
      <c r="M752" t="n">
        <v>0</v>
      </c>
      <c r="N752" t="n">
        <v>0</v>
      </c>
      <c r="O752" t="n">
        <v>0</v>
      </c>
      <c r="P752" t="n">
        <v>0</v>
      </c>
      <c r="Q752" t="n">
        <v>0</v>
      </c>
      <c r="R752" t="n">
        <v>0</v>
      </c>
      <c r="S752" t="n">
        <v>0</v>
      </c>
      <c r="T752" t="n">
        <v>0</v>
      </c>
      <c r="U752" t="n">
        <v>0</v>
      </c>
      <c r="V752" s="2" t="inlineStr"/>
    </row>
    <row r="753" ht="15" customHeight="1">
      <c r="A753" t="inlineStr">
        <is>
          <t>A 63812-2021</t>
        </is>
      </c>
      <c r="B753" t="inlineStr">
        <is>
          <t>avverkningsanmälan</t>
        </is>
      </c>
      <c r="C753" t="inlineStr">
        <is>
          <t>Föryngringsavverkning</t>
        </is>
      </c>
      <c r="D753" s="1" t="n">
        <v>44509</v>
      </c>
      <c r="E753" s="1" t="n">
        <v>46323</v>
      </c>
      <c r="F753" t="inlineStr">
        <is>
          <t>KALMAR LÄN</t>
        </is>
      </c>
      <c r="G753" t="inlineStr">
        <is>
          <t>VÄSTERVIK</t>
        </is>
      </c>
      <c r="I753" t="n">
        <v>2.1</v>
      </c>
      <c r="J753" t="n">
        <v>0</v>
      </c>
      <c r="K753" t="n">
        <v>0</v>
      </c>
      <c r="L753" t="n">
        <v>0</v>
      </c>
      <c r="M753" t="n">
        <v>0</v>
      </c>
      <c r="N753" t="n">
        <v>0</v>
      </c>
      <c r="O753" t="n">
        <v>0</v>
      </c>
      <c r="P753" t="n">
        <v>0</v>
      </c>
      <c r="Q753" t="n">
        <v>0</v>
      </c>
      <c r="R753" t="n">
        <v>0</v>
      </c>
      <c r="S753" t="n">
        <v>0</v>
      </c>
      <c r="T753" t="n">
        <v>0</v>
      </c>
      <c r="U753" t="n">
        <v>0</v>
      </c>
      <c r="V753" s="2" t="inlineStr"/>
    </row>
    <row r="754" ht="15" customHeight="1">
      <c r="A754" t="inlineStr">
        <is>
          <t>A 59196-2024</t>
        </is>
      </c>
      <c r="B754" t="inlineStr">
        <is>
          <t>avverkningsanmälan</t>
        </is>
      </c>
      <c r="C754" t="inlineStr">
        <is>
          <t>Föryngringsavverkning</t>
        </is>
      </c>
      <c r="D754" s="1" t="n">
        <v>45637</v>
      </c>
      <c r="E754" s="1" t="n">
        <v>46323</v>
      </c>
      <c r="F754" t="inlineStr">
        <is>
          <t>KALMAR LÄN</t>
        </is>
      </c>
      <c r="G754" t="inlineStr">
        <is>
          <t>VÄSTERVIK</t>
        </is>
      </c>
      <c r="I754" t="n">
        <v>1.7</v>
      </c>
      <c r="J754" t="n">
        <v>0</v>
      </c>
      <c r="K754" t="n">
        <v>0</v>
      </c>
      <c r="L754" t="n">
        <v>0</v>
      </c>
      <c r="M754" t="n">
        <v>0</v>
      </c>
      <c r="N754" t="n">
        <v>0</v>
      </c>
      <c r="O754" t="n">
        <v>0</v>
      </c>
      <c r="P754" t="n">
        <v>0</v>
      </c>
      <c r="Q754" t="n">
        <v>0</v>
      </c>
      <c r="R754" t="n">
        <v>0</v>
      </c>
      <c r="S754" t="n">
        <v>0</v>
      </c>
      <c r="T754" t="n">
        <v>0</v>
      </c>
      <c r="U754" t="n">
        <v>0</v>
      </c>
      <c r="V754" s="2" t="inlineStr"/>
    </row>
    <row r="755" ht="15" customHeight="1">
      <c r="A755" t="inlineStr">
        <is>
          <t>A 57924-2024</t>
        </is>
      </c>
      <c r="B755" t="inlineStr">
        <is>
          <t>avverkningsanmälan</t>
        </is>
      </c>
      <c r="C755" t="inlineStr">
        <is>
          <t>Föryngringsavverkning</t>
        </is>
      </c>
      <c r="D755" s="1" t="n">
        <v>45631</v>
      </c>
      <c r="E755" s="1" t="n">
        <v>46323</v>
      </c>
      <c r="F755" t="inlineStr">
        <is>
          <t>KALMAR LÄN</t>
        </is>
      </c>
      <c r="G755" t="inlineStr">
        <is>
          <t>VÄSTERVIK</t>
        </is>
      </c>
      <c r="I755" t="n">
        <v>0.8</v>
      </c>
      <c r="J755" t="n">
        <v>0</v>
      </c>
      <c r="K755" t="n">
        <v>0</v>
      </c>
      <c r="L755" t="n">
        <v>0</v>
      </c>
      <c r="M755" t="n">
        <v>0</v>
      </c>
      <c r="N755" t="n">
        <v>0</v>
      </c>
      <c r="O755" t="n">
        <v>0</v>
      </c>
      <c r="P755" t="n">
        <v>0</v>
      </c>
      <c r="Q755" t="n">
        <v>0</v>
      </c>
      <c r="R755" t="n">
        <v>0</v>
      </c>
      <c r="S755" t="n">
        <v>0</v>
      </c>
      <c r="T755" t="n">
        <v>0</v>
      </c>
      <c r="U755" t="n">
        <v>0</v>
      </c>
      <c r="V755" s="2" t="inlineStr"/>
    </row>
    <row r="756" ht="15" customHeight="1">
      <c r="A756" t="inlineStr">
        <is>
          <t>A 42816-2024</t>
        </is>
      </c>
      <c r="B756" t="inlineStr">
        <is>
          <t>avverkningsanmälan</t>
        </is>
      </c>
      <c r="C756" t="inlineStr">
        <is>
          <t>Avverkning för annat ändamål</t>
        </is>
      </c>
      <c r="D756" s="1" t="n">
        <v>45566</v>
      </c>
      <c r="E756" s="1" t="n">
        <v>46323</v>
      </c>
      <c r="F756" t="inlineStr">
        <is>
          <t>KALMAR LÄN</t>
        </is>
      </c>
      <c r="G756" t="inlineStr">
        <is>
          <t>VÄSTERVIK</t>
        </is>
      </c>
      <c r="I756" t="n">
        <v>0.1</v>
      </c>
      <c r="J756" t="n">
        <v>0</v>
      </c>
      <c r="K756" t="n">
        <v>0</v>
      </c>
      <c r="L756" t="n">
        <v>0</v>
      </c>
      <c r="M756" t="n">
        <v>0</v>
      </c>
      <c r="N756" t="n">
        <v>0</v>
      </c>
      <c r="O756" t="n">
        <v>0</v>
      </c>
      <c r="P756" t="n">
        <v>0</v>
      </c>
      <c r="Q756" t="n">
        <v>0</v>
      </c>
      <c r="R756" t="n">
        <v>0</v>
      </c>
      <c r="S756" t="n">
        <v>0</v>
      </c>
      <c r="T756" t="n">
        <v>0</v>
      </c>
      <c r="U756" t="n">
        <v>0</v>
      </c>
      <c r="V756" s="2" t="inlineStr"/>
    </row>
    <row r="757" ht="15" customHeight="1">
      <c r="A757" t="inlineStr">
        <is>
          <t>A 1699-2023</t>
        </is>
      </c>
      <c r="B757" t="inlineStr">
        <is>
          <t>avverkningsanmälan</t>
        </is>
      </c>
      <c r="C757" t="inlineStr">
        <is>
          <t>Föryngringsavverkning</t>
        </is>
      </c>
      <c r="D757" s="1" t="n">
        <v>44935</v>
      </c>
      <c r="E757" s="1" t="n">
        <v>46323</v>
      </c>
      <c r="F757" t="inlineStr">
        <is>
          <t>KALMAR LÄN</t>
        </is>
      </c>
      <c r="G757" t="inlineStr">
        <is>
          <t>VÄSTERVIK</t>
        </is>
      </c>
      <c r="I757" t="n">
        <v>1.1</v>
      </c>
      <c r="J757" t="n">
        <v>0</v>
      </c>
      <c r="K757" t="n">
        <v>0</v>
      </c>
      <c r="L757" t="n">
        <v>0</v>
      </c>
      <c r="M757" t="n">
        <v>0</v>
      </c>
      <c r="N757" t="n">
        <v>0</v>
      </c>
      <c r="O757" t="n">
        <v>0</v>
      </c>
      <c r="P757" t="n">
        <v>0</v>
      </c>
      <c r="Q757" t="n">
        <v>0</v>
      </c>
      <c r="R757" t="n">
        <v>0</v>
      </c>
      <c r="S757" t="n">
        <v>0</v>
      </c>
      <c r="T757" t="n">
        <v>0</v>
      </c>
      <c r="U757" t="n">
        <v>0</v>
      </c>
      <c r="V757" s="2" t="inlineStr"/>
    </row>
    <row r="758" ht="15" customHeight="1">
      <c r="A758" t="inlineStr">
        <is>
          <t>A 40243-2026</t>
        </is>
      </c>
      <c r="B758" t="inlineStr">
        <is>
          <t>avverkningsanmälan</t>
        </is>
      </c>
      <c r="C758" t="inlineStr">
        <is>
          <t>Föryngringsavverkning</t>
        </is>
      </c>
      <c r="D758" s="1" t="n">
        <v>46294</v>
      </c>
      <c r="E758" s="1" t="n">
        <v>46323</v>
      </c>
      <c r="F758" t="inlineStr">
        <is>
          <t>KALMAR LÄN</t>
        </is>
      </c>
      <c r="G758" t="inlineStr">
        <is>
          <t>VÄSTERVIK</t>
        </is>
      </c>
      <c r="I758" t="n">
        <v>0.9</v>
      </c>
      <c r="J758" t="n">
        <v>0</v>
      </c>
      <c r="K758" t="n">
        <v>0</v>
      </c>
      <c r="L758" t="n">
        <v>0</v>
      </c>
      <c r="M758" t="n">
        <v>0</v>
      </c>
      <c r="N758" t="n">
        <v>0</v>
      </c>
      <c r="O758" t="n">
        <v>0</v>
      </c>
      <c r="P758" t="n">
        <v>0</v>
      </c>
      <c r="Q758" t="n">
        <v>0</v>
      </c>
      <c r="R758" t="n">
        <v>0</v>
      </c>
      <c r="S758" t="n">
        <v>0</v>
      </c>
      <c r="T758" t="n">
        <v>0</v>
      </c>
      <c r="U758" t="n">
        <v>0</v>
      </c>
      <c r="V758" s="2" t="inlineStr"/>
    </row>
    <row r="759" ht="15" customHeight="1">
      <c r="A759" t="inlineStr">
        <is>
          <t>A 34059-2026</t>
        </is>
      </c>
      <c r="B759" t="inlineStr">
        <is>
          <t>avverkningsanmälan</t>
        </is>
      </c>
      <c r="C759" t="inlineStr">
        <is>
          <t>Föryngringsavverkning</t>
        </is>
      </c>
      <c r="D759" s="1" t="n">
        <v>46251</v>
      </c>
      <c r="E759" s="1" t="n">
        <v>46323</v>
      </c>
      <c r="F759" t="inlineStr">
        <is>
          <t>KALMAR LÄN</t>
        </is>
      </c>
      <c r="G759" t="inlineStr">
        <is>
          <t>VÄSTERVIK</t>
        </is>
      </c>
      <c r="I759" t="n">
        <v>4.1</v>
      </c>
      <c r="J759" t="n">
        <v>0</v>
      </c>
      <c r="K759" t="n">
        <v>0</v>
      </c>
      <c r="L759" t="n">
        <v>0</v>
      </c>
      <c r="M759" t="n">
        <v>0</v>
      </c>
      <c r="N759" t="n">
        <v>0</v>
      </c>
      <c r="O759" t="n">
        <v>0</v>
      </c>
      <c r="P759" t="n">
        <v>0</v>
      </c>
      <c r="Q759" t="n">
        <v>0</v>
      </c>
      <c r="R759" t="n">
        <v>0</v>
      </c>
      <c r="S759" t="n">
        <v>0</v>
      </c>
      <c r="T759" t="n">
        <v>0</v>
      </c>
      <c r="U759" t="n">
        <v>0</v>
      </c>
      <c r="V759" s="2" t="inlineStr"/>
    </row>
    <row r="760" ht="15" customHeight="1">
      <c r="A760" t="inlineStr">
        <is>
          <t>A 58217-2022</t>
        </is>
      </c>
      <c r="B760" t="inlineStr">
        <is>
          <t>avverkningsanmälan</t>
        </is>
      </c>
      <c r="C760" t="inlineStr">
        <is>
          <t>Föryngringsavverkning</t>
        </is>
      </c>
      <c r="D760" s="1" t="n">
        <v>44901</v>
      </c>
      <c r="E760" s="1" t="n">
        <v>46323</v>
      </c>
      <c r="F760" t="inlineStr">
        <is>
          <t>KALMAR LÄN</t>
        </is>
      </c>
      <c r="G760" t="inlineStr">
        <is>
          <t>VÄSTERVIK</t>
        </is>
      </c>
      <c r="I760" t="n">
        <v>0.8</v>
      </c>
      <c r="J760" t="n">
        <v>0</v>
      </c>
      <c r="K760" t="n">
        <v>0</v>
      </c>
      <c r="L760" t="n">
        <v>0</v>
      </c>
      <c r="M760" t="n">
        <v>0</v>
      </c>
      <c r="N760" t="n">
        <v>0</v>
      </c>
      <c r="O760" t="n">
        <v>0</v>
      </c>
      <c r="P760" t="n">
        <v>0</v>
      </c>
      <c r="Q760" t="n">
        <v>0</v>
      </c>
      <c r="R760" t="n">
        <v>0</v>
      </c>
      <c r="S760" t="n">
        <v>0</v>
      </c>
      <c r="T760" t="n">
        <v>0</v>
      </c>
      <c r="U760" t="n">
        <v>0</v>
      </c>
      <c r="V760" s="2" t="inlineStr"/>
    </row>
    <row r="761" ht="15" customHeight="1">
      <c r="A761" t="inlineStr">
        <is>
          <t>A 33692-2026</t>
        </is>
      </c>
      <c r="B761" t="inlineStr">
        <is>
          <t>avverkningsanmälan</t>
        </is>
      </c>
      <c r="C761" t="inlineStr">
        <is>
          <t>Föryngringsavverkning</t>
        </is>
      </c>
      <c r="D761" s="1" t="n">
        <v>46249</v>
      </c>
      <c r="E761" s="1" t="n">
        <v>46323</v>
      </c>
      <c r="F761" t="inlineStr">
        <is>
          <t>KALMAR LÄN</t>
        </is>
      </c>
      <c r="G761" t="inlineStr">
        <is>
          <t>VÄSTERVIK</t>
        </is>
      </c>
      <c r="H761" t="inlineStr">
        <is>
          <t>Holmen skog AB</t>
        </is>
      </c>
      <c r="I761" t="n">
        <v>3.4</v>
      </c>
      <c r="J761" t="n">
        <v>0</v>
      </c>
      <c r="K761" t="n">
        <v>0</v>
      </c>
      <c r="L761" t="n">
        <v>0</v>
      </c>
      <c r="M761" t="n">
        <v>0</v>
      </c>
      <c r="N761" t="n">
        <v>0</v>
      </c>
      <c r="O761" t="n">
        <v>0</v>
      </c>
      <c r="P761" t="n">
        <v>0</v>
      </c>
      <c r="Q761" t="n">
        <v>0</v>
      </c>
      <c r="R761" t="n">
        <v>0</v>
      </c>
      <c r="S761" t="n">
        <v>0</v>
      </c>
      <c r="T761" t="n">
        <v>0</v>
      </c>
      <c r="U761" t="n">
        <v>0</v>
      </c>
      <c r="V761" s="2" t="inlineStr"/>
    </row>
    <row r="762" ht="15" customHeight="1">
      <c r="A762" t="inlineStr">
        <is>
          <t>A 30459-2026</t>
        </is>
      </c>
      <c r="B762" t="inlineStr">
        <is>
          <t>avverkningsanmälan</t>
        </is>
      </c>
      <c r="C762" t="inlineStr">
        <is>
          <t>Föryngringsavverkning</t>
        </is>
      </c>
      <c r="D762" s="1" t="n">
        <v>46209</v>
      </c>
      <c r="E762" s="1" t="n">
        <v>46323</v>
      </c>
      <c r="F762" t="inlineStr">
        <is>
          <t>KALMAR LÄN</t>
        </is>
      </c>
      <c r="G762" t="inlineStr">
        <is>
          <t>VÄSTERVIK</t>
        </is>
      </c>
      <c r="I762" t="n">
        <v>6.3</v>
      </c>
      <c r="J762" t="n">
        <v>0</v>
      </c>
      <c r="K762" t="n">
        <v>0</v>
      </c>
      <c r="L762" t="n">
        <v>0</v>
      </c>
      <c r="M762" t="n">
        <v>0</v>
      </c>
      <c r="N762" t="n">
        <v>0</v>
      </c>
      <c r="O762" t="n">
        <v>0</v>
      </c>
      <c r="P762" t="n">
        <v>0</v>
      </c>
      <c r="Q762" t="n">
        <v>0</v>
      </c>
      <c r="R762" t="n">
        <v>0</v>
      </c>
      <c r="S762" t="n">
        <v>0</v>
      </c>
      <c r="T762" t="n">
        <v>0</v>
      </c>
      <c r="U762" t="n">
        <v>0</v>
      </c>
      <c r="V762" s="2" t="inlineStr"/>
    </row>
    <row r="763" ht="15" customHeight="1">
      <c r="A763" t="inlineStr">
        <is>
          <t>A 1874-2025</t>
        </is>
      </c>
      <c r="B763" t="inlineStr">
        <is>
          <t>avverkningsanmälan</t>
        </is>
      </c>
      <c r="C763" t="inlineStr">
        <is>
          <t>Föryngringsavverkning</t>
        </is>
      </c>
      <c r="D763" s="1" t="n">
        <v>45671</v>
      </c>
      <c r="E763" s="1" t="n">
        <v>46323</v>
      </c>
      <c r="F763" t="inlineStr">
        <is>
          <t>KALMAR LÄN</t>
        </is>
      </c>
      <c r="G763" t="inlineStr">
        <is>
          <t>VÄSTERVIK</t>
        </is>
      </c>
      <c r="I763" t="n">
        <v>1</v>
      </c>
      <c r="J763" t="n">
        <v>0</v>
      </c>
      <c r="K763" t="n">
        <v>0</v>
      </c>
      <c r="L763" t="n">
        <v>0</v>
      </c>
      <c r="M763" t="n">
        <v>0</v>
      </c>
      <c r="N763" t="n">
        <v>0</v>
      </c>
      <c r="O763" t="n">
        <v>0</v>
      </c>
      <c r="P763" t="n">
        <v>0</v>
      </c>
      <c r="Q763" t="n">
        <v>0</v>
      </c>
      <c r="R763" t="n">
        <v>0</v>
      </c>
      <c r="S763" t="n">
        <v>0</v>
      </c>
      <c r="T763" t="n">
        <v>0</v>
      </c>
      <c r="U763" t="n">
        <v>0</v>
      </c>
      <c r="V763" s="2" t="inlineStr"/>
    </row>
    <row r="764" ht="15" customHeight="1">
      <c r="A764" t="inlineStr">
        <is>
          <t>A 16834-2023</t>
        </is>
      </c>
      <c r="B764" t="inlineStr">
        <is>
          <t>avverkningsanmälan</t>
        </is>
      </c>
      <c r="C764" t="inlineStr">
        <is>
          <t>Föryngringsavverkning</t>
        </is>
      </c>
      <c r="D764" s="1" t="n">
        <v>45033</v>
      </c>
      <c r="E764" s="1" t="n">
        <v>46323</v>
      </c>
      <c r="F764" t="inlineStr">
        <is>
          <t>KALMAR LÄN</t>
        </is>
      </c>
      <c r="G764" t="inlineStr">
        <is>
          <t>VÄSTERVIK</t>
        </is>
      </c>
      <c r="I764" t="n">
        <v>1.4</v>
      </c>
      <c r="J764" t="n">
        <v>0</v>
      </c>
      <c r="K764" t="n">
        <v>0</v>
      </c>
      <c r="L764" t="n">
        <v>0</v>
      </c>
      <c r="M764" t="n">
        <v>0</v>
      </c>
      <c r="N764" t="n">
        <v>0</v>
      </c>
      <c r="O764" t="n">
        <v>0</v>
      </c>
      <c r="P764" t="n">
        <v>0</v>
      </c>
      <c r="Q764" t="n">
        <v>0</v>
      </c>
      <c r="R764" t="n">
        <v>0</v>
      </c>
      <c r="S764" t="n">
        <v>0</v>
      </c>
      <c r="T764" t="n">
        <v>0</v>
      </c>
      <c r="U764" t="n">
        <v>0</v>
      </c>
      <c r="V764" s="2" t="inlineStr"/>
    </row>
    <row r="765" ht="15" customHeight="1">
      <c r="A765" t="inlineStr">
        <is>
          <t>A 34250-2026</t>
        </is>
      </c>
      <c r="B765" t="inlineStr">
        <is>
          <t>avverkningsanmälan</t>
        </is>
      </c>
      <c r="C765" t="inlineStr">
        <is>
          <t>Föryngringsavverkning</t>
        </is>
      </c>
      <c r="D765" s="1" t="n">
        <v>46253</v>
      </c>
      <c r="E765" s="1" t="n">
        <v>46323</v>
      </c>
      <c r="F765" t="inlineStr">
        <is>
          <t>KALMAR LÄN</t>
        </is>
      </c>
      <c r="G765" t="inlineStr">
        <is>
          <t>VÄSTERVIK</t>
        </is>
      </c>
      <c r="I765" t="n">
        <v>1</v>
      </c>
      <c r="J765" t="n">
        <v>0</v>
      </c>
      <c r="K765" t="n">
        <v>0</v>
      </c>
      <c r="L765" t="n">
        <v>0</v>
      </c>
      <c r="M765" t="n">
        <v>0</v>
      </c>
      <c r="N765" t="n">
        <v>0</v>
      </c>
      <c r="O765" t="n">
        <v>0</v>
      </c>
      <c r="P765" t="n">
        <v>0</v>
      </c>
      <c r="Q765" t="n">
        <v>0</v>
      </c>
      <c r="R765" t="n">
        <v>0</v>
      </c>
      <c r="S765" t="n">
        <v>0</v>
      </c>
      <c r="T765" t="n">
        <v>0</v>
      </c>
      <c r="U765" t="n">
        <v>0</v>
      </c>
      <c r="V765" s="2" t="inlineStr"/>
    </row>
    <row r="766" ht="15" customHeight="1">
      <c r="A766" t="inlineStr">
        <is>
          <t>A 61580-2022</t>
        </is>
      </c>
      <c r="B766" t="inlineStr">
        <is>
          <t>avverkningsanmälan</t>
        </is>
      </c>
      <c r="C766" t="inlineStr">
        <is>
          <t>Föryngringsavverkning</t>
        </is>
      </c>
      <c r="D766" s="1" t="n">
        <v>44916</v>
      </c>
      <c r="E766" s="1" t="n">
        <v>46323</v>
      </c>
      <c r="F766" t="inlineStr">
        <is>
          <t>KALMAR LÄN</t>
        </is>
      </c>
      <c r="G766" t="inlineStr">
        <is>
          <t>VÄSTERVIK</t>
        </is>
      </c>
      <c r="I766" t="n">
        <v>3.5</v>
      </c>
      <c r="J766" t="n">
        <v>0</v>
      </c>
      <c r="K766" t="n">
        <v>0</v>
      </c>
      <c r="L766" t="n">
        <v>0</v>
      </c>
      <c r="M766" t="n">
        <v>0</v>
      </c>
      <c r="N766" t="n">
        <v>0</v>
      </c>
      <c r="O766" t="n">
        <v>0</v>
      </c>
      <c r="P766" t="n">
        <v>0</v>
      </c>
      <c r="Q766" t="n">
        <v>0</v>
      </c>
      <c r="R766" t="n">
        <v>0</v>
      </c>
      <c r="S766" t="n">
        <v>0</v>
      </c>
      <c r="T766" t="n">
        <v>0</v>
      </c>
      <c r="U766" t="n">
        <v>0</v>
      </c>
      <c r="V766" s="2" t="inlineStr"/>
    </row>
    <row r="767" ht="15" customHeight="1">
      <c r="A767" t="inlineStr">
        <is>
          <t>A 40782-2026</t>
        </is>
      </c>
      <c r="B767" t="inlineStr">
        <is>
          <t>avverkningsanmälan</t>
        </is>
      </c>
      <c r="C767" t="inlineStr">
        <is>
          <t>Föryngringsavverkning</t>
        </is>
      </c>
      <c r="D767" s="1" t="n">
        <v>46296</v>
      </c>
      <c r="E767" s="1" t="n">
        <v>46323</v>
      </c>
      <c r="F767" t="inlineStr">
        <is>
          <t>KALMAR LÄN</t>
        </is>
      </c>
      <c r="G767" t="inlineStr">
        <is>
          <t>VÄSTERVIK</t>
        </is>
      </c>
      <c r="I767" t="n">
        <v>2.2</v>
      </c>
      <c r="J767" t="n">
        <v>0</v>
      </c>
      <c r="K767" t="n">
        <v>0</v>
      </c>
      <c r="L767" t="n">
        <v>0</v>
      </c>
      <c r="M767" t="n">
        <v>0</v>
      </c>
      <c r="N767" t="n">
        <v>0</v>
      </c>
      <c r="O767" t="n">
        <v>0</v>
      </c>
      <c r="P767" t="n">
        <v>0</v>
      </c>
      <c r="Q767" t="n">
        <v>0</v>
      </c>
      <c r="R767" t="n">
        <v>0</v>
      </c>
      <c r="S767" t="n">
        <v>0</v>
      </c>
      <c r="T767" t="n">
        <v>0</v>
      </c>
      <c r="U767" t="n">
        <v>0</v>
      </c>
      <c r="V767" s="2" t="inlineStr"/>
    </row>
    <row r="768" ht="15" customHeight="1">
      <c r="A768" t="inlineStr">
        <is>
          <t>A 16856-2026</t>
        </is>
      </c>
      <c r="B768" t="inlineStr">
        <is>
          <t>avverkningsanmälan</t>
        </is>
      </c>
      <c r="C768" t="inlineStr">
        <is>
          <t>Föryngringsavverkning</t>
        </is>
      </c>
      <c r="D768" s="1" t="n">
        <v>46113</v>
      </c>
      <c r="E768" s="1" t="n">
        <v>46323</v>
      </c>
      <c r="F768" t="inlineStr">
        <is>
          <t>KALMAR LÄN</t>
        </is>
      </c>
      <c r="G768" t="inlineStr">
        <is>
          <t>VÄSTERVIK</t>
        </is>
      </c>
      <c r="H768" t="inlineStr">
        <is>
          <t>Kyrkan</t>
        </is>
      </c>
      <c r="I768" t="n">
        <v>3.9</v>
      </c>
      <c r="J768" t="n">
        <v>0</v>
      </c>
      <c r="K768" t="n">
        <v>0</v>
      </c>
      <c r="L768" t="n">
        <v>0</v>
      </c>
      <c r="M768" t="n">
        <v>0</v>
      </c>
      <c r="N768" t="n">
        <v>0</v>
      </c>
      <c r="O768" t="n">
        <v>0</v>
      </c>
      <c r="P768" t="n">
        <v>0</v>
      </c>
      <c r="Q768" t="n">
        <v>0</v>
      </c>
      <c r="R768" t="n">
        <v>0</v>
      </c>
      <c r="S768" t="n">
        <v>0</v>
      </c>
      <c r="T768" t="n">
        <v>0</v>
      </c>
      <c r="U768" t="n">
        <v>0</v>
      </c>
      <c r="V768" s="2" t="inlineStr"/>
    </row>
    <row r="769" ht="15" customHeight="1">
      <c r="A769" t="inlineStr">
        <is>
          <t>A 16912-2026</t>
        </is>
      </c>
      <c r="B769" t="inlineStr">
        <is>
          <t>avverkningsanmälan</t>
        </is>
      </c>
      <c r="C769" t="inlineStr">
        <is>
          <t>Föryngringsavverkning</t>
        </is>
      </c>
      <c r="D769" s="1" t="n">
        <v>46113</v>
      </c>
      <c r="E769" s="1" t="n">
        <v>46323</v>
      </c>
      <c r="F769" t="inlineStr">
        <is>
          <t>KALMAR LÄN</t>
        </is>
      </c>
      <c r="G769" t="inlineStr">
        <is>
          <t>VÄSTERVIK</t>
        </is>
      </c>
      <c r="I769" t="n">
        <v>3.1</v>
      </c>
      <c r="J769" t="n">
        <v>0</v>
      </c>
      <c r="K769" t="n">
        <v>0</v>
      </c>
      <c r="L769" t="n">
        <v>0</v>
      </c>
      <c r="M769" t="n">
        <v>0</v>
      </c>
      <c r="N769" t="n">
        <v>0</v>
      </c>
      <c r="O769" t="n">
        <v>0</v>
      </c>
      <c r="P769" t="n">
        <v>0</v>
      </c>
      <c r="Q769" t="n">
        <v>0</v>
      </c>
      <c r="R769" t="n">
        <v>0</v>
      </c>
      <c r="S769" t="n">
        <v>0</v>
      </c>
      <c r="T769" t="n">
        <v>0</v>
      </c>
      <c r="U769" t="n">
        <v>0</v>
      </c>
      <c r="V769" s="2" t="inlineStr"/>
    </row>
    <row r="770" ht="15" customHeight="1">
      <c r="A770" t="inlineStr">
        <is>
          <t>A 56610-2022</t>
        </is>
      </c>
      <c r="B770" t="inlineStr">
        <is>
          <t>avverkningsanmälan</t>
        </is>
      </c>
      <c r="C770" t="inlineStr">
        <is>
          <t>Föryngringsavverkning</t>
        </is>
      </c>
      <c r="D770" s="1" t="n">
        <v>44893</v>
      </c>
      <c r="E770" s="1" t="n">
        <v>46323</v>
      </c>
      <c r="F770" t="inlineStr">
        <is>
          <t>KALMAR LÄN</t>
        </is>
      </c>
      <c r="G770" t="inlineStr">
        <is>
          <t>VÄSTERVIK</t>
        </is>
      </c>
      <c r="I770" t="n">
        <v>0.5</v>
      </c>
      <c r="J770" t="n">
        <v>0</v>
      </c>
      <c r="K770" t="n">
        <v>0</v>
      </c>
      <c r="L770" t="n">
        <v>0</v>
      </c>
      <c r="M770" t="n">
        <v>0</v>
      </c>
      <c r="N770" t="n">
        <v>0</v>
      </c>
      <c r="O770" t="n">
        <v>0</v>
      </c>
      <c r="P770" t="n">
        <v>0</v>
      </c>
      <c r="Q770" t="n">
        <v>0</v>
      </c>
      <c r="R770" t="n">
        <v>0</v>
      </c>
      <c r="S770" t="n">
        <v>0</v>
      </c>
      <c r="T770" t="n">
        <v>0</v>
      </c>
      <c r="U770" t="n">
        <v>0</v>
      </c>
      <c r="V770" s="2" t="inlineStr"/>
    </row>
    <row r="771" ht="15" customHeight="1">
      <c r="A771" t="inlineStr">
        <is>
          <t>A 16913-2026</t>
        </is>
      </c>
      <c r="B771" t="inlineStr">
        <is>
          <t>avverkningsanmälan</t>
        </is>
      </c>
      <c r="C771" t="inlineStr">
        <is>
          <t>Föryngringsavverkning</t>
        </is>
      </c>
      <c r="D771" s="1" t="n">
        <v>46113</v>
      </c>
      <c r="E771" s="1" t="n">
        <v>46323</v>
      </c>
      <c r="F771" t="inlineStr">
        <is>
          <t>KALMAR LÄN</t>
        </is>
      </c>
      <c r="G771" t="inlineStr">
        <is>
          <t>VÄSTERVIK</t>
        </is>
      </c>
      <c r="I771" t="n">
        <v>1</v>
      </c>
      <c r="J771" t="n">
        <v>0</v>
      </c>
      <c r="K771" t="n">
        <v>0</v>
      </c>
      <c r="L771" t="n">
        <v>0</v>
      </c>
      <c r="M771" t="n">
        <v>0</v>
      </c>
      <c r="N771" t="n">
        <v>0</v>
      </c>
      <c r="O771" t="n">
        <v>0</v>
      </c>
      <c r="P771" t="n">
        <v>0</v>
      </c>
      <c r="Q771" t="n">
        <v>0</v>
      </c>
      <c r="R771" t="n">
        <v>0</v>
      </c>
      <c r="S771" t="n">
        <v>0</v>
      </c>
      <c r="T771" t="n">
        <v>0</v>
      </c>
      <c r="U771" t="n">
        <v>0</v>
      </c>
      <c r="V771" s="2" t="inlineStr"/>
    </row>
    <row r="772" ht="15" customHeight="1">
      <c r="A772" t="inlineStr">
        <is>
          <t>A 33991-2026</t>
        </is>
      </c>
      <c r="B772" t="inlineStr">
        <is>
          <t>avverkningsanmälan</t>
        </is>
      </c>
      <c r="C772" t="inlineStr">
        <is>
          <t>Föryngringsavverkning</t>
        </is>
      </c>
      <c r="D772" s="1" t="n">
        <v>46252</v>
      </c>
      <c r="E772" s="1" t="n">
        <v>46323</v>
      </c>
      <c r="F772" t="inlineStr">
        <is>
          <t>KALMAR LÄN</t>
        </is>
      </c>
      <c r="G772" t="inlineStr">
        <is>
          <t>VÄSTERVIK</t>
        </is>
      </c>
      <c r="I772" t="n">
        <v>1.7</v>
      </c>
      <c r="J772" t="n">
        <v>0</v>
      </c>
      <c r="K772" t="n">
        <v>0</v>
      </c>
      <c r="L772" t="n">
        <v>0</v>
      </c>
      <c r="M772" t="n">
        <v>0</v>
      </c>
      <c r="N772" t="n">
        <v>0</v>
      </c>
      <c r="O772" t="n">
        <v>0</v>
      </c>
      <c r="P772" t="n">
        <v>0</v>
      </c>
      <c r="Q772" t="n">
        <v>0</v>
      </c>
      <c r="R772" t="n">
        <v>0</v>
      </c>
      <c r="S772" t="n">
        <v>0</v>
      </c>
      <c r="T772" t="n">
        <v>0</v>
      </c>
      <c r="U772" t="n">
        <v>0</v>
      </c>
      <c r="V772" s="2" t="inlineStr"/>
    </row>
    <row r="773" ht="15" customHeight="1">
      <c r="A773" t="inlineStr">
        <is>
          <t>A 46596-2022</t>
        </is>
      </c>
      <c r="B773" t="inlineStr">
        <is>
          <t>avverkningsanmälan</t>
        </is>
      </c>
      <c r="C773" t="inlineStr">
        <is>
          <t>Föryngringsavverkning</t>
        </is>
      </c>
      <c r="D773" s="1" t="n">
        <v>44848</v>
      </c>
      <c r="E773" s="1" t="n">
        <v>46323</v>
      </c>
      <c r="F773" t="inlineStr">
        <is>
          <t>KALMAR LÄN</t>
        </is>
      </c>
      <c r="G773" t="inlineStr">
        <is>
          <t>VÄSTERVIK</t>
        </is>
      </c>
      <c r="I773" t="n">
        <v>3.9</v>
      </c>
      <c r="J773" t="n">
        <v>0</v>
      </c>
      <c r="K773" t="n">
        <v>0</v>
      </c>
      <c r="L773" t="n">
        <v>0</v>
      </c>
      <c r="M773" t="n">
        <v>0</v>
      </c>
      <c r="N773" t="n">
        <v>0</v>
      </c>
      <c r="O773" t="n">
        <v>0</v>
      </c>
      <c r="P773" t="n">
        <v>0</v>
      </c>
      <c r="Q773" t="n">
        <v>0</v>
      </c>
      <c r="R773" t="n">
        <v>0</v>
      </c>
      <c r="S773" t="n">
        <v>0</v>
      </c>
      <c r="T773" t="n">
        <v>0</v>
      </c>
      <c r="U773" t="n">
        <v>0</v>
      </c>
      <c r="V773" s="2" t="inlineStr"/>
    </row>
    <row r="774" ht="15" customHeight="1">
      <c r="A774" t="inlineStr">
        <is>
          <t>A 40618-2026</t>
        </is>
      </c>
      <c r="B774" t="inlineStr">
        <is>
          <t>avverkningsanmälan</t>
        </is>
      </c>
      <c r="C774" t="inlineStr">
        <is>
          <t>Föryngringsavverkning</t>
        </is>
      </c>
      <c r="D774" s="1" t="n">
        <v>46295</v>
      </c>
      <c r="E774" s="1" t="n">
        <v>46323</v>
      </c>
      <c r="F774" t="inlineStr">
        <is>
          <t>KALMAR LÄN</t>
        </is>
      </c>
      <c r="G774" t="inlineStr">
        <is>
          <t>VÄSTERVIK</t>
        </is>
      </c>
      <c r="H774" t="inlineStr">
        <is>
          <t>Holmen skog AB</t>
        </is>
      </c>
      <c r="I774" t="n">
        <v>3.2</v>
      </c>
      <c r="J774" t="n">
        <v>0</v>
      </c>
      <c r="K774" t="n">
        <v>0</v>
      </c>
      <c r="L774" t="n">
        <v>0</v>
      </c>
      <c r="M774" t="n">
        <v>0</v>
      </c>
      <c r="N774" t="n">
        <v>0</v>
      </c>
      <c r="O774" t="n">
        <v>0</v>
      </c>
      <c r="P774" t="n">
        <v>0</v>
      </c>
      <c r="Q774" t="n">
        <v>0</v>
      </c>
      <c r="R774" t="n">
        <v>0</v>
      </c>
      <c r="S774" t="n">
        <v>0</v>
      </c>
      <c r="T774" t="n">
        <v>0</v>
      </c>
      <c r="U774" t="n">
        <v>0</v>
      </c>
      <c r="V774" s="2" t="inlineStr"/>
    </row>
    <row r="775" ht="15" customHeight="1">
      <c r="A775" t="inlineStr">
        <is>
          <t>A 51024-2022</t>
        </is>
      </c>
      <c r="B775" t="inlineStr">
        <is>
          <t>avverkningsanmälan</t>
        </is>
      </c>
      <c r="C775" t="inlineStr">
        <is>
          <t>Föryngringsavverkning</t>
        </is>
      </c>
      <c r="D775" s="1" t="n">
        <v>44867</v>
      </c>
      <c r="E775" s="1" t="n">
        <v>46323</v>
      </c>
      <c r="F775" t="inlineStr">
        <is>
          <t>KALMAR LÄN</t>
        </is>
      </c>
      <c r="G775" t="inlineStr">
        <is>
          <t>VÄSTERVIK</t>
        </is>
      </c>
      <c r="H775" t="inlineStr">
        <is>
          <t>Holmen skog AB</t>
        </is>
      </c>
      <c r="I775" t="n">
        <v>7.6</v>
      </c>
      <c r="J775" t="n">
        <v>0</v>
      </c>
      <c r="K775" t="n">
        <v>0</v>
      </c>
      <c r="L775" t="n">
        <v>0</v>
      </c>
      <c r="M775" t="n">
        <v>0</v>
      </c>
      <c r="N775" t="n">
        <v>0</v>
      </c>
      <c r="O775" t="n">
        <v>0</v>
      </c>
      <c r="P775" t="n">
        <v>0</v>
      </c>
      <c r="Q775" t="n">
        <v>0</v>
      </c>
      <c r="R775" t="n">
        <v>0</v>
      </c>
      <c r="S775" t="n">
        <v>0</v>
      </c>
      <c r="T775" t="n">
        <v>0</v>
      </c>
      <c r="U775" t="n">
        <v>0</v>
      </c>
      <c r="V775" s="2" t="inlineStr"/>
    </row>
    <row r="776" ht="15" customHeight="1">
      <c r="A776" t="inlineStr">
        <is>
          <t>A 30148-2024</t>
        </is>
      </c>
      <c r="B776" t="inlineStr">
        <is>
          <t>avverkningsanmälan</t>
        </is>
      </c>
      <c r="C776" t="inlineStr">
        <is>
          <t>Föryngringsavverkning</t>
        </is>
      </c>
      <c r="D776" s="1" t="n">
        <v>45489</v>
      </c>
      <c r="E776" s="1" t="n">
        <v>46323</v>
      </c>
      <c r="F776" t="inlineStr">
        <is>
          <t>KALMAR LÄN</t>
        </is>
      </c>
      <c r="G776" t="inlineStr">
        <is>
          <t>VÄSTERVIK</t>
        </is>
      </c>
      <c r="I776" t="n">
        <v>0.6</v>
      </c>
      <c r="J776" t="n">
        <v>0</v>
      </c>
      <c r="K776" t="n">
        <v>0</v>
      </c>
      <c r="L776" t="n">
        <v>0</v>
      </c>
      <c r="M776" t="n">
        <v>0</v>
      </c>
      <c r="N776" t="n">
        <v>0</v>
      </c>
      <c r="O776" t="n">
        <v>0</v>
      </c>
      <c r="P776" t="n">
        <v>0</v>
      </c>
      <c r="Q776" t="n">
        <v>0</v>
      </c>
      <c r="R776" t="n">
        <v>0</v>
      </c>
      <c r="S776" t="n">
        <v>0</v>
      </c>
      <c r="T776" t="n">
        <v>0</v>
      </c>
      <c r="U776" t="n">
        <v>0</v>
      </c>
      <c r="V776" s="2" t="inlineStr"/>
    </row>
    <row r="777" ht="15" customHeight="1">
      <c r="A777" t="inlineStr">
        <is>
          <t>A 59093-2025</t>
        </is>
      </c>
      <c r="B777" t="inlineStr">
        <is>
          <t>avverkningsanmälan</t>
        </is>
      </c>
      <c r="C777" t="inlineStr">
        <is>
          <t>Föryngringsavverkning</t>
        </is>
      </c>
      <c r="D777" s="1" t="n">
        <v>45988</v>
      </c>
      <c r="E777" s="1" t="n">
        <v>46323</v>
      </c>
      <c r="F777" t="inlineStr">
        <is>
          <t>KALMAR LÄN</t>
        </is>
      </c>
      <c r="G777" t="inlineStr">
        <is>
          <t>VÄSTERVIK</t>
        </is>
      </c>
      <c r="H777" t="inlineStr">
        <is>
          <t>Kyrkan</t>
        </is>
      </c>
      <c r="I777" t="n">
        <v>1.4</v>
      </c>
      <c r="J777" t="n">
        <v>0</v>
      </c>
      <c r="K777" t="n">
        <v>0</v>
      </c>
      <c r="L777" t="n">
        <v>0</v>
      </c>
      <c r="M777" t="n">
        <v>0</v>
      </c>
      <c r="N777" t="n">
        <v>0</v>
      </c>
      <c r="O777" t="n">
        <v>0</v>
      </c>
      <c r="P777" t="n">
        <v>0</v>
      </c>
      <c r="Q777" t="n">
        <v>0</v>
      </c>
      <c r="R777" t="n">
        <v>0</v>
      </c>
      <c r="S777" t="n">
        <v>0</v>
      </c>
      <c r="T777" t="n">
        <v>0</v>
      </c>
      <c r="U777" t="n">
        <v>0</v>
      </c>
      <c r="V777" s="2" t="inlineStr"/>
    </row>
    <row r="778" ht="15" customHeight="1">
      <c r="A778" t="inlineStr">
        <is>
          <t>A 31212-2026</t>
        </is>
      </c>
      <c r="B778" t="inlineStr">
        <is>
          <t>avverkningsanmälan</t>
        </is>
      </c>
      <c r="C778" t="inlineStr">
        <is>
          <t>Föryngringsavverkning</t>
        </is>
      </c>
      <c r="D778" s="1" t="n">
        <v>46217</v>
      </c>
      <c r="E778" s="1" t="n">
        <v>46323</v>
      </c>
      <c r="F778" t="inlineStr">
        <is>
          <t>KALMAR LÄN</t>
        </is>
      </c>
      <c r="G778" t="inlineStr">
        <is>
          <t>VÄSTERVIK</t>
        </is>
      </c>
      <c r="I778" t="n">
        <v>0.9</v>
      </c>
      <c r="J778" t="n">
        <v>0</v>
      </c>
      <c r="K778" t="n">
        <v>0</v>
      </c>
      <c r="L778" t="n">
        <v>0</v>
      </c>
      <c r="M778" t="n">
        <v>0</v>
      </c>
      <c r="N778" t="n">
        <v>0</v>
      </c>
      <c r="O778" t="n">
        <v>0</v>
      </c>
      <c r="P778" t="n">
        <v>0</v>
      </c>
      <c r="Q778" t="n">
        <v>0</v>
      </c>
      <c r="R778" t="n">
        <v>0</v>
      </c>
      <c r="S778" t="n">
        <v>0</v>
      </c>
      <c r="T778" t="n">
        <v>0</v>
      </c>
      <c r="U778" t="n">
        <v>0</v>
      </c>
      <c r="V778" s="2" t="inlineStr"/>
    </row>
    <row r="779" ht="15" customHeight="1">
      <c r="A779" t="inlineStr">
        <is>
          <t>A 59202-2022</t>
        </is>
      </c>
      <c r="B779" t="inlineStr">
        <is>
          <t>avverkningsanmälan</t>
        </is>
      </c>
      <c r="C779" t="inlineStr">
        <is>
          <t>Föryngringsavverkning</t>
        </is>
      </c>
      <c r="D779" s="1" t="n">
        <v>44904</v>
      </c>
      <c r="E779" s="1" t="n">
        <v>46323</v>
      </c>
      <c r="F779" t="inlineStr">
        <is>
          <t>KALMAR LÄN</t>
        </is>
      </c>
      <c r="G779" t="inlineStr">
        <is>
          <t>VÄSTERVIK</t>
        </is>
      </c>
      <c r="I779" t="n">
        <v>1.5</v>
      </c>
      <c r="J779" t="n">
        <v>0</v>
      </c>
      <c r="K779" t="n">
        <v>0</v>
      </c>
      <c r="L779" t="n">
        <v>0</v>
      </c>
      <c r="M779" t="n">
        <v>0</v>
      </c>
      <c r="N779" t="n">
        <v>0</v>
      </c>
      <c r="O779" t="n">
        <v>0</v>
      </c>
      <c r="P779" t="n">
        <v>0</v>
      </c>
      <c r="Q779" t="n">
        <v>0</v>
      </c>
      <c r="R779" t="n">
        <v>0</v>
      </c>
      <c r="S779" t="n">
        <v>0</v>
      </c>
      <c r="T779" t="n">
        <v>0</v>
      </c>
      <c r="U779" t="n">
        <v>0</v>
      </c>
      <c r="V779" s="2" t="inlineStr"/>
    </row>
    <row r="780" ht="15" customHeight="1">
      <c r="A780" t="inlineStr">
        <is>
          <t>A 59220-2022</t>
        </is>
      </c>
      <c r="B780" t="inlineStr">
        <is>
          <t>avverkningsanmälan</t>
        </is>
      </c>
      <c r="C780" t="inlineStr">
        <is>
          <t>Föryngringsavverkning</t>
        </is>
      </c>
      <c r="D780" s="1" t="n">
        <v>44904</v>
      </c>
      <c r="E780" s="1" t="n">
        <v>46323</v>
      </c>
      <c r="F780" t="inlineStr">
        <is>
          <t>KALMAR LÄN</t>
        </is>
      </c>
      <c r="G780" t="inlineStr">
        <is>
          <t>VÄSTERVIK</t>
        </is>
      </c>
      <c r="I780" t="n">
        <v>1.3</v>
      </c>
      <c r="J780" t="n">
        <v>0</v>
      </c>
      <c r="K780" t="n">
        <v>0</v>
      </c>
      <c r="L780" t="n">
        <v>0</v>
      </c>
      <c r="M780" t="n">
        <v>0</v>
      </c>
      <c r="N780" t="n">
        <v>0</v>
      </c>
      <c r="O780" t="n">
        <v>0</v>
      </c>
      <c r="P780" t="n">
        <v>0</v>
      </c>
      <c r="Q780" t="n">
        <v>0</v>
      </c>
      <c r="R780" t="n">
        <v>0</v>
      </c>
      <c r="S780" t="n">
        <v>0</v>
      </c>
      <c r="T780" t="n">
        <v>0</v>
      </c>
      <c r="U780" t="n">
        <v>0</v>
      </c>
      <c r="V780" s="2" t="inlineStr"/>
    </row>
    <row r="781" ht="15" customHeight="1">
      <c r="A781" t="inlineStr">
        <is>
          <t>A 41230-2026</t>
        </is>
      </c>
      <c r="B781" t="inlineStr">
        <is>
          <t>avverkningsanmälan</t>
        </is>
      </c>
      <c r="C781" t="inlineStr">
        <is>
          <t>Föryngringsavverkning</t>
        </is>
      </c>
      <c r="D781" s="1" t="n">
        <v>46300</v>
      </c>
      <c r="E781" s="1" t="n">
        <v>46323</v>
      </c>
      <c r="F781" t="inlineStr">
        <is>
          <t>KALMAR LÄN</t>
        </is>
      </c>
      <c r="G781" t="inlineStr">
        <is>
          <t>VÄSTERVIK</t>
        </is>
      </c>
      <c r="H781" t="inlineStr">
        <is>
          <t>Sveaskog</t>
        </is>
      </c>
      <c r="I781" t="n">
        <v>6</v>
      </c>
      <c r="J781" t="n">
        <v>0</v>
      </c>
      <c r="K781" t="n">
        <v>0</v>
      </c>
      <c r="L781" t="n">
        <v>0</v>
      </c>
      <c r="M781" t="n">
        <v>0</v>
      </c>
      <c r="N781" t="n">
        <v>0</v>
      </c>
      <c r="O781" t="n">
        <v>0</v>
      </c>
      <c r="P781" t="n">
        <v>0</v>
      </c>
      <c r="Q781" t="n">
        <v>0</v>
      </c>
      <c r="R781" t="n">
        <v>0</v>
      </c>
      <c r="S781" t="n">
        <v>0</v>
      </c>
      <c r="T781" t="n">
        <v>0</v>
      </c>
      <c r="U781" t="n">
        <v>0</v>
      </c>
      <c r="V781" s="2" t="inlineStr"/>
    </row>
    <row r="782" ht="15" customHeight="1">
      <c r="A782" t="inlineStr">
        <is>
          <t>A 41342-2023</t>
        </is>
      </c>
      <c r="B782" t="inlineStr">
        <is>
          <t>avverkningsanmälan</t>
        </is>
      </c>
      <c r="C782" t="inlineStr">
        <is>
          <t>Föryngringsavverkning</t>
        </is>
      </c>
      <c r="D782" s="1" t="n">
        <v>45174</v>
      </c>
      <c r="E782" s="1" t="n">
        <v>46323</v>
      </c>
      <c r="F782" t="inlineStr">
        <is>
          <t>KALMAR LÄN</t>
        </is>
      </c>
      <c r="G782" t="inlineStr">
        <is>
          <t>VÄSTERVIK</t>
        </is>
      </c>
      <c r="I782" t="n">
        <v>0.6</v>
      </c>
      <c r="J782" t="n">
        <v>0</v>
      </c>
      <c r="K782" t="n">
        <v>0</v>
      </c>
      <c r="L782" t="n">
        <v>0</v>
      </c>
      <c r="M782" t="n">
        <v>0</v>
      </c>
      <c r="N782" t="n">
        <v>0</v>
      </c>
      <c r="O782" t="n">
        <v>0</v>
      </c>
      <c r="P782" t="n">
        <v>0</v>
      </c>
      <c r="Q782" t="n">
        <v>0</v>
      </c>
      <c r="R782" t="n">
        <v>0</v>
      </c>
      <c r="S782" t="n">
        <v>0</v>
      </c>
      <c r="T782" t="n">
        <v>0</v>
      </c>
      <c r="U782" t="n">
        <v>0</v>
      </c>
      <c r="V782" s="2" t="inlineStr"/>
    </row>
    <row r="783" ht="15" customHeight="1">
      <c r="A783" t="inlineStr">
        <is>
          <t>A 41126-2026</t>
        </is>
      </c>
      <c r="B783" t="inlineStr">
        <is>
          <t>avverkningsanmälan</t>
        </is>
      </c>
      <c r="C783" t="inlineStr">
        <is>
          <t>Föryngringsavverkning</t>
        </is>
      </c>
      <c r="D783" s="1" t="n">
        <v>46300</v>
      </c>
      <c r="E783" s="1" t="n">
        <v>46323</v>
      </c>
      <c r="F783" t="inlineStr">
        <is>
          <t>KALMAR LÄN</t>
        </is>
      </c>
      <c r="G783" t="inlineStr">
        <is>
          <t>VÄSTERVIK</t>
        </is>
      </c>
      <c r="H783" t="inlineStr">
        <is>
          <t>Sveaskog</t>
        </is>
      </c>
      <c r="I783" t="n">
        <v>1.2</v>
      </c>
      <c r="J783" t="n">
        <v>0</v>
      </c>
      <c r="K783" t="n">
        <v>0</v>
      </c>
      <c r="L783" t="n">
        <v>0</v>
      </c>
      <c r="M783" t="n">
        <v>0</v>
      </c>
      <c r="N783" t="n">
        <v>0</v>
      </c>
      <c r="O783" t="n">
        <v>0</v>
      </c>
      <c r="P783" t="n">
        <v>0</v>
      </c>
      <c r="Q783" t="n">
        <v>0</v>
      </c>
      <c r="R783" t="n">
        <v>0</v>
      </c>
      <c r="S783" t="n">
        <v>0</v>
      </c>
      <c r="T783" t="n">
        <v>0</v>
      </c>
      <c r="U783" t="n">
        <v>0</v>
      </c>
      <c r="V783" s="2" t="inlineStr"/>
    </row>
    <row r="784" ht="15" customHeight="1">
      <c r="A784" t="inlineStr">
        <is>
          <t>A 13490-2022</t>
        </is>
      </c>
      <c r="B784" t="inlineStr">
        <is>
          <t>avverkningsanmälan</t>
        </is>
      </c>
      <c r="C784" t="inlineStr">
        <is>
          <t>Föryngringsavverkning</t>
        </is>
      </c>
      <c r="D784" s="1" t="n">
        <v>44646</v>
      </c>
      <c r="E784" s="1" t="n">
        <v>46323</v>
      </c>
      <c r="F784" t="inlineStr">
        <is>
          <t>KALMAR LÄN</t>
        </is>
      </c>
      <c r="G784" t="inlineStr">
        <is>
          <t>VÄSTERVIK</t>
        </is>
      </c>
      <c r="I784" t="n">
        <v>2.4</v>
      </c>
      <c r="J784" t="n">
        <v>0</v>
      </c>
      <c r="K784" t="n">
        <v>0</v>
      </c>
      <c r="L784" t="n">
        <v>0</v>
      </c>
      <c r="M784" t="n">
        <v>0</v>
      </c>
      <c r="N784" t="n">
        <v>0</v>
      </c>
      <c r="O784" t="n">
        <v>0</v>
      </c>
      <c r="P784" t="n">
        <v>0</v>
      </c>
      <c r="Q784" t="n">
        <v>0</v>
      </c>
      <c r="R784" t="n">
        <v>0</v>
      </c>
      <c r="S784" t="n">
        <v>0</v>
      </c>
      <c r="T784" t="n">
        <v>0</v>
      </c>
      <c r="U784" t="n">
        <v>0</v>
      </c>
      <c r="V784" s="2" t="inlineStr"/>
    </row>
    <row r="785" ht="15" customHeight="1">
      <c r="A785" t="inlineStr">
        <is>
          <t>A 5684-2023</t>
        </is>
      </c>
      <c r="B785" t="inlineStr">
        <is>
          <t>avverkningsanmälan</t>
        </is>
      </c>
      <c r="C785" t="inlineStr">
        <is>
          <t>Föryngringsavverkning</t>
        </is>
      </c>
      <c r="D785" s="1" t="n">
        <v>44960</v>
      </c>
      <c r="E785" s="1" t="n">
        <v>46323</v>
      </c>
      <c r="F785" t="inlineStr">
        <is>
          <t>KALMAR LÄN</t>
        </is>
      </c>
      <c r="G785" t="inlineStr">
        <is>
          <t>VÄSTERVIK</t>
        </is>
      </c>
      <c r="I785" t="n">
        <v>1.2</v>
      </c>
      <c r="J785" t="n">
        <v>0</v>
      </c>
      <c r="K785" t="n">
        <v>0</v>
      </c>
      <c r="L785" t="n">
        <v>0</v>
      </c>
      <c r="M785" t="n">
        <v>0</v>
      </c>
      <c r="N785" t="n">
        <v>0</v>
      </c>
      <c r="O785" t="n">
        <v>0</v>
      </c>
      <c r="P785" t="n">
        <v>0</v>
      </c>
      <c r="Q785" t="n">
        <v>0</v>
      </c>
      <c r="R785" t="n">
        <v>0</v>
      </c>
      <c r="S785" t="n">
        <v>0</v>
      </c>
      <c r="T785" t="n">
        <v>0</v>
      </c>
      <c r="U785" t="n">
        <v>0</v>
      </c>
      <c r="V785" s="2" t="inlineStr"/>
    </row>
    <row r="786" ht="15" customHeight="1">
      <c r="A786" t="inlineStr">
        <is>
          <t>A 41131-2026</t>
        </is>
      </c>
      <c r="B786" t="inlineStr">
        <is>
          <t>avverkningsanmälan</t>
        </is>
      </c>
      <c r="C786" t="inlineStr">
        <is>
          <t>Föryngringsavverkning</t>
        </is>
      </c>
      <c r="D786" s="1" t="n">
        <v>46300</v>
      </c>
      <c r="E786" s="1" t="n">
        <v>46323</v>
      </c>
      <c r="F786" t="inlineStr">
        <is>
          <t>KALMAR LÄN</t>
        </is>
      </c>
      <c r="G786" t="inlineStr">
        <is>
          <t>VÄSTERVIK</t>
        </is>
      </c>
      <c r="H786" t="inlineStr">
        <is>
          <t>Sveaskog</t>
        </is>
      </c>
      <c r="I786" t="n">
        <v>1.6</v>
      </c>
      <c r="J786" t="n">
        <v>0</v>
      </c>
      <c r="K786" t="n">
        <v>0</v>
      </c>
      <c r="L786" t="n">
        <v>0</v>
      </c>
      <c r="M786" t="n">
        <v>0</v>
      </c>
      <c r="N786" t="n">
        <v>0</v>
      </c>
      <c r="O786" t="n">
        <v>0</v>
      </c>
      <c r="P786" t="n">
        <v>0</v>
      </c>
      <c r="Q786" t="n">
        <v>0</v>
      </c>
      <c r="R786" t="n">
        <v>0</v>
      </c>
      <c r="S786" t="n">
        <v>0</v>
      </c>
      <c r="T786" t="n">
        <v>0</v>
      </c>
      <c r="U786" t="n">
        <v>0</v>
      </c>
      <c r="V786" s="2" t="inlineStr"/>
    </row>
    <row r="787" ht="15" customHeight="1">
      <c r="A787" t="inlineStr">
        <is>
          <t>A 41224-2026</t>
        </is>
      </c>
      <c r="B787" t="inlineStr">
        <is>
          <t>avverkningsanmälan</t>
        </is>
      </c>
      <c r="C787" t="inlineStr">
        <is>
          <t>Föryngringsavverkning</t>
        </is>
      </c>
      <c r="D787" s="1" t="n">
        <v>46300</v>
      </c>
      <c r="E787" s="1" t="n">
        <v>46323</v>
      </c>
      <c r="F787" t="inlineStr">
        <is>
          <t>KALMAR LÄN</t>
        </is>
      </c>
      <c r="G787" t="inlineStr">
        <is>
          <t>VÄSTERVIK</t>
        </is>
      </c>
      <c r="H787" t="inlineStr">
        <is>
          <t>Sveaskog</t>
        </is>
      </c>
      <c r="I787" t="n">
        <v>1.6</v>
      </c>
      <c r="J787" t="n">
        <v>0</v>
      </c>
      <c r="K787" t="n">
        <v>0</v>
      </c>
      <c r="L787" t="n">
        <v>0</v>
      </c>
      <c r="M787" t="n">
        <v>0</v>
      </c>
      <c r="N787" t="n">
        <v>0</v>
      </c>
      <c r="O787" t="n">
        <v>0</v>
      </c>
      <c r="P787" t="n">
        <v>0</v>
      </c>
      <c r="Q787" t="n">
        <v>0</v>
      </c>
      <c r="R787" t="n">
        <v>0</v>
      </c>
      <c r="S787" t="n">
        <v>0</v>
      </c>
      <c r="T787" t="n">
        <v>0</v>
      </c>
      <c r="U787" t="n">
        <v>0</v>
      </c>
      <c r="V787" s="2" t="inlineStr"/>
    </row>
    <row r="788" ht="15" customHeight="1">
      <c r="A788" t="inlineStr">
        <is>
          <t>A 41228-2026</t>
        </is>
      </c>
      <c r="B788" t="inlineStr">
        <is>
          <t>avverkningsanmälan</t>
        </is>
      </c>
      <c r="C788" t="inlineStr">
        <is>
          <t>Föryngringsavverkning</t>
        </is>
      </c>
      <c r="D788" s="1" t="n">
        <v>46300</v>
      </c>
      <c r="E788" s="1" t="n">
        <v>46323</v>
      </c>
      <c r="F788" t="inlineStr">
        <is>
          <t>KALMAR LÄN</t>
        </is>
      </c>
      <c r="G788" t="inlineStr">
        <is>
          <t>VÄSTERVIK</t>
        </is>
      </c>
      <c r="H788" t="inlineStr">
        <is>
          <t>Sveaskog</t>
        </is>
      </c>
      <c r="I788" t="n">
        <v>2.7</v>
      </c>
      <c r="J788" t="n">
        <v>0</v>
      </c>
      <c r="K788" t="n">
        <v>0</v>
      </c>
      <c r="L788" t="n">
        <v>0</v>
      </c>
      <c r="M788" t="n">
        <v>0</v>
      </c>
      <c r="N788" t="n">
        <v>0</v>
      </c>
      <c r="O788" t="n">
        <v>0</v>
      </c>
      <c r="P788" t="n">
        <v>0</v>
      </c>
      <c r="Q788" t="n">
        <v>0</v>
      </c>
      <c r="R788" t="n">
        <v>0</v>
      </c>
      <c r="S788" t="n">
        <v>0</v>
      </c>
      <c r="T788" t="n">
        <v>0</v>
      </c>
      <c r="U788" t="n">
        <v>0</v>
      </c>
      <c r="V788" s="2" t="inlineStr"/>
    </row>
    <row r="789" ht="15" customHeight="1">
      <c r="A789" t="inlineStr">
        <is>
          <t>A 26633-2025</t>
        </is>
      </c>
      <c r="B789" t="inlineStr">
        <is>
          <t>avverkningsanmälan</t>
        </is>
      </c>
      <c r="C789" t="inlineStr">
        <is>
          <t>Föryngringsavverkning</t>
        </is>
      </c>
      <c r="D789" s="1" t="n">
        <v>45810</v>
      </c>
      <c r="E789" s="1" t="n">
        <v>46323</v>
      </c>
      <c r="F789" t="inlineStr">
        <is>
          <t>KALMAR LÄN</t>
        </is>
      </c>
      <c r="G789" t="inlineStr">
        <is>
          <t>VÄSTERVIK</t>
        </is>
      </c>
      <c r="I789" t="n">
        <v>0.7</v>
      </c>
      <c r="J789" t="n">
        <v>0</v>
      </c>
      <c r="K789" t="n">
        <v>0</v>
      </c>
      <c r="L789" t="n">
        <v>0</v>
      </c>
      <c r="M789" t="n">
        <v>0</v>
      </c>
      <c r="N789" t="n">
        <v>0</v>
      </c>
      <c r="O789" t="n">
        <v>0</v>
      </c>
      <c r="P789" t="n">
        <v>0</v>
      </c>
      <c r="Q789" t="n">
        <v>0</v>
      </c>
      <c r="R789" t="n">
        <v>0</v>
      </c>
      <c r="S789" t="n">
        <v>0</v>
      </c>
      <c r="T789" t="n">
        <v>0</v>
      </c>
      <c r="U789" t="n">
        <v>0</v>
      </c>
      <c r="V789" s="2" t="inlineStr"/>
    </row>
    <row r="790" ht="15" customHeight="1">
      <c r="A790" t="inlineStr">
        <is>
          <t>A 28008-2026</t>
        </is>
      </c>
      <c r="B790" t="inlineStr">
        <is>
          <t>avverkningsanmälan</t>
        </is>
      </c>
      <c r="C790" t="inlineStr">
        <is>
          <t>Föryngringsavverkning</t>
        </is>
      </c>
      <c r="D790" s="1" t="n">
        <v>46195</v>
      </c>
      <c r="E790" s="1" t="n">
        <v>46323</v>
      </c>
      <c r="F790" t="inlineStr">
        <is>
          <t>KALMAR LÄN</t>
        </is>
      </c>
      <c r="G790" t="inlineStr">
        <is>
          <t>VÄSTERVIK</t>
        </is>
      </c>
      <c r="I790" t="n">
        <v>4.1</v>
      </c>
      <c r="J790" t="n">
        <v>0</v>
      </c>
      <c r="K790" t="n">
        <v>0</v>
      </c>
      <c r="L790" t="n">
        <v>0</v>
      </c>
      <c r="M790" t="n">
        <v>0</v>
      </c>
      <c r="N790" t="n">
        <v>0</v>
      </c>
      <c r="O790" t="n">
        <v>0</v>
      </c>
      <c r="P790" t="n">
        <v>0</v>
      </c>
      <c r="Q790" t="n">
        <v>0</v>
      </c>
      <c r="R790" t="n">
        <v>0</v>
      </c>
      <c r="S790" t="n">
        <v>0</v>
      </c>
      <c r="T790" t="n">
        <v>0</v>
      </c>
      <c r="U790" t="n">
        <v>0</v>
      </c>
      <c r="V790" s="2" t="inlineStr"/>
      <c r="Z790">
        <f>HYPERLINK("https://klasma.github.io/Logging_0883/knärot/A 28008-2026 karta knärot.png", "A 28008-2026")</f>
        <v/>
      </c>
      <c r="AA790">
        <f>HYPERLINK("https://klasma.github.io/Logging_0883/klagomål/A 28008-2026 FSC-klagomål.docx", "A 28008-2026")</f>
        <v/>
      </c>
      <c r="AB790">
        <f>HYPERLINK("https://klasma.github.io/Logging_0883/klagomålsmail/A 28008-2026 FSC-klagomål mail.docx", "A 28008-2026")</f>
        <v/>
      </c>
      <c r="AC790">
        <f>HYPERLINK("https://klasma.github.io/Logging_0883/tillsyn/A 28008-2026 tillsynsbegäran.docx", "A 28008-2026")</f>
        <v/>
      </c>
      <c r="AD790">
        <f>HYPERLINK("https://klasma.github.io/Logging_0883/tillsynsmail/A 28008-2026 tillsynsbegäran mail.docx", "A 28008-2026")</f>
        <v/>
      </c>
    </row>
    <row r="791" ht="15" customHeight="1">
      <c r="A791" t="inlineStr">
        <is>
          <t>A 26569-2025</t>
        </is>
      </c>
      <c r="B791" t="inlineStr">
        <is>
          <t>avverkningsanmälan</t>
        </is>
      </c>
      <c r="C791" t="inlineStr">
        <is>
          <t>Föryngringsavverkning</t>
        </is>
      </c>
      <c r="D791" s="1" t="n">
        <v>45807</v>
      </c>
      <c r="E791" s="1" t="n">
        <v>46323</v>
      </c>
      <c r="F791" t="inlineStr">
        <is>
          <t>KALMAR LÄN</t>
        </is>
      </c>
      <c r="G791" t="inlineStr">
        <is>
          <t>VÄSTERVIK</t>
        </is>
      </c>
      <c r="I791" t="n">
        <v>0.6</v>
      </c>
      <c r="J791" t="n">
        <v>0</v>
      </c>
      <c r="K791" t="n">
        <v>0</v>
      </c>
      <c r="L791" t="n">
        <v>0</v>
      </c>
      <c r="M791" t="n">
        <v>0</v>
      </c>
      <c r="N791" t="n">
        <v>0</v>
      </c>
      <c r="O791" t="n">
        <v>0</v>
      </c>
      <c r="P791" t="n">
        <v>0</v>
      </c>
      <c r="Q791" t="n">
        <v>0</v>
      </c>
      <c r="R791" t="n">
        <v>0</v>
      </c>
      <c r="S791" t="n">
        <v>0</v>
      </c>
      <c r="T791" t="n">
        <v>0</v>
      </c>
      <c r="U791" t="n">
        <v>0</v>
      </c>
      <c r="V791" s="2" t="inlineStr"/>
    </row>
    <row r="792" ht="15" customHeight="1">
      <c r="A792" t="inlineStr">
        <is>
          <t>A 942-2024</t>
        </is>
      </c>
      <c r="B792" t="inlineStr">
        <is>
          <t>avverkningsanmälan</t>
        </is>
      </c>
      <c r="C792" t="inlineStr">
        <is>
          <t>Föryngringsavverkning</t>
        </is>
      </c>
      <c r="D792" s="1" t="n">
        <v>45301</v>
      </c>
      <c r="E792" s="1" t="n">
        <v>46323</v>
      </c>
      <c r="F792" t="inlineStr">
        <is>
          <t>KALMAR LÄN</t>
        </is>
      </c>
      <c r="G792" t="inlineStr">
        <is>
          <t>VÄSTERVIK</t>
        </is>
      </c>
      <c r="I792" t="n">
        <v>0.7</v>
      </c>
      <c r="J792" t="n">
        <v>0</v>
      </c>
      <c r="K792" t="n">
        <v>0</v>
      </c>
      <c r="L792" t="n">
        <v>0</v>
      </c>
      <c r="M792" t="n">
        <v>0</v>
      </c>
      <c r="N792" t="n">
        <v>0</v>
      </c>
      <c r="O792" t="n">
        <v>0</v>
      </c>
      <c r="P792" t="n">
        <v>0</v>
      </c>
      <c r="Q792" t="n">
        <v>0</v>
      </c>
      <c r="R792" t="n">
        <v>0</v>
      </c>
      <c r="S792" t="n">
        <v>0</v>
      </c>
      <c r="T792" t="n">
        <v>0</v>
      </c>
      <c r="U792" t="n">
        <v>0</v>
      </c>
      <c r="V792" s="2" t="inlineStr"/>
    </row>
    <row r="793" ht="15" customHeight="1">
      <c r="A793" t="inlineStr">
        <is>
          <t>A 34655-2023</t>
        </is>
      </c>
      <c r="B793" t="inlineStr">
        <is>
          <t>avverkningsanmälan</t>
        </is>
      </c>
      <c r="C793" t="inlineStr">
        <is>
          <t>Föryngringsavverkning</t>
        </is>
      </c>
      <c r="D793" s="1" t="n">
        <v>45140</v>
      </c>
      <c r="E793" s="1" t="n">
        <v>46323</v>
      </c>
      <c r="F793" t="inlineStr">
        <is>
          <t>KALMAR LÄN</t>
        </is>
      </c>
      <c r="G793" t="inlineStr">
        <is>
          <t>VÄSTERVIK</t>
        </is>
      </c>
      <c r="I793" t="n">
        <v>3.6</v>
      </c>
      <c r="J793" t="n">
        <v>0</v>
      </c>
      <c r="K793" t="n">
        <v>0</v>
      </c>
      <c r="L793" t="n">
        <v>0</v>
      </c>
      <c r="M793" t="n">
        <v>0</v>
      </c>
      <c r="N793" t="n">
        <v>0</v>
      </c>
      <c r="O793" t="n">
        <v>0</v>
      </c>
      <c r="P793" t="n">
        <v>0</v>
      </c>
      <c r="Q793" t="n">
        <v>0</v>
      </c>
      <c r="R793" t="n">
        <v>0</v>
      </c>
      <c r="S793" t="n">
        <v>0</v>
      </c>
      <c r="T793" t="n">
        <v>0</v>
      </c>
      <c r="U793" t="n">
        <v>0</v>
      </c>
      <c r="V793" s="2" t="inlineStr"/>
    </row>
    <row r="794" ht="15" customHeight="1">
      <c r="A794" t="inlineStr">
        <is>
          <t>A 10419-2023</t>
        </is>
      </c>
      <c r="B794" t="inlineStr">
        <is>
          <t>avverkningsanmälan</t>
        </is>
      </c>
      <c r="C794" t="inlineStr">
        <is>
          <t>Föryngringsavverkning</t>
        </is>
      </c>
      <c r="D794" s="1" t="n">
        <v>44987</v>
      </c>
      <c r="E794" s="1" t="n">
        <v>46323</v>
      </c>
      <c r="F794" t="inlineStr">
        <is>
          <t>KALMAR LÄN</t>
        </is>
      </c>
      <c r="G794" t="inlineStr">
        <is>
          <t>VÄSTERVIK</t>
        </is>
      </c>
      <c r="I794" t="n">
        <v>0.4</v>
      </c>
      <c r="J794" t="n">
        <v>0</v>
      </c>
      <c r="K794" t="n">
        <v>0</v>
      </c>
      <c r="L794" t="n">
        <v>0</v>
      </c>
      <c r="M794" t="n">
        <v>0</v>
      </c>
      <c r="N794" t="n">
        <v>0</v>
      </c>
      <c r="O794" t="n">
        <v>0</v>
      </c>
      <c r="P794" t="n">
        <v>0</v>
      </c>
      <c r="Q794" t="n">
        <v>0</v>
      </c>
      <c r="R794" t="n">
        <v>0</v>
      </c>
      <c r="S794" t="n">
        <v>0</v>
      </c>
      <c r="T794" t="n">
        <v>0</v>
      </c>
      <c r="U794" t="n">
        <v>0</v>
      </c>
      <c r="V794" s="2" t="inlineStr"/>
    </row>
    <row r="795" ht="15" customHeight="1">
      <c r="A795" t="inlineStr">
        <is>
          <t>A 10406-2022</t>
        </is>
      </c>
      <c r="B795" t="inlineStr">
        <is>
          <t>avverkningsanmälan</t>
        </is>
      </c>
      <c r="C795" t="inlineStr">
        <is>
          <t>Föryngringsavverkning</t>
        </is>
      </c>
      <c r="D795" s="1" t="n">
        <v>44623</v>
      </c>
      <c r="E795" s="1" t="n">
        <v>46323</v>
      </c>
      <c r="F795" t="inlineStr">
        <is>
          <t>KALMAR LÄN</t>
        </is>
      </c>
      <c r="G795" t="inlineStr">
        <is>
          <t>VÄSTERVIK</t>
        </is>
      </c>
      <c r="H795" t="inlineStr">
        <is>
          <t>Holmen skog AB</t>
        </is>
      </c>
      <c r="I795" t="n">
        <v>1.4</v>
      </c>
      <c r="J795" t="n">
        <v>0</v>
      </c>
      <c r="K795" t="n">
        <v>0</v>
      </c>
      <c r="L795" t="n">
        <v>0</v>
      </c>
      <c r="M795" t="n">
        <v>0</v>
      </c>
      <c r="N795" t="n">
        <v>0</v>
      </c>
      <c r="O795" t="n">
        <v>0</v>
      </c>
      <c r="P795" t="n">
        <v>0</v>
      </c>
      <c r="Q795" t="n">
        <v>0</v>
      </c>
      <c r="R795" t="n">
        <v>0</v>
      </c>
      <c r="S795" t="n">
        <v>0</v>
      </c>
      <c r="T795" t="n">
        <v>0</v>
      </c>
      <c r="U795" t="n">
        <v>0</v>
      </c>
      <c r="V795" s="2" t="inlineStr"/>
    </row>
    <row r="796" ht="15" customHeight="1">
      <c r="A796" t="inlineStr">
        <is>
          <t>A 61649-2022</t>
        </is>
      </c>
      <c r="B796" t="inlineStr">
        <is>
          <t>avverkningsanmälan</t>
        </is>
      </c>
      <c r="C796" t="inlineStr">
        <is>
          <t>Föryngringsavverkning</t>
        </is>
      </c>
      <c r="D796" s="1" t="n">
        <v>44916</v>
      </c>
      <c r="E796" s="1" t="n">
        <v>46323</v>
      </c>
      <c r="F796" t="inlineStr">
        <is>
          <t>KALMAR LÄN</t>
        </is>
      </c>
      <c r="G796" t="inlineStr">
        <is>
          <t>VÄSTERVIK</t>
        </is>
      </c>
      <c r="H796" t="inlineStr">
        <is>
          <t>Holmen skog AB</t>
        </is>
      </c>
      <c r="I796" t="n">
        <v>0.7</v>
      </c>
      <c r="J796" t="n">
        <v>0</v>
      </c>
      <c r="K796" t="n">
        <v>0</v>
      </c>
      <c r="L796" t="n">
        <v>0</v>
      </c>
      <c r="M796" t="n">
        <v>0</v>
      </c>
      <c r="N796" t="n">
        <v>0</v>
      </c>
      <c r="O796" t="n">
        <v>0</v>
      </c>
      <c r="P796" t="n">
        <v>0</v>
      </c>
      <c r="Q796" t="n">
        <v>0</v>
      </c>
      <c r="R796" t="n">
        <v>0</v>
      </c>
      <c r="S796" t="n">
        <v>0</v>
      </c>
      <c r="T796" t="n">
        <v>0</v>
      </c>
      <c r="U796" t="n">
        <v>0</v>
      </c>
      <c r="V796" s="2" t="inlineStr"/>
    </row>
    <row r="797" ht="15" customHeight="1">
      <c r="A797" t="inlineStr">
        <is>
          <t>A 41132-2026</t>
        </is>
      </c>
      <c r="B797" t="inlineStr">
        <is>
          <t>avverkningsanmälan</t>
        </is>
      </c>
      <c r="C797" t="inlineStr">
        <is>
          <t>Föryngringsavverkning</t>
        </is>
      </c>
      <c r="D797" s="1" t="n">
        <v>46300</v>
      </c>
      <c r="E797" s="1" t="n">
        <v>46323</v>
      </c>
      <c r="F797" t="inlineStr">
        <is>
          <t>KALMAR LÄN</t>
        </is>
      </c>
      <c r="G797" t="inlineStr">
        <is>
          <t>VÄSTERVIK</t>
        </is>
      </c>
      <c r="H797" t="inlineStr">
        <is>
          <t>Sveaskog</t>
        </is>
      </c>
      <c r="I797" t="n">
        <v>3.3</v>
      </c>
      <c r="J797" t="n">
        <v>0</v>
      </c>
      <c r="K797" t="n">
        <v>0</v>
      </c>
      <c r="L797" t="n">
        <v>0</v>
      </c>
      <c r="M797" t="n">
        <v>0</v>
      </c>
      <c r="N797" t="n">
        <v>0</v>
      </c>
      <c r="O797" t="n">
        <v>0</v>
      </c>
      <c r="P797" t="n">
        <v>0</v>
      </c>
      <c r="Q797" t="n">
        <v>0</v>
      </c>
      <c r="R797" t="n">
        <v>0</v>
      </c>
      <c r="S797" t="n">
        <v>0</v>
      </c>
      <c r="T797" t="n">
        <v>0</v>
      </c>
      <c r="U797" t="n">
        <v>0</v>
      </c>
      <c r="V797" s="2" t="inlineStr"/>
    </row>
    <row r="798" ht="15" customHeight="1">
      <c r="A798" t="inlineStr">
        <is>
          <t>A 41134-2026</t>
        </is>
      </c>
      <c r="B798" t="inlineStr">
        <is>
          <t>avverkningsanmälan</t>
        </is>
      </c>
      <c r="C798" t="inlineStr">
        <is>
          <t>Föryngringsavverkning</t>
        </is>
      </c>
      <c r="D798" s="1" t="n">
        <v>46300</v>
      </c>
      <c r="E798" s="1" t="n">
        <v>46323</v>
      </c>
      <c r="F798" t="inlineStr">
        <is>
          <t>KALMAR LÄN</t>
        </is>
      </c>
      <c r="G798" t="inlineStr">
        <is>
          <t>VÄSTERVIK</t>
        </is>
      </c>
      <c r="H798" t="inlineStr">
        <is>
          <t>Sveaskog</t>
        </is>
      </c>
      <c r="I798" t="n">
        <v>0.8</v>
      </c>
      <c r="J798" t="n">
        <v>0</v>
      </c>
      <c r="K798" t="n">
        <v>0</v>
      </c>
      <c r="L798" t="n">
        <v>0</v>
      </c>
      <c r="M798" t="n">
        <v>0</v>
      </c>
      <c r="N798" t="n">
        <v>0</v>
      </c>
      <c r="O798" t="n">
        <v>0</v>
      </c>
      <c r="P798" t="n">
        <v>0</v>
      </c>
      <c r="Q798" t="n">
        <v>0</v>
      </c>
      <c r="R798" t="n">
        <v>0</v>
      </c>
      <c r="S798" t="n">
        <v>0</v>
      </c>
      <c r="T798" t="n">
        <v>0</v>
      </c>
      <c r="U798" t="n">
        <v>0</v>
      </c>
      <c r="V798" s="2" t="inlineStr"/>
    </row>
    <row r="799" ht="15" customHeight="1">
      <c r="A799" t="inlineStr">
        <is>
          <t>A 26385-2026</t>
        </is>
      </c>
      <c r="B799" t="inlineStr">
        <is>
          <t>avverkningsanmälan</t>
        </is>
      </c>
      <c r="C799" t="inlineStr">
        <is>
          <t>Föryngringsavverkning</t>
        </is>
      </c>
      <c r="D799" s="1" t="n">
        <v>46183</v>
      </c>
      <c r="E799" s="1" t="n">
        <v>46323</v>
      </c>
      <c r="F799" t="inlineStr">
        <is>
          <t>KALMAR LÄN</t>
        </is>
      </c>
      <c r="G799" t="inlineStr">
        <is>
          <t>VÄSTERVIK</t>
        </is>
      </c>
      <c r="I799" t="n">
        <v>2.9</v>
      </c>
      <c r="J799" t="n">
        <v>0</v>
      </c>
      <c r="K799" t="n">
        <v>0</v>
      </c>
      <c r="L799" t="n">
        <v>0</v>
      </c>
      <c r="M799" t="n">
        <v>0</v>
      </c>
      <c r="N799" t="n">
        <v>0</v>
      </c>
      <c r="O799" t="n">
        <v>0</v>
      </c>
      <c r="P799" t="n">
        <v>0</v>
      </c>
      <c r="Q799" t="n">
        <v>0</v>
      </c>
      <c r="R799" t="n">
        <v>0</v>
      </c>
      <c r="S799" t="n">
        <v>0</v>
      </c>
      <c r="T799" t="n">
        <v>0</v>
      </c>
      <c r="U799" t="n">
        <v>0</v>
      </c>
      <c r="V799" s="2" t="inlineStr"/>
    </row>
    <row r="800" ht="15" customHeight="1">
      <c r="A800" t="inlineStr">
        <is>
          <t>A 18701-2026</t>
        </is>
      </c>
      <c r="B800" t="inlineStr">
        <is>
          <t>avverkningsanmälan</t>
        </is>
      </c>
      <c r="C800" t="inlineStr">
        <is>
          <t>Avverkning för annat ändamål</t>
        </is>
      </c>
      <c r="D800" s="1" t="n">
        <v>46128</v>
      </c>
      <c r="E800" s="1" t="n">
        <v>46323</v>
      </c>
      <c r="F800" t="inlineStr">
        <is>
          <t>KALMAR LÄN</t>
        </is>
      </c>
      <c r="G800" t="inlineStr">
        <is>
          <t>VÄSTERVIK</t>
        </is>
      </c>
      <c r="I800" t="n">
        <v>0.5</v>
      </c>
      <c r="J800" t="n">
        <v>0</v>
      </c>
      <c r="K800" t="n">
        <v>0</v>
      </c>
      <c r="L800" t="n">
        <v>0</v>
      </c>
      <c r="M800" t="n">
        <v>0</v>
      </c>
      <c r="N800" t="n">
        <v>0</v>
      </c>
      <c r="O800" t="n">
        <v>0</v>
      </c>
      <c r="P800" t="n">
        <v>0</v>
      </c>
      <c r="Q800" t="n">
        <v>0</v>
      </c>
      <c r="R800" t="n">
        <v>0</v>
      </c>
      <c r="S800" t="n">
        <v>0</v>
      </c>
      <c r="T800" t="n">
        <v>0</v>
      </c>
      <c r="U800" t="n">
        <v>0</v>
      </c>
      <c r="V800" s="2" t="inlineStr"/>
    </row>
    <row r="801" ht="15" customHeight="1">
      <c r="A801" t="inlineStr">
        <is>
          <t>A 34962-2026</t>
        </is>
      </c>
      <c r="B801" t="inlineStr">
        <is>
          <t>avverkningsanmälan</t>
        </is>
      </c>
      <c r="C801" t="inlineStr">
        <is>
          <t>Föryngringsavverkning</t>
        </is>
      </c>
      <c r="D801" s="1" t="n">
        <v>46259</v>
      </c>
      <c r="E801" s="1" t="n">
        <v>46323</v>
      </c>
      <c r="F801" t="inlineStr">
        <is>
          <t>KALMAR LÄN</t>
        </is>
      </c>
      <c r="G801" t="inlineStr">
        <is>
          <t>VÄSTERVIK</t>
        </is>
      </c>
      <c r="H801" t="inlineStr">
        <is>
          <t>Sveaskog</t>
        </is>
      </c>
      <c r="I801" t="n">
        <v>3.3</v>
      </c>
      <c r="J801" t="n">
        <v>0</v>
      </c>
      <c r="K801" t="n">
        <v>0</v>
      </c>
      <c r="L801" t="n">
        <v>0</v>
      </c>
      <c r="M801" t="n">
        <v>0</v>
      </c>
      <c r="N801" t="n">
        <v>0</v>
      </c>
      <c r="O801" t="n">
        <v>0</v>
      </c>
      <c r="P801" t="n">
        <v>0</v>
      </c>
      <c r="Q801" t="n">
        <v>0</v>
      </c>
      <c r="R801" t="n">
        <v>0</v>
      </c>
      <c r="S801" t="n">
        <v>0</v>
      </c>
      <c r="T801" t="n">
        <v>0</v>
      </c>
      <c r="U801" t="n">
        <v>0</v>
      </c>
      <c r="V801" s="2" t="inlineStr"/>
    </row>
    <row r="802" ht="15" customHeight="1">
      <c r="A802" t="inlineStr">
        <is>
          <t>A 19067-2026</t>
        </is>
      </c>
      <c r="B802" t="inlineStr">
        <is>
          <t>avverkningsanmälan</t>
        </is>
      </c>
      <c r="C802" t="inlineStr">
        <is>
          <t>Föryngringsavverkning</t>
        </is>
      </c>
      <c r="D802" s="1" t="n">
        <v>46132</v>
      </c>
      <c r="E802" s="1" t="n">
        <v>46323</v>
      </c>
      <c r="F802" t="inlineStr">
        <is>
          <t>KALMAR LÄN</t>
        </is>
      </c>
      <c r="G802" t="inlineStr">
        <is>
          <t>VÄSTERVIK</t>
        </is>
      </c>
      <c r="H802" t="inlineStr">
        <is>
          <t>Sveaskog</t>
        </is>
      </c>
      <c r="I802" t="n">
        <v>2.4</v>
      </c>
      <c r="J802" t="n">
        <v>0</v>
      </c>
      <c r="K802" t="n">
        <v>0</v>
      </c>
      <c r="L802" t="n">
        <v>0</v>
      </c>
      <c r="M802" t="n">
        <v>0</v>
      </c>
      <c r="N802" t="n">
        <v>0</v>
      </c>
      <c r="O802" t="n">
        <v>0</v>
      </c>
      <c r="P802" t="n">
        <v>0</v>
      </c>
      <c r="Q802" t="n">
        <v>0</v>
      </c>
      <c r="R802" t="n">
        <v>0</v>
      </c>
      <c r="S802" t="n">
        <v>0</v>
      </c>
      <c r="T802" t="n">
        <v>0</v>
      </c>
      <c r="U802" t="n">
        <v>0</v>
      </c>
      <c r="V802" s="2" t="inlineStr"/>
    </row>
    <row r="803" ht="15" customHeight="1">
      <c r="A803" t="inlineStr">
        <is>
          <t>A 41485-2026</t>
        </is>
      </c>
      <c r="B803" t="inlineStr">
        <is>
          <t>avverkningsanmälan</t>
        </is>
      </c>
      <c r="C803" t="inlineStr">
        <is>
          <t>Föryngringsavverkning</t>
        </is>
      </c>
      <c r="D803" s="1" t="n">
        <v>46301</v>
      </c>
      <c r="E803" s="1" t="n">
        <v>46323</v>
      </c>
      <c r="F803" t="inlineStr">
        <is>
          <t>KALMAR LÄN</t>
        </is>
      </c>
      <c r="G803" t="inlineStr">
        <is>
          <t>VÄSTERVIK</t>
        </is>
      </c>
      <c r="H803" t="inlineStr">
        <is>
          <t>Holmen skog AB</t>
        </is>
      </c>
      <c r="I803" t="n">
        <v>6</v>
      </c>
      <c r="J803" t="n">
        <v>0</v>
      </c>
      <c r="K803" t="n">
        <v>0</v>
      </c>
      <c r="L803" t="n">
        <v>0</v>
      </c>
      <c r="M803" t="n">
        <v>0</v>
      </c>
      <c r="N803" t="n">
        <v>0</v>
      </c>
      <c r="O803" t="n">
        <v>0</v>
      </c>
      <c r="P803" t="n">
        <v>0</v>
      </c>
      <c r="Q803" t="n">
        <v>0</v>
      </c>
      <c r="R803" t="n">
        <v>0</v>
      </c>
      <c r="S803" t="n">
        <v>0</v>
      </c>
      <c r="T803" t="n">
        <v>0</v>
      </c>
      <c r="U803" t="n">
        <v>0</v>
      </c>
      <c r="V803" s="2" t="inlineStr"/>
    </row>
    <row r="804" ht="15" customHeight="1">
      <c r="A804" t="inlineStr">
        <is>
          <t>A 5769-2023</t>
        </is>
      </c>
      <c r="B804" t="inlineStr">
        <is>
          <t>avverkningsanmälan</t>
        </is>
      </c>
      <c r="C804" t="inlineStr">
        <is>
          <t>Föryngringsavverkning</t>
        </is>
      </c>
      <c r="D804" s="1" t="n">
        <v>44963</v>
      </c>
      <c r="E804" s="1" t="n">
        <v>46323</v>
      </c>
      <c r="F804" t="inlineStr">
        <is>
          <t>KALMAR LÄN</t>
        </is>
      </c>
      <c r="G804" t="inlineStr">
        <is>
          <t>VÄSTERVIK</t>
        </is>
      </c>
      <c r="H804" t="inlineStr">
        <is>
          <t>Holmen skog AB</t>
        </is>
      </c>
      <c r="I804" t="n">
        <v>1.2</v>
      </c>
      <c r="J804" t="n">
        <v>0</v>
      </c>
      <c r="K804" t="n">
        <v>0</v>
      </c>
      <c r="L804" t="n">
        <v>0</v>
      </c>
      <c r="M804" t="n">
        <v>0</v>
      </c>
      <c r="N804" t="n">
        <v>0</v>
      </c>
      <c r="O804" t="n">
        <v>0</v>
      </c>
      <c r="P804" t="n">
        <v>0</v>
      </c>
      <c r="Q804" t="n">
        <v>0</v>
      </c>
      <c r="R804" t="n">
        <v>0</v>
      </c>
      <c r="S804" t="n">
        <v>0</v>
      </c>
      <c r="T804" t="n">
        <v>0</v>
      </c>
      <c r="U804" t="n">
        <v>0</v>
      </c>
      <c r="V804" s="2" t="inlineStr"/>
    </row>
    <row r="805" ht="15" customHeight="1">
      <c r="A805" t="inlineStr">
        <is>
          <t>A 19065-2026</t>
        </is>
      </c>
      <c r="B805" t="inlineStr">
        <is>
          <t>avverkningsanmälan</t>
        </is>
      </c>
      <c r="C805" t="inlineStr">
        <is>
          <t>Föryngringsavverkning</t>
        </is>
      </c>
      <c r="D805" s="1" t="n">
        <v>46132</v>
      </c>
      <c r="E805" s="1" t="n">
        <v>46323</v>
      </c>
      <c r="F805" t="inlineStr">
        <is>
          <t>KALMAR LÄN</t>
        </is>
      </c>
      <c r="G805" t="inlineStr">
        <is>
          <t>VÄSTERVIK</t>
        </is>
      </c>
      <c r="H805" t="inlineStr">
        <is>
          <t>Sveaskog</t>
        </is>
      </c>
      <c r="I805" t="n">
        <v>2.3</v>
      </c>
      <c r="J805" t="n">
        <v>0</v>
      </c>
      <c r="K805" t="n">
        <v>0</v>
      </c>
      <c r="L805" t="n">
        <v>0</v>
      </c>
      <c r="M805" t="n">
        <v>0</v>
      </c>
      <c r="N805" t="n">
        <v>0</v>
      </c>
      <c r="O805" t="n">
        <v>0</v>
      </c>
      <c r="P805" t="n">
        <v>0</v>
      </c>
      <c r="Q805" t="n">
        <v>0</v>
      </c>
      <c r="R805" t="n">
        <v>0</v>
      </c>
      <c r="S805" t="n">
        <v>0</v>
      </c>
      <c r="T805" t="n">
        <v>0</v>
      </c>
      <c r="U805" t="n">
        <v>0</v>
      </c>
      <c r="V805" s="2" t="inlineStr"/>
    </row>
    <row r="806" ht="15" customHeight="1">
      <c r="A806" t="inlineStr">
        <is>
          <t>A 59695-2023</t>
        </is>
      </c>
      <c r="B806" t="inlineStr">
        <is>
          <t>avverkningsanmälan</t>
        </is>
      </c>
      <c r="C806" t="inlineStr">
        <is>
          <t>Föryngringsavverkning</t>
        </is>
      </c>
      <c r="D806" s="1" t="n">
        <v>45256</v>
      </c>
      <c r="E806" s="1" t="n">
        <v>46323</v>
      </c>
      <c r="F806" t="inlineStr">
        <is>
          <t>KALMAR LÄN</t>
        </is>
      </c>
      <c r="G806" t="inlineStr">
        <is>
          <t>VÄSTERVIK</t>
        </is>
      </c>
      <c r="H806" t="inlineStr">
        <is>
          <t>Sveaskog</t>
        </is>
      </c>
      <c r="I806" t="n">
        <v>2.4</v>
      </c>
      <c r="J806" t="n">
        <v>0</v>
      </c>
      <c r="K806" t="n">
        <v>0</v>
      </c>
      <c r="L806" t="n">
        <v>0</v>
      </c>
      <c r="M806" t="n">
        <v>0</v>
      </c>
      <c r="N806" t="n">
        <v>0</v>
      </c>
      <c r="O806" t="n">
        <v>0</v>
      </c>
      <c r="P806" t="n">
        <v>0</v>
      </c>
      <c r="Q806" t="n">
        <v>0</v>
      </c>
      <c r="R806" t="n">
        <v>0</v>
      </c>
      <c r="S806" t="n">
        <v>0</v>
      </c>
      <c r="T806" t="n">
        <v>0</v>
      </c>
      <c r="U806" t="n">
        <v>0</v>
      </c>
      <c r="V806" s="2" t="inlineStr"/>
    </row>
    <row r="807" ht="15" customHeight="1">
      <c r="A807" t="inlineStr">
        <is>
          <t>A 7090-2024</t>
        </is>
      </c>
      <c r="B807" t="inlineStr">
        <is>
          <t>avverkningsanmälan</t>
        </is>
      </c>
      <c r="C807" t="inlineStr">
        <is>
          <t>Föryngringsavverkning</t>
        </is>
      </c>
      <c r="D807" s="1" t="n">
        <v>45343</v>
      </c>
      <c r="E807" s="1" t="n">
        <v>46323</v>
      </c>
      <c r="F807" t="inlineStr">
        <is>
          <t>KALMAR LÄN</t>
        </is>
      </c>
      <c r="G807" t="inlineStr">
        <is>
          <t>VÄSTERVIK</t>
        </is>
      </c>
      <c r="I807" t="n">
        <v>1.2</v>
      </c>
      <c r="J807" t="n">
        <v>0</v>
      </c>
      <c r="K807" t="n">
        <v>0</v>
      </c>
      <c r="L807" t="n">
        <v>0</v>
      </c>
      <c r="M807" t="n">
        <v>0</v>
      </c>
      <c r="N807" t="n">
        <v>0</v>
      </c>
      <c r="O807" t="n">
        <v>0</v>
      </c>
      <c r="P807" t="n">
        <v>0</v>
      </c>
      <c r="Q807" t="n">
        <v>0</v>
      </c>
      <c r="R807" t="n">
        <v>0</v>
      </c>
      <c r="S807" t="n">
        <v>0</v>
      </c>
      <c r="T807" t="n">
        <v>0</v>
      </c>
      <c r="U807" t="n">
        <v>0</v>
      </c>
      <c r="V807" s="2" t="inlineStr"/>
    </row>
    <row r="808" ht="15" customHeight="1">
      <c r="A808" t="inlineStr">
        <is>
          <t>A 47945-2023</t>
        </is>
      </c>
      <c r="B808" t="inlineStr">
        <is>
          <t>avverkningsanmälan</t>
        </is>
      </c>
      <c r="C808" t="inlineStr">
        <is>
          <t>Föryngringsavverkning</t>
        </is>
      </c>
      <c r="D808" s="1" t="n">
        <v>45204</v>
      </c>
      <c r="E808" s="1" t="n">
        <v>46323</v>
      </c>
      <c r="F808" t="inlineStr">
        <is>
          <t>KALMAR LÄN</t>
        </is>
      </c>
      <c r="G808" t="inlineStr">
        <is>
          <t>VÄSTERVIK</t>
        </is>
      </c>
      <c r="I808" t="n">
        <v>2</v>
      </c>
      <c r="J808" t="n">
        <v>0</v>
      </c>
      <c r="K808" t="n">
        <v>0</v>
      </c>
      <c r="L808" t="n">
        <v>0</v>
      </c>
      <c r="M808" t="n">
        <v>0</v>
      </c>
      <c r="N808" t="n">
        <v>0</v>
      </c>
      <c r="O808" t="n">
        <v>0</v>
      </c>
      <c r="P808" t="n">
        <v>0</v>
      </c>
      <c r="Q808" t="n">
        <v>0</v>
      </c>
      <c r="R808" t="n">
        <v>0</v>
      </c>
      <c r="S808" t="n">
        <v>0</v>
      </c>
      <c r="T808" t="n">
        <v>0</v>
      </c>
      <c r="U808" t="n">
        <v>0</v>
      </c>
      <c r="V808" s="2" t="inlineStr"/>
    </row>
    <row r="809" ht="15" customHeight="1">
      <c r="A809" t="inlineStr">
        <is>
          <t>A 16689-2025</t>
        </is>
      </c>
      <c r="B809" t="inlineStr">
        <is>
          <t>avverkningsanmälan</t>
        </is>
      </c>
      <c r="C809" t="inlineStr">
        <is>
          <t>Föryngringsavverkning</t>
        </is>
      </c>
      <c r="D809" s="1" t="n">
        <v>45754</v>
      </c>
      <c r="E809" s="1" t="n">
        <v>46323</v>
      </c>
      <c r="F809" t="inlineStr">
        <is>
          <t>KALMAR LÄN</t>
        </is>
      </c>
      <c r="G809" t="inlineStr">
        <is>
          <t>VÄSTERVIK</t>
        </is>
      </c>
      <c r="H809" t="inlineStr">
        <is>
          <t>Sveaskog</t>
        </is>
      </c>
      <c r="I809" t="n">
        <v>1.4</v>
      </c>
      <c r="J809" t="n">
        <v>0</v>
      </c>
      <c r="K809" t="n">
        <v>0</v>
      </c>
      <c r="L809" t="n">
        <v>0</v>
      </c>
      <c r="M809" t="n">
        <v>0</v>
      </c>
      <c r="N809" t="n">
        <v>0</v>
      </c>
      <c r="O809" t="n">
        <v>0</v>
      </c>
      <c r="P809" t="n">
        <v>0</v>
      </c>
      <c r="Q809" t="n">
        <v>0</v>
      </c>
      <c r="R809" t="n">
        <v>0</v>
      </c>
      <c r="S809" t="n">
        <v>0</v>
      </c>
      <c r="T809" t="n">
        <v>0</v>
      </c>
      <c r="U809" t="n">
        <v>0</v>
      </c>
      <c r="V809" s="2" t="inlineStr"/>
    </row>
    <row r="810" ht="15" customHeight="1">
      <c r="A810" t="inlineStr">
        <is>
          <t>A 740-2026</t>
        </is>
      </c>
      <c r="B810" t="inlineStr">
        <is>
          <t>avverkningsanmälan</t>
        </is>
      </c>
      <c r="C810" t="inlineStr">
        <is>
          <t>Föryngringsavverkning</t>
        </is>
      </c>
      <c r="D810" s="1" t="n">
        <v>46029</v>
      </c>
      <c r="E810" s="1" t="n">
        <v>46323</v>
      </c>
      <c r="F810" t="inlineStr">
        <is>
          <t>KALMAR LÄN</t>
        </is>
      </c>
      <c r="G810" t="inlineStr">
        <is>
          <t>VÄSTERVIK</t>
        </is>
      </c>
      <c r="I810" t="n">
        <v>1.5</v>
      </c>
      <c r="J810" t="n">
        <v>0</v>
      </c>
      <c r="K810" t="n">
        <v>0</v>
      </c>
      <c r="L810" t="n">
        <v>0</v>
      </c>
      <c r="M810" t="n">
        <v>0</v>
      </c>
      <c r="N810" t="n">
        <v>0</v>
      </c>
      <c r="O810" t="n">
        <v>0</v>
      </c>
      <c r="P810" t="n">
        <v>0</v>
      </c>
      <c r="Q810" t="n">
        <v>0</v>
      </c>
      <c r="R810" t="n">
        <v>0</v>
      </c>
      <c r="S810" t="n">
        <v>0</v>
      </c>
      <c r="T810" t="n">
        <v>0</v>
      </c>
      <c r="U810" t="n">
        <v>0</v>
      </c>
      <c r="V810" s="2" t="inlineStr"/>
    </row>
    <row r="811" ht="15" customHeight="1">
      <c r="A811" t="inlineStr">
        <is>
          <t>A 41503-2026</t>
        </is>
      </c>
      <c r="B811" t="inlineStr">
        <is>
          <t>avverkningsanmälan</t>
        </is>
      </c>
      <c r="C811" t="inlineStr">
        <is>
          <t>Föryngringsavverkning</t>
        </is>
      </c>
      <c r="D811" s="1" t="n">
        <v>46301</v>
      </c>
      <c r="E811" s="1" t="n">
        <v>46323</v>
      </c>
      <c r="F811" t="inlineStr">
        <is>
          <t>KALMAR LÄN</t>
        </is>
      </c>
      <c r="G811" t="inlineStr">
        <is>
          <t>VÄSTERVIK</t>
        </is>
      </c>
      <c r="I811" t="n">
        <v>1.6</v>
      </c>
      <c r="J811" t="n">
        <v>0</v>
      </c>
      <c r="K811" t="n">
        <v>0</v>
      </c>
      <c r="L811" t="n">
        <v>0</v>
      </c>
      <c r="M811" t="n">
        <v>0</v>
      </c>
      <c r="N811" t="n">
        <v>0</v>
      </c>
      <c r="O811" t="n">
        <v>0</v>
      </c>
      <c r="P811" t="n">
        <v>0</v>
      </c>
      <c r="Q811" t="n">
        <v>0</v>
      </c>
      <c r="R811" t="n">
        <v>0</v>
      </c>
      <c r="S811" t="n">
        <v>0</v>
      </c>
      <c r="T811" t="n">
        <v>0</v>
      </c>
      <c r="U811" t="n">
        <v>0</v>
      </c>
      <c r="V811" s="2" t="inlineStr"/>
    </row>
    <row r="812" ht="15" customHeight="1">
      <c r="A812" t="inlineStr">
        <is>
          <t>A 21991-2025</t>
        </is>
      </c>
      <c r="B812" t="inlineStr">
        <is>
          <t>avverkningsanmälan</t>
        </is>
      </c>
      <c r="C812" t="inlineStr">
        <is>
          <t>Föryngringsavverkning</t>
        </is>
      </c>
      <c r="D812" s="1" t="n">
        <v>45784</v>
      </c>
      <c r="E812" s="1" t="n">
        <v>46323</v>
      </c>
      <c r="F812" t="inlineStr">
        <is>
          <t>KALMAR LÄN</t>
        </is>
      </c>
      <c r="G812" t="inlineStr">
        <is>
          <t>VÄSTERVIK</t>
        </is>
      </c>
      <c r="I812" t="n">
        <v>0.8</v>
      </c>
      <c r="J812" t="n">
        <v>0</v>
      </c>
      <c r="K812" t="n">
        <v>0</v>
      </c>
      <c r="L812" t="n">
        <v>0</v>
      </c>
      <c r="M812" t="n">
        <v>0</v>
      </c>
      <c r="N812" t="n">
        <v>0</v>
      </c>
      <c r="O812" t="n">
        <v>0</v>
      </c>
      <c r="P812" t="n">
        <v>0</v>
      </c>
      <c r="Q812" t="n">
        <v>0</v>
      </c>
      <c r="R812" t="n">
        <v>0</v>
      </c>
      <c r="S812" t="n">
        <v>0</v>
      </c>
      <c r="T812" t="n">
        <v>0</v>
      </c>
      <c r="U812" t="n">
        <v>0</v>
      </c>
      <c r="V812" s="2" t="inlineStr"/>
    </row>
    <row r="813" ht="15" customHeight="1">
      <c r="A813" t="inlineStr">
        <is>
          <t>A 35267-2026</t>
        </is>
      </c>
      <c r="B813" t="inlineStr">
        <is>
          <t>avverkningsanmälan</t>
        </is>
      </c>
      <c r="C813" t="inlineStr">
        <is>
          <t>Föryngringsavverkning</t>
        </is>
      </c>
      <c r="D813" s="1" t="n">
        <v>46261</v>
      </c>
      <c r="E813" s="1" t="n">
        <v>46323</v>
      </c>
      <c r="F813" t="inlineStr">
        <is>
          <t>KALMAR LÄN</t>
        </is>
      </c>
      <c r="G813" t="inlineStr">
        <is>
          <t>VÄSTERVIK</t>
        </is>
      </c>
      <c r="H813" t="inlineStr">
        <is>
          <t>Övriga Aktiebolag</t>
        </is>
      </c>
      <c r="I813" t="n">
        <v>0.7</v>
      </c>
      <c r="J813" t="n">
        <v>0</v>
      </c>
      <c r="K813" t="n">
        <v>0</v>
      </c>
      <c r="L813" t="n">
        <v>0</v>
      </c>
      <c r="M813" t="n">
        <v>0</v>
      </c>
      <c r="N813" t="n">
        <v>0</v>
      </c>
      <c r="O813" t="n">
        <v>0</v>
      </c>
      <c r="P813" t="n">
        <v>0</v>
      </c>
      <c r="Q813" t="n">
        <v>0</v>
      </c>
      <c r="R813" t="n">
        <v>0</v>
      </c>
      <c r="S813" t="n">
        <v>0</v>
      </c>
      <c r="T813" t="n">
        <v>0</v>
      </c>
      <c r="U813" t="n">
        <v>0</v>
      </c>
      <c r="V813" s="2" t="inlineStr"/>
    </row>
    <row r="814" ht="15" customHeight="1">
      <c r="A814" t="inlineStr">
        <is>
          <t>A 41956-2026</t>
        </is>
      </c>
      <c r="B814" t="inlineStr">
        <is>
          <t>avverkningsanmälan</t>
        </is>
      </c>
      <c r="C814" t="inlineStr">
        <is>
          <t>Avverkning för annat ändamål</t>
        </is>
      </c>
      <c r="D814" s="1" t="n">
        <v>46303</v>
      </c>
      <c r="E814" s="1" t="n">
        <v>46323</v>
      </c>
      <c r="F814" t="inlineStr">
        <is>
          <t>KALMAR LÄN</t>
        </is>
      </c>
      <c r="G814" t="inlineStr">
        <is>
          <t>VÄSTERVIK</t>
        </is>
      </c>
      <c r="I814" t="n">
        <v>1.2</v>
      </c>
      <c r="J814" t="n">
        <v>0</v>
      </c>
      <c r="K814" t="n">
        <v>0</v>
      </c>
      <c r="L814" t="n">
        <v>0</v>
      </c>
      <c r="M814" t="n">
        <v>0</v>
      </c>
      <c r="N814" t="n">
        <v>0</v>
      </c>
      <c r="O814" t="n">
        <v>0</v>
      </c>
      <c r="P814" t="n">
        <v>0</v>
      </c>
      <c r="Q814" t="n">
        <v>0</v>
      </c>
      <c r="R814" t="n">
        <v>0</v>
      </c>
      <c r="S814" t="n">
        <v>0</v>
      </c>
      <c r="T814" t="n">
        <v>0</v>
      </c>
      <c r="U814" t="n">
        <v>0</v>
      </c>
      <c r="V814" s="2" t="inlineStr"/>
    </row>
    <row r="815" ht="15" customHeight="1">
      <c r="A815" t="inlineStr">
        <is>
          <t>A 46561-2022</t>
        </is>
      </c>
      <c r="B815" t="inlineStr">
        <is>
          <t>avverkningsanmälan</t>
        </is>
      </c>
      <c r="C815" t="inlineStr">
        <is>
          <t>Föryngringsavverkning</t>
        </is>
      </c>
      <c r="D815" s="1" t="n">
        <v>44848</v>
      </c>
      <c r="E815" s="1" t="n">
        <v>46323</v>
      </c>
      <c r="F815" t="inlineStr">
        <is>
          <t>KALMAR LÄN</t>
        </is>
      </c>
      <c r="G815" t="inlineStr">
        <is>
          <t>VÄSTERVIK</t>
        </is>
      </c>
      <c r="H815" t="inlineStr">
        <is>
          <t>Sveaskog</t>
        </is>
      </c>
      <c r="I815" t="n">
        <v>2.9</v>
      </c>
      <c r="J815" t="n">
        <v>0</v>
      </c>
      <c r="K815" t="n">
        <v>0</v>
      </c>
      <c r="L815" t="n">
        <v>0</v>
      </c>
      <c r="M815" t="n">
        <v>0</v>
      </c>
      <c r="N815" t="n">
        <v>0</v>
      </c>
      <c r="O815" t="n">
        <v>0</v>
      </c>
      <c r="P815" t="n">
        <v>0</v>
      </c>
      <c r="Q815" t="n">
        <v>0</v>
      </c>
      <c r="R815" t="n">
        <v>0</v>
      </c>
      <c r="S815" t="n">
        <v>0</v>
      </c>
      <c r="T815" t="n">
        <v>0</v>
      </c>
      <c r="U815" t="n">
        <v>0</v>
      </c>
      <c r="V815" s="2" t="inlineStr"/>
    </row>
    <row r="816" ht="15" customHeight="1">
      <c r="A816" t="inlineStr">
        <is>
          <t>A 28203-2025</t>
        </is>
      </c>
      <c r="B816" t="inlineStr">
        <is>
          <t>avverkningsanmälan</t>
        </is>
      </c>
      <c r="C816" t="inlineStr">
        <is>
          <t>Föryngringsavverkning</t>
        </is>
      </c>
      <c r="D816" s="1" t="n">
        <v>45818</v>
      </c>
      <c r="E816" s="1" t="n">
        <v>46323</v>
      </c>
      <c r="F816" t="inlineStr">
        <is>
          <t>KALMAR LÄN</t>
        </is>
      </c>
      <c r="G816" t="inlineStr">
        <is>
          <t>VÄSTERVIK</t>
        </is>
      </c>
      <c r="I816" t="n">
        <v>1.7</v>
      </c>
      <c r="J816" t="n">
        <v>0</v>
      </c>
      <c r="K816" t="n">
        <v>0</v>
      </c>
      <c r="L816" t="n">
        <v>0</v>
      </c>
      <c r="M816" t="n">
        <v>0</v>
      </c>
      <c r="N816" t="n">
        <v>0</v>
      </c>
      <c r="O816" t="n">
        <v>0</v>
      </c>
      <c r="P816" t="n">
        <v>0</v>
      </c>
      <c r="Q816" t="n">
        <v>0</v>
      </c>
      <c r="R816" t="n">
        <v>0</v>
      </c>
      <c r="S816" t="n">
        <v>0</v>
      </c>
      <c r="T816" t="n">
        <v>0</v>
      </c>
      <c r="U816" t="n">
        <v>0</v>
      </c>
      <c r="V816" s="2" t="inlineStr"/>
    </row>
    <row r="817" ht="15" customHeight="1">
      <c r="A817" t="inlineStr">
        <is>
          <t>A 35258-2026</t>
        </is>
      </c>
      <c r="B817" t="inlineStr">
        <is>
          <t>avverkningsanmälan</t>
        </is>
      </c>
      <c r="C817" t="inlineStr">
        <is>
          <t>Föryngringsavverkning</t>
        </is>
      </c>
      <c r="D817" s="1" t="n">
        <v>46261</v>
      </c>
      <c r="E817" s="1" t="n">
        <v>46323</v>
      </c>
      <c r="F817" t="inlineStr">
        <is>
          <t>KALMAR LÄN</t>
        </is>
      </c>
      <c r="G817" t="inlineStr">
        <is>
          <t>VÄSTERVIK</t>
        </is>
      </c>
      <c r="H817" t="inlineStr">
        <is>
          <t>Övriga Aktiebolag</t>
        </is>
      </c>
      <c r="I817" t="n">
        <v>1.2</v>
      </c>
      <c r="J817" t="n">
        <v>0</v>
      </c>
      <c r="K817" t="n">
        <v>0</v>
      </c>
      <c r="L817" t="n">
        <v>0</v>
      </c>
      <c r="M817" t="n">
        <v>0</v>
      </c>
      <c r="N817" t="n">
        <v>0</v>
      </c>
      <c r="O817" t="n">
        <v>0</v>
      </c>
      <c r="P817" t="n">
        <v>0</v>
      </c>
      <c r="Q817" t="n">
        <v>0</v>
      </c>
      <c r="R817" t="n">
        <v>0</v>
      </c>
      <c r="S817" t="n">
        <v>0</v>
      </c>
      <c r="T817" t="n">
        <v>0</v>
      </c>
      <c r="U817" t="n">
        <v>0</v>
      </c>
      <c r="V817" s="2" t="inlineStr"/>
    </row>
    <row r="818" ht="15" customHeight="1">
      <c r="A818" t="inlineStr">
        <is>
          <t>A 18884-2025</t>
        </is>
      </c>
      <c r="B818" t="inlineStr">
        <is>
          <t>avverkningsanmälan</t>
        </is>
      </c>
      <c r="C818" t="inlineStr">
        <is>
          <t>Föryngringsavverkning</t>
        </is>
      </c>
      <c r="D818" s="1" t="n">
        <v>45764</v>
      </c>
      <c r="E818" s="1" t="n">
        <v>46323</v>
      </c>
      <c r="F818" t="inlineStr">
        <is>
          <t>KALMAR LÄN</t>
        </is>
      </c>
      <c r="G818" t="inlineStr">
        <is>
          <t>VÄSTERVIK</t>
        </is>
      </c>
      <c r="I818" t="n">
        <v>0.8</v>
      </c>
      <c r="J818" t="n">
        <v>0</v>
      </c>
      <c r="K818" t="n">
        <v>0</v>
      </c>
      <c r="L818" t="n">
        <v>0</v>
      </c>
      <c r="M818" t="n">
        <v>0</v>
      </c>
      <c r="N818" t="n">
        <v>0</v>
      </c>
      <c r="O818" t="n">
        <v>0</v>
      </c>
      <c r="P818" t="n">
        <v>0</v>
      </c>
      <c r="Q818" t="n">
        <v>0</v>
      </c>
      <c r="R818" t="n">
        <v>0</v>
      </c>
      <c r="S818" t="n">
        <v>0</v>
      </c>
      <c r="T818" t="n">
        <v>0</v>
      </c>
      <c r="U818" t="n">
        <v>0</v>
      </c>
      <c r="V818" s="2" t="inlineStr"/>
    </row>
    <row r="819" ht="15" customHeight="1">
      <c r="A819" t="inlineStr">
        <is>
          <t>A 35260-2026</t>
        </is>
      </c>
      <c r="B819" t="inlineStr">
        <is>
          <t>avverkningsanmälan</t>
        </is>
      </c>
      <c r="C819" t="inlineStr">
        <is>
          <t>Föryngringsavverkning</t>
        </is>
      </c>
      <c r="D819" s="1" t="n">
        <v>46261</v>
      </c>
      <c r="E819" s="1" t="n">
        <v>46323</v>
      </c>
      <c r="F819" t="inlineStr">
        <is>
          <t>KALMAR LÄN</t>
        </is>
      </c>
      <c r="G819" t="inlineStr">
        <is>
          <t>VÄSTERVIK</t>
        </is>
      </c>
      <c r="H819" t="inlineStr">
        <is>
          <t>Övriga Aktiebolag</t>
        </is>
      </c>
      <c r="I819" t="n">
        <v>2.4</v>
      </c>
      <c r="J819" t="n">
        <v>0</v>
      </c>
      <c r="K819" t="n">
        <v>0</v>
      </c>
      <c r="L819" t="n">
        <v>0</v>
      </c>
      <c r="M819" t="n">
        <v>0</v>
      </c>
      <c r="N819" t="n">
        <v>0</v>
      </c>
      <c r="O819" t="n">
        <v>0</v>
      </c>
      <c r="P819" t="n">
        <v>0</v>
      </c>
      <c r="Q819" t="n">
        <v>0</v>
      </c>
      <c r="R819" t="n">
        <v>0</v>
      </c>
      <c r="S819" t="n">
        <v>0</v>
      </c>
      <c r="T819" t="n">
        <v>0</v>
      </c>
      <c r="U819" t="n">
        <v>0</v>
      </c>
      <c r="V819" s="2" t="inlineStr"/>
    </row>
    <row r="820" ht="15" customHeight="1">
      <c r="A820" t="inlineStr">
        <is>
          <t>A 35268-2026</t>
        </is>
      </c>
      <c r="B820" t="inlineStr">
        <is>
          <t>avverkningsanmälan</t>
        </is>
      </c>
      <c r="C820" t="inlineStr">
        <is>
          <t>Föryngringsavverkning</t>
        </is>
      </c>
      <c r="D820" s="1" t="n">
        <v>46261</v>
      </c>
      <c r="E820" s="1" t="n">
        <v>46323</v>
      </c>
      <c r="F820" t="inlineStr">
        <is>
          <t>KALMAR LÄN</t>
        </is>
      </c>
      <c r="G820" t="inlineStr">
        <is>
          <t>VÄSTERVIK</t>
        </is>
      </c>
      <c r="H820" t="inlineStr">
        <is>
          <t>Övriga Aktiebolag</t>
        </is>
      </c>
      <c r="I820" t="n">
        <v>2.3</v>
      </c>
      <c r="J820" t="n">
        <v>0</v>
      </c>
      <c r="K820" t="n">
        <v>0</v>
      </c>
      <c r="L820" t="n">
        <v>0</v>
      </c>
      <c r="M820" t="n">
        <v>0</v>
      </c>
      <c r="N820" t="n">
        <v>0</v>
      </c>
      <c r="O820" t="n">
        <v>0</v>
      </c>
      <c r="P820" t="n">
        <v>0</v>
      </c>
      <c r="Q820" t="n">
        <v>0</v>
      </c>
      <c r="R820" t="n">
        <v>0</v>
      </c>
      <c r="S820" t="n">
        <v>0</v>
      </c>
      <c r="T820" t="n">
        <v>0</v>
      </c>
      <c r="U820" t="n">
        <v>0</v>
      </c>
      <c r="V820" s="2" t="inlineStr"/>
    </row>
    <row r="821" ht="15" customHeight="1">
      <c r="A821" t="inlineStr">
        <is>
          <t>A 33922-2025</t>
        </is>
      </c>
      <c r="B821" t="inlineStr">
        <is>
          <t>avverkningsanmälan</t>
        </is>
      </c>
      <c r="C821" t="inlineStr">
        <is>
          <t>Föryngringsavverkning</t>
        </is>
      </c>
      <c r="D821" s="1" t="n">
        <v>45842</v>
      </c>
      <c r="E821" s="1" t="n">
        <v>46323</v>
      </c>
      <c r="F821" t="inlineStr">
        <is>
          <t>KALMAR LÄN</t>
        </is>
      </c>
      <c r="G821" t="inlineStr">
        <is>
          <t>VÄSTERVIK</t>
        </is>
      </c>
      <c r="I821" t="n">
        <v>1.5</v>
      </c>
      <c r="J821" t="n">
        <v>0</v>
      </c>
      <c r="K821" t="n">
        <v>0</v>
      </c>
      <c r="L821" t="n">
        <v>0</v>
      </c>
      <c r="M821" t="n">
        <v>0</v>
      </c>
      <c r="N821" t="n">
        <v>0</v>
      </c>
      <c r="O821" t="n">
        <v>0</v>
      </c>
      <c r="P821" t="n">
        <v>0</v>
      </c>
      <c r="Q821" t="n">
        <v>0</v>
      </c>
      <c r="R821" t="n">
        <v>0</v>
      </c>
      <c r="S821" t="n">
        <v>0</v>
      </c>
      <c r="T821" t="n">
        <v>0</v>
      </c>
      <c r="U821" t="n">
        <v>0</v>
      </c>
      <c r="V821" s="2" t="inlineStr"/>
    </row>
    <row r="822" ht="15" customHeight="1">
      <c r="A822" t="inlineStr">
        <is>
          <t>A 23739-2025</t>
        </is>
      </c>
      <c r="B822" t="inlineStr">
        <is>
          <t>avverkningsanmälan</t>
        </is>
      </c>
      <c r="C822" t="inlineStr">
        <is>
          <t>Föryngringsavverkning</t>
        </is>
      </c>
      <c r="D822" s="1" t="n">
        <v>45793</v>
      </c>
      <c r="E822" s="1" t="n">
        <v>46323</v>
      </c>
      <c r="F822" t="inlineStr">
        <is>
          <t>KALMAR LÄN</t>
        </is>
      </c>
      <c r="G822" t="inlineStr">
        <is>
          <t>VÄSTERVIK</t>
        </is>
      </c>
      <c r="I822" t="n">
        <v>1.4</v>
      </c>
      <c r="J822" t="n">
        <v>0</v>
      </c>
      <c r="K822" t="n">
        <v>0</v>
      </c>
      <c r="L822" t="n">
        <v>0</v>
      </c>
      <c r="M822" t="n">
        <v>0</v>
      </c>
      <c r="N822" t="n">
        <v>0</v>
      </c>
      <c r="O822" t="n">
        <v>0</v>
      </c>
      <c r="P822" t="n">
        <v>0</v>
      </c>
      <c r="Q822" t="n">
        <v>0</v>
      </c>
      <c r="R822" t="n">
        <v>0</v>
      </c>
      <c r="S822" t="n">
        <v>0</v>
      </c>
      <c r="T822" t="n">
        <v>0</v>
      </c>
      <c r="U822" t="n">
        <v>0</v>
      </c>
      <c r="V822" s="2" t="inlineStr"/>
    </row>
    <row r="823" ht="15" customHeight="1">
      <c r="A823" t="inlineStr">
        <is>
          <t>A 35266-2026</t>
        </is>
      </c>
      <c r="B823" t="inlineStr">
        <is>
          <t>avverkningsanmälan</t>
        </is>
      </c>
      <c r="C823" t="inlineStr">
        <is>
          <t>Föryngringsavverkning</t>
        </is>
      </c>
      <c r="D823" s="1" t="n">
        <v>46261</v>
      </c>
      <c r="E823" s="1" t="n">
        <v>46323</v>
      </c>
      <c r="F823" t="inlineStr">
        <is>
          <t>KALMAR LÄN</t>
        </is>
      </c>
      <c r="G823" t="inlineStr">
        <is>
          <t>VÄSTERVIK</t>
        </is>
      </c>
      <c r="H823" t="inlineStr">
        <is>
          <t>Övriga Aktiebolag</t>
        </is>
      </c>
      <c r="I823" t="n">
        <v>1.9</v>
      </c>
      <c r="J823" t="n">
        <v>0</v>
      </c>
      <c r="K823" t="n">
        <v>0</v>
      </c>
      <c r="L823" t="n">
        <v>0</v>
      </c>
      <c r="M823" t="n">
        <v>0</v>
      </c>
      <c r="N823" t="n">
        <v>0</v>
      </c>
      <c r="O823" t="n">
        <v>0</v>
      </c>
      <c r="P823" t="n">
        <v>0</v>
      </c>
      <c r="Q823" t="n">
        <v>0</v>
      </c>
      <c r="R823" t="n">
        <v>0</v>
      </c>
      <c r="S823" t="n">
        <v>0</v>
      </c>
      <c r="T823" t="n">
        <v>0</v>
      </c>
      <c r="U823" t="n">
        <v>0</v>
      </c>
      <c r="V823" s="2" t="inlineStr"/>
    </row>
    <row r="824" ht="15" customHeight="1">
      <c r="A824" t="inlineStr">
        <is>
          <t>A 35273-2026</t>
        </is>
      </c>
      <c r="B824" t="inlineStr">
        <is>
          <t>avverkningsanmälan</t>
        </is>
      </c>
      <c r="C824" t="inlineStr">
        <is>
          <t>Föryngringsavverkning</t>
        </is>
      </c>
      <c r="D824" s="1" t="n">
        <v>46261</v>
      </c>
      <c r="E824" s="1" t="n">
        <v>46323</v>
      </c>
      <c r="F824" t="inlineStr">
        <is>
          <t>KALMAR LÄN</t>
        </is>
      </c>
      <c r="G824" t="inlineStr">
        <is>
          <t>VÄSTERVIK</t>
        </is>
      </c>
      <c r="H824" t="inlineStr">
        <is>
          <t>Övriga Aktiebolag</t>
        </is>
      </c>
      <c r="I824" t="n">
        <v>2.1</v>
      </c>
      <c r="J824" t="n">
        <v>0</v>
      </c>
      <c r="K824" t="n">
        <v>0</v>
      </c>
      <c r="L824" t="n">
        <v>0</v>
      </c>
      <c r="M824" t="n">
        <v>0</v>
      </c>
      <c r="N824" t="n">
        <v>0</v>
      </c>
      <c r="O824" t="n">
        <v>0</v>
      </c>
      <c r="P824" t="n">
        <v>0</v>
      </c>
      <c r="Q824" t="n">
        <v>0</v>
      </c>
      <c r="R824" t="n">
        <v>0</v>
      </c>
      <c r="S824" t="n">
        <v>0</v>
      </c>
      <c r="T824" t="n">
        <v>0</v>
      </c>
      <c r="U824" t="n">
        <v>0</v>
      </c>
      <c r="V824" s="2" t="inlineStr"/>
    </row>
    <row r="825" ht="15" customHeight="1">
      <c r="A825" t="inlineStr">
        <is>
          <t>A 47776-2025</t>
        </is>
      </c>
      <c r="B825" t="inlineStr">
        <is>
          <t>avverkningsanmälan</t>
        </is>
      </c>
      <c r="C825" t="inlineStr">
        <is>
          <t>Föryngringsavverkning</t>
        </is>
      </c>
      <c r="D825" s="1" t="n">
        <v>45931</v>
      </c>
      <c r="E825" s="1" t="n">
        <v>46323</v>
      </c>
      <c r="F825" t="inlineStr">
        <is>
          <t>KALMAR LÄN</t>
        </is>
      </c>
      <c r="G825" t="inlineStr">
        <is>
          <t>VÄSTERVIK</t>
        </is>
      </c>
      <c r="I825" t="n">
        <v>1</v>
      </c>
      <c r="J825" t="n">
        <v>0</v>
      </c>
      <c r="K825" t="n">
        <v>0</v>
      </c>
      <c r="L825" t="n">
        <v>0</v>
      </c>
      <c r="M825" t="n">
        <v>0</v>
      </c>
      <c r="N825" t="n">
        <v>0</v>
      </c>
      <c r="O825" t="n">
        <v>0</v>
      </c>
      <c r="P825" t="n">
        <v>0</v>
      </c>
      <c r="Q825" t="n">
        <v>0</v>
      </c>
      <c r="R825" t="n">
        <v>0</v>
      </c>
      <c r="S825" t="n">
        <v>0</v>
      </c>
      <c r="T825" t="n">
        <v>0</v>
      </c>
      <c r="U825" t="n">
        <v>0</v>
      </c>
      <c r="V825" s="2" t="inlineStr"/>
    </row>
    <row r="826" ht="15" customHeight="1">
      <c r="A826" t="inlineStr">
        <is>
          <t>A 2357-2025</t>
        </is>
      </c>
      <c r="B826" t="inlineStr">
        <is>
          <t>avverkningsanmälan</t>
        </is>
      </c>
      <c r="C826" t="inlineStr">
        <is>
          <t>Föryngringsavverkning</t>
        </is>
      </c>
      <c r="D826" s="1" t="n">
        <v>45673</v>
      </c>
      <c r="E826" s="1" t="n">
        <v>46323</v>
      </c>
      <c r="F826" t="inlineStr">
        <is>
          <t>KALMAR LÄN</t>
        </is>
      </c>
      <c r="G826" t="inlineStr">
        <is>
          <t>VÄSTERVIK</t>
        </is>
      </c>
      <c r="I826" t="n">
        <v>2.6</v>
      </c>
      <c r="J826" t="n">
        <v>0</v>
      </c>
      <c r="K826" t="n">
        <v>0</v>
      </c>
      <c r="L826" t="n">
        <v>0</v>
      </c>
      <c r="M826" t="n">
        <v>0</v>
      </c>
      <c r="N826" t="n">
        <v>0</v>
      </c>
      <c r="O826" t="n">
        <v>0</v>
      </c>
      <c r="P826" t="n">
        <v>0</v>
      </c>
      <c r="Q826" t="n">
        <v>0</v>
      </c>
      <c r="R826" t="n">
        <v>0</v>
      </c>
      <c r="S826" t="n">
        <v>0</v>
      </c>
      <c r="T826" t="n">
        <v>0</v>
      </c>
      <c r="U826" t="n">
        <v>0</v>
      </c>
      <c r="V826" s="2" t="inlineStr"/>
    </row>
    <row r="827" ht="15" customHeight="1">
      <c r="A827" t="inlineStr">
        <is>
          <t>A 9269-2025</t>
        </is>
      </c>
      <c r="B827" t="inlineStr">
        <is>
          <t>avverkningsanmälan</t>
        </is>
      </c>
      <c r="C827" t="inlineStr">
        <is>
          <t>Föryngringsavverkning</t>
        </is>
      </c>
      <c r="D827" s="1" t="n">
        <v>45714</v>
      </c>
      <c r="E827" s="1" t="n">
        <v>46323</v>
      </c>
      <c r="F827" t="inlineStr">
        <is>
          <t>KALMAR LÄN</t>
        </is>
      </c>
      <c r="G827" t="inlineStr">
        <is>
          <t>VÄSTERVIK</t>
        </is>
      </c>
      <c r="H827" t="inlineStr">
        <is>
          <t>Sveaskog</t>
        </is>
      </c>
      <c r="I827" t="n">
        <v>2.8</v>
      </c>
      <c r="J827" t="n">
        <v>0</v>
      </c>
      <c r="K827" t="n">
        <v>0</v>
      </c>
      <c r="L827" t="n">
        <v>0</v>
      </c>
      <c r="M827" t="n">
        <v>0</v>
      </c>
      <c r="N827" t="n">
        <v>0</v>
      </c>
      <c r="O827" t="n">
        <v>0</v>
      </c>
      <c r="P827" t="n">
        <v>0</v>
      </c>
      <c r="Q827" t="n">
        <v>0</v>
      </c>
      <c r="R827" t="n">
        <v>0</v>
      </c>
      <c r="S827" t="n">
        <v>0</v>
      </c>
      <c r="T827" t="n">
        <v>0</v>
      </c>
      <c r="U827" t="n">
        <v>0</v>
      </c>
      <c r="V827" s="2" t="inlineStr"/>
    </row>
    <row r="828" ht="15" customHeight="1">
      <c r="A828" t="inlineStr">
        <is>
          <t>A 18081-2023</t>
        </is>
      </c>
      <c r="B828" t="inlineStr">
        <is>
          <t>avverkningsanmälan</t>
        </is>
      </c>
      <c r="C828" t="inlineStr">
        <is>
          <t>Föryngringsavverkning</t>
        </is>
      </c>
      <c r="D828" s="1" t="n">
        <v>45040</v>
      </c>
      <c r="E828" s="1" t="n">
        <v>46323</v>
      </c>
      <c r="F828" t="inlineStr">
        <is>
          <t>KALMAR LÄN</t>
        </is>
      </c>
      <c r="G828" t="inlineStr">
        <is>
          <t>VÄSTERVIK</t>
        </is>
      </c>
      <c r="H828" t="inlineStr">
        <is>
          <t>Sveaskog</t>
        </is>
      </c>
      <c r="I828" t="n">
        <v>0.8</v>
      </c>
      <c r="J828" t="n">
        <v>0</v>
      </c>
      <c r="K828" t="n">
        <v>0</v>
      </c>
      <c r="L828" t="n">
        <v>0</v>
      </c>
      <c r="M828" t="n">
        <v>0</v>
      </c>
      <c r="N828" t="n">
        <v>0</v>
      </c>
      <c r="O828" t="n">
        <v>0</v>
      </c>
      <c r="P828" t="n">
        <v>0</v>
      </c>
      <c r="Q828" t="n">
        <v>0</v>
      </c>
      <c r="R828" t="n">
        <v>0</v>
      </c>
      <c r="S828" t="n">
        <v>0</v>
      </c>
      <c r="T828" t="n">
        <v>0</v>
      </c>
      <c r="U828" t="n">
        <v>0</v>
      </c>
      <c r="V828" s="2" t="inlineStr"/>
    </row>
    <row r="829" ht="15" customHeight="1">
      <c r="A829" t="inlineStr">
        <is>
          <t>A 27425-2026</t>
        </is>
      </c>
      <c r="B829" t="inlineStr">
        <is>
          <t>avverkningsanmälan</t>
        </is>
      </c>
      <c r="C829" t="inlineStr">
        <is>
          <t>Föryngringsavverkning</t>
        </is>
      </c>
      <c r="D829" s="1" t="n">
        <v>46189</v>
      </c>
      <c r="E829" s="1" t="n">
        <v>46323</v>
      </c>
      <c r="F829" t="inlineStr">
        <is>
          <t>KALMAR LÄN</t>
        </is>
      </c>
      <c r="G829" t="inlineStr">
        <is>
          <t>VÄSTERVIK</t>
        </is>
      </c>
      <c r="I829" t="n">
        <v>7.8</v>
      </c>
      <c r="J829" t="n">
        <v>0</v>
      </c>
      <c r="K829" t="n">
        <v>0</v>
      </c>
      <c r="L829" t="n">
        <v>0</v>
      </c>
      <c r="M829" t="n">
        <v>0</v>
      </c>
      <c r="N829" t="n">
        <v>0</v>
      </c>
      <c r="O829" t="n">
        <v>0</v>
      </c>
      <c r="P829" t="n">
        <v>0</v>
      </c>
      <c r="Q829" t="n">
        <v>0</v>
      </c>
      <c r="R829" t="n">
        <v>0</v>
      </c>
      <c r="S829" t="n">
        <v>0</v>
      </c>
      <c r="T829" t="n">
        <v>0</v>
      </c>
      <c r="U829" t="n">
        <v>0</v>
      </c>
      <c r="V829" s="2" t="inlineStr"/>
    </row>
    <row r="830" ht="15" customHeight="1">
      <c r="A830" t="inlineStr">
        <is>
          <t>A 35436-2026</t>
        </is>
      </c>
      <c r="B830" t="inlineStr">
        <is>
          <t>avverkningsanmälan</t>
        </is>
      </c>
      <c r="C830" t="inlineStr">
        <is>
          <t>Föryngringsavverkning</t>
        </is>
      </c>
      <c r="D830" s="1" t="n">
        <v>46262</v>
      </c>
      <c r="E830" s="1" t="n">
        <v>46323</v>
      </c>
      <c r="F830" t="inlineStr">
        <is>
          <t>KALMAR LÄN</t>
        </is>
      </c>
      <c r="G830" t="inlineStr">
        <is>
          <t>VÄSTERVIK</t>
        </is>
      </c>
      <c r="H830" t="inlineStr">
        <is>
          <t>Kommuner</t>
        </is>
      </c>
      <c r="I830" t="n">
        <v>0.8</v>
      </c>
      <c r="J830" t="n">
        <v>0</v>
      </c>
      <c r="K830" t="n">
        <v>0</v>
      </c>
      <c r="L830" t="n">
        <v>0</v>
      </c>
      <c r="M830" t="n">
        <v>0</v>
      </c>
      <c r="N830" t="n">
        <v>0</v>
      </c>
      <c r="O830" t="n">
        <v>0</v>
      </c>
      <c r="P830" t="n">
        <v>0</v>
      </c>
      <c r="Q830" t="n">
        <v>0</v>
      </c>
      <c r="R830" t="n">
        <v>0</v>
      </c>
      <c r="S830" t="n">
        <v>0</v>
      </c>
      <c r="T830" t="n">
        <v>0</v>
      </c>
      <c r="U830" t="n">
        <v>0</v>
      </c>
      <c r="V830" s="2" t="inlineStr"/>
    </row>
    <row r="831" ht="15" customHeight="1">
      <c r="A831" t="inlineStr">
        <is>
          <t>A 35262-2026</t>
        </is>
      </c>
      <c r="B831" t="inlineStr">
        <is>
          <t>avverkningsanmälan</t>
        </is>
      </c>
      <c r="C831" t="inlineStr">
        <is>
          <t>Föryngringsavverkning</t>
        </is>
      </c>
      <c r="D831" s="1" t="n">
        <v>46261</v>
      </c>
      <c r="E831" s="1" t="n">
        <v>46323</v>
      </c>
      <c r="F831" t="inlineStr">
        <is>
          <t>KALMAR LÄN</t>
        </is>
      </c>
      <c r="G831" t="inlineStr">
        <is>
          <t>VÄSTERVIK</t>
        </is>
      </c>
      <c r="H831" t="inlineStr">
        <is>
          <t>Övriga Aktiebolag</t>
        </is>
      </c>
      <c r="I831" t="n">
        <v>4.6</v>
      </c>
      <c r="J831" t="n">
        <v>0</v>
      </c>
      <c r="K831" t="n">
        <v>0</v>
      </c>
      <c r="L831" t="n">
        <v>0</v>
      </c>
      <c r="M831" t="n">
        <v>0</v>
      </c>
      <c r="N831" t="n">
        <v>0</v>
      </c>
      <c r="O831" t="n">
        <v>0</v>
      </c>
      <c r="P831" t="n">
        <v>0</v>
      </c>
      <c r="Q831" t="n">
        <v>0</v>
      </c>
      <c r="R831" t="n">
        <v>0</v>
      </c>
      <c r="S831" t="n">
        <v>0</v>
      </c>
      <c r="T831" t="n">
        <v>0</v>
      </c>
      <c r="U831" t="n">
        <v>0</v>
      </c>
      <c r="V831" s="2" t="inlineStr"/>
    </row>
    <row r="832" ht="15" customHeight="1">
      <c r="A832" t="inlineStr">
        <is>
          <t>A 55565-2024</t>
        </is>
      </c>
      <c r="B832" t="inlineStr">
        <is>
          <t>avverkningsanmälan</t>
        </is>
      </c>
      <c r="C832" t="inlineStr">
        <is>
          <t>Föryngringsavverkning</t>
        </is>
      </c>
      <c r="D832" s="1" t="n">
        <v>45622</v>
      </c>
      <c r="E832" s="1" t="n">
        <v>46323</v>
      </c>
      <c r="F832" t="inlineStr">
        <is>
          <t>KALMAR LÄN</t>
        </is>
      </c>
      <c r="G832" t="inlineStr">
        <is>
          <t>VÄSTERVIK</t>
        </is>
      </c>
      <c r="I832" t="n">
        <v>2.2</v>
      </c>
      <c r="J832" t="n">
        <v>0</v>
      </c>
      <c r="K832" t="n">
        <v>0</v>
      </c>
      <c r="L832" t="n">
        <v>0</v>
      </c>
      <c r="M832" t="n">
        <v>0</v>
      </c>
      <c r="N832" t="n">
        <v>0</v>
      </c>
      <c r="O832" t="n">
        <v>0</v>
      </c>
      <c r="P832" t="n">
        <v>0</v>
      </c>
      <c r="Q832" t="n">
        <v>0</v>
      </c>
      <c r="R832" t="n">
        <v>0</v>
      </c>
      <c r="S832" t="n">
        <v>0</v>
      </c>
      <c r="T832" t="n">
        <v>0</v>
      </c>
      <c r="U832" t="n">
        <v>0</v>
      </c>
      <c r="V832" s="2" t="inlineStr"/>
    </row>
    <row r="833" ht="15" customHeight="1">
      <c r="A833" t="inlineStr">
        <is>
          <t>A 27446-2025</t>
        </is>
      </c>
      <c r="B833" t="inlineStr">
        <is>
          <t>avverkningsanmälan</t>
        </is>
      </c>
      <c r="C833" t="inlineStr">
        <is>
          <t>Föryngringsavverkning</t>
        </is>
      </c>
      <c r="D833" s="1" t="n">
        <v>45813</v>
      </c>
      <c r="E833" s="1" t="n">
        <v>46323</v>
      </c>
      <c r="F833" t="inlineStr">
        <is>
          <t>KALMAR LÄN</t>
        </is>
      </c>
      <c r="G833" t="inlineStr">
        <is>
          <t>VÄSTERVIK</t>
        </is>
      </c>
      <c r="I833" t="n">
        <v>0.8</v>
      </c>
      <c r="J833" t="n">
        <v>0</v>
      </c>
      <c r="K833" t="n">
        <v>0</v>
      </c>
      <c r="L833" t="n">
        <v>0</v>
      </c>
      <c r="M833" t="n">
        <v>0</v>
      </c>
      <c r="N833" t="n">
        <v>0</v>
      </c>
      <c r="O833" t="n">
        <v>0</v>
      </c>
      <c r="P833" t="n">
        <v>0</v>
      </c>
      <c r="Q833" t="n">
        <v>0</v>
      </c>
      <c r="R833" t="n">
        <v>0</v>
      </c>
      <c r="S833" t="n">
        <v>0</v>
      </c>
      <c r="T833" t="n">
        <v>0</v>
      </c>
      <c r="U833" t="n">
        <v>0</v>
      </c>
      <c r="V833" s="2" t="inlineStr"/>
    </row>
    <row r="834" ht="15" customHeight="1">
      <c r="A834" t="inlineStr">
        <is>
          <t>A 25561-2024</t>
        </is>
      </c>
      <c r="B834" t="inlineStr">
        <is>
          <t>avverkningsanmälan</t>
        </is>
      </c>
      <c r="C834" t="inlineStr">
        <is>
          <t>Föryngringsavverkning</t>
        </is>
      </c>
      <c r="D834" s="1" t="n">
        <v>45463</v>
      </c>
      <c r="E834" s="1" t="n">
        <v>46323</v>
      </c>
      <c r="F834" t="inlineStr">
        <is>
          <t>KALMAR LÄN</t>
        </is>
      </c>
      <c r="G834" t="inlineStr">
        <is>
          <t>VÄSTERVIK</t>
        </is>
      </c>
      <c r="H834" t="inlineStr">
        <is>
          <t>Holmen skog AB</t>
        </is>
      </c>
      <c r="I834" t="n">
        <v>7.2</v>
      </c>
      <c r="J834" t="n">
        <v>0</v>
      </c>
      <c r="K834" t="n">
        <v>0</v>
      </c>
      <c r="L834" t="n">
        <v>0</v>
      </c>
      <c r="M834" t="n">
        <v>0</v>
      </c>
      <c r="N834" t="n">
        <v>0</v>
      </c>
      <c r="O834" t="n">
        <v>0</v>
      </c>
      <c r="P834" t="n">
        <v>0</v>
      </c>
      <c r="Q834" t="n">
        <v>0</v>
      </c>
      <c r="R834" t="n">
        <v>0</v>
      </c>
      <c r="S834" t="n">
        <v>0</v>
      </c>
      <c r="T834" t="n">
        <v>0</v>
      </c>
      <c r="U834" t="n">
        <v>0</v>
      </c>
      <c r="V834" s="2" t="inlineStr"/>
    </row>
    <row r="835" ht="15" customHeight="1">
      <c r="A835" t="inlineStr">
        <is>
          <t>A 15765-2023</t>
        </is>
      </c>
      <c r="B835" t="inlineStr">
        <is>
          <t>avverkningsanmälan</t>
        </is>
      </c>
      <c r="C835" t="inlineStr">
        <is>
          <t>Föryngringsavverkning</t>
        </is>
      </c>
      <c r="D835" s="1" t="n">
        <v>45021</v>
      </c>
      <c r="E835" s="1" t="n">
        <v>46323</v>
      </c>
      <c r="F835" t="inlineStr">
        <is>
          <t>KALMAR LÄN</t>
        </is>
      </c>
      <c r="G835" t="inlineStr">
        <is>
          <t>VÄSTERVIK</t>
        </is>
      </c>
      <c r="I835" t="n">
        <v>0.5</v>
      </c>
      <c r="J835" t="n">
        <v>0</v>
      </c>
      <c r="K835" t="n">
        <v>0</v>
      </c>
      <c r="L835" t="n">
        <v>0</v>
      </c>
      <c r="M835" t="n">
        <v>0</v>
      </c>
      <c r="N835" t="n">
        <v>0</v>
      </c>
      <c r="O835" t="n">
        <v>0</v>
      </c>
      <c r="P835" t="n">
        <v>0</v>
      </c>
      <c r="Q835" t="n">
        <v>0</v>
      </c>
      <c r="R835" t="n">
        <v>0</v>
      </c>
      <c r="S835" t="n">
        <v>0</v>
      </c>
      <c r="T835" t="n">
        <v>0</v>
      </c>
      <c r="U835" t="n">
        <v>0</v>
      </c>
      <c r="V835" s="2" t="inlineStr"/>
    </row>
    <row r="836" ht="15" customHeight="1">
      <c r="A836" t="inlineStr">
        <is>
          <t>A 14055-2025</t>
        </is>
      </c>
      <c r="B836" t="inlineStr">
        <is>
          <t>avverkningsanmälan</t>
        </is>
      </c>
      <c r="C836" t="inlineStr">
        <is>
          <t>Föryngringsavverkning</t>
        </is>
      </c>
      <c r="D836" s="1" t="n">
        <v>45740</v>
      </c>
      <c r="E836" s="1" t="n">
        <v>46323</v>
      </c>
      <c r="F836" t="inlineStr">
        <is>
          <t>KALMAR LÄN</t>
        </is>
      </c>
      <c r="G836" t="inlineStr">
        <is>
          <t>VÄSTERVIK</t>
        </is>
      </c>
      <c r="H836" t="inlineStr">
        <is>
          <t>Sveaskog</t>
        </is>
      </c>
      <c r="I836" t="n">
        <v>1.5</v>
      </c>
      <c r="J836" t="n">
        <v>0</v>
      </c>
      <c r="K836" t="n">
        <v>0</v>
      </c>
      <c r="L836" t="n">
        <v>0</v>
      </c>
      <c r="M836" t="n">
        <v>0</v>
      </c>
      <c r="N836" t="n">
        <v>0</v>
      </c>
      <c r="O836" t="n">
        <v>0</v>
      </c>
      <c r="P836" t="n">
        <v>0</v>
      </c>
      <c r="Q836" t="n">
        <v>0</v>
      </c>
      <c r="R836" t="n">
        <v>0</v>
      </c>
      <c r="S836" t="n">
        <v>0</v>
      </c>
      <c r="T836" t="n">
        <v>0</v>
      </c>
      <c r="U836" t="n">
        <v>0</v>
      </c>
      <c r="V836" s="2" t="inlineStr"/>
    </row>
    <row r="837" ht="15" customHeight="1">
      <c r="A837" t="inlineStr">
        <is>
          <t>A 28588-2022</t>
        </is>
      </c>
      <c r="B837" t="inlineStr">
        <is>
          <t>avverkningsanmälan</t>
        </is>
      </c>
      <c r="C837" t="inlineStr">
        <is>
          <t>Föryngringsavverkning</t>
        </is>
      </c>
      <c r="D837" s="1" t="n">
        <v>44748</v>
      </c>
      <c r="E837" s="1" t="n">
        <v>46323</v>
      </c>
      <c r="F837" t="inlineStr">
        <is>
          <t>KALMAR LÄN</t>
        </is>
      </c>
      <c r="G837" t="inlineStr">
        <is>
          <t>VÄSTERVIK</t>
        </is>
      </c>
      <c r="H837" t="inlineStr">
        <is>
          <t>Övriga Aktiebolag</t>
        </is>
      </c>
      <c r="I837" t="n">
        <v>1.7</v>
      </c>
      <c r="J837" t="n">
        <v>0</v>
      </c>
      <c r="K837" t="n">
        <v>0</v>
      </c>
      <c r="L837" t="n">
        <v>0</v>
      </c>
      <c r="M837" t="n">
        <v>0</v>
      </c>
      <c r="N837" t="n">
        <v>0</v>
      </c>
      <c r="O837" t="n">
        <v>0</v>
      </c>
      <c r="P837" t="n">
        <v>0</v>
      </c>
      <c r="Q837" t="n">
        <v>0</v>
      </c>
      <c r="R837" t="n">
        <v>0</v>
      </c>
      <c r="S837" t="n">
        <v>0</v>
      </c>
      <c r="T837" t="n">
        <v>0</v>
      </c>
      <c r="U837" t="n">
        <v>0</v>
      </c>
      <c r="V837" s="2" t="inlineStr"/>
    </row>
    <row r="838" ht="15" customHeight="1">
      <c r="A838" t="inlineStr">
        <is>
          <t>A 35498-2026</t>
        </is>
      </c>
      <c r="B838" t="inlineStr">
        <is>
          <t>avverkningsanmälan</t>
        </is>
      </c>
      <c r="C838" t="inlineStr">
        <is>
          <t>Föryngringsavverkning</t>
        </is>
      </c>
      <c r="D838" s="1" t="n">
        <v>46262</v>
      </c>
      <c r="E838" s="1" t="n">
        <v>46323</v>
      </c>
      <c r="F838" t="inlineStr">
        <is>
          <t>KALMAR LÄN</t>
        </is>
      </c>
      <c r="G838" t="inlineStr">
        <is>
          <t>VÄSTERVIK</t>
        </is>
      </c>
      <c r="H838" t="inlineStr">
        <is>
          <t>Sveaskog</t>
        </is>
      </c>
      <c r="I838" t="n">
        <v>2</v>
      </c>
      <c r="J838" t="n">
        <v>0</v>
      </c>
      <c r="K838" t="n">
        <v>0</v>
      </c>
      <c r="L838" t="n">
        <v>0</v>
      </c>
      <c r="M838" t="n">
        <v>0</v>
      </c>
      <c r="N838" t="n">
        <v>0</v>
      </c>
      <c r="O838" t="n">
        <v>0</v>
      </c>
      <c r="P838" t="n">
        <v>0</v>
      </c>
      <c r="Q838" t="n">
        <v>0</v>
      </c>
      <c r="R838" t="n">
        <v>0</v>
      </c>
      <c r="S838" t="n">
        <v>0</v>
      </c>
      <c r="T838" t="n">
        <v>0</v>
      </c>
      <c r="U838" t="n">
        <v>0</v>
      </c>
      <c r="V838" s="2" t="inlineStr"/>
    </row>
    <row r="839" ht="15" customHeight="1">
      <c r="A839" t="inlineStr">
        <is>
          <t>A 35501-2026</t>
        </is>
      </c>
      <c r="B839" t="inlineStr">
        <is>
          <t>avverkningsanmälan</t>
        </is>
      </c>
      <c r="C839" t="inlineStr">
        <is>
          <t>Föryngringsavverkning</t>
        </is>
      </c>
      <c r="D839" s="1" t="n">
        <v>46262</v>
      </c>
      <c r="E839" s="1" t="n">
        <v>46323</v>
      </c>
      <c r="F839" t="inlineStr">
        <is>
          <t>KALMAR LÄN</t>
        </is>
      </c>
      <c r="G839" t="inlineStr">
        <is>
          <t>VÄSTERVIK</t>
        </is>
      </c>
      <c r="H839" t="inlineStr">
        <is>
          <t>Sveaskog</t>
        </is>
      </c>
      <c r="I839" t="n">
        <v>2.5</v>
      </c>
      <c r="J839" t="n">
        <v>0</v>
      </c>
      <c r="K839" t="n">
        <v>0</v>
      </c>
      <c r="L839" t="n">
        <v>0</v>
      </c>
      <c r="M839" t="n">
        <v>0</v>
      </c>
      <c r="N839" t="n">
        <v>0</v>
      </c>
      <c r="O839" t="n">
        <v>0</v>
      </c>
      <c r="P839" t="n">
        <v>0</v>
      </c>
      <c r="Q839" t="n">
        <v>0</v>
      </c>
      <c r="R839" t="n">
        <v>0</v>
      </c>
      <c r="S839" t="n">
        <v>0</v>
      </c>
      <c r="T839" t="n">
        <v>0</v>
      </c>
      <c r="U839" t="n">
        <v>0</v>
      </c>
      <c r="V839" s="2" t="inlineStr"/>
    </row>
    <row r="840" ht="15" customHeight="1">
      <c r="A840" t="inlineStr">
        <is>
          <t>A 51645-2023</t>
        </is>
      </c>
      <c r="B840" t="inlineStr">
        <is>
          <t>avverkningsanmälan</t>
        </is>
      </c>
      <c r="C840" t="inlineStr">
        <is>
          <t>Föryngringsavverkning</t>
        </is>
      </c>
      <c r="D840" s="1" t="n">
        <v>45222</v>
      </c>
      <c r="E840" s="1" t="n">
        <v>46323</v>
      </c>
      <c r="F840" t="inlineStr">
        <is>
          <t>KALMAR LÄN</t>
        </is>
      </c>
      <c r="G840" t="inlineStr">
        <is>
          <t>VÄSTERVIK</t>
        </is>
      </c>
      <c r="I840" t="n">
        <v>3.7</v>
      </c>
      <c r="J840" t="n">
        <v>0</v>
      </c>
      <c r="K840" t="n">
        <v>0</v>
      </c>
      <c r="L840" t="n">
        <v>0</v>
      </c>
      <c r="M840" t="n">
        <v>0</v>
      </c>
      <c r="N840" t="n">
        <v>0</v>
      </c>
      <c r="O840" t="n">
        <v>0</v>
      </c>
      <c r="P840" t="n">
        <v>0</v>
      </c>
      <c r="Q840" t="n">
        <v>0</v>
      </c>
      <c r="R840" t="n">
        <v>0</v>
      </c>
      <c r="S840" t="n">
        <v>0</v>
      </c>
      <c r="T840" t="n">
        <v>0</v>
      </c>
      <c r="U840" t="n">
        <v>0</v>
      </c>
      <c r="V840" s="2" t="inlineStr"/>
    </row>
    <row r="841" ht="15" customHeight="1">
      <c r="A841" t="inlineStr">
        <is>
          <t>A 69702-2021</t>
        </is>
      </c>
      <c r="B841" t="inlineStr">
        <is>
          <t>avverkningsanmälan</t>
        </is>
      </c>
      <c r="C841" t="inlineStr">
        <is>
          <t>Föryngringsavverkning</t>
        </is>
      </c>
      <c r="D841" s="1" t="n">
        <v>44532</v>
      </c>
      <c r="E841" s="1" t="n">
        <v>46323</v>
      </c>
      <c r="F841" t="inlineStr">
        <is>
          <t>KALMAR LÄN</t>
        </is>
      </c>
      <c r="G841" t="inlineStr">
        <is>
          <t>VÄSTERVIK</t>
        </is>
      </c>
      <c r="I841" t="n">
        <v>4.4</v>
      </c>
      <c r="J841" t="n">
        <v>0</v>
      </c>
      <c r="K841" t="n">
        <v>0</v>
      </c>
      <c r="L841" t="n">
        <v>0</v>
      </c>
      <c r="M841" t="n">
        <v>0</v>
      </c>
      <c r="N841" t="n">
        <v>0</v>
      </c>
      <c r="O841" t="n">
        <v>0</v>
      </c>
      <c r="P841" t="n">
        <v>0</v>
      </c>
      <c r="Q841" t="n">
        <v>0</v>
      </c>
      <c r="R841" t="n">
        <v>0</v>
      </c>
      <c r="S841" t="n">
        <v>0</v>
      </c>
      <c r="T841" t="n">
        <v>0</v>
      </c>
      <c r="U841" t="n">
        <v>0</v>
      </c>
      <c r="V841" s="2" t="inlineStr"/>
    </row>
    <row r="842" ht="15" customHeight="1">
      <c r="A842" t="inlineStr">
        <is>
          <t>A 6126-2023</t>
        </is>
      </c>
      <c r="B842" t="inlineStr">
        <is>
          <t>avverkningsanmälan</t>
        </is>
      </c>
      <c r="C842" t="inlineStr">
        <is>
          <t>Föryngringsavverkning</t>
        </is>
      </c>
      <c r="D842" s="1" t="n">
        <v>44964</v>
      </c>
      <c r="E842" s="1" t="n">
        <v>46323</v>
      </c>
      <c r="F842" t="inlineStr">
        <is>
          <t>KALMAR LÄN</t>
        </is>
      </c>
      <c r="G842" t="inlineStr">
        <is>
          <t>VÄSTERVIK</t>
        </is>
      </c>
      <c r="H842" t="inlineStr">
        <is>
          <t>Övriga Aktiebolag</t>
        </is>
      </c>
      <c r="I842" t="n">
        <v>0.9</v>
      </c>
      <c r="J842" t="n">
        <v>0</v>
      </c>
      <c r="K842" t="n">
        <v>0</v>
      </c>
      <c r="L842" t="n">
        <v>0</v>
      </c>
      <c r="M842" t="n">
        <v>0</v>
      </c>
      <c r="N842" t="n">
        <v>0</v>
      </c>
      <c r="O842" t="n">
        <v>0</v>
      </c>
      <c r="P842" t="n">
        <v>0</v>
      </c>
      <c r="Q842" t="n">
        <v>0</v>
      </c>
      <c r="R842" t="n">
        <v>0</v>
      </c>
      <c r="S842" t="n">
        <v>0</v>
      </c>
      <c r="T842" t="n">
        <v>0</v>
      </c>
      <c r="U842" t="n">
        <v>0</v>
      </c>
      <c r="V842" s="2" t="inlineStr"/>
    </row>
    <row r="843" ht="15" customHeight="1">
      <c r="A843" t="inlineStr">
        <is>
          <t>A 15099-2023</t>
        </is>
      </c>
      <c r="B843" t="inlineStr">
        <is>
          <t>avverkningsanmälan</t>
        </is>
      </c>
      <c r="C843" t="inlineStr">
        <is>
          <t>Föryngringsavverkning</t>
        </is>
      </c>
      <c r="D843" s="1" t="n">
        <v>45016</v>
      </c>
      <c r="E843" s="1" t="n">
        <v>46323</v>
      </c>
      <c r="F843" t="inlineStr">
        <is>
          <t>KALMAR LÄN</t>
        </is>
      </c>
      <c r="G843" t="inlineStr">
        <is>
          <t>VÄSTERVIK</t>
        </is>
      </c>
      <c r="I843" t="n">
        <v>3</v>
      </c>
      <c r="J843" t="n">
        <v>0</v>
      </c>
      <c r="K843" t="n">
        <v>0</v>
      </c>
      <c r="L843" t="n">
        <v>0</v>
      </c>
      <c r="M843" t="n">
        <v>0</v>
      </c>
      <c r="N843" t="n">
        <v>0</v>
      </c>
      <c r="O843" t="n">
        <v>0</v>
      </c>
      <c r="P843" t="n">
        <v>0</v>
      </c>
      <c r="Q843" t="n">
        <v>0</v>
      </c>
      <c r="R843" t="n">
        <v>0</v>
      </c>
      <c r="S843" t="n">
        <v>0</v>
      </c>
      <c r="T843" t="n">
        <v>0</v>
      </c>
      <c r="U843" t="n">
        <v>0</v>
      </c>
      <c r="V843" s="2" t="inlineStr"/>
    </row>
    <row r="844" ht="15" customHeight="1">
      <c r="A844" t="inlineStr">
        <is>
          <t>A 71114-2021</t>
        </is>
      </c>
      <c r="B844" t="inlineStr">
        <is>
          <t>avverkningsanmälan</t>
        </is>
      </c>
      <c r="C844" t="inlineStr">
        <is>
          <t>Föryngringsavverkning</t>
        </is>
      </c>
      <c r="D844" s="1" t="n">
        <v>44539</v>
      </c>
      <c r="E844" s="1" t="n">
        <v>46323</v>
      </c>
      <c r="F844" t="inlineStr">
        <is>
          <t>KALMAR LÄN</t>
        </is>
      </c>
      <c r="G844" t="inlineStr">
        <is>
          <t>VÄSTERVIK</t>
        </is>
      </c>
      <c r="I844" t="n">
        <v>1.9</v>
      </c>
      <c r="J844" t="n">
        <v>0</v>
      </c>
      <c r="K844" t="n">
        <v>0</v>
      </c>
      <c r="L844" t="n">
        <v>0</v>
      </c>
      <c r="M844" t="n">
        <v>0</v>
      </c>
      <c r="N844" t="n">
        <v>0</v>
      </c>
      <c r="O844" t="n">
        <v>0</v>
      </c>
      <c r="P844" t="n">
        <v>0</v>
      </c>
      <c r="Q844" t="n">
        <v>0</v>
      </c>
      <c r="R844" t="n">
        <v>0</v>
      </c>
      <c r="S844" t="n">
        <v>0</v>
      </c>
      <c r="T844" t="n">
        <v>0</v>
      </c>
      <c r="U844" t="n">
        <v>0</v>
      </c>
      <c r="V844" s="2" t="inlineStr"/>
    </row>
    <row r="845" ht="15" customHeight="1">
      <c r="A845" t="inlineStr">
        <is>
          <t>A 35488-2026</t>
        </is>
      </c>
      <c r="B845" t="inlineStr">
        <is>
          <t>avverkningsanmälan</t>
        </is>
      </c>
      <c r="C845" t="inlineStr">
        <is>
          <t>Föryngringsavverkning</t>
        </is>
      </c>
      <c r="D845" s="1" t="n">
        <v>46262</v>
      </c>
      <c r="E845" s="1" t="n">
        <v>46323</v>
      </c>
      <c r="F845" t="inlineStr">
        <is>
          <t>KALMAR LÄN</t>
        </is>
      </c>
      <c r="G845" t="inlineStr">
        <is>
          <t>VÄSTERVIK</t>
        </is>
      </c>
      <c r="H845" t="inlineStr">
        <is>
          <t>Sveaskog</t>
        </is>
      </c>
      <c r="I845" t="n">
        <v>2.1</v>
      </c>
      <c r="J845" t="n">
        <v>0</v>
      </c>
      <c r="K845" t="n">
        <v>0</v>
      </c>
      <c r="L845" t="n">
        <v>0</v>
      </c>
      <c r="M845" t="n">
        <v>0</v>
      </c>
      <c r="N845" t="n">
        <v>0</v>
      </c>
      <c r="O845" t="n">
        <v>0</v>
      </c>
      <c r="P845" t="n">
        <v>0</v>
      </c>
      <c r="Q845" t="n">
        <v>0</v>
      </c>
      <c r="R845" t="n">
        <v>0</v>
      </c>
      <c r="S845" t="n">
        <v>0</v>
      </c>
      <c r="T845" t="n">
        <v>0</v>
      </c>
      <c r="U845" t="n">
        <v>0</v>
      </c>
      <c r="V845" s="2" t="inlineStr"/>
    </row>
    <row r="846" ht="15" customHeight="1">
      <c r="A846" t="inlineStr">
        <is>
          <t>A 782-2024</t>
        </is>
      </c>
      <c r="B846" t="inlineStr">
        <is>
          <t>avverkningsanmälan</t>
        </is>
      </c>
      <c r="C846" t="inlineStr">
        <is>
          <t>Föryngringsavverkning</t>
        </is>
      </c>
      <c r="D846" s="1" t="n">
        <v>45300</v>
      </c>
      <c r="E846" s="1" t="n">
        <v>46323</v>
      </c>
      <c r="F846" t="inlineStr">
        <is>
          <t>KALMAR LÄN</t>
        </is>
      </c>
      <c r="G846" t="inlineStr">
        <is>
          <t>VÄSTERVIK</t>
        </is>
      </c>
      <c r="I846" t="n">
        <v>2.7</v>
      </c>
      <c r="J846" t="n">
        <v>0</v>
      </c>
      <c r="K846" t="n">
        <v>0</v>
      </c>
      <c r="L846" t="n">
        <v>0</v>
      </c>
      <c r="M846" t="n">
        <v>0</v>
      </c>
      <c r="N846" t="n">
        <v>0</v>
      </c>
      <c r="O846" t="n">
        <v>0</v>
      </c>
      <c r="P846" t="n">
        <v>0</v>
      </c>
      <c r="Q846" t="n">
        <v>0</v>
      </c>
      <c r="R846" t="n">
        <v>0</v>
      </c>
      <c r="S846" t="n">
        <v>0</v>
      </c>
      <c r="T846" t="n">
        <v>0</v>
      </c>
      <c r="U846" t="n">
        <v>0</v>
      </c>
      <c r="V846" s="2" t="inlineStr"/>
    </row>
    <row r="847" ht="15" customHeight="1">
      <c r="A847" t="inlineStr">
        <is>
          <t>A 62422-2022</t>
        </is>
      </c>
      <c r="B847" t="inlineStr">
        <is>
          <t>avverkningsanmälan</t>
        </is>
      </c>
      <c r="C847" t="inlineStr">
        <is>
          <t>Föryngringsavverkning</t>
        </is>
      </c>
      <c r="D847" s="1" t="n">
        <v>44924</v>
      </c>
      <c r="E847" s="1" t="n">
        <v>46323</v>
      </c>
      <c r="F847" t="inlineStr">
        <is>
          <t>KALMAR LÄN</t>
        </is>
      </c>
      <c r="G847" t="inlineStr">
        <is>
          <t>VÄSTERVIK</t>
        </is>
      </c>
      <c r="I847" t="n">
        <v>4.9</v>
      </c>
      <c r="J847" t="n">
        <v>0</v>
      </c>
      <c r="K847" t="n">
        <v>0</v>
      </c>
      <c r="L847" t="n">
        <v>0</v>
      </c>
      <c r="M847" t="n">
        <v>0</v>
      </c>
      <c r="N847" t="n">
        <v>0</v>
      </c>
      <c r="O847" t="n">
        <v>0</v>
      </c>
      <c r="P847" t="n">
        <v>0</v>
      </c>
      <c r="Q847" t="n">
        <v>0</v>
      </c>
      <c r="R847" t="n">
        <v>0</v>
      </c>
      <c r="S847" t="n">
        <v>0</v>
      </c>
      <c r="T847" t="n">
        <v>0</v>
      </c>
      <c r="U847" t="n">
        <v>0</v>
      </c>
      <c r="V847" s="2" t="inlineStr"/>
    </row>
    <row r="848" ht="15" customHeight="1">
      <c r="A848" t="inlineStr">
        <is>
          <t>A 49539-2025</t>
        </is>
      </c>
      <c r="B848" t="inlineStr">
        <is>
          <t>avverkningsanmälan</t>
        </is>
      </c>
      <c r="C848" t="inlineStr">
        <is>
          <t>Föryngringsavverkning</t>
        </is>
      </c>
      <c r="D848" s="1" t="n">
        <v>45939</v>
      </c>
      <c r="E848" s="1" t="n">
        <v>46323</v>
      </c>
      <c r="F848" t="inlineStr">
        <is>
          <t>KALMAR LÄN</t>
        </is>
      </c>
      <c r="G848" t="inlineStr">
        <is>
          <t>VÄSTERVIK</t>
        </is>
      </c>
      <c r="I848" t="n">
        <v>0.8</v>
      </c>
      <c r="J848" t="n">
        <v>0</v>
      </c>
      <c r="K848" t="n">
        <v>0</v>
      </c>
      <c r="L848" t="n">
        <v>0</v>
      </c>
      <c r="M848" t="n">
        <v>0</v>
      </c>
      <c r="N848" t="n">
        <v>0</v>
      </c>
      <c r="O848" t="n">
        <v>0</v>
      </c>
      <c r="P848" t="n">
        <v>0</v>
      </c>
      <c r="Q848" t="n">
        <v>0</v>
      </c>
      <c r="R848" t="n">
        <v>0</v>
      </c>
      <c r="S848" t="n">
        <v>0</v>
      </c>
      <c r="T848" t="n">
        <v>0</v>
      </c>
      <c r="U848" t="n">
        <v>0</v>
      </c>
      <c r="V848" s="2" t="inlineStr"/>
    </row>
    <row r="849" ht="15" customHeight="1">
      <c r="A849" t="inlineStr">
        <is>
          <t>A 35486-2026</t>
        </is>
      </c>
      <c r="B849" t="inlineStr">
        <is>
          <t>avverkningsanmälan</t>
        </is>
      </c>
      <c r="C849" t="inlineStr">
        <is>
          <t>Föryngringsavverkning</t>
        </is>
      </c>
      <c r="D849" s="1" t="n">
        <v>46262</v>
      </c>
      <c r="E849" s="1" t="n">
        <v>46323</v>
      </c>
      <c r="F849" t="inlineStr">
        <is>
          <t>KALMAR LÄN</t>
        </is>
      </c>
      <c r="G849" t="inlineStr">
        <is>
          <t>VÄSTERVIK</t>
        </is>
      </c>
      <c r="H849" t="inlineStr">
        <is>
          <t>Sveaskog</t>
        </is>
      </c>
      <c r="I849" t="n">
        <v>2.9</v>
      </c>
      <c r="J849" t="n">
        <v>0</v>
      </c>
      <c r="K849" t="n">
        <v>0</v>
      </c>
      <c r="L849" t="n">
        <v>0</v>
      </c>
      <c r="M849" t="n">
        <v>0</v>
      </c>
      <c r="N849" t="n">
        <v>0</v>
      </c>
      <c r="O849" t="n">
        <v>0</v>
      </c>
      <c r="P849" t="n">
        <v>0</v>
      </c>
      <c r="Q849" t="n">
        <v>0</v>
      </c>
      <c r="R849" t="n">
        <v>0</v>
      </c>
      <c r="S849" t="n">
        <v>0</v>
      </c>
      <c r="T849" t="n">
        <v>0</v>
      </c>
      <c r="U849" t="n">
        <v>0</v>
      </c>
      <c r="V849" s="2" t="inlineStr"/>
    </row>
    <row r="850" ht="15" customHeight="1">
      <c r="A850" t="inlineStr">
        <is>
          <t>A 38442-2025</t>
        </is>
      </c>
      <c r="B850" t="inlineStr">
        <is>
          <t>avverkningsanmälan</t>
        </is>
      </c>
      <c r="C850" t="inlineStr">
        <is>
          <t>Föryngringsavverkning</t>
        </is>
      </c>
      <c r="D850" s="1" t="n">
        <v>45883</v>
      </c>
      <c r="E850" s="1" t="n">
        <v>46323</v>
      </c>
      <c r="F850" t="inlineStr">
        <is>
          <t>KALMAR LÄN</t>
        </is>
      </c>
      <c r="G850" t="inlineStr">
        <is>
          <t>VÄSTERVIK</t>
        </is>
      </c>
      <c r="I850" t="n">
        <v>3.5</v>
      </c>
      <c r="J850" t="n">
        <v>0</v>
      </c>
      <c r="K850" t="n">
        <v>0</v>
      </c>
      <c r="L850" t="n">
        <v>0</v>
      </c>
      <c r="M850" t="n">
        <v>0</v>
      </c>
      <c r="N850" t="n">
        <v>0</v>
      </c>
      <c r="O850" t="n">
        <v>0</v>
      </c>
      <c r="P850" t="n">
        <v>0</v>
      </c>
      <c r="Q850" t="n">
        <v>0</v>
      </c>
      <c r="R850" t="n">
        <v>0</v>
      </c>
      <c r="S850" t="n">
        <v>0</v>
      </c>
      <c r="T850" t="n">
        <v>0</v>
      </c>
      <c r="U850" t="n">
        <v>0</v>
      </c>
      <c r="V850" s="2" t="inlineStr"/>
    </row>
    <row r="851" ht="15" customHeight="1">
      <c r="A851" t="inlineStr">
        <is>
          <t>A 35503-2026</t>
        </is>
      </c>
      <c r="B851" t="inlineStr">
        <is>
          <t>avverkningsanmälan</t>
        </is>
      </c>
      <c r="C851" t="inlineStr">
        <is>
          <t>Föryngringsavverkning</t>
        </is>
      </c>
      <c r="D851" s="1" t="n">
        <v>46262</v>
      </c>
      <c r="E851" s="1" t="n">
        <v>46323</v>
      </c>
      <c r="F851" t="inlineStr">
        <is>
          <t>KALMAR LÄN</t>
        </is>
      </c>
      <c r="G851" t="inlineStr">
        <is>
          <t>VÄSTERVIK</t>
        </is>
      </c>
      <c r="H851" t="inlineStr">
        <is>
          <t>Sveaskog</t>
        </is>
      </c>
      <c r="I851" t="n">
        <v>4.6</v>
      </c>
      <c r="J851" t="n">
        <v>0</v>
      </c>
      <c r="K851" t="n">
        <v>0</v>
      </c>
      <c r="L851" t="n">
        <v>0</v>
      </c>
      <c r="M851" t="n">
        <v>0</v>
      </c>
      <c r="N851" t="n">
        <v>0</v>
      </c>
      <c r="O851" t="n">
        <v>0</v>
      </c>
      <c r="P851" t="n">
        <v>0</v>
      </c>
      <c r="Q851" t="n">
        <v>0</v>
      </c>
      <c r="R851" t="n">
        <v>0</v>
      </c>
      <c r="S851" t="n">
        <v>0</v>
      </c>
      <c r="T851" t="n">
        <v>0</v>
      </c>
      <c r="U851" t="n">
        <v>0</v>
      </c>
      <c r="V851" s="2" t="inlineStr"/>
    </row>
    <row r="852" ht="15" customHeight="1">
      <c r="A852" t="inlineStr">
        <is>
          <t>A 50690-2025</t>
        </is>
      </c>
      <c r="B852" t="inlineStr">
        <is>
          <t>avverkningsanmälan</t>
        </is>
      </c>
      <c r="C852" t="inlineStr">
        <is>
          <t>Föryngringsavverkning</t>
        </is>
      </c>
      <c r="D852" s="1" t="n">
        <v>45945</v>
      </c>
      <c r="E852" s="1" t="n">
        <v>46323</v>
      </c>
      <c r="F852" t="inlineStr">
        <is>
          <t>KALMAR LÄN</t>
        </is>
      </c>
      <c r="G852" t="inlineStr">
        <is>
          <t>VÄSTERVIK</t>
        </is>
      </c>
      <c r="H852" t="inlineStr">
        <is>
          <t>Övriga Aktiebolag</t>
        </is>
      </c>
      <c r="I852" t="n">
        <v>2.4</v>
      </c>
      <c r="J852" t="n">
        <v>0</v>
      </c>
      <c r="K852" t="n">
        <v>0</v>
      </c>
      <c r="L852" t="n">
        <v>0</v>
      </c>
      <c r="M852" t="n">
        <v>0</v>
      </c>
      <c r="N852" t="n">
        <v>0</v>
      </c>
      <c r="O852" t="n">
        <v>0</v>
      </c>
      <c r="P852" t="n">
        <v>0</v>
      </c>
      <c r="Q852" t="n">
        <v>0</v>
      </c>
      <c r="R852" t="n">
        <v>0</v>
      </c>
      <c r="S852" t="n">
        <v>0</v>
      </c>
      <c r="T852" t="n">
        <v>0</v>
      </c>
      <c r="U852" t="n">
        <v>0</v>
      </c>
      <c r="V852" s="2" t="inlineStr"/>
    </row>
    <row r="853" ht="15" customHeight="1">
      <c r="A853" t="inlineStr">
        <is>
          <t>A 35484-2026</t>
        </is>
      </c>
      <c r="B853" t="inlineStr">
        <is>
          <t>avverkningsanmälan</t>
        </is>
      </c>
      <c r="C853" t="inlineStr">
        <is>
          <t>Föryngringsavverkning</t>
        </is>
      </c>
      <c r="D853" s="1" t="n">
        <v>46262</v>
      </c>
      <c r="E853" s="1" t="n">
        <v>46323</v>
      </c>
      <c r="F853" t="inlineStr">
        <is>
          <t>KALMAR LÄN</t>
        </is>
      </c>
      <c r="G853" t="inlineStr">
        <is>
          <t>VÄSTERVIK</t>
        </is>
      </c>
      <c r="H853" t="inlineStr">
        <is>
          <t>Sveaskog</t>
        </is>
      </c>
      <c r="I853" t="n">
        <v>0.5</v>
      </c>
      <c r="J853" t="n">
        <v>0</v>
      </c>
      <c r="K853" t="n">
        <v>0</v>
      </c>
      <c r="L853" t="n">
        <v>0</v>
      </c>
      <c r="M853" t="n">
        <v>0</v>
      </c>
      <c r="N853" t="n">
        <v>0</v>
      </c>
      <c r="O853" t="n">
        <v>0</v>
      </c>
      <c r="P853" t="n">
        <v>0</v>
      </c>
      <c r="Q853" t="n">
        <v>0</v>
      </c>
      <c r="R853" t="n">
        <v>0</v>
      </c>
      <c r="S853" t="n">
        <v>0</v>
      </c>
      <c r="T853" t="n">
        <v>0</v>
      </c>
      <c r="U853" t="n">
        <v>0</v>
      </c>
      <c r="V853" s="2" t="inlineStr"/>
    </row>
    <row r="854" ht="15" customHeight="1">
      <c r="A854" t="inlineStr">
        <is>
          <t>A 35491-2026</t>
        </is>
      </c>
      <c r="B854" t="inlineStr">
        <is>
          <t>avverkningsanmälan</t>
        </is>
      </c>
      <c r="C854" t="inlineStr">
        <is>
          <t>Föryngringsavverkning</t>
        </is>
      </c>
      <c r="D854" s="1" t="n">
        <v>46262</v>
      </c>
      <c r="E854" s="1" t="n">
        <v>46323</v>
      </c>
      <c r="F854" t="inlineStr">
        <is>
          <t>KALMAR LÄN</t>
        </is>
      </c>
      <c r="G854" t="inlineStr">
        <is>
          <t>VÄSTERVIK</t>
        </is>
      </c>
      <c r="H854" t="inlineStr">
        <is>
          <t>Sveaskog</t>
        </is>
      </c>
      <c r="I854" t="n">
        <v>3</v>
      </c>
      <c r="J854" t="n">
        <v>0</v>
      </c>
      <c r="K854" t="n">
        <v>0</v>
      </c>
      <c r="L854" t="n">
        <v>0</v>
      </c>
      <c r="M854" t="n">
        <v>0</v>
      </c>
      <c r="N854" t="n">
        <v>0</v>
      </c>
      <c r="O854" t="n">
        <v>0</v>
      </c>
      <c r="P854" t="n">
        <v>0</v>
      </c>
      <c r="Q854" t="n">
        <v>0</v>
      </c>
      <c r="R854" t="n">
        <v>0</v>
      </c>
      <c r="S854" t="n">
        <v>0</v>
      </c>
      <c r="T854" t="n">
        <v>0</v>
      </c>
      <c r="U854" t="n">
        <v>0</v>
      </c>
      <c r="V854" s="2" t="inlineStr"/>
    </row>
    <row r="855" ht="15" customHeight="1">
      <c r="A855" t="inlineStr">
        <is>
          <t>A 35496-2026</t>
        </is>
      </c>
      <c r="B855" t="inlineStr">
        <is>
          <t>avverkningsanmälan</t>
        </is>
      </c>
      <c r="C855" t="inlineStr">
        <is>
          <t>Föryngringsavverkning</t>
        </is>
      </c>
      <c r="D855" s="1" t="n">
        <v>46262</v>
      </c>
      <c r="E855" s="1" t="n">
        <v>46323</v>
      </c>
      <c r="F855" t="inlineStr">
        <is>
          <t>KALMAR LÄN</t>
        </is>
      </c>
      <c r="G855" t="inlineStr">
        <is>
          <t>VÄSTERVIK</t>
        </is>
      </c>
      <c r="H855" t="inlineStr">
        <is>
          <t>Sveaskog</t>
        </is>
      </c>
      <c r="I855" t="n">
        <v>1.4</v>
      </c>
      <c r="J855" t="n">
        <v>0</v>
      </c>
      <c r="K855" t="n">
        <v>0</v>
      </c>
      <c r="L855" t="n">
        <v>0</v>
      </c>
      <c r="M855" t="n">
        <v>0</v>
      </c>
      <c r="N855" t="n">
        <v>0</v>
      </c>
      <c r="O855" t="n">
        <v>0</v>
      </c>
      <c r="P855" t="n">
        <v>0</v>
      </c>
      <c r="Q855" t="n">
        <v>0</v>
      </c>
      <c r="R855" t="n">
        <v>0</v>
      </c>
      <c r="S855" t="n">
        <v>0</v>
      </c>
      <c r="T855" t="n">
        <v>0</v>
      </c>
      <c r="U855" t="n">
        <v>0</v>
      </c>
      <c r="V855" s="2" t="inlineStr"/>
    </row>
    <row r="856" ht="15" customHeight="1">
      <c r="A856" t="inlineStr">
        <is>
          <t>A 64762-2023</t>
        </is>
      </c>
      <c r="B856" t="inlineStr">
        <is>
          <t>avverkningsanmälan</t>
        </is>
      </c>
      <c r="C856" t="inlineStr">
        <is>
          <t>Föryngringsavverkning</t>
        </is>
      </c>
      <c r="D856" s="1" t="n">
        <v>45282</v>
      </c>
      <c r="E856" s="1" t="n">
        <v>46323</v>
      </c>
      <c r="F856" t="inlineStr">
        <is>
          <t>KALMAR LÄN</t>
        </is>
      </c>
      <c r="G856" t="inlineStr">
        <is>
          <t>VÄSTERVIK</t>
        </is>
      </c>
      <c r="H856" t="inlineStr">
        <is>
          <t>Övriga Aktiebolag</t>
        </is>
      </c>
      <c r="I856" t="n">
        <v>1.1</v>
      </c>
      <c r="J856" t="n">
        <v>0</v>
      </c>
      <c r="K856" t="n">
        <v>0</v>
      </c>
      <c r="L856" t="n">
        <v>0</v>
      </c>
      <c r="M856" t="n">
        <v>0</v>
      </c>
      <c r="N856" t="n">
        <v>0</v>
      </c>
      <c r="O856" t="n">
        <v>0</v>
      </c>
      <c r="P856" t="n">
        <v>0</v>
      </c>
      <c r="Q856" t="n">
        <v>0</v>
      </c>
      <c r="R856" t="n">
        <v>0</v>
      </c>
      <c r="S856" t="n">
        <v>0</v>
      </c>
      <c r="T856" t="n">
        <v>0</v>
      </c>
      <c r="U856" t="n">
        <v>0</v>
      </c>
      <c r="V856" s="2" t="inlineStr"/>
    </row>
    <row r="857" ht="15" customHeight="1">
      <c r="A857" t="inlineStr">
        <is>
          <t>A 64763-2023</t>
        </is>
      </c>
      <c r="B857" t="inlineStr">
        <is>
          <t>avverkningsanmälan</t>
        </is>
      </c>
      <c r="C857" t="inlineStr">
        <is>
          <t>Föryngringsavverkning</t>
        </is>
      </c>
      <c r="D857" s="1" t="n">
        <v>45282</v>
      </c>
      <c r="E857" s="1" t="n">
        <v>46323</v>
      </c>
      <c r="F857" t="inlineStr">
        <is>
          <t>KALMAR LÄN</t>
        </is>
      </c>
      <c r="G857" t="inlineStr">
        <is>
          <t>VÄSTERVIK</t>
        </is>
      </c>
      <c r="H857" t="inlineStr">
        <is>
          <t>Övriga Aktiebolag</t>
        </is>
      </c>
      <c r="I857" t="n">
        <v>0.9</v>
      </c>
      <c r="J857" t="n">
        <v>0</v>
      </c>
      <c r="K857" t="n">
        <v>0</v>
      </c>
      <c r="L857" t="n">
        <v>0</v>
      </c>
      <c r="M857" t="n">
        <v>0</v>
      </c>
      <c r="N857" t="n">
        <v>0</v>
      </c>
      <c r="O857" t="n">
        <v>0</v>
      </c>
      <c r="P857" t="n">
        <v>0</v>
      </c>
      <c r="Q857" t="n">
        <v>0</v>
      </c>
      <c r="R857" t="n">
        <v>0</v>
      </c>
      <c r="S857" t="n">
        <v>0</v>
      </c>
      <c r="T857" t="n">
        <v>0</v>
      </c>
      <c r="U857" t="n">
        <v>0</v>
      </c>
      <c r="V857" s="2" t="inlineStr"/>
    </row>
    <row r="858" ht="15" customHeight="1">
      <c r="A858" t="inlineStr">
        <is>
          <t>A 37326-2024</t>
        </is>
      </c>
      <c r="B858" t="inlineStr">
        <is>
          <t>avverkningsanmälan</t>
        </is>
      </c>
      <c r="C858" t="inlineStr">
        <is>
          <t>Föryngringsavverkning</t>
        </is>
      </c>
      <c r="D858" s="1" t="n">
        <v>45540</v>
      </c>
      <c r="E858" s="1" t="n">
        <v>46323</v>
      </c>
      <c r="F858" t="inlineStr">
        <is>
          <t>KALMAR LÄN</t>
        </is>
      </c>
      <c r="G858" t="inlineStr">
        <is>
          <t>VÄSTERVIK</t>
        </is>
      </c>
      <c r="H858" t="inlineStr">
        <is>
          <t>Holmen skog AB</t>
        </is>
      </c>
      <c r="I858" t="n">
        <v>6</v>
      </c>
      <c r="J858" t="n">
        <v>0</v>
      </c>
      <c r="K858" t="n">
        <v>0</v>
      </c>
      <c r="L858" t="n">
        <v>0</v>
      </c>
      <c r="M858" t="n">
        <v>0</v>
      </c>
      <c r="N858" t="n">
        <v>0</v>
      </c>
      <c r="O858" t="n">
        <v>0</v>
      </c>
      <c r="P858" t="n">
        <v>0</v>
      </c>
      <c r="Q858" t="n">
        <v>0</v>
      </c>
      <c r="R858" t="n">
        <v>0</v>
      </c>
      <c r="S858" t="n">
        <v>0</v>
      </c>
      <c r="T858" t="n">
        <v>0</v>
      </c>
      <c r="U858" t="n">
        <v>0</v>
      </c>
      <c r="V858" s="2" t="inlineStr"/>
    </row>
    <row r="859" ht="15" customHeight="1">
      <c r="A859" t="inlineStr">
        <is>
          <t>A 8440-2023</t>
        </is>
      </c>
      <c r="B859" t="inlineStr">
        <is>
          <t>avverkningsanmälan</t>
        </is>
      </c>
      <c r="C859" t="inlineStr">
        <is>
          <t>Föryngringsavverkning</t>
        </is>
      </c>
      <c r="D859" s="1" t="n">
        <v>44977</v>
      </c>
      <c r="E859" s="1" t="n">
        <v>46323</v>
      </c>
      <c r="F859" t="inlineStr">
        <is>
          <t>KALMAR LÄN</t>
        </is>
      </c>
      <c r="G859" t="inlineStr">
        <is>
          <t>VÄSTERVIK</t>
        </is>
      </c>
      <c r="I859" t="n">
        <v>5.5</v>
      </c>
      <c r="J859" t="n">
        <v>0</v>
      </c>
      <c r="K859" t="n">
        <v>0</v>
      </c>
      <c r="L859" t="n">
        <v>0</v>
      </c>
      <c r="M859" t="n">
        <v>0</v>
      </c>
      <c r="N859" t="n">
        <v>0</v>
      </c>
      <c r="O859" t="n">
        <v>0</v>
      </c>
      <c r="P859" t="n">
        <v>0</v>
      </c>
      <c r="Q859" t="n">
        <v>0</v>
      </c>
      <c r="R859" t="n">
        <v>0</v>
      </c>
      <c r="S859" t="n">
        <v>0</v>
      </c>
      <c r="T859" t="n">
        <v>0</v>
      </c>
      <c r="U859" t="n">
        <v>0</v>
      </c>
      <c r="V859" s="2" t="inlineStr"/>
    </row>
    <row r="860" ht="15" customHeight="1">
      <c r="A860" t="inlineStr">
        <is>
          <t>A 8513-2023</t>
        </is>
      </c>
      <c r="B860" t="inlineStr">
        <is>
          <t>avverkningsanmälan</t>
        </is>
      </c>
      <c r="C860" t="inlineStr">
        <is>
          <t>Föryngringsavverkning</t>
        </is>
      </c>
      <c r="D860" s="1" t="n">
        <v>44977</v>
      </c>
      <c r="E860" s="1" t="n">
        <v>46323</v>
      </c>
      <c r="F860" t="inlineStr">
        <is>
          <t>KALMAR LÄN</t>
        </is>
      </c>
      <c r="G860" t="inlineStr">
        <is>
          <t>VÄSTERVIK</t>
        </is>
      </c>
      <c r="I860" t="n">
        <v>2</v>
      </c>
      <c r="J860" t="n">
        <v>0</v>
      </c>
      <c r="K860" t="n">
        <v>0</v>
      </c>
      <c r="L860" t="n">
        <v>0</v>
      </c>
      <c r="M860" t="n">
        <v>0</v>
      </c>
      <c r="N860" t="n">
        <v>0</v>
      </c>
      <c r="O860" t="n">
        <v>0</v>
      </c>
      <c r="P860" t="n">
        <v>0</v>
      </c>
      <c r="Q860" t="n">
        <v>0</v>
      </c>
      <c r="R860" t="n">
        <v>0</v>
      </c>
      <c r="S860" t="n">
        <v>0</v>
      </c>
      <c r="T860" t="n">
        <v>0</v>
      </c>
      <c r="U860" t="n">
        <v>0</v>
      </c>
      <c r="V860" s="2" t="inlineStr"/>
    </row>
    <row r="861" ht="15" customHeight="1">
      <c r="A861" t="inlineStr">
        <is>
          <t>A 11791-2024</t>
        </is>
      </c>
      <c r="B861" t="inlineStr">
        <is>
          <t>avverkningsanmälan</t>
        </is>
      </c>
      <c r="C861" t="inlineStr">
        <is>
          <t>Föryngringsavverkning</t>
        </is>
      </c>
      <c r="D861" s="1" t="n">
        <v>45374</v>
      </c>
      <c r="E861" s="1" t="n">
        <v>46323</v>
      </c>
      <c r="F861" t="inlineStr">
        <is>
          <t>KALMAR LÄN</t>
        </is>
      </c>
      <c r="G861" t="inlineStr">
        <is>
          <t>VÄSTERVIK</t>
        </is>
      </c>
      <c r="I861" t="n">
        <v>3.4</v>
      </c>
      <c r="J861" t="n">
        <v>0</v>
      </c>
      <c r="K861" t="n">
        <v>0</v>
      </c>
      <c r="L861" t="n">
        <v>0</v>
      </c>
      <c r="M861" t="n">
        <v>0</v>
      </c>
      <c r="N861" t="n">
        <v>0</v>
      </c>
      <c r="O861" t="n">
        <v>0</v>
      </c>
      <c r="P861" t="n">
        <v>0</v>
      </c>
      <c r="Q861" t="n">
        <v>0</v>
      </c>
      <c r="R861" t="n">
        <v>0</v>
      </c>
      <c r="S861" t="n">
        <v>0</v>
      </c>
      <c r="T861" t="n">
        <v>0</v>
      </c>
      <c r="U861" t="n">
        <v>0</v>
      </c>
      <c r="V861" s="2" t="inlineStr"/>
    </row>
    <row r="862" ht="15" customHeight="1">
      <c r="A862" t="inlineStr">
        <is>
          <t>A 42474-2026</t>
        </is>
      </c>
      <c r="B862" t="inlineStr">
        <is>
          <t>avverkningsanmälan</t>
        </is>
      </c>
      <c r="C862" t="inlineStr">
        <is>
          <t>Föryngringsavverkning</t>
        </is>
      </c>
      <c r="D862" s="1" t="n">
        <v>46308</v>
      </c>
      <c r="E862" s="1" t="n">
        <v>46323</v>
      </c>
      <c r="F862" t="inlineStr">
        <is>
          <t>KALMAR LÄN</t>
        </is>
      </c>
      <c r="G862" t="inlineStr">
        <is>
          <t>VÄSTERVIK</t>
        </is>
      </c>
      <c r="I862" t="n">
        <v>2.1</v>
      </c>
      <c r="J862" t="n">
        <v>0</v>
      </c>
      <c r="K862" t="n">
        <v>0</v>
      </c>
      <c r="L862" t="n">
        <v>0</v>
      </c>
      <c r="M862" t="n">
        <v>0</v>
      </c>
      <c r="N862" t="n">
        <v>0</v>
      </c>
      <c r="O862" t="n">
        <v>0</v>
      </c>
      <c r="P862" t="n">
        <v>0</v>
      </c>
      <c r="Q862" t="n">
        <v>0</v>
      </c>
      <c r="R862" t="n">
        <v>0</v>
      </c>
      <c r="S862" t="n">
        <v>0</v>
      </c>
      <c r="T862" t="n">
        <v>0</v>
      </c>
      <c r="U862" t="n">
        <v>0</v>
      </c>
      <c r="V862" s="2" t="inlineStr"/>
    </row>
    <row r="863" ht="15" customHeight="1">
      <c r="A863" t="inlineStr">
        <is>
          <t>A 23148-2025</t>
        </is>
      </c>
      <c r="B863" t="inlineStr">
        <is>
          <t>avverkningsanmälan</t>
        </is>
      </c>
      <c r="C863" t="inlineStr">
        <is>
          <t>Föryngringsavverkning</t>
        </is>
      </c>
      <c r="D863" s="1" t="n">
        <v>45791</v>
      </c>
      <c r="E863" s="1" t="n">
        <v>46323</v>
      </c>
      <c r="F863" t="inlineStr">
        <is>
          <t>KALMAR LÄN</t>
        </is>
      </c>
      <c r="G863" t="inlineStr">
        <is>
          <t>VÄSTERVIK</t>
        </is>
      </c>
      <c r="I863" t="n">
        <v>1.5</v>
      </c>
      <c r="J863" t="n">
        <v>0</v>
      </c>
      <c r="K863" t="n">
        <v>0</v>
      </c>
      <c r="L863" t="n">
        <v>0</v>
      </c>
      <c r="M863" t="n">
        <v>0</v>
      </c>
      <c r="N863" t="n">
        <v>0</v>
      </c>
      <c r="O863" t="n">
        <v>0</v>
      </c>
      <c r="P863" t="n">
        <v>0</v>
      </c>
      <c r="Q863" t="n">
        <v>0</v>
      </c>
      <c r="R863" t="n">
        <v>0</v>
      </c>
      <c r="S863" t="n">
        <v>0</v>
      </c>
      <c r="T863" t="n">
        <v>0</v>
      </c>
      <c r="U863" t="n">
        <v>0</v>
      </c>
      <c r="V863" s="2" t="inlineStr"/>
    </row>
    <row r="864" ht="15" customHeight="1">
      <c r="A864" t="inlineStr">
        <is>
          <t>A 42965-2026</t>
        </is>
      </c>
      <c r="B864" t="inlineStr">
        <is>
          <t>avverkningsanmälan</t>
        </is>
      </c>
      <c r="C864" t="inlineStr">
        <is>
          <t>Föryngringsavverkning</t>
        </is>
      </c>
      <c r="D864" s="1" t="n">
        <v>46310</v>
      </c>
      <c r="E864" s="1" t="n">
        <v>46323</v>
      </c>
      <c r="F864" t="inlineStr">
        <is>
          <t>KALMAR LÄN</t>
        </is>
      </c>
      <c r="G864" t="inlineStr">
        <is>
          <t>VÄSTERVIK</t>
        </is>
      </c>
      <c r="I864" t="n">
        <v>1</v>
      </c>
      <c r="J864" t="n">
        <v>0</v>
      </c>
      <c r="K864" t="n">
        <v>0</v>
      </c>
      <c r="L864" t="n">
        <v>0</v>
      </c>
      <c r="M864" t="n">
        <v>0</v>
      </c>
      <c r="N864" t="n">
        <v>0</v>
      </c>
      <c r="O864" t="n">
        <v>0</v>
      </c>
      <c r="P864" t="n">
        <v>0</v>
      </c>
      <c r="Q864" t="n">
        <v>0</v>
      </c>
      <c r="R864" t="n">
        <v>0</v>
      </c>
      <c r="S864" t="n">
        <v>0</v>
      </c>
      <c r="T864" t="n">
        <v>0</v>
      </c>
      <c r="U864" t="n">
        <v>0</v>
      </c>
      <c r="V864" s="2" t="inlineStr"/>
    </row>
    <row r="865" ht="15" customHeight="1">
      <c r="A865" t="inlineStr">
        <is>
          <t>A 28696-2025</t>
        </is>
      </c>
      <c r="B865" t="inlineStr">
        <is>
          <t>avverkningsanmälan</t>
        </is>
      </c>
      <c r="C865" t="inlineStr">
        <is>
          <t>Föryngringsavverkning</t>
        </is>
      </c>
      <c r="D865" s="1" t="n">
        <v>45819</v>
      </c>
      <c r="E865" s="1" t="n">
        <v>46323</v>
      </c>
      <c r="F865" t="inlineStr">
        <is>
          <t>KALMAR LÄN</t>
        </is>
      </c>
      <c r="G865" t="inlineStr">
        <is>
          <t>VÄSTERVIK</t>
        </is>
      </c>
      <c r="I865" t="n">
        <v>2.8</v>
      </c>
      <c r="J865" t="n">
        <v>0</v>
      </c>
      <c r="K865" t="n">
        <v>0</v>
      </c>
      <c r="L865" t="n">
        <v>0</v>
      </c>
      <c r="M865" t="n">
        <v>0</v>
      </c>
      <c r="N865" t="n">
        <v>0</v>
      </c>
      <c r="O865" t="n">
        <v>0</v>
      </c>
      <c r="P865" t="n">
        <v>0</v>
      </c>
      <c r="Q865" t="n">
        <v>0</v>
      </c>
      <c r="R865" t="n">
        <v>0</v>
      </c>
      <c r="S865" t="n">
        <v>0</v>
      </c>
      <c r="T865" t="n">
        <v>0</v>
      </c>
      <c r="U865" t="n">
        <v>0</v>
      </c>
      <c r="V865" s="2" t="inlineStr"/>
    </row>
    <row r="866" ht="15" customHeight="1">
      <c r="A866" t="inlineStr">
        <is>
          <t>A 38048-2023</t>
        </is>
      </c>
      <c r="B866" t="inlineStr">
        <is>
          <t>avverkningsanmälan</t>
        </is>
      </c>
      <c r="C866" t="inlineStr">
        <is>
          <t>Föryngringsavverkning</t>
        </is>
      </c>
      <c r="D866" s="1" t="n">
        <v>45160</v>
      </c>
      <c r="E866" s="1" t="n">
        <v>46323</v>
      </c>
      <c r="F866" t="inlineStr">
        <is>
          <t>KALMAR LÄN</t>
        </is>
      </c>
      <c r="G866" t="inlineStr">
        <is>
          <t>VÄSTERVIK</t>
        </is>
      </c>
      <c r="H866" t="inlineStr">
        <is>
          <t>Sveaskog</t>
        </is>
      </c>
      <c r="I866" t="n">
        <v>3.3</v>
      </c>
      <c r="J866" t="n">
        <v>0</v>
      </c>
      <c r="K866" t="n">
        <v>0</v>
      </c>
      <c r="L866" t="n">
        <v>0</v>
      </c>
      <c r="M866" t="n">
        <v>0</v>
      </c>
      <c r="N866" t="n">
        <v>0</v>
      </c>
      <c r="O866" t="n">
        <v>0</v>
      </c>
      <c r="P866" t="n">
        <v>0</v>
      </c>
      <c r="Q866" t="n">
        <v>0</v>
      </c>
      <c r="R866" t="n">
        <v>0</v>
      </c>
      <c r="S866" t="n">
        <v>0</v>
      </c>
      <c r="T866" t="n">
        <v>0</v>
      </c>
      <c r="U866" t="n">
        <v>0</v>
      </c>
      <c r="V866" s="2" t="inlineStr"/>
    </row>
    <row r="867" ht="15" customHeight="1">
      <c r="A867" t="inlineStr">
        <is>
          <t>A 17648-2023</t>
        </is>
      </c>
      <c r="B867" t="inlineStr">
        <is>
          <t>avverkningsanmälan</t>
        </is>
      </c>
      <c r="C867" t="inlineStr">
        <is>
          <t>Avverkning för annat ändamål</t>
        </is>
      </c>
      <c r="D867" s="1" t="n">
        <v>45036</v>
      </c>
      <c r="E867" s="1" t="n">
        <v>46323</v>
      </c>
      <c r="F867" t="inlineStr">
        <is>
          <t>KALMAR LÄN</t>
        </is>
      </c>
      <c r="G867" t="inlineStr">
        <is>
          <t>VÄSTERVIK</t>
        </is>
      </c>
      <c r="I867" t="n">
        <v>0.4</v>
      </c>
      <c r="J867" t="n">
        <v>0</v>
      </c>
      <c r="K867" t="n">
        <v>0</v>
      </c>
      <c r="L867" t="n">
        <v>0</v>
      </c>
      <c r="M867" t="n">
        <v>0</v>
      </c>
      <c r="N867" t="n">
        <v>0</v>
      </c>
      <c r="O867" t="n">
        <v>0</v>
      </c>
      <c r="P867" t="n">
        <v>0</v>
      </c>
      <c r="Q867" t="n">
        <v>0</v>
      </c>
      <c r="R867" t="n">
        <v>0</v>
      </c>
      <c r="S867" t="n">
        <v>0</v>
      </c>
      <c r="T867" t="n">
        <v>0</v>
      </c>
      <c r="U867" t="n">
        <v>0</v>
      </c>
      <c r="V867" s="2" t="inlineStr"/>
    </row>
    <row r="868" ht="15" customHeight="1">
      <c r="A868" t="inlineStr">
        <is>
          <t>A 25827-2025</t>
        </is>
      </c>
      <c r="B868" t="inlineStr">
        <is>
          <t>avverkningsanmälan</t>
        </is>
      </c>
      <c r="C868" t="inlineStr">
        <is>
          <t>Föryngringsavverkning</t>
        </is>
      </c>
      <c r="D868" s="1" t="n">
        <v>45804</v>
      </c>
      <c r="E868" s="1" t="n">
        <v>46323</v>
      </c>
      <c r="F868" t="inlineStr">
        <is>
          <t>KALMAR LÄN</t>
        </is>
      </c>
      <c r="G868" t="inlineStr">
        <is>
          <t>VÄSTERVIK</t>
        </is>
      </c>
      <c r="I868" t="n">
        <v>1.8</v>
      </c>
      <c r="J868" t="n">
        <v>0</v>
      </c>
      <c r="K868" t="n">
        <v>0</v>
      </c>
      <c r="L868" t="n">
        <v>0</v>
      </c>
      <c r="M868" t="n">
        <v>0</v>
      </c>
      <c r="N868" t="n">
        <v>0</v>
      </c>
      <c r="O868" t="n">
        <v>0</v>
      </c>
      <c r="P868" t="n">
        <v>0</v>
      </c>
      <c r="Q868" t="n">
        <v>0</v>
      </c>
      <c r="R868" t="n">
        <v>0</v>
      </c>
      <c r="S868" t="n">
        <v>0</v>
      </c>
      <c r="T868" t="n">
        <v>0</v>
      </c>
      <c r="U868" t="n">
        <v>0</v>
      </c>
      <c r="V868" s="2" t="inlineStr"/>
    </row>
    <row r="869" ht="15" customHeight="1">
      <c r="A869" t="inlineStr">
        <is>
          <t>A 28952-2023</t>
        </is>
      </c>
      <c r="B869" t="inlineStr">
        <is>
          <t>avverkningsanmälan</t>
        </is>
      </c>
      <c r="C869" t="inlineStr">
        <is>
          <t>Föryngringsavverkning</t>
        </is>
      </c>
      <c r="D869" s="1" t="n">
        <v>45104</v>
      </c>
      <c r="E869" s="1" t="n">
        <v>46323</v>
      </c>
      <c r="F869" t="inlineStr">
        <is>
          <t>KALMAR LÄN</t>
        </is>
      </c>
      <c r="G869" t="inlineStr">
        <is>
          <t>VÄSTERVIK</t>
        </is>
      </c>
      <c r="H869" t="inlineStr">
        <is>
          <t>Holmen skog AB</t>
        </is>
      </c>
      <c r="I869" t="n">
        <v>1</v>
      </c>
      <c r="J869" t="n">
        <v>0</v>
      </c>
      <c r="K869" t="n">
        <v>0</v>
      </c>
      <c r="L869" t="n">
        <v>0</v>
      </c>
      <c r="M869" t="n">
        <v>0</v>
      </c>
      <c r="N869" t="n">
        <v>0</v>
      </c>
      <c r="O869" t="n">
        <v>0</v>
      </c>
      <c r="P869" t="n">
        <v>0</v>
      </c>
      <c r="Q869" t="n">
        <v>0</v>
      </c>
      <c r="R869" t="n">
        <v>0</v>
      </c>
      <c r="S869" t="n">
        <v>0</v>
      </c>
      <c r="T869" t="n">
        <v>0</v>
      </c>
      <c r="U869" t="n">
        <v>0</v>
      </c>
      <c r="V869" s="2" t="inlineStr"/>
    </row>
    <row r="870" ht="15" customHeight="1">
      <c r="A870" t="inlineStr">
        <is>
          <t>A 42826-2026</t>
        </is>
      </c>
      <c r="B870" t="inlineStr">
        <is>
          <t>avverkningsanmälan</t>
        </is>
      </c>
      <c r="C870" t="inlineStr">
        <is>
          <t>Föryngringsavverkning</t>
        </is>
      </c>
      <c r="D870" s="1" t="n">
        <v>46310</v>
      </c>
      <c r="E870" s="1" t="n">
        <v>46323</v>
      </c>
      <c r="F870" t="inlineStr">
        <is>
          <t>KALMAR LÄN</t>
        </is>
      </c>
      <c r="G870" t="inlineStr">
        <is>
          <t>VÄSTERVIK</t>
        </is>
      </c>
      <c r="H870" t="inlineStr">
        <is>
          <t>Holmen skog AB</t>
        </is>
      </c>
      <c r="I870" t="n">
        <v>11.2</v>
      </c>
      <c r="J870" t="n">
        <v>0</v>
      </c>
      <c r="K870" t="n">
        <v>0</v>
      </c>
      <c r="L870" t="n">
        <v>0</v>
      </c>
      <c r="M870" t="n">
        <v>0</v>
      </c>
      <c r="N870" t="n">
        <v>0</v>
      </c>
      <c r="O870" t="n">
        <v>0</v>
      </c>
      <c r="P870" t="n">
        <v>0</v>
      </c>
      <c r="Q870" t="n">
        <v>0</v>
      </c>
      <c r="R870" t="n">
        <v>0</v>
      </c>
      <c r="S870" t="n">
        <v>0</v>
      </c>
      <c r="T870" t="n">
        <v>0</v>
      </c>
      <c r="U870" t="n">
        <v>0</v>
      </c>
      <c r="V870" s="2" t="inlineStr"/>
    </row>
    <row r="871" ht="15" customHeight="1">
      <c r="A871" t="inlineStr">
        <is>
          <t>A 39980-2024</t>
        </is>
      </c>
      <c r="B871" t="inlineStr">
        <is>
          <t>avverkningsanmälan</t>
        </is>
      </c>
      <c r="C871" t="inlineStr">
        <is>
          <t>Föryngringsavverkning</t>
        </is>
      </c>
      <c r="D871" s="1" t="n">
        <v>45553</v>
      </c>
      <c r="E871" s="1" t="n">
        <v>46323</v>
      </c>
      <c r="F871" t="inlineStr">
        <is>
          <t>KALMAR LÄN</t>
        </is>
      </c>
      <c r="G871" t="inlineStr">
        <is>
          <t>VÄSTERVIK</t>
        </is>
      </c>
      <c r="I871" t="n">
        <v>2.3</v>
      </c>
      <c r="J871" t="n">
        <v>0</v>
      </c>
      <c r="K871" t="n">
        <v>0</v>
      </c>
      <c r="L871" t="n">
        <v>0</v>
      </c>
      <c r="M871" t="n">
        <v>0</v>
      </c>
      <c r="N871" t="n">
        <v>0</v>
      </c>
      <c r="O871" t="n">
        <v>0</v>
      </c>
      <c r="P871" t="n">
        <v>0</v>
      </c>
      <c r="Q871" t="n">
        <v>0</v>
      </c>
      <c r="R871" t="n">
        <v>0</v>
      </c>
      <c r="S871" t="n">
        <v>0</v>
      </c>
      <c r="T871" t="n">
        <v>0</v>
      </c>
      <c r="U871" t="n">
        <v>0</v>
      </c>
      <c r="V871" s="2" t="inlineStr"/>
    </row>
    <row r="872" ht="15" customHeight="1">
      <c r="A872" t="inlineStr">
        <is>
          <t>A 37986-2023</t>
        </is>
      </c>
      <c r="B872" t="inlineStr">
        <is>
          <t>avverkningsanmälan</t>
        </is>
      </c>
      <c r="C872" t="inlineStr">
        <is>
          <t>Föryngringsavverkning</t>
        </is>
      </c>
      <c r="D872" s="1" t="n">
        <v>45160</v>
      </c>
      <c r="E872" s="1" t="n">
        <v>46323</v>
      </c>
      <c r="F872" t="inlineStr">
        <is>
          <t>KALMAR LÄN</t>
        </is>
      </c>
      <c r="G872" t="inlineStr">
        <is>
          <t>VÄSTERVIK</t>
        </is>
      </c>
      <c r="H872" t="inlineStr">
        <is>
          <t>Sveaskog</t>
        </is>
      </c>
      <c r="I872" t="n">
        <v>4</v>
      </c>
      <c r="J872" t="n">
        <v>0</v>
      </c>
      <c r="K872" t="n">
        <v>0</v>
      </c>
      <c r="L872" t="n">
        <v>0</v>
      </c>
      <c r="M872" t="n">
        <v>0</v>
      </c>
      <c r="N872" t="n">
        <v>0</v>
      </c>
      <c r="O872" t="n">
        <v>0</v>
      </c>
      <c r="P872" t="n">
        <v>0</v>
      </c>
      <c r="Q872" t="n">
        <v>0</v>
      </c>
      <c r="R872" t="n">
        <v>0</v>
      </c>
      <c r="S872" t="n">
        <v>0</v>
      </c>
      <c r="T872" t="n">
        <v>0</v>
      </c>
      <c r="U872" t="n">
        <v>0</v>
      </c>
      <c r="V872" s="2" t="inlineStr"/>
    </row>
    <row r="873" ht="15" customHeight="1">
      <c r="A873" t="inlineStr">
        <is>
          <t>A 49525-2025</t>
        </is>
      </c>
      <c r="B873" t="inlineStr">
        <is>
          <t>avverkningsanmälan</t>
        </is>
      </c>
      <c r="C873" t="inlineStr">
        <is>
          <t>Föryngringsavverkning</t>
        </is>
      </c>
      <c r="D873" s="1" t="n">
        <v>45939</v>
      </c>
      <c r="E873" s="1" t="n">
        <v>46323</v>
      </c>
      <c r="F873" t="inlineStr">
        <is>
          <t>KALMAR LÄN</t>
        </is>
      </c>
      <c r="G873" t="inlineStr">
        <is>
          <t>VÄSTERVIK</t>
        </is>
      </c>
      <c r="I873" t="n">
        <v>2.3</v>
      </c>
      <c r="J873" t="n">
        <v>0</v>
      </c>
      <c r="K873" t="n">
        <v>0</v>
      </c>
      <c r="L873" t="n">
        <v>0</v>
      </c>
      <c r="M873" t="n">
        <v>0</v>
      </c>
      <c r="N873" t="n">
        <v>0</v>
      </c>
      <c r="O873" t="n">
        <v>0</v>
      </c>
      <c r="P873" t="n">
        <v>0</v>
      </c>
      <c r="Q873" t="n">
        <v>0</v>
      </c>
      <c r="R873" t="n">
        <v>0</v>
      </c>
      <c r="S873" t="n">
        <v>0</v>
      </c>
      <c r="T873" t="n">
        <v>0</v>
      </c>
      <c r="U873" t="n">
        <v>0</v>
      </c>
      <c r="V873" s="2" t="inlineStr"/>
    </row>
    <row r="874" ht="15" customHeight="1">
      <c r="A874" t="inlineStr">
        <is>
          <t>A 13840-2024</t>
        </is>
      </c>
      <c r="B874" t="inlineStr">
        <is>
          <t>avverkningsanmälan</t>
        </is>
      </c>
      <c r="C874" t="inlineStr">
        <is>
          <t>Föryngringsavverkning</t>
        </is>
      </c>
      <c r="D874" s="1" t="n">
        <v>45391</v>
      </c>
      <c r="E874" s="1" t="n">
        <v>46323</v>
      </c>
      <c r="F874" t="inlineStr">
        <is>
          <t>KALMAR LÄN</t>
        </is>
      </c>
      <c r="G874" t="inlineStr">
        <is>
          <t>VÄSTERVIK</t>
        </is>
      </c>
      <c r="H874" t="inlineStr">
        <is>
          <t>Sveaskog</t>
        </is>
      </c>
      <c r="I874" t="n">
        <v>1.3</v>
      </c>
      <c r="J874" t="n">
        <v>0</v>
      </c>
      <c r="K874" t="n">
        <v>0</v>
      </c>
      <c r="L874" t="n">
        <v>0</v>
      </c>
      <c r="M874" t="n">
        <v>0</v>
      </c>
      <c r="N874" t="n">
        <v>0</v>
      </c>
      <c r="O874" t="n">
        <v>0</v>
      </c>
      <c r="P874" t="n">
        <v>0</v>
      </c>
      <c r="Q874" t="n">
        <v>0</v>
      </c>
      <c r="R874" t="n">
        <v>0</v>
      </c>
      <c r="S874" t="n">
        <v>0</v>
      </c>
      <c r="T874" t="n">
        <v>0</v>
      </c>
      <c r="U874" t="n">
        <v>0</v>
      </c>
      <c r="V874" s="2" t="inlineStr"/>
    </row>
    <row r="875" ht="15" customHeight="1">
      <c r="A875" t="inlineStr">
        <is>
          <t>A 52774-2024</t>
        </is>
      </c>
      <c r="B875" t="inlineStr">
        <is>
          <t>avverkningsanmälan</t>
        </is>
      </c>
      <c r="C875" t="inlineStr">
        <is>
          <t>Föryngringsavverkning</t>
        </is>
      </c>
      <c r="D875" s="1" t="n">
        <v>45610</v>
      </c>
      <c r="E875" s="1" t="n">
        <v>46323</v>
      </c>
      <c r="F875" t="inlineStr">
        <is>
          <t>KALMAR LÄN</t>
        </is>
      </c>
      <c r="G875" t="inlineStr">
        <is>
          <t>VÄSTERVIK</t>
        </is>
      </c>
      <c r="H875" t="inlineStr">
        <is>
          <t>Holmen skog AB</t>
        </is>
      </c>
      <c r="I875" t="n">
        <v>2.9</v>
      </c>
      <c r="J875" t="n">
        <v>0</v>
      </c>
      <c r="K875" t="n">
        <v>0</v>
      </c>
      <c r="L875" t="n">
        <v>0</v>
      </c>
      <c r="M875" t="n">
        <v>0</v>
      </c>
      <c r="N875" t="n">
        <v>0</v>
      </c>
      <c r="O875" t="n">
        <v>0</v>
      </c>
      <c r="P875" t="n">
        <v>0</v>
      </c>
      <c r="Q875" t="n">
        <v>0</v>
      </c>
      <c r="R875" t="n">
        <v>0</v>
      </c>
      <c r="S875" t="n">
        <v>0</v>
      </c>
      <c r="T875" t="n">
        <v>0</v>
      </c>
      <c r="U875" t="n">
        <v>0</v>
      </c>
      <c r="V875" s="2" t="inlineStr"/>
    </row>
    <row r="876" ht="15" customHeight="1">
      <c r="A876" t="inlineStr">
        <is>
          <t>A 352-2023</t>
        </is>
      </c>
      <c r="B876" t="inlineStr">
        <is>
          <t>avverkningsanmälan</t>
        </is>
      </c>
      <c r="C876" t="inlineStr">
        <is>
          <t>Föryngringsavverkning</t>
        </is>
      </c>
      <c r="D876" s="1" t="n">
        <v>44929</v>
      </c>
      <c r="E876" s="1" t="n">
        <v>46323</v>
      </c>
      <c r="F876" t="inlineStr">
        <is>
          <t>KALMAR LÄN</t>
        </is>
      </c>
      <c r="G876" t="inlineStr">
        <is>
          <t>VÄSTERVIK</t>
        </is>
      </c>
      <c r="I876" t="n">
        <v>1</v>
      </c>
      <c r="J876" t="n">
        <v>0</v>
      </c>
      <c r="K876" t="n">
        <v>0</v>
      </c>
      <c r="L876" t="n">
        <v>0</v>
      </c>
      <c r="M876" t="n">
        <v>0</v>
      </c>
      <c r="N876" t="n">
        <v>0</v>
      </c>
      <c r="O876" t="n">
        <v>0</v>
      </c>
      <c r="P876" t="n">
        <v>0</v>
      </c>
      <c r="Q876" t="n">
        <v>0</v>
      </c>
      <c r="R876" t="n">
        <v>0</v>
      </c>
      <c r="S876" t="n">
        <v>0</v>
      </c>
      <c r="T876" t="n">
        <v>0</v>
      </c>
      <c r="U876" t="n">
        <v>0</v>
      </c>
      <c r="V876" s="2" t="inlineStr"/>
    </row>
    <row r="877" ht="15" customHeight="1">
      <c r="A877" t="inlineStr">
        <is>
          <t>A 28096-2025</t>
        </is>
      </c>
      <c r="B877" t="inlineStr">
        <is>
          <t>avverkningsanmälan</t>
        </is>
      </c>
      <c r="C877" t="inlineStr">
        <is>
          <t>Föryngringsavverkning</t>
        </is>
      </c>
      <c r="D877" s="1" t="n">
        <v>45817</v>
      </c>
      <c r="E877" s="1" t="n">
        <v>46323</v>
      </c>
      <c r="F877" t="inlineStr">
        <is>
          <t>KALMAR LÄN</t>
        </is>
      </c>
      <c r="G877" t="inlineStr">
        <is>
          <t>VÄSTERVIK</t>
        </is>
      </c>
      <c r="I877" t="n">
        <v>1</v>
      </c>
      <c r="J877" t="n">
        <v>0</v>
      </c>
      <c r="K877" t="n">
        <v>0</v>
      </c>
      <c r="L877" t="n">
        <v>0</v>
      </c>
      <c r="M877" t="n">
        <v>0</v>
      </c>
      <c r="N877" t="n">
        <v>0</v>
      </c>
      <c r="O877" t="n">
        <v>0</v>
      </c>
      <c r="P877" t="n">
        <v>0</v>
      </c>
      <c r="Q877" t="n">
        <v>0</v>
      </c>
      <c r="R877" t="n">
        <v>0</v>
      </c>
      <c r="S877" t="n">
        <v>0</v>
      </c>
      <c r="T877" t="n">
        <v>0</v>
      </c>
      <c r="U877" t="n">
        <v>0</v>
      </c>
      <c r="V877" s="2" t="inlineStr"/>
    </row>
    <row r="878" ht="15" customHeight="1">
      <c r="A878" t="inlineStr">
        <is>
          <t>A 59675-2022</t>
        </is>
      </c>
      <c r="B878" t="inlineStr">
        <is>
          <t>avverkningsanmälan</t>
        </is>
      </c>
      <c r="C878" t="inlineStr">
        <is>
          <t>Föryngringsavverkning</t>
        </is>
      </c>
      <c r="D878" s="1" t="n">
        <v>44908</v>
      </c>
      <c r="E878" s="1" t="n">
        <v>46323</v>
      </c>
      <c r="F878" t="inlineStr">
        <is>
          <t>KALMAR LÄN</t>
        </is>
      </c>
      <c r="G878" t="inlineStr">
        <is>
          <t>VÄSTERVIK</t>
        </is>
      </c>
      <c r="I878" t="n">
        <v>0.7</v>
      </c>
      <c r="J878" t="n">
        <v>0</v>
      </c>
      <c r="K878" t="n">
        <v>0</v>
      </c>
      <c r="L878" t="n">
        <v>0</v>
      </c>
      <c r="M878" t="n">
        <v>0</v>
      </c>
      <c r="N878" t="n">
        <v>0</v>
      </c>
      <c r="O878" t="n">
        <v>0</v>
      </c>
      <c r="P878" t="n">
        <v>0</v>
      </c>
      <c r="Q878" t="n">
        <v>0</v>
      </c>
      <c r="R878" t="n">
        <v>0</v>
      </c>
      <c r="S878" t="n">
        <v>0</v>
      </c>
      <c r="T878" t="n">
        <v>0</v>
      </c>
      <c r="U878" t="n">
        <v>0</v>
      </c>
      <c r="V878" s="2" t="inlineStr"/>
    </row>
    <row r="879" ht="15" customHeight="1">
      <c r="A879" t="inlineStr">
        <is>
          <t>A 36768-2026</t>
        </is>
      </c>
      <c r="B879" t="inlineStr">
        <is>
          <t>avverkningsanmälan</t>
        </is>
      </c>
      <c r="C879" t="inlineStr">
        <is>
          <t>Föryngringsavverkning</t>
        </is>
      </c>
      <c r="D879" s="1" t="n">
        <v>46272</v>
      </c>
      <c r="E879" s="1" t="n">
        <v>46323</v>
      </c>
      <c r="F879" t="inlineStr">
        <is>
          <t>KALMAR LÄN</t>
        </is>
      </c>
      <c r="G879" t="inlineStr">
        <is>
          <t>VÄSTERVIK</t>
        </is>
      </c>
      <c r="I879" t="n">
        <v>1.5</v>
      </c>
      <c r="J879" t="n">
        <v>0</v>
      </c>
      <c r="K879" t="n">
        <v>0</v>
      </c>
      <c r="L879" t="n">
        <v>0</v>
      </c>
      <c r="M879" t="n">
        <v>0</v>
      </c>
      <c r="N879" t="n">
        <v>0</v>
      </c>
      <c r="O879" t="n">
        <v>0</v>
      </c>
      <c r="P879" t="n">
        <v>0</v>
      </c>
      <c r="Q879" t="n">
        <v>0</v>
      </c>
      <c r="R879" t="n">
        <v>0</v>
      </c>
      <c r="S879" t="n">
        <v>0</v>
      </c>
      <c r="T879" t="n">
        <v>0</v>
      </c>
      <c r="U879" t="n">
        <v>0</v>
      </c>
      <c r="V879" s="2" t="inlineStr"/>
    </row>
    <row r="880" ht="15" customHeight="1">
      <c r="A880" t="inlineStr">
        <is>
          <t>A 36770-2026</t>
        </is>
      </c>
      <c r="B880" t="inlineStr">
        <is>
          <t>avverkningsanmälan</t>
        </is>
      </c>
      <c r="C880" t="inlineStr">
        <is>
          <t>Föryngringsavverkning</t>
        </is>
      </c>
      <c r="D880" s="1" t="n">
        <v>46272</v>
      </c>
      <c r="E880" s="1" t="n">
        <v>46323</v>
      </c>
      <c r="F880" t="inlineStr">
        <is>
          <t>KALMAR LÄN</t>
        </is>
      </c>
      <c r="G880" t="inlineStr">
        <is>
          <t>VÄSTERVIK</t>
        </is>
      </c>
      <c r="I880" t="n">
        <v>0.5</v>
      </c>
      <c r="J880" t="n">
        <v>0</v>
      </c>
      <c r="K880" t="n">
        <v>0</v>
      </c>
      <c r="L880" t="n">
        <v>0</v>
      </c>
      <c r="M880" t="n">
        <v>0</v>
      </c>
      <c r="N880" t="n">
        <v>0</v>
      </c>
      <c r="O880" t="n">
        <v>0</v>
      </c>
      <c r="P880" t="n">
        <v>0</v>
      </c>
      <c r="Q880" t="n">
        <v>0</v>
      </c>
      <c r="R880" t="n">
        <v>0</v>
      </c>
      <c r="S880" t="n">
        <v>0</v>
      </c>
      <c r="T880" t="n">
        <v>0</v>
      </c>
      <c r="U880" t="n">
        <v>0</v>
      </c>
      <c r="V880" s="2" t="inlineStr"/>
    </row>
    <row r="881" ht="15" customHeight="1">
      <c r="A881" t="inlineStr">
        <is>
          <t>A 39983-2024</t>
        </is>
      </c>
      <c r="B881" t="inlineStr">
        <is>
          <t>avverkningsanmälan</t>
        </is>
      </c>
      <c r="C881" t="inlineStr">
        <is>
          <t>Föryngringsavverkning</t>
        </is>
      </c>
      <c r="D881" s="1" t="n">
        <v>45553</v>
      </c>
      <c r="E881" s="1" t="n">
        <v>46323</v>
      </c>
      <c r="F881" t="inlineStr">
        <is>
          <t>KALMAR LÄN</t>
        </is>
      </c>
      <c r="G881" t="inlineStr">
        <is>
          <t>VÄSTERVIK</t>
        </is>
      </c>
      <c r="I881" t="n">
        <v>0.9</v>
      </c>
      <c r="J881" t="n">
        <v>0</v>
      </c>
      <c r="K881" t="n">
        <v>0</v>
      </c>
      <c r="L881" t="n">
        <v>0</v>
      </c>
      <c r="M881" t="n">
        <v>0</v>
      </c>
      <c r="N881" t="n">
        <v>0</v>
      </c>
      <c r="O881" t="n">
        <v>0</v>
      </c>
      <c r="P881" t="n">
        <v>0</v>
      </c>
      <c r="Q881" t="n">
        <v>0</v>
      </c>
      <c r="R881" t="n">
        <v>0</v>
      </c>
      <c r="S881" t="n">
        <v>0</v>
      </c>
      <c r="T881" t="n">
        <v>0</v>
      </c>
      <c r="U881" t="n">
        <v>0</v>
      </c>
      <c r="V881" s="2" t="inlineStr"/>
    </row>
    <row r="882" ht="15" customHeight="1">
      <c r="A882" t="inlineStr">
        <is>
          <t>A 29678-2025</t>
        </is>
      </c>
      <c r="B882" t="inlineStr">
        <is>
          <t>avverkningsanmälan</t>
        </is>
      </c>
      <c r="C882" t="inlineStr">
        <is>
          <t>Föryngringsavverkning</t>
        </is>
      </c>
      <c r="D882" s="1" t="n">
        <v>45825</v>
      </c>
      <c r="E882" s="1" t="n">
        <v>46323</v>
      </c>
      <c r="F882" t="inlineStr">
        <is>
          <t>KALMAR LÄN</t>
        </is>
      </c>
      <c r="G882" t="inlineStr">
        <is>
          <t>VÄSTERVIK</t>
        </is>
      </c>
      <c r="I882" t="n">
        <v>1.6</v>
      </c>
      <c r="J882" t="n">
        <v>0</v>
      </c>
      <c r="K882" t="n">
        <v>0</v>
      </c>
      <c r="L882" t="n">
        <v>0</v>
      </c>
      <c r="M882" t="n">
        <v>0</v>
      </c>
      <c r="N882" t="n">
        <v>0</v>
      </c>
      <c r="O882" t="n">
        <v>0</v>
      </c>
      <c r="P882" t="n">
        <v>0</v>
      </c>
      <c r="Q882" t="n">
        <v>0</v>
      </c>
      <c r="R882" t="n">
        <v>0</v>
      </c>
      <c r="S882" t="n">
        <v>0</v>
      </c>
      <c r="T882" t="n">
        <v>0</v>
      </c>
      <c r="U882" t="n">
        <v>0</v>
      </c>
      <c r="V882" s="2" t="inlineStr"/>
    </row>
    <row r="883" ht="15" customHeight="1">
      <c r="A883" t="inlineStr">
        <is>
          <t>A 2314-2023</t>
        </is>
      </c>
      <c r="B883" t="inlineStr">
        <is>
          <t>avverkningsanmälan</t>
        </is>
      </c>
      <c r="C883" t="inlineStr">
        <is>
          <t>Föryngringsavverkning</t>
        </is>
      </c>
      <c r="D883" s="1" t="n">
        <v>44942</v>
      </c>
      <c r="E883" s="1" t="n">
        <v>46323</v>
      </c>
      <c r="F883" t="inlineStr">
        <is>
          <t>KALMAR LÄN</t>
        </is>
      </c>
      <c r="G883" t="inlineStr">
        <is>
          <t>VÄSTERVIK</t>
        </is>
      </c>
      <c r="I883" t="n">
        <v>2.3</v>
      </c>
      <c r="J883" t="n">
        <v>0</v>
      </c>
      <c r="K883" t="n">
        <v>0</v>
      </c>
      <c r="L883" t="n">
        <v>0</v>
      </c>
      <c r="M883" t="n">
        <v>0</v>
      </c>
      <c r="N883" t="n">
        <v>0</v>
      </c>
      <c r="O883" t="n">
        <v>0</v>
      </c>
      <c r="P883" t="n">
        <v>0</v>
      </c>
      <c r="Q883" t="n">
        <v>0</v>
      </c>
      <c r="R883" t="n">
        <v>0</v>
      </c>
      <c r="S883" t="n">
        <v>0</v>
      </c>
      <c r="T883" t="n">
        <v>0</v>
      </c>
      <c r="U883" t="n">
        <v>0</v>
      </c>
      <c r="V883" s="2" t="inlineStr"/>
    </row>
    <row r="884" ht="15" customHeight="1">
      <c r="A884" t="inlineStr">
        <is>
          <t>A 36764-2026</t>
        </is>
      </c>
      <c r="B884" t="inlineStr">
        <is>
          <t>avverkningsanmälan</t>
        </is>
      </c>
      <c r="C884" t="inlineStr">
        <is>
          <t>Föryngringsavverkning</t>
        </is>
      </c>
      <c r="D884" s="1" t="n">
        <v>46272</v>
      </c>
      <c r="E884" s="1" t="n">
        <v>46323</v>
      </c>
      <c r="F884" t="inlineStr">
        <is>
          <t>KALMAR LÄN</t>
        </is>
      </c>
      <c r="G884" t="inlineStr">
        <is>
          <t>VÄSTERVIK</t>
        </is>
      </c>
      <c r="I884" t="n">
        <v>1.5</v>
      </c>
      <c r="J884" t="n">
        <v>0</v>
      </c>
      <c r="K884" t="n">
        <v>0</v>
      </c>
      <c r="L884" t="n">
        <v>0</v>
      </c>
      <c r="M884" t="n">
        <v>0</v>
      </c>
      <c r="N884" t="n">
        <v>0</v>
      </c>
      <c r="O884" t="n">
        <v>0</v>
      </c>
      <c r="P884" t="n">
        <v>0</v>
      </c>
      <c r="Q884" t="n">
        <v>0</v>
      </c>
      <c r="R884" t="n">
        <v>0</v>
      </c>
      <c r="S884" t="n">
        <v>0</v>
      </c>
      <c r="T884" t="n">
        <v>0</v>
      </c>
      <c r="U884" t="n">
        <v>0</v>
      </c>
      <c r="V884" s="2" t="inlineStr"/>
    </row>
    <row r="885" ht="15" customHeight="1">
      <c r="A885" t="inlineStr">
        <is>
          <t>A 36605-2026</t>
        </is>
      </c>
      <c r="B885" t="inlineStr">
        <is>
          <t>avverkningsanmälan</t>
        </is>
      </c>
      <c r="C885" t="inlineStr">
        <is>
          <t>Föryngringsavverkning</t>
        </is>
      </c>
      <c r="D885" s="1" t="n">
        <v>46269</v>
      </c>
      <c r="E885" s="1" t="n">
        <v>46323</v>
      </c>
      <c r="F885" t="inlineStr">
        <is>
          <t>KALMAR LÄN</t>
        </is>
      </c>
      <c r="G885" t="inlineStr">
        <is>
          <t>VÄSTERVIK</t>
        </is>
      </c>
      <c r="I885" t="n">
        <v>4.2</v>
      </c>
      <c r="J885" t="n">
        <v>0</v>
      </c>
      <c r="K885" t="n">
        <v>0</v>
      </c>
      <c r="L885" t="n">
        <v>0</v>
      </c>
      <c r="M885" t="n">
        <v>0</v>
      </c>
      <c r="N885" t="n">
        <v>0</v>
      </c>
      <c r="O885" t="n">
        <v>0</v>
      </c>
      <c r="P885" t="n">
        <v>0</v>
      </c>
      <c r="Q885" t="n">
        <v>0</v>
      </c>
      <c r="R885" t="n">
        <v>0</v>
      </c>
      <c r="S885" t="n">
        <v>0</v>
      </c>
      <c r="T885" t="n">
        <v>0</v>
      </c>
      <c r="U885" t="n">
        <v>0</v>
      </c>
      <c r="V885" s="2" t="inlineStr"/>
    </row>
    <row r="886" ht="15" customHeight="1">
      <c r="A886" t="inlineStr">
        <is>
          <t>A 38040-2023</t>
        </is>
      </c>
      <c r="B886" t="inlineStr">
        <is>
          <t>avverkningsanmälan</t>
        </is>
      </c>
      <c r="C886" t="inlineStr">
        <is>
          <t>Föryngringsavverkning</t>
        </is>
      </c>
      <c r="D886" s="1" t="n">
        <v>45160</v>
      </c>
      <c r="E886" s="1" t="n">
        <v>46323</v>
      </c>
      <c r="F886" t="inlineStr">
        <is>
          <t>KALMAR LÄN</t>
        </is>
      </c>
      <c r="G886" t="inlineStr">
        <is>
          <t>VÄSTERVIK</t>
        </is>
      </c>
      <c r="H886" t="inlineStr">
        <is>
          <t>Sveaskog</t>
        </is>
      </c>
      <c r="I886" t="n">
        <v>1</v>
      </c>
      <c r="J886" t="n">
        <v>0</v>
      </c>
      <c r="K886" t="n">
        <v>0</v>
      </c>
      <c r="L886" t="n">
        <v>0</v>
      </c>
      <c r="M886" t="n">
        <v>0</v>
      </c>
      <c r="N886" t="n">
        <v>0</v>
      </c>
      <c r="O886" t="n">
        <v>0</v>
      </c>
      <c r="P886" t="n">
        <v>0</v>
      </c>
      <c r="Q886" t="n">
        <v>0</v>
      </c>
      <c r="R886" t="n">
        <v>0</v>
      </c>
      <c r="S886" t="n">
        <v>0</v>
      </c>
      <c r="T886" t="n">
        <v>0</v>
      </c>
      <c r="U886" t="n">
        <v>0</v>
      </c>
      <c r="V886" s="2" t="inlineStr"/>
    </row>
    <row r="887" ht="15" customHeight="1">
      <c r="A887" t="inlineStr">
        <is>
          <t>A 55609-2024</t>
        </is>
      </c>
      <c r="B887" t="inlineStr">
        <is>
          <t>avverkningsanmälan</t>
        </is>
      </c>
      <c r="C887" t="inlineStr">
        <is>
          <t>Föryngringsavverkning</t>
        </is>
      </c>
      <c r="D887" s="1" t="n">
        <v>45622</v>
      </c>
      <c r="E887" s="1" t="n">
        <v>46323</v>
      </c>
      <c r="F887" t="inlineStr">
        <is>
          <t>KALMAR LÄN</t>
        </is>
      </c>
      <c r="G887" t="inlineStr">
        <is>
          <t>VÄSTERVIK</t>
        </is>
      </c>
      <c r="I887" t="n">
        <v>1.1</v>
      </c>
      <c r="J887" t="n">
        <v>0</v>
      </c>
      <c r="K887" t="n">
        <v>0</v>
      </c>
      <c r="L887" t="n">
        <v>0</v>
      </c>
      <c r="M887" t="n">
        <v>0</v>
      </c>
      <c r="N887" t="n">
        <v>0</v>
      </c>
      <c r="O887" t="n">
        <v>0</v>
      </c>
      <c r="P887" t="n">
        <v>0</v>
      </c>
      <c r="Q887" t="n">
        <v>0</v>
      </c>
      <c r="R887" t="n">
        <v>0</v>
      </c>
      <c r="S887" t="n">
        <v>0</v>
      </c>
      <c r="T887" t="n">
        <v>0</v>
      </c>
      <c r="U887" t="n">
        <v>0</v>
      </c>
      <c r="V887" s="2" t="inlineStr"/>
    </row>
    <row r="888" ht="15" customHeight="1">
      <c r="A888" t="inlineStr">
        <is>
          <t>A 33208-2022</t>
        </is>
      </c>
      <c r="B888" t="inlineStr">
        <is>
          <t>avverkningsanmälan</t>
        </is>
      </c>
      <c r="C888" t="inlineStr">
        <is>
          <t>Föryngringsavverkning</t>
        </is>
      </c>
      <c r="D888" s="1" t="n">
        <v>44785</v>
      </c>
      <c r="E888" s="1" t="n">
        <v>46323</v>
      </c>
      <c r="F888" t="inlineStr">
        <is>
          <t>KALMAR LÄN</t>
        </is>
      </c>
      <c r="G888" t="inlineStr">
        <is>
          <t>VÄSTERVIK</t>
        </is>
      </c>
      <c r="I888" t="n">
        <v>2.6</v>
      </c>
      <c r="J888" t="n">
        <v>0</v>
      </c>
      <c r="K888" t="n">
        <v>0</v>
      </c>
      <c r="L888" t="n">
        <v>0</v>
      </c>
      <c r="M888" t="n">
        <v>0</v>
      </c>
      <c r="N888" t="n">
        <v>0</v>
      </c>
      <c r="O888" t="n">
        <v>0</v>
      </c>
      <c r="P888" t="n">
        <v>0</v>
      </c>
      <c r="Q888" t="n">
        <v>0</v>
      </c>
      <c r="R888" t="n">
        <v>0</v>
      </c>
      <c r="S888" t="n">
        <v>0</v>
      </c>
      <c r="T888" t="n">
        <v>0</v>
      </c>
      <c r="U888" t="n">
        <v>0</v>
      </c>
      <c r="V888" s="2" t="inlineStr"/>
    </row>
    <row r="889" ht="15" customHeight="1">
      <c r="A889" t="inlineStr">
        <is>
          <t>A 12652-2022</t>
        </is>
      </c>
      <c r="B889" t="inlineStr">
        <is>
          <t>avverkningsanmälan</t>
        </is>
      </c>
      <c r="C889" t="inlineStr">
        <is>
          <t>Föryngringsavverkning</t>
        </is>
      </c>
      <c r="D889" s="1" t="n">
        <v>44641</v>
      </c>
      <c r="E889" s="1" t="n">
        <v>46323</v>
      </c>
      <c r="F889" t="inlineStr">
        <is>
          <t>KALMAR LÄN</t>
        </is>
      </c>
      <c r="G889" t="inlineStr">
        <is>
          <t>VÄSTERVIK</t>
        </is>
      </c>
      <c r="H889" t="inlineStr">
        <is>
          <t>Holmen skog AB</t>
        </is>
      </c>
      <c r="I889" t="n">
        <v>1.1</v>
      </c>
      <c r="J889" t="n">
        <v>0</v>
      </c>
      <c r="K889" t="n">
        <v>0</v>
      </c>
      <c r="L889" t="n">
        <v>0</v>
      </c>
      <c r="M889" t="n">
        <v>0</v>
      </c>
      <c r="N889" t="n">
        <v>0</v>
      </c>
      <c r="O889" t="n">
        <v>0</v>
      </c>
      <c r="P889" t="n">
        <v>0</v>
      </c>
      <c r="Q889" t="n">
        <v>0</v>
      </c>
      <c r="R889" t="n">
        <v>0</v>
      </c>
      <c r="S889" t="n">
        <v>0</v>
      </c>
      <c r="T889" t="n">
        <v>0</v>
      </c>
      <c r="U889" t="n">
        <v>0</v>
      </c>
      <c r="V889" s="2" t="inlineStr"/>
    </row>
    <row r="890" ht="15" customHeight="1">
      <c r="A890" t="inlineStr">
        <is>
          <t>A 29420-2024</t>
        </is>
      </c>
      <c r="B890" t="inlineStr">
        <is>
          <t>avverkningsanmälan</t>
        </is>
      </c>
      <c r="C890" t="inlineStr">
        <is>
          <t>Föryngringsavverkning</t>
        </is>
      </c>
      <c r="D890" s="1" t="n">
        <v>45483</v>
      </c>
      <c r="E890" s="1" t="n">
        <v>46323</v>
      </c>
      <c r="F890" t="inlineStr">
        <is>
          <t>KALMAR LÄN</t>
        </is>
      </c>
      <c r="G890" t="inlineStr">
        <is>
          <t>VÄSTERVIK</t>
        </is>
      </c>
      <c r="I890" t="n">
        <v>1.3</v>
      </c>
      <c r="J890" t="n">
        <v>0</v>
      </c>
      <c r="K890" t="n">
        <v>0</v>
      </c>
      <c r="L890" t="n">
        <v>0</v>
      </c>
      <c r="M890" t="n">
        <v>0</v>
      </c>
      <c r="N890" t="n">
        <v>0</v>
      </c>
      <c r="O890" t="n">
        <v>0</v>
      </c>
      <c r="P890" t="n">
        <v>0</v>
      </c>
      <c r="Q890" t="n">
        <v>0</v>
      </c>
      <c r="R890" t="n">
        <v>0</v>
      </c>
      <c r="S890" t="n">
        <v>0</v>
      </c>
      <c r="T890" t="n">
        <v>0</v>
      </c>
      <c r="U890" t="n">
        <v>0</v>
      </c>
      <c r="V890" s="2" t="inlineStr"/>
    </row>
    <row r="891" ht="15" customHeight="1">
      <c r="A891" t="inlineStr">
        <is>
          <t>A 17307-2023</t>
        </is>
      </c>
      <c r="B891" t="inlineStr">
        <is>
          <t>avverkningsanmälan</t>
        </is>
      </c>
      <c r="C891" t="inlineStr">
        <is>
          <t>Föryngringsavverkning</t>
        </is>
      </c>
      <c r="D891" s="1" t="n">
        <v>45035</v>
      </c>
      <c r="E891" s="1" t="n">
        <v>46323</v>
      </c>
      <c r="F891" t="inlineStr">
        <is>
          <t>KALMAR LÄN</t>
        </is>
      </c>
      <c r="G891" t="inlineStr">
        <is>
          <t>VÄSTERVIK</t>
        </is>
      </c>
      <c r="I891" t="n">
        <v>0</v>
      </c>
      <c r="J891" t="n">
        <v>0</v>
      </c>
      <c r="K891" t="n">
        <v>0</v>
      </c>
      <c r="L891" t="n">
        <v>0</v>
      </c>
      <c r="M891" t="n">
        <v>0</v>
      </c>
      <c r="N891" t="n">
        <v>0</v>
      </c>
      <c r="O891" t="n">
        <v>0</v>
      </c>
      <c r="P891" t="n">
        <v>0</v>
      </c>
      <c r="Q891" t="n">
        <v>0</v>
      </c>
      <c r="R891" t="n">
        <v>0</v>
      </c>
      <c r="S891" t="n">
        <v>0</v>
      </c>
      <c r="T891" t="n">
        <v>0</v>
      </c>
      <c r="U891" t="n">
        <v>0</v>
      </c>
      <c r="V891" s="2" t="inlineStr"/>
    </row>
    <row r="892" ht="15" customHeight="1">
      <c r="A892" t="inlineStr">
        <is>
          <t>A 59331-2023</t>
        </is>
      </c>
      <c r="B892" t="inlineStr">
        <is>
          <t>avverkningsanmälan</t>
        </is>
      </c>
      <c r="C892" t="inlineStr">
        <is>
          <t>Föryngringsavverkning</t>
        </is>
      </c>
      <c r="D892" s="1" t="n">
        <v>45253</v>
      </c>
      <c r="E892" s="1" t="n">
        <v>46323</v>
      </c>
      <c r="F892" t="inlineStr">
        <is>
          <t>KALMAR LÄN</t>
        </is>
      </c>
      <c r="G892" t="inlineStr">
        <is>
          <t>VÄSTERVIK</t>
        </is>
      </c>
      <c r="I892" t="n">
        <v>3.9</v>
      </c>
      <c r="J892" t="n">
        <v>0</v>
      </c>
      <c r="K892" t="n">
        <v>0</v>
      </c>
      <c r="L892" t="n">
        <v>0</v>
      </c>
      <c r="M892" t="n">
        <v>0</v>
      </c>
      <c r="N892" t="n">
        <v>0</v>
      </c>
      <c r="O892" t="n">
        <v>0</v>
      </c>
      <c r="P892" t="n">
        <v>0</v>
      </c>
      <c r="Q892" t="n">
        <v>0</v>
      </c>
      <c r="R892" t="n">
        <v>0</v>
      </c>
      <c r="S892" t="n">
        <v>0</v>
      </c>
      <c r="T892" t="n">
        <v>0</v>
      </c>
      <c r="U892" t="n">
        <v>0</v>
      </c>
      <c r="V892" s="2" t="inlineStr"/>
    </row>
    <row r="893" ht="15" customHeight="1">
      <c r="A893" t="inlineStr">
        <is>
          <t>A 30644-2025</t>
        </is>
      </c>
      <c r="B893" t="inlineStr">
        <is>
          <t>avverkningsanmälan</t>
        </is>
      </c>
      <c r="C893" t="inlineStr">
        <is>
          <t>Föryngringsavverkning</t>
        </is>
      </c>
      <c r="D893" s="1" t="n">
        <v>45831</v>
      </c>
      <c r="E893" s="1" t="n">
        <v>46323</v>
      </c>
      <c r="F893" t="inlineStr">
        <is>
          <t>KALMAR LÄN</t>
        </is>
      </c>
      <c r="G893" t="inlineStr">
        <is>
          <t>VÄSTERVIK</t>
        </is>
      </c>
      <c r="I893" t="n">
        <v>0.8</v>
      </c>
      <c r="J893" t="n">
        <v>0</v>
      </c>
      <c r="K893" t="n">
        <v>0</v>
      </c>
      <c r="L893" t="n">
        <v>0</v>
      </c>
      <c r="M893" t="n">
        <v>0</v>
      </c>
      <c r="N893" t="n">
        <v>0</v>
      </c>
      <c r="O893" t="n">
        <v>0</v>
      </c>
      <c r="P893" t="n">
        <v>0</v>
      </c>
      <c r="Q893" t="n">
        <v>0</v>
      </c>
      <c r="R893" t="n">
        <v>0</v>
      </c>
      <c r="S893" t="n">
        <v>0</v>
      </c>
      <c r="T893" t="n">
        <v>0</v>
      </c>
      <c r="U893" t="n">
        <v>0</v>
      </c>
      <c r="V893" s="2" t="inlineStr"/>
    </row>
    <row r="894" ht="15" customHeight="1">
      <c r="A894" t="inlineStr">
        <is>
          <t>A 35667-2023</t>
        </is>
      </c>
      <c r="B894" t="inlineStr">
        <is>
          <t>avverkningsanmälan</t>
        </is>
      </c>
      <c r="C894" t="inlineStr">
        <is>
          <t>Föryngringsavverkning</t>
        </is>
      </c>
      <c r="D894" s="1" t="n">
        <v>45147</v>
      </c>
      <c r="E894" s="1" t="n">
        <v>46323</v>
      </c>
      <c r="F894" t="inlineStr">
        <is>
          <t>KALMAR LÄN</t>
        </is>
      </c>
      <c r="G894" t="inlineStr">
        <is>
          <t>VÄSTERVIK</t>
        </is>
      </c>
      <c r="I894" t="n">
        <v>1.8</v>
      </c>
      <c r="J894" t="n">
        <v>0</v>
      </c>
      <c r="K894" t="n">
        <v>0</v>
      </c>
      <c r="L894" t="n">
        <v>0</v>
      </c>
      <c r="M894" t="n">
        <v>0</v>
      </c>
      <c r="N894" t="n">
        <v>0</v>
      </c>
      <c r="O894" t="n">
        <v>0</v>
      </c>
      <c r="P894" t="n">
        <v>0</v>
      </c>
      <c r="Q894" t="n">
        <v>0</v>
      </c>
      <c r="R894" t="n">
        <v>0</v>
      </c>
      <c r="S894" t="n">
        <v>0</v>
      </c>
      <c r="T894" t="n">
        <v>0</v>
      </c>
      <c r="U894" t="n">
        <v>0</v>
      </c>
      <c r="V894" s="2" t="inlineStr"/>
    </row>
    <row r="895" ht="15" customHeight="1">
      <c r="A895" t="inlineStr">
        <is>
          <t>A 15875-2023</t>
        </is>
      </c>
      <c r="B895" t="inlineStr">
        <is>
          <t>avverkningsanmälan</t>
        </is>
      </c>
      <c r="C895" t="inlineStr">
        <is>
          <t>Föryngringsavverkning</t>
        </is>
      </c>
      <c r="D895" s="1" t="n">
        <v>45022</v>
      </c>
      <c r="E895" s="1" t="n">
        <v>46323</v>
      </c>
      <c r="F895" t="inlineStr">
        <is>
          <t>KALMAR LÄN</t>
        </is>
      </c>
      <c r="G895" t="inlineStr">
        <is>
          <t>VÄSTERVIK</t>
        </is>
      </c>
      <c r="H895" t="inlineStr">
        <is>
          <t>Kyrkan</t>
        </is>
      </c>
      <c r="I895" t="n">
        <v>3.2</v>
      </c>
      <c r="J895" t="n">
        <v>0</v>
      </c>
      <c r="K895" t="n">
        <v>0</v>
      </c>
      <c r="L895" t="n">
        <v>0</v>
      </c>
      <c r="M895" t="n">
        <v>0</v>
      </c>
      <c r="N895" t="n">
        <v>0</v>
      </c>
      <c r="O895" t="n">
        <v>0</v>
      </c>
      <c r="P895" t="n">
        <v>0</v>
      </c>
      <c r="Q895" t="n">
        <v>0</v>
      </c>
      <c r="R895" t="n">
        <v>0</v>
      </c>
      <c r="S895" t="n">
        <v>0</v>
      </c>
      <c r="T895" t="n">
        <v>0</v>
      </c>
      <c r="U895" t="n">
        <v>0</v>
      </c>
      <c r="V895" s="2" t="inlineStr"/>
    </row>
    <row r="896" ht="15" customHeight="1">
      <c r="A896" t="inlineStr">
        <is>
          <t>A 60478-2024</t>
        </is>
      </c>
      <c r="B896" t="inlineStr">
        <is>
          <t>avverkningsanmälan</t>
        </is>
      </c>
      <c r="C896" t="inlineStr">
        <is>
          <t>Avverkning för annat ändamål</t>
        </is>
      </c>
      <c r="D896" s="1" t="n">
        <v>45643</v>
      </c>
      <c r="E896" s="1" t="n">
        <v>46323</v>
      </c>
      <c r="F896" t="inlineStr">
        <is>
          <t>KALMAR LÄN</t>
        </is>
      </c>
      <c r="G896" t="inlineStr">
        <is>
          <t>VÄSTERVIK</t>
        </is>
      </c>
      <c r="I896" t="n">
        <v>1.7</v>
      </c>
      <c r="J896" t="n">
        <v>0</v>
      </c>
      <c r="K896" t="n">
        <v>0</v>
      </c>
      <c r="L896" t="n">
        <v>0</v>
      </c>
      <c r="M896" t="n">
        <v>0</v>
      </c>
      <c r="N896" t="n">
        <v>0</v>
      </c>
      <c r="O896" t="n">
        <v>0</v>
      </c>
      <c r="P896" t="n">
        <v>0</v>
      </c>
      <c r="Q896" t="n">
        <v>0</v>
      </c>
      <c r="R896" t="n">
        <v>0</v>
      </c>
      <c r="S896" t="n">
        <v>0</v>
      </c>
      <c r="T896" t="n">
        <v>0</v>
      </c>
      <c r="U896" t="n">
        <v>0</v>
      </c>
      <c r="V896" s="2" t="inlineStr"/>
    </row>
    <row r="897" ht="15" customHeight="1">
      <c r="A897" t="inlineStr">
        <is>
          <t>A 43535-2026</t>
        </is>
      </c>
      <c r="B897" t="inlineStr">
        <is>
          <t>avverkningsanmälan</t>
        </is>
      </c>
      <c r="C897" t="inlineStr">
        <is>
          <t>Föryngringsavverkning</t>
        </is>
      </c>
      <c r="D897" s="1" t="n">
        <v>46315</v>
      </c>
      <c r="E897" s="1" t="n">
        <v>46323</v>
      </c>
      <c r="F897" t="inlineStr">
        <is>
          <t>KALMAR LÄN</t>
        </is>
      </c>
      <c r="G897" t="inlineStr">
        <is>
          <t>VÄSTERVIK</t>
        </is>
      </c>
      <c r="H897" t="inlineStr">
        <is>
          <t>Sveaskog</t>
        </is>
      </c>
      <c r="I897" t="n">
        <v>2.4</v>
      </c>
      <c r="J897" t="n">
        <v>0</v>
      </c>
      <c r="K897" t="n">
        <v>0</v>
      </c>
      <c r="L897" t="n">
        <v>0</v>
      </c>
      <c r="M897" t="n">
        <v>0</v>
      </c>
      <c r="N897" t="n">
        <v>0</v>
      </c>
      <c r="O897" t="n">
        <v>0</v>
      </c>
      <c r="P897" t="n">
        <v>0</v>
      </c>
      <c r="Q897" t="n">
        <v>0</v>
      </c>
      <c r="R897" t="n">
        <v>0</v>
      </c>
      <c r="S897" t="n">
        <v>0</v>
      </c>
      <c r="T897" t="n">
        <v>0</v>
      </c>
      <c r="U897" t="n">
        <v>0</v>
      </c>
      <c r="V897" s="2" t="inlineStr"/>
    </row>
    <row r="898" ht="15" customHeight="1">
      <c r="A898" t="inlineStr">
        <is>
          <t>A 14385-2023</t>
        </is>
      </c>
      <c r="B898" t="inlineStr">
        <is>
          <t>avverkningsanmälan</t>
        </is>
      </c>
      <c r="C898" t="inlineStr">
        <is>
          <t>Föryngringsavverkning</t>
        </is>
      </c>
      <c r="D898" s="1" t="n">
        <v>45012</v>
      </c>
      <c r="E898" s="1" t="n">
        <v>46323</v>
      </c>
      <c r="F898" t="inlineStr">
        <is>
          <t>KALMAR LÄN</t>
        </is>
      </c>
      <c r="G898" t="inlineStr">
        <is>
          <t>VÄSTERVIK</t>
        </is>
      </c>
      <c r="I898" t="n">
        <v>0.9</v>
      </c>
      <c r="J898" t="n">
        <v>0</v>
      </c>
      <c r="K898" t="n">
        <v>0</v>
      </c>
      <c r="L898" t="n">
        <v>0</v>
      </c>
      <c r="M898" t="n">
        <v>0</v>
      </c>
      <c r="N898" t="n">
        <v>0</v>
      </c>
      <c r="O898" t="n">
        <v>0</v>
      </c>
      <c r="P898" t="n">
        <v>0</v>
      </c>
      <c r="Q898" t="n">
        <v>0</v>
      </c>
      <c r="R898" t="n">
        <v>0</v>
      </c>
      <c r="S898" t="n">
        <v>0</v>
      </c>
      <c r="T898" t="n">
        <v>0</v>
      </c>
      <c r="U898" t="n">
        <v>0</v>
      </c>
      <c r="V898" s="2" t="inlineStr"/>
    </row>
    <row r="899" ht="15" customHeight="1">
      <c r="A899" t="inlineStr">
        <is>
          <t>A 20965-2026</t>
        </is>
      </c>
      <c r="B899" t="inlineStr">
        <is>
          <t>avverkningsanmälan</t>
        </is>
      </c>
      <c r="C899" t="inlineStr">
        <is>
          <t>Föryngringsavverkning</t>
        </is>
      </c>
      <c r="D899" s="1" t="n">
        <v>46142</v>
      </c>
      <c r="E899" s="1" t="n">
        <v>46323</v>
      </c>
      <c r="F899" t="inlineStr">
        <is>
          <t>KALMAR LÄN</t>
        </is>
      </c>
      <c r="G899" t="inlineStr">
        <is>
          <t>VÄSTERVIK</t>
        </is>
      </c>
      <c r="H899" t="inlineStr">
        <is>
          <t>Sveaskog</t>
        </is>
      </c>
      <c r="I899" t="n">
        <v>13.5</v>
      </c>
      <c r="J899" t="n">
        <v>0</v>
      </c>
      <c r="K899" t="n">
        <v>0</v>
      </c>
      <c r="L899" t="n">
        <v>0</v>
      </c>
      <c r="M899" t="n">
        <v>0</v>
      </c>
      <c r="N899" t="n">
        <v>0</v>
      </c>
      <c r="O899" t="n">
        <v>0</v>
      </c>
      <c r="P899" t="n">
        <v>0</v>
      </c>
      <c r="Q899" t="n">
        <v>0</v>
      </c>
      <c r="R899" t="n">
        <v>0</v>
      </c>
      <c r="S899" t="n">
        <v>0</v>
      </c>
      <c r="T899" t="n">
        <v>0</v>
      </c>
      <c r="U899" t="n">
        <v>0</v>
      </c>
      <c r="V899" s="2" t="inlineStr"/>
    </row>
    <row r="900" ht="15" customHeight="1">
      <c r="A900" t="inlineStr">
        <is>
          <t>A 43543-2026</t>
        </is>
      </c>
      <c r="B900" t="inlineStr">
        <is>
          <t>avverkningsanmälan</t>
        </is>
      </c>
      <c r="C900" t="inlineStr">
        <is>
          <t>Föryngringsavverkning</t>
        </is>
      </c>
      <c r="D900" s="1" t="n">
        <v>46315</v>
      </c>
      <c r="E900" s="1" t="n">
        <v>46323</v>
      </c>
      <c r="F900" t="inlineStr">
        <is>
          <t>KALMAR LÄN</t>
        </is>
      </c>
      <c r="G900" t="inlineStr">
        <is>
          <t>VÄSTERVIK</t>
        </is>
      </c>
      <c r="H900" t="inlineStr">
        <is>
          <t>Sveaskog</t>
        </is>
      </c>
      <c r="I900" t="n">
        <v>7.4</v>
      </c>
      <c r="J900" t="n">
        <v>0</v>
      </c>
      <c r="K900" t="n">
        <v>0</v>
      </c>
      <c r="L900" t="n">
        <v>0</v>
      </c>
      <c r="M900" t="n">
        <v>0</v>
      </c>
      <c r="N900" t="n">
        <v>0</v>
      </c>
      <c r="O900" t="n">
        <v>0</v>
      </c>
      <c r="P900" t="n">
        <v>0</v>
      </c>
      <c r="Q900" t="n">
        <v>0</v>
      </c>
      <c r="R900" t="n">
        <v>0</v>
      </c>
      <c r="S900" t="n">
        <v>0</v>
      </c>
      <c r="T900" t="n">
        <v>0</v>
      </c>
      <c r="U900" t="n">
        <v>0</v>
      </c>
      <c r="V900" s="2" t="inlineStr"/>
    </row>
    <row r="901" ht="15" customHeight="1">
      <c r="A901" t="inlineStr">
        <is>
          <t>A 48446-2024</t>
        </is>
      </c>
      <c r="B901" t="inlineStr">
        <is>
          <t>avverkningsanmälan</t>
        </is>
      </c>
      <c r="C901" t="inlineStr">
        <is>
          <t>Föryngringsavverkning</t>
        </is>
      </c>
      <c r="D901" s="1" t="n">
        <v>45590</v>
      </c>
      <c r="E901" s="1" t="n">
        <v>46323</v>
      </c>
      <c r="F901" t="inlineStr">
        <is>
          <t>KALMAR LÄN</t>
        </is>
      </c>
      <c r="G901" t="inlineStr">
        <is>
          <t>VÄSTERVIK</t>
        </is>
      </c>
      <c r="I901" t="n">
        <v>0.5</v>
      </c>
      <c r="J901" t="n">
        <v>0</v>
      </c>
      <c r="K901" t="n">
        <v>0</v>
      </c>
      <c r="L901" t="n">
        <v>0</v>
      </c>
      <c r="M901" t="n">
        <v>0</v>
      </c>
      <c r="N901" t="n">
        <v>0</v>
      </c>
      <c r="O901" t="n">
        <v>0</v>
      </c>
      <c r="P901" t="n">
        <v>0</v>
      </c>
      <c r="Q901" t="n">
        <v>0</v>
      </c>
      <c r="R901" t="n">
        <v>0</v>
      </c>
      <c r="S901" t="n">
        <v>0</v>
      </c>
      <c r="T901" t="n">
        <v>0</v>
      </c>
      <c r="U901" t="n">
        <v>0</v>
      </c>
      <c r="V901" s="2" t="inlineStr"/>
    </row>
    <row r="902" ht="15" customHeight="1">
      <c r="A902" t="inlineStr">
        <is>
          <t>A 23873-2024</t>
        </is>
      </c>
      <c r="B902" t="inlineStr">
        <is>
          <t>avverkningsanmälan</t>
        </is>
      </c>
      <c r="C902" t="inlineStr">
        <is>
          <t>Föryngringsavverkning</t>
        </is>
      </c>
      <c r="D902" s="1" t="n">
        <v>45455</v>
      </c>
      <c r="E902" s="1" t="n">
        <v>46323</v>
      </c>
      <c r="F902" t="inlineStr">
        <is>
          <t>KALMAR LÄN</t>
        </is>
      </c>
      <c r="G902" t="inlineStr">
        <is>
          <t>VÄSTERVIK</t>
        </is>
      </c>
      <c r="H902" t="inlineStr">
        <is>
          <t>Övriga Aktiebolag</t>
        </is>
      </c>
      <c r="I902" t="n">
        <v>0.7</v>
      </c>
      <c r="J902" t="n">
        <v>0</v>
      </c>
      <c r="K902" t="n">
        <v>0</v>
      </c>
      <c r="L902" t="n">
        <v>0</v>
      </c>
      <c r="M902" t="n">
        <v>0</v>
      </c>
      <c r="N902" t="n">
        <v>0</v>
      </c>
      <c r="O902" t="n">
        <v>0</v>
      </c>
      <c r="P902" t="n">
        <v>0</v>
      </c>
      <c r="Q902" t="n">
        <v>0</v>
      </c>
      <c r="R902" t="n">
        <v>0</v>
      </c>
      <c r="S902" t="n">
        <v>0</v>
      </c>
      <c r="T902" t="n">
        <v>0</v>
      </c>
      <c r="U902" t="n">
        <v>0</v>
      </c>
      <c r="V902" s="2" t="inlineStr"/>
    </row>
    <row r="903" ht="15" customHeight="1">
      <c r="A903" t="inlineStr">
        <is>
          <t>A 24562-2024</t>
        </is>
      </c>
      <c r="B903" t="inlineStr">
        <is>
          <t>avverkningsanmälan</t>
        </is>
      </c>
      <c r="C903" t="inlineStr">
        <is>
          <t>Föryngringsavverkning</t>
        </is>
      </c>
      <c r="D903" s="1" t="n">
        <v>45460</v>
      </c>
      <c r="E903" s="1" t="n">
        <v>46323</v>
      </c>
      <c r="F903" t="inlineStr">
        <is>
          <t>KALMAR LÄN</t>
        </is>
      </c>
      <c r="G903" t="inlineStr">
        <is>
          <t>VÄSTERVIK</t>
        </is>
      </c>
      <c r="I903" t="n">
        <v>1.5</v>
      </c>
      <c r="J903" t="n">
        <v>0</v>
      </c>
      <c r="K903" t="n">
        <v>0</v>
      </c>
      <c r="L903" t="n">
        <v>0</v>
      </c>
      <c r="M903" t="n">
        <v>0</v>
      </c>
      <c r="N903" t="n">
        <v>0</v>
      </c>
      <c r="O903" t="n">
        <v>0</v>
      </c>
      <c r="P903" t="n">
        <v>0</v>
      </c>
      <c r="Q903" t="n">
        <v>0</v>
      </c>
      <c r="R903" t="n">
        <v>0</v>
      </c>
      <c r="S903" t="n">
        <v>0</v>
      </c>
      <c r="T903" t="n">
        <v>0</v>
      </c>
      <c r="U903" t="n">
        <v>0</v>
      </c>
      <c r="V903" s="2" t="inlineStr"/>
    </row>
    <row r="904" ht="15" customHeight="1">
      <c r="A904" t="inlineStr">
        <is>
          <t>A 10807-2023</t>
        </is>
      </c>
      <c r="B904" t="inlineStr">
        <is>
          <t>avverkningsanmälan</t>
        </is>
      </c>
      <c r="C904" t="inlineStr">
        <is>
          <t>Föryngringsavverkning</t>
        </is>
      </c>
      <c r="D904" s="1" t="n">
        <v>44989</v>
      </c>
      <c r="E904" s="1" t="n">
        <v>46323</v>
      </c>
      <c r="F904" t="inlineStr">
        <is>
          <t>KALMAR LÄN</t>
        </is>
      </c>
      <c r="G904" t="inlineStr">
        <is>
          <t>VÄSTERVIK</t>
        </is>
      </c>
      <c r="I904" t="n">
        <v>0.4</v>
      </c>
      <c r="J904" t="n">
        <v>0</v>
      </c>
      <c r="K904" t="n">
        <v>0</v>
      </c>
      <c r="L904" t="n">
        <v>0</v>
      </c>
      <c r="M904" t="n">
        <v>0</v>
      </c>
      <c r="N904" t="n">
        <v>0</v>
      </c>
      <c r="O904" t="n">
        <v>0</v>
      </c>
      <c r="P904" t="n">
        <v>0</v>
      </c>
      <c r="Q904" t="n">
        <v>0</v>
      </c>
      <c r="R904" t="n">
        <v>0</v>
      </c>
      <c r="S904" t="n">
        <v>0</v>
      </c>
      <c r="T904" t="n">
        <v>0</v>
      </c>
      <c r="U904" t="n">
        <v>0</v>
      </c>
      <c r="V904" s="2" t="inlineStr"/>
    </row>
    <row r="905" ht="15" customHeight="1">
      <c r="A905" t="inlineStr">
        <is>
          <t>A 43532-2026</t>
        </is>
      </c>
      <c r="B905" t="inlineStr">
        <is>
          <t>avverkningsanmälan</t>
        </is>
      </c>
      <c r="C905" t="inlineStr">
        <is>
          <t>Föryngringsavverkning</t>
        </is>
      </c>
      <c r="D905" s="1" t="n">
        <v>46315</v>
      </c>
      <c r="E905" s="1" t="n">
        <v>46323</v>
      </c>
      <c r="F905" t="inlineStr">
        <is>
          <t>KALMAR LÄN</t>
        </is>
      </c>
      <c r="G905" t="inlineStr">
        <is>
          <t>VÄSTERVIK</t>
        </is>
      </c>
      <c r="H905" t="inlineStr">
        <is>
          <t>Sveaskog</t>
        </is>
      </c>
      <c r="I905" t="n">
        <v>9.5</v>
      </c>
      <c r="J905" t="n">
        <v>0</v>
      </c>
      <c r="K905" t="n">
        <v>0</v>
      </c>
      <c r="L905" t="n">
        <v>0</v>
      </c>
      <c r="M905" t="n">
        <v>0</v>
      </c>
      <c r="N905" t="n">
        <v>0</v>
      </c>
      <c r="O905" t="n">
        <v>0</v>
      </c>
      <c r="P905" t="n">
        <v>0</v>
      </c>
      <c r="Q905" t="n">
        <v>0</v>
      </c>
      <c r="R905" t="n">
        <v>0</v>
      </c>
      <c r="S905" t="n">
        <v>0</v>
      </c>
      <c r="T905" t="n">
        <v>0</v>
      </c>
      <c r="U905" t="n">
        <v>0</v>
      </c>
      <c r="V905" s="2" t="inlineStr"/>
    </row>
    <row r="906" ht="15" customHeight="1">
      <c r="A906" t="inlineStr">
        <is>
          <t>A 43538-2026</t>
        </is>
      </c>
      <c r="B906" t="inlineStr">
        <is>
          <t>avverkningsanmälan</t>
        </is>
      </c>
      <c r="C906" t="inlineStr">
        <is>
          <t>Föryngringsavverkning</t>
        </is>
      </c>
      <c r="D906" s="1" t="n">
        <v>46315</v>
      </c>
      <c r="E906" s="1" t="n">
        <v>46323</v>
      </c>
      <c r="F906" t="inlineStr">
        <is>
          <t>KALMAR LÄN</t>
        </is>
      </c>
      <c r="G906" t="inlineStr">
        <is>
          <t>VÄSTERVIK</t>
        </is>
      </c>
      <c r="H906" t="inlineStr">
        <is>
          <t>Sveaskog</t>
        </is>
      </c>
      <c r="I906" t="n">
        <v>2.8</v>
      </c>
      <c r="J906" t="n">
        <v>0</v>
      </c>
      <c r="K906" t="n">
        <v>0</v>
      </c>
      <c r="L906" t="n">
        <v>0</v>
      </c>
      <c r="M906" t="n">
        <v>0</v>
      </c>
      <c r="N906" t="n">
        <v>0</v>
      </c>
      <c r="O906" t="n">
        <v>0</v>
      </c>
      <c r="P906" t="n">
        <v>0</v>
      </c>
      <c r="Q906" t="n">
        <v>0</v>
      </c>
      <c r="R906" t="n">
        <v>0</v>
      </c>
      <c r="S906" t="n">
        <v>0</v>
      </c>
      <c r="T906" t="n">
        <v>0</v>
      </c>
      <c r="U906" t="n">
        <v>0</v>
      </c>
      <c r="V906" s="2" t="inlineStr"/>
    </row>
    <row r="907" ht="15" customHeight="1">
      <c r="A907" t="inlineStr">
        <is>
          <t>A 43453-2026</t>
        </is>
      </c>
      <c r="B907" t="inlineStr">
        <is>
          <t>avverkningsanmälan</t>
        </is>
      </c>
      <c r="C907" t="inlineStr">
        <is>
          <t>Föryngringsavverkning</t>
        </is>
      </c>
      <c r="D907" s="1" t="n">
        <v>46314</v>
      </c>
      <c r="E907" s="1" t="n">
        <v>46323</v>
      </c>
      <c r="F907" t="inlineStr">
        <is>
          <t>KALMAR LÄN</t>
        </is>
      </c>
      <c r="G907" t="inlineStr">
        <is>
          <t>VÄSTERVIK</t>
        </is>
      </c>
      <c r="H907" t="inlineStr">
        <is>
          <t>Holmen skog AB</t>
        </is>
      </c>
      <c r="I907" t="n">
        <v>11.2</v>
      </c>
      <c r="J907" t="n">
        <v>0</v>
      </c>
      <c r="K907" t="n">
        <v>0</v>
      </c>
      <c r="L907" t="n">
        <v>0</v>
      </c>
      <c r="M907" t="n">
        <v>0</v>
      </c>
      <c r="N907" t="n">
        <v>0</v>
      </c>
      <c r="O907" t="n">
        <v>0</v>
      </c>
      <c r="P907" t="n">
        <v>0</v>
      </c>
      <c r="Q907" t="n">
        <v>0</v>
      </c>
      <c r="R907" t="n">
        <v>0</v>
      </c>
      <c r="S907" t="n">
        <v>0</v>
      </c>
      <c r="T907" t="n">
        <v>0</v>
      </c>
      <c r="U907" t="n">
        <v>0</v>
      </c>
      <c r="V907" s="2" t="inlineStr"/>
    </row>
    <row r="908" ht="15" customHeight="1">
      <c r="A908" t="inlineStr">
        <is>
          <t>A 9112-2023</t>
        </is>
      </c>
      <c r="B908" t="inlineStr">
        <is>
          <t>avverkningsanmälan</t>
        </is>
      </c>
      <c r="C908" t="inlineStr">
        <is>
          <t>Avverkning för annat ändamål</t>
        </is>
      </c>
      <c r="D908" s="1" t="n">
        <v>44979</v>
      </c>
      <c r="E908" s="1" t="n">
        <v>46323</v>
      </c>
      <c r="F908" t="inlineStr">
        <is>
          <t>KALMAR LÄN</t>
        </is>
      </c>
      <c r="G908" t="inlineStr">
        <is>
          <t>VÄSTERVIK</t>
        </is>
      </c>
      <c r="I908" t="n">
        <v>1.8</v>
      </c>
      <c r="J908" t="n">
        <v>0</v>
      </c>
      <c r="K908" t="n">
        <v>0</v>
      </c>
      <c r="L908" t="n">
        <v>0</v>
      </c>
      <c r="M908" t="n">
        <v>0</v>
      </c>
      <c r="N908" t="n">
        <v>0</v>
      </c>
      <c r="O908" t="n">
        <v>0</v>
      </c>
      <c r="P908" t="n">
        <v>0</v>
      </c>
      <c r="Q908" t="n">
        <v>0</v>
      </c>
      <c r="R908" t="n">
        <v>0</v>
      </c>
      <c r="S908" t="n">
        <v>0</v>
      </c>
      <c r="T908" t="n">
        <v>0</v>
      </c>
      <c r="U908" t="n">
        <v>0</v>
      </c>
      <c r="V908" s="2" t="inlineStr"/>
    </row>
    <row r="909" ht="15" customHeight="1">
      <c r="A909" t="inlineStr">
        <is>
          <t>A 43853-2026</t>
        </is>
      </c>
      <c r="B909" t="inlineStr">
        <is>
          <t>avverkningsanmälan</t>
        </is>
      </c>
      <c r="C909" t="inlineStr">
        <is>
          <t>Föryngringsavverkning</t>
        </is>
      </c>
      <c r="D909" s="1" t="n">
        <v>46316</v>
      </c>
      <c r="E909" s="1" t="n">
        <v>46323</v>
      </c>
      <c r="F909" t="inlineStr">
        <is>
          <t>KALMAR LÄN</t>
        </is>
      </c>
      <c r="G909" t="inlineStr">
        <is>
          <t>VÄSTERVIK</t>
        </is>
      </c>
      <c r="I909" t="n">
        <v>0.7</v>
      </c>
      <c r="J909" t="n">
        <v>0</v>
      </c>
      <c r="K909" t="n">
        <v>0</v>
      </c>
      <c r="L909" t="n">
        <v>0</v>
      </c>
      <c r="M909" t="n">
        <v>0</v>
      </c>
      <c r="N909" t="n">
        <v>0</v>
      </c>
      <c r="O909" t="n">
        <v>0</v>
      </c>
      <c r="P909" t="n">
        <v>0</v>
      </c>
      <c r="Q909" t="n">
        <v>0</v>
      </c>
      <c r="R909" t="n">
        <v>0</v>
      </c>
      <c r="S909" t="n">
        <v>0</v>
      </c>
      <c r="T909" t="n">
        <v>0</v>
      </c>
      <c r="U909" t="n">
        <v>0</v>
      </c>
      <c r="V909" s="2" t="inlineStr"/>
    </row>
    <row r="910" ht="15" customHeight="1">
      <c r="A910" t="inlineStr">
        <is>
          <t>A 43533-2026</t>
        </is>
      </c>
      <c r="B910" t="inlineStr">
        <is>
          <t>avverkningsanmälan</t>
        </is>
      </c>
      <c r="C910" t="inlineStr">
        <is>
          <t>Föryngringsavverkning</t>
        </is>
      </c>
      <c r="D910" s="1" t="n">
        <v>46315</v>
      </c>
      <c r="E910" s="1" t="n">
        <v>46323</v>
      </c>
      <c r="F910" t="inlineStr">
        <is>
          <t>KALMAR LÄN</t>
        </is>
      </c>
      <c r="G910" t="inlineStr">
        <is>
          <t>VÄSTERVIK</t>
        </is>
      </c>
      <c r="H910" t="inlineStr">
        <is>
          <t>Sveaskog</t>
        </is>
      </c>
      <c r="I910" t="n">
        <v>1.6</v>
      </c>
      <c r="J910" t="n">
        <v>0</v>
      </c>
      <c r="K910" t="n">
        <v>0</v>
      </c>
      <c r="L910" t="n">
        <v>0</v>
      </c>
      <c r="M910" t="n">
        <v>0</v>
      </c>
      <c r="N910" t="n">
        <v>0</v>
      </c>
      <c r="O910" t="n">
        <v>0</v>
      </c>
      <c r="P910" t="n">
        <v>0</v>
      </c>
      <c r="Q910" t="n">
        <v>0</v>
      </c>
      <c r="R910" t="n">
        <v>0</v>
      </c>
      <c r="S910" t="n">
        <v>0</v>
      </c>
      <c r="T910" t="n">
        <v>0</v>
      </c>
      <c r="U910" t="n">
        <v>0</v>
      </c>
      <c r="V910" s="2" t="inlineStr"/>
    </row>
    <row r="911" ht="15" customHeight="1">
      <c r="A911" t="inlineStr">
        <is>
          <t>A 14224-2026</t>
        </is>
      </c>
      <c r="B911" t="inlineStr">
        <is>
          <t>avverkningsanmälan</t>
        </is>
      </c>
      <c r="C911" t="inlineStr">
        <is>
          <t>Föryngringsavverkning</t>
        </is>
      </c>
      <c r="D911" s="1" t="n">
        <v>46099</v>
      </c>
      <c r="E911" s="1" t="n">
        <v>46323</v>
      </c>
      <c r="F911" t="inlineStr">
        <is>
          <t>KALMAR LÄN</t>
        </is>
      </c>
      <c r="G911" t="inlineStr">
        <is>
          <t>VÄSTERVIK</t>
        </is>
      </c>
      <c r="I911" t="n">
        <v>1.9</v>
      </c>
      <c r="J911" t="n">
        <v>0</v>
      </c>
      <c r="K911" t="n">
        <v>0</v>
      </c>
      <c r="L911" t="n">
        <v>0</v>
      </c>
      <c r="M911" t="n">
        <v>0</v>
      </c>
      <c r="N911" t="n">
        <v>0</v>
      </c>
      <c r="O911" t="n">
        <v>0</v>
      </c>
      <c r="P911" t="n">
        <v>0</v>
      </c>
      <c r="Q911" t="n">
        <v>0</v>
      </c>
      <c r="R911" t="n">
        <v>0</v>
      </c>
      <c r="S911" t="n">
        <v>0</v>
      </c>
      <c r="T911" t="n">
        <v>0</v>
      </c>
      <c r="U911" t="n">
        <v>0</v>
      </c>
      <c r="V911" s="2" t="inlineStr"/>
    </row>
    <row r="912" ht="15" customHeight="1">
      <c r="A912" t="inlineStr">
        <is>
          <t>A 22740-2024</t>
        </is>
      </c>
      <c r="B912" t="inlineStr">
        <is>
          <t>avverkningsanmälan</t>
        </is>
      </c>
      <c r="C912" t="inlineStr">
        <is>
          <t>Avverkning för att bevara och utveckla /försöksver</t>
        </is>
      </c>
      <c r="D912" s="1" t="n">
        <v>45448</v>
      </c>
      <c r="E912" s="1" t="n">
        <v>46323</v>
      </c>
      <c r="F912" t="inlineStr">
        <is>
          <t>KALMAR LÄN</t>
        </is>
      </c>
      <c r="G912" t="inlineStr">
        <is>
          <t>VÄSTERVIK</t>
        </is>
      </c>
      <c r="H912" t="inlineStr">
        <is>
          <t>Holmen skog AB</t>
        </is>
      </c>
      <c r="I912" t="n">
        <v>2.5</v>
      </c>
      <c r="J912" t="n">
        <v>0</v>
      </c>
      <c r="K912" t="n">
        <v>0</v>
      </c>
      <c r="L912" t="n">
        <v>0</v>
      </c>
      <c r="M912" t="n">
        <v>0</v>
      </c>
      <c r="N912" t="n">
        <v>0</v>
      </c>
      <c r="O912" t="n">
        <v>0</v>
      </c>
      <c r="P912" t="n">
        <v>0</v>
      </c>
      <c r="Q912" t="n">
        <v>0</v>
      </c>
      <c r="R912" t="n">
        <v>0</v>
      </c>
      <c r="S912" t="n">
        <v>0</v>
      </c>
      <c r="T912" t="n">
        <v>0</v>
      </c>
      <c r="U912" t="n">
        <v>0</v>
      </c>
      <c r="V912" s="2" t="inlineStr"/>
    </row>
    <row r="913" ht="15" customHeight="1">
      <c r="A913" t="inlineStr">
        <is>
          <t>A 30648-2025</t>
        </is>
      </c>
      <c r="B913" t="inlineStr">
        <is>
          <t>avverkningsanmälan</t>
        </is>
      </c>
      <c r="C913" t="inlineStr">
        <is>
          <t>Föryngringsavverkning</t>
        </is>
      </c>
      <c r="D913" s="1" t="n">
        <v>45831</v>
      </c>
      <c r="E913" s="1" t="n">
        <v>46323</v>
      </c>
      <c r="F913" t="inlineStr">
        <is>
          <t>KALMAR LÄN</t>
        </is>
      </c>
      <c r="G913" t="inlineStr">
        <is>
          <t>VÄSTERVIK</t>
        </is>
      </c>
      <c r="I913" t="n">
        <v>3</v>
      </c>
      <c r="J913" t="n">
        <v>0</v>
      </c>
      <c r="K913" t="n">
        <v>0</v>
      </c>
      <c r="L913" t="n">
        <v>0</v>
      </c>
      <c r="M913" t="n">
        <v>0</v>
      </c>
      <c r="N913" t="n">
        <v>0</v>
      </c>
      <c r="O913" t="n">
        <v>0</v>
      </c>
      <c r="P913" t="n">
        <v>0</v>
      </c>
      <c r="Q913" t="n">
        <v>0</v>
      </c>
      <c r="R913" t="n">
        <v>0</v>
      </c>
      <c r="S913" t="n">
        <v>0</v>
      </c>
      <c r="T913" t="n">
        <v>0</v>
      </c>
      <c r="U913" t="n">
        <v>0</v>
      </c>
      <c r="V913" s="2" t="inlineStr"/>
    </row>
    <row r="914" ht="15" customHeight="1">
      <c r="A914" t="inlineStr">
        <is>
          <t>A 32763-2022</t>
        </is>
      </c>
      <c r="B914" t="inlineStr">
        <is>
          <t>avverkningsanmälan</t>
        </is>
      </c>
      <c r="C914" t="inlineStr">
        <is>
          <t>Föryngringsavverkning</t>
        </is>
      </c>
      <c r="D914" s="1" t="n">
        <v>44783</v>
      </c>
      <c r="E914" s="1" t="n">
        <v>46323</v>
      </c>
      <c r="F914" t="inlineStr">
        <is>
          <t>KALMAR LÄN</t>
        </is>
      </c>
      <c r="G914" t="inlineStr">
        <is>
          <t>VÄSTERVIK</t>
        </is>
      </c>
      <c r="I914" t="n">
        <v>1</v>
      </c>
      <c r="J914" t="n">
        <v>0</v>
      </c>
      <c r="K914" t="n">
        <v>0</v>
      </c>
      <c r="L914" t="n">
        <v>0</v>
      </c>
      <c r="M914" t="n">
        <v>0</v>
      </c>
      <c r="N914" t="n">
        <v>0</v>
      </c>
      <c r="O914" t="n">
        <v>0</v>
      </c>
      <c r="P914" t="n">
        <v>0</v>
      </c>
      <c r="Q914" t="n">
        <v>0</v>
      </c>
      <c r="R914" t="n">
        <v>0</v>
      </c>
      <c r="S914" t="n">
        <v>0</v>
      </c>
      <c r="T914" t="n">
        <v>0</v>
      </c>
      <c r="U914" t="n">
        <v>0</v>
      </c>
      <c r="V914" s="2" t="inlineStr"/>
    </row>
    <row r="915" ht="15" customHeight="1">
      <c r="A915" t="inlineStr">
        <is>
          <t>A 24829-2022</t>
        </is>
      </c>
      <c r="B915" t="inlineStr">
        <is>
          <t>avverkningsanmälan</t>
        </is>
      </c>
      <c r="C915" t="inlineStr">
        <is>
          <t>Föryngringsavverkning</t>
        </is>
      </c>
      <c r="D915" s="1" t="n">
        <v>44728</v>
      </c>
      <c r="E915" s="1" t="n">
        <v>46323</v>
      </c>
      <c r="F915" t="inlineStr">
        <is>
          <t>KALMAR LÄN</t>
        </is>
      </c>
      <c r="G915" t="inlineStr">
        <is>
          <t>VÄSTERVIK</t>
        </is>
      </c>
      <c r="I915" t="n">
        <v>2.2</v>
      </c>
      <c r="J915" t="n">
        <v>0</v>
      </c>
      <c r="K915" t="n">
        <v>0</v>
      </c>
      <c r="L915" t="n">
        <v>0</v>
      </c>
      <c r="M915" t="n">
        <v>0</v>
      </c>
      <c r="N915" t="n">
        <v>0</v>
      </c>
      <c r="O915" t="n">
        <v>0</v>
      </c>
      <c r="P915" t="n">
        <v>0</v>
      </c>
      <c r="Q915" t="n">
        <v>0</v>
      </c>
      <c r="R915" t="n">
        <v>0</v>
      </c>
      <c r="S915" t="n">
        <v>0</v>
      </c>
      <c r="T915" t="n">
        <v>0</v>
      </c>
      <c r="U915" t="n">
        <v>0</v>
      </c>
      <c r="V915" s="2" t="inlineStr"/>
    </row>
    <row r="916" ht="15" customHeight="1">
      <c r="A916" t="inlineStr">
        <is>
          <t>A 20810-2026</t>
        </is>
      </c>
      <c r="B916" t="inlineStr">
        <is>
          <t>avverkningsanmälan</t>
        </is>
      </c>
      <c r="C916" t="inlineStr">
        <is>
          <t>Föryngringsavverkning</t>
        </is>
      </c>
      <c r="D916" s="1" t="n">
        <v>46141</v>
      </c>
      <c r="E916" s="1" t="n">
        <v>46323</v>
      </c>
      <c r="F916" t="inlineStr">
        <is>
          <t>KALMAR LÄN</t>
        </is>
      </c>
      <c r="G916" t="inlineStr">
        <is>
          <t>VÄSTERVIK</t>
        </is>
      </c>
      <c r="H916" t="inlineStr">
        <is>
          <t>Sveaskog</t>
        </is>
      </c>
      <c r="I916" t="n">
        <v>4.4</v>
      </c>
      <c r="J916" t="n">
        <v>0</v>
      </c>
      <c r="K916" t="n">
        <v>0</v>
      </c>
      <c r="L916" t="n">
        <v>0</v>
      </c>
      <c r="M916" t="n">
        <v>0</v>
      </c>
      <c r="N916" t="n">
        <v>0</v>
      </c>
      <c r="O916" t="n">
        <v>0</v>
      </c>
      <c r="P916" t="n">
        <v>0</v>
      </c>
      <c r="Q916" t="n">
        <v>0</v>
      </c>
      <c r="R916" t="n">
        <v>0</v>
      </c>
      <c r="S916" t="n">
        <v>0</v>
      </c>
      <c r="T916" t="n">
        <v>0</v>
      </c>
      <c r="U916" t="n">
        <v>0</v>
      </c>
      <c r="V916" s="2" t="inlineStr"/>
    </row>
    <row r="917" ht="15" customHeight="1">
      <c r="A917" t="inlineStr">
        <is>
          <t>A 57802-2024</t>
        </is>
      </c>
      <c r="B917" t="inlineStr">
        <is>
          <t>avverkningsanmälan</t>
        </is>
      </c>
      <c r="C917" t="inlineStr">
        <is>
          <t>Föryngringsavverkning</t>
        </is>
      </c>
      <c r="D917" s="1" t="n">
        <v>45631</v>
      </c>
      <c r="E917" s="1" t="n">
        <v>46323</v>
      </c>
      <c r="F917" t="inlineStr">
        <is>
          <t>KALMAR LÄN</t>
        </is>
      </c>
      <c r="G917" t="inlineStr">
        <is>
          <t>VÄSTERVIK</t>
        </is>
      </c>
      <c r="I917" t="n">
        <v>0.5</v>
      </c>
      <c r="J917" t="n">
        <v>0</v>
      </c>
      <c r="K917" t="n">
        <v>0</v>
      </c>
      <c r="L917" t="n">
        <v>0</v>
      </c>
      <c r="M917" t="n">
        <v>0</v>
      </c>
      <c r="N917" t="n">
        <v>0</v>
      </c>
      <c r="O917" t="n">
        <v>0</v>
      </c>
      <c r="P917" t="n">
        <v>0</v>
      </c>
      <c r="Q917" t="n">
        <v>0</v>
      </c>
      <c r="R917" t="n">
        <v>0</v>
      </c>
      <c r="S917" t="n">
        <v>0</v>
      </c>
      <c r="T917" t="n">
        <v>0</v>
      </c>
      <c r="U917" t="n">
        <v>0</v>
      </c>
      <c r="V917" s="2" t="inlineStr"/>
    </row>
    <row r="918" ht="15" customHeight="1">
      <c r="A918" t="inlineStr">
        <is>
          <t>A 9760-2024</t>
        </is>
      </c>
      <c r="B918" t="inlineStr">
        <is>
          <t>avverkningsanmälan</t>
        </is>
      </c>
      <c r="C918" t="inlineStr">
        <is>
          <t>Föryngringsavverkning</t>
        </is>
      </c>
      <c r="D918" s="1" t="n">
        <v>45362</v>
      </c>
      <c r="E918" s="1" t="n">
        <v>46323</v>
      </c>
      <c r="F918" t="inlineStr">
        <is>
          <t>KALMAR LÄN</t>
        </is>
      </c>
      <c r="G918" t="inlineStr">
        <is>
          <t>VÄSTERVIK</t>
        </is>
      </c>
      <c r="I918" t="n">
        <v>2.1</v>
      </c>
      <c r="J918" t="n">
        <v>0</v>
      </c>
      <c r="K918" t="n">
        <v>0</v>
      </c>
      <c r="L918" t="n">
        <v>0</v>
      </c>
      <c r="M918" t="n">
        <v>0</v>
      </c>
      <c r="N918" t="n">
        <v>0</v>
      </c>
      <c r="O918" t="n">
        <v>0</v>
      </c>
      <c r="P918" t="n">
        <v>0</v>
      </c>
      <c r="Q918" t="n">
        <v>0</v>
      </c>
      <c r="R918" t="n">
        <v>0</v>
      </c>
      <c r="S918" t="n">
        <v>0</v>
      </c>
      <c r="T918" t="n">
        <v>0</v>
      </c>
      <c r="U918" t="n">
        <v>0</v>
      </c>
      <c r="V918" s="2" t="inlineStr"/>
    </row>
    <row r="919" ht="15" customHeight="1">
      <c r="A919" t="inlineStr">
        <is>
          <t>A 23706-2025</t>
        </is>
      </c>
      <c r="B919" t="inlineStr">
        <is>
          <t>avverkningsanmälan</t>
        </is>
      </c>
      <c r="C919" t="inlineStr">
        <is>
          <t>Föryngringsavverkning</t>
        </is>
      </c>
      <c r="D919" s="1" t="n">
        <v>45793</v>
      </c>
      <c r="E919" s="1" t="n">
        <v>46323</v>
      </c>
      <c r="F919" t="inlineStr">
        <is>
          <t>KALMAR LÄN</t>
        </is>
      </c>
      <c r="G919" t="inlineStr">
        <is>
          <t>VÄSTERVIK</t>
        </is>
      </c>
      <c r="I919" t="n">
        <v>2.2</v>
      </c>
      <c r="J919" t="n">
        <v>0</v>
      </c>
      <c r="K919" t="n">
        <v>0</v>
      </c>
      <c r="L919" t="n">
        <v>0</v>
      </c>
      <c r="M919" t="n">
        <v>0</v>
      </c>
      <c r="N919" t="n">
        <v>0</v>
      </c>
      <c r="O919" t="n">
        <v>0</v>
      </c>
      <c r="P919" t="n">
        <v>0</v>
      </c>
      <c r="Q919" t="n">
        <v>0</v>
      </c>
      <c r="R919" t="n">
        <v>0</v>
      </c>
      <c r="S919" t="n">
        <v>0</v>
      </c>
      <c r="T919" t="n">
        <v>0</v>
      </c>
      <c r="U919" t="n">
        <v>0</v>
      </c>
      <c r="V919" s="2" t="inlineStr"/>
    </row>
    <row r="920" ht="15" customHeight="1">
      <c r="A920" t="inlineStr">
        <is>
          <t>A 21354-2026</t>
        </is>
      </c>
      <c r="B920" t="inlineStr">
        <is>
          <t>avverkningsanmälan</t>
        </is>
      </c>
      <c r="C920" t="inlineStr">
        <is>
          <t>Föryngringsavverkning</t>
        </is>
      </c>
      <c r="D920" s="1" t="n">
        <v>46147</v>
      </c>
      <c r="E920" s="1" t="n">
        <v>46323</v>
      </c>
      <c r="F920" t="inlineStr">
        <is>
          <t>KALMAR LÄN</t>
        </is>
      </c>
      <c r="G920" t="inlineStr">
        <is>
          <t>VÄSTERVIK</t>
        </is>
      </c>
      <c r="H920" t="inlineStr">
        <is>
          <t>Sveaskog</t>
        </is>
      </c>
      <c r="I920" t="n">
        <v>17.5</v>
      </c>
      <c r="J920" t="n">
        <v>0</v>
      </c>
      <c r="K920" t="n">
        <v>0</v>
      </c>
      <c r="L920" t="n">
        <v>0</v>
      </c>
      <c r="M920" t="n">
        <v>0</v>
      </c>
      <c r="N920" t="n">
        <v>0</v>
      </c>
      <c r="O920" t="n">
        <v>0</v>
      </c>
      <c r="P920" t="n">
        <v>0</v>
      </c>
      <c r="Q920" t="n">
        <v>0</v>
      </c>
      <c r="R920" t="n">
        <v>0</v>
      </c>
      <c r="S920" t="n">
        <v>0</v>
      </c>
      <c r="T920" t="n">
        <v>0</v>
      </c>
      <c r="U920" t="n">
        <v>0</v>
      </c>
      <c r="V920" s="2" t="inlineStr"/>
    </row>
    <row r="921" ht="15" customHeight="1">
      <c r="A921" t="inlineStr">
        <is>
          <t>A 11189-2024</t>
        </is>
      </c>
      <c r="B921" t="inlineStr">
        <is>
          <t>avverkningsanmälan</t>
        </is>
      </c>
      <c r="C921" t="inlineStr">
        <is>
          <t>Föryngringsavverkning</t>
        </is>
      </c>
      <c r="D921" s="1" t="n">
        <v>45371</v>
      </c>
      <c r="E921" s="1" t="n">
        <v>46323</v>
      </c>
      <c r="F921" t="inlineStr">
        <is>
          <t>KALMAR LÄN</t>
        </is>
      </c>
      <c r="G921" t="inlineStr">
        <is>
          <t>VÄSTERVIK</t>
        </is>
      </c>
      <c r="I921" t="n">
        <v>5.2</v>
      </c>
      <c r="J921" t="n">
        <v>0</v>
      </c>
      <c r="K921" t="n">
        <v>0</v>
      </c>
      <c r="L921" t="n">
        <v>0</v>
      </c>
      <c r="M921" t="n">
        <v>0</v>
      </c>
      <c r="N921" t="n">
        <v>0</v>
      </c>
      <c r="O921" t="n">
        <v>0</v>
      </c>
      <c r="P921" t="n">
        <v>0</v>
      </c>
      <c r="Q921" t="n">
        <v>0</v>
      </c>
      <c r="R921" t="n">
        <v>0</v>
      </c>
      <c r="S921" t="n">
        <v>0</v>
      </c>
      <c r="T921" t="n">
        <v>0</v>
      </c>
      <c r="U921" t="n">
        <v>0</v>
      </c>
      <c r="V921" s="2" t="inlineStr"/>
    </row>
    <row r="922" ht="15" customHeight="1">
      <c r="A922" t="inlineStr">
        <is>
          <t>A 21319-2026</t>
        </is>
      </c>
      <c r="B922" t="inlineStr">
        <is>
          <t>avverkningsanmälan</t>
        </is>
      </c>
      <c r="C922" t="inlineStr">
        <is>
          <t>Föryngringsavverkning</t>
        </is>
      </c>
      <c r="D922" s="1" t="n">
        <v>46147</v>
      </c>
      <c r="E922" s="1" t="n">
        <v>46323</v>
      </c>
      <c r="F922" t="inlineStr">
        <is>
          <t>KALMAR LÄN</t>
        </is>
      </c>
      <c r="G922" t="inlineStr">
        <is>
          <t>VÄSTERVIK</t>
        </is>
      </c>
      <c r="H922" t="inlineStr">
        <is>
          <t>Sveaskog</t>
        </is>
      </c>
      <c r="I922" t="n">
        <v>3.6</v>
      </c>
      <c r="J922" t="n">
        <v>0</v>
      </c>
      <c r="K922" t="n">
        <v>0</v>
      </c>
      <c r="L922" t="n">
        <v>0</v>
      </c>
      <c r="M922" t="n">
        <v>0</v>
      </c>
      <c r="N922" t="n">
        <v>0</v>
      </c>
      <c r="O922" t="n">
        <v>0</v>
      </c>
      <c r="P922" t="n">
        <v>0</v>
      </c>
      <c r="Q922" t="n">
        <v>0</v>
      </c>
      <c r="R922" t="n">
        <v>0</v>
      </c>
      <c r="S922" t="n">
        <v>0</v>
      </c>
      <c r="T922" t="n">
        <v>0</v>
      </c>
      <c r="U922" t="n">
        <v>0</v>
      </c>
      <c r="V922" s="2" t="inlineStr"/>
    </row>
    <row r="923" ht="15" customHeight="1">
      <c r="A923" t="inlineStr">
        <is>
          <t>A 21322-2026</t>
        </is>
      </c>
      <c r="B923" t="inlineStr">
        <is>
          <t>avverkningsanmälan</t>
        </is>
      </c>
      <c r="C923" t="inlineStr">
        <is>
          <t>Föryngringsavverkning</t>
        </is>
      </c>
      <c r="D923" s="1" t="n">
        <v>46147</v>
      </c>
      <c r="E923" s="1" t="n">
        <v>46323</v>
      </c>
      <c r="F923" t="inlineStr">
        <is>
          <t>KALMAR LÄN</t>
        </is>
      </c>
      <c r="G923" t="inlineStr">
        <is>
          <t>VÄSTERVIK</t>
        </is>
      </c>
      <c r="H923" t="inlineStr">
        <is>
          <t>Sveaskog</t>
        </is>
      </c>
      <c r="I923" t="n">
        <v>1.3</v>
      </c>
      <c r="J923" t="n">
        <v>0</v>
      </c>
      <c r="K923" t="n">
        <v>0</v>
      </c>
      <c r="L923" t="n">
        <v>0</v>
      </c>
      <c r="M923" t="n">
        <v>0</v>
      </c>
      <c r="N923" t="n">
        <v>0</v>
      </c>
      <c r="O923" t="n">
        <v>0</v>
      </c>
      <c r="P923" t="n">
        <v>0</v>
      </c>
      <c r="Q923" t="n">
        <v>0</v>
      </c>
      <c r="R923" t="n">
        <v>0</v>
      </c>
      <c r="S923" t="n">
        <v>0</v>
      </c>
      <c r="T923" t="n">
        <v>0</v>
      </c>
      <c r="U923" t="n">
        <v>0</v>
      </c>
      <c r="V923" s="2" t="inlineStr"/>
    </row>
    <row r="924" ht="15" customHeight="1">
      <c r="A924" t="inlineStr">
        <is>
          <t>A 44139-2026</t>
        </is>
      </c>
      <c r="B924" t="inlineStr">
        <is>
          <t>avverkningsanmälan</t>
        </is>
      </c>
      <c r="C924" t="inlineStr">
        <is>
          <t>Föryngringsavverkning</t>
        </is>
      </c>
      <c r="D924" s="1" t="n">
        <v>46318</v>
      </c>
      <c r="E924" s="1" t="n">
        <v>46323</v>
      </c>
      <c r="F924" t="inlineStr">
        <is>
          <t>KALMAR LÄN</t>
        </is>
      </c>
      <c r="G924" t="inlineStr">
        <is>
          <t>VÄSTERVIK</t>
        </is>
      </c>
      <c r="H924" t="inlineStr">
        <is>
          <t>Övriga Aktiebolag</t>
        </is>
      </c>
      <c r="I924" t="n">
        <v>5.5</v>
      </c>
      <c r="J924" t="n">
        <v>0</v>
      </c>
      <c r="K924" t="n">
        <v>0</v>
      </c>
      <c r="L924" t="n">
        <v>0</v>
      </c>
      <c r="M924" t="n">
        <v>0</v>
      </c>
      <c r="N924" t="n">
        <v>0</v>
      </c>
      <c r="O924" t="n">
        <v>0</v>
      </c>
      <c r="P924" t="n">
        <v>0</v>
      </c>
      <c r="Q924" t="n">
        <v>0</v>
      </c>
      <c r="R924" t="n">
        <v>0</v>
      </c>
      <c r="S924" t="n">
        <v>0</v>
      </c>
      <c r="T924" t="n">
        <v>0</v>
      </c>
      <c r="U924" t="n">
        <v>0</v>
      </c>
      <c r="V924" s="2" t="inlineStr"/>
    </row>
    <row r="925" ht="15" customHeight="1">
      <c r="A925" t="inlineStr">
        <is>
          <t>A 21330-2026</t>
        </is>
      </c>
      <c r="B925" t="inlineStr">
        <is>
          <t>avverkningsanmälan</t>
        </is>
      </c>
      <c r="C925" t="inlineStr">
        <is>
          <t>Föryngringsavverkning</t>
        </is>
      </c>
      <c r="D925" s="1" t="n">
        <v>46147</v>
      </c>
      <c r="E925" s="1" t="n">
        <v>46323</v>
      </c>
      <c r="F925" t="inlineStr">
        <is>
          <t>KALMAR LÄN</t>
        </is>
      </c>
      <c r="G925" t="inlineStr">
        <is>
          <t>VÄSTERVIK</t>
        </is>
      </c>
      <c r="H925" t="inlineStr">
        <is>
          <t>Sveaskog</t>
        </is>
      </c>
      <c r="I925" t="n">
        <v>0.8</v>
      </c>
      <c r="J925" t="n">
        <v>0</v>
      </c>
      <c r="K925" t="n">
        <v>0</v>
      </c>
      <c r="L925" t="n">
        <v>0</v>
      </c>
      <c r="M925" t="n">
        <v>0</v>
      </c>
      <c r="N925" t="n">
        <v>0</v>
      </c>
      <c r="O925" t="n">
        <v>0</v>
      </c>
      <c r="P925" t="n">
        <v>0</v>
      </c>
      <c r="Q925" t="n">
        <v>0</v>
      </c>
      <c r="R925" t="n">
        <v>0</v>
      </c>
      <c r="S925" t="n">
        <v>0</v>
      </c>
      <c r="T925" t="n">
        <v>0</v>
      </c>
      <c r="U925" t="n">
        <v>0</v>
      </c>
      <c r="V925" s="2" t="inlineStr"/>
    </row>
    <row r="926" ht="15" customHeight="1">
      <c r="A926" t="inlineStr">
        <is>
          <t>A 21325-2026</t>
        </is>
      </c>
      <c r="B926" t="inlineStr">
        <is>
          <t>avverkningsanmälan</t>
        </is>
      </c>
      <c r="C926" t="inlineStr">
        <is>
          <t>Föryngringsavverkning</t>
        </is>
      </c>
      <c r="D926" s="1" t="n">
        <v>46147</v>
      </c>
      <c r="E926" s="1" t="n">
        <v>46323</v>
      </c>
      <c r="F926" t="inlineStr">
        <is>
          <t>KALMAR LÄN</t>
        </is>
      </c>
      <c r="G926" t="inlineStr">
        <is>
          <t>VÄSTERVIK</t>
        </is>
      </c>
      <c r="H926" t="inlineStr">
        <is>
          <t>Sveaskog</t>
        </is>
      </c>
      <c r="I926" t="n">
        <v>5.2</v>
      </c>
      <c r="J926" t="n">
        <v>0</v>
      </c>
      <c r="K926" t="n">
        <v>0</v>
      </c>
      <c r="L926" t="n">
        <v>0</v>
      </c>
      <c r="M926" t="n">
        <v>0</v>
      </c>
      <c r="N926" t="n">
        <v>0</v>
      </c>
      <c r="O926" t="n">
        <v>0</v>
      </c>
      <c r="P926" t="n">
        <v>0</v>
      </c>
      <c r="Q926" t="n">
        <v>0</v>
      </c>
      <c r="R926" t="n">
        <v>0</v>
      </c>
      <c r="S926" t="n">
        <v>0</v>
      </c>
      <c r="T926" t="n">
        <v>0</v>
      </c>
      <c r="U926" t="n">
        <v>0</v>
      </c>
      <c r="V926" s="2" t="inlineStr"/>
    </row>
    <row r="927" ht="15" customHeight="1">
      <c r="A927" t="inlineStr">
        <is>
          <t>A 32495-2025</t>
        </is>
      </c>
      <c r="B927" t="inlineStr">
        <is>
          <t>avverkningsanmälan</t>
        </is>
      </c>
      <c r="C927" t="inlineStr">
        <is>
          <t>Avverkning för annat ändamål</t>
        </is>
      </c>
      <c r="D927" s="1" t="n">
        <v>45838</v>
      </c>
      <c r="E927" s="1" t="n">
        <v>46323</v>
      </c>
      <c r="F927" t="inlineStr">
        <is>
          <t>KALMAR LÄN</t>
        </is>
      </c>
      <c r="G927" t="inlineStr">
        <is>
          <t>VÄSTERVIK</t>
        </is>
      </c>
      <c r="I927" t="n">
        <v>0.5</v>
      </c>
      <c r="J927" t="n">
        <v>0</v>
      </c>
      <c r="K927" t="n">
        <v>0</v>
      </c>
      <c r="L927" t="n">
        <v>0</v>
      </c>
      <c r="M927" t="n">
        <v>0</v>
      </c>
      <c r="N927" t="n">
        <v>0</v>
      </c>
      <c r="O927" t="n">
        <v>0</v>
      </c>
      <c r="P927" t="n">
        <v>0</v>
      </c>
      <c r="Q927" t="n">
        <v>0</v>
      </c>
      <c r="R927" t="n">
        <v>0</v>
      </c>
      <c r="S927" t="n">
        <v>0</v>
      </c>
      <c r="T927" t="n">
        <v>0</v>
      </c>
      <c r="U927" t="n">
        <v>0</v>
      </c>
      <c r="V927" s="2" t="inlineStr"/>
    </row>
    <row r="928" ht="15" customHeight="1">
      <c r="A928" t="inlineStr">
        <is>
          <t>A 17414-2026</t>
        </is>
      </c>
      <c r="B928" t="inlineStr">
        <is>
          <t>avverkningsanmälan</t>
        </is>
      </c>
      <c r="C928" t="inlineStr">
        <is>
          <t>Föryngringsavverkning</t>
        </is>
      </c>
      <c r="D928" s="1" t="n">
        <v>46120</v>
      </c>
      <c r="E928" s="1" t="n">
        <v>46323</v>
      </c>
      <c r="F928" t="inlineStr">
        <is>
          <t>KALMAR LÄN</t>
        </is>
      </c>
      <c r="G928" t="inlineStr">
        <is>
          <t>VÄSTERVIK</t>
        </is>
      </c>
      <c r="I928" t="n">
        <v>2.2</v>
      </c>
      <c r="J928" t="n">
        <v>0</v>
      </c>
      <c r="K928" t="n">
        <v>0</v>
      </c>
      <c r="L928" t="n">
        <v>0</v>
      </c>
      <c r="M928" t="n">
        <v>0</v>
      </c>
      <c r="N928" t="n">
        <v>0</v>
      </c>
      <c r="O928" t="n">
        <v>0</v>
      </c>
      <c r="P928" t="n">
        <v>0</v>
      </c>
      <c r="Q928" t="n">
        <v>0</v>
      </c>
      <c r="R928" t="n">
        <v>0</v>
      </c>
      <c r="S928" t="n">
        <v>0</v>
      </c>
      <c r="T928" t="n">
        <v>0</v>
      </c>
      <c r="U928" t="n">
        <v>0</v>
      </c>
      <c r="V928" s="2" t="inlineStr"/>
    </row>
    <row r="929" ht="15" customHeight="1">
      <c r="A929" t="inlineStr">
        <is>
          <t>A 32400-2025</t>
        </is>
      </c>
      <c r="B929" t="inlineStr">
        <is>
          <t>avverkningsanmälan</t>
        </is>
      </c>
      <c r="C929" t="inlineStr">
        <is>
          <t>Föryngringsavverkning</t>
        </is>
      </c>
      <c r="D929" s="1" t="n">
        <v>45838</v>
      </c>
      <c r="E929" s="1" t="n">
        <v>46323</v>
      </c>
      <c r="F929" t="inlineStr">
        <is>
          <t>KALMAR LÄN</t>
        </is>
      </c>
      <c r="G929" t="inlineStr">
        <is>
          <t>VÄSTERVIK</t>
        </is>
      </c>
      <c r="I929" t="n">
        <v>0.6</v>
      </c>
      <c r="J929" t="n">
        <v>0</v>
      </c>
      <c r="K929" t="n">
        <v>0</v>
      </c>
      <c r="L929" t="n">
        <v>0</v>
      </c>
      <c r="M929" t="n">
        <v>0</v>
      </c>
      <c r="N929" t="n">
        <v>0</v>
      </c>
      <c r="O929" t="n">
        <v>0</v>
      </c>
      <c r="P929" t="n">
        <v>0</v>
      </c>
      <c r="Q929" t="n">
        <v>0</v>
      </c>
      <c r="R929" t="n">
        <v>0</v>
      </c>
      <c r="S929" t="n">
        <v>0</v>
      </c>
      <c r="T929" t="n">
        <v>0</v>
      </c>
      <c r="U929" t="n">
        <v>0</v>
      </c>
      <c r="V929" s="2" t="inlineStr"/>
    </row>
    <row r="930" ht="15" customHeight="1">
      <c r="A930" t="inlineStr">
        <is>
          <t>A 44572-2026</t>
        </is>
      </c>
      <c r="B930" t="inlineStr">
        <is>
          <t>avverkningsanmälan</t>
        </is>
      </c>
      <c r="C930" t="inlineStr">
        <is>
          <t>Föryngringsavverkning</t>
        </is>
      </c>
      <c r="D930" s="1" t="n">
        <v>46317</v>
      </c>
      <c r="E930" s="1" t="n">
        <v>46323</v>
      </c>
      <c r="F930" t="inlineStr">
        <is>
          <t>KALMAR LÄN</t>
        </is>
      </c>
      <c r="G930" t="inlineStr">
        <is>
          <t>VÄSTERVIK</t>
        </is>
      </c>
      <c r="I930" t="n">
        <v>4.6</v>
      </c>
      <c r="J930" t="n">
        <v>0</v>
      </c>
      <c r="K930" t="n">
        <v>0</v>
      </c>
      <c r="L930" t="n">
        <v>0</v>
      </c>
      <c r="M930" t="n">
        <v>0</v>
      </c>
      <c r="N930" t="n">
        <v>0</v>
      </c>
      <c r="O930" t="n">
        <v>0</v>
      </c>
      <c r="P930" t="n">
        <v>0</v>
      </c>
      <c r="Q930" t="n">
        <v>0</v>
      </c>
      <c r="R930" t="n">
        <v>0</v>
      </c>
      <c r="S930" t="n">
        <v>0</v>
      </c>
      <c r="T930" t="n">
        <v>0</v>
      </c>
      <c r="U930" t="n">
        <v>0</v>
      </c>
      <c r="V930" s="2" t="inlineStr"/>
    </row>
    <row r="931" ht="15" customHeight="1">
      <c r="A931" t="inlineStr">
        <is>
          <t>A 23024-2025</t>
        </is>
      </c>
      <c r="B931" t="inlineStr">
        <is>
          <t>avverkningsanmälan</t>
        </is>
      </c>
      <c r="C931" t="inlineStr">
        <is>
          <t>Föryngringsavverkning</t>
        </is>
      </c>
      <c r="D931" s="1" t="n">
        <v>45790</v>
      </c>
      <c r="E931" s="1" t="n">
        <v>46323</v>
      </c>
      <c r="F931" t="inlineStr">
        <is>
          <t>KALMAR LÄN</t>
        </is>
      </c>
      <c r="G931" t="inlineStr">
        <is>
          <t>VÄSTERVIK</t>
        </is>
      </c>
      <c r="I931" t="n">
        <v>1.7</v>
      </c>
      <c r="J931" t="n">
        <v>0</v>
      </c>
      <c r="K931" t="n">
        <v>0</v>
      </c>
      <c r="L931" t="n">
        <v>0</v>
      </c>
      <c r="M931" t="n">
        <v>0</v>
      </c>
      <c r="N931" t="n">
        <v>0</v>
      </c>
      <c r="O931" t="n">
        <v>0</v>
      </c>
      <c r="P931" t="n">
        <v>0</v>
      </c>
      <c r="Q931" t="n">
        <v>0</v>
      </c>
      <c r="R931" t="n">
        <v>0</v>
      </c>
      <c r="S931" t="n">
        <v>0</v>
      </c>
      <c r="T931" t="n">
        <v>0</v>
      </c>
      <c r="U931" t="n">
        <v>0</v>
      </c>
      <c r="V931" s="2" t="inlineStr"/>
    </row>
    <row r="932" ht="15" customHeight="1">
      <c r="A932" t="inlineStr">
        <is>
          <t>A 13836-2024</t>
        </is>
      </c>
      <c r="B932" t="inlineStr">
        <is>
          <t>avverkningsanmälan</t>
        </is>
      </c>
      <c r="C932" t="inlineStr">
        <is>
          <t>Föryngringsavverkning</t>
        </is>
      </c>
      <c r="D932" s="1" t="n">
        <v>45391</v>
      </c>
      <c r="E932" s="1" t="n">
        <v>46323</v>
      </c>
      <c r="F932" t="inlineStr">
        <is>
          <t>KALMAR LÄN</t>
        </is>
      </c>
      <c r="G932" t="inlineStr">
        <is>
          <t>VÄSTERVIK</t>
        </is>
      </c>
      <c r="H932" t="inlineStr">
        <is>
          <t>Sveaskog</t>
        </is>
      </c>
      <c r="I932" t="n">
        <v>2.6</v>
      </c>
      <c r="J932" t="n">
        <v>0</v>
      </c>
      <c r="K932" t="n">
        <v>0</v>
      </c>
      <c r="L932" t="n">
        <v>0</v>
      </c>
      <c r="M932" t="n">
        <v>0</v>
      </c>
      <c r="N932" t="n">
        <v>0</v>
      </c>
      <c r="O932" t="n">
        <v>0</v>
      </c>
      <c r="P932" t="n">
        <v>0</v>
      </c>
      <c r="Q932" t="n">
        <v>0</v>
      </c>
      <c r="R932" t="n">
        <v>0</v>
      </c>
      <c r="S932" t="n">
        <v>0</v>
      </c>
      <c r="T932" t="n">
        <v>0</v>
      </c>
      <c r="U932" t="n">
        <v>0</v>
      </c>
      <c r="V932" s="2" t="inlineStr"/>
    </row>
    <row r="933" ht="15" customHeight="1">
      <c r="A933" t="inlineStr">
        <is>
          <t>A 44589-2026</t>
        </is>
      </c>
      <c r="B933" t="inlineStr">
        <is>
          <t>avverkningsanmälan</t>
        </is>
      </c>
      <c r="C933" t="inlineStr">
        <is>
          <t>Föryngringsavverkning</t>
        </is>
      </c>
      <c r="D933" s="1" t="n">
        <v>46321</v>
      </c>
      <c r="E933" s="1" t="n">
        <v>46323</v>
      </c>
      <c r="F933" t="inlineStr">
        <is>
          <t>KALMAR LÄN</t>
        </is>
      </c>
      <c r="G933" t="inlineStr">
        <is>
          <t>VÄSTERVIK</t>
        </is>
      </c>
      <c r="H933" t="inlineStr">
        <is>
          <t>Holmen skog AB</t>
        </is>
      </c>
      <c r="I933" t="n">
        <v>6.2</v>
      </c>
      <c r="J933" t="n">
        <v>0</v>
      </c>
      <c r="K933" t="n">
        <v>0</v>
      </c>
      <c r="L933" t="n">
        <v>0</v>
      </c>
      <c r="M933" t="n">
        <v>0</v>
      </c>
      <c r="N933" t="n">
        <v>0</v>
      </c>
      <c r="O933" t="n">
        <v>0</v>
      </c>
      <c r="P933" t="n">
        <v>0</v>
      </c>
      <c r="Q933" t="n">
        <v>0</v>
      </c>
      <c r="R933" t="n">
        <v>0</v>
      </c>
      <c r="S933" t="n">
        <v>0</v>
      </c>
      <c r="T933" t="n">
        <v>0</v>
      </c>
      <c r="U933" t="n">
        <v>0</v>
      </c>
      <c r="V933" s="2" t="inlineStr"/>
    </row>
    <row r="934" ht="15" customHeight="1">
      <c r="A934" t="inlineStr">
        <is>
          <t>A 34639-2025</t>
        </is>
      </c>
      <c r="B934" t="inlineStr">
        <is>
          <t>avverkningsanmälan</t>
        </is>
      </c>
      <c r="C934" t="inlineStr">
        <is>
          <t>Föryngringsavverkning</t>
        </is>
      </c>
      <c r="D934" s="1" t="n">
        <v>45848</v>
      </c>
      <c r="E934" s="1" t="n">
        <v>46323</v>
      </c>
      <c r="F934" t="inlineStr">
        <is>
          <t>KALMAR LÄN</t>
        </is>
      </c>
      <c r="G934" t="inlineStr">
        <is>
          <t>VÄSTERVIK</t>
        </is>
      </c>
      <c r="I934" t="n">
        <v>0.5</v>
      </c>
      <c r="J934" t="n">
        <v>0</v>
      </c>
      <c r="K934" t="n">
        <v>0</v>
      </c>
      <c r="L934" t="n">
        <v>0</v>
      </c>
      <c r="M934" t="n">
        <v>0</v>
      </c>
      <c r="N934" t="n">
        <v>0</v>
      </c>
      <c r="O934" t="n">
        <v>0</v>
      </c>
      <c r="P934" t="n">
        <v>0</v>
      </c>
      <c r="Q934" t="n">
        <v>0</v>
      </c>
      <c r="R934" t="n">
        <v>0</v>
      </c>
      <c r="S934" t="n">
        <v>0</v>
      </c>
      <c r="T934" t="n">
        <v>0</v>
      </c>
      <c r="U934" t="n">
        <v>0</v>
      </c>
      <c r="V934" s="2" t="inlineStr"/>
    </row>
    <row r="935" ht="15" customHeight="1">
      <c r="A935" t="inlineStr">
        <is>
          <t>A 34619-2025</t>
        </is>
      </c>
      <c r="B935" t="inlineStr">
        <is>
          <t>avverkningsanmälan</t>
        </is>
      </c>
      <c r="C935" t="inlineStr">
        <is>
          <t>Föryngringsavverkning</t>
        </is>
      </c>
      <c r="D935" s="1" t="n">
        <v>45847</v>
      </c>
      <c r="E935" s="1" t="n">
        <v>46323</v>
      </c>
      <c r="F935" t="inlineStr">
        <is>
          <t>KALMAR LÄN</t>
        </is>
      </c>
      <c r="G935" t="inlineStr">
        <is>
          <t>VÄSTERVIK</t>
        </is>
      </c>
      <c r="I935" t="n">
        <v>3</v>
      </c>
      <c r="J935" t="n">
        <v>0</v>
      </c>
      <c r="K935" t="n">
        <v>0</v>
      </c>
      <c r="L935" t="n">
        <v>0</v>
      </c>
      <c r="M935" t="n">
        <v>0</v>
      </c>
      <c r="N935" t="n">
        <v>0</v>
      </c>
      <c r="O935" t="n">
        <v>0</v>
      </c>
      <c r="P935" t="n">
        <v>0</v>
      </c>
      <c r="Q935" t="n">
        <v>0</v>
      </c>
      <c r="R935" t="n">
        <v>0</v>
      </c>
      <c r="S935" t="n">
        <v>0</v>
      </c>
      <c r="T935" t="n">
        <v>0</v>
      </c>
      <c r="U935" t="n">
        <v>0</v>
      </c>
      <c r="V935" s="2" t="inlineStr"/>
    </row>
    <row r="936" ht="15" customHeight="1">
      <c r="A936" t="inlineStr">
        <is>
          <t>A 34916-2025</t>
        </is>
      </c>
      <c r="B936" t="inlineStr">
        <is>
          <t>avverkningsanmälan</t>
        </is>
      </c>
      <c r="C936" t="inlineStr">
        <is>
          <t>Föryngringsavverkning</t>
        </is>
      </c>
      <c r="D936" s="1" t="n">
        <v>45849</v>
      </c>
      <c r="E936" s="1" t="n">
        <v>46323</v>
      </c>
      <c r="F936" t="inlineStr">
        <is>
          <t>KALMAR LÄN</t>
        </is>
      </c>
      <c r="G936" t="inlineStr">
        <is>
          <t>VÄSTERVIK</t>
        </is>
      </c>
      <c r="I936" t="n">
        <v>0.7</v>
      </c>
      <c r="J936" t="n">
        <v>0</v>
      </c>
      <c r="K936" t="n">
        <v>0</v>
      </c>
      <c r="L936" t="n">
        <v>0</v>
      </c>
      <c r="M936" t="n">
        <v>0</v>
      </c>
      <c r="N936" t="n">
        <v>0</v>
      </c>
      <c r="O936" t="n">
        <v>0</v>
      </c>
      <c r="P936" t="n">
        <v>0</v>
      </c>
      <c r="Q936" t="n">
        <v>0</v>
      </c>
      <c r="R936" t="n">
        <v>0</v>
      </c>
      <c r="S936" t="n">
        <v>0</v>
      </c>
      <c r="T936" t="n">
        <v>0</v>
      </c>
      <c r="U936" t="n">
        <v>0</v>
      </c>
      <c r="V936" s="2" t="inlineStr"/>
    </row>
    <row r="937" ht="15" customHeight="1">
      <c r="A937" t="inlineStr">
        <is>
          <t>A 10012-2025</t>
        </is>
      </c>
      <c r="B937" t="inlineStr">
        <is>
          <t>avverkningsanmälan</t>
        </is>
      </c>
      <c r="C937" t="inlineStr">
        <is>
          <t>Föryngringsavverkning</t>
        </is>
      </c>
      <c r="D937" s="1" t="n">
        <v>45719</v>
      </c>
      <c r="E937" s="1" t="n">
        <v>46323</v>
      </c>
      <c r="F937" t="inlineStr">
        <is>
          <t>KALMAR LÄN</t>
        </is>
      </c>
      <c r="G937" t="inlineStr">
        <is>
          <t>VÄSTERVIK</t>
        </is>
      </c>
      <c r="I937" t="n">
        <v>0.8</v>
      </c>
      <c r="J937" t="n">
        <v>0</v>
      </c>
      <c r="K937" t="n">
        <v>0</v>
      </c>
      <c r="L937" t="n">
        <v>0</v>
      </c>
      <c r="M937" t="n">
        <v>0</v>
      </c>
      <c r="N937" t="n">
        <v>0</v>
      </c>
      <c r="O937" t="n">
        <v>0</v>
      </c>
      <c r="P937" t="n">
        <v>0</v>
      </c>
      <c r="Q937" t="n">
        <v>0</v>
      </c>
      <c r="R937" t="n">
        <v>0</v>
      </c>
      <c r="S937" t="n">
        <v>0</v>
      </c>
      <c r="T937" t="n">
        <v>0</v>
      </c>
      <c r="U937" t="n">
        <v>0</v>
      </c>
      <c r="V937" s="2" t="inlineStr"/>
    </row>
    <row r="938" ht="15" customHeight="1">
      <c r="A938" t="inlineStr">
        <is>
          <t>A 27982-2025</t>
        </is>
      </c>
      <c r="B938" t="inlineStr">
        <is>
          <t>avverkningsanmälan</t>
        </is>
      </c>
      <c r="C938" t="inlineStr">
        <is>
          <t>Föryngringsavverkning</t>
        </is>
      </c>
      <c r="D938" s="1" t="n">
        <v>45817</v>
      </c>
      <c r="E938" s="1" t="n">
        <v>46323</v>
      </c>
      <c r="F938" t="inlineStr">
        <is>
          <t>KALMAR LÄN</t>
        </is>
      </c>
      <c r="G938" t="inlineStr">
        <is>
          <t>VÄSTERVIK</t>
        </is>
      </c>
      <c r="I938" t="n">
        <v>2.5</v>
      </c>
      <c r="J938" t="n">
        <v>0</v>
      </c>
      <c r="K938" t="n">
        <v>0</v>
      </c>
      <c r="L938" t="n">
        <v>0</v>
      </c>
      <c r="M938" t="n">
        <v>0</v>
      </c>
      <c r="N938" t="n">
        <v>0</v>
      </c>
      <c r="O938" t="n">
        <v>0</v>
      </c>
      <c r="P938" t="n">
        <v>0</v>
      </c>
      <c r="Q938" t="n">
        <v>0</v>
      </c>
      <c r="R938" t="n">
        <v>0</v>
      </c>
      <c r="S938" t="n">
        <v>0</v>
      </c>
      <c r="T938" t="n">
        <v>0</v>
      </c>
      <c r="U938" t="n">
        <v>0</v>
      </c>
      <c r="V938" s="2" t="inlineStr"/>
    </row>
    <row r="939" ht="15" customHeight="1">
      <c r="A939" t="inlineStr">
        <is>
          <t>A 35207-2025</t>
        </is>
      </c>
      <c r="B939" t="inlineStr">
        <is>
          <t>avverkningsanmälan</t>
        </is>
      </c>
      <c r="C939" t="inlineStr">
        <is>
          <t>Föryngringsavverkning</t>
        </is>
      </c>
      <c r="D939" s="1" t="n">
        <v>45853</v>
      </c>
      <c r="E939" s="1" t="n">
        <v>46323</v>
      </c>
      <c r="F939" t="inlineStr">
        <is>
          <t>KALMAR LÄN</t>
        </is>
      </c>
      <c r="G939" t="inlineStr">
        <is>
          <t>VÄSTERVIK</t>
        </is>
      </c>
      <c r="I939" t="n">
        <v>7</v>
      </c>
      <c r="J939" t="n">
        <v>0</v>
      </c>
      <c r="K939" t="n">
        <v>0</v>
      </c>
      <c r="L939" t="n">
        <v>0</v>
      </c>
      <c r="M939" t="n">
        <v>0</v>
      </c>
      <c r="N939" t="n">
        <v>0</v>
      </c>
      <c r="O939" t="n">
        <v>0</v>
      </c>
      <c r="P939" t="n">
        <v>0</v>
      </c>
      <c r="Q939" t="n">
        <v>0</v>
      </c>
      <c r="R939" t="n">
        <v>0</v>
      </c>
      <c r="S939" t="n">
        <v>0</v>
      </c>
      <c r="T939" t="n">
        <v>0</v>
      </c>
      <c r="U939" t="n">
        <v>0</v>
      </c>
      <c r="V939" s="2" t="inlineStr"/>
    </row>
    <row r="940" ht="15" customHeight="1">
      <c r="A940" t="inlineStr">
        <is>
          <t>A 22979-2026</t>
        </is>
      </c>
      <c r="B940" t="inlineStr">
        <is>
          <t>avverkningsanmälan</t>
        </is>
      </c>
      <c r="C940" t="inlineStr">
        <is>
          <t>Föryngringsavverkning</t>
        </is>
      </c>
      <c r="D940" s="1" t="n">
        <v>46160</v>
      </c>
      <c r="E940" s="1" t="n">
        <v>46323</v>
      </c>
      <c r="F940" t="inlineStr">
        <is>
          <t>KALMAR LÄN</t>
        </is>
      </c>
      <c r="G940" t="inlineStr">
        <is>
          <t>VÄSTERVIK</t>
        </is>
      </c>
      <c r="H940" t="inlineStr">
        <is>
          <t>Sveaskog</t>
        </is>
      </c>
      <c r="I940" t="n">
        <v>2.3</v>
      </c>
      <c r="J940" t="n">
        <v>0</v>
      </c>
      <c r="K940" t="n">
        <v>0</v>
      </c>
      <c r="L940" t="n">
        <v>0</v>
      </c>
      <c r="M940" t="n">
        <v>0</v>
      </c>
      <c r="N940" t="n">
        <v>0</v>
      </c>
      <c r="O940" t="n">
        <v>0</v>
      </c>
      <c r="P940" t="n">
        <v>0</v>
      </c>
      <c r="Q940" t="n">
        <v>0</v>
      </c>
      <c r="R940" t="n">
        <v>0</v>
      </c>
      <c r="S940" t="n">
        <v>0</v>
      </c>
      <c r="T940" t="n">
        <v>0</v>
      </c>
      <c r="U940" t="n">
        <v>0</v>
      </c>
      <c r="V940" s="2" t="inlineStr"/>
    </row>
    <row r="941" ht="15" customHeight="1">
      <c r="A941" t="inlineStr">
        <is>
          <t>A 22974-2026</t>
        </is>
      </c>
      <c r="B941" t="inlineStr">
        <is>
          <t>avverkningsanmälan</t>
        </is>
      </c>
      <c r="C941" t="inlineStr">
        <is>
          <t>Föryngringsavverkning</t>
        </is>
      </c>
      <c r="D941" s="1" t="n">
        <v>46160</v>
      </c>
      <c r="E941" s="1" t="n">
        <v>46323</v>
      </c>
      <c r="F941" t="inlineStr">
        <is>
          <t>KALMAR LÄN</t>
        </is>
      </c>
      <c r="G941" t="inlineStr">
        <is>
          <t>VÄSTERVIK</t>
        </is>
      </c>
      <c r="H941" t="inlineStr">
        <is>
          <t>Sveaskog</t>
        </is>
      </c>
      <c r="I941" t="n">
        <v>1.5</v>
      </c>
      <c r="J941" t="n">
        <v>0</v>
      </c>
      <c r="K941" t="n">
        <v>0</v>
      </c>
      <c r="L941" t="n">
        <v>0</v>
      </c>
      <c r="M941" t="n">
        <v>0</v>
      </c>
      <c r="N941" t="n">
        <v>0</v>
      </c>
      <c r="O941" t="n">
        <v>0</v>
      </c>
      <c r="P941" t="n">
        <v>0</v>
      </c>
      <c r="Q941" t="n">
        <v>0</v>
      </c>
      <c r="R941" t="n">
        <v>0</v>
      </c>
      <c r="S941" t="n">
        <v>0</v>
      </c>
      <c r="T941" t="n">
        <v>0</v>
      </c>
      <c r="U941" t="n">
        <v>0</v>
      </c>
      <c r="V941" s="2" t="inlineStr"/>
    </row>
    <row r="942" ht="15" customHeight="1">
      <c r="A942" t="inlineStr">
        <is>
          <t>A 22975-2026</t>
        </is>
      </c>
      <c r="B942" t="inlineStr">
        <is>
          <t>avverkningsanmälan</t>
        </is>
      </c>
      <c r="C942" t="inlineStr">
        <is>
          <t>Föryngringsavverkning</t>
        </is>
      </c>
      <c r="D942" s="1" t="n">
        <v>46160</v>
      </c>
      <c r="E942" s="1" t="n">
        <v>46323</v>
      </c>
      <c r="F942" t="inlineStr">
        <is>
          <t>KALMAR LÄN</t>
        </is>
      </c>
      <c r="G942" t="inlineStr">
        <is>
          <t>VÄSTERVIK</t>
        </is>
      </c>
      <c r="H942" t="inlineStr">
        <is>
          <t>Sveaskog</t>
        </is>
      </c>
      <c r="I942" t="n">
        <v>0.7</v>
      </c>
      <c r="J942" t="n">
        <v>0</v>
      </c>
      <c r="K942" t="n">
        <v>0</v>
      </c>
      <c r="L942" t="n">
        <v>0</v>
      </c>
      <c r="M942" t="n">
        <v>0</v>
      </c>
      <c r="N942" t="n">
        <v>0</v>
      </c>
      <c r="O942" t="n">
        <v>0</v>
      </c>
      <c r="P942" t="n">
        <v>0</v>
      </c>
      <c r="Q942" t="n">
        <v>0</v>
      </c>
      <c r="R942" t="n">
        <v>0</v>
      </c>
      <c r="S942" t="n">
        <v>0</v>
      </c>
      <c r="T942" t="n">
        <v>0</v>
      </c>
      <c r="U942" t="n">
        <v>0</v>
      </c>
      <c r="V942" s="2" t="inlineStr"/>
    </row>
    <row r="943" ht="15" customHeight="1">
      <c r="A943" t="inlineStr">
        <is>
          <t>A 22978-2026</t>
        </is>
      </c>
      <c r="B943" t="inlineStr">
        <is>
          <t>avverkningsanmälan</t>
        </is>
      </c>
      <c r="C943" t="inlineStr">
        <is>
          <t>Föryngringsavverkning</t>
        </is>
      </c>
      <c r="D943" s="1" t="n">
        <v>46160</v>
      </c>
      <c r="E943" s="1" t="n">
        <v>46323</v>
      </c>
      <c r="F943" t="inlineStr">
        <is>
          <t>KALMAR LÄN</t>
        </is>
      </c>
      <c r="G943" t="inlineStr">
        <is>
          <t>VÄSTERVIK</t>
        </is>
      </c>
      <c r="H943" t="inlineStr">
        <is>
          <t>Sveaskog</t>
        </is>
      </c>
      <c r="I943" t="n">
        <v>2.8</v>
      </c>
      <c r="J943" t="n">
        <v>0</v>
      </c>
      <c r="K943" t="n">
        <v>0</v>
      </c>
      <c r="L943" t="n">
        <v>0</v>
      </c>
      <c r="M943" t="n">
        <v>0</v>
      </c>
      <c r="N943" t="n">
        <v>0</v>
      </c>
      <c r="O943" t="n">
        <v>0</v>
      </c>
      <c r="P943" t="n">
        <v>0</v>
      </c>
      <c r="Q943" t="n">
        <v>0</v>
      </c>
      <c r="R943" t="n">
        <v>0</v>
      </c>
      <c r="S943" t="n">
        <v>0</v>
      </c>
      <c r="T943" t="n">
        <v>0</v>
      </c>
      <c r="U943" t="n">
        <v>0</v>
      </c>
      <c r="V943" s="2" t="inlineStr"/>
    </row>
    <row r="944" ht="15" customHeight="1">
      <c r="A944" t="inlineStr">
        <is>
          <t>A 22980-2026</t>
        </is>
      </c>
      <c r="B944" t="inlineStr">
        <is>
          <t>avverkningsanmälan</t>
        </is>
      </c>
      <c r="C944" t="inlineStr">
        <is>
          <t>Föryngringsavverkning</t>
        </is>
      </c>
      <c r="D944" s="1" t="n">
        <v>46160</v>
      </c>
      <c r="E944" s="1" t="n">
        <v>46323</v>
      </c>
      <c r="F944" t="inlineStr">
        <is>
          <t>KALMAR LÄN</t>
        </is>
      </c>
      <c r="G944" t="inlineStr">
        <is>
          <t>VÄSTERVIK</t>
        </is>
      </c>
      <c r="H944" t="inlineStr">
        <is>
          <t>Sveaskog</t>
        </is>
      </c>
      <c r="I944" t="n">
        <v>0.6</v>
      </c>
      <c r="J944" t="n">
        <v>0</v>
      </c>
      <c r="K944" t="n">
        <v>0</v>
      </c>
      <c r="L944" t="n">
        <v>0</v>
      </c>
      <c r="M944" t="n">
        <v>0</v>
      </c>
      <c r="N944" t="n">
        <v>0</v>
      </c>
      <c r="O944" t="n">
        <v>0</v>
      </c>
      <c r="P944" t="n">
        <v>0</v>
      </c>
      <c r="Q944" t="n">
        <v>0</v>
      </c>
      <c r="R944" t="n">
        <v>0</v>
      </c>
      <c r="S944" t="n">
        <v>0</v>
      </c>
      <c r="T944" t="n">
        <v>0</v>
      </c>
      <c r="U944" t="n">
        <v>0</v>
      </c>
      <c r="V944" s="2" t="inlineStr"/>
    </row>
    <row r="945" ht="15" customHeight="1">
      <c r="A945" t="inlineStr">
        <is>
          <t>A 22983-2026</t>
        </is>
      </c>
      <c r="B945" t="inlineStr">
        <is>
          <t>avverkningsanmälan</t>
        </is>
      </c>
      <c r="C945" t="inlineStr">
        <is>
          <t>Föryngringsavverkning</t>
        </is>
      </c>
      <c r="D945" s="1" t="n">
        <v>46160</v>
      </c>
      <c r="E945" s="1" t="n">
        <v>46323</v>
      </c>
      <c r="F945" t="inlineStr">
        <is>
          <t>KALMAR LÄN</t>
        </is>
      </c>
      <c r="G945" t="inlineStr">
        <is>
          <t>VÄSTERVIK</t>
        </is>
      </c>
      <c r="H945" t="inlineStr">
        <is>
          <t>Sveaskog</t>
        </is>
      </c>
      <c r="I945" t="n">
        <v>2.2</v>
      </c>
      <c r="J945" t="n">
        <v>0</v>
      </c>
      <c r="K945" t="n">
        <v>0</v>
      </c>
      <c r="L945" t="n">
        <v>0</v>
      </c>
      <c r="M945" t="n">
        <v>0</v>
      </c>
      <c r="N945" t="n">
        <v>0</v>
      </c>
      <c r="O945" t="n">
        <v>0</v>
      </c>
      <c r="P945" t="n">
        <v>0</v>
      </c>
      <c r="Q945" t="n">
        <v>0</v>
      </c>
      <c r="R945" t="n">
        <v>0</v>
      </c>
      <c r="S945" t="n">
        <v>0</v>
      </c>
      <c r="T945" t="n">
        <v>0</v>
      </c>
      <c r="U945" t="n">
        <v>0</v>
      </c>
      <c r="V945" s="2" t="inlineStr"/>
    </row>
    <row r="946" ht="15" customHeight="1">
      <c r="A946" t="inlineStr">
        <is>
          <t>A 21660-2025</t>
        </is>
      </c>
      <c r="B946" t="inlineStr">
        <is>
          <t>avverkningsanmälan</t>
        </is>
      </c>
      <c r="C946" t="inlineStr">
        <is>
          <t>Föryngringsavverkning</t>
        </is>
      </c>
      <c r="D946" s="1" t="n">
        <v>45783</v>
      </c>
      <c r="E946" s="1" t="n">
        <v>46323</v>
      </c>
      <c r="F946" t="inlineStr">
        <is>
          <t>KALMAR LÄN</t>
        </is>
      </c>
      <c r="G946" t="inlineStr">
        <is>
          <t>VÄSTERVIK</t>
        </is>
      </c>
      <c r="I946" t="n">
        <v>1.7</v>
      </c>
      <c r="J946" t="n">
        <v>0</v>
      </c>
      <c r="K946" t="n">
        <v>0</v>
      </c>
      <c r="L946" t="n">
        <v>0</v>
      </c>
      <c r="M946" t="n">
        <v>0</v>
      </c>
      <c r="N946" t="n">
        <v>0</v>
      </c>
      <c r="O946" t="n">
        <v>0</v>
      </c>
      <c r="P946" t="n">
        <v>0</v>
      </c>
      <c r="Q946" t="n">
        <v>0</v>
      </c>
      <c r="R946" t="n">
        <v>0</v>
      </c>
      <c r="S946" t="n">
        <v>0</v>
      </c>
      <c r="T946" t="n">
        <v>0</v>
      </c>
      <c r="U946" t="n">
        <v>0</v>
      </c>
      <c r="V946" s="2" t="inlineStr"/>
    </row>
    <row r="947" ht="15" customHeight="1">
      <c r="A947" t="inlineStr">
        <is>
          <t>A 8593-2023</t>
        </is>
      </c>
      <c r="B947" t="inlineStr">
        <is>
          <t>avverkningsanmälan</t>
        </is>
      </c>
      <c r="C947" t="inlineStr">
        <is>
          <t>Föryngringsavverkning</t>
        </is>
      </c>
      <c r="D947" s="1" t="n">
        <v>44977</v>
      </c>
      <c r="E947" s="1" t="n">
        <v>46323</v>
      </c>
      <c r="F947" t="inlineStr">
        <is>
          <t>KALMAR LÄN</t>
        </is>
      </c>
      <c r="G947" t="inlineStr">
        <is>
          <t>VÄSTERVIK</t>
        </is>
      </c>
      <c r="I947" t="n">
        <v>1.2</v>
      </c>
      <c r="J947" t="n">
        <v>0</v>
      </c>
      <c r="K947" t="n">
        <v>0</v>
      </c>
      <c r="L947" t="n">
        <v>0</v>
      </c>
      <c r="M947" t="n">
        <v>0</v>
      </c>
      <c r="N947" t="n">
        <v>0</v>
      </c>
      <c r="O947" t="n">
        <v>0</v>
      </c>
      <c r="P947" t="n">
        <v>0</v>
      </c>
      <c r="Q947" t="n">
        <v>0</v>
      </c>
      <c r="R947" t="n">
        <v>0</v>
      </c>
      <c r="S947" t="n">
        <v>0</v>
      </c>
      <c r="T947" t="n">
        <v>0</v>
      </c>
      <c r="U947" t="n">
        <v>0</v>
      </c>
      <c r="V947" s="2" t="inlineStr"/>
    </row>
    <row r="948" ht="15" customHeight="1">
      <c r="A948" t="inlineStr">
        <is>
          <t>A 20483-2025</t>
        </is>
      </c>
      <c r="B948" t="inlineStr">
        <is>
          <t>avverkningsanmälan</t>
        </is>
      </c>
      <c r="C948" t="inlineStr">
        <is>
          <t>Föryngringsavverkning</t>
        </is>
      </c>
      <c r="D948" s="1" t="n">
        <v>45775</v>
      </c>
      <c r="E948" s="1" t="n">
        <v>46323</v>
      </c>
      <c r="F948" t="inlineStr">
        <is>
          <t>KALMAR LÄN</t>
        </is>
      </c>
      <c r="G948" t="inlineStr">
        <is>
          <t>VÄSTERVIK</t>
        </is>
      </c>
      <c r="I948" t="n">
        <v>1</v>
      </c>
      <c r="J948" t="n">
        <v>0</v>
      </c>
      <c r="K948" t="n">
        <v>0</v>
      </c>
      <c r="L948" t="n">
        <v>0</v>
      </c>
      <c r="M948" t="n">
        <v>0</v>
      </c>
      <c r="N948" t="n">
        <v>0</v>
      </c>
      <c r="O948" t="n">
        <v>0</v>
      </c>
      <c r="P948" t="n">
        <v>0</v>
      </c>
      <c r="Q948" t="n">
        <v>0</v>
      </c>
      <c r="R948" t="n">
        <v>0</v>
      </c>
      <c r="S948" t="n">
        <v>0</v>
      </c>
      <c r="T948" t="n">
        <v>0</v>
      </c>
      <c r="U948" t="n">
        <v>0</v>
      </c>
      <c r="V948" s="2" t="inlineStr"/>
    </row>
    <row r="949" ht="15" customHeight="1">
      <c r="A949" t="inlineStr">
        <is>
          <t>A 36754-2025</t>
        </is>
      </c>
      <c r="B949" t="inlineStr">
        <is>
          <t>avverkningsanmälan</t>
        </is>
      </c>
      <c r="C949" t="inlineStr">
        <is>
          <t>Föryngringsavverkning</t>
        </is>
      </c>
      <c r="D949" s="1" t="n">
        <v>45873</v>
      </c>
      <c r="E949" s="1" t="n">
        <v>46323</v>
      </c>
      <c r="F949" t="inlineStr">
        <is>
          <t>KALMAR LÄN</t>
        </is>
      </c>
      <c r="G949" t="inlineStr">
        <is>
          <t>VÄSTERVIK</t>
        </is>
      </c>
      <c r="I949" t="n">
        <v>1.1</v>
      </c>
      <c r="J949" t="n">
        <v>0</v>
      </c>
      <c r="K949" t="n">
        <v>0</v>
      </c>
      <c r="L949" t="n">
        <v>0</v>
      </c>
      <c r="M949" t="n">
        <v>0</v>
      </c>
      <c r="N949" t="n">
        <v>0</v>
      </c>
      <c r="O949" t="n">
        <v>0</v>
      </c>
      <c r="P949" t="n">
        <v>0</v>
      </c>
      <c r="Q949" t="n">
        <v>0</v>
      </c>
      <c r="R949" t="n">
        <v>0</v>
      </c>
      <c r="S949" t="n">
        <v>0</v>
      </c>
      <c r="T949" t="n">
        <v>0</v>
      </c>
      <c r="U949" t="n">
        <v>0</v>
      </c>
      <c r="V949" s="2" t="inlineStr"/>
    </row>
    <row r="950" ht="15" customHeight="1">
      <c r="A950" t="inlineStr">
        <is>
          <t>A 37523-2025</t>
        </is>
      </c>
      <c r="B950" t="inlineStr">
        <is>
          <t>avverkningsanmälan</t>
        </is>
      </c>
      <c r="C950" t="inlineStr">
        <is>
          <t>Föryngringsavverkning</t>
        </is>
      </c>
      <c r="D950" s="1" t="n">
        <v>45877</v>
      </c>
      <c r="E950" s="1" t="n">
        <v>46323</v>
      </c>
      <c r="F950" t="inlineStr">
        <is>
          <t>KALMAR LÄN</t>
        </is>
      </c>
      <c r="G950" t="inlineStr">
        <is>
          <t>VÄSTERVIK</t>
        </is>
      </c>
      <c r="I950" t="n">
        <v>0.7</v>
      </c>
      <c r="J950" t="n">
        <v>0</v>
      </c>
      <c r="K950" t="n">
        <v>0</v>
      </c>
      <c r="L950" t="n">
        <v>0</v>
      </c>
      <c r="M950" t="n">
        <v>0</v>
      </c>
      <c r="N950" t="n">
        <v>0</v>
      </c>
      <c r="O950" t="n">
        <v>0</v>
      </c>
      <c r="P950" t="n">
        <v>0</v>
      </c>
      <c r="Q950" t="n">
        <v>0</v>
      </c>
      <c r="R950" t="n">
        <v>0</v>
      </c>
      <c r="S950" t="n">
        <v>0</v>
      </c>
      <c r="T950" t="n">
        <v>0</v>
      </c>
      <c r="U950" t="n">
        <v>0</v>
      </c>
      <c r="V950" s="2" t="inlineStr"/>
    </row>
    <row r="951" ht="15" customHeight="1">
      <c r="A951" t="inlineStr">
        <is>
          <t>A 25190-2026</t>
        </is>
      </c>
      <c r="B951" t="inlineStr">
        <is>
          <t>avverkningsanmälan</t>
        </is>
      </c>
      <c r="C951" t="inlineStr">
        <is>
          <t>Föryngringsavverkning</t>
        </is>
      </c>
      <c r="D951" s="1" t="n">
        <v>46175</v>
      </c>
      <c r="E951" s="1" t="n">
        <v>46323</v>
      </c>
      <c r="F951" t="inlineStr">
        <is>
          <t>KALMAR LÄN</t>
        </is>
      </c>
      <c r="G951" t="inlineStr">
        <is>
          <t>VÄSTERVIK</t>
        </is>
      </c>
      <c r="I951" t="n">
        <v>1.3</v>
      </c>
      <c r="J951" t="n">
        <v>0</v>
      </c>
      <c r="K951" t="n">
        <v>0</v>
      </c>
      <c r="L951" t="n">
        <v>0</v>
      </c>
      <c r="M951" t="n">
        <v>0</v>
      </c>
      <c r="N951" t="n">
        <v>0</v>
      </c>
      <c r="O951" t="n">
        <v>0</v>
      </c>
      <c r="P951" t="n">
        <v>0</v>
      </c>
      <c r="Q951" t="n">
        <v>0</v>
      </c>
      <c r="R951" t="n">
        <v>0</v>
      </c>
      <c r="S951" t="n">
        <v>0</v>
      </c>
      <c r="T951" t="n">
        <v>0</v>
      </c>
      <c r="U951" t="n">
        <v>0</v>
      </c>
      <c r="V951" s="2" t="inlineStr"/>
    </row>
    <row r="952" ht="15" customHeight="1">
      <c r="A952" t="inlineStr">
        <is>
          <t>A 10778-2025</t>
        </is>
      </c>
      <c r="B952" t="inlineStr">
        <is>
          <t>avverkningsanmälan</t>
        </is>
      </c>
      <c r="C952" t="inlineStr">
        <is>
          <t>Föryngringsavverkning</t>
        </is>
      </c>
      <c r="D952" s="1" t="n">
        <v>45722</v>
      </c>
      <c r="E952" s="1" t="n">
        <v>46323</v>
      </c>
      <c r="F952" t="inlineStr">
        <is>
          <t>KALMAR LÄN</t>
        </is>
      </c>
      <c r="G952" t="inlineStr">
        <is>
          <t>VÄSTERVIK</t>
        </is>
      </c>
      <c r="I952" t="n">
        <v>0.6</v>
      </c>
      <c r="J952" t="n">
        <v>0</v>
      </c>
      <c r="K952" t="n">
        <v>0</v>
      </c>
      <c r="L952" t="n">
        <v>0</v>
      </c>
      <c r="M952" t="n">
        <v>0</v>
      </c>
      <c r="N952" t="n">
        <v>0</v>
      </c>
      <c r="O952" t="n">
        <v>0</v>
      </c>
      <c r="P952" t="n">
        <v>0</v>
      </c>
      <c r="Q952" t="n">
        <v>0</v>
      </c>
      <c r="R952" t="n">
        <v>0</v>
      </c>
      <c r="S952" t="n">
        <v>0</v>
      </c>
      <c r="T952" t="n">
        <v>0</v>
      </c>
      <c r="U952" t="n">
        <v>0</v>
      </c>
      <c r="V952" s="2" t="inlineStr"/>
    </row>
    <row r="953" ht="15" customHeight="1">
      <c r="A953" t="inlineStr">
        <is>
          <t>A 26626-2026</t>
        </is>
      </c>
      <c r="B953" t="inlineStr">
        <is>
          <t>avverkningsanmälan</t>
        </is>
      </c>
      <c r="C953" t="inlineStr">
        <is>
          <t>Föryngringsavverkning</t>
        </is>
      </c>
      <c r="D953" s="1" t="n">
        <v>46184</v>
      </c>
      <c r="E953" s="1" t="n">
        <v>46323</v>
      </c>
      <c r="F953" t="inlineStr">
        <is>
          <t>KALMAR LÄN</t>
        </is>
      </c>
      <c r="G953" t="inlineStr">
        <is>
          <t>VÄSTERVIK</t>
        </is>
      </c>
      <c r="H953" t="inlineStr">
        <is>
          <t>Sveaskog</t>
        </is>
      </c>
      <c r="I953" t="n">
        <v>4.5</v>
      </c>
      <c r="J953" t="n">
        <v>0</v>
      </c>
      <c r="K953" t="n">
        <v>0</v>
      </c>
      <c r="L953" t="n">
        <v>0</v>
      </c>
      <c r="M953" t="n">
        <v>0</v>
      </c>
      <c r="N953" t="n">
        <v>0</v>
      </c>
      <c r="O953" t="n">
        <v>0</v>
      </c>
      <c r="P953" t="n">
        <v>0</v>
      </c>
      <c r="Q953" t="n">
        <v>0</v>
      </c>
      <c r="R953" t="n">
        <v>0</v>
      </c>
      <c r="S953" t="n">
        <v>0</v>
      </c>
      <c r="T953" t="n">
        <v>0</v>
      </c>
      <c r="U953" t="n">
        <v>0</v>
      </c>
      <c r="V953" s="2" t="inlineStr"/>
    </row>
    <row r="954" ht="15" customHeight="1">
      <c r="A954" t="inlineStr">
        <is>
          <t>A 26628-2026</t>
        </is>
      </c>
      <c r="B954" t="inlineStr">
        <is>
          <t>avverkningsanmälan</t>
        </is>
      </c>
      <c r="C954" t="inlineStr">
        <is>
          <t>Föryngringsavverkning</t>
        </is>
      </c>
      <c r="D954" s="1" t="n">
        <v>46184</v>
      </c>
      <c r="E954" s="1" t="n">
        <v>46323</v>
      </c>
      <c r="F954" t="inlineStr">
        <is>
          <t>KALMAR LÄN</t>
        </is>
      </c>
      <c r="G954" t="inlineStr">
        <is>
          <t>VÄSTERVIK</t>
        </is>
      </c>
      <c r="H954" t="inlineStr">
        <is>
          <t>Sveaskog</t>
        </is>
      </c>
      <c r="I954" t="n">
        <v>1.8</v>
      </c>
      <c r="J954" t="n">
        <v>0</v>
      </c>
      <c r="K954" t="n">
        <v>0</v>
      </c>
      <c r="L954" t="n">
        <v>0</v>
      </c>
      <c r="M954" t="n">
        <v>0</v>
      </c>
      <c r="N954" t="n">
        <v>0</v>
      </c>
      <c r="O954" t="n">
        <v>0</v>
      </c>
      <c r="P954" t="n">
        <v>0</v>
      </c>
      <c r="Q954" t="n">
        <v>0</v>
      </c>
      <c r="R954" t="n">
        <v>0</v>
      </c>
      <c r="S954" t="n">
        <v>0</v>
      </c>
      <c r="T954" t="n">
        <v>0</v>
      </c>
      <c r="U954" t="n">
        <v>0</v>
      </c>
      <c r="V954" s="2" t="inlineStr"/>
    </row>
    <row r="955" ht="15" customHeight="1">
      <c r="A955" t="inlineStr">
        <is>
          <t>A 26635-2026</t>
        </is>
      </c>
      <c r="B955" t="inlineStr">
        <is>
          <t>avverkningsanmälan</t>
        </is>
      </c>
      <c r="C955" t="inlineStr">
        <is>
          <t>Föryngringsavverkning</t>
        </is>
      </c>
      <c r="D955" s="1" t="n">
        <v>46184</v>
      </c>
      <c r="E955" s="1" t="n">
        <v>46323</v>
      </c>
      <c r="F955" t="inlineStr">
        <is>
          <t>KALMAR LÄN</t>
        </is>
      </c>
      <c r="G955" t="inlineStr">
        <is>
          <t>VÄSTERVIK</t>
        </is>
      </c>
      <c r="H955" t="inlineStr">
        <is>
          <t>Sveaskog</t>
        </is>
      </c>
      <c r="I955" t="n">
        <v>0.6</v>
      </c>
      <c r="J955" t="n">
        <v>0</v>
      </c>
      <c r="K955" t="n">
        <v>0</v>
      </c>
      <c r="L955" t="n">
        <v>0</v>
      </c>
      <c r="M955" t="n">
        <v>0</v>
      </c>
      <c r="N955" t="n">
        <v>0</v>
      </c>
      <c r="O955" t="n">
        <v>0</v>
      </c>
      <c r="P955" t="n">
        <v>0</v>
      </c>
      <c r="Q955" t="n">
        <v>0</v>
      </c>
      <c r="R955" t="n">
        <v>0</v>
      </c>
      <c r="S955" t="n">
        <v>0</v>
      </c>
      <c r="T955" t="n">
        <v>0</v>
      </c>
      <c r="U955" t="n">
        <v>0</v>
      </c>
      <c r="V955" s="2" t="inlineStr"/>
    </row>
    <row r="956" ht="15" customHeight="1">
      <c r="A956" t="inlineStr">
        <is>
          <t>A 26624-2026</t>
        </is>
      </c>
      <c r="B956" t="inlineStr">
        <is>
          <t>avverkningsanmälan</t>
        </is>
      </c>
      <c r="C956" t="inlineStr">
        <is>
          <t>Föryngringsavverkning</t>
        </is>
      </c>
      <c r="D956" s="1" t="n">
        <v>46184</v>
      </c>
      <c r="E956" s="1" t="n">
        <v>46323</v>
      </c>
      <c r="F956" t="inlineStr">
        <is>
          <t>KALMAR LÄN</t>
        </is>
      </c>
      <c r="G956" t="inlineStr">
        <is>
          <t>VÄSTERVIK</t>
        </is>
      </c>
      <c r="H956" t="inlineStr">
        <is>
          <t>Sveaskog</t>
        </is>
      </c>
      <c r="I956" t="n">
        <v>5.9</v>
      </c>
      <c r="J956" t="n">
        <v>0</v>
      </c>
      <c r="K956" t="n">
        <v>0</v>
      </c>
      <c r="L956" t="n">
        <v>0</v>
      </c>
      <c r="M956" t="n">
        <v>0</v>
      </c>
      <c r="N956" t="n">
        <v>0</v>
      </c>
      <c r="O956" t="n">
        <v>0</v>
      </c>
      <c r="P956" t="n">
        <v>0</v>
      </c>
      <c r="Q956" t="n">
        <v>0</v>
      </c>
      <c r="R956" t="n">
        <v>0</v>
      </c>
      <c r="S956" t="n">
        <v>0</v>
      </c>
      <c r="T956" t="n">
        <v>0</v>
      </c>
      <c r="U956" t="n">
        <v>0</v>
      </c>
      <c r="V956" s="2" t="inlineStr"/>
    </row>
    <row r="957" ht="15" customHeight="1">
      <c r="A957" t="inlineStr">
        <is>
          <t>A 26638-2026</t>
        </is>
      </c>
      <c r="B957" t="inlineStr">
        <is>
          <t>avverkningsanmälan</t>
        </is>
      </c>
      <c r="C957" t="inlineStr">
        <is>
          <t>Föryngringsavverkning</t>
        </is>
      </c>
      <c r="D957" s="1" t="n">
        <v>46184</v>
      </c>
      <c r="E957" s="1" t="n">
        <v>46323</v>
      </c>
      <c r="F957" t="inlineStr">
        <is>
          <t>KALMAR LÄN</t>
        </is>
      </c>
      <c r="G957" t="inlineStr">
        <is>
          <t>VÄSTERVIK</t>
        </is>
      </c>
      <c r="H957" t="inlineStr">
        <is>
          <t>Sveaskog</t>
        </is>
      </c>
      <c r="I957" t="n">
        <v>0.6</v>
      </c>
      <c r="J957" t="n">
        <v>0</v>
      </c>
      <c r="K957" t="n">
        <v>0</v>
      </c>
      <c r="L957" t="n">
        <v>0</v>
      </c>
      <c r="M957" t="n">
        <v>0</v>
      </c>
      <c r="N957" t="n">
        <v>0</v>
      </c>
      <c r="O957" t="n">
        <v>0</v>
      </c>
      <c r="P957" t="n">
        <v>0</v>
      </c>
      <c r="Q957" t="n">
        <v>0</v>
      </c>
      <c r="R957" t="n">
        <v>0</v>
      </c>
      <c r="S957" t="n">
        <v>0</v>
      </c>
      <c r="T957" t="n">
        <v>0</v>
      </c>
      <c r="U957" t="n">
        <v>0</v>
      </c>
      <c r="V957" s="2" t="inlineStr"/>
    </row>
    <row r="958" ht="15" customHeight="1">
      <c r="A958" t="inlineStr">
        <is>
          <t>A 27429-2026</t>
        </is>
      </c>
      <c r="B958" t="inlineStr">
        <is>
          <t>avverkningsanmälan</t>
        </is>
      </c>
      <c r="C958" t="inlineStr">
        <is>
          <t>Föryngringsavverkning</t>
        </is>
      </c>
      <c r="D958" s="1" t="n">
        <v>46189</v>
      </c>
      <c r="E958" s="1" t="n">
        <v>46323</v>
      </c>
      <c r="F958" t="inlineStr">
        <is>
          <t>KALMAR LÄN</t>
        </is>
      </c>
      <c r="G958" t="inlineStr">
        <is>
          <t>VÄSTERVIK</t>
        </is>
      </c>
      <c r="I958" t="n">
        <v>1.4</v>
      </c>
      <c r="J958" t="n">
        <v>0</v>
      </c>
      <c r="K958" t="n">
        <v>0</v>
      </c>
      <c r="L958" t="n">
        <v>0</v>
      </c>
      <c r="M958" t="n">
        <v>0</v>
      </c>
      <c r="N958" t="n">
        <v>0</v>
      </c>
      <c r="O958" t="n">
        <v>0</v>
      </c>
      <c r="P958" t="n">
        <v>0</v>
      </c>
      <c r="Q958" t="n">
        <v>0</v>
      </c>
      <c r="R958" t="n">
        <v>0</v>
      </c>
      <c r="S958" t="n">
        <v>0</v>
      </c>
      <c r="T958" t="n">
        <v>0</v>
      </c>
      <c r="U958" t="n">
        <v>0</v>
      </c>
      <c r="V958" s="2" t="inlineStr"/>
    </row>
    <row r="959" ht="15" customHeight="1">
      <c r="A959" t="inlineStr">
        <is>
          <t>A 27597-2026</t>
        </is>
      </c>
      <c r="B959" t="inlineStr">
        <is>
          <t>avverkningsanmälan</t>
        </is>
      </c>
      <c r="C959" t="inlineStr">
        <is>
          <t>Föryngringsavverkning</t>
        </is>
      </c>
      <c r="D959" s="1" t="n">
        <v>46190</v>
      </c>
      <c r="E959" s="1" t="n">
        <v>46323</v>
      </c>
      <c r="F959" t="inlineStr">
        <is>
          <t>KALMAR LÄN</t>
        </is>
      </c>
      <c r="G959" t="inlineStr">
        <is>
          <t>VÄSTERVIK</t>
        </is>
      </c>
      <c r="I959" t="n">
        <v>4.8</v>
      </c>
      <c r="J959" t="n">
        <v>0</v>
      </c>
      <c r="K959" t="n">
        <v>0</v>
      </c>
      <c r="L959" t="n">
        <v>0</v>
      </c>
      <c r="M959" t="n">
        <v>0</v>
      </c>
      <c r="N959" t="n">
        <v>0</v>
      </c>
      <c r="O959" t="n">
        <v>0</v>
      </c>
      <c r="P959" t="n">
        <v>0</v>
      </c>
      <c r="Q959" t="n">
        <v>0</v>
      </c>
      <c r="R959" t="n">
        <v>0</v>
      </c>
      <c r="S959" t="n">
        <v>0</v>
      </c>
      <c r="T959" t="n">
        <v>0</v>
      </c>
      <c r="U959" t="n">
        <v>0</v>
      </c>
      <c r="V959" s="2" t="inlineStr"/>
    </row>
    <row r="960" ht="15" customHeight="1">
      <c r="A960" t="inlineStr">
        <is>
          <t>A 27961-2026</t>
        </is>
      </c>
      <c r="B960" t="inlineStr">
        <is>
          <t>avverkningsanmälan</t>
        </is>
      </c>
      <c r="C960" t="inlineStr">
        <is>
          <t>Föryngringsavverkning</t>
        </is>
      </c>
      <c r="D960" s="1" t="n">
        <v>46195</v>
      </c>
      <c r="E960" s="1" t="n">
        <v>46323</v>
      </c>
      <c r="F960" t="inlineStr">
        <is>
          <t>KALMAR LÄN</t>
        </is>
      </c>
      <c r="G960" t="inlineStr">
        <is>
          <t>VÄSTERVIK</t>
        </is>
      </c>
      <c r="I960" t="n">
        <v>2.5</v>
      </c>
      <c r="J960" t="n">
        <v>0</v>
      </c>
      <c r="K960" t="n">
        <v>0</v>
      </c>
      <c r="L960" t="n">
        <v>0</v>
      </c>
      <c r="M960" t="n">
        <v>0</v>
      </c>
      <c r="N960" t="n">
        <v>0</v>
      </c>
      <c r="O960" t="n">
        <v>0</v>
      </c>
      <c r="P960" t="n">
        <v>0</v>
      </c>
      <c r="Q960" t="n">
        <v>0</v>
      </c>
      <c r="R960" t="n">
        <v>0</v>
      </c>
      <c r="S960" t="n">
        <v>0</v>
      </c>
      <c r="T960" t="n">
        <v>0</v>
      </c>
      <c r="U960" t="n">
        <v>0</v>
      </c>
      <c r="V960" s="2" t="inlineStr"/>
    </row>
    <row r="961" ht="15" customHeight="1">
      <c r="A961" t="inlineStr">
        <is>
          <t>A 27962-2026</t>
        </is>
      </c>
      <c r="B961" t="inlineStr">
        <is>
          <t>avverkningsanmälan</t>
        </is>
      </c>
      <c r="C961" t="inlineStr">
        <is>
          <t>Föryngringsavverkning</t>
        </is>
      </c>
      <c r="D961" s="1" t="n">
        <v>46195</v>
      </c>
      <c r="E961" s="1" t="n">
        <v>46323</v>
      </c>
      <c r="F961" t="inlineStr">
        <is>
          <t>KALMAR LÄN</t>
        </is>
      </c>
      <c r="G961" t="inlineStr">
        <is>
          <t>VÄSTERVIK</t>
        </is>
      </c>
      <c r="I961" t="n">
        <v>0.5</v>
      </c>
      <c r="J961" t="n">
        <v>0</v>
      </c>
      <c r="K961" t="n">
        <v>0</v>
      </c>
      <c r="L961" t="n">
        <v>0</v>
      </c>
      <c r="M961" t="n">
        <v>0</v>
      </c>
      <c r="N961" t="n">
        <v>0</v>
      </c>
      <c r="O961" t="n">
        <v>0</v>
      </c>
      <c r="P961" t="n">
        <v>0</v>
      </c>
      <c r="Q961" t="n">
        <v>0</v>
      </c>
      <c r="R961" t="n">
        <v>0</v>
      </c>
      <c r="S961" t="n">
        <v>0</v>
      </c>
      <c r="T961" t="n">
        <v>0</v>
      </c>
      <c r="U961" t="n">
        <v>0</v>
      </c>
      <c r="V961" s="2" t="inlineStr"/>
    </row>
    <row r="962" ht="15" customHeight="1">
      <c r="A962" t="inlineStr">
        <is>
          <t>A 44461-2025</t>
        </is>
      </c>
      <c r="B962" t="inlineStr">
        <is>
          <t>avverkningsanmälan</t>
        </is>
      </c>
      <c r="C962" t="inlineStr">
        <is>
          <t>Föryngringsavverkning</t>
        </is>
      </c>
      <c r="D962" s="1" t="n">
        <v>45916</v>
      </c>
      <c r="E962" s="1" t="n">
        <v>46323</v>
      </c>
      <c r="F962" t="inlineStr">
        <is>
          <t>KALMAR LÄN</t>
        </is>
      </c>
      <c r="G962" t="inlineStr">
        <is>
          <t>VÄSTERVIK</t>
        </is>
      </c>
      <c r="I962" t="n">
        <v>3.4</v>
      </c>
      <c r="J962" t="n">
        <v>0</v>
      </c>
      <c r="K962" t="n">
        <v>0</v>
      </c>
      <c r="L962" t="n">
        <v>0</v>
      </c>
      <c r="M962" t="n">
        <v>0</v>
      </c>
      <c r="N962" t="n">
        <v>0</v>
      </c>
      <c r="O962" t="n">
        <v>0</v>
      </c>
      <c r="P962" t="n">
        <v>0</v>
      </c>
      <c r="Q962" t="n">
        <v>0</v>
      </c>
      <c r="R962" t="n">
        <v>0</v>
      </c>
      <c r="S962" t="n">
        <v>0</v>
      </c>
      <c r="T962" t="n">
        <v>0</v>
      </c>
      <c r="U962" t="n">
        <v>0</v>
      </c>
      <c r="V962" s="2" t="inlineStr"/>
    </row>
    <row r="963" ht="15" customHeight="1">
      <c r="A963" t="inlineStr">
        <is>
          <t>A 28447-2026</t>
        </is>
      </c>
      <c r="B963" t="inlineStr">
        <is>
          <t>avverkningsanmälan</t>
        </is>
      </c>
      <c r="C963" t="inlineStr">
        <is>
          <t>Avverkning för annat ändamål</t>
        </is>
      </c>
      <c r="D963" s="1" t="n">
        <v>46197</v>
      </c>
      <c r="E963" s="1" t="n">
        <v>46323</v>
      </c>
      <c r="F963" t="inlineStr">
        <is>
          <t>KALMAR LÄN</t>
        </is>
      </c>
      <c r="G963" t="inlineStr">
        <is>
          <t>VÄSTERVIK</t>
        </is>
      </c>
      <c r="I963" t="n">
        <v>0.6</v>
      </c>
      <c r="J963" t="n">
        <v>0</v>
      </c>
      <c r="K963" t="n">
        <v>0</v>
      </c>
      <c r="L963" t="n">
        <v>0</v>
      </c>
      <c r="M963" t="n">
        <v>0</v>
      </c>
      <c r="N963" t="n">
        <v>0</v>
      </c>
      <c r="O963" t="n">
        <v>0</v>
      </c>
      <c r="P963" t="n">
        <v>0</v>
      </c>
      <c r="Q963" t="n">
        <v>0</v>
      </c>
      <c r="R963" t="n">
        <v>0</v>
      </c>
      <c r="S963" t="n">
        <v>0</v>
      </c>
      <c r="T963" t="n">
        <v>0</v>
      </c>
      <c r="U963" t="n">
        <v>0</v>
      </c>
      <c r="V963" s="2" t="inlineStr"/>
    </row>
    <row r="964" ht="15" customHeight="1">
      <c r="A964" t="inlineStr">
        <is>
          <t>A 28453-2026</t>
        </is>
      </c>
      <c r="B964" t="inlineStr">
        <is>
          <t>avverkningsanmälan</t>
        </is>
      </c>
      <c r="C964" t="inlineStr">
        <is>
          <t>Avverkning för annat ändamål</t>
        </is>
      </c>
      <c r="D964" s="1" t="n">
        <v>46197</v>
      </c>
      <c r="E964" s="1" t="n">
        <v>46323</v>
      </c>
      <c r="F964" t="inlineStr">
        <is>
          <t>KALMAR LÄN</t>
        </is>
      </c>
      <c r="G964" t="inlineStr">
        <is>
          <t>VÄSTERVIK</t>
        </is>
      </c>
      <c r="I964" t="n">
        <v>4.8</v>
      </c>
      <c r="J964" t="n">
        <v>0</v>
      </c>
      <c r="K964" t="n">
        <v>0</v>
      </c>
      <c r="L964" t="n">
        <v>0</v>
      </c>
      <c r="M964" t="n">
        <v>0</v>
      </c>
      <c r="N964" t="n">
        <v>0</v>
      </c>
      <c r="O964" t="n">
        <v>0</v>
      </c>
      <c r="P964" t="n">
        <v>0</v>
      </c>
      <c r="Q964" t="n">
        <v>0</v>
      </c>
      <c r="R964" t="n">
        <v>0</v>
      </c>
      <c r="S964" t="n">
        <v>0</v>
      </c>
      <c r="T964" t="n">
        <v>0</v>
      </c>
      <c r="U964" t="n">
        <v>0</v>
      </c>
      <c r="V964" s="2" t="inlineStr"/>
    </row>
    <row r="965" ht="15" customHeight="1">
      <c r="A965" t="inlineStr">
        <is>
          <t>S 2596-2022</t>
        </is>
      </c>
      <c r="B965" t="inlineStr">
        <is>
          <t>samrådsanmälan</t>
        </is>
      </c>
      <c r="C965" t="inlineStr">
        <is>
          <t>Åtgärd i nyckelbiotop</t>
        </is>
      </c>
      <c r="D965" s="1" t="n">
        <v>44698</v>
      </c>
      <c r="E965" s="1" t="n">
        <v>46323</v>
      </c>
      <c r="F965" t="inlineStr">
        <is>
          <t>KALMAR LÄN</t>
        </is>
      </c>
      <c r="G965" t="inlineStr">
        <is>
          <t>VÄSTERVIK</t>
        </is>
      </c>
      <c r="I965" t="n">
        <v>0.5</v>
      </c>
      <c r="J965" t="n">
        <v>0</v>
      </c>
      <c r="K965" t="n">
        <v>0</v>
      </c>
      <c r="L965" t="n">
        <v>0</v>
      </c>
      <c r="M965" t="n">
        <v>0</v>
      </c>
      <c r="N965" t="n">
        <v>0</v>
      </c>
      <c r="O965" t="n">
        <v>0</v>
      </c>
      <c r="P965" t="n">
        <v>0</v>
      </c>
      <c r="Q965" t="n">
        <v>0</v>
      </c>
      <c r="R965" t="n">
        <v>0</v>
      </c>
      <c r="S965" t="n">
        <v>0</v>
      </c>
      <c r="T965" t="n">
        <v>0</v>
      </c>
      <c r="U965" t="n">
        <v>0</v>
      </c>
      <c r="V965" s="2" t="inlineStr"/>
    </row>
    <row r="966" ht="15" customHeight="1">
      <c r="A966" t="inlineStr">
        <is>
          <t>S 2908-2022</t>
        </is>
      </c>
      <c r="B966" t="inlineStr">
        <is>
          <t>samrådsanmälan</t>
        </is>
      </c>
      <c r="C966" t="inlineStr">
        <is>
          <t>Annan skogsbruksåtgärd</t>
        </is>
      </c>
      <c r="D966" s="1" t="n">
        <v>44711</v>
      </c>
      <c r="E966" s="1" t="n">
        <v>46323</v>
      </c>
      <c r="F966" t="inlineStr">
        <is>
          <t>KALMAR LÄN</t>
        </is>
      </c>
      <c r="G966" t="inlineStr">
        <is>
          <t>VÄSTERVIK</t>
        </is>
      </c>
      <c r="I966" t="n">
        <v>1.5</v>
      </c>
      <c r="J966" t="n">
        <v>0</v>
      </c>
      <c r="K966" t="n">
        <v>0</v>
      </c>
      <c r="L966" t="n">
        <v>0</v>
      </c>
      <c r="M966" t="n">
        <v>0</v>
      </c>
      <c r="N966" t="n">
        <v>0</v>
      </c>
      <c r="O966" t="n">
        <v>0</v>
      </c>
      <c r="P966" t="n">
        <v>0</v>
      </c>
      <c r="Q966" t="n">
        <v>0</v>
      </c>
      <c r="R966" t="n">
        <v>0</v>
      </c>
      <c r="S966" t="n">
        <v>0</v>
      </c>
      <c r="T966" t="n">
        <v>0</v>
      </c>
      <c r="U966" t="n">
        <v>0</v>
      </c>
      <c r="V966" s="2" t="inlineStr"/>
    </row>
    <row r="967" ht="15" customHeight="1">
      <c r="A967" t="inlineStr">
        <is>
          <t>S 2047-2022</t>
        </is>
      </c>
      <c r="B967" t="inlineStr">
        <is>
          <t>samrådsanmälan</t>
        </is>
      </c>
      <c r="C967" t="inlineStr">
        <is>
          <t>Åtgärd i nyckelbiotop</t>
        </is>
      </c>
      <c r="D967" s="1" t="n">
        <v>44671</v>
      </c>
      <c r="E967" s="1" t="n">
        <v>46323</v>
      </c>
      <c r="F967" t="inlineStr">
        <is>
          <t>KALMAR LÄN</t>
        </is>
      </c>
      <c r="G967" t="inlineStr">
        <is>
          <t>VÄSTERVIK</t>
        </is>
      </c>
      <c r="I967" t="n">
        <v>1.4</v>
      </c>
      <c r="J967" t="n">
        <v>0</v>
      </c>
      <c r="K967" t="n">
        <v>0</v>
      </c>
      <c r="L967" t="n">
        <v>0</v>
      </c>
      <c r="M967" t="n">
        <v>0</v>
      </c>
      <c r="N967" t="n">
        <v>0</v>
      </c>
      <c r="O967" t="n">
        <v>0</v>
      </c>
      <c r="P967" t="n">
        <v>0</v>
      </c>
      <c r="Q967" t="n">
        <v>0</v>
      </c>
      <c r="R967" t="n">
        <v>0</v>
      </c>
      <c r="S967" t="n">
        <v>0</v>
      </c>
      <c r="T967" t="n">
        <v>0</v>
      </c>
      <c r="U967" t="n">
        <v>0</v>
      </c>
      <c r="V967" s="2" t="inlineStr"/>
    </row>
    <row r="968" ht="15" customHeight="1">
      <c r="A968" t="inlineStr">
        <is>
          <t>S 5001-2024</t>
        </is>
      </c>
      <c r="B968" t="inlineStr">
        <is>
          <t>samrådsanmälan</t>
        </is>
      </c>
      <c r="C968" t="inlineStr">
        <is>
          <t>Annan skogsbruksåtgärd</t>
        </is>
      </c>
      <c r="D968" s="1" t="n">
        <v>45631</v>
      </c>
      <c r="E968" s="1" t="n">
        <v>46323</v>
      </c>
      <c r="F968" t="inlineStr">
        <is>
          <t>KALMAR LÄN</t>
        </is>
      </c>
      <c r="G968" t="inlineStr">
        <is>
          <t>VÄSTERVIK</t>
        </is>
      </c>
      <c r="I968" t="n">
        <v>0.5</v>
      </c>
      <c r="J968" t="n">
        <v>0</v>
      </c>
      <c r="K968" t="n">
        <v>0</v>
      </c>
      <c r="L968" t="n">
        <v>0</v>
      </c>
      <c r="M968" t="n">
        <v>0</v>
      </c>
      <c r="N968" t="n">
        <v>0</v>
      </c>
      <c r="O968" t="n">
        <v>0</v>
      </c>
      <c r="P968" t="n">
        <v>0</v>
      </c>
      <c r="Q968" t="n">
        <v>0</v>
      </c>
      <c r="R968" t="n">
        <v>0</v>
      </c>
      <c r="S968" t="n">
        <v>0</v>
      </c>
      <c r="T968" t="n">
        <v>0</v>
      </c>
      <c r="U968" t="n">
        <v>0</v>
      </c>
      <c r="V968" s="2" t="inlineStr"/>
    </row>
    <row r="969" ht="15" customHeight="1">
      <c r="A969" t="inlineStr">
        <is>
          <t>S 3215-2024</t>
        </is>
      </c>
      <c r="B969" t="inlineStr">
        <is>
          <t>samrådsanmälan</t>
        </is>
      </c>
      <c r="C969" t="inlineStr">
        <is>
          <t>Annan skogsbruksåtgärd</t>
        </is>
      </c>
      <c r="D969" s="1" t="n">
        <v>45525</v>
      </c>
      <c r="E969" s="1" t="n">
        <v>46323</v>
      </c>
      <c r="F969" t="inlineStr">
        <is>
          <t>KALMAR LÄN</t>
        </is>
      </c>
      <c r="G969" t="inlineStr">
        <is>
          <t>VÄSTERVIK</t>
        </is>
      </c>
      <c r="I969" t="n">
        <v>0</v>
      </c>
      <c r="J969" t="n">
        <v>0</v>
      </c>
      <c r="K969" t="n">
        <v>0</v>
      </c>
      <c r="L969" t="n">
        <v>0</v>
      </c>
      <c r="M969" t="n">
        <v>0</v>
      </c>
      <c r="N969" t="n">
        <v>0</v>
      </c>
      <c r="O969" t="n">
        <v>0</v>
      </c>
      <c r="P969" t="n">
        <v>0</v>
      </c>
      <c r="Q969" t="n">
        <v>0</v>
      </c>
      <c r="R969" t="n">
        <v>0</v>
      </c>
      <c r="S969" t="n">
        <v>0</v>
      </c>
      <c r="T969" t="n">
        <v>0</v>
      </c>
      <c r="U969" t="n">
        <v>0</v>
      </c>
      <c r="V969" s="2" t="inlineStr"/>
    </row>
    <row r="970" ht="15" customHeight="1">
      <c r="A970" t="inlineStr">
        <is>
          <t>S 1517-2023</t>
        </is>
      </c>
      <c r="B970" t="inlineStr">
        <is>
          <t>samrådsanmälan</t>
        </is>
      </c>
      <c r="C970" t="inlineStr">
        <is>
          <t>Annan skogsbruksåtgärd</t>
        </is>
      </c>
      <c r="D970" s="1" t="n">
        <v>45055</v>
      </c>
      <c r="E970" s="1" t="n">
        <v>46323</v>
      </c>
      <c r="F970" t="inlineStr">
        <is>
          <t>KALMAR LÄN</t>
        </is>
      </c>
      <c r="G970" t="inlineStr">
        <is>
          <t>VÄSTERVIK</t>
        </is>
      </c>
      <c r="H970" t="inlineStr">
        <is>
          <t>Kommuner</t>
        </is>
      </c>
      <c r="I970" t="n">
        <v>6.3</v>
      </c>
      <c r="J970" t="n">
        <v>0</v>
      </c>
      <c r="K970" t="n">
        <v>0</v>
      </c>
      <c r="L970" t="n">
        <v>0</v>
      </c>
      <c r="M970" t="n">
        <v>0</v>
      </c>
      <c r="N970" t="n">
        <v>0</v>
      </c>
      <c r="O970" t="n">
        <v>0</v>
      </c>
      <c r="P970" t="n">
        <v>0</v>
      </c>
      <c r="Q970" t="n">
        <v>0</v>
      </c>
      <c r="R970" t="n">
        <v>0</v>
      </c>
      <c r="S970" t="n">
        <v>0</v>
      </c>
      <c r="T970" t="n">
        <v>0</v>
      </c>
      <c r="U970" t="n">
        <v>0</v>
      </c>
      <c r="V970" s="2" t="inlineStr"/>
    </row>
    <row r="971" ht="15" customHeight="1">
      <c r="A971" t="inlineStr">
        <is>
          <t>S 1651-2023</t>
        </is>
      </c>
      <c r="B971" t="inlineStr">
        <is>
          <t>samrådsanmälan</t>
        </is>
      </c>
      <c r="C971" t="inlineStr">
        <is>
          <t>Annan skogsbruksåtgärd</t>
        </is>
      </c>
      <c r="D971" s="1" t="n">
        <v>45061</v>
      </c>
      <c r="E971" s="1" t="n">
        <v>46323</v>
      </c>
      <c r="F971" t="inlineStr">
        <is>
          <t>KALMAR LÄN</t>
        </is>
      </c>
      <c r="G971" t="inlineStr">
        <is>
          <t>VÄSTERVIK</t>
        </is>
      </c>
      <c r="I971" t="n">
        <v>2.3</v>
      </c>
      <c r="J971" t="n">
        <v>0</v>
      </c>
      <c r="K971" t="n">
        <v>0</v>
      </c>
      <c r="L971" t="n">
        <v>0</v>
      </c>
      <c r="M971" t="n">
        <v>0</v>
      </c>
      <c r="N971" t="n">
        <v>0</v>
      </c>
      <c r="O971" t="n">
        <v>0</v>
      </c>
      <c r="P971" t="n">
        <v>0</v>
      </c>
      <c r="Q971" t="n">
        <v>0</v>
      </c>
      <c r="R971" t="n">
        <v>0</v>
      </c>
      <c r="S971" t="n">
        <v>0</v>
      </c>
      <c r="T971" t="n">
        <v>0</v>
      </c>
      <c r="U971" t="n">
        <v>0</v>
      </c>
      <c r="V971" s="2" t="inlineStr"/>
    </row>
    <row r="972" ht="15" customHeight="1">
      <c r="A972" t="inlineStr">
        <is>
          <t>S 3344-2024</t>
        </is>
      </c>
      <c r="B972" t="inlineStr">
        <is>
          <t>samrådsanmälan</t>
        </is>
      </c>
      <c r="C972" t="inlineStr">
        <is>
          <t>Annan skogsbruksåtgärd</t>
        </is>
      </c>
      <c r="D972" s="1" t="n">
        <v>45531</v>
      </c>
      <c r="E972" s="1" t="n">
        <v>46323</v>
      </c>
      <c r="F972" t="inlineStr">
        <is>
          <t>KALMAR LÄN</t>
        </is>
      </c>
      <c r="G972" t="inlineStr">
        <is>
          <t>VÄSTERVIK</t>
        </is>
      </c>
      <c r="H972" t="inlineStr">
        <is>
          <t>Kommuner</t>
        </is>
      </c>
      <c r="I972" t="n">
        <v>0.6</v>
      </c>
      <c r="J972" t="n">
        <v>0</v>
      </c>
      <c r="K972" t="n">
        <v>0</v>
      </c>
      <c r="L972" t="n">
        <v>0</v>
      </c>
      <c r="M972" t="n">
        <v>0</v>
      </c>
      <c r="N972" t="n">
        <v>0</v>
      </c>
      <c r="O972" t="n">
        <v>0</v>
      </c>
      <c r="P972" t="n">
        <v>0</v>
      </c>
      <c r="Q972" t="n">
        <v>0</v>
      </c>
      <c r="R972" t="n">
        <v>0</v>
      </c>
      <c r="S972" t="n">
        <v>0</v>
      </c>
      <c r="T972" t="n">
        <v>0</v>
      </c>
      <c r="U972" t="n">
        <v>0</v>
      </c>
      <c r="V972" s="2" t="inlineStr"/>
    </row>
    <row r="973" ht="15" customHeight="1">
      <c r="A973" t="inlineStr">
        <is>
          <t>S 4371-2022</t>
        </is>
      </c>
      <c r="B973" t="inlineStr">
        <is>
          <t>samrådsanmälan</t>
        </is>
      </c>
      <c r="C973" t="inlineStr">
        <is>
          <t>Annan skogsbruksåtgärd</t>
        </is>
      </c>
      <c r="D973" s="1" t="n">
        <v>44783</v>
      </c>
      <c r="E973" s="1" t="n">
        <v>46323</v>
      </c>
      <c r="F973" t="inlineStr">
        <is>
          <t>KALMAR LÄN</t>
        </is>
      </c>
      <c r="G973" t="inlineStr">
        <is>
          <t>VÄSTERVIK</t>
        </is>
      </c>
      <c r="H973" t="inlineStr">
        <is>
          <t>Kommuner</t>
        </is>
      </c>
      <c r="I973" t="n">
        <v>1.8</v>
      </c>
      <c r="J973" t="n">
        <v>0</v>
      </c>
      <c r="K973" t="n">
        <v>0</v>
      </c>
      <c r="L973" t="n">
        <v>0</v>
      </c>
      <c r="M973" t="n">
        <v>0</v>
      </c>
      <c r="N973" t="n">
        <v>0</v>
      </c>
      <c r="O973" t="n">
        <v>0</v>
      </c>
      <c r="P973" t="n">
        <v>0</v>
      </c>
      <c r="Q973" t="n">
        <v>0</v>
      </c>
      <c r="R973" t="n">
        <v>0</v>
      </c>
      <c r="S973" t="n">
        <v>0</v>
      </c>
      <c r="T973" t="n">
        <v>0</v>
      </c>
      <c r="U973" t="n">
        <v>0</v>
      </c>
      <c r="V973" s="2" t="inlineStr"/>
    </row>
    <row r="974" ht="15" customHeight="1">
      <c r="A974" t="inlineStr">
        <is>
          <t>S 3566-2024</t>
        </is>
      </c>
      <c r="B974" t="inlineStr">
        <is>
          <t>samrådsanmälan</t>
        </is>
      </c>
      <c r="C974" t="inlineStr">
        <is>
          <t>Annan skogsbruksåtgärd</t>
        </is>
      </c>
      <c r="D974" s="1" t="n">
        <v>45545</v>
      </c>
      <c r="E974" s="1" t="n">
        <v>46323</v>
      </c>
      <c r="F974" t="inlineStr">
        <is>
          <t>KALMAR LÄN</t>
        </is>
      </c>
      <c r="G974" t="inlineStr">
        <is>
          <t>VÄSTERVIK</t>
        </is>
      </c>
      <c r="H974" t="inlineStr">
        <is>
          <t>Kommuner</t>
        </is>
      </c>
      <c r="I974" t="n">
        <v>2.8</v>
      </c>
      <c r="J974" t="n">
        <v>0</v>
      </c>
      <c r="K974" t="n">
        <v>0</v>
      </c>
      <c r="L974" t="n">
        <v>0</v>
      </c>
      <c r="M974" t="n">
        <v>0</v>
      </c>
      <c r="N974" t="n">
        <v>0</v>
      </c>
      <c r="O974" t="n">
        <v>0</v>
      </c>
      <c r="P974" t="n">
        <v>0</v>
      </c>
      <c r="Q974" t="n">
        <v>0</v>
      </c>
      <c r="R974" t="n">
        <v>0</v>
      </c>
      <c r="S974" t="n">
        <v>0</v>
      </c>
      <c r="T974" t="n">
        <v>0</v>
      </c>
      <c r="U974" t="n">
        <v>0</v>
      </c>
      <c r="V974" s="2" t="inlineStr"/>
    </row>
    <row r="975" ht="15" customHeight="1">
      <c r="A975" t="inlineStr">
        <is>
          <t>S 2347-2024</t>
        </is>
      </c>
      <c r="B975" t="inlineStr">
        <is>
          <t>samrådsanmälan</t>
        </is>
      </c>
      <c r="C975" t="inlineStr">
        <is>
          <t>Annan skogsbruksåtgärd</t>
        </is>
      </c>
      <c r="D975" s="1" t="n">
        <v>45467</v>
      </c>
      <c r="E975" s="1" t="n">
        <v>46323</v>
      </c>
      <c r="F975" t="inlineStr">
        <is>
          <t>KALMAR LÄN</t>
        </is>
      </c>
      <c r="G975" t="inlineStr">
        <is>
          <t>VÄSTERVIK</t>
        </is>
      </c>
      <c r="H975" t="inlineStr">
        <is>
          <t>Kommuner</t>
        </is>
      </c>
      <c r="I975" t="n">
        <v>1.8</v>
      </c>
      <c r="J975" t="n">
        <v>0</v>
      </c>
      <c r="K975" t="n">
        <v>0</v>
      </c>
      <c r="L975" t="n">
        <v>0</v>
      </c>
      <c r="M975" t="n">
        <v>0</v>
      </c>
      <c r="N975" t="n">
        <v>0</v>
      </c>
      <c r="O975" t="n">
        <v>0</v>
      </c>
      <c r="P975" t="n">
        <v>0</v>
      </c>
      <c r="Q975" t="n">
        <v>0</v>
      </c>
      <c r="R975" t="n">
        <v>0</v>
      </c>
      <c r="S975" t="n">
        <v>0</v>
      </c>
      <c r="T975" t="n">
        <v>0</v>
      </c>
      <c r="U975" t="n">
        <v>0</v>
      </c>
      <c r="V975" s="2" t="inlineStr"/>
    </row>
    <row r="976" ht="15" customHeight="1">
      <c r="A976" t="inlineStr">
        <is>
          <t>S 88-2025</t>
        </is>
      </c>
      <c r="B976" t="inlineStr">
        <is>
          <t>samrådsanmälan</t>
        </is>
      </c>
      <c r="C976" t="inlineStr">
        <is>
          <t>Annan skogsbruksåtgärd</t>
        </is>
      </c>
      <c r="D976" s="1" t="n">
        <v>45670</v>
      </c>
      <c r="E976" s="1" t="n">
        <v>46323</v>
      </c>
      <c r="F976" t="inlineStr">
        <is>
          <t>KALMAR LÄN</t>
        </is>
      </c>
      <c r="G976" t="inlineStr">
        <is>
          <t>VÄSTERVIK</t>
        </is>
      </c>
      <c r="I976" t="n">
        <v>2.7</v>
      </c>
      <c r="J976" t="n">
        <v>0</v>
      </c>
      <c r="K976" t="n">
        <v>0</v>
      </c>
      <c r="L976" t="n">
        <v>0</v>
      </c>
      <c r="M976" t="n">
        <v>0</v>
      </c>
      <c r="N976" t="n">
        <v>0</v>
      </c>
      <c r="O976" t="n">
        <v>0</v>
      </c>
      <c r="P976" t="n">
        <v>0</v>
      </c>
      <c r="Q976" t="n">
        <v>0</v>
      </c>
      <c r="R976" t="n">
        <v>0</v>
      </c>
      <c r="S976" t="n">
        <v>0</v>
      </c>
      <c r="T976" t="n">
        <v>0</v>
      </c>
      <c r="U976" t="n">
        <v>0</v>
      </c>
      <c r="V976" s="2" t="inlineStr"/>
    </row>
    <row r="977" ht="15" customHeight="1">
      <c r="A977" t="inlineStr">
        <is>
          <t>S 565-2024</t>
        </is>
      </c>
      <c r="B977" t="inlineStr">
        <is>
          <t>samrådsanmälan</t>
        </is>
      </c>
      <c r="C977" t="inlineStr">
        <is>
          <t>Annan skogsbruksåtgärd</t>
        </is>
      </c>
      <c r="D977" s="1" t="n">
        <v>45351</v>
      </c>
      <c r="E977" s="1" t="n">
        <v>46323</v>
      </c>
      <c r="F977" t="inlineStr">
        <is>
          <t>KALMAR LÄN</t>
        </is>
      </c>
      <c r="G977" t="inlineStr">
        <is>
          <t>VÄSTERVIK</t>
        </is>
      </c>
      <c r="H977" t="inlineStr">
        <is>
          <t>Kommuner</t>
        </is>
      </c>
      <c r="I977" t="n">
        <v>0</v>
      </c>
      <c r="J977" t="n">
        <v>0</v>
      </c>
      <c r="K977" t="n">
        <v>0</v>
      </c>
      <c r="L977" t="n">
        <v>0</v>
      </c>
      <c r="M977" t="n">
        <v>0</v>
      </c>
      <c r="N977" t="n">
        <v>0</v>
      </c>
      <c r="O977" t="n">
        <v>0</v>
      </c>
      <c r="P977" t="n">
        <v>0</v>
      </c>
      <c r="Q977" t="n">
        <v>0</v>
      </c>
      <c r="R977" t="n">
        <v>0</v>
      </c>
      <c r="S977" t="n">
        <v>0</v>
      </c>
      <c r="T977" t="n">
        <v>0</v>
      </c>
      <c r="U977" t="n">
        <v>0</v>
      </c>
      <c r="V977" s="2" t="inlineStr"/>
    </row>
    <row r="978" ht="15" customHeight="1">
      <c r="A978" t="inlineStr">
        <is>
          <t>S 803-2024</t>
        </is>
      </c>
      <c r="B978" t="inlineStr">
        <is>
          <t>samrådsanmälan</t>
        </is>
      </c>
      <c r="C978" t="inlineStr">
        <is>
          <t>Annan skogsbruksåtgärd</t>
        </is>
      </c>
      <c r="D978" s="1" t="n">
        <v>45371</v>
      </c>
      <c r="E978" s="1" t="n">
        <v>46323</v>
      </c>
      <c r="F978" t="inlineStr">
        <is>
          <t>KALMAR LÄN</t>
        </is>
      </c>
      <c r="G978" t="inlineStr">
        <is>
          <t>VÄSTERVIK</t>
        </is>
      </c>
      <c r="H978" t="inlineStr">
        <is>
          <t>Kommuner</t>
        </is>
      </c>
      <c r="I978" t="n">
        <v>0</v>
      </c>
      <c r="J978" t="n">
        <v>0</v>
      </c>
      <c r="K978" t="n">
        <v>0</v>
      </c>
      <c r="L978" t="n">
        <v>0</v>
      </c>
      <c r="M978" t="n">
        <v>0</v>
      </c>
      <c r="N978" t="n">
        <v>0</v>
      </c>
      <c r="O978" t="n">
        <v>0</v>
      </c>
      <c r="P978" t="n">
        <v>0</v>
      </c>
      <c r="Q978" t="n">
        <v>0</v>
      </c>
      <c r="R978" t="n">
        <v>0</v>
      </c>
      <c r="S978" t="n">
        <v>0</v>
      </c>
      <c r="T978" t="n">
        <v>0</v>
      </c>
      <c r="U978" t="n">
        <v>0</v>
      </c>
      <c r="V978" s="2" t="inlineStr"/>
    </row>
    <row r="979" ht="15" customHeight="1">
      <c r="A979" t="inlineStr">
        <is>
          <t>S 806-2024</t>
        </is>
      </c>
      <c r="B979" t="inlineStr">
        <is>
          <t>samrådsanmälan</t>
        </is>
      </c>
      <c r="C979" t="inlineStr">
        <is>
          <t>Annan skogsbruksåtgärd</t>
        </is>
      </c>
      <c r="D979" s="1" t="n">
        <v>45371</v>
      </c>
      <c r="E979" s="1" t="n">
        <v>46323</v>
      </c>
      <c r="F979" t="inlineStr">
        <is>
          <t>KALMAR LÄN</t>
        </is>
      </c>
      <c r="G979" t="inlineStr">
        <is>
          <t>VÄSTERVIK</t>
        </is>
      </c>
      <c r="H979" t="inlineStr">
        <is>
          <t>Kommuner</t>
        </is>
      </c>
      <c r="I979" t="n">
        <v>0</v>
      </c>
      <c r="J979" t="n">
        <v>0</v>
      </c>
      <c r="K979" t="n">
        <v>0</v>
      </c>
      <c r="L979" t="n">
        <v>0</v>
      </c>
      <c r="M979" t="n">
        <v>0</v>
      </c>
      <c r="N979" t="n">
        <v>0</v>
      </c>
      <c r="O979" t="n">
        <v>0</v>
      </c>
      <c r="P979" t="n">
        <v>0</v>
      </c>
      <c r="Q979" t="n">
        <v>0</v>
      </c>
      <c r="R979" t="n">
        <v>0</v>
      </c>
      <c r="S979" t="n">
        <v>0</v>
      </c>
      <c r="T979" t="n">
        <v>0</v>
      </c>
      <c r="U979" t="n">
        <v>0</v>
      </c>
      <c r="V979" s="2" t="inlineStr"/>
    </row>
    <row r="980" ht="15" customHeight="1">
      <c r="A980" t="inlineStr">
        <is>
          <t>S 5057-2024</t>
        </is>
      </c>
      <c r="B980" t="inlineStr">
        <is>
          <t>samrådsanmälan</t>
        </is>
      </c>
      <c r="C980" t="inlineStr">
        <is>
          <t>Annan skogsbruksåtgärd</t>
        </is>
      </c>
      <c r="D980" s="1" t="n">
        <v>45637</v>
      </c>
      <c r="E980" s="1" t="n">
        <v>46323</v>
      </c>
      <c r="F980" t="inlineStr">
        <is>
          <t>KALMAR LÄN</t>
        </is>
      </c>
      <c r="G980" t="inlineStr">
        <is>
          <t>VÄSTERVIK</t>
        </is>
      </c>
      <c r="I980" t="n">
        <v>1.3</v>
      </c>
      <c r="J980" t="n">
        <v>0</v>
      </c>
      <c r="K980" t="n">
        <v>0</v>
      </c>
      <c r="L980" t="n">
        <v>0</v>
      </c>
      <c r="M980" t="n">
        <v>0</v>
      </c>
      <c r="N980" t="n">
        <v>0</v>
      </c>
      <c r="O980" t="n">
        <v>0</v>
      </c>
      <c r="P980" t="n">
        <v>0</v>
      </c>
      <c r="Q980" t="n">
        <v>0</v>
      </c>
      <c r="R980" t="n">
        <v>0</v>
      </c>
      <c r="S980" t="n">
        <v>0</v>
      </c>
      <c r="T980" t="n">
        <v>0</v>
      </c>
      <c r="U980" t="n">
        <v>0</v>
      </c>
      <c r="V980" s="2" t="inlineStr"/>
    </row>
    <row r="981" ht="15" customHeight="1">
      <c r="A981" t="inlineStr">
        <is>
          <t>S 3216-2024</t>
        </is>
      </c>
      <c r="B981" t="inlineStr">
        <is>
          <t>samrådsanmälan</t>
        </is>
      </c>
      <c r="C981" t="inlineStr">
        <is>
          <t>Annan skogsbruksåtgärd</t>
        </is>
      </c>
      <c r="D981" s="1" t="n">
        <v>45525</v>
      </c>
      <c r="E981" s="1" t="n">
        <v>46323</v>
      </c>
      <c r="F981" t="inlineStr">
        <is>
          <t>KALMAR LÄN</t>
        </is>
      </c>
      <c r="G981" t="inlineStr">
        <is>
          <t>VÄSTERVIK</t>
        </is>
      </c>
      <c r="H981" t="inlineStr">
        <is>
          <t>Kommuner</t>
        </is>
      </c>
      <c r="I981" t="n">
        <v>5.9</v>
      </c>
      <c r="J981" t="n">
        <v>0</v>
      </c>
      <c r="K981" t="n">
        <v>0</v>
      </c>
      <c r="L981" t="n">
        <v>0</v>
      </c>
      <c r="M981" t="n">
        <v>0</v>
      </c>
      <c r="N981" t="n">
        <v>0</v>
      </c>
      <c r="O981" t="n">
        <v>0</v>
      </c>
      <c r="P981" t="n">
        <v>0</v>
      </c>
      <c r="Q981" t="n">
        <v>0</v>
      </c>
      <c r="R981" t="n">
        <v>0</v>
      </c>
      <c r="S981" t="n">
        <v>0</v>
      </c>
      <c r="T981" t="n">
        <v>0</v>
      </c>
      <c r="U981" t="n">
        <v>0</v>
      </c>
      <c r="V981" s="2" t="inlineStr"/>
    </row>
    <row r="982" ht="15" customHeight="1">
      <c r="A982" t="inlineStr">
        <is>
          <t>S 4709-2024</t>
        </is>
      </c>
      <c r="B982" t="inlineStr">
        <is>
          <t>samrådsanmälan</t>
        </is>
      </c>
      <c r="C982" t="inlineStr">
        <is>
          <t>Annan skogsbruksåtgärd</t>
        </is>
      </c>
      <c r="D982" s="1" t="n">
        <v>45604</v>
      </c>
      <c r="E982" s="1" t="n">
        <v>46323</v>
      </c>
      <c r="F982" t="inlineStr">
        <is>
          <t>KALMAR LÄN</t>
        </is>
      </c>
      <c r="G982" t="inlineStr">
        <is>
          <t>VÄSTERVIK</t>
        </is>
      </c>
      <c r="I982" t="n">
        <v>0.2</v>
      </c>
      <c r="J982" t="n">
        <v>0</v>
      </c>
      <c r="K982" t="n">
        <v>0</v>
      </c>
      <c r="L982" t="n">
        <v>0</v>
      </c>
      <c r="M982" t="n">
        <v>0</v>
      </c>
      <c r="N982" t="n">
        <v>0</v>
      </c>
      <c r="O982" t="n">
        <v>0</v>
      </c>
      <c r="P982" t="n">
        <v>0</v>
      </c>
      <c r="Q982" t="n">
        <v>0</v>
      </c>
      <c r="R982" t="n">
        <v>0</v>
      </c>
      <c r="S982" t="n">
        <v>0</v>
      </c>
      <c r="T982" t="n">
        <v>0</v>
      </c>
      <c r="U982" t="n">
        <v>0</v>
      </c>
      <c r="V982" s="2" t="inlineStr"/>
    </row>
    <row r="983" ht="15" customHeight="1">
      <c r="A983" t="inlineStr">
        <is>
          <t>S 457-2024</t>
        </is>
      </c>
      <c r="B983" t="inlineStr">
        <is>
          <t>samrådsanmälan</t>
        </is>
      </c>
      <c r="C983" t="inlineStr">
        <is>
          <t>Annan skogsbruksåtgärd</t>
        </is>
      </c>
      <c r="D983" s="1" t="n">
        <v>45341</v>
      </c>
      <c r="E983" s="1" t="n">
        <v>46323</v>
      </c>
      <c r="F983" t="inlineStr">
        <is>
          <t>KALMAR LÄN</t>
        </is>
      </c>
      <c r="G983" t="inlineStr">
        <is>
          <t>VÄSTERVIK</t>
        </is>
      </c>
      <c r="I983" t="n">
        <v>0.1</v>
      </c>
      <c r="J983" t="n">
        <v>0</v>
      </c>
      <c r="K983" t="n">
        <v>0</v>
      </c>
      <c r="L983" t="n">
        <v>0</v>
      </c>
      <c r="M983" t="n">
        <v>0</v>
      </c>
      <c r="N983" t="n">
        <v>0</v>
      </c>
      <c r="O983" t="n">
        <v>0</v>
      </c>
      <c r="P983" t="n">
        <v>0</v>
      </c>
      <c r="Q983" t="n">
        <v>0</v>
      </c>
      <c r="R983" t="n">
        <v>0</v>
      </c>
      <c r="S983" t="n">
        <v>0</v>
      </c>
      <c r="T983" t="n">
        <v>0</v>
      </c>
      <c r="U983" t="n">
        <v>0</v>
      </c>
      <c r="V983" s="2" t="inlineStr"/>
    </row>
    <row r="984" ht="15" customHeight="1">
      <c r="A984" t="inlineStr">
        <is>
          <t>S 1498-2024</t>
        </is>
      </c>
      <c r="B984" t="inlineStr">
        <is>
          <t>samrådsanmälan</t>
        </is>
      </c>
      <c r="C984" t="inlineStr">
        <is>
          <t>Annan skogsbruksåtgärd</t>
        </is>
      </c>
      <c r="D984" s="1" t="n">
        <v>45422</v>
      </c>
      <c r="E984" s="1" t="n">
        <v>46323</v>
      </c>
      <c r="F984" t="inlineStr">
        <is>
          <t>KALMAR LÄN</t>
        </is>
      </c>
      <c r="G984" t="inlineStr">
        <is>
          <t>VÄSTERVIK</t>
        </is>
      </c>
      <c r="H984" t="inlineStr">
        <is>
          <t>Kommuner</t>
        </is>
      </c>
      <c r="I984" t="n">
        <v>1.1</v>
      </c>
      <c r="J984" t="n">
        <v>0</v>
      </c>
      <c r="K984" t="n">
        <v>0</v>
      </c>
      <c r="L984" t="n">
        <v>0</v>
      </c>
      <c r="M984" t="n">
        <v>0</v>
      </c>
      <c r="N984" t="n">
        <v>0</v>
      </c>
      <c r="O984" t="n">
        <v>0</v>
      </c>
      <c r="P984" t="n">
        <v>0</v>
      </c>
      <c r="Q984" t="n">
        <v>0</v>
      </c>
      <c r="R984" t="n">
        <v>0</v>
      </c>
      <c r="S984" t="n">
        <v>0</v>
      </c>
      <c r="T984" t="n">
        <v>0</v>
      </c>
      <c r="U984" t="n">
        <v>0</v>
      </c>
      <c r="V984" s="2" t="inlineStr"/>
    </row>
    <row r="985" ht="15" customHeight="1">
      <c r="A985" t="inlineStr">
        <is>
          <t>S 4363-2024</t>
        </is>
      </c>
      <c r="B985" t="inlineStr">
        <is>
          <t>samrådsanmälan</t>
        </is>
      </c>
      <c r="C985" t="inlineStr">
        <is>
          <t>Annan skogsbruksåtgärd</t>
        </is>
      </c>
      <c r="D985" s="1" t="n">
        <v>45587</v>
      </c>
      <c r="E985" s="1" t="n">
        <v>46323</v>
      </c>
      <c r="F985" t="inlineStr">
        <is>
          <t>KALMAR LÄN</t>
        </is>
      </c>
      <c r="G985" t="inlineStr">
        <is>
          <t>VÄSTERVIK</t>
        </is>
      </c>
      <c r="I985" t="n">
        <v>0.6</v>
      </c>
      <c r="J985" t="n">
        <v>0</v>
      </c>
      <c r="K985" t="n">
        <v>0</v>
      </c>
      <c r="L985" t="n">
        <v>0</v>
      </c>
      <c r="M985" t="n">
        <v>0</v>
      </c>
      <c r="N985" t="n">
        <v>0</v>
      </c>
      <c r="O985" t="n">
        <v>0</v>
      </c>
      <c r="P985" t="n">
        <v>0</v>
      </c>
      <c r="Q985" t="n">
        <v>0</v>
      </c>
      <c r="R985" t="n">
        <v>0</v>
      </c>
      <c r="S985" t="n">
        <v>0</v>
      </c>
      <c r="T985" t="n">
        <v>0</v>
      </c>
      <c r="U985" t="n">
        <v>0</v>
      </c>
      <c r="V985" s="2" t="inlineStr"/>
    </row>
    <row r="986" ht="15" customHeight="1">
      <c r="A986" t="inlineStr">
        <is>
          <t>S 387-2024</t>
        </is>
      </c>
      <c r="B986" t="inlineStr">
        <is>
          <t>samrådsanmälan</t>
        </is>
      </c>
      <c r="C986" t="inlineStr">
        <is>
          <t>Annan skogsbruksåtgärd</t>
        </is>
      </c>
      <c r="D986" s="1" t="n">
        <v>45332</v>
      </c>
      <c r="E986" s="1" t="n">
        <v>46323</v>
      </c>
      <c r="F986" t="inlineStr">
        <is>
          <t>KALMAR LÄN</t>
        </is>
      </c>
      <c r="G986" t="inlineStr">
        <is>
          <t>VÄSTERVIK</t>
        </is>
      </c>
      <c r="I986" t="n">
        <v>0</v>
      </c>
      <c r="J986" t="n">
        <v>0</v>
      </c>
      <c r="K986" t="n">
        <v>0</v>
      </c>
      <c r="L986" t="n">
        <v>0</v>
      </c>
      <c r="M986" t="n">
        <v>0</v>
      </c>
      <c r="N986" t="n">
        <v>0</v>
      </c>
      <c r="O986" t="n">
        <v>0</v>
      </c>
      <c r="P986" t="n">
        <v>0</v>
      </c>
      <c r="Q986" t="n">
        <v>0</v>
      </c>
      <c r="R986" t="n">
        <v>0</v>
      </c>
      <c r="S986" t="n">
        <v>0</v>
      </c>
      <c r="T986" t="n">
        <v>0</v>
      </c>
      <c r="U986" t="n">
        <v>0</v>
      </c>
      <c r="V986" s="2" t="inlineStr"/>
    </row>
    <row r="987" ht="15" customHeight="1">
      <c r="A987" t="inlineStr">
        <is>
          <t>S 3731-2023</t>
        </is>
      </c>
      <c r="B987" t="inlineStr">
        <is>
          <t>samrådsanmälan</t>
        </is>
      </c>
      <c r="C987" t="inlineStr">
        <is>
          <t>Annan skogsbruksåtgärd</t>
        </is>
      </c>
      <c r="D987" s="1" t="n">
        <v>45222</v>
      </c>
      <c r="E987" s="1" t="n">
        <v>46323</v>
      </c>
      <c r="F987" t="inlineStr">
        <is>
          <t>KALMAR LÄN</t>
        </is>
      </c>
      <c r="G987" t="inlineStr">
        <is>
          <t>VÄSTERVIK</t>
        </is>
      </c>
      <c r="I987" t="n">
        <v>0.2</v>
      </c>
      <c r="J987" t="n">
        <v>0</v>
      </c>
      <c r="K987" t="n">
        <v>0</v>
      </c>
      <c r="L987" t="n">
        <v>0</v>
      </c>
      <c r="M987" t="n">
        <v>0</v>
      </c>
      <c r="N987" t="n">
        <v>0</v>
      </c>
      <c r="O987" t="n">
        <v>0</v>
      </c>
      <c r="P987" t="n">
        <v>0</v>
      </c>
      <c r="Q987" t="n">
        <v>0</v>
      </c>
      <c r="R987" t="n">
        <v>0</v>
      </c>
      <c r="S987" t="n">
        <v>0</v>
      </c>
      <c r="T987" t="n">
        <v>0</v>
      </c>
      <c r="U987" t="n">
        <v>0</v>
      </c>
      <c r="V987" s="2" t="inlineStr"/>
    </row>
    <row r="988" ht="15" customHeight="1">
      <c r="A988" t="inlineStr">
        <is>
          <t>S 1453-2025</t>
        </is>
      </c>
      <c r="B988" t="inlineStr">
        <is>
          <t>samrådsanmälan</t>
        </is>
      </c>
      <c r="C988" t="inlineStr">
        <is>
          <t>Annan skogsbruksåtgärd</t>
        </is>
      </c>
      <c r="D988" s="1" t="n">
        <v>45785</v>
      </c>
      <c r="E988" s="1" t="n">
        <v>46323</v>
      </c>
      <c r="F988" t="inlineStr">
        <is>
          <t>KALMAR LÄN</t>
        </is>
      </c>
      <c r="G988" t="inlineStr">
        <is>
          <t>VÄSTERVIK</t>
        </is>
      </c>
      <c r="I988" t="n">
        <v>2.8</v>
      </c>
      <c r="J988" t="n">
        <v>0</v>
      </c>
      <c r="K988" t="n">
        <v>0</v>
      </c>
      <c r="L988" t="n">
        <v>0</v>
      </c>
      <c r="M988" t="n">
        <v>0</v>
      </c>
      <c r="N988" t="n">
        <v>0</v>
      </c>
      <c r="O988" t="n">
        <v>0</v>
      </c>
      <c r="P988" t="n">
        <v>0</v>
      </c>
      <c r="Q988" t="n">
        <v>0</v>
      </c>
      <c r="R988" t="n">
        <v>0</v>
      </c>
      <c r="S988" t="n">
        <v>0</v>
      </c>
      <c r="T988" t="n">
        <v>0</v>
      </c>
      <c r="U988" t="n">
        <v>0</v>
      </c>
      <c r="V988" s="2" t="inlineStr"/>
    </row>
    <row r="989" ht="15" customHeight="1">
      <c r="A989" t="inlineStr">
        <is>
          <t>S 1598-2025</t>
        </is>
      </c>
      <c r="B989" t="inlineStr">
        <is>
          <t>samrådsanmälan</t>
        </is>
      </c>
      <c r="C989" t="inlineStr">
        <is>
          <t>Annan skogsbruksåtgärd</t>
        </is>
      </c>
      <c r="D989" s="1" t="n">
        <v>45797</v>
      </c>
      <c r="E989" s="1" t="n">
        <v>46323</v>
      </c>
      <c r="F989" t="inlineStr">
        <is>
          <t>KALMAR LÄN</t>
        </is>
      </c>
      <c r="G989" t="inlineStr">
        <is>
          <t>VÄSTERVIK</t>
        </is>
      </c>
      <c r="I989" t="n">
        <v>1</v>
      </c>
      <c r="J989" t="n">
        <v>0</v>
      </c>
      <c r="K989" t="n">
        <v>0</v>
      </c>
      <c r="L989" t="n">
        <v>0</v>
      </c>
      <c r="M989" t="n">
        <v>0</v>
      </c>
      <c r="N989" t="n">
        <v>0</v>
      </c>
      <c r="O989" t="n">
        <v>0</v>
      </c>
      <c r="P989" t="n">
        <v>0</v>
      </c>
      <c r="Q989" t="n">
        <v>0</v>
      </c>
      <c r="R989" t="n">
        <v>0</v>
      </c>
      <c r="S989" t="n">
        <v>0</v>
      </c>
      <c r="T989" t="n">
        <v>0</v>
      </c>
      <c r="U989" t="n">
        <v>0</v>
      </c>
      <c r="V989" s="2" t="inlineStr"/>
    </row>
    <row r="990" ht="15" customHeight="1">
      <c r="A990" t="inlineStr">
        <is>
          <t>S 1857-2025</t>
        </is>
      </c>
      <c r="B990" t="inlineStr">
        <is>
          <t>samrådsanmälan</t>
        </is>
      </c>
      <c r="C990" t="inlineStr">
        <is>
          <t>Annan skogsbruksåtgärd</t>
        </is>
      </c>
      <c r="D990" s="1" t="n">
        <v>45821</v>
      </c>
      <c r="E990" s="1" t="n">
        <v>46323</v>
      </c>
      <c r="F990" t="inlineStr">
        <is>
          <t>KALMAR LÄN</t>
        </is>
      </c>
      <c r="G990" t="inlineStr">
        <is>
          <t>VÄSTERVIK</t>
        </is>
      </c>
      <c r="I990" t="n">
        <v>0.3</v>
      </c>
      <c r="J990" t="n">
        <v>0</v>
      </c>
      <c r="K990" t="n">
        <v>0</v>
      </c>
      <c r="L990" t="n">
        <v>0</v>
      </c>
      <c r="M990" t="n">
        <v>0</v>
      </c>
      <c r="N990" t="n">
        <v>0</v>
      </c>
      <c r="O990" t="n">
        <v>0</v>
      </c>
      <c r="P990" t="n">
        <v>0</v>
      </c>
      <c r="Q990" t="n">
        <v>0</v>
      </c>
      <c r="R990" t="n">
        <v>0</v>
      </c>
      <c r="S990" t="n">
        <v>0</v>
      </c>
      <c r="T990" t="n">
        <v>0</v>
      </c>
      <c r="U990" t="n">
        <v>0</v>
      </c>
      <c r="V990" s="2" t="inlineStr"/>
    </row>
    <row r="991" ht="15" customHeight="1">
      <c r="A991" t="inlineStr">
        <is>
          <t>S 2013-2025</t>
        </is>
      </c>
      <c r="B991" t="inlineStr">
        <is>
          <t>samrådsanmälan</t>
        </is>
      </c>
      <c r="C991" t="inlineStr">
        <is>
          <t>Annan skogsbruksåtgärd</t>
        </is>
      </c>
      <c r="D991" s="1" t="n">
        <v>45834</v>
      </c>
      <c r="E991" s="1" t="n">
        <v>46323</v>
      </c>
      <c r="F991" t="inlineStr">
        <is>
          <t>KALMAR LÄN</t>
        </is>
      </c>
      <c r="G991" t="inlineStr">
        <is>
          <t>VÄSTERVIK</t>
        </is>
      </c>
      <c r="H991" t="inlineStr">
        <is>
          <t>Kommuner</t>
        </is>
      </c>
      <c r="I991" t="n">
        <v>0.6</v>
      </c>
      <c r="J991" t="n">
        <v>0</v>
      </c>
      <c r="K991" t="n">
        <v>0</v>
      </c>
      <c r="L991" t="n">
        <v>0</v>
      </c>
      <c r="M991" t="n">
        <v>0</v>
      </c>
      <c r="N991" t="n">
        <v>0</v>
      </c>
      <c r="O991" t="n">
        <v>0</v>
      </c>
      <c r="P991" t="n">
        <v>0</v>
      </c>
      <c r="Q991" t="n">
        <v>0</v>
      </c>
      <c r="R991" t="n">
        <v>0</v>
      </c>
      <c r="S991" t="n">
        <v>0</v>
      </c>
      <c r="T991" t="n">
        <v>0</v>
      </c>
      <c r="U991" t="n">
        <v>0</v>
      </c>
      <c r="V991" s="2" t="inlineStr"/>
    </row>
    <row r="992" ht="15" customHeight="1">
      <c r="A992" t="inlineStr">
        <is>
          <t>S 2151-2025</t>
        </is>
      </c>
      <c r="B992" t="inlineStr">
        <is>
          <t>samrådsanmälan</t>
        </is>
      </c>
      <c r="C992" t="inlineStr">
        <is>
          <t>Askåterföring</t>
        </is>
      </c>
      <c r="D992" s="1" t="n">
        <v>45848</v>
      </c>
      <c r="E992" s="1" t="n">
        <v>46323</v>
      </c>
      <c r="F992" t="inlineStr">
        <is>
          <t>KALMAR LÄN</t>
        </is>
      </c>
      <c r="G992" t="inlineStr">
        <is>
          <t>VÄSTERVIK</t>
        </is>
      </c>
      <c r="I992" t="n">
        <v>11</v>
      </c>
      <c r="J992" t="n">
        <v>0</v>
      </c>
      <c r="K992" t="n">
        <v>0</v>
      </c>
      <c r="L992" t="n">
        <v>0</v>
      </c>
      <c r="M992" t="n">
        <v>0</v>
      </c>
      <c r="N992" t="n">
        <v>0</v>
      </c>
      <c r="O992" t="n">
        <v>0</v>
      </c>
      <c r="P992" t="n">
        <v>0</v>
      </c>
      <c r="Q992" t="n">
        <v>0</v>
      </c>
      <c r="R992" t="n">
        <v>0</v>
      </c>
      <c r="S992" t="n">
        <v>0</v>
      </c>
      <c r="T992" t="n">
        <v>0</v>
      </c>
      <c r="U992" t="n">
        <v>0</v>
      </c>
      <c r="V992" s="2" t="inlineStr"/>
    </row>
    <row r="993" ht="15" customHeight="1">
      <c r="A993" t="inlineStr">
        <is>
          <t>S 2771-2025</t>
        </is>
      </c>
      <c r="B993" t="inlineStr">
        <is>
          <t>samrådsanmälan</t>
        </is>
      </c>
      <c r="C993" t="inlineStr">
        <is>
          <t>Annan skogsbruksåtgärd</t>
        </is>
      </c>
      <c r="D993" s="1" t="n">
        <v>45937</v>
      </c>
      <c r="E993" s="1" t="n">
        <v>46323</v>
      </c>
      <c r="F993" t="inlineStr">
        <is>
          <t>KALMAR LÄN</t>
        </is>
      </c>
      <c r="G993" t="inlineStr">
        <is>
          <t>VÄSTERVIK</t>
        </is>
      </c>
      <c r="H993" t="inlineStr">
        <is>
          <t>Sveaskog</t>
        </is>
      </c>
      <c r="I993" t="n">
        <v>2.7</v>
      </c>
      <c r="J993" t="n">
        <v>0</v>
      </c>
      <c r="K993" t="n">
        <v>0</v>
      </c>
      <c r="L993" t="n">
        <v>0</v>
      </c>
      <c r="M993" t="n">
        <v>0</v>
      </c>
      <c r="N993" t="n">
        <v>0</v>
      </c>
      <c r="O993" t="n">
        <v>0</v>
      </c>
      <c r="P993" t="n">
        <v>0</v>
      </c>
      <c r="Q993" t="n">
        <v>0</v>
      </c>
      <c r="R993" t="n">
        <v>0</v>
      </c>
      <c r="S993" t="n">
        <v>0</v>
      </c>
      <c r="T993" t="n">
        <v>0</v>
      </c>
      <c r="U993" t="n">
        <v>0</v>
      </c>
      <c r="V993" s="2" t="inlineStr"/>
    </row>
    <row r="994" ht="15" customHeight="1">
      <c r="A994" t="inlineStr">
        <is>
          <t>S 2774-2025</t>
        </is>
      </c>
      <c r="B994" t="inlineStr">
        <is>
          <t>samrådsanmälan</t>
        </is>
      </c>
      <c r="C994" t="inlineStr">
        <is>
          <t>Annan skogsbruksåtgärd</t>
        </is>
      </c>
      <c r="D994" s="1" t="n">
        <v>45937</v>
      </c>
      <c r="E994" s="1" t="n">
        <v>46323</v>
      </c>
      <c r="F994" t="inlineStr">
        <is>
          <t>KALMAR LÄN</t>
        </is>
      </c>
      <c r="G994" t="inlineStr">
        <is>
          <t>VÄSTERVIK</t>
        </is>
      </c>
      <c r="H994" t="inlineStr">
        <is>
          <t>Sveaskog</t>
        </is>
      </c>
      <c r="I994" t="n">
        <v>4.9</v>
      </c>
      <c r="J994" t="n">
        <v>0</v>
      </c>
      <c r="K994" t="n">
        <v>0</v>
      </c>
      <c r="L994" t="n">
        <v>0</v>
      </c>
      <c r="M994" t="n">
        <v>0</v>
      </c>
      <c r="N994" t="n">
        <v>0</v>
      </c>
      <c r="O994" t="n">
        <v>0</v>
      </c>
      <c r="P994" t="n">
        <v>0</v>
      </c>
      <c r="Q994" t="n">
        <v>0</v>
      </c>
      <c r="R994" t="n">
        <v>0</v>
      </c>
      <c r="S994" t="n">
        <v>0</v>
      </c>
      <c r="T994" t="n">
        <v>0</v>
      </c>
      <c r="U994" t="n">
        <v>0</v>
      </c>
      <c r="V994" s="2" t="inlineStr"/>
    </row>
    <row r="995" ht="15" customHeight="1">
      <c r="A995" t="inlineStr">
        <is>
          <t>S 3042-2025</t>
        </is>
      </c>
      <c r="B995" t="inlineStr">
        <is>
          <t>samrådsanmälan</t>
        </is>
      </c>
      <c r="C995" t="inlineStr">
        <is>
          <t>Annan skogsbruksåtgärd</t>
        </is>
      </c>
      <c r="D995" s="1" t="n">
        <v>45961</v>
      </c>
      <c r="E995" s="1" t="n">
        <v>46323</v>
      </c>
      <c r="F995" t="inlineStr">
        <is>
          <t>KALMAR LÄN</t>
        </is>
      </c>
      <c r="G995" t="inlineStr">
        <is>
          <t>VÄSTERVIK</t>
        </is>
      </c>
      <c r="H995" t="inlineStr">
        <is>
          <t>Sveaskog</t>
        </is>
      </c>
      <c r="I995" t="n">
        <v>1.4</v>
      </c>
      <c r="J995" t="n">
        <v>0</v>
      </c>
      <c r="K995" t="n">
        <v>0</v>
      </c>
      <c r="L995" t="n">
        <v>0</v>
      </c>
      <c r="M995" t="n">
        <v>0</v>
      </c>
      <c r="N995" t="n">
        <v>0</v>
      </c>
      <c r="O995" t="n">
        <v>0</v>
      </c>
      <c r="P995" t="n">
        <v>0</v>
      </c>
      <c r="Q995" t="n">
        <v>0</v>
      </c>
      <c r="R995" t="n">
        <v>0</v>
      </c>
      <c r="S995" t="n">
        <v>0</v>
      </c>
      <c r="T995" t="n">
        <v>0</v>
      </c>
      <c r="U995" t="n">
        <v>0</v>
      </c>
      <c r="V995" s="2" t="inlineStr"/>
    </row>
    <row r="996" ht="15" customHeight="1">
      <c r="A996" t="inlineStr">
        <is>
          <t>S 3036-2025</t>
        </is>
      </c>
      <c r="B996" t="inlineStr">
        <is>
          <t>samrådsanmälan</t>
        </is>
      </c>
      <c r="C996" t="inlineStr">
        <is>
          <t>Annan skogsbruksåtgärd</t>
        </is>
      </c>
      <c r="D996" s="1" t="n">
        <v>45961</v>
      </c>
      <c r="E996" s="1" t="n">
        <v>46323</v>
      </c>
      <c r="F996" t="inlineStr">
        <is>
          <t>KALMAR LÄN</t>
        </is>
      </c>
      <c r="G996" t="inlineStr">
        <is>
          <t>VÄSTERVIK</t>
        </is>
      </c>
      <c r="H996" t="inlineStr">
        <is>
          <t>Sveaskog</t>
        </is>
      </c>
      <c r="I996" t="n">
        <v>3.9</v>
      </c>
      <c r="J996" t="n">
        <v>0</v>
      </c>
      <c r="K996" t="n">
        <v>0</v>
      </c>
      <c r="L996" t="n">
        <v>0</v>
      </c>
      <c r="M996" t="n">
        <v>0</v>
      </c>
      <c r="N996" t="n">
        <v>0</v>
      </c>
      <c r="O996" t="n">
        <v>0</v>
      </c>
      <c r="P996" t="n">
        <v>0</v>
      </c>
      <c r="Q996" t="n">
        <v>0</v>
      </c>
      <c r="R996" t="n">
        <v>0</v>
      </c>
      <c r="S996" t="n">
        <v>0</v>
      </c>
      <c r="T996" t="n">
        <v>0</v>
      </c>
      <c r="U996" t="n">
        <v>0</v>
      </c>
      <c r="V996" s="2" t="inlineStr"/>
    </row>
    <row r="997" ht="15" customHeight="1">
      <c r="A997" t="inlineStr">
        <is>
          <t>S 3039-2025</t>
        </is>
      </c>
      <c r="B997" t="inlineStr">
        <is>
          <t>samrådsanmälan</t>
        </is>
      </c>
      <c r="C997" t="inlineStr">
        <is>
          <t>Annan skogsbruksåtgärd</t>
        </is>
      </c>
      <c r="D997" s="1" t="n">
        <v>45961</v>
      </c>
      <c r="E997" s="1" t="n">
        <v>46323</v>
      </c>
      <c r="F997" t="inlineStr">
        <is>
          <t>KALMAR LÄN</t>
        </is>
      </c>
      <c r="G997" t="inlineStr">
        <is>
          <t>VÄSTERVIK</t>
        </is>
      </c>
      <c r="H997" t="inlineStr">
        <is>
          <t>Sveaskog</t>
        </is>
      </c>
      <c r="I997" t="n">
        <v>1.6</v>
      </c>
      <c r="J997" t="n">
        <v>0</v>
      </c>
      <c r="K997" t="n">
        <v>0</v>
      </c>
      <c r="L997" t="n">
        <v>0</v>
      </c>
      <c r="M997" t="n">
        <v>0</v>
      </c>
      <c r="N997" t="n">
        <v>0</v>
      </c>
      <c r="O997" t="n">
        <v>0</v>
      </c>
      <c r="P997" t="n">
        <v>0</v>
      </c>
      <c r="Q997" t="n">
        <v>0</v>
      </c>
      <c r="R997" t="n">
        <v>0</v>
      </c>
      <c r="S997" t="n">
        <v>0</v>
      </c>
      <c r="T997" t="n">
        <v>0</v>
      </c>
      <c r="U997" t="n">
        <v>0</v>
      </c>
      <c r="V997" s="2" t="inlineStr"/>
    </row>
    <row r="998" ht="15" customHeight="1">
      <c r="A998" t="inlineStr">
        <is>
          <t>S 2796-2022</t>
        </is>
      </c>
      <c r="B998" t="inlineStr">
        <is>
          <t>samrådsanmälan</t>
        </is>
      </c>
      <c r="C998" t="inlineStr">
        <is>
          <t>Åtgärd i nyckelbiotop</t>
        </is>
      </c>
      <c r="D998" s="1" t="n">
        <v>44706</v>
      </c>
      <c r="E998" s="1" t="n">
        <v>46323</v>
      </c>
      <c r="F998" t="inlineStr">
        <is>
          <t>KALMAR LÄN</t>
        </is>
      </c>
      <c r="G998" t="inlineStr">
        <is>
          <t>VÄSTERVIK</t>
        </is>
      </c>
      <c r="I998" t="n">
        <v>0.2</v>
      </c>
      <c r="J998" t="n">
        <v>0</v>
      </c>
      <c r="K998" t="n">
        <v>0</v>
      </c>
      <c r="L998" t="n">
        <v>0</v>
      </c>
      <c r="M998" t="n">
        <v>0</v>
      </c>
      <c r="N998" t="n">
        <v>0</v>
      </c>
      <c r="O998" t="n">
        <v>0</v>
      </c>
      <c r="P998" t="n">
        <v>0</v>
      </c>
      <c r="Q998" t="n">
        <v>0</v>
      </c>
      <c r="R998" t="n">
        <v>0</v>
      </c>
      <c r="S998" t="n">
        <v>0</v>
      </c>
      <c r="T998" t="n">
        <v>0</v>
      </c>
      <c r="U998" t="n">
        <v>0</v>
      </c>
      <c r="V998" s="2" t="inlineStr"/>
    </row>
    <row r="999" ht="15" customHeight="1">
      <c r="A999" t="inlineStr">
        <is>
          <t>S 292-2026</t>
        </is>
      </c>
      <c r="B999" t="inlineStr">
        <is>
          <t>samrådsanmälan</t>
        </is>
      </c>
      <c r="C999" t="inlineStr">
        <is>
          <t>Annan skogsbruksåtgärd</t>
        </is>
      </c>
      <c r="D999" s="1" t="n">
        <v>46057</v>
      </c>
      <c r="E999" s="1" t="n">
        <v>46323</v>
      </c>
      <c r="F999" t="inlineStr">
        <is>
          <t>KALMAR LÄN</t>
        </is>
      </c>
      <c r="G999" t="inlineStr">
        <is>
          <t>VÄSTERVIK</t>
        </is>
      </c>
      <c r="H999" t="inlineStr">
        <is>
          <t>Holmen skog AB</t>
        </is>
      </c>
      <c r="I999" t="n">
        <v>12</v>
      </c>
      <c r="J999" t="n">
        <v>0</v>
      </c>
      <c r="K999" t="n">
        <v>0</v>
      </c>
      <c r="L999" t="n">
        <v>0</v>
      </c>
      <c r="M999" t="n">
        <v>0</v>
      </c>
      <c r="N999" t="n">
        <v>0</v>
      </c>
      <c r="O999" t="n">
        <v>0</v>
      </c>
      <c r="P999" t="n">
        <v>0</v>
      </c>
      <c r="Q999" t="n">
        <v>0</v>
      </c>
      <c r="R999" t="n">
        <v>0</v>
      </c>
      <c r="S999" t="n">
        <v>0</v>
      </c>
      <c r="T999" t="n">
        <v>0</v>
      </c>
      <c r="U999" t="n">
        <v>0</v>
      </c>
      <c r="V999" s="2" t="inlineStr"/>
    </row>
    <row r="1000" ht="15" customHeight="1">
      <c r="A1000" t="inlineStr">
        <is>
          <t>S 590-2026</t>
        </is>
      </c>
      <c r="B1000" t="inlineStr">
        <is>
          <t>samrådsanmälan</t>
        </is>
      </c>
      <c r="C1000" t="inlineStr">
        <is>
          <t>Annan skogsbruksåtgärd</t>
        </is>
      </c>
      <c r="D1000" s="1" t="n">
        <v>46085</v>
      </c>
      <c r="E1000" s="1" t="n">
        <v>46323</v>
      </c>
      <c r="F1000" t="inlineStr">
        <is>
          <t>KALMAR LÄN</t>
        </is>
      </c>
      <c r="G1000" t="inlineStr">
        <is>
          <t>VÄSTERVIK</t>
        </is>
      </c>
      <c r="H1000" t="inlineStr">
        <is>
          <t>Kommuner</t>
        </is>
      </c>
      <c r="I1000" t="n">
        <v>0.1</v>
      </c>
      <c r="J1000" t="n">
        <v>0</v>
      </c>
      <c r="K1000" t="n">
        <v>0</v>
      </c>
      <c r="L1000" t="n">
        <v>0</v>
      </c>
      <c r="M1000" t="n">
        <v>0</v>
      </c>
      <c r="N1000" t="n">
        <v>0</v>
      </c>
      <c r="O1000" t="n">
        <v>0</v>
      </c>
      <c r="P1000" t="n">
        <v>0</v>
      </c>
      <c r="Q1000" t="n">
        <v>0</v>
      </c>
      <c r="R1000" t="n">
        <v>0</v>
      </c>
      <c r="S1000" t="n">
        <v>0</v>
      </c>
      <c r="T1000" t="n">
        <v>0</v>
      </c>
      <c r="U1000" t="n">
        <v>0</v>
      </c>
      <c r="V1000" s="2" t="inlineStr"/>
    </row>
    <row r="1001" ht="15" customHeight="1">
      <c r="A1001" t="inlineStr">
        <is>
          <t>S 728-2026</t>
        </is>
      </c>
      <c r="B1001" t="inlineStr">
        <is>
          <t>samrådsanmälan</t>
        </is>
      </c>
      <c r="C1001" t="inlineStr">
        <is>
          <t>Annan skogsbruksåtgärd</t>
        </is>
      </c>
      <c r="D1001" s="1" t="n">
        <v>46094</v>
      </c>
      <c r="E1001" s="1" t="n">
        <v>46323</v>
      </c>
      <c r="F1001" t="inlineStr">
        <is>
          <t>KALMAR LÄN</t>
        </is>
      </c>
      <c r="G1001" t="inlineStr">
        <is>
          <t>VÄSTERVIK</t>
        </is>
      </c>
      <c r="H1001" t="inlineStr">
        <is>
          <t>Kommuner</t>
        </is>
      </c>
      <c r="I1001" t="n">
        <v>2.2</v>
      </c>
      <c r="J1001" t="n">
        <v>0</v>
      </c>
      <c r="K1001" t="n">
        <v>0</v>
      </c>
      <c r="L1001" t="n">
        <v>0</v>
      </c>
      <c r="M1001" t="n">
        <v>0</v>
      </c>
      <c r="N1001" t="n">
        <v>0</v>
      </c>
      <c r="O1001" t="n">
        <v>0</v>
      </c>
      <c r="P1001" t="n">
        <v>0</v>
      </c>
      <c r="Q1001" t="n">
        <v>0</v>
      </c>
      <c r="R1001" t="n">
        <v>0</v>
      </c>
      <c r="S1001" t="n">
        <v>0</v>
      </c>
      <c r="T1001" t="n">
        <v>0</v>
      </c>
      <c r="U1001" t="n">
        <v>0</v>
      </c>
      <c r="V1001" s="2" t="inlineStr"/>
    </row>
    <row r="1002" ht="15" customHeight="1">
      <c r="A1002" t="inlineStr">
        <is>
          <t>S 1770-2026</t>
        </is>
      </c>
      <c r="B1002" t="inlineStr">
        <is>
          <t>samrådsanmälan</t>
        </is>
      </c>
      <c r="C1002" t="inlineStr">
        <is>
          <t>Annan skogsbruksåtgärd</t>
        </is>
      </c>
      <c r="D1002" s="1" t="n">
        <v>46191</v>
      </c>
      <c r="E1002" s="1" t="n">
        <v>46323</v>
      </c>
      <c r="F1002" t="inlineStr">
        <is>
          <t>KALMAR LÄN</t>
        </is>
      </c>
      <c r="G1002" t="inlineStr">
        <is>
          <t>VÄSTERVIK</t>
        </is>
      </c>
      <c r="H1002" t="inlineStr">
        <is>
          <t>Kommuner</t>
        </is>
      </c>
      <c r="I1002" t="n">
        <v>2.3</v>
      </c>
      <c r="J1002" t="n">
        <v>0</v>
      </c>
      <c r="K1002" t="n">
        <v>0</v>
      </c>
      <c r="L1002" t="n">
        <v>0</v>
      </c>
      <c r="M1002" t="n">
        <v>0</v>
      </c>
      <c r="N1002" t="n">
        <v>0</v>
      </c>
      <c r="O1002" t="n">
        <v>0</v>
      </c>
      <c r="P1002" t="n">
        <v>0</v>
      </c>
      <c r="Q1002" t="n">
        <v>0</v>
      </c>
      <c r="R1002" t="n">
        <v>0</v>
      </c>
      <c r="S1002" t="n">
        <v>0</v>
      </c>
      <c r="T1002" t="n">
        <v>0</v>
      </c>
      <c r="U1002" t="n">
        <v>0</v>
      </c>
      <c r="V1002" s="2" t="inlineStr"/>
    </row>
    <row r="1003" ht="15" customHeight="1">
      <c r="A1003" t="inlineStr">
        <is>
          <t>S 2145-2026</t>
        </is>
      </c>
      <c r="B1003" t="inlineStr">
        <is>
          <t>samrådsanmälan</t>
        </is>
      </c>
      <c r="C1003" t="inlineStr">
        <is>
          <t>Annan skogsbruksåtgärd</t>
        </is>
      </c>
      <c r="D1003" s="1" t="n">
        <v>46246</v>
      </c>
      <c r="E1003" s="1" t="n">
        <v>46323</v>
      </c>
      <c r="F1003" t="inlineStr">
        <is>
          <t>KALMAR LÄN</t>
        </is>
      </c>
      <c r="G1003" t="inlineStr">
        <is>
          <t>VÄSTERVIK</t>
        </is>
      </c>
      <c r="H1003" t="inlineStr">
        <is>
          <t>Kommuner</t>
        </is>
      </c>
      <c r="I1003" t="n">
        <v>1.1</v>
      </c>
      <c r="J1003" t="n">
        <v>0</v>
      </c>
      <c r="K1003" t="n">
        <v>0</v>
      </c>
      <c r="L1003" t="n">
        <v>0</v>
      </c>
      <c r="M1003" t="n">
        <v>0</v>
      </c>
      <c r="N1003" t="n">
        <v>0</v>
      </c>
      <c r="O1003" t="n">
        <v>0</v>
      </c>
      <c r="P1003" t="n">
        <v>0</v>
      </c>
      <c r="Q1003" t="n">
        <v>0</v>
      </c>
      <c r="R1003" t="n">
        <v>0</v>
      </c>
      <c r="S1003" t="n">
        <v>0</v>
      </c>
      <c r="T1003" t="n">
        <v>0</v>
      </c>
      <c r="U1003" t="n">
        <v>0</v>
      </c>
      <c r="V1003" s="2" t="inlineStr"/>
    </row>
    <row r="1004" ht="15" customHeight="1">
      <c r="A1004" t="inlineStr">
        <is>
          <t>S 2258-2026</t>
        </is>
      </c>
      <c r="B1004" t="inlineStr">
        <is>
          <t>samrådsanmälan</t>
        </is>
      </c>
      <c r="C1004" t="inlineStr">
        <is>
          <t>Annan skogsbruksåtgärd</t>
        </is>
      </c>
      <c r="D1004" s="1" t="n">
        <v>46262</v>
      </c>
      <c r="E1004" s="1" t="n">
        <v>46323</v>
      </c>
      <c r="F1004" t="inlineStr">
        <is>
          <t>KALMAR LÄN</t>
        </is>
      </c>
      <c r="G1004" t="inlineStr">
        <is>
          <t>VÄSTERVIK</t>
        </is>
      </c>
      <c r="H1004" t="inlineStr">
        <is>
          <t>Kommuner</t>
        </is>
      </c>
      <c r="I1004" t="n">
        <v>2.5</v>
      </c>
      <c r="J1004" t="n">
        <v>0</v>
      </c>
      <c r="K1004" t="n">
        <v>0</v>
      </c>
      <c r="L1004" t="n">
        <v>0</v>
      </c>
      <c r="M1004" t="n">
        <v>0</v>
      </c>
      <c r="N1004" t="n">
        <v>0</v>
      </c>
      <c r="O1004" t="n">
        <v>0</v>
      </c>
      <c r="P1004" t="n">
        <v>0</v>
      </c>
      <c r="Q1004" t="n">
        <v>0</v>
      </c>
      <c r="R1004" t="n">
        <v>0</v>
      </c>
      <c r="S1004" t="n">
        <v>0</v>
      </c>
      <c r="T1004" t="n">
        <v>0</v>
      </c>
      <c r="U1004" t="n">
        <v>0</v>
      </c>
      <c r="V1004" s="2" t="inlineStr"/>
    </row>
    <row r="1005" ht="15" customHeight="1">
      <c r="A1005" t="inlineStr">
        <is>
          <t>S 2264-2026</t>
        </is>
      </c>
      <c r="B1005" t="inlineStr">
        <is>
          <t>samrådsanmälan</t>
        </is>
      </c>
      <c r="C1005" t="inlineStr">
        <is>
          <t>Annan skogsbruksåtgärd</t>
        </is>
      </c>
      <c r="D1005" s="1" t="n">
        <v>46262</v>
      </c>
      <c r="E1005" s="1" t="n">
        <v>46323</v>
      </c>
      <c r="F1005" t="inlineStr">
        <is>
          <t>KALMAR LÄN</t>
        </is>
      </c>
      <c r="G1005" t="inlineStr">
        <is>
          <t>VÄSTERVIK</t>
        </is>
      </c>
      <c r="H1005" t="inlineStr">
        <is>
          <t>Kommuner</t>
        </is>
      </c>
      <c r="I1005" t="n">
        <v>0.2</v>
      </c>
      <c r="J1005" t="n">
        <v>0</v>
      </c>
      <c r="K1005" t="n">
        <v>0</v>
      </c>
      <c r="L1005" t="n">
        <v>0</v>
      </c>
      <c r="M1005" t="n">
        <v>0</v>
      </c>
      <c r="N1005" t="n">
        <v>0</v>
      </c>
      <c r="O1005" t="n">
        <v>0</v>
      </c>
      <c r="P1005" t="n">
        <v>0</v>
      </c>
      <c r="Q1005" t="n">
        <v>0</v>
      </c>
      <c r="R1005" t="n">
        <v>0</v>
      </c>
      <c r="S1005" t="n">
        <v>0</v>
      </c>
      <c r="T1005" t="n">
        <v>0</v>
      </c>
      <c r="U1005" t="n">
        <v>0</v>
      </c>
      <c r="V1005" s="2" t="inlineStr"/>
    </row>
    <row r="1006" ht="15" customHeight="1">
      <c r="A1006" t="inlineStr">
        <is>
          <t>S 2637-2026</t>
        </is>
      </c>
      <c r="B1006" t="inlineStr">
        <is>
          <t>samrådsanmälan</t>
        </is>
      </c>
      <c r="C1006" t="inlineStr">
        <is>
          <t>Annan skogsbruksåtgärd</t>
        </is>
      </c>
      <c r="D1006" s="1" t="n">
        <v>46303</v>
      </c>
      <c r="E1006" s="1" t="n">
        <v>46323</v>
      </c>
      <c r="F1006" t="inlineStr">
        <is>
          <t>KALMAR LÄN</t>
        </is>
      </c>
      <c r="G1006" t="inlineStr">
        <is>
          <t>VÄSTERVIK</t>
        </is>
      </c>
      <c r="I1006" t="n">
        <v>1.2</v>
      </c>
      <c r="J1006" t="n">
        <v>0</v>
      </c>
      <c r="K1006" t="n">
        <v>0</v>
      </c>
      <c r="L1006" t="n">
        <v>0</v>
      </c>
      <c r="M1006" t="n">
        <v>0</v>
      </c>
      <c r="N1006" t="n">
        <v>0</v>
      </c>
      <c r="O1006" t="n">
        <v>0</v>
      </c>
      <c r="P1006" t="n">
        <v>0</v>
      </c>
      <c r="Q1006" t="n">
        <v>0</v>
      </c>
      <c r="R1006" t="n">
        <v>0</v>
      </c>
      <c r="S1006" t="n">
        <v>0</v>
      </c>
      <c r="T1006" t="n">
        <v>0</v>
      </c>
      <c r="U1006" t="n">
        <v>0</v>
      </c>
      <c r="V1006" s="2" t="inlineStr"/>
    </row>
    <row r="1007">
      <c r="A1007" t="inlineStr">
        <is>
          <t>S 2318-2026</t>
        </is>
      </c>
      <c r="B1007" t="inlineStr">
        <is>
          <t>samrådsanmälan</t>
        </is>
      </c>
      <c r="C1007" t="inlineStr">
        <is>
          <t>Annan skogsbruksåtgärd</t>
        </is>
      </c>
      <c r="D1007" s="1" t="n">
        <v>46270</v>
      </c>
      <c r="E1007" s="1" t="n">
        <v>46323</v>
      </c>
      <c r="F1007" t="inlineStr">
        <is>
          <t>KALMAR LÄN</t>
        </is>
      </c>
      <c r="G1007" t="inlineStr">
        <is>
          <t>VÄSTERVIK</t>
        </is>
      </c>
      <c r="I1007" t="n">
        <v>1</v>
      </c>
      <c r="J1007" t="n">
        <v>0</v>
      </c>
      <c r="K1007" t="n">
        <v>0</v>
      </c>
      <c r="L1007" t="n">
        <v>0</v>
      </c>
      <c r="M1007" t="n">
        <v>0</v>
      </c>
      <c r="N1007" t="n">
        <v>0</v>
      </c>
      <c r="O1007" t="n">
        <v>0</v>
      </c>
      <c r="P1007" t="n">
        <v>0</v>
      </c>
      <c r="Q1007" t="n">
        <v>0</v>
      </c>
      <c r="R1007" t="n">
        <v>0</v>
      </c>
      <c r="S1007" t="n">
        <v>0</v>
      </c>
      <c r="T1007" t="n">
        <v>0</v>
      </c>
      <c r="U1007" t="n">
        <v>0</v>
      </c>
      <c r="V1007"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2026-10-28T03:12:08Z</dcterms:created>
  <dcterms:modified xmlns:dcterms="http://purl.org/dc/terms/" xmlns:xsi="http://www.w3.org/2001/XMLSchema-instance" xsi:type="dcterms:W3CDTF">2026-10-28T03:12:09Z</dcterms:modified>
</cp:coreProperties>
</file>