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45351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45351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45351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45351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45351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45351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45351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45351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45351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45351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45351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45351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45351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45351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45351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45351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45351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45351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45351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45351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45351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45351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45351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45351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45351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45351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45351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45351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45351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45351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45351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45351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45351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45351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45351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45351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45351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45351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45351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45351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45351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45351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45351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45351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45351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45351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45351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45351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45351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45351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45351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45351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45351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45351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45351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45351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45351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45351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45351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45351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45351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45351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45351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45351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45351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45351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45351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45351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45351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45351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45351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45351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45351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45351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45351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45351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45351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45351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45351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45351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45351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45351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45351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45351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45351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45351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45351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45351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45351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45351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45351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45351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45351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45351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45351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45351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45351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45351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45351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45351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45351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45351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45351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45351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45351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45351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45351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45351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45351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45351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3658-2024</t>
        </is>
      </c>
      <c r="B115" s="1" t="n">
        <v>45321</v>
      </c>
      <c r="C115" s="1" t="n">
        <v>45351</v>
      </c>
      <c r="D115" t="inlineStr">
        <is>
          <t>KALMAR LÄN</t>
        </is>
      </c>
      <c r="E115" t="inlineStr">
        <is>
          <t>VÄSTERVIK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3658-2024 artfynd.xlsx", "A 3658-2024")</f>
        <v/>
      </c>
      <c r="T115">
        <f>HYPERLINK("https://klasma.github.io/Logging_0883/kartor/A 3658-2024 karta.png", "A 3658-2024")</f>
        <v/>
      </c>
      <c r="U115">
        <f>HYPERLINK("https://klasma.github.io/Logging_0883/knärot/A 3658-2024 karta knärot.png", "A 3658-2024")</f>
        <v/>
      </c>
      <c r="V115">
        <f>HYPERLINK("https://klasma.github.io/Logging_0883/klagomål/A 3658-2024 FSC-klagomål.docx", "A 3658-2024")</f>
        <v/>
      </c>
      <c r="W115">
        <f>HYPERLINK("https://klasma.github.io/Logging_0883/klagomålsmail/A 3658-2024 FSC-klagomål mail.docx", "A 3658-2024")</f>
        <v/>
      </c>
      <c r="X115">
        <f>HYPERLINK("https://klasma.github.io/Logging_0883/tillsyn/A 3658-2024 tillsynsbegäran.docx", "A 3658-2024")</f>
        <v/>
      </c>
      <c r="Y115">
        <f>HYPERLINK("https://klasma.github.io/Logging_0883/tillsynsmail/A 3658-2024 tillsynsbegäran mail.docx", "A 3658-2024")</f>
        <v/>
      </c>
    </row>
    <row r="116" ht="15" customHeight="1">
      <c r="A116" t="inlineStr">
        <is>
          <t>A 51204-2018</t>
        </is>
      </c>
      <c r="B116" s="1" t="n">
        <v>43377</v>
      </c>
      <c r="C116" s="1" t="n">
        <v>45351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HYPERLINK("https://klasma.github.io/Logging_0883/artfynd/A 51204-2018 artfynd.xlsx", "A 51204-2018")</f>
        <v/>
      </c>
      <c r="T116">
        <f>HYPERLINK("https://klasma.github.io/Logging_0883/kartor/A 51204-2018 karta.png", "A 51204-2018")</f>
        <v/>
      </c>
      <c r="V116">
        <f>HYPERLINK("https://klasma.github.io/Logging_0883/klagomål/A 51204-2018 FSC-klagomål.docx", "A 51204-2018")</f>
        <v/>
      </c>
      <c r="W116">
        <f>HYPERLINK("https://klasma.github.io/Logging_0883/klagomålsmail/A 51204-2018 FSC-klagomål mail.docx", "A 51204-2018")</f>
        <v/>
      </c>
      <c r="X116">
        <f>HYPERLINK("https://klasma.github.io/Logging_0883/tillsyn/A 51204-2018 tillsynsbegäran.docx", "A 51204-2018")</f>
        <v/>
      </c>
      <c r="Y116">
        <f>HYPERLINK("https://klasma.github.io/Logging_0883/tillsynsmail/A 51204-2018 tillsynsbegäran mail.docx", "A 51204-2018")</f>
        <v/>
      </c>
    </row>
    <row r="117" ht="15" customHeight="1">
      <c r="A117" t="inlineStr">
        <is>
          <t>A 4926-2019</t>
        </is>
      </c>
      <c r="B117" s="1" t="n">
        <v>43479</v>
      </c>
      <c r="C117" s="1" t="n">
        <v>45351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Hornuggla</t>
        </is>
      </c>
      <c r="S117">
        <f>HYPERLINK("https://klasma.github.io/Logging_0883/artfynd/A 4926-2019 artfynd.xlsx", "A 4926-2019")</f>
        <v/>
      </c>
      <c r="T117">
        <f>HYPERLINK("https://klasma.github.io/Logging_0883/kartor/A 4926-2019 karta.png", "A 4926-2019")</f>
        <v/>
      </c>
      <c r="V117">
        <f>HYPERLINK("https://klasma.github.io/Logging_0883/klagomål/A 4926-2019 FSC-klagomål.docx", "A 4926-2019")</f>
        <v/>
      </c>
      <c r="W117">
        <f>HYPERLINK("https://klasma.github.io/Logging_0883/klagomålsmail/A 4926-2019 FSC-klagomål mail.docx", "A 4926-2019")</f>
        <v/>
      </c>
      <c r="X117">
        <f>HYPERLINK("https://klasma.github.io/Logging_0883/tillsyn/A 4926-2019 tillsynsbegäran.docx", "A 4926-2019")</f>
        <v/>
      </c>
      <c r="Y117">
        <f>HYPERLINK("https://klasma.github.io/Logging_0883/tillsynsmail/A 4926-2019 tillsynsbegäran mail.docx", "A 4926-2019")</f>
        <v/>
      </c>
    </row>
    <row r="118" ht="15" customHeight="1">
      <c r="A118" t="inlineStr">
        <is>
          <t>A 10741-2019</t>
        </is>
      </c>
      <c r="B118" s="1" t="n">
        <v>43514</v>
      </c>
      <c r="C118" s="1" t="n">
        <v>45351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HYPERLINK("https://klasma.github.io/Logging_0883/artfynd/A 10741-2019 artfynd.xlsx", "A 10741-2019")</f>
        <v/>
      </c>
      <c r="T118">
        <f>HYPERLINK("https://klasma.github.io/Logging_0883/kartor/A 10741-2019 karta.png", "A 10741-2019")</f>
        <v/>
      </c>
      <c r="U118">
        <f>HYPERLINK("https://klasma.github.io/Logging_0883/knärot/A 10741-2019 karta knärot.png", "A 10741-2019")</f>
        <v/>
      </c>
      <c r="V118">
        <f>HYPERLINK("https://klasma.github.io/Logging_0883/klagomål/A 10741-2019 FSC-klagomål.docx", "A 10741-2019")</f>
        <v/>
      </c>
      <c r="W118">
        <f>HYPERLINK("https://klasma.github.io/Logging_0883/klagomålsmail/A 10741-2019 FSC-klagomål mail.docx", "A 10741-2019")</f>
        <v/>
      </c>
      <c r="X118">
        <f>HYPERLINK("https://klasma.github.io/Logging_0883/tillsyn/A 10741-2019 tillsynsbegäran.docx", "A 10741-2019")</f>
        <v/>
      </c>
      <c r="Y118">
        <f>HYPERLINK("https://klasma.github.io/Logging_0883/tillsynsmail/A 10741-2019 tillsynsbegäran mail.docx", "A 10741-2019")</f>
        <v/>
      </c>
    </row>
    <row r="119" ht="15" customHeight="1">
      <c r="A119" t="inlineStr">
        <is>
          <t>A 15043-2019</t>
        </is>
      </c>
      <c r="B119" s="1" t="n">
        <v>43538</v>
      </c>
      <c r="C119" s="1" t="n">
        <v>45351</v>
      </c>
      <c r="D119" t="inlineStr">
        <is>
          <t>KALMAR LÄN</t>
        </is>
      </c>
      <c r="E119" t="inlineStr">
        <is>
          <t>VÄSTERVIK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HYPERLINK("https://klasma.github.io/Logging_0883/artfynd/A 15043-2019 artfynd.xlsx", "A 15043-2019")</f>
        <v/>
      </c>
      <c r="T119">
        <f>HYPERLINK("https://klasma.github.io/Logging_0883/kartor/A 15043-2019 karta.png", "A 15043-2019")</f>
        <v/>
      </c>
      <c r="V119">
        <f>HYPERLINK("https://klasma.github.io/Logging_0883/klagomål/A 15043-2019 FSC-klagomål.docx", "A 15043-2019")</f>
        <v/>
      </c>
      <c r="W119">
        <f>HYPERLINK("https://klasma.github.io/Logging_0883/klagomålsmail/A 15043-2019 FSC-klagomål mail.docx", "A 15043-2019")</f>
        <v/>
      </c>
      <c r="X119">
        <f>HYPERLINK("https://klasma.github.io/Logging_0883/tillsyn/A 15043-2019 tillsynsbegäran.docx", "A 15043-2019")</f>
        <v/>
      </c>
      <c r="Y119">
        <f>HYPERLINK("https://klasma.github.io/Logging_0883/tillsynsmail/A 15043-2019 tillsynsbegäran mail.docx", "A 15043-2019")</f>
        <v/>
      </c>
    </row>
    <row r="120" ht="15" customHeight="1">
      <c r="A120" t="inlineStr">
        <is>
          <t>A 27200-2019</t>
        </is>
      </c>
      <c r="B120" s="1" t="n">
        <v>43614</v>
      </c>
      <c r="C120" s="1" t="n">
        <v>45351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Myskmadra</t>
        </is>
      </c>
      <c r="S120">
        <f>HYPERLINK("https://klasma.github.io/Logging_0883/artfynd/A 27200-2019 artfynd.xlsx", "A 27200-2019")</f>
        <v/>
      </c>
      <c r="T120">
        <f>HYPERLINK("https://klasma.github.io/Logging_0883/kartor/A 27200-2019 karta.png", "A 27200-2019")</f>
        <v/>
      </c>
      <c r="V120">
        <f>HYPERLINK("https://klasma.github.io/Logging_0883/klagomål/A 27200-2019 FSC-klagomål.docx", "A 27200-2019")</f>
        <v/>
      </c>
      <c r="W120">
        <f>HYPERLINK("https://klasma.github.io/Logging_0883/klagomålsmail/A 27200-2019 FSC-klagomål mail.docx", "A 27200-2019")</f>
        <v/>
      </c>
      <c r="X120">
        <f>HYPERLINK("https://klasma.github.io/Logging_0883/tillsyn/A 27200-2019 tillsynsbegäran.docx", "A 27200-2019")</f>
        <v/>
      </c>
      <c r="Y120">
        <f>HYPERLINK("https://klasma.github.io/Logging_0883/tillsynsmail/A 27200-2019 tillsynsbegäran mail.docx", "A 27200-2019")</f>
        <v/>
      </c>
    </row>
    <row r="121" ht="15" customHeight="1">
      <c r="A121" t="inlineStr">
        <is>
          <t>A 27204-2019</t>
        </is>
      </c>
      <c r="B121" s="1" t="n">
        <v>43614</v>
      </c>
      <c r="C121" s="1" t="n">
        <v>45351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12.9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 fjädermossa</t>
        </is>
      </c>
      <c r="S121">
        <f>HYPERLINK("https://klasma.github.io/Logging_0883/artfynd/A 27204-2019 artfynd.xlsx", "A 27204-2019")</f>
        <v/>
      </c>
      <c r="T121">
        <f>HYPERLINK("https://klasma.github.io/Logging_0883/kartor/A 27204-2019 karta.png", "A 27204-2019")</f>
        <v/>
      </c>
      <c r="V121">
        <f>HYPERLINK("https://klasma.github.io/Logging_0883/klagomål/A 27204-2019 FSC-klagomål.docx", "A 27204-2019")</f>
        <v/>
      </c>
      <c r="W121">
        <f>HYPERLINK("https://klasma.github.io/Logging_0883/klagomålsmail/A 27204-2019 FSC-klagomål mail.docx", "A 27204-2019")</f>
        <v/>
      </c>
      <c r="X121">
        <f>HYPERLINK("https://klasma.github.io/Logging_0883/tillsyn/A 27204-2019 tillsynsbegäran.docx", "A 27204-2019")</f>
        <v/>
      </c>
      <c r="Y121">
        <f>HYPERLINK("https://klasma.github.io/Logging_0883/tillsynsmail/A 27204-2019 tillsynsbegäran mail.docx", "A 27204-2019")</f>
        <v/>
      </c>
    </row>
    <row r="122" ht="15" customHeight="1">
      <c r="A122" t="inlineStr">
        <is>
          <t>A 27203-2019</t>
        </is>
      </c>
      <c r="B122" s="1" t="n">
        <v>43614</v>
      </c>
      <c r="C122" s="1" t="n">
        <v>45351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4.8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Blomskägglav</t>
        </is>
      </c>
      <c r="S122">
        <f>HYPERLINK("https://klasma.github.io/Logging_0883/artfynd/A 27203-2019 artfynd.xlsx", "A 27203-2019")</f>
        <v/>
      </c>
      <c r="T122">
        <f>HYPERLINK("https://klasma.github.io/Logging_0883/kartor/A 27203-2019 karta.png", "A 27203-2019")</f>
        <v/>
      </c>
      <c r="V122">
        <f>HYPERLINK("https://klasma.github.io/Logging_0883/klagomål/A 27203-2019 FSC-klagomål.docx", "A 27203-2019")</f>
        <v/>
      </c>
      <c r="W122">
        <f>HYPERLINK("https://klasma.github.io/Logging_0883/klagomålsmail/A 27203-2019 FSC-klagomål mail.docx", "A 27203-2019")</f>
        <v/>
      </c>
      <c r="X122">
        <f>HYPERLINK("https://klasma.github.io/Logging_0883/tillsyn/A 27203-2019 tillsynsbegäran.docx", "A 27203-2019")</f>
        <v/>
      </c>
      <c r="Y122">
        <f>HYPERLINK("https://klasma.github.io/Logging_0883/tillsynsmail/A 27203-2019 tillsynsbegäran mail.docx", "A 27203-2019")</f>
        <v/>
      </c>
    </row>
    <row r="123" ht="15" customHeight="1">
      <c r="A123" t="inlineStr">
        <is>
          <t>A 59193-2019</t>
        </is>
      </c>
      <c r="B123" s="1" t="n">
        <v>43775</v>
      </c>
      <c r="C123" s="1" t="n">
        <v>45351</v>
      </c>
      <c r="D123" t="inlineStr">
        <is>
          <t>KALMAR LÄN</t>
        </is>
      </c>
      <c r="E123" t="inlineStr">
        <is>
          <t>VÄSTERVIK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Åkerkulla</t>
        </is>
      </c>
      <c r="S123">
        <f>HYPERLINK("https://klasma.github.io/Logging_0883/artfynd/A 59193-2019 artfynd.xlsx", "A 59193-2019")</f>
        <v/>
      </c>
      <c r="T123">
        <f>HYPERLINK("https://klasma.github.io/Logging_0883/kartor/A 59193-2019 karta.png", "A 59193-2019")</f>
        <v/>
      </c>
      <c r="V123">
        <f>HYPERLINK("https://klasma.github.io/Logging_0883/klagomål/A 59193-2019 FSC-klagomål.docx", "A 59193-2019")</f>
        <v/>
      </c>
      <c r="W123">
        <f>HYPERLINK("https://klasma.github.io/Logging_0883/klagomålsmail/A 59193-2019 FSC-klagomål mail.docx", "A 59193-2019")</f>
        <v/>
      </c>
      <c r="X123">
        <f>HYPERLINK("https://klasma.github.io/Logging_0883/tillsyn/A 59193-2019 tillsynsbegäran.docx", "A 59193-2019")</f>
        <v/>
      </c>
      <c r="Y123">
        <f>HYPERLINK("https://klasma.github.io/Logging_0883/tillsynsmail/A 59193-2019 tillsynsbegäran mail.docx", "A 59193-2019")</f>
        <v/>
      </c>
    </row>
    <row r="124" ht="15" customHeight="1">
      <c r="A124" t="inlineStr">
        <is>
          <t>A 16608-2020</t>
        </is>
      </c>
      <c r="B124" s="1" t="n">
        <v>43908</v>
      </c>
      <c r="C124" s="1" t="n">
        <v>45351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Skogsklocka</t>
        </is>
      </c>
      <c r="S124">
        <f>HYPERLINK("https://klasma.github.io/Logging_0883/artfynd/A 16608-2020 artfynd.xlsx", "A 16608-2020")</f>
        <v/>
      </c>
      <c r="T124">
        <f>HYPERLINK("https://klasma.github.io/Logging_0883/kartor/A 16608-2020 karta.png", "A 16608-2020")</f>
        <v/>
      </c>
      <c r="V124">
        <f>HYPERLINK("https://klasma.github.io/Logging_0883/klagomål/A 16608-2020 FSC-klagomål.docx", "A 16608-2020")</f>
        <v/>
      </c>
      <c r="W124">
        <f>HYPERLINK("https://klasma.github.io/Logging_0883/klagomålsmail/A 16608-2020 FSC-klagomål mail.docx", "A 16608-2020")</f>
        <v/>
      </c>
      <c r="X124">
        <f>HYPERLINK("https://klasma.github.io/Logging_0883/tillsyn/A 16608-2020 tillsynsbegäran.docx", "A 16608-2020")</f>
        <v/>
      </c>
      <c r="Y124">
        <f>HYPERLINK("https://klasma.github.io/Logging_0883/tillsynsmail/A 16608-2020 tillsynsbegäran mail.docx", "A 16608-2020")</f>
        <v/>
      </c>
    </row>
    <row r="125" ht="15" customHeight="1">
      <c r="A125" t="inlineStr">
        <is>
          <t>A 15357-2020</t>
        </is>
      </c>
      <c r="B125" s="1" t="n">
        <v>43913</v>
      </c>
      <c r="C125" s="1" t="n">
        <v>45351</v>
      </c>
      <c r="D125" t="inlineStr">
        <is>
          <t>KALMAR LÄN</t>
        </is>
      </c>
      <c r="E125" t="inlineStr">
        <is>
          <t>VÄSTERVIK</t>
        </is>
      </c>
      <c r="G125" t="n">
        <v>2.9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HYPERLINK("https://klasma.github.io/Logging_0883/artfynd/A 15357-2020 artfynd.xlsx", "A 15357-2020")</f>
        <v/>
      </c>
      <c r="T125">
        <f>HYPERLINK("https://klasma.github.io/Logging_0883/kartor/A 15357-2020 karta.png", "A 15357-2020")</f>
        <v/>
      </c>
      <c r="U125">
        <f>HYPERLINK("https://klasma.github.io/Logging_0883/knärot/A 15357-2020 karta knärot.png", "A 15357-2020")</f>
        <v/>
      </c>
      <c r="V125">
        <f>HYPERLINK("https://klasma.github.io/Logging_0883/klagomål/A 15357-2020 FSC-klagomål.docx", "A 15357-2020")</f>
        <v/>
      </c>
      <c r="W125">
        <f>HYPERLINK("https://klasma.github.io/Logging_0883/klagomålsmail/A 15357-2020 FSC-klagomål mail.docx", "A 15357-2020")</f>
        <v/>
      </c>
      <c r="X125">
        <f>HYPERLINK("https://klasma.github.io/Logging_0883/tillsyn/A 15357-2020 tillsynsbegäran.docx", "A 15357-2020")</f>
        <v/>
      </c>
      <c r="Y125">
        <f>HYPERLINK("https://klasma.github.io/Logging_0883/tillsynsmail/A 15357-2020 tillsynsbegäran mail.docx", "A 15357-2020")</f>
        <v/>
      </c>
    </row>
    <row r="126" ht="15" customHeight="1">
      <c r="A126" t="inlineStr">
        <is>
          <t>A 39836-2020</t>
        </is>
      </c>
      <c r="B126" s="1" t="n">
        <v>44064</v>
      </c>
      <c r="C126" s="1" t="n">
        <v>45351</v>
      </c>
      <c r="D126" t="inlineStr">
        <is>
          <t>KALMAR LÄN</t>
        </is>
      </c>
      <c r="E126" t="inlineStr">
        <is>
          <t>VÄSTERVIK</t>
        </is>
      </c>
      <c r="G126" t="n">
        <v>13.4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HYPERLINK("https://klasma.github.io/Logging_0883/artfynd/A 39836-2020 artfynd.xlsx", "A 39836-2020")</f>
        <v/>
      </c>
      <c r="T126">
        <f>HYPERLINK("https://klasma.github.io/Logging_0883/kartor/A 39836-2020 karta.png", "A 39836-2020")</f>
        <v/>
      </c>
      <c r="V126">
        <f>HYPERLINK("https://klasma.github.io/Logging_0883/klagomål/A 39836-2020 FSC-klagomål.docx", "A 39836-2020")</f>
        <v/>
      </c>
      <c r="W126">
        <f>HYPERLINK("https://klasma.github.io/Logging_0883/klagomålsmail/A 39836-2020 FSC-klagomål mail.docx", "A 39836-2020")</f>
        <v/>
      </c>
      <c r="X126">
        <f>HYPERLINK("https://klasma.github.io/Logging_0883/tillsyn/A 39836-2020 tillsynsbegäran.docx", "A 39836-2020")</f>
        <v/>
      </c>
      <c r="Y126">
        <f>HYPERLINK("https://klasma.github.io/Logging_0883/tillsynsmail/A 39836-2020 tillsynsbegäran mail.docx", "A 39836-2020")</f>
        <v/>
      </c>
      <c r="Z126">
        <f>HYPERLINK("https://klasma.github.io/Logging_0883/fåglar/A 39836-2020 prioriterade fågelarter.docx", "A 39836-2020")</f>
        <v/>
      </c>
    </row>
    <row r="127" ht="15" customHeight="1">
      <c r="A127" t="inlineStr">
        <is>
          <t>A 66752-2020</t>
        </is>
      </c>
      <c r="B127" s="1" t="n">
        <v>44175</v>
      </c>
      <c r="C127" s="1" t="n">
        <v>45351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66752-2020 artfynd.xlsx", "A 66752-2020")</f>
        <v/>
      </c>
      <c r="T127">
        <f>HYPERLINK("https://klasma.github.io/Logging_0883/kartor/A 66752-2020 karta.png", "A 66752-2020")</f>
        <v/>
      </c>
      <c r="V127">
        <f>HYPERLINK("https://klasma.github.io/Logging_0883/klagomål/A 66752-2020 FSC-klagomål.docx", "A 66752-2020")</f>
        <v/>
      </c>
      <c r="W127">
        <f>HYPERLINK("https://klasma.github.io/Logging_0883/klagomålsmail/A 66752-2020 FSC-klagomål mail.docx", "A 66752-2020")</f>
        <v/>
      </c>
      <c r="X127">
        <f>HYPERLINK("https://klasma.github.io/Logging_0883/tillsyn/A 66752-2020 tillsynsbegäran.docx", "A 66752-2020")</f>
        <v/>
      </c>
      <c r="Y127">
        <f>HYPERLINK("https://klasma.github.io/Logging_0883/tillsynsmail/A 66752-2020 tillsynsbegäran mail.docx", "A 66752-2020")</f>
        <v/>
      </c>
    </row>
    <row r="128" ht="15" customHeight="1">
      <c r="A128" t="inlineStr">
        <is>
          <t>A 69632-2020</t>
        </is>
      </c>
      <c r="B128" s="1" t="n">
        <v>44195</v>
      </c>
      <c r="C128" s="1" t="n">
        <v>45351</v>
      </c>
      <c r="D128" t="inlineStr">
        <is>
          <t>KALMAR LÄN</t>
        </is>
      </c>
      <c r="E128" t="inlineStr">
        <is>
          <t>VÄSTERVIK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69632-2020 artfynd.xlsx", "A 69632-2020")</f>
        <v/>
      </c>
      <c r="T128">
        <f>HYPERLINK("https://klasma.github.io/Logging_0883/kartor/A 69632-2020 karta.png", "A 69632-2020")</f>
        <v/>
      </c>
      <c r="V128">
        <f>HYPERLINK("https://klasma.github.io/Logging_0883/klagomål/A 69632-2020 FSC-klagomål.docx", "A 69632-2020")</f>
        <v/>
      </c>
      <c r="W128">
        <f>HYPERLINK("https://klasma.github.io/Logging_0883/klagomålsmail/A 69632-2020 FSC-klagomål mail.docx", "A 69632-2020")</f>
        <v/>
      </c>
      <c r="X128">
        <f>HYPERLINK("https://klasma.github.io/Logging_0883/tillsyn/A 69632-2020 tillsynsbegäran.docx", "A 69632-2020")</f>
        <v/>
      </c>
      <c r="Y128">
        <f>HYPERLINK("https://klasma.github.io/Logging_0883/tillsynsmail/A 69632-2020 tillsynsbegäran mail.docx", "A 69632-2020")</f>
        <v/>
      </c>
    </row>
    <row r="129" ht="15" customHeight="1">
      <c r="A129" t="inlineStr">
        <is>
          <t>A 20233-2021</t>
        </is>
      </c>
      <c r="B129" s="1" t="n">
        <v>44314</v>
      </c>
      <c r="C129" s="1" t="n">
        <v>45351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20233-2021 artfynd.xlsx", "A 20233-2021")</f>
        <v/>
      </c>
      <c r="T129">
        <f>HYPERLINK("https://klasma.github.io/Logging_0883/kartor/A 20233-2021 karta.png", "A 20233-2021")</f>
        <v/>
      </c>
      <c r="V129">
        <f>HYPERLINK("https://klasma.github.io/Logging_0883/klagomål/A 20233-2021 FSC-klagomål.docx", "A 20233-2021")</f>
        <v/>
      </c>
      <c r="W129">
        <f>HYPERLINK("https://klasma.github.io/Logging_0883/klagomålsmail/A 20233-2021 FSC-klagomål mail.docx", "A 20233-2021")</f>
        <v/>
      </c>
      <c r="X129">
        <f>HYPERLINK("https://klasma.github.io/Logging_0883/tillsyn/A 20233-2021 tillsynsbegäran.docx", "A 20233-2021")</f>
        <v/>
      </c>
      <c r="Y129">
        <f>HYPERLINK("https://klasma.github.io/Logging_0883/tillsynsmail/A 20233-2021 tillsynsbegäran mail.docx", "A 20233-2021")</f>
        <v/>
      </c>
    </row>
    <row r="130" ht="15" customHeight="1">
      <c r="A130" t="inlineStr">
        <is>
          <t>A 24048-2021</t>
        </is>
      </c>
      <c r="B130" s="1" t="n">
        <v>44336</v>
      </c>
      <c r="C130" s="1" t="n">
        <v>45351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24048-2021 artfynd.xlsx", "A 24048-2021")</f>
        <v/>
      </c>
      <c r="T130">
        <f>HYPERLINK("https://klasma.github.io/Logging_0883/kartor/A 24048-2021 karta.png", "A 24048-2021")</f>
        <v/>
      </c>
      <c r="U130">
        <f>HYPERLINK("https://klasma.github.io/Logging_0883/knärot/A 24048-2021 karta knärot.png", "A 24048-2021")</f>
        <v/>
      </c>
      <c r="V130">
        <f>HYPERLINK("https://klasma.github.io/Logging_0883/klagomål/A 24048-2021 FSC-klagomål.docx", "A 24048-2021")</f>
        <v/>
      </c>
      <c r="W130">
        <f>HYPERLINK("https://klasma.github.io/Logging_0883/klagomålsmail/A 24048-2021 FSC-klagomål mail.docx", "A 24048-2021")</f>
        <v/>
      </c>
      <c r="X130">
        <f>HYPERLINK("https://klasma.github.io/Logging_0883/tillsyn/A 24048-2021 tillsynsbegäran.docx", "A 24048-2021")</f>
        <v/>
      </c>
      <c r="Y130">
        <f>HYPERLINK("https://klasma.github.io/Logging_0883/tillsynsmail/A 24048-2021 tillsynsbegäran mail.docx", "A 24048-2021")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45351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sköldmossa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</row>
    <row r="132" ht="15" customHeight="1">
      <c r="A132" t="inlineStr">
        <is>
          <t>A 25447-2021</t>
        </is>
      </c>
      <c r="B132" s="1" t="n">
        <v>44342</v>
      </c>
      <c r="C132" s="1" t="n">
        <v>45351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25447-2021 artfynd.xlsx", "A 25447-2021")</f>
        <v/>
      </c>
      <c r="T132">
        <f>HYPERLINK("https://klasma.github.io/Logging_0883/kartor/A 25447-2021 karta.png", "A 25447-2021")</f>
        <v/>
      </c>
      <c r="U132">
        <f>HYPERLINK("https://klasma.github.io/Logging_0883/knärot/A 25447-2021 karta knärot.png", "A 25447-2021")</f>
        <v/>
      </c>
      <c r="V132">
        <f>HYPERLINK("https://klasma.github.io/Logging_0883/klagomål/A 25447-2021 FSC-klagomål.docx", "A 25447-2021")</f>
        <v/>
      </c>
      <c r="W132">
        <f>HYPERLINK("https://klasma.github.io/Logging_0883/klagomålsmail/A 25447-2021 FSC-klagomål mail.docx", "A 25447-2021")</f>
        <v/>
      </c>
      <c r="X132">
        <f>HYPERLINK("https://klasma.github.io/Logging_0883/tillsyn/A 25447-2021 tillsynsbegäran.docx", "A 25447-2021")</f>
        <v/>
      </c>
      <c r="Y132">
        <f>HYPERLINK("https://klasma.github.io/Logging_0883/tillsynsmail/A 25447-2021 tillsynsbegäran mail.docx", "A 25447-2021")</f>
        <v/>
      </c>
    </row>
    <row r="133" ht="15" customHeight="1">
      <c r="A133" t="inlineStr">
        <is>
          <t>A 25594-2021</t>
        </is>
      </c>
      <c r="B133" s="1" t="n">
        <v>44343</v>
      </c>
      <c r="C133" s="1" t="n">
        <v>45351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25594-2021 artfynd.xlsx", "A 25594-2021")</f>
        <v/>
      </c>
      <c r="T133">
        <f>HYPERLINK("https://klasma.github.io/Logging_0883/kartor/A 25594-2021 karta.png", "A 25594-2021")</f>
        <v/>
      </c>
      <c r="U133">
        <f>HYPERLINK("https://klasma.github.io/Logging_0883/knärot/A 25594-2021 karta knärot.png", "A 25594-2021")</f>
        <v/>
      </c>
      <c r="V133">
        <f>HYPERLINK("https://klasma.github.io/Logging_0883/klagomål/A 25594-2021 FSC-klagomål.docx", "A 25594-2021")</f>
        <v/>
      </c>
      <c r="W133">
        <f>HYPERLINK("https://klasma.github.io/Logging_0883/klagomålsmail/A 25594-2021 FSC-klagomål mail.docx", "A 25594-2021")</f>
        <v/>
      </c>
      <c r="X133">
        <f>HYPERLINK("https://klasma.github.io/Logging_0883/tillsyn/A 25594-2021 tillsynsbegäran.docx", "A 25594-2021")</f>
        <v/>
      </c>
      <c r="Y133">
        <f>HYPERLINK("https://klasma.github.io/Logging_0883/tillsynsmail/A 25594-2021 tillsynsbegäran mail.docx", "A 25594-2021")</f>
        <v/>
      </c>
    </row>
    <row r="134" ht="15" customHeight="1">
      <c r="A134" t="inlineStr">
        <is>
          <t>A 29455-2021</t>
        </is>
      </c>
      <c r="B134" s="1" t="n">
        <v>44361</v>
      </c>
      <c r="C134" s="1" t="n">
        <v>45351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3.1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29455-2021 artfynd.xlsx", "A 29455-2021")</f>
        <v/>
      </c>
      <c r="T134">
        <f>HYPERLINK("https://klasma.github.io/Logging_0883/kartor/A 29455-2021 karta.png", "A 29455-2021")</f>
        <v/>
      </c>
      <c r="U134">
        <f>HYPERLINK("https://klasma.github.io/Logging_0883/knärot/A 29455-2021 karta knärot.png", "A 29455-2021")</f>
        <v/>
      </c>
      <c r="V134">
        <f>HYPERLINK("https://klasma.github.io/Logging_0883/klagomål/A 29455-2021 FSC-klagomål.docx", "A 29455-2021")</f>
        <v/>
      </c>
      <c r="W134">
        <f>HYPERLINK("https://klasma.github.io/Logging_0883/klagomålsmail/A 29455-2021 FSC-klagomål mail.docx", "A 29455-2021")</f>
        <v/>
      </c>
      <c r="X134">
        <f>HYPERLINK("https://klasma.github.io/Logging_0883/tillsyn/A 29455-2021 tillsynsbegäran.docx", "A 29455-2021")</f>
        <v/>
      </c>
      <c r="Y134">
        <f>HYPERLINK("https://klasma.github.io/Logging_0883/tillsynsmail/A 29455-2021 tillsynsbegäran mail.docx", "A 29455-2021")</f>
        <v/>
      </c>
    </row>
    <row r="135" ht="15" customHeight="1">
      <c r="A135" t="inlineStr">
        <is>
          <t>A 31315-2021</t>
        </is>
      </c>
      <c r="B135" s="1" t="n">
        <v>44368</v>
      </c>
      <c r="C135" s="1" t="n">
        <v>45351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31315-2021 artfynd.xlsx", "A 31315-2021")</f>
        <v/>
      </c>
      <c r="T135">
        <f>HYPERLINK("https://klasma.github.io/Logging_0883/kartor/A 31315-2021 karta.png", "A 31315-2021")</f>
        <v/>
      </c>
      <c r="U135">
        <f>HYPERLINK("https://klasma.github.io/Logging_0883/knärot/A 31315-2021 karta knärot.png", "A 31315-2021")</f>
        <v/>
      </c>
      <c r="V135">
        <f>HYPERLINK("https://klasma.github.io/Logging_0883/klagomål/A 31315-2021 FSC-klagomål.docx", "A 31315-2021")</f>
        <v/>
      </c>
      <c r="W135">
        <f>HYPERLINK("https://klasma.github.io/Logging_0883/klagomålsmail/A 31315-2021 FSC-klagomål mail.docx", "A 31315-2021")</f>
        <v/>
      </c>
      <c r="X135">
        <f>HYPERLINK("https://klasma.github.io/Logging_0883/tillsyn/A 31315-2021 tillsynsbegäran.docx", "A 31315-2021")</f>
        <v/>
      </c>
      <c r="Y135">
        <f>HYPERLINK("https://klasma.github.io/Logging_0883/tillsynsmail/A 31315-2021 tillsynsbegäran mail.docx", "A 31315-2021")</f>
        <v/>
      </c>
    </row>
    <row r="136" ht="15" customHeight="1">
      <c r="A136" t="inlineStr">
        <is>
          <t>A 44635-2021</t>
        </is>
      </c>
      <c r="B136" s="1" t="n">
        <v>44437</v>
      </c>
      <c r="C136" s="1" t="n">
        <v>45351</v>
      </c>
      <c r="D136" t="inlineStr">
        <is>
          <t>KALMAR LÄN</t>
        </is>
      </c>
      <c r="E136" t="inlineStr">
        <is>
          <t>VÄSTERVIK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HYPERLINK("https://klasma.github.io/Logging_0883/artfynd/A 44635-2021 artfynd.xlsx", "A 44635-2021")</f>
        <v/>
      </c>
      <c r="T136">
        <f>HYPERLINK("https://klasma.github.io/Logging_0883/kartor/A 44635-2021 karta.png", "A 44635-2021")</f>
        <v/>
      </c>
      <c r="V136">
        <f>HYPERLINK("https://klasma.github.io/Logging_0883/klagomål/A 44635-2021 FSC-klagomål.docx", "A 44635-2021")</f>
        <v/>
      </c>
      <c r="W136">
        <f>HYPERLINK("https://klasma.github.io/Logging_0883/klagomålsmail/A 44635-2021 FSC-klagomål mail.docx", "A 44635-2021")</f>
        <v/>
      </c>
      <c r="X136">
        <f>HYPERLINK("https://klasma.github.io/Logging_0883/tillsyn/A 44635-2021 tillsynsbegäran.docx", "A 44635-2021")</f>
        <v/>
      </c>
      <c r="Y136">
        <f>HYPERLINK("https://klasma.github.io/Logging_0883/tillsynsmail/A 44635-2021 tillsynsbegäran mail.docx", "A 44635-2021")</f>
        <v/>
      </c>
    </row>
    <row r="137" ht="15" customHeight="1">
      <c r="A137" t="inlineStr">
        <is>
          <t>A 47860-2021</t>
        </is>
      </c>
      <c r="B137" s="1" t="n">
        <v>44448</v>
      </c>
      <c r="C137" s="1" t="n">
        <v>45351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47860-2021 artfynd.xlsx", "A 47860-2021")</f>
        <v/>
      </c>
      <c r="T137">
        <f>HYPERLINK("https://klasma.github.io/Logging_0883/kartor/A 47860-2021 karta.png", "A 47860-2021")</f>
        <v/>
      </c>
      <c r="V137">
        <f>HYPERLINK("https://klasma.github.io/Logging_0883/klagomål/A 47860-2021 FSC-klagomål.docx", "A 47860-2021")</f>
        <v/>
      </c>
      <c r="W137">
        <f>HYPERLINK("https://klasma.github.io/Logging_0883/klagomålsmail/A 47860-2021 FSC-klagomål mail.docx", "A 47860-2021")</f>
        <v/>
      </c>
      <c r="X137">
        <f>HYPERLINK("https://klasma.github.io/Logging_0883/tillsyn/A 47860-2021 tillsynsbegäran.docx", "A 47860-2021")</f>
        <v/>
      </c>
      <c r="Y137">
        <f>HYPERLINK("https://klasma.github.io/Logging_0883/tillsynsmail/A 47860-2021 tillsynsbegäran mail.docx", "A 47860-2021")</f>
        <v/>
      </c>
    </row>
    <row r="138" ht="15" customHeight="1">
      <c r="A138" t="inlineStr">
        <is>
          <t>A 52831-2021</t>
        </is>
      </c>
      <c r="B138" s="1" t="n">
        <v>44467</v>
      </c>
      <c r="C138" s="1" t="n">
        <v>45351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52831-2021 artfynd.xlsx", "A 52831-2021")</f>
        <v/>
      </c>
      <c r="T138">
        <f>HYPERLINK("https://klasma.github.io/Logging_0883/kartor/A 52831-2021 karta.png", "A 52831-2021")</f>
        <v/>
      </c>
      <c r="V138">
        <f>HYPERLINK("https://klasma.github.io/Logging_0883/klagomål/A 52831-2021 FSC-klagomål.docx", "A 52831-2021")</f>
        <v/>
      </c>
      <c r="W138">
        <f>HYPERLINK("https://klasma.github.io/Logging_0883/klagomålsmail/A 52831-2021 FSC-klagomål mail.docx", "A 52831-2021")</f>
        <v/>
      </c>
      <c r="X138">
        <f>HYPERLINK("https://klasma.github.io/Logging_0883/tillsyn/A 52831-2021 tillsynsbegäran.docx", "A 52831-2021")</f>
        <v/>
      </c>
      <c r="Y138">
        <f>HYPERLINK("https://klasma.github.io/Logging_0883/tillsynsmail/A 52831-2021 tillsynsbegäran mail.docx", "A 52831-2021")</f>
        <v/>
      </c>
    </row>
    <row r="139" ht="15" customHeight="1">
      <c r="A139" t="inlineStr">
        <is>
          <t>A 53738-2021</t>
        </is>
      </c>
      <c r="B139" s="1" t="n">
        <v>44467</v>
      </c>
      <c r="C139" s="1" t="n">
        <v>45351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53738-2021 artfynd.xlsx", "A 53738-2021")</f>
        <v/>
      </c>
      <c r="T139">
        <f>HYPERLINK("https://klasma.github.io/Logging_0883/kartor/A 53738-2021 karta.png", "A 53738-2021")</f>
        <v/>
      </c>
      <c r="U139">
        <f>HYPERLINK("https://klasma.github.io/Logging_0883/knärot/A 53738-2021 karta knärot.png", "A 53738-2021")</f>
        <v/>
      </c>
      <c r="V139">
        <f>HYPERLINK("https://klasma.github.io/Logging_0883/klagomål/A 53738-2021 FSC-klagomål.docx", "A 53738-2021")</f>
        <v/>
      </c>
      <c r="W139">
        <f>HYPERLINK("https://klasma.github.io/Logging_0883/klagomålsmail/A 53738-2021 FSC-klagomål mail.docx", "A 53738-2021")</f>
        <v/>
      </c>
      <c r="X139">
        <f>HYPERLINK("https://klasma.github.io/Logging_0883/tillsyn/A 53738-2021 tillsynsbegäran.docx", "A 53738-2021")</f>
        <v/>
      </c>
      <c r="Y139">
        <f>HYPERLINK("https://klasma.github.io/Logging_0883/tillsynsmail/A 53738-2021 tillsynsbegäran mail.docx", "A 53738-2021")</f>
        <v/>
      </c>
    </row>
    <row r="140" ht="15" customHeight="1">
      <c r="A140" t="inlineStr">
        <is>
          <t>A 56618-2021</t>
        </is>
      </c>
      <c r="B140" s="1" t="n">
        <v>44480</v>
      </c>
      <c r="C140" s="1" t="n">
        <v>45351</v>
      </c>
      <c r="D140" t="inlineStr">
        <is>
          <t>KALMAR LÄN</t>
        </is>
      </c>
      <c r="E140" t="inlineStr">
        <is>
          <t>VÄSTERVIK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56618-2021 artfynd.xlsx", "A 56618-2021")</f>
        <v/>
      </c>
      <c r="T140">
        <f>HYPERLINK("https://klasma.github.io/Logging_0883/kartor/A 56618-2021 karta.png", "A 56618-2021")</f>
        <v/>
      </c>
      <c r="V140">
        <f>HYPERLINK("https://klasma.github.io/Logging_0883/klagomål/A 56618-2021 FSC-klagomål.docx", "A 56618-2021")</f>
        <v/>
      </c>
      <c r="W140">
        <f>HYPERLINK("https://klasma.github.io/Logging_0883/klagomålsmail/A 56618-2021 FSC-klagomål mail.docx", "A 56618-2021")</f>
        <v/>
      </c>
      <c r="X140">
        <f>HYPERLINK("https://klasma.github.io/Logging_0883/tillsyn/A 56618-2021 tillsynsbegäran.docx", "A 56618-2021")</f>
        <v/>
      </c>
      <c r="Y140">
        <f>HYPERLINK("https://klasma.github.io/Logging_0883/tillsynsmail/A 56618-2021 tillsynsbegäran mail.docx", "A 56618-2021")</f>
        <v/>
      </c>
    </row>
    <row r="141" ht="15" customHeight="1">
      <c r="A141" t="inlineStr">
        <is>
          <t>A 61319-2021</t>
        </is>
      </c>
      <c r="B141" s="1" t="n">
        <v>44498</v>
      </c>
      <c r="C141" s="1" t="n">
        <v>45351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HYPERLINK("https://klasma.github.io/Logging_0883/artfynd/A 61319-2021 artfynd.xlsx", "A 61319-2021")</f>
        <v/>
      </c>
      <c r="T141">
        <f>HYPERLINK("https://klasma.github.io/Logging_0883/kartor/A 61319-2021 karta.png", "A 61319-2021")</f>
        <v/>
      </c>
      <c r="V141">
        <f>HYPERLINK("https://klasma.github.io/Logging_0883/klagomål/A 61319-2021 FSC-klagomål.docx", "A 61319-2021")</f>
        <v/>
      </c>
      <c r="W141">
        <f>HYPERLINK("https://klasma.github.io/Logging_0883/klagomålsmail/A 61319-2021 FSC-klagomål mail.docx", "A 61319-2021")</f>
        <v/>
      </c>
      <c r="X141">
        <f>HYPERLINK("https://klasma.github.io/Logging_0883/tillsyn/A 61319-2021 tillsynsbegäran.docx", "A 61319-2021")</f>
        <v/>
      </c>
      <c r="Y141">
        <f>HYPERLINK("https://klasma.github.io/Logging_0883/tillsynsmail/A 61319-2021 tillsynsbegäran mail.docx", "A 61319-2021")</f>
        <v/>
      </c>
    </row>
    <row r="142" ht="15" customHeight="1">
      <c r="A142" t="inlineStr">
        <is>
          <t>A 1677-2022</t>
        </is>
      </c>
      <c r="B142" s="1" t="n">
        <v>44574</v>
      </c>
      <c r="C142" s="1" t="n">
        <v>45351</v>
      </c>
      <c r="D142" t="inlineStr">
        <is>
          <t>KALMAR LÄN</t>
        </is>
      </c>
      <c r="E142" t="inlineStr">
        <is>
          <t>VÄSTERVIK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1677-2022 artfynd.xlsx", "A 1677-2022")</f>
        <v/>
      </c>
      <c r="T142">
        <f>HYPERLINK("https://klasma.github.io/Logging_0883/kartor/A 1677-2022 karta.png", "A 1677-2022")</f>
        <v/>
      </c>
      <c r="U142">
        <f>HYPERLINK("https://klasma.github.io/Logging_0883/knärot/A 1677-2022 karta knärot.png", "A 1677-2022")</f>
        <v/>
      </c>
      <c r="V142">
        <f>HYPERLINK("https://klasma.github.io/Logging_0883/klagomål/A 1677-2022 FSC-klagomål.docx", "A 1677-2022")</f>
        <v/>
      </c>
      <c r="W142">
        <f>HYPERLINK("https://klasma.github.io/Logging_0883/klagomålsmail/A 1677-2022 FSC-klagomål mail.docx", "A 1677-2022")</f>
        <v/>
      </c>
      <c r="X142">
        <f>HYPERLINK("https://klasma.github.io/Logging_0883/tillsyn/A 1677-2022 tillsynsbegäran.docx", "A 1677-2022")</f>
        <v/>
      </c>
      <c r="Y142">
        <f>HYPERLINK("https://klasma.github.io/Logging_0883/tillsynsmail/A 1677-2022 tillsynsbegäran mail.docx", "A 1677-2022")</f>
        <v/>
      </c>
    </row>
    <row r="143" ht="15" customHeight="1">
      <c r="A143" t="inlineStr">
        <is>
          <t>A 12662-2022</t>
        </is>
      </c>
      <c r="B143" s="1" t="n">
        <v>44641</v>
      </c>
      <c r="C143" s="1" t="n">
        <v>45351</v>
      </c>
      <c r="D143" t="inlineStr">
        <is>
          <t>KALMAR LÄN</t>
        </is>
      </c>
      <c r="E143" t="inlineStr">
        <is>
          <t>VÄSTERVIK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HYPERLINK("https://klasma.github.io/Logging_0883/artfynd/A 12662-2022 artfynd.xlsx", "A 12662-2022")</f>
        <v/>
      </c>
      <c r="T143">
        <f>HYPERLINK("https://klasma.github.io/Logging_0883/kartor/A 12662-2022 karta.png", "A 12662-2022")</f>
        <v/>
      </c>
      <c r="V143">
        <f>HYPERLINK("https://klasma.github.io/Logging_0883/klagomål/A 12662-2022 FSC-klagomål.docx", "A 12662-2022")</f>
        <v/>
      </c>
      <c r="W143">
        <f>HYPERLINK("https://klasma.github.io/Logging_0883/klagomålsmail/A 12662-2022 FSC-klagomål mail.docx", "A 12662-2022")</f>
        <v/>
      </c>
      <c r="X143">
        <f>HYPERLINK("https://klasma.github.io/Logging_0883/tillsyn/A 12662-2022 tillsynsbegäran.docx", "A 12662-2022")</f>
        <v/>
      </c>
      <c r="Y143">
        <f>HYPERLINK("https://klasma.github.io/Logging_0883/tillsynsmail/A 12662-2022 tillsynsbegäran mail.docx", "A 12662-2022")</f>
        <v/>
      </c>
    </row>
    <row r="144" ht="15" customHeight="1">
      <c r="A144" t="inlineStr">
        <is>
          <t>A 15378-2022</t>
        </is>
      </c>
      <c r="B144" s="1" t="n">
        <v>44659</v>
      </c>
      <c r="C144" s="1" t="n">
        <v>45351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Klofibbla</t>
        </is>
      </c>
      <c r="S144">
        <f>HYPERLINK("https://klasma.github.io/Logging_0883/artfynd/A 15378-2022 artfynd.xlsx", "A 15378-2022")</f>
        <v/>
      </c>
      <c r="T144">
        <f>HYPERLINK("https://klasma.github.io/Logging_0883/kartor/A 15378-2022 karta.png", "A 15378-2022")</f>
        <v/>
      </c>
      <c r="V144">
        <f>HYPERLINK("https://klasma.github.io/Logging_0883/klagomål/A 15378-2022 FSC-klagomål.docx", "A 15378-2022")</f>
        <v/>
      </c>
      <c r="W144">
        <f>HYPERLINK("https://klasma.github.io/Logging_0883/klagomålsmail/A 15378-2022 FSC-klagomål mail.docx", "A 15378-2022")</f>
        <v/>
      </c>
      <c r="X144">
        <f>HYPERLINK("https://klasma.github.io/Logging_0883/tillsyn/A 15378-2022 tillsynsbegäran.docx", "A 15378-2022")</f>
        <v/>
      </c>
      <c r="Y144">
        <f>HYPERLINK("https://klasma.github.io/Logging_0883/tillsynsmail/A 15378-2022 tillsynsbegäran mail.docx", "A 15378-2022")</f>
        <v/>
      </c>
    </row>
    <row r="145" ht="15" customHeight="1">
      <c r="A145" t="inlineStr">
        <is>
          <t>A 19900-2022</t>
        </is>
      </c>
      <c r="B145" s="1" t="n">
        <v>44697</v>
      </c>
      <c r="C145" s="1" t="n">
        <v>45351</v>
      </c>
      <c r="D145" t="inlineStr">
        <is>
          <t>KALMAR LÄN</t>
        </is>
      </c>
      <c r="E145" t="inlineStr">
        <is>
          <t>VÄSTERVIK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19900-2022 artfynd.xlsx", "A 19900-2022")</f>
        <v/>
      </c>
      <c r="T145">
        <f>HYPERLINK("https://klasma.github.io/Logging_0883/kartor/A 19900-2022 karta.png", "A 19900-2022")</f>
        <v/>
      </c>
      <c r="U145">
        <f>HYPERLINK("https://klasma.github.io/Logging_0883/knärot/A 19900-2022 karta knärot.png", "A 19900-2022")</f>
        <v/>
      </c>
      <c r="V145">
        <f>HYPERLINK("https://klasma.github.io/Logging_0883/klagomål/A 19900-2022 FSC-klagomål.docx", "A 19900-2022")</f>
        <v/>
      </c>
      <c r="W145">
        <f>HYPERLINK("https://klasma.github.io/Logging_0883/klagomålsmail/A 19900-2022 FSC-klagomål mail.docx", "A 19900-2022")</f>
        <v/>
      </c>
      <c r="X145">
        <f>HYPERLINK("https://klasma.github.io/Logging_0883/tillsyn/A 19900-2022 tillsynsbegäran.docx", "A 19900-2022")</f>
        <v/>
      </c>
      <c r="Y145">
        <f>HYPERLINK("https://klasma.github.io/Logging_0883/tillsynsmail/A 19900-2022 tillsynsbegäran mail.docx", "A 19900-2022")</f>
        <v/>
      </c>
    </row>
    <row r="146" ht="15" customHeight="1">
      <c r="A146" t="inlineStr">
        <is>
          <t>A 26056-2022</t>
        </is>
      </c>
      <c r="B146" s="1" t="n">
        <v>44734</v>
      </c>
      <c r="C146" s="1" t="n">
        <v>45351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26056-2022 artfynd.xlsx", "A 26056-2022")</f>
        <v/>
      </c>
      <c r="T146">
        <f>HYPERLINK("https://klasma.github.io/Logging_0883/kartor/A 26056-2022 karta.png", "A 26056-2022")</f>
        <v/>
      </c>
      <c r="V146">
        <f>HYPERLINK("https://klasma.github.io/Logging_0883/klagomål/A 26056-2022 FSC-klagomål.docx", "A 26056-2022")</f>
        <v/>
      </c>
      <c r="W146">
        <f>HYPERLINK("https://klasma.github.io/Logging_0883/klagomålsmail/A 26056-2022 FSC-klagomål mail.docx", "A 26056-2022")</f>
        <v/>
      </c>
      <c r="X146">
        <f>HYPERLINK("https://klasma.github.io/Logging_0883/tillsyn/A 26056-2022 tillsynsbegäran.docx", "A 26056-2022")</f>
        <v/>
      </c>
      <c r="Y146">
        <f>HYPERLINK("https://klasma.github.io/Logging_0883/tillsynsmail/A 26056-2022 tillsynsbegäran mail.docx", "A 26056-2022")</f>
        <v/>
      </c>
    </row>
    <row r="147" ht="15" customHeight="1">
      <c r="A147" t="inlineStr">
        <is>
          <t>A 33209-2022</t>
        </is>
      </c>
      <c r="B147" s="1" t="n">
        <v>44785</v>
      </c>
      <c r="C147" s="1" t="n">
        <v>45351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33209-2022 artfynd.xlsx", "A 33209-2022")</f>
        <v/>
      </c>
      <c r="T147">
        <f>HYPERLINK("https://klasma.github.io/Logging_0883/kartor/A 33209-2022 karta.png", "A 33209-2022")</f>
        <v/>
      </c>
      <c r="V147">
        <f>HYPERLINK("https://klasma.github.io/Logging_0883/klagomål/A 33209-2022 FSC-klagomål.docx", "A 33209-2022")</f>
        <v/>
      </c>
      <c r="W147">
        <f>HYPERLINK("https://klasma.github.io/Logging_0883/klagomålsmail/A 33209-2022 FSC-klagomål mail.docx", "A 33209-2022")</f>
        <v/>
      </c>
      <c r="X147">
        <f>HYPERLINK("https://klasma.github.io/Logging_0883/tillsyn/A 33209-2022 tillsynsbegäran.docx", "A 33209-2022")</f>
        <v/>
      </c>
      <c r="Y147">
        <f>HYPERLINK("https://klasma.github.io/Logging_0883/tillsynsmail/A 33209-2022 tillsynsbegäran mail.docx", "A 33209-2022")</f>
        <v/>
      </c>
    </row>
    <row r="148" ht="15" customHeight="1">
      <c r="A148" t="inlineStr">
        <is>
          <t>A 40924-2022</t>
        </is>
      </c>
      <c r="B148" s="1" t="n">
        <v>44825</v>
      </c>
      <c r="C148" s="1" t="n">
        <v>45351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0.5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Barbastell</t>
        </is>
      </c>
      <c r="S148">
        <f>HYPERLINK("https://klasma.github.io/Logging_0883/artfynd/A 40924-2022 artfynd.xlsx", "A 40924-2022")</f>
        <v/>
      </c>
      <c r="T148">
        <f>HYPERLINK("https://klasma.github.io/Logging_0883/kartor/A 40924-2022 karta.png", "A 40924-2022")</f>
        <v/>
      </c>
      <c r="V148">
        <f>HYPERLINK("https://klasma.github.io/Logging_0883/klagomål/A 40924-2022 FSC-klagomål.docx", "A 40924-2022")</f>
        <v/>
      </c>
      <c r="W148">
        <f>HYPERLINK("https://klasma.github.io/Logging_0883/klagomålsmail/A 40924-2022 FSC-klagomål mail.docx", "A 40924-2022")</f>
        <v/>
      </c>
      <c r="X148">
        <f>HYPERLINK("https://klasma.github.io/Logging_0883/tillsyn/A 40924-2022 tillsynsbegäran.docx", "A 40924-2022")</f>
        <v/>
      </c>
      <c r="Y148">
        <f>HYPERLINK("https://klasma.github.io/Logging_0883/tillsynsmail/A 40924-2022 tillsynsbegäran mail.docx", "A 40924-2022")</f>
        <v/>
      </c>
    </row>
    <row r="149" ht="15" customHeight="1">
      <c r="A149" t="inlineStr">
        <is>
          <t>A 46559-2022</t>
        </is>
      </c>
      <c r="B149" s="1" t="n">
        <v>44848</v>
      </c>
      <c r="C149" s="1" t="n">
        <v>45351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HYPERLINK("https://klasma.github.io/Logging_0883/artfynd/A 46559-2022 artfynd.xlsx", "A 46559-2022")</f>
        <v/>
      </c>
      <c r="T149">
        <f>HYPERLINK("https://klasma.github.io/Logging_0883/kartor/A 46559-2022 karta.png", "A 46559-2022")</f>
        <v/>
      </c>
      <c r="V149">
        <f>HYPERLINK("https://klasma.github.io/Logging_0883/klagomål/A 46559-2022 FSC-klagomål.docx", "A 46559-2022")</f>
        <v/>
      </c>
      <c r="W149">
        <f>HYPERLINK("https://klasma.github.io/Logging_0883/klagomålsmail/A 46559-2022 FSC-klagomål mail.docx", "A 46559-2022")</f>
        <v/>
      </c>
      <c r="X149">
        <f>HYPERLINK("https://klasma.github.io/Logging_0883/tillsyn/A 46559-2022 tillsynsbegäran.docx", "A 46559-2022")</f>
        <v/>
      </c>
      <c r="Y149">
        <f>HYPERLINK("https://klasma.github.io/Logging_0883/tillsynsmail/A 46559-2022 tillsynsbegäran mail.docx", "A 46559-2022")</f>
        <v/>
      </c>
    </row>
    <row r="150" ht="15" customHeight="1">
      <c r="A150" t="inlineStr">
        <is>
          <t>A 46556-2022</t>
        </is>
      </c>
      <c r="B150" s="1" t="n">
        <v>44848</v>
      </c>
      <c r="C150" s="1" t="n">
        <v>45351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HYPERLINK("https://klasma.github.io/Logging_0883/artfynd/A 46556-2022 artfynd.xlsx", "A 46556-2022")</f>
        <v/>
      </c>
      <c r="T150">
        <f>HYPERLINK("https://klasma.github.io/Logging_0883/kartor/A 46556-2022 karta.png", "A 46556-2022")</f>
        <v/>
      </c>
      <c r="V150">
        <f>HYPERLINK("https://klasma.github.io/Logging_0883/klagomål/A 46556-2022 FSC-klagomål.docx", "A 46556-2022")</f>
        <v/>
      </c>
      <c r="W150">
        <f>HYPERLINK("https://klasma.github.io/Logging_0883/klagomålsmail/A 46556-2022 FSC-klagomål mail.docx", "A 46556-2022")</f>
        <v/>
      </c>
      <c r="X150">
        <f>HYPERLINK("https://klasma.github.io/Logging_0883/tillsyn/A 46556-2022 tillsynsbegäran.docx", "A 46556-2022")</f>
        <v/>
      </c>
      <c r="Y150">
        <f>HYPERLINK("https://klasma.github.io/Logging_0883/tillsynsmail/A 46556-2022 tillsynsbegäran mail.docx", "A 46556-2022")</f>
        <v/>
      </c>
    </row>
    <row r="151" ht="15" customHeight="1">
      <c r="A151" t="inlineStr">
        <is>
          <t>A 51024-2022</t>
        </is>
      </c>
      <c r="B151" s="1" t="n">
        <v>44867</v>
      </c>
      <c r="C151" s="1" t="n">
        <v>45351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7.6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HYPERLINK("https://klasma.github.io/Logging_0883/artfynd/A 51024-2022 artfynd.xlsx", "A 51024-2022")</f>
        <v/>
      </c>
      <c r="T151">
        <f>HYPERLINK("https://klasma.github.io/Logging_0883/kartor/A 51024-2022 karta.png", "A 51024-2022")</f>
        <v/>
      </c>
      <c r="V151">
        <f>HYPERLINK("https://klasma.github.io/Logging_0883/klagomål/A 51024-2022 FSC-klagomål.docx", "A 51024-2022")</f>
        <v/>
      </c>
      <c r="W151">
        <f>HYPERLINK("https://klasma.github.io/Logging_0883/klagomålsmail/A 51024-2022 FSC-klagomål mail.docx", "A 51024-2022")</f>
        <v/>
      </c>
      <c r="X151">
        <f>HYPERLINK("https://klasma.github.io/Logging_0883/tillsyn/A 51024-2022 tillsynsbegäran.docx", "A 51024-2022")</f>
        <v/>
      </c>
      <c r="Y151">
        <f>HYPERLINK("https://klasma.github.io/Logging_0883/tillsynsmail/A 51024-2022 tillsynsbegäran mail.docx", "A 51024-2022")</f>
        <v/>
      </c>
      <c r="Z151">
        <f>HYPERLINK("https://klasma.github.io/Logging_0883/fåglar/A 51024-2022 prioriterade fågelarter.docx", "A 51024-2022")</f>
        <v/>
      </c>
    </row>
    <row r="152" ht="15" customHeight="1">
      <c r="A152" t="inlineStr">
        <is>
          <t>A 54193-2022</t>
        </is>
      </c>
      <c r="B152" s="1" t="n">
        <v>44881</v>
      </c>
      <c r="C152" s="1" t="n">
        <v>45351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Murgröna</t>
        </is>
      </c>
      <c r="S152">
        <f>HYPERLINK("https://klasma.github.io/Logging_0883/artfynd/A 54193-2022 artfynd.xlsx", "A 54193-2022")</f>
        <v/>
      </c>
      <c r="T152">
        <f>HYPERLINK("https://klasma.github.io/Logging_0883/kartor/A 54193-2022 karta.png", "A 54193-2022")</f>
        <v/>
      </c>
      <c r="U152">
        <f>HYPERLINK("https://klasma.github.io/Logging_0883/knärot/A 54193-2022 karta knärot.png", "A 54193-2022")</f>
        <v/>
      </c>
      <c r="V152">
        <f>HYPERLINK("https://klasma.github.io/Logging_0883/klagomål/A 54193-2022 FSC-klagomål.docx", "A 54193-2022")</f>
        <v/>
      </c>
      <c r="W152">
        <f>HYPERLINK("https://klasma.github.io/Logging_0883/klagomålsmail/A 54193-2022 FSC-klagomål mail.docx", "A 54193-2022")</f>
        <v/>
      </c>
      <c r="X152">
        <f>HYPERLINK("https://klasma.github.io/Logging_0883/tillsyn/A 54193-2022 tillsynsbegäran.docx", "A 54193-2022")</f>
        <v/>
      </c>
      <c r="Y152">
        <f>HYPERLINK("https://klasma.github.io/Logging_0883/tillsynsmail/A 54193-2022 tillsynsbegäran mail.docx", "A 54193-2022")</f>
        <v/>
      </c>
    </row>
    <row r="153" ht="15" customHeight="1">
      <c r="A153" t="inlineStr">
        <is>
          <t>A 59178-2022</t>
        </is>
      </c>
      <c r="B153" s="1" t="n">
        <v>44904</v>
      </c>
      <c r="C153" s="1" t="n">
        <v>45351</v>
      </c>
      <c r="D153" t="inlineStr">
        <is>
          <t>KALMAR LÄN</t>
        </is>
      </c>
      <c r="E153" t="inlineStr">
        <is>
          <t>VÄSTERVIK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59178-2022 artfynd.xlsx", "A 59178-2022")</f>
        <v/>
      </c>
      <c r="T153">
        <f>HYPERLINK("https://klasma.github.io/Logging_0883/kartor/A 59178-2022 karta.png", "A 59178-2022")</f>
        <v/>
      </c>
      <c r="V153">
        <f>HYPERLINK("https://klasma.github.io/Logging_0883/klagomål/A 59178-2022 FSC-klagomål.docx", "A 59178-2022")</f>
        <v/>
      </c>
      <c r="W153">
        <f>HYPERLINK("https://klasma.github.io/Logging_0883/klagomålsmail/A 59178-2022 FSC-klagomål mail.docx", "A 59178-2022")</f>
        <v/>
      </c>
      <c r="X153">
        <f>HYPERLINK("https://klasma.github.io/Logging_0883/tillsyn/A 59178-2022 tillsynsbegäran.docx", "A 59178-2022")</f>
        <v/>
      </c>
      <c r="Y153">
        <f>HYPERLINK("https://klasma.github.io/Logging_0883/tillsynsmail/A 59178-2022 tillsynsbegäran mail.docx", "A 59178-2022")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45351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45351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Violett fingersvamp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975-2023</t>
        </is>
      </c>
      <c r="B156" s="1" t="n">
        <v>44935</v>
      </c>
      <c r="C156" s="1" t="n">
        <v>45351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Läderbagge</t>
        </is>
      </c>
      <c r="S156">
        <f>HYPERLINK("https://klasma.github.io/Logging_0883/artfynd/A 975-2023 artfynd.xlsx", "A 975-2023")</f>
        <v/>
      </c>
      <c r="T156">
        <f>HYPERLINK("https://klasma.github.io/Logging_0883/kartor/A 975-2023 karta.png", "A 975-2023")</f>
        <v/>
      </c>
      <c r="V156">
        <f>HYPERLINK("https://klasma.github.io/Logging_0883/klagomål/A 975-2023 FSC-klagomål.docx", "A 975-2023")</f>
        <v/>
      </c>
      <c r="W156">
        <f>HYPERLINK("https://klasma.github.io/Logging_0883/klagomålsmail/A 975-2023 FSC-klagomål mail.docx", "A 975-2023")</f>
        <v/>
      </c>
      <c r="X156">
        <f>HYPERLINK("https://klasma.github.io/Logging_0883/tillsyn/A 975-2023 tillsynsbegäran.docx", "A 975-2023")</f>
        <v/>
      </c>
      <c r="Y156">
        <f>HYPERLINK("https://klasma.github.io/Logging_0883/tillsynsmail/A 975-2023 tillsynsbegäran mail.docx", "A 975-2023")</f>
        <v/>
      </c>
    </row>
    <row r="157" ht="15" customHeight="1">
      <c r="A157" t="inlineStr">
        <is>
          <t>A 1024-2023</t>
        </is>
      </c>
      <c r="B157" s="1" t="n">
        <v>44935</v>
      </c>
      <c r="C157" s="1" t="n">
        <v>45351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Ekticka</t>
        </is>
      </c>
      <c r="S157">
        <f>HYPERLINK("https://klasma.github.io/Logging_0883/artfynd/A 1024-2023 artfynd.xlsx", "A 1024-2023")</f>
        <v/>
      </c>
      <c r="T157">
        <f>HYPERLINK("https://klasma.github.io/Logging_0883/kartor/A 1024-2023 karta.png", "A 1024-2023")</f>
        <v/>
      </c>
      <c r="V157">
        <f>HYPERLINK("https://klasma.github.io/Logging_0883/klagomål/A 1024-2023 FSC-klagomål.docx", "A 1024-2023")</f>
        <v/>
      </c>
      <c r="W157">
        <f>HYPERLINK("https://klasma.github.io/Logging_0883/klagomålsmail/A 1024-2023 FSC-klagomål mail.docx", "A 1024-2023")</f>
        <v/>
      </c>
      <c r="X157">
        <f>HYPERLINK("https://klasma.github.io/Logging_0883/tillsyn/A 1024-2023 tillsynsbegäran.docx", "A 1024-2023")</f>
        <v/>
      </c>
      <c r="Y157">
        <f>HYPERLINK("https://klasma.github.io/Logging_0883/tillsynsmail/A 1024-2023 tillsynsbegäran mail.docx", "A 1024-2023")</f>
        <v/>
      </c>
    </row>
    <row r="158" ht="15" customHeight="1">
      <c r="A158" t="inlineStr">
        <is>
          <t>A 11589-2023</t>
        </is>
      </c>
      <c r="B158" s="1" t="n">
        <v>44994</v>
      </c>
      <c r="C158" s="1" t="n">
        <v>45351</v>
      </c>
      <c r="D158" t="inlineStr">
        <is>
          <t>KALMAR LÄN</t>
        </is>
      </c>
      <c r="E158" t="inlineStr">
        <is>
          <t>VÄSTERVIK</t>
        </is>
      </c>
      <c r="G158" t="n">
        <v>7.7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HYPERLINK("https://klasma.github.io/Logging_0883/artfynd/A 11589-2023 artfynd.xlsx", "A 11589-2023")</f>
        <v/>
      </c>
      <c r="T158">
        <f>HYPERLINK("https://klasma.github.io/Logging_0883/kartor/A 11589-2023 karta.png", "A 11589-2023")</f>
        <v/>
      </c>
      <c r="V158">
        <f>HYPERLINK("https://klasma.github.io/Logging_0883/klagomål/A 11589-2023 FSC-klagomål.docx", "A 11589-2023")</f>
        <v/>
      </c>
      <c r="W158">
        <f>HYPERLINK("https://klasma.github.io/Logging_0883/klagomålsmail/A 11589-2023 FSC-klagomål mail.docx", "A 11589-2023")</f>
        <v/>
      </c>
      <c r="X158">
        <f>HYPERLINK("https://klasma.github.io/Logging_0883/tillsyn/A 11589-2023 tillsynsbegäran.docx", "A 11589-2023")</f>
        <v/>
      </c>
      <c r="Y158">
        <f>HYPERLINK("https://klasma.github.io/Logging_0883/tillsynsmail/A 11589-2023 tillsynsbegäran mail.docx", "A 11589-2023")</f>
        <v/>
      </c>
    </row>
    <row r="159" ht="15" customHeight="1">
      <c r="A159" t="inlineStr">
        <is>
          <t>A 11729-2023</t>
        </is>
      </c>
      <c r="B159" s="1" t="n">
        <v>44994</v>
      </c>
      <c r="C159" s="1" t="n">
        <v>45351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Bredbrämad bastardsvärmare</t>
        </is>
      </c>
      <c r="S159">
        <f>HYPERLINK("https://klasma.github.io/Logging_0883/artfynd/A 11729-2023 artfynd.xlsx", "A 11729-2023")</f>
        <v/>
      </c>
      <c r="T159">
        <f>HYPERLINK("https://klasma.github.io/Logging_0883/kartor/A 11729-2023 karta.png", "A 11729-2023")</f>
        <v/>
      </c>
      <c r="V159">
        <f>HYPERLINK("https://klasma.github.io/Logging_0883/klagomål/A 11729-2023 FSC-klagomål.docx", "A 11729-2023")</f>
        <v/>
      </c>
      <c r="W159">
        <f>HYPERLINK("https://klasma.github.io/Logging_0883/klagomålsmail/A 11729-2023 FSC-klagomål mail.docx", "A 11729-2023")</f>
        <v/>
      </c>
      <c r="X159">
        <f>HYPERLINK("https://klasma.github.io/Logging_0883/tillsyn/A 11729-2023 tillsynsbegäran.docx", "A 11729-2023")</f>
        <v/>
      </c>
      <c r="Y159">
        <f>HYPERLINK("https://klasma.github.io/Logging_0883/tillsynsmail/A 11729-2023 tillsynsbegäran mail.docx", "A 11729-2023")</f>
        <v/>
      </c>
    </row>
    <row r="160" ht="15" customHeight="1">
      <c r="A160" t="inlineStr">
        <is>
          <t>A 14720-2023</t>
        </is>
      </c>
      <c r="B160" s="1" t="n">
        <v>45014</v>
      </c>
      <c r="C160" s="1" t="n">
        <v>45351</v>
      </c>
      <c r="D160" t="inlineStr">
        <is>
          <t>KALMAR LÄN</t>
        </is>
      </c>
      <c r="E160" t="inlineStr">
        <is>
          <t>VÄSTERVIK</t>
        </is>
      </c>
      <c r="G160" t="n">
        <v>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14720-2023 artfynd.xlsx", "A 14720-2023")</f>
        <v/>
      </c>
      <c r="T160">
        <f>HYPERLINK("https://klasma.github.io/Logging_0883/kartor/A 14720-2023 karta.png", "A 14720-2023")</f>
        <v/>
      </c>
      <c r="U160">
        <f>HYPERLINK("https://klasma.github.io/Logging_0883/knärot/A 14720-2023 karta knärot.png", "A 14720-2023")</f>
        <v/>
      </c>
      <c r="V160">
        <f>HYPERLINK("https://klasma.github.io/Logging_0883/klagomål/A 14720-2023 FSC-klagomål.docx", "A 14720-2023")</f>
        <v/>
      </c>
      <c r="W160">
        <f>HYPERLINK("https://klasma.github.io/Logging_0883/klagomålsmail/A 14720-2023 FSC-klagomål mail.docx", "A 14720-2023")</f>
        <v/>
      </c>
      <c r="X160">
        <f>HYPERLINK("https://klasma.github.io/Logging_0883/tillsyn/A 14720-2023 tillsynsbegäran.docx", "A 14720-2023")</f>
        <v/>
      </c>
      <c r="Y160">
        <f>HYPERLINK("https://klasma.github.io/Logging_0883/tillsynsmail/A 14720-2023 tillsynsbegäran mail.docx", "A 14720-2023")</f>
        <v/>
      </c>
    </row>
    <row r="161" ht="15" customHeight="1">
      <c r="A161" t="inlineStr">
        <is>
          <t>A 21828-2023</t>
        </is>
      </c>
      <c r="B161" s="1" t="n">
        <v>45068</v>
      </c>
      <c r="C161" s="1" t="n">
        <v>45351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HYPERLINK("https://klasma.github.io/Logging_0883/artfynd/A 21828-2023 artfynd.xlsx", "A 21828-2023")</f>
        <v/>
      </c>
      <c r="T161">
        <f>HYPERLINK("https://klasma.github.io/Logging_0883/kartor/A 21828-2023 karta.png", "A 21828-2023")</f>
        <v/>
      </c>
      <c r="V161">
        <f>HYPERLINK("https://klasma.github.io/Logging_0883/klagomål/A 21828-2023 FSC-klagomål.docx", "A 21828-2023")</f>
        <v/>
      </c>
      <c r="W161">
        <f>HYPERLINK("https://klasma.github.io/Logging_0883/klagomålsmail/A 21828-2023 FSC-klagomål mail.docx", "A 21828-2023")</f>
        <v/>
      </c>
      <c r="X161">
        <f>HYPERLINK("https://klasma.github.io/Logging_0883/tillsyn/A 21828-2023 tillsynsbegäran.docx", "A 21828-2023")</f>
        <v/>
      </c>
      <c r="Y161">
        <f>HYPERLINK("https://klasma.github.io/Logging_0883/tillsynsmail/A 21828-2023 tillsynsbegäran mail.docx", "A 21828-2023")</f>
        <v/>
      </c>
    </row>
    <row r="162" ht="15" customHeight="1">
      <c r="A162" t="inlineStr">
        <is>
          <t>A 25436-2023</t>
        </is>
      </c>
      <c r="B162" s="1" t="n">
        <v>45089</v>
      </c>
      <c r="C162" s="1" t="n">
        <v>45351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25436-2023 artfynd.xlsx", "A 25436-2023")</f>
        <v/>
      </c>
      <c r="T162">
        <f>HYPERLINK("https://klasma.github.io/Logging_0883/kartor/A 25436-2023 karta.png", "A 25436-2023")</f>
        <v/>
      </c>
      <c r="U162">
        <f>HYPERLINK("https://klasma.github.io/Logging_0883/knärot/A 25436-2023 karta knärot.png", "A 25436-2023")</f>
        <v/>
      </c>
      <c r="V162">
        <f>HYPERLINK("https://klasma.github.io/Logging_0883/klagomål/A 25436-2023 FSC-klagomål.docx", "A 25436-2023")</f>
        <v/>
      </c>
      <c r="W162">
        <f>HYPERLINK("https://klasma.github.io/Logging_0883/klagomålsmail/A 25436-2023 FSC-klagomål mail.docx", "A 25436-2023")</f>
        <v/>
      </c>
      <c r="X162">
        <f>HYPERLINK("https://klasma.github.io/Logging_0883/tillsyn/A 25436-2023 tillsynsbegäran.docx", "A 25436-2023")</f>
        <v/>
      </c>
      <c r="Y162">
        <f>HYPERLINK("https://klasma.github.io/Logging_0883/tillsynsmail/A 25436-2023 tillsynsbegäran mail.docx", "A 25436-2023")</f>
        <v/>
      </c>
    </row>
    <row r="163" ht="15" customHeight="1">
      <c r="A163" t="inlineStr">
        <is>
          <t>A 25433-2023</t>
        </is>
      </c>
      <c r="B163" s="1" t="n">
        <v>45089</v>
      </c>
      <c r="C163" s="1" t="n">
        <v>45351</v>
      </c>
      <c r="D163" t="inlineStr">
        <is>
          <t>KALMAR LÄN</t>
        </is>
      </c>
      <c r="E163" t="inlineStr">
        <is>
          <t>VÄSTERVIK</t>
        </is>
      </c>
      <c r="G163" t="n">
        <v>2.3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25433-2023 artfynd.xlsx", "A 25433-2023")</f>
        <v/>
      </c>
      <c r="T163">
        <f>HYPERLINK("https://klasma.github.io/Logging_0883/kartor/A 25433-2023 karta.png", "A 25433-2023")</f>
        <v/>
      </c>
      <c r="U163">
        <f>HYPERLINK("https://klasma.github.io/Logging_0883/knärot/A 25433-2023 karta knärot.png", "A 25433-2023")</f>
        <v/>
      </c>
      <c r="V163">
        <f>HYPERLINK("https://klasma.github.io/Logging_0883/klagomål/A 25433-2023 FSC-klagomål.docx", "A 25433-2023")</f>
        <v/>
      </c>
      <c r="W163">
        <f>HYPERLINK("https://klasma.github.io/Logging_0883/klagomålsmail/A 25433-2023 FSC-klagomål mail.docx", "A 25433-2023")</f>
        <v/>
      </c>
      <c r="X163">
        <f>HYPERLINK("https://klasma.github.io/Logging_0883/tillsyn/A 25433-2023 tillsynsbegäran.docx", "A 25433-2023")</f>
        <v/>
      </c>
      <c r="Y163">
        <f>HYPERLINK("https://klasma.github.io/Logging_0883/tillsynsmail/A 25433-2023 tillsynsbegäran mail.docx", "A 25433-2023")</f>
        <v/>
      </c>
    </row>
    <row r="164" ht="15" customHeight="1">
      <c r="A164" t="inlineStr">
        <is>
          <t>A 25563-2023</t>
        </is>
      </c>
      <c r="B164" s="1" t="n">
        <v>45089</v>
      </c>
      <c r="C164" s="1" t="n">
        <v>45351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HYPERLINK("https://klasma.github.io/Logging_0883/artfynd/A 25563-2023 artfynd.xlsx", "A 25563-2023")</f>
        <v/>
      </c>
      <c r="T164">
        <f>HYPERLINK("https://klasma.github.io/Logging_0883/kartor/A 25563-2023 karta.png", "A 25563-2023")</f>
        <v/>
      </c>
      <c r="V164">
        <f>HYPERLINK("https://klasma.github.io/Logging_0883/klagomål/A 25563-2023 FSC-klagomål.docx", "A 25563-2023")</f>
        <v/>
      </c>
      <c r="W164">
        <f>HYPERLINK("https://klasma.github.io/Logging_0883/klagomålsmail/A 25563-2023 FSC-klagomål mail.docx", "A 25563-2023")</f>
        <v/>
      </c>
      <c r="X164">
        <f>HYPERLINK("https://klasma.github.io/Logging_0883/tillsyn/A 25563-2023 tillsynsbegäran.docx", "A 25563-2023")</f>
        <v/>
      </c>
      <c r="Y164">
        <f>HYPERLINK("https://klasma.github.io/Logging_0883/tillsynsmail/A 25563-2023 tillsynsbegäran mail.docx", "A 25563-2023")</f>
        <v/>
      </c>
      <c r="Z164">
        <f>HYPERLINK("https://klasma.github.io/Logging_0883/fåglar/A 25563-2023 prioriterade fågelarter.docx", "A 25563-2023")</f>
        <v/>
      </c>
    </row>
    <row r="165" ht="15" customHeight="1">
      <c r="A165" t="inlineStr">
        <is>
          <t>A 26278-2023</t>
        </is>
      </c>
      <c r="B165" s="1" t="n">
        <v>45091</v>
      </c>
      <c r="C165" s="1" t="n">
        <v>45351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26278-2023 artfynd.xlsx", "A 26278-2023")</f>
        <v/>
      </c>
      <c r="T165">
        <f>HYPERLINK("https://klasma.github.io/Logging_0883/kartor/A 26278-2023 karta.png", "A 26278-2023")</f>
        <v/>
      </c>
      <c r="U165">
        <f>HYPERLINK("https://klasma.github.io/Logging_0883/knärot/A 26278-2023 karta knärot.png", "A 26278-2023")</f>
        <v/>
      </c>
      <c r="V165">
        <f>HYPERLINK("https://klasma.github.io/Logging_0883/klagomål/A 26278-2023 FSC-klagomål.docx", "A 26278-2023")</f>
        <v/>
      </c>
      <c r="W165">
        <f>HYPERLINK("https://klasma.github.io/Logging_0883/klagomålsmail/A 26278-2023 FSC-klagomål mail.docx", "A 26278-2023")</f>
        <v/>
      </c>
      <c r="X165">
        <f>HYPERLINK("https://klasma.github.io/Logging_0883/tillsyn/A 26278-2023 tillsynsbegäran.docx", "A 26278-2023")</f>
        <v/>
      </c>
      <c r="Y165">
        <f>HYPERLINK("https://klasma.github.io/Logging_0883/tillsynsmail/A 26278-2023 tillsynsbegäran mail.docx", "A 26278-2023")</f>
        <v/>
      </c>
    </row>
    <row r="166" ht="15" customHeight="1">
      <c r="A166" t="inlineStr">
        <is>
          <t>A 28495-2023</t>
        </is>
      </c>
      <c r="B166" s="1" t="n">
        <v>45103</v>
      </c>
      <c r="C166" s="1" t="n">
        <v>45351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28495-2023 artfynd.xlsx", "A 28495-2023")</f>
        <v/>
      </c>
      <c r="T166">
        <f>HYPERLINK("https://klasma.github.io/Logging_0883/kartor/A 28495-2023 karta.png", "A 28495-2023")</f>
        <v/>
      </c>
      <c r="U166">
        <f>HYPERLINK("https://klasma.github.io/Logging_0883/knärot/A 28495-2023 karta knärot.png", "A 28495-2023")</f>
        <v/>
      </c>
      <c r="V166">
        <f>HYPERLINK("https://klasma.github.io/Logging_0883/klagomål/A 28495-2023 FSC-klagomål.docx", "A 28495-2023")</f>
        <v/>
      </c>
      <c r="W166">
        <f>HYPERLINK("https://klasma.github.io/Logging_0883/klagomålsmail/A 28495-2023 FSC-klagomål mail.docx", "A 28495-2023")</f>
        <v/>
      </c>
      <c r="X166">
        <f>HYPERLINK("https://klasma.github.io/Logging_0883/tillsyn/A 28495-2023 tillsynsbegäran.docx", "A 28495-2023")</f>
        <v/>
      </c>
      <c r="Y166">
        <f>HYPERLINK("https://klasma.github.io/Logging_0883/tillsynsmail/A 28495-2023 tillsynsbegäran mail.docx", "A 28495-2023")</f>
        <v/>
      </c>
    </row>
    <row r="167" ht="15" customHeight="1">
      <c r="A167" t="inlineStr">
        <is>
          <t>A 32653-2023</t>
        </is>
      </c>
      <c r="B167" s="1" t="n">
        <v>45121</v>
      </c>
      <c r="C167" s="1" t="n">
        <v>45351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32653-2023 artfynd.xlsx", "A 32653-2023")</f>
        <v/>
      </c>
      <c r="T167">
        <f>HYPERLINK("https://klasma.github.io/Logging_0883/kartor/A 32653-2023 karta.png", "A 32653-2023")</f>
        <v/>
      </c>
      <c r="U167">
        <f>HYPERLINK("https://klasma.github.io/Logging_0883/knärot/A 32653-2023 karta knärot.png", "A 32653-2023")</f>
        <v/>
      </c>
      <c r="V167">
        <f>HYPERLINK("https://klasma.github.io/Logging_0883/klagomål/A 32653-2023 FSC-klagomål.docx", "A 32653-2023")</f>
        <v/>
      </c>
      <c r="W167">
        <f>HYPERLINK("https://klasma.github.io/Logging_0883/klagomålsmail/A 32653-2023 FSC-klagomål mail.docx", "A 32653-2023")</f>
        <v/>
      </c>
      <c r="X167">
        <f>HYPERLINK("https://klasma.github.io/Logging_0883/tillsyn/A 32653-2023 tillsynsbegäran.docx", "A 32653-2023")</f>
        <v/>
      </c>
      <c r="Y167">
        <f>HYPERLINK("https://klasma.github.io/Logging_0883/tillsynsmail/A 32653-2023 tillsynsbegäran mail.docx", "A 32653-2023")</f>
        <v/>
      </c>
    </row>
    <row r="168" ht="15" customHeight="1">
      <c r="A168" t="inlineStr">
        <is>
          <t>A 33816-2023</t>
        </is>
      </c>
      <c r="B168" s="1" t="n">
        <v>45133</v>
      </c>
      <c r="C168" s="1" t="n">
        <v>45351</v>
      </c>
      <c r="D168" t="inlineStr">
        <is>
          <t>KALMAR LÄN</t>
        </is>
      </c>
      <c r="E168" t="inlineStr">
        <is>
          <t>VÄSTERVIK</t>
        </is>
      </c>
      <c r="G168" t="n">
        <v>4.9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33816-2023 artfynd.xlsx", "A 33816-2023")</f>
        <v/>
      </c>
      <c r="T168">
        <f>HYPERLINK("https://klasma.github.io/Logging_0883/kartor/A 33816-2023 karta.png", "A 33816-2023")</f>
        <v/>
      </c>
      <c r="V168">
        <f>HYPERLINK("https://klasma.github.io/Logging_0883/klagomål/A 33816-2023 FSC-klagomål.docx", "A 33816-2023")</f>
        <v/>
      </c>
      <c r="W168">
        <f>HYPERLINK("https://klasma.github.io/Logging_0883/klagomålsmail/A 33816-2023 FSC-klagomål mail.docx", "A 33816-2023")</f>
        <v/>
      </c>
      <c r="X168">
        <f>HYPERLINK("https://klasma.github.io/Logging_0883/tillsyn/A 33816-2023 tillsynsbegäran.docx", "A 33816-2023")</f>
        <v/>
      </c>
      <c r="Y168">
        <f>HYPERLINK("https://klasma.github.io/Logging_0883/tillsynsmail/A 33816-2023 tillsynsbegäran mail.docx", "A 33816-2023")</f>
        <v/>
      </c>
    </row>
    <row r="169" ht="15" customHeight="1">
      <c r="A169" t="inlineStr">
        <is>
          <t>A 33815-2023</t>
        </is>
      </c>
      <c r="B169" s="1" t="n">
        <v>45133</v>
      </c>
      <c r="C169" s="1" t="n">
        <v>45351</v>
      </c>
      <c r="D169" t="inlineStr">
        <is>
          <t>KALMAR LÄN</t>
        </is>
      </c>
      <c r="E169" t="inlineStr">
        <is>
          <t>VÄSTERVIK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HYPERLINK("https://klasma.github.io/Logging_0883/artfynd/A 33815-2023 artfynd.xlsx", "A 33815-2023")</f>
        <v/>
      </c>
      <c r="T169">
        <f>HYPERLINK("https://klasma.github.io/Logging_0883/kartor/A 33815-2023 karta.png", "A 33815-2023")</f>
        <v/>
      </c>
      <c r="V169">
        <f>HYPERLINK("https://klasma.github.io/Logging_0883/klagomål/A 33815-2023 FSC-klagomål.docx", "A 33815-2023")</f>
        <v/>
      </c>
      <c r="W169">
        <f>HYPERLINK("https://klasma.github.io/Logging_0883/klagomålsmail/A 33815-2023 FSC-klagomål mail.docx", "A 33815-2023")</f>
        <v/>
      </c>
      <c r="X169">
        <f>HYPERLINK("https://klasma.github.io/Logging_0883/tillsyn/A 33815-2023 tillsynsbegäran.docx", "A 33815-2023")</f>
        <v/>
      </c>
      <c r="Y169">
        <f>HYPERLINK("https://klasma.github.io/Logging_0883/tillsynsmail/A 33815-2023 tillsynsbegäran mail.docx", "A 33815-2023")</f>
        <v/>
      </c>
    </row>
    <row r="170" ht="15" customHeight="1">
      <c r="A170" t="inlineStr">
        <is>
          <t>A 34563-2023</t>
        </is>
      </c>
      <c r="B170" s="1" t="n">
        <v>45140</v>
      </c>
      <c r="C170" s="1" t="n">
        <v>45351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34563-2023 artfynd.xlsx", "A 34563-2023")</f>
        <v/>
      </c>
      <c r="T170">
        <f>HYPERLINK("https://klasma.github.io/Logging_0883/kartor/A 34563-2023 karta.png", "A 34563-2023")</f>
        <v/>
      </c>
      <c r="U170">
        <f>HYPERLINK("https://klasma.github.io/Logging_0883/knärot/A 34563-2023 karta knärot.png", "A 34563-2023")</f>
        <v/>
      </c>
      <c r="V170">
        <f>HYPERLINK("https://klasma.github.io/Logging_0883/klagomål/A 34563-2023 FSC-klagomål.docx", "A 34563-2023")</f>
        <v/>
      </c>
      <c r="W170">
        <f>HYPERLINK("https://klasma.github.io/Logging_0883/klagomålsmail/A 34563-2023 FSC-klagomål mail.docx", "A 34563-2023")</f>
        <v/>
      </c>
      <c r="X170">
        <f>HYPERLINK("https://klasma.github.io/Logging_0883/tillsyn/A 34563-2023 tillsynsbegäran.docx", "A 34563-2023")</f>
        <v/>
      </c>
      <c r="Y170">
        <f>HYPERLINK("https://klasma.github.io/Logging_0883/tillsynsmail/A 34563-2023 tillsynsbegäran mail.docx", "A 34563-2023")</f>
        <v/>
      </c>
    </row>
    <row r="171" ht="15" customHeight="1">
      <c r="A171" t="inlineStr">
        <is>
          <t>A 35480-2023</t>
        </is>
      </c>
      <c r="B171" s="1" t="n">
        <v>45146</v>
      </c>
      <c r="C171" s="1" t="n">
        <v>45351</v>
      </c>
      <c r="D171" t="inlineStr">
        <is>
          <t>KALMAR LÄN</t>
        </is>
      </c>
      <c r="E171" t="inlineStr">
        <is>
          <t>VÄSTERVIK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Tjockfotad fingersvamp</t>
        </is>
      </c>
      <c r="S171">
        <f>HYPERLINK("https://klasma.github.io/Logging_0883/artfynd/A 35480-2023 artfynd.xlsx", "A 35480-2023")</f>
        <v/>
      </c>
      <c r="T171">
        <f>HYPERLINK("https://klasma.github.io/Logging_0883/kartor/A 35480-2023 karta.png", "A 35480-2023")</f>
        <v/>
      </c>
      <c r="V171">
        <f>HYPERLINK("https://klasma.github.io/Logging_0883/klagomål/A 35480-2023 FSC-klagomål.docx", "A 35480-2023")</f>
        <v/>
      </c>
      <c r="W171">
        <f>HYPERLINK("https://klasma.github.io/Logging_0883/klagomålsmail/A 35480-2023 FSC-klagomål mail.docx", "A 35480-2023")</f>
        <v/>
      </c>
      <c r="X171">
        <f>HYPERLINK("https://klasma.github.io/Logging_0883/tillsyn/A 35480-2023 tillsynsbegäran.docx", "A 35480-2023")</f>
        <v/>
      </c>
      <c r="Y171">
        <f>HYPERLINK("https://klasma.github.io/Logging_0883/tillsynsmail/A 35480-2023 tillsynsbegäran mail.docx", "A 35480-2023")</f>
        <v/>
      </c>
    </row>
    <row r="172" ht="15" customHeight="1">
      <c r="A172" t="inlineStr">
        <is>
          <t>A 36400-2023</t>
        </is>
      </c>
      <c r="B172" s="1" t="n">
        <v>45152</v>
      </c>
      <c r="C172" s="1" t="n">
        <v>45351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HYPERLINK("https://klasma.github.io/Logging_0883/artfynd/A 36400-2023 artfynd.xlsx", "A 36400-2023")</f>
        <v/>
      </c>
      <c r="T172">
        <f>HYPERLINK("https://klasma.github.io/Logging_0883/kartor/A 36400-2023 karta.png", "A 36400-2023")</f>
        <v/>
      </c>
      <c r="U172">
        <f>HYPERLINK("https://klasma.github.io/Logging_0883/knärot/A 36400-2023 karta knärot.png", "A 36400-2023")</f>
        <v/>
      </c>
      <c r="V172">
        <f>HYPERLINK("https://klasma.github.io/Logging_0883/klagomål/A 36400-2023 FSC-klagomål.docx", "A 36400-2023")</f>
        <v/>
      </c>
      <c r="W172">
        <f>HYPERLINK("https://klasma.github.io/Logging_0883/klagomålsmail/A 36400-2023 FSC-klagomål mail.docx", "A 36400-2023")</f>
        <v/>
      </c>
      <c r="X172">
        <f>HYPERLINK("https://klasma.github.io/Logging_0883/tillsyn/A 36400-2023 tillsynsbegäran.docx", "A 36400-2023")</f>
        <v/>
      </c>
      <c r="Y172">
        <f>HYPERLINK("https://klasma.github.io/Logging_0883/tillsynsmail/A 36400-2023 tillsynsbegäran mail.docx", "A 36400-2023")</f>
        <v/>
      </c>
    </row>
    <row r="173" ht="15" customHeight="1">
      <c r="A173" t="inlineStr">
        <is>
          <t>A 43788-2023</t>
        </is>
      </c>
      <c r="B173" s="1" t="n">
        <v>45187</v>
      </c>
      <c r="C173" s="1" t="n">
        <v>45351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HYPERLINK("https://klasma.github.io/Logging_0883/artfynd/A 43788-2023 artfynd.xlsx", "A 43788-2023")</f>
        <v/>
      </c>
      <c r="T173">
        <f>HYPERLINK("https://klasma.github.io/Logging_0883/kartor/A 43788-2023 karta.png", "A 43788-2023")</f>
        <v/>
      </c>
      <c r="V173">
        <f>HYPERLINK("https://klasma.github.io/Logging_0883/klagomål/A 43788-2023 FSC-klagomål.docx", "A 43788-2023")</f>
        <v/>
      </c>
      <c r="W173">
        <f>HYPERLINK("https://klasma.github.io/Logging_0883/klagomålsmail/A 43788-2023 FSC-klagomål mail.docx", "A 43788-2023")</f>
        <v/>
      </c>
      <c r="X173">
        <f>HYPERLINK("https://klasma.github.io/Logging_0883/tillsyn/A 43788-2023 tillsynsbegäran.docx", "A 43788-2023")</f>
        <v/>
      </c>
      <c r="Y173">
        <f>HYPERLINK("https://klasma.github.io/Logging_0883/tillsynsmail/A 43788-2023 tillsynsbegäran mail.docx", "A 43788-2023")</f>
        <v/>
      </c>
    </row>
    <row r="174" ht="15" customHeight="1">
      <c r="A174" t="inlineStr">
        <is>
          <t>A 46722-2023</t>
        </is>
      </c>
      <c r="B174" s="1" t="n">
        <v>45194</v>
      </c>
      <c r="C174" s="1" t="n">
        <v>45351</v>
      </c>
      <c r="D174" t="inlineStr">
        <is>
          <t>KALMAR LÄN</t>
        </is>
      </c>
      <c r="E174" t="inlineStr">
        <is>
          <t>VÄSTERVIK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46722-2023 artfynd.xlsx", "A 46722-2023")</f>
        <v/>
      </c>
      <c r="T174">
        <f>HYPERLINK("https://klasma.github.io/Logging_0883/kartor/A 46722-2023 karta.png", "A 46722-2023")</f>
        <v/>
      </c>
      <c r="U174">
        <f>HYPERLINK("https://klasma.github.io/Logging_0883/knärot/A 46722-2023 karta knärot.png", "A 46722-2023")</f>
        <v/>
      </c>
      <c r="V174">
        <f>HYPERLINK("https://klasma.github.io/Logging_0883/klagomål/A 46722-2023 FSC-klagomål.docx", "A 46722-2023")</f>
        <v/>
      </c>
      <c r="W174">
        <f>HYPERLINK("https://klasma.github.io/Logging_0883/klagomålsmail/A 46722-2023 FSC-klagomål mail.docx", "A 46722-2023")</f>
        <v/>
      </c>
      <c r="X174">
        <f>HYPERLINK("https://klasma.github.io/Logging_0883/tillsyn/A 46722-2023 tillsynsbegäran.docx", "A 46722-2023")</f>
        <v/>
      </c>
      <c r="Y174">
        <f>HYPERLINK("https://klasma.github.io/Logging_0883/tillsynsmail/A 46722-2023 tillsynsbegäran mail.docx", "A 46722-2023")</f>
        <v/>
      </c>
    </row>
    <row r="175" ht="15" customHeight="1">
      <c r="A175" t="inlineStr">
        <is>
          <t>A 47112-2023</t>
        </is>
      </c>
      <c r="B175" s="1" t="n">
        <v>45201</v>
      </c>
      <c r="C175" s="1" t="n">
        <v>45351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47112-2023 artfynd.xlsx", "A 47112-2023")</f>
        <v/>
      </c>
      <c r="T175">
        <f>HYPERLINK("https://klasma.github.io/Logging_0883/kartor/A 47112-2023 karta.png", "A 47112-2023")</f>
        <v/>
      </c>
      <c r="V175">
        <f>HYPERLINK("https://klasma.github.io/Logging_0883/klagomål/A 47112-2023 FSC-klagomål.docx", "A 47112-2023")</f>
        <v/>
      </c>
      <c r="W175">
        <f>HYPERLINK("https://klasma.github.io/Logging_0883/klagomålsmail/A 47112-2023 FSC-klagomål mail.docx", "A 47112-2023")</f>
        <v/>
      </c>
      <c r="X175">
        <f>HYPERLINK("https://klasma.github.io/Logging_0883/tillsyn/A 47112-2023 tillsynsbegäran.docx", "A 47112-2023")</f>
        <v/>
      </c>
      <c r="Y175">
        <f>HYPERLINK("https://klasma.github.io/Logging_0883/tillsynsmail/A 47112-2023 tillsynsbegäran mail.docx", "A 47112-2023")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45351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49680-2023</t>
        </is>
      </c>
      <c r="B177" s="1" t="n">
        <v>45212</v>
      </c>
      <c r="C177" s="1" t="n">
        <v>45351</v>
      </c>
      <c r="D177" t="inlineStr">
        <is>
          <t>KALMAR LÄN</t>
        </is>
      </c>
      <c r="E177" t="inlineStr">
        <is>
          <t>VÄSTERVIK</t>
        </is>
      </c>
      <c r="G177" t="n">
        <v>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Skogsklocka</t>
        </is>
      </c>
      <c r="S177">
        <f>HYPERLINK("https://klasma.github.io/Logging_0883/artfynd/A 49680-2023 artfynd.xlsx", "A 49680-2023")</f>
        <v/>
      </c>
      <c r="T177">
        <f>HYPERLINK("https://klasma.github.io/Logging_0883/kartor/A 49680-2023 karta.png", "A 49680-2023")</f>
        <v/>
      </c>
      <c r="V177">
        <f>HYPERLINK("https://klasma.github.io/Logging_0883/klagomål/A 49680-2023 FSC-klagomål.docx", "A 49680-2023")</f>
        <v/>
      </c>
      <c r="W177">
        <f>HYPERLINK("https://klasma.github.io/Logging_0883/klagomålsmail/A 49680-2023 FSC-klagomål mail.docx", "A 49680-2023")</f>
        <v/>
      </c>
      <c r="X177">
        <f>HYPERLINK("https://klasma.github.io/Logging_0883/tillsyn/A 49680-2023 tillsynsbegäran.docx", "A 49680-2023")</f>
        <v/>
      </c>
      <c r="Y177">
        <f>HYPERLINK("https://klasma.github.io/Logging_0883/tillsynsmail/A 49680-2023 tillsynsbegäran mail.docx", "A 49680-2023")</f>
        <v/>
      </c>
    </row>
    <row r="178" ht="15" customHeight="1">
      <c r="A178" t="inlineStr">
        <is>
          <t>A 54272-2023</t>
        </is>
      </c>
      <c r="B178" s="1" t="n">
        <v>45232</v>
      </c>
      <c r="C178" s="1" t="n">
        <v>45351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Aprikosfingersvamp</t>
        </is>
      </c>
      <c r="S178">
        <f>HYPERLINK("https://klasma.github.io/Logging_0883/artfynd/A 54272-2023 artfynd.xlsx", "A 54272-2023")</f>
        <v/>
      </c>
      <c r="T178">
        <f>HYPERLINK("https://klasma.github.io/Logging_0883/kartor/A 54272-2023 karta.png", "A 54272-2023")</f>
        <v/>
      </c>
      <c r="V178">
        <f>HYPERLINK("https://klasma.github.io/Logging_0883/klagomål/A 54272-2023 FSC-klagomål.docx", "A 54272-2023")</f>
        <v/>
      </c>
      <c r="W178">
        <f>HYPERLINK("https://klasma.github.io/Logging_0883/klagomålsmail/A 54272-2023 FSC-klagomål mail.docx", "A 54272-2023")</f>
        <v/>
      </c>
      <c r="X178">
        <f>HYPERLINK("https://klasma.github.io/Logging_0883/tillsyn/A 54272-2023 tillsynsbegäran.docx", "A 54272-2023")</f>
        <v/>
      </c>
      <c r="Y178">
        <f>HYPERLINK("https://klasma.github.io/Logging_0883/tillsynsmail/A 54272-2023 tillsynsbegäran mail.docx", "A 54272-2023")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45351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</row>
    <row r="180" ht="15" customHeight="1">
      <c r="A180" t="inlineStr">
        <is>
          <t>A 55575-2023</t>
        </is>
      </c>
      <c r="B180" s="1" t="n">
        <v>45238</v>
      </c>
      <c r="C180" s="1" t="n">
        <v>45351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55575-2023 artfynd.xlsx", "A 55575-2023")</f>
        <v/>
      </c>
      <c r="T180">
        <f>HYPERLINK("https://klasma.github.io/Logging_0883/kartor/A 55575-2023 karta.png", "A 55575-2023")</f>
        <v/>
      </c>
      <c r="U180">
        <f>HYPERLINK("https://klasma.github.io/Logging_0883/knärot/A 55575-2023 karta knärot.png", "A 55575-2023")</f>
        <v/>
      </c>
      <c r="V180">
        <f>HYPERLINK("https://klasma.github.io/Logging_0883/klagomål/A 55575-2023 FSC-klagomål.docx", "A 55575-2023")</f>
        <v/>
      </c>
      <c r="W180">
        <f>HYPERLINK("https://klasma.github.io/Logging_0883/klagomålsmail/A 55575-2023 FSC-klagomål mail.docx", "A 55575-2023")</f>
        <v/>
      </c>
      <c r="X180">
        <f>HYPERLINK("https://klasma.github.io/Logging_0883/tillsyn/A 55575-2023 tillsynsbegäran.docx", "A 55575-2023")</f>
        <v/>
      </c>
      <c r="Y180">
        <f>HYPERLINK("https://klasma.github.io/Logging_0883/tillsynsmail/A 55575-2023 tillsynsbegäran mail.docx", "A 55575-2023")</f>
        <v/>
      </c>
    </row>
    <row r="181" ht="15" customHeight="1">
      <c r="A181" t="inlineStr">
        <is>
          <t>A 56186-2023</t>
        </is>
      </c>
      <c r="B181" s="1" t="n">
        <v>45240</v>
      </c>
      <c r="C181" s="1" t="n">
        <v>45351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56186-2023 artfynd.xlsx", "A 56186-2023")</f>
        <v/>
      </c>
      <c r="T181">
        <f>HYPERLINK("https://klasma.github.io/Logging_0883/kartor/A 56186-2023 karta.png", "A 56186-2023")</f>
        <v/>
      </c>
      <c r="V181">
        <f>HYPERLINK("https://klasma.github.io/Logging_0883/klagomål/A 56186-2023 FSC-klagomål.docx", "A 56186-2023")</f>
        <v/>
      </c>
      <c r="W181">
        <f>HYPERLINK("https://klasma.github.io/Logging_0883/klagomålsmail/A 56186-2023 FSC-klagomål mail.docx", "A 56186-2023")</f>
        <v/>
      </c>
      <c r="X181">
        <f>HYPERLINK("https://klasma.github.io/Logging_0883/tillsyn/A 56186-2023 tillsynsbegäran.docx", "A 56186-2023")</f>
        <v/>
      </c>
      <c r="Y181">
        <f>HYPERLINK("https://klasma.github.io/Logging_0883/tillsynsmail/A 56186-2023 tillsynsbegäran mail.docx", "A 56186-2023")</f>
        <v/>
      </c>
    </row>
    <row r="182" ht="15" customHeight="1">
      <c r="A182" t="inlineStr">
        <is>
          <t>A 59368-2023</t>
        </is>
      </c>
      <c r="B182" s="1" t="n">
        <v>45253</v>
      </c>
      <c r="C182" s="1" t="n">
        <v>45351</v>
      </c>
      <c r="D182" t="inlineStr">
        <is>
          <t>KALMAR LÄN</t>
        </is>
      </c>
      <c r="E182" t="inlineStr">
        <is>
          <t>VÄSTERVIK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59368-2023 artfynd.xlsx", "A 59368-2023")</f>
        <v/>
      </c>
      <c r="T182">
        <f>HYPERLINK("https://klasma.github.io/Logging_0883/kartor/A 59368-2023 karta.png", "A 59368-2023")</f>
        <v/>
      </c>
      <c r="U182">
        <f>HYPERLINK("https://klasma.github.io/Logging_0883/knärot/A 59368-2023 karta knärot.png", "A 59368-2023")</f>
        <v/>
      </c>
      <c r="V182">
        <f>HYPERLINK("https://klasma.github.io/Logging_0883/klagomål/A 59368-2023 FSC-klagomål.docx", "A 59368-2023")</f>
        <v/>
      </c>
      <c r="W182">
        <f>HYPERLINK("https://klasma.github.io/Logging_0883/klagomålsmail/A 59368-2023 FSC-klagomål mail.docx", "A 59368-2023")</f>
        <v/>
      </c>
      <c r="X182">
        <f>HYPERLINK("https://klasma.github.io/Logging_0883/tillsyn/A 59368-2023 tillsynsbegäran.docx", "A 59368-2023")</f>
        <v/>
      </c>
      <c r="Y182">
        <f>HYPERLINK("https://klasma.github.io/Logging_0883/tillsynsmail/A 59368-2023 tillsynsbegäran mail.docx", "A 59368-2023")</f>
        <v/>
      </c>
    </row>
    <row r="183" ht="15" customHeight="1">
      <c r="A183" t="inlineStr">
        <is>
          <t>A 60633-2023</t>
        </is>
      </c>
      <c r="B183" s="1" t="n">
        <v>45260</v>
      </c>
      <c r="C183" s="1" t="n">
        <v>45351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HYPERLINK("https://klasma.github.io/Logging_0883/artfynd/A 60633-2023 artfynd.xlsx", "A 60633-2023")</f>
        <v/>
      </c>
      <c r="T183">
        <f>HYPERLINK("https://klasma.github.io/Logging_0883/kartor/A 60633-2023 karta.png", "A 60633-2023")</f>
        <v/>
      </c>
      <c r="V183">
        <f>HYPERLINK("https://klasma.github.io/Logging_0883/klagomål/A 60633-2023 FSC-klagomål.docx", "A 60633-2023")</f>
        <v/>
      </c>
      <c r="W183">
        <f>HYPERLINK("https://klasma.github.io/Logging_0883/klagomålsmail/A 60633-2023 FSC-klagomål mail.docx", "A 60633-2023")</f>
        <v/>
      </c>
      <c r="X183">
        <f>HYPERLINK("https://klasma.github.io/Logging_0883/tillsyn/A 60633-2023 tillsynsbegäran.docx", "A 60633-2023")</f>
        <v/>
      </c>
      <c r="Y183">
        <f>HYPERLINK("https://klasma.github.io/Logging_0883/tillsynsmail/A 60633-2023 tillsynsbegäran mail.docx", "A 60633-2023")</f>
        <v/>
      </c>
      <c r="Z183">
        <f>HYPERLINK("https://klasma.github.io/Logging_0883/fåglar/A 60633-2023 prioriterade fågelarter.docx", "A 60633-2023")</f>
        <v/>
      </c>
    </row>
    <row r="184" ht="15" customHeight="1">
      <c r="A184" t="inlineStr">
        <is>
          <t>A 61806-2023</t>
        </is>
      </c>
      <c r="B184" s="1" t="n">
        <v>45266</v>
      </c>
      <c r="C184" s="1" t="n">
        <v>45351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Veckticka</t>
        </is>
      </c>
      <c r="S184">
        <f>HYPERLINK("https://klasma.github.io/Logging_0883/artfynd/A 61806-2023 artfynd.xlsx", "A 61806-2023")</f>
        <v/>
      </c>
      <c r="T184">
        <f>HYPERLINK("https://klasma.github.io/Logging_0883/kartor/A 61806-2023 karta.png", "A 61806-2023")</f>
        <v/>
      </c>
      <c r="V184">
        <f>HYPERLINK("https://klasma.github.io/Logging_0883/klagomål/A 61806-2023 FSC-klagomål.docx", "A 61806-2023")</f>
        <v/>
      </c>
      <c r="W184">
        <f>HYPERLINK("https://klasma.github.io/Logging_0883/klagomålsmail/A 61806-2023 FSC-klagomål mail.docx", "A 61806-2023")</f>
        <v/>
      </c>
      <c r="X184">
        <f>HYPERLINK("https://klasma.github.io/Logging_0883/tillsyn/A 61806-2023 tillsynsbegäran.docx", "A 61806-2023")</f>
        <v/>
      </c>
      <c r="Y184">
        <f>HYPERLINK("https://klasma.github.io/Logging_0883/tillsynsmail/A 61806-2023 tillsynsbegäran mail.docx", "A 61806-2023")</f>
        <v/>
      </c>
    </row>
    <row r="185" ht="15" customHeight="1">
      <c r="A185" t="inlineStr">
        <is>
          <t>A 636-2024</t>
        </is>
      </c>
      <c r="B185" s="1" t="n">
        <v>45299</v>
      </c>
      <c r="C185" s="1" t="n">
        <v>45351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636-2024 artfynd.xlsx", "A 636-2024")</f>
        <v/>
      </c>
      <c r="T185">
        <f>HYPERLINK("https://klasma.github.io/Logging_0883/kartor/A 636-2024 karta.png", "A 636-2024")</f>
        <v/>
      </c>
      <c r="U185">
        <f>HYPERLINK("https://klasma.github.io/Logging_0883/knärot/A 636-2024 karta knärot.png", "A 636-2024")</f>
        <v/>
      </c>
      <c r="V185">
        <f>HYPERLINK("https://klasma.github.io/Logging_0883/klagomål/A 636-2024 FSC-klagomål.docx", "A 636-2024")</f>
        <v/>
      </c>
      <c r="W185">
        <f>HYPERLINK("https://klasma.github.io/Logging_0883/klagomålsmail/A 636-2024 FSC-klagomål mail.docx", "A 636-2024")</f>
        <v/>
      </c>
      <c r="X185">
        <f>HYPERLINK("https://klasma.github.io/Logging_0883/tillsyn/A 636-2024 tillsynsbegäran.docx", "A 636-2024")</f>
        <v/>
      </c>
      <c r="Y185">
        <f>HYPERLINK("https://klasma.github.io/Logging_0883/tillsynsmail/A 636-2024 tillsynsbegäran mail.docx", "A 636-2024")</f>
        <v/>
      </c>
    </row>
    <row r="186" ht="15" customHeight="1">
      <c r="A186" t="inlineStr">
        <is>
          <t>A 1176-2024</t>
        </is>
      </c>
      <c r="B186" s="1" t="n">
        <v>45302</v>
      </c>
      <c r="C186" s="1" t="n">
        <v>45351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1176-2024 artfynd.xlsx", "A 1176-2024")</f>
        <v/>
      </c>
      <c r="T186">
        <f>HYPERLINK("https://klasma.github.io/Logging_0883/kartor/A 1176-2024 karta.png", "A 1176-2024")</f>
        <v/>
      </c>
      <c r="V186">
        <f>HYPERLINK("https://klasma.github.io/Logging_0883/klagomål/A 1176-2024 FSC-klagomål.docx", "A 1176-2024")</f>
        <v/>
      </c>
      <c r="W186">
        <f>HYPERLINK("https://klasma.github.io/Logging_0883/klagomålsmail/A 1176-2024 FSC-klagomål mail.docx", "A 1176-2024")</f>
        <v/>
      </c>
      <c r="X186">
        <f>HYPERLINK("https://klasma.github.io/Logging_0883/tillsyn/A 1176-2024 tillsynsbegäran.docx", "A 1176-2024")</f>
        <v/>
      </c>
      <c r="Y186">
        <f>HYPERLINK("https://klasma.github.io/Logging_0883/tillsynsmail/A 1176-2024 tillsynsbegäran mail.docx", "A 1176-2024")</f>
        <v/>
      </c>
    </row>
    <row r="187" ht="15" customHeight="1">
      <c r="A187" t="inlineStr">
        <is>
          <t>A 6025-2024</t>
        </is>
      </c>
      <c r="B187" s="1" t="n">
        <v>45336</v>
      </c>
      <c r="C187" s="1" t="n">
        <v>45351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6025-2024 artfynd.xlsx", "A 6025-2024")</f>
        <v/>
      </c>
      <c r="T187">
        <f>HYPERLINK("https://klasma.github.io/Logging_0883/kartor/A 6025-2024 karta.png", "A 6025-2024")</f>
        <v/>
      </c>
      <c r="V187">
        <f>HYPERLINK("https://klasma.github.io/Logging_0883/klagomål/A 6025-2024 FSC-klagomål.docx", "A 6025-2024")</f>
        <v/>
      </c>
      <c r="W187">
        <f>HYPERLINK("https://klasma.github.io/Logging_0883/klagomålsmail/A 6025-2024 FSC-klagomål mail.docx", "A 6025-2024")</f>
        <v/>
      </c>
      <c r="X187">
        <f>HYPERLINK("https://klasma.github.io/Logging_0883/tillsyn/A 6025-2024 tillsynsbegäran.docx", "A 6025-2024")</f>
        <v/>
      </c>
      <c r="Y187">
        <f>HYPERLINK("https://klasma.github.io/Logging_0883/tillsynsmail/A 6025-2024 tillsynsbegäran mail.docx", "A 6025-2024")</f>
        <v/>
      </c>
    </row>
    <row r="188" ht="15" customHeight="1">
      <c r="A188" t="inlineStr">
        <is>
          <t>A 34043-2018</t>
        </is>
      </c>
      <c r="B188" s="1" t="n">
        <v>43315</v>
      </c>
      <c r="C188" s="1" t="n">
        <v>45351</v>
      </c>
      <c r="D188" t="inlineStr">
        <is>
          <t>KALMAR LÄN</t>
        </is>
      </c>
      <c r="E188" t="inlineStr">
        <is>
          <t>VÄSTERVIK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35140-2018</t>
        </is>
      </c>
      <c r="B189" s="1" t="n">
        <v>43322</v>
      </c>
      <c r="C189" s="1" t="n">
        <v>45351</v>
      </c>
      <c r="D189" t="inlineStr">
        <is>
          <t>KALMAR LÄN</t>
        </is>
      </c>
      <c r="E189" t="inlineStr">
        <is>
          <t>VÄSTERVIK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37590-2018</t>
        </is>
      </c>
      <c r="B190" s="1" t="n">
        <v>43334</v>
      </c>
      <c r="C190" s="1" t="n">
        <v>45351</v>
      </c>
      <c r="D190" t="inlineStr">
        <is>
          <t>KALMAR LÄN</t>
        </is>
      </c>
      <c r="E190" t="inlineStr">
        <is>
          <t>VÄSTERVIK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37626-2018</t>
        </is>
      </c>
      <c r="B191" s="1" t="n">
        <v>43334</v>
      </c>
      <c r="C191" s="1" t="n">
        <v>45351</v>
      </c>
      <c r="D191" t="inlineStr">
        <is>
          <t>KALMAR LÄN</t>
        </is>
      </c>
      <c r="E191" t="inlineStr">
        <is>
          <t>VÄSTERVIK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37566-2018</t>
        </is>
      </c>
      <c r="B192" s="1" t="n">
        <v>43334</v>
      </c>
      <c r="C192" s="1" t="n">
        <v>45351</v>
      </c>
      <c r="D192" t="inlineStr">
        <is>
          <t>KALMAR LÄN</t>
        </is>
      </c>
      <c r="E192" t="inlineStr">
        <is>
          <t>VÄSTERVIK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HYPERLINK("https://klasma.github.io/Logging_0883/knärot/A 37566-2018 karta knärot.png", "A 37566-2018")</f>
        <v/>
      </c>
      <c r="V192">
        <f>HYPERLINK("https://klasma.github.io/Logging_0883/klagomål/A 37566-2018 FSC-klagomål.docx", "A 37566-2018")</f>
        <v/>
      </c>
      <c r="W192">
        <f>HYPERLINK("https://klasma.github.io/Logging_0883/klagomålsmail/A 37566-2018 FSC-klagomål mail.docx", "A 37566-2018")</f>
        <v/>
      </c>
      <c r="X192">
        <f>HYPERLINK("https://klasma.github.io/Logging_0883/tillsyn/A 37566-2018 tillsynsbegäran.docx", "A 37566-2018")</f>
        <v/>
      </c>
      <c r="Y192">
        <f>HYPERLINK("https://klasma.github.io/Logging_0883/tillsynsmail/A 37566-2018 tillsynsbegäran mail.docx", "A 37566-2018")</f>
        <v/>
      </c>
    </row>
    <row r="193" ht="15" customHeight="1">
      <c r="A193" t="inlineStr">
        <is>
          <t>A 37595-2018</t>
        </is>
      </c>
      <c r="B193" s="1" t="n">
        <v>43334</v>
      </c>
      <c r="C193" s="1" t="n">
        <v>45351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39681-2018</t>
        </is>
      </c>
      <c r="B194" s="1" t="n">
        <v>43341</v>
      </c>
      <c r="C194" s="1" t="n">
        <v>45351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41343-2018</t>
        </is>
      </c>
      <c r="B195" s="1" t="n">
        <v>43348</v>
      </c>
      <c r="C195" s="1" t="n">
        <v>45351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41339-2018</t>
        </is>
      </c>
      <c r="B196" s="1" t="n">
        <v>43348</v>
      </c>
      <c r="C196" s="1" t="n">
        <v>45351</v>
      </c>
      <c r="D196" t="inlineStr">
        <is>
          <t>KALMAR LÄN</t>
        </is>
      </c>
      <c r="E196" t="inlineStr">
        <is>
          <t>VÄSTERVIK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42283-2018</t>
        </is>
      </c>
      <c r="B197" s="1" t="n">
        <v>43349</v>
      </c>
      <c r="C197" s="1" t="n">
        <v>45351</v>
      </c>
      <c r="D197" t="inlineStr">
        <is>
          <t>KALMAR LÄN</t>
        </is>
      </c>
      <c r="E197" t="inlineStr">
        <is>
          <t>VÄSTERVIK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72680-2018</t>
        </is>
      </c>
      <c r="B198" s="1" t="n">
        <v>43354</v>
      </c>
      <c r="C198" s="1" t="n">
        <v>45351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42579-2018</t>
        </is>
      </c>
      <c r="B199" s="1" t="n">
        <v>43354</v>
      </c>
      <c r="C199" s="1" t="n">
        <v>45351</v>
      </c>
      <c r="D199" t="inlineStr">
        <is>
          <t>KALMAR LÄN</t>
        </is>
      </c>
      <c r="E199" t="inlineStr">
        <is>
          <t>VÄSTERVIK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46363-2018</t>
        </is>
      </c>
      <c r="B200" s="1" t="n">
        <v>43363</v>
      </c>
      <c r="C200" s="1" t="n">
        <v>45351</v>
      </c>
      <c r="D200" t="inlineStr">
        <is>
          <t>KALMAR LÄN</t>
        </is>
      </c>
      <c r="E200" t="inlineStr">
        <is>
          <t>VÄSTERVIK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45954-2018</t>
        </is>
      </c>
      <c r="B201" s="1" t="n">
        <v>43364</v>
      </c>
      <c r="C201" s="1" t="n">
        <v>45351</v>
      </c>
      <c r="D201" t="inlineStr">
        <is>
          <t>KALMAR LÄN</t>
        </is>
      </c>
      <c r="E201" t="inlineStr">
        <is>
          <t>VÄSTERVIK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46355-2018</t>
        </is>
      </c>
      <c r="B202" s="1" t="n">
        <v>43364</v>
      </c>
      <c r="C202" s="1" t="n">
        <v>45351</v>
      </c>
      <c r="D202" t="inlineStr">
        <is>
          <t>KALMAR LÄN</t>
        </is>
      </c>
      <c r="E202" t="inlineStr">
        <is>
          <t>VÄSTERVIK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46250-2018</t>
        </is>
      </c>
      <c r="B203" s="1" t="n">
        <v>43364</v>
      </c>
      <c r="C203" s="1" t="n">
        <v>45351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45871-2018</t>
        </is>
      </c>
      <c r="B204" s="1" t="n">
        <v>43364</v>
      </c>
      <c r="C204" s="1" t="n">
        <v>45351</v>
      </c>
      <c r="D204" t="inlineStr">
        <is>
          <t>KALMAR LÄN</t>
        </is>
      </c>
      <c r="E204" t="inlineStr">
        <is>
          <t>VÄSTERVIK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46247-2018</t>
        </is>
      </c>
      <c r="B205" s="1" t="n">
        <v>43364</v>
      </c>
      <c r="C205" s="1" t="n">
        <v>45351</v>
      </c>
      <c r="D205" t="inlineStr">
        <is>
          <t>KALMAR LÄN</t>
        </is>
      </c>
      <c r="E205" t="inlineStr">
        <is>
          <t>VÄSTERVIK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50802-2018</t>
        </is>
      </c>
      <c r="B206" s="1" t="n">
        <v>43376</v>
      </c>
      <c r="C206" s="1" t="n">
        <v>45351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51206-2018</t>
        </is>
      </c>
      <c r="B207" s="1" t="n">
        <v>43377</v>
      </c>
      <c r="C207" s="1" t="n">
        <v>45351</v>
      </c>
      <c r="D207" t="inlineStr">
        <is>
          <t>KALMAR LÄN</t>
        </is>
      </c>
      <c r="E207" t="inlineStr">
        <is>
          <t>VÄSTERVIK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49744-2018</t>
        </is>
      </c>
      <c r="B208" s="1" t="n">
        <v>43377</v>
      </c>
      <c r="C208" s="1" t="n">
        <v>45351</v>
      </c>
      <c r="D208" t="inlineStr">
        <is>
          <t>KALMAR LÄN</t>
        </is>
      </c>
      <c r="E208" t="inlineStr">
        <is>
          <t>VÄSTERVIK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51198-2018</t>
        </is>
      </c>
      <c r="B209" s="1" t="n">
        <v>43377</v>
      </c>
      <c r="C209" s="1" t="n">
        <v>45351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51109-2018</t>
        </is>
      </c>
      <c r="B210" s="1" t="n">
        <v>43378</v>
      </c>
      <c r="C210" s="1" t="n">
        <v>45351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51978-2018</t>
        </is>
      </c>
      <c r="B211" s="1" t="n">
        <v>43382</v>
      </c>
      <c r="C211" s="1" t="n">
        <v>45351</v>
      </c>
      <c r="D211" t="inlineStr">
        <is>
          <t>KALMAR LÄN</t>
        </is>
      </c>
      <c r="E211" t="inlineStr">
        <is>
          <t>VÄSTERVIK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52411-2018</t>
        </is>
      </c>
      <c r="B212" s="1" t="n">
        <v>43388</v>
      </c>
      <c r="C212" s="1" t="n">
        <v>45351</v>
      </c>
      <c r="D212" t="inlineStr">
        <is>
          <t>KALMAR LÄN</t>
        </is>
      </c>
      <c r="E212" t="inlineStr">
        <is>
          <t>VÄSTERVIK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54305-2018</t>
        </is>
      </c>
      <c r="B213" s="1" t="n">
        <v>43393</v>
      </c>
      <c r="C213" s="1" t="n">
        <v>45351</v>
      </c>
      <c r="D213" t="inlineStr">
        <is>
          <t>KALMAR LÄN</t>
        </is>
      </c>
      <c r="E213" t="inlineStr">
        <is>
          <t>VÄSTERVIK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54601-2018</t>
        </is>
      </c>
      <c r="B214" s="1" t="n">
        <v>43395</v>
      </c>
      <c r="C214" s="1" t="n">
        <v>45351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57753-2018</t>
        </is>
      </c>
      <c r="B215" s="1" t="n">
        <v>43397</v>
      </c>
      <c r="C215" s="1" t="n">
        <v>45351</v>
      </c>
      <c r="D215" t="inlineStr">
        <is>
          <t>KALMAR LÄN</t>
        </is>
      </c>
      <c r="E215" t="inlineStr">
        <is>
          <t>VÄSTERVIK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58654-2018</t>
        </is>
      </c>
      <c r="B216" s="1" t="n">
        <v>43399</v>
      </c>
      <c r="C216" s="1" t="n">
        <v>45351</v>
      </c>
      <c r="D216" t="inlineStr">
        <is>
          <t>KALMAR LÄN</t>
        </is>
      </c>
      <c r="E216" t="inlineStr">
        <is>
          <t>VÄSTERVIK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58980-2018</t>
        </is>
      </c>
      <c r="B217" s="1" t="n">
        <v>43402</v>
      </c>
      <c r="C217" s="1" t="n">
        <v>45351</v>
      </c>
      <c r="D217" t="inlineStr">
        <is>
          <t>KALMAR LÄN</t>
        </is>
      </c>
      <c r="E217" t="inlineStr">
        <is>
          <t>VÄSTERVIK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58989-2018</t>
        </is>
      </c>
      <c r="B218" s="1" t="n">
        <v>43402</v>
      </c>
      <c r="C218" s="1" t="n">
        <v>45351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59797-2018</t>
        </is>
      </c>
      <c r="B219" s="1" t="n">
        <v>43411</v>
      </c>
      <c r="C219" s="1" t="n">
        <v>45351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62110-2018</t>
        </is>
      </c>
      <c r="B220" s="1" t="n">
        <v>43416</v>
      </c>
      <c r="C220" s="1" t="n">
        <v>45351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61218-2018</t>
        </is>
      </c>
      <c r="B221" s="1" t="n">
        <v>43416</v>
      </c>
      <c r="C221" s="1" t="n">
        <v>45351</v>
      </c>
      <c r="D221" t="inlineStr">
        <is>
          <t>KALMAR LÄN</t>
        </is>
      </c>
      <c r="E221" t="inlineStr">
        <is>
          <t>VÄSTERVIK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62121-2018</t>
        </is>
      </c>
      <c r="B222" s="1" t="n">
        <v>43416</v>
      </c>
      <c r="C222" s="1" t="n">
        <v>45351</v>
      </c>
      <c r="D222" t="inlineStr">
        <is>
          <t>KALMAR LÄN</t>
        </is>
      </c>
      <c r="E222" t="inlineStr">
        <is>
          <t>VÄSTERVIK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61206-2018</t>
        </is>
      </c>
      <c r="B223" s="1" t="n">
        <v>43416</v>
      </c>
      <c r="C223" s="1" t="n">
        <v>45351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60989-2018</t>
        </is>
      </c>
      <c r="B224" s="1" t="n">
        <v>43423</v>
      </c>
      <c r="C224" s="1" t="n">
        <v>45351</v>
      </c>
      <c r="D224" t="inlineStr">
        <is>
          <t>KALMAR LÄN</t>
        </is>
      </c>
      <c r="E224" t="inlineStr">
        <is>
          <t>VÄSTERVIK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61633-2018</t>
        </is>
      </c>
      <c r="B225" s="1" t="n">
        <v>43424</v>
      </c>
      <c r="C225" s="1" t="n">
        <v>45351</v>
      </c>
      <c r="D225" t="inlineStr">
        <is>
          <t>KALMAR LÄN</t>
        </is>
      </c>
      <c r="E225" t="inlineStr">
        <is>
          <t>VÄSTERVIK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61635-2018</t>
        </is>
      </c>
      <c r="B226" s="1" t="n">
        <v>43424</v>
      </c>
      <c r="C226" s="1" t="n">
        <v>45351</v>
      </c>
      <c r="D226" t="inlineStr">
        <is>
          <t>KALMAR LÄN</t>
        </is>
      </c>
      <c r="E226" t="inlineStr">
        <is>
          <t>VÄSTERVIK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63491-2018</t>
        </is>
      </c>
      <c r="B227" s="1" t="n">
        <v>43427</v>
      </c>
      <c r="C227" s="1" t="n">
        <v>45351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63526-2018</t>
        </is>
      </c>
      <c r="B228" s="1" t="n">
        <v>43427</v>
      </c>
      <c r="C228" s="1" t="n">
        <v>45351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63483-2018</t>
        </is>
      </c>
      <c r="B229" s="1" t="n">
        <v>43427</v>
      </c>
      <c r="C229" s="1" t="n">
        <v>45351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63880-2018</t>
        </is>
      </c>
      <c r="B230" s="1" t="n">
        <v>43430</v>
      </c>
      <c r="C230" s="1" t="n">
        <v>45351</v>
      </c>
      <c r="D230" t="inlineStr">
        <is>
          <t>KALMAR LÄN</t>
        </is>
      </c>
      <c r="E230" t="inlineStr">
        <is>
          <t>VÄSTERVIK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64880-2018</t>
        </is>
      </c>
      <c r="B231" s="1" t="n">
        <v>43431</v>
      </c>
      <c r="C231" s="1" t="n">
        <v>45351</v>
      </c>
      <c r="D231" t="inlineStr">
        <is>
          <t>KALMAR LÄN</t>
        </is>
      </c>
      <c r="E231" t="inlineStr">
        <is>
          <t>VÄSTERVIK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66040-2018</t>
        </is>
      </c>
      <c r="B232" s="1" t="n">
        <v>43434</v>
      </c>
      <c r="C232" s="1" t="n">
        <v>45351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66375-2018</t>
        </is>
      </c>
      <c r="B233" s="1" t="n">
        <v>43436</v>
      </c>
      <c r="C233" s="1" t="n">
        <v>45351</v>
      </c>
      <c r="D233" t="inlineStr">
        <is>
          <t>KALMAR LÄN</t>
        </is>
      </c>
      <c r="E233" t="inlineStr">
        <is>
          <t>VÄSTERVIK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66438-2018</t>
        </is>
      </c>
      <c r="B234" s="1" t="n">
        <v>43437</v>
      </c>
      <c r="C234" s="1" t="n">
        <v>45351</v>
      </c>
      <c r="D234" t="inlineStr">
        <is>
          <t>KALMAR LÄN</t>
        </is>
      </c>
      <c r="E234" t="inlineStr">
        <is>
          <t>VÄSTERVIK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66790-2018</t>
        </is>
      </c>
      <c r="B235" s="1" t="n">
        <v>43437</v>
      </c>
      <c r="C235" s="1" t="n">
        <v>45351</v>
      </c>
      <c r="D235" t="inlineStr">
        <is>
          <t>KALMAR LÄN</t>
        </is>
      </c>
      <c r="E235" t="inlineStr">
        <is>
          <t>VÄSTERVIK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66706-2018</t>
        </is>
      </c>
      <c r="B236" s="1" t="n">
        <v>43437</v>
      </c>
      <c r="C236" s="1" t="n">
        <v>45351</v>
      </c>
      <c r="D236" t="inlineStr">
        <is>
          <t>KALMAR LÄN</t>
        </is>
      </c>
      <c r="E236" t="inlineStr">
        <is>
          <t>VÄSTERVIK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67016-2018</t>
        </is>
      </c>
      <c r="B237" s="1" t="n">
        <v>43438</v>
      </c>
      <c r="C237" s="1" t="n">
        <v>45351</v>
      </c>
      <c r="D237" t="inlineStr">
        <is>
          <t>KALMAR LÄN</t>
        </is>
      </c>
      <c r="E237" t="inlineStr">
        <is>
          <t>VÄSTERVIK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68457-2018</t>
        </is>
      </c>
      <c r="B238" s="1" t="n">
        <v>43439</v>
      </c>
      <c r="C238" s="1" t="n">
        <v>45351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67244-2018</t>
        </is>
      </c>
      <c r="B239" s="1" t="n">
        <v>43439</v>
      </c>
      <c r="C239" s="1" t="n">
        <v>45351</v>
      </c>
      <c r="D239" t="inlineStr">
        <is>
          <t>KALMAR LÄN</t>
        </is>
      </c>
      <c r="E239" t="inlineStr">
        <is>
          <t>VÄSTERVIK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67444-2018</t>
        </is>
      </c>
      <c r="B240" s="1" t="n">
        <v>43439</v>
      </c>
      <c r="C240" s="1" t="n">
        <v>45351</v>
      </c>
      <c r="D240" t="inlineStr">
        <is>
          <t>KALMAR LÄN</t>
        </is>
      </c>
      <c r="E240" t="inlineStr">
        <is>
          <t>VÄSTERVIK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67471-2018</t>
        </is>
      </c>
      <c r="B241" s="1" t="n">
        <v>43439</v>
      </c>
      <c r="C241" s="1" t="n">
        <v>45351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67908-2018</t>
        </is>
      </c>
      <c r="B242" s="1" t="n">
        <v>43440</v>
      </c>
      <c r="C242" s="1" t="n">
        <v>45351</v>
      </c>
      <c r="D242" t="inlineStr">
        <is>
          <t>KALMAR LÄN</t>
        </is>
      </c>
      <c r="E242" t="inlineStr">
        <is>
          <t>VÄSTERVIK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68734-2018</t>
        </is>
      </c>
      <c r="B243" s="1" t="n">
        <v>43444</v>
      </c>
      <c r="C243" s="1" t="n">
        <v>45351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68859-2018</t>
        </is>
      </c>
      <c r="B244" s="1" t="n">
        <v>43444</v>
      </c>
      <c r="C244" s="1" t="n">
        <v>45351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68866-2018</t>
        </is>
      </c>
      <c r="B245" s="1" t="n">
        <v>43444</v>
      </c>
      <c r="C245" s="1" t="n">
        <v>45351</v>
      </c>
      <c r="D245" t="inlineStr">
        <is>
          <t>KALMAR LÄN</t>
        </is>
      </c>
      <c r="E245" t="inlineStr">
        <is>
          <t>VÄSTERVIK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68863-2018</t>
        </is>
      </c>
      <c r="B246" s="1" t="n">
        <v>43444</v>
      </c>
      <c r="C246" s="1" t="n">
        <v>45351</v>
      </c>
      <c r="D246" t="inlineStr">
        <is>
          <t>KALMAR LÄN</t>
        </is>
      </c>
      <c r="E246" t="inlineStr">
        <is>
          <t>VÄSTERVIK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68862-2018</t>
        </is>
      </c>
      <c r="B247" s="1" t="n">
        <v>43444</v>
      </c>
      <c r="C247" s="1" t="n">
        <v>45351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68731-2018</t>
        </is>
      </c>
      <c r="B248" s="1" t="n">
        <v>43444</v>
      </c>
      <c r="C248" s="1" t="n">
        <v>45351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68860-2018</t>
        </is>
      </c>
      <c r="B249" s="1" t="n">
        <v>43444</v>
      </c>
      <c r="C249" s="1" t="n">
        <v>45351</v>
      </c>
      <c r="D249" t="inlineStr">
        <is>
          <t>KALMAR LÄN</t>
        </is>
      </c>
      <c r="E249" t="inlineStr">
        <is>
          <t>VÄSTERVIK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70500-2018</t>
        </is>
      </c>
      <c r="B250" s="1" t="n">
        <v>43447</v>
      </c>
      <c r="C250" s="1" t="n">
        <v>45351</v>
      </c>
      <c r="D250" t="inlineStr">
        <is>
          <t>KALMAR LÄN</t>
        </is>
      </c>
      <c r="E250" t="inlineStr">
        <is>
          <t>VÄSTERVIK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70503-2018</t>
        </is>
      </c>
      <c r="B251" s="1" t="n">
        <v>43447</v>
      </c>
      <c r="C251" s="1" t="n">
        <v>45351</v>
      </c>
      <c r="D251" t="inlineStr">
        <is>
          <t>KALMAR LÄN</t>
        </is>
      </c>
      <c r="E251" t="inlineStr">
        <is>
          <t>VÄSTERVIK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70103-2018</t>
        </is>
      </c>
      <c r="B252" s="1" t="n">
        <v>43448</v>
      </c>
      <c r="C252" s="1" t="n">
        <v>45351</v>
      </c>
      <c r="D252" t="inlineStr">
        <is>
          <t>KALMAR LÄN</t>
        </is>
      </c>
      <c r="E252" t="inlineStr">
        <is>
          <t>VÄSTERVIK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71713-2018</t>
        </is>
      </c>
      <c r="B253" s="1" t="n">
        <v>43454</v>
      </c>
      <c r="C253" s="1" t="n">
        <v>45351</v>
      </c>
      <c r="D253" t="inlineStr">
        <is>
          <t>KALMAR LÄN</t>
        </is>
      </c>
      <c r="E253" t="inlineStr">
        <is>
          <t>VÄSTERVIK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71690-2018</t>
        </is>
      </c>
      <c r="B254" s="1" t="n">
        <v>43454</v>
      </c>
      <c r="C254" s="1" t="n">
        <v>45351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71645-2018</t>
        </is>
      </c>
      <c r="B255" s="1" t="n">
        <v>43454</v>
      </c>
      <c r="C255" s="1" t="n">
        <v>45351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71657-2018</t>
        </is>
      </c>
      <c r="B256" s="1" t="n">
        <v>43454</v>
      </c>
      <c r="C256" s="1" t="n">
        <v>45351</v>
      </c>
      <c r="D256" t="inlineStr">
        <is>
          <t>KALMAR LÄN</t>
        </is>
      </c>
      <c r="E256" t="inlineStr">
        <is>
          <t>VÄSTERVIK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530-2019</t>
        </is>
      </c>
      <c r="B257" s="1" t="n">
        <v>43455</v>
      </c>
      <c r="C257" s="1" t="n">
        <v>45351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71990-2018</t>
        </is>
      </c>
      <c r="B258" s="1" t="n">
        <v>43455</v>
      </c>
      <c r="C258" s="1" t="n">
        <v>45351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2821-2019</t>
        </is>
      </c>
      <c r="B259" s="1" t="n">
        <v>43469</v>
      </c>
      <c r="C259" s="1" t="n">
        <v>45351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1341-2019</t>
        </is>
      </c>
      <c r="B260" s="1" t="n">
        <v>43473</v>
      </c>
      <c r="C260" s="1" t="n">
        <v>45351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1490-2019</t>
        </is>
      </c>
      <c r="B261" s="1" t="n">
        <v>43473</v>
      </c>
      <c r="C261" s="1" t="n">
        <v>45351</v>
      </c>
      <c r="D261" t="inlineStr">
        <is>
          <t>KALMAR LÄN</t>
        </is>
      </c>
      <c r="E261" t="inlineStr">
        <is>
          <t>VÄSTERVIK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2443-2019</t>
        </is>
      </c>
      <c r="B262" s="1" t="n">
        <v>43476</v>
      </c>
      <c r="C262" s="1" t="n">
        <v>45351</v>
      </c>
      <c r="D262" t="inlineStr">
        <is>
          <t>KALMAR LÄN</t>
        </is>
      </c>
      <c r="E262" t="inlineStr">
        <is>
          <t>VÄSTERVIK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2442-2019</t>
        </is>
      </c>
      <c r="B263" s="1" t="n">
        <v>43476</v>
      </c>
      <c r="C263" s="1" t="n">
        <v>45351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2437-2019</t>
        </is>
      </c>
      <c r="B264" s="1" t="n">
        <v>43476</v>
      </c>
      <c r="C264" s="1" t="n">
        <v>45351</v>
      </c>
      <c r="D264" t="inlineStr">
        <is>
          <t>KALMAR LÄN</t>
        </is>
      </c>
      <c r="E264" t="inlineStr">
        <is>
          <t>VÄSTERVIK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5154-2019</t>
        </is>
      </c>
      <c r="B265" s="1" t="n">
        <v>43488</v>
      </c>
      <c r="C265" s="1" t="n">
        <v>45351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6918-2019</t>
        </is>
      </c>
      <c r="B266" s="1" t="n">
        <v>43488</v>
      </c>
      <c r="C266" s="1" t="n">
        <v>45351</v>
      </c>
      <c r="D266" t="inlineStr">
        <is>
          <t>KALMAR LÄN</t>
        </is>
      </c>
      <c r="E266" t="inlineStr">
        <is>
          <t>VÄSTERVIK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6614-2019</t>
        </is>
      </c>
      <c r="B267" s="1" t="n">
        <v>43488</v>
      </c>
      <c r="C267" s="1" t="n">
        <v>45351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5598-2019</t>
        </is>
      </c>
      <c r="B268" s="1" t="n">
        <v>43489</v>
      </c>
      <c r="C268" s="1" t="n">
        <v>45351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5536-2019</t>
        </is>
      </c>
      <c r="B269" s="1" t="n">
        <v>43489</v>
      </c>
      <c r="C269" s="1" t="n">
        <v>45351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5602-2019</t>
        </is>
      </c>
      <c r="B270" s="1" t="n">
        <v>43489</v>
      </c>
      <c r="C270" s="1" t="n">
        <v>45351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5604-2019</t>
        </is>
      </c>
      <c r="B271" s="1" t="n">
        <v>43489</v>
      </c>
      <c r="C271" s="1" t="n">
        <v>45351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5614-2019</t>
        </is>
      </c>
      <c r="B272" s="1" t="n">
        <v>43489</v>
      </c>
      <c r="C272" s="1" t="n">
        <v>45351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5599-2019</t>
        </is>
      </c>
      <c r="B273" s="1" t="n">
        <v>43489</v>
      </c>
      <c r="C273" s="1" t="n">
        <v>45351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6276-2019</t>
        </is>
      </c>
      <c r="B274" s="1" t="n">
        <v>43493</v>
      </c>
      <c r="C274" s="1" t="n">
        <v>45351</v>
      </c>
      <c r="D274" t="inlineStr">
        <is>
          <t>KALMAR LÄN</t>
        </is>
      </c>
      <c r="E274" t="inlineStr">
        <is>
          <t>VÄSTERVIK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6533-2019</t>
        </is>
      </c>
      <c r="B275" s="1" t="n">
        <v>43494</v>
      </c>
      <c r="C275" s="1" t="n">
        <v>45351</v>
      </c>
      <c r="D275" t="inlineStr">
        <is>
          <t>KALMAR LÄN</t>
        </is>
      </c>
      <c r="E275" t="inlineStr">
        <is>
          <t>VÄSTERVIK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6730-2019</t>
        </is>
      </c>
      <c r="B276" s="1" t="n">
        <v>43494</v>
      </c>
      <c r="C276" s="1" t="n">
        <v>45351</v>
      </c>
      <c r="D276" t="inlineStr">
        <is>
          <t>KALMAR LÄN</t>
        </is>
      </c>
      <c r="E276" t="inlineStr">
        <is>
          <t>VÄSTERVIK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7779-2019</t>
        </is>
      </c>
      <c r="B277" s="1" t="n">
        <v>43494</v>
      </c>
      <c r="C277" s="1" t="n">
        <v>45351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6726-2019</t>
        </is>
      </c>
      <c r="B278" s="1" t="n">
        <v>43494</v>
      </c>
      <c r="C278" s="1" t="n">
        <v>45351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6731-2019</t>
        </is>
      </c>
      <c r="B279" s="1" t="n">
        <v>43494</v>
      </c>
      <c r="C279" s="1" t="n">
        <v>45351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6567-2019</t>
        </is>
      </c>
      <c r="B280" s="1" t="n">
        <v>43494</v>
      </c>
      <c r="C280" s="1" t="n">
        <v>45351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9468-2019</t>
        </is>
      </c>
      <c r="B281" s="1" t="n">
        <v>43507</v>
      </c>
      <c r="C281" s="1" t="n">
        <v>45351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10455-2019</t>
        </is>
      </c>
      <c r="B282" s="1" t="n">
        <v>43511</v>
      </c>
      <c r="C282" s="1" t="n">
        <v>45351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10744-2019</t>
        </is>
      </c>
      <c r="B283" s="1" t="n">
        <v>43514</v>
      </c>
      <c r="C283" s="1" t="n">
        <v>45351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10742-2019</t>
        </is>
      </c>
      <c r="B284" s="1" t="n">
        <v>43514</v>
      </c>
      <c r="C284" s="1" t="n">
        <v>45351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10740-2019</t>
        </is>
      </c>
      <c r="B285" s="1" t="n">
        <v>43514</v>
      </c>
      <c r="C285" s="1" t="n">
        <v>45351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10709-2019</t>
        </is>
      </c>
      <c r="B286" s="1" t="n">
        <v>43514</v>
      </c>
      <c r="C286" s="1" t="n">
        <v>45351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10694-2019</t>
        </is>
      </c>
      <c r="B287" s="1" t="n">
        <v>43514</v>
      </c>
      <c r="C287" s="1" t="n">
        <v>45351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11244-2019</t>
        </is>
      </c>
      <c r="B288" s="1" t="n">
        <v>43516</v>
      </c>
      <c r="C288" s="1" t="n">
        <v>45351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11306-2019</t>
        </is>
      </c>
      <c r="B289" s="1" t="n">
        <v>43516</v>
      </c>
      <c r="C289" s="1" t="n">
        <v>45351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11303-2019</t>
        </is>
      </c>
      <c r="B290" s="1" t="n">
        <v>43516</v>
      </c>
      <c r="C290" s="1" t="n">
        <v>45351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11686-2019</t>
        </is>
      </c>
      <c r="B291" s="1" t="n">
        <v>43518</v>
      </c>
      <c r="C291" s="1" t="n">
        <v>45351</v>
      </c>
      <c r="D291" t="inlineStr">
        <is>
          <t>KALMAR LÄN</t>
        </is>
      </c>
      <c r="E291" t="inlineStr">
        <is>
          <t>VÄSTERVIK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11689-2019</t>
        </is>
      </c>
      <c r="B292" s="1" t="n">
        <v>43518</v>
      </c>
      <c r="C292" s="1" t="n">
        <v>45351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11979-2019</t>
        </is>
      </c>
      <c r="B293" s="1" t="n">
        <v>43521</v>
      </c>
      <c r="C293" s="1" t="n">
        <v>45351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12117-2019</t>
        </is>
      </c>
      <c r="B294" s="1" t="n">
        <v>43521</v>
      </c>
      <c r="C294" s="1" t="n">
        <v>45351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12113-2019</t>
        </is>
      </c>
      <c r="B295" s="1" t="n">
        <v>43521</v>
      </c>
      <c r="C295" s="1" t="n">
        <v>45351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12111-2019</t>
        </is>
      </c>
      <c r="B296" s="1" t="n">
        <v>43521</v>
      </c>
      <c r="C296" s="1" t="n">
        <v>45351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12143-2019</t>
        </is>
      </c>
      <c r="B297" s="1" t="n">
        <v>43522</v>
      </c>
      <c r="C297" s="1" t="n">
        <v>45351</v>
      </c>
      <c r="D297" t="inlineStr">
        <is>
          <t>KALMAR LÄN</t>
        </is>
      </c>
      <c r="E297" t="inlineStr">
        <is>
          <t>VÄSTERVIK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12833-2019</t>
        </is>
      </c>
      <c r="B298" s="1" t="n">
        <v>43525</v>
      </c>
      <c r="C298" s="1" t="n">
        <v>45351</v>
      </c>
      <c r="D298" t="inlineStr">
        <is>
          <t>KALMAR LÄN</t>
        </is>
      </c>
      <c r="E298" t="inlineStr">
        <is>
          <t>VÄSTERVIK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13480-2019</t>
        </is>
      </c>
      <c r="B299" s="1" t="n">
        <v>43529</v>
      </c>
      <c r="C299" s="1" t="n">
        <v>45351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13473-2019</t>
        </is>
      </c>
      <c r="B300" s="1" t="n">
        <v>43529</v>
      </c>
      <c r="C300" s="1" t="n">
        <v>45351</v>
      </c>
      <c r="D300" t="inlineStr">
        <is>
          <t>KALMAR LÄN</t>
        </is>
      </c>
      <c r="E300" t="inlineStr">
        <is>
          <t>VÄSTERVIK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13903-2019</t>
        </is>
      </c>
      <c r="B301" s="1" t="n">
        <v>43531</v>
      </c>
      <c r="C301" s="1" t="n">
        <v>45351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13902-2019</t>
        </is>
      </c>
      <c r="B302" s="1" t="n">
        <v>43531</v>
      </c>
      <c r="C302" s="1" t="n">
        <v>45351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14149-2019</t>
        </is>
      </c>
      <c r="B303" s="1" t="n">
        <v>43533</v>
      </c>
      <c r="C303" s="1" t="n">
        <v>45351</v>
      </c>
      <c r="D303" t="inlineStr">
        <is>
          <t>KALMAR LÄN</t>
        </is>
      </c>
      <c r="E303" t="inlineStr">
        <is>
          <t>VÄSTERVIK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14895-2019</t>
        </is>
      </c>
      <c r="B304" s="1" t="n">
        <v>43537</v>
      </c>
      <c r="C304" s="1" t="n">
        <v>45351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15123-2019</t>
        </is>
      </c>
      <c r="B305" s="1" t="n">
        <v>43538</v>
      </c>
      <c r="C305" s="1" t="n">
        <v>45351</v>
      </c>
      <c r="D305" t="inlineStr">
        <is>
          <t>KALMAR LÄN</t>
        </is>
      </c>
      <c r="E305" t="inlineStr">
        <is>
          <t>VÄSTERVIK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15136-2019</t>
        </is>
      </c>
      <c r="B306" s="1" t="n">
        <v>43539</v>
      </c>
      <c r="C306" s="1" t="n">
        <v>45351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15281-2019</t>
        </is>
      </c>
      <c r="B307" s="1" t="n">
        <v>43539</v>
      </c>
      <c r="C307" s="1" t="n">
        <v>45351</v>
      </c>
      <c r="D307" t="inlineStr">
        <is>
          <t>KALMAR LÄN</t>
        </is>
      </c>
      <c r="E307" t="inlineStr">
        <is>
          <t>VÄSTERVIK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15806-2019</t>
        </is>
      </c>
      <c r="B308" s="1" t="n">
        <v>43543</v>
      </c>
      <c r="C308" s="1" t="n">
        <v>45351</v>
      </c>
      <c r="D308" t="inlineStr">
        <is>
          <t>KALMAR LÄN</t>
        </is>
      </c>
      <c r="E308" t="inlineStr">
        <is>
          <t>VÄSTERVIK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15872-2019</t>
        </is>
      </c>
      <c r="B309" s="1" t="n">
        <v>43543</v>
      </c>
      <c r="C309" s="1" t="n">
        <v>45351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16730-2019</t>
        </is>
      </c>
      <c r="B310" s="1" t="n">
        <v>43549</v>
      </c>
      <c r="C310" s="1" t="n">
        <v>45351</v>
      </c>
      <c r="D310" t="inlineStr">
        <is>
          <t>KALMAR LÄN</t>
        </is>
      </c>
      <c r="E310" t="inlineStr">
        <is>
          <t>VÄSTERVIK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17291-2019</t>
        </is>
      </c>
      <c r="B311" s="1" t="n">
        <v>43550</v>
      </c>
      <c r="C311" s="1" t="n">
        <v>45351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17286-2019</t>
        </is>
      </c>
      <c r="B312" s="1" t="n">
        <v>43550</v>
      </c>
      <c r="C312" s="1" t="n">
        <v>45351</v>
      </c>
      <c r="D312" t="inlineStr">
        <is>
          <t>KALMAR LÄN</t>
        </is>
      </c>
      <c r="E312" t="inlineStr">
        <is>
          <t>VÄSTERVIK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17120-2019</t>
        </is>
      </c>
      <c r="B313" s="1" t="n">
        <v>43551</v>
      </c>
      <c r="C313" s="1" t="n">
        <v>45351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17155-2019</t>
        </is>
      </c>
      <c r="B314" s="1" t="n">
        <v>43551</v>
      </c>
      <c r="C314" s="1" t="n">
        <v>45351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17794-2019</t>
        </is>
      </c>
      <c r="B315" s="1" t="n">
        <v>43556</v>
      </c>
      <c r="C315" s="1" t="n">
        <v>45351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45351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45351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45351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45351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45351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45351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45351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45351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45351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45351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45351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45351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45351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45351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45351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45351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45351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45351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45351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45351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45351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45351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45351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45351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45351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45351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45351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45351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45351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45351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45351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45351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45351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45351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45351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45351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45351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45351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45351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45351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45351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45351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45351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45351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45351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45351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45351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45351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45351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45351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45351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45351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45351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45351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45351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45351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45351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45351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45351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45351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45351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45351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45351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45351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45351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45351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45351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45351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45351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45351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45351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45351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45351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45351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45351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45351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45351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45351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45351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45351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45351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45351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45351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45351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45351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45351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45351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45351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45351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45351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45351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45351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45351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45351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45351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45351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45351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45351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45351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45351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45351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45351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45351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45351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45351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45351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45351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45351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45351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45351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45351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45351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45351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45351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45351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45351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45351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45351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45351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45351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45351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45351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45351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45351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45351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45351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45351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45351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45351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45351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45351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45351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45351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45351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45351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45351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45351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45351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45351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45351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45351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45351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45351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45351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45351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45351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45351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45351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45351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45351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45351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45351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45351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45351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45351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45351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45351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45351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45351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45351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45351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45351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45351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45351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45351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45351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45351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45351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45351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45351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45351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45351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45351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45351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45351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45351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45351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45351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45351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45351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45351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45351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45351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45351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45351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45351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45351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45351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45351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45351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45351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45351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45351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45351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45351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45351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45351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45351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45351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45351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45351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45351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45351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45351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45351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45351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45351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45351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45351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45351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45351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45537-2020</t>
        </is>
      </c>
      <c r="B527" s="1" t="n">
        <v>44089</v>
      </c>
      <c r="C527" s="1" t="n">
        <v>45351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45351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45351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45351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45351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45351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45351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45351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45351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45351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45351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45351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45351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57065-2020</t>
        </is>
      </c>
      <c r="B540" s="1" t="n">
        <v>44138</v>
      </c>
      <c r="C540" s="1" t="n">
        <v>45351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45351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45351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45351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45351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45351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45351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45351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45351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45351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45351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45351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45351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45351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45351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45351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45351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45351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45351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45351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45351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45351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45351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45351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45351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45351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45351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45351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45351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45351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45351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45351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45351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45351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45351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45351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45351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45351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45351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45351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45351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45351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45351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45351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45351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45351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45351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45351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45351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45351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45351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45351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45351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45351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45351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45351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45351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45351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45351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45351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45351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45351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45351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45351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45351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45351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45351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45351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45351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45351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45351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45351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45351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45351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45351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45351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45351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45351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45351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45351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45351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45351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45351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45351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45351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45351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45351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45351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45351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45351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45351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45351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45351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45351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45351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45351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45351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45351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45351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45351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45351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45351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45351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45351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45351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45351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45351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45351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45351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45351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45351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45351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45351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45351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45351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45351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45351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45351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45351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45351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45351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45351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45351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45351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45351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45351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45351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45351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45351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45351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45351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45351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45351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45351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45351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45351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45351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45351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45351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45351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45351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45351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45351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45351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45351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45351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45351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45351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45351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45351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45351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45351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44668-2021</t>
        </is>
      </c>
      <c r="B692" s="1" t="n">
        <v>44438</v>
      </c>
      <c r="C692" s="1" t="n">
        <v>45351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45351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45351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45351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45351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45351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45351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45351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45351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45351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45351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45351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45351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45351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45351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45351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45351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45351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45351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45351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45351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45351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45351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45351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45351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45351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45351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45351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45351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45351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45351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45351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45351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45351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45351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45351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45351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45351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45351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45351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45351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45351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45351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45351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45351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45351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45351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45351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45351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45351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45351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45351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45351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45351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45351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45351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45351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45351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45351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45351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45351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45351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45351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45351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45351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45351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45351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45351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45351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45351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45351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45351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45351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45351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45351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45351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45351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45351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45351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45351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45351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45351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11609-2022</t>
        </is>
      </c>
      <c r="B774" s="1" t="n">
        <v>44631</v>
      </c>
      <c r="C774" s="1" t="n">
        <v>45351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45351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45351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45351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45351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45351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45351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45351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45351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45351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45351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45351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45351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45351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45351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45351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45351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45351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45351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45351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45351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45351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45351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45351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45351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45351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45351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45351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45351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45351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45351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45351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45351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45351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45351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45351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45351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45351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45351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45351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45351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45351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45351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45351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45351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45351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45351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45351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45351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45351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45351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45351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45351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45351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45351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45351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45351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45351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45351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45351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45351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45351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45351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45351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45351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45351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45351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45351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45351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45806-2022</t>
        </is>
      </c>
      <c r="B843" s="1" t="n">
        <v>44846</v>
      </c>
      <c r="C843" s="1" t="n">
        <v>45351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45351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45351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45351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45351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45351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45351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45351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45351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45351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45351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45351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45351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45351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45351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45351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45351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45351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45351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45351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45351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45351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45351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45351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45351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45351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45351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45351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45351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45351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45351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45351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45351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45351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45351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45351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45351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45351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45351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45351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45351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45351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45351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45351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45351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45351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45351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45351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45351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45351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45351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45351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45351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45351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45351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45351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45351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45351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45351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45351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45351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45351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45351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45351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45351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45351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45351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45351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45351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45351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45351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45351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765-2023</t>
        </is>
      </c>
      <c r="B915" s="1" t="n">
        <v>44931</v>
      </c>
      <c r="C915" s="1" t="n">
        <v>45351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792-2023</t>
        </is>
      </c>
      <c r="B916" s="1" t="n">
        <v>44931</v>
      </c>
      <c r="C916" s="1" t="n">
        <v>45351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808-2023</t>
        </is>
      </c>
      <c r="B917" s="1" t="n">
        <v>44931</v>
      </c>
      <c r="C917" s="1" t="n">
        <v>45351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843-2023</t>
        </is>
      </c>
      <c r="B918" s="1" t="n">
        <v>44931</v>
      </c>
      <c r="C918" s="1" t="n">
        <v>45351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1079-2023</t>
        </is>
      </c>
      <c r="B919" s="1" t="n">
        <v>44935</v>
      </c>
      <c r="C919" s="1" t="n">
        <v>45351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1699-2023</t>
        </is>
      </c>
      <c r="B920" s="1" t="n">
        <v>44935</v>
      </c>
      <c r="C920" s="1" t="n">
        <v>45351</v>
      </c>
      <c r="D920" t="inlineStr">
        <is>
          <t>KALMAR LÄN</t>
        </is>
      </c>
      <c r="E920" t="inlineStr">
        <is>
          <t>VÄSTERVIK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1568-2023</t>
        </is>
      </c>
      <c r="B921" s="1" t="n">
        <v>44937</v>
      </c>
      <c r="C921" s="1" t="n">
        <v>45351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1798-2023</t>
        </is>
      </c>
      <c r="B922" s="1" t="n">
        <v>44938</v>
      </c>
      <c r="C922" s="1" t="n">
        <v>45351</v>
      </c>
      <c r="D922" t="inlineStr">
        <is>
          <t>KALMAR LÄN</t>
        </is>
      </c>
      <c r="E922" t="inlineStr">
        <is>
          <t>VÄSTERVIK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1961-2023</t>
        </is>
      </c>
      <c r="B923" s="1" t="n">
        <v>44939</v>
      </c>
      <c r="C923" s="1" t="n">
        <v>45351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2098-2023</t>
        </is>
      </c>
      <c r="B924" s="1" t="n">
        <v>44939</v>
      </c>
      <c r="C924" s="1" t="n">
        <v>45351</v>
      </c>
      <c r="D924" t="inlineStr">
        <is>
          <t>KALMAR LÄN</t>
        </is>
      </c>
      <c r="E924" t="inlineStr">
        <is>
          <t>VÄSTERVIK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2314-2023</t>
        </is>
      </c>
      <c r="B925" s="1" t="n">
        <v>44942</v>
      </c>
      <c r="C925" s="1" t="n">
        <v>45351</v>
      </c>
      <c r="D925" t="inlineStr">
        <is>
          <t>KALMAR LÄN</t>
        </is>
      </c>
      <c r="E925" t="inlineStr">
        <is>
          <t>VÄSTERVIK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2738-2023</t>
        </is>
      </c>
      <c r="B926" s="1" t="n">
        <v>44944</v>
      </c>
      <c r="C926" s="1" t="n">
        <v>45351</v>
      </c>
      <c r="D926" t="inlineStr">
        <is>
          <t>KALMAR LÄN</t>
        </is>
      </c>
      <c r="E926" t="inlineStr">
        <is>
          <t>VÄSTERVIK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2741-2023</t>
        </is>
      </c>
      <c r="B927" s="1" t="n">
        <v>44944</v>
      </c>
      <c r="C927" s="1" t="n">
        <v>45351</v>
      </c>
      <c r="D927" t="inlineStr">
        <is>
          <t>KALMAR LÄN</t>
        </is>
      </c>
      <c r="E927" t="inlineStr">
        <is>
          <t>VÄSTERVIK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2746-2023</t>
        </is>
      </c>
      <c r="B928" s="1" t="n">
        <v>44944</v>
      </c>
      <c r="C928" s="1" t="n">
        <v>45351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3075-2023</t>
        </is>
      </c>
      <c r="B929" s="1" t="n">
        <v>44946</v>
      </c>
      <c r="C929" s="1" t="n">
        <v>45351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3187-2023</t>
        </is>
      </c>
      <c r="B930" s="1" t="n">
        <v>44946</v>
      </c>
      <c r="C930" s="1" t="n">
        <v>45351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3185-2023</t>
        </is>
      </c>
      <c r="B931" s="1" t="n">
        <v>44946</v>
      </c>
      <c r="C931" s="1" t="n">
        <v>45351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3190-2023</t>
        </is>
      </c>
      <c r="B932" s="1" t="n">
        <v>44946</v>
      </c>
      <c r="C932" s="1" t="n">
        <v>45351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3867-2023</t>
        </is>
      </c>
      <c r="B933" s="1" t="n">
        <v>44951</v>
      </c>
      <c r="C933" s="1" t="n">
        <v>45351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4508-2023</t>
        </is>
      </c>
      <c r="B934" s="1" t="n">
        <v>44956</v>
      </c>
      <c r="C934" s="1" t="n">
        <v>45351</v>
      </c>
      <c r="D934" t="inlineStr">
        <is>
          <t>KALMAR LÄN</t>
        </is>
      </c>
      <c r="E934" t="inlineStr">
        <is>
          <t>VÄSTERVIK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4624-2023</t>
        </is>
      </c>
      <c r="B935" s="1" t="n">
        <v>44956</v>
      </c>
      <c r="C935" s="1" t="n">
        <v>45351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4579-2023</t>
        </is>
      </c>
      <c r="B936" s="1" t="n">
        <v>44956</v>
      </c>
      <c r="C936" s="1" t="n">
        <v>45351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4583-2023</t>
        </is>
      </c>
      <c r="B937" s="1" t="n">
        <v>44956</v>
      </c>
      <c r="C937" s="1" t="n">
        <v>45351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4951-2023</t>
        </is>
      </c>
      <c r="B938" s="1" t="n">
        <v>44958</v>
      </c>
      <c r="C938" s="1" t="n">
        <v>45351</v>
      </c>
      <c r="D938" t="inlineStr">
        <is>
          <t>KALMAR LÄN</t>
        </is>
      </c>
      <c r="E938" t="inlineStr">
        <is>
          <t>VÄSTERVIK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5684-2023</t>
        </is>
      </c>
      <c r="B939" s="1" t="n">
        <v>44960</v>
      </c>
      <c r="C939" s="1" t="n">
        <v>45351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6346-2023</t>
        </is>
      </c>
      <c r="B940" s="1" t="n">
        <v>44960</v>
      </c>
      <c r="C940" s="1" t="n">
        <v>45351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5775-2023</t>
        </is>
      </c>
      <c r="B941" s="1" t="n">
        <v>44963</v>
      </c>
      <c r="C941" s="1" t="n">
        <v>45351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5769-2023</t>
        </is>
      </c>
      <c r="B942" s="1" t="n">
        <v>44963</v>
      </c>
      <c r="C942" s="1" t="n">
        <v>45351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5774-2023</t>
        </is>
      </c>
      <c r="B943" s="1" t="n">
        <v>44963</v>
      </c>
      <c r="C943" s="1" t="n">
        <v>45351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6042-2023</t>
        </is>
      </c>
      <c r="B944" s="1" t="n">
        <v>44964</v>
      </c>
      <c r="C944" s="1" t="n">
        <v>45351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5982-2023</t>
        </is>
      </c>
      <c r="B945" s="1" t="n">
        <v>44964</v>
      </c>
      <c r="C945" s="1" t="n">
        <v>45351</v>
      </c>
      <c r="D945" t="inlineStr">
        <is>
          <t>KALMAR LÄN</t>
        </is>
      </c>
      <c r="E945" t="inlineStr">
        <is>
          <t>VÄSTERVIK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6126-2023</t>
        </is>
      </c>
      <c r="B946" s="1" t="n">
        <v>44964</v>
      </c>
      <c r="C946" s="1" t="n">
        <v>45351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6319-2023</t>
        </is>
      </c>
      <c r="B947" s="1" t="n">
        <v>44965</v>
      </c>
      <c r="C947" s="1" t="n">
        <v>45351</v>
      </c>
      <c r="D947" t="inlineStr">
        <is>
          <t>KALMAR LÄN</t>
        </is>
      </c>
      <c r="E947" t="inlineStr">
        <is>
          <t>VÄSTERVIK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7126-2023</t>
        </is>
      </c>
      <c r="B948" s="1" t="n">
        <v>44970</v>
      </c>
      <c r="C948" s="1" t="n">
        <v>45351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7080-2023</t>
        </is>
      </c>
      <c r="B949" s="1" t="n">
        <v>44970</v>
      </c>
      <c r="C949" s="1" t="n">
        <v>45351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7098-2023</t>
        </is>
      </c>
      <c r="B950" s="1" t="n">
        <v>44970</v>
      </c>
      <c r="C950" s="1" t="n">
        <v>45351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7255-2023</t>
        </is>
      </c>
      <c r="B951" s="1" t="n">
        <v>44970</v>
      </c>
      <c r="C951" s="1" t="n">
        <v>45351</v>
      </c>
      <c r="D951" t="inlineStr">
        <is>
          <t>KALMAR LÄN</t>
        </is>
      </c>
      <c r="E951" t="inlineStr">
        <is>
          <t>VÄSTERVIK</t>
        </is>
      </c>
      <c r="F951" t="inlineStr">
        <is>
          <t>Naturvårdsverket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HYPERLINK("https://klasma.github.io/Logging_0883/knärot/A 7255-2023 karta knärot.png", "A 7255-2023")</f>
        <v/>
      </c>
      <c r="V951">
        <f>HYPERLINK("https://klasma.github.io/Logging_0883/klagomål/A 7255-2023 FSC-klagomål.docx", "A 7255-2023")</f>
        <v/>
      </c>
      <c r="W951">
        <f>HYPERLINK("https://klasma.github.io/Logging_0883/klagomålsmail/A 7255-2023 FSC-klagomål mail.docx", "A 7255-2023")</f>
        <v/>
      </c>
      <c r="X951">
        <f>HYPERLINK("https://klasma.github.io/Logging_0883/tillsyn/A 7255-2023 tillsynsbegäran.docx", "A 7255-2023")</f>
        <v/>
      </c>
      <c r="Y951">
        <f>HYPERLINK("https://klasma.github.io/Logging_0883/tillsynsmail/A 7255-2023 tillsynsbegäran mail.docx", "A 7255-2023")</f>
        <v/>
      </c>
    </row>
    <row r="952" ht="15" customHeight="1">
      <c r="A952" t="inlineStr">
        <is>
          <t>A 7100-2023</t>
        </is>
      </c>
      <c r="B952" s="1" t="n">
        <v>44970</v>
      </c>
      <c r="C952" s="1" t="n">
        <v>45351</v>
      </c>
      <c r="D952" t="inlineStr">
        <is>
          <t>KALMAR LÄN</t>
        </is>
      </c>
      <c r="E952" t="inlineStr">
        <is>
          <t>VÄSTERVIK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7360-2023</t>
        </is>
      </c>
      <c r="B953" s="1" t="n">
        <v>44971</v>
      </c>
      <c r="C953" s="1" t="n">
        <v>45351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7779-2023</t>
        </is>
      </c>
      <c r="B954" s="1" t="n">
        <v>44973</v>
      </c>
      <c r="C954" s="1" t="n">
        <v>45351</v>
      </c>
      <c r="D954" t="inlineStr">
        <is>
          <t>KALMAR LÄN</t>
        </is>
      </c>
      <c r="E954" t="inlineStr">
        <is>
          <t>VÄSTERVIK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8005-2023</t>
        </is>
      </c>
      <c r="B955" s="1" t="n">
        <v>44973</v>
      </c>
      <c r="C955" s="1" t="n">
        <v>45351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7925-2023</t>
        </is>
      </c>
      <c r="B956" s="1" t="n">
        <v>44973</v>
      </c>
      <c r="C956" s="1" t="n">
        <v>45351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7934-2023</t>
        </is>
      </c>
      <c r="B957" s="1" t="n">
        <v>44973</v>
      </c>
      <c r="C957" s="1" t="n">
        <v>45351</v>
      </c>
      <c r="D957" t="inlineStr">
        <is>
          <t>KALMAR LÄN</t>
        </is>
      </c>
      <c r="E957" t="inlineStr">
        <is>
          <t>VÄSTERVIK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7938-2023</t>
        </is>
      </c>
      <c r="B958" s="1" t="n">
        <v>44973</v>
      </c>
      <c r="C958" s="1" t="n">
        <v>45351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8014-2023</t>
        </is>
      </c>
      <c r="B959" s="1" t="n">
        <v>44973</v>
      </c>
      <c r="C959" s="1" t="n">
        <v>45351</v>
      </c>
      <c r="D959" t="inlineStr">
        <is>
          <t>KALMAR LÄN</t>
        </is>
      </c>
      <c r="E959" t="inlineStr">
        <is>
          <t>VÄSTERVIK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8007-2023</t>
        </is>
      </c>
      <c r="B960" s="1" t="n">
        <v>44973</v>
      </c>
      <c r="C960" s="1" t="n">
        <v>45351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8283-2023</t>
        </is>
      </c>
      <c r="B961" s="1" t="n">
        <v>44974</v>
      </c>
      <c r="C961" s="1" t="n">
        <v>45351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8289-2023</t>
        </is>
      </c>
      <c r="B962" s="1" t="n">
        <v>44974</v>
      </c>
      <c r="C962" s="1" t="n">
        <v>45351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8456-2023</t>
        </is>
      </c>
      <c r="B963" s="1" t="n">
        <v>44977</v>
      </c>
      <c r="C963" s="1" t="n">
        <v>45351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8382-2023</t>
        </is>
      </c>
      <c r="B964" s="1" t="n">
        <v>44977</v>
      </c>
      <c r="C964" s="1" t="n">
        <v>45351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8440-2023</t>
        </is>
      </c>
      <c r="B965" s="1" t="n">
        <v>44977</v>
      </c>
      <c r="C965" s="1" t="n">
        <v>45351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8593-2023</t>
        </is>
      </c>
      <c r="B966" s="1" t="n">
        <v>44977</v>
      </c>
      <c r="C966" s="1" t="n">
        <v>45351</v>
      </c>
      <c r="D966" t="inlineStr">
        <is>
          <t>KALMAR LÄN</t>
        </is>
      </c>
      <c r="E966" t="inlineStr">
        <is>
          <t>VÄSTERVIK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8597-2023</t>
        </is>
      </c>
      <c r="B967" s="1" t="n">
        <v>44977</v>
      </c>
      <c r="C967" s="1" t="n">
        <v>45351</v>
      </c>
      <c r="D967" t="inlineStr">
        <is>
          <t>KALMAR LÄN</t>
        </is>
      </c>
      <c r="E967" t="inlineStr">
        <is>
          <t>VÄSTERVIK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8594-2023</t>
        </is>
      </c>
      <c r="B968" s="1" t="n">
        <v>44977</v>
      </c>
      <c r="C968" s="1" t="n">
        <v>45351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8513-2023</t>
        </is>
      </c>
      <c r="B969" s="1" t="n">
        <v>44977</v>
      </c>
      <c r="C969" s="1" t="n">
        <v>45351</v>
      </c>
      <c r="D969" t="inlineStr">
        <is>
          <t>KALMAR LÄN</t>
        </is>
      </c>
      <c r="E969" t="inlineStr">
        <is>
          <t>VÄSTERVIK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8561-2023</t>
        </is>
      </c>
      <c r="B970" s="1" t="n">
        <v>44977</v>
      </c>
      <c r="C970" s="1" t="n">
        <v>45351</v>
      </c>
      <c r="D970" t="inlineStr">
        <is>
          <t>KALMAR LÄN</t>
        </is>
      </c>
      <c r="E970" t="inlineStr">
        <is>
          <t>VÄSTERVIK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8896-2023</t>
        </is>
      </c>
      <c r="B971" s="1" t="n">
        <v>44979</v>
      </c>
      <c r="C971" s="1" t="n">
        <v>45351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9037-2023</t>
        </is>
      </c>
      <c r="B972" s="1" t="n">
        <v>44979</v>
      </c>
      <c r="C972" s="1" t="n">
        <v>45351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9111-2023</t>
        </is>
      </c>
      <c r="B973" s="1" t="n">
        <v>44980</v>
      </c>
      <c r="C973" s="1" t="n">
        <v>45351</v>
      </c>
      <c r="D973" t="inlineStr">
        <is>
          <t>KALMAR LÄN</t>
        </is>
      </c>
      <c r="E973" t="inlineStr">
        <is>
          <t>VÄSTERVIK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9042-2023</t>
        </is>
      </c>
      <c r="B974" s="1" t="n">
        <v>44979</v>
      </c>
      <c r="C974" s="1" t="n">
        <v>45351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9112-2023</t>
        </is>
      </c>
      <c r="B975" s="1" t="n">
        <v>44979</v>
      </c>
      <c r="C975" s="1" t="n">
        <v>45351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9110-2023</t>
        </is>
      </c>
      <c r="B976" s="1" t="n">
        <v>44979</v>
      </c>
      <c r="C976" s="1" t="n">
        <v>45351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9223-2023</t>
        </is>
      </c>
      <c r="B977" s="1" t="n">
        <v>44980</v>
      </c>
      <c r="C977" s="1" t="n">
        <v>45351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9222-2023</t>
        </is>
      </c>
      <c r="B978" s="1" t="n">
        <v>44980</v>
      </c>
      <c r="C978" s="1" t="n">
        <v>45351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9220-2023</t>
        </is>
      </c>
      <c r="B979" s="1" t="n">
        <v>44980</v>
      </c>
      <c r="C979" s="1" t="n">
        <v>45351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9631-2023</t>
        </is>
      </c>
      <c r="B980" s="1" t="n">
        <v>44984</v>
      </c>
      <c r="C980" s="1" t="n">
        <v>45351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9771-2023</t>
        </is>
      </c>
      <c r="B981" s="1" t="n">
        <v>44984</v>
      </c>
      <c r="C981" s="1" t="n">
        <v>45351</v>
      </c>
      <c r="D981" t="inlineStr">
        <is>
          <t>KALMAR LÄN</t>
        </is>
      </c>
      <c r="E981" t="inlineStr">
        <is>
          <t>VÄSTERVIK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9770-2023</t>
        </is>
      </c>
      <c r="B982" s="1" t="n">
        <v>44984</v>
      </c>
      <c r="C982" s="1" t="n">
        <v>45351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9792-2023</t>
        </is>
      </c>
      <c r="B983" s="1" t="n">
        <v>44984</v>
      </c>
      <c r="C983" s="1" t="n">
        <v>45351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10419-2023</t>
        </is>
      </c>
      <c r="B984" s="1" t="n">
        <v>44987</v>
      </c>
      <c r="C984" s="1" t="n">
        <v>45351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10421-2023</t>
        </is>
      </c>
      <c r="B985" s="1" t="n">
        <v>44987</v>
      </c>
      <c r="C985" s="1" t="n">
        <v>45351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10665-2023</t>
        </is>
      </c>
      <c r="B986" s="1" t="n">
        <v>44988</v>
      </c>
      <c r="C986" s="1" t="n">
        <v>45351</v>
      </c>
      <c r="D986" t="inlineStr">
        <is>
          <t>KALMAR LÄN</t>
        </is>
      </c>
      <c r="E986" t="inlineStr">
        <is>
          <t>VÄSTERVIK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10725-2023</t>
        </is>
      </c>
      <c r="B987" s="1" t="n">
        <v>44988</v>
      </c>
      <c r="C987" s="1" t="n">
        <v>45351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10807-2023</t>
        </is>
      </c>
      <c r="B988" s="1" t="n">
        <v>44989</v>
      </c>
      <c r="C988" s="1" t="n">
        <v>45351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10801-2023</t>
        </is>
      </c>
      <c r="B989" s="1" t="n">
        <v>44989</v>
      </c>
      <c r="C989" s="1" t="n">
        <v>45351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11210-2023</t>
        </is>
      </c>
      <c r="B990" s="1" t="n">
        <v>44992</v>
      </c>
      <c r="C990" s="1" t="n">
        <v>45351</v>
      </c>
      <c r="D990" t="inlineStr">
        <is>
          <t>KALMAR LÄN</t>
        </is>
      </c>
      <c r="E990" t="inlineStr">
        <is>
          <t>VÄSTERVIK</t>
        </is>
      </c>
      <c r="F990" t="inlineStr">
        <is>
          <t>Holmen skog AB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11276-2023</t>
        </is>
      </c>
      <c r="B991" s="1" t="n">
        <v>44992</v>
      </c>
      <c r="C991" s="1" t="n">
        <v>45351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11577-2023</t>
        </is>
      </c>
      <c r="B992" s="1" t="n">
        <v>44994</v>
      </c>
      <c r="C992" s="1" t="n">
        <v>45351</v>
      </c>
      <c r="D992" t="inlineStr">
        <is>
          <t>KALMAR LÄN</t>
        </is>
      </c>
      <c r="E992" t="inlineStr">
        <is>
          <t>VÄSTERVIK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11583-2023</t>
        </is>
      </c>
      <c r="B993" s="1" t="n">
        <v>44994</v>
      </c>
      <c r="C993" s="1" t="n">
        <v>45351</v>
      </c>
      <c r="D993" t="inlineStr">
        <is>
          <t>KALMAR LÄN</t>
        </is>
      </c>
      <c r="E993" t="inlineStr">
        <is>
          <t>VÄSTERVIK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11579-2023</t>
        </is>
      </c>
      <c r="B994" s="1" t="n">
        <v>44994</v>
      </c>
      <c r="C994" s="1" t="n">
        <v>45351</v>
      </c>
      <c r="D994" t="inlineStr">
        <is>
          <t>KALMAR LÄN</t>
        </is>
      </c>
      <c r="E994" t="inlineStr">
        <is>
          <t>VÄSTERVIK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11584-2023</t>
        </is>
      </c>
      <c r="B995" s="1" t="n">
        <v>44994</v>
      </c>
      <c r="C995" s="1" t="n">
        <v>45351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11586-2023</t>
        </is>
      </c>
      <c r="B996" s="1" t="n">
        <v>44994</v>
      </c>
      <c r="C996" s="1" t="n">
        <v>45351</v>
      </c>
      <c r="D996" t="inlineStr">
        <is>
          <t>KALMAR LÄN</t>
        </is>
      </c>
      <c r="E996" t="inlineStr">
        <is>
          <t>VÄSTERVIK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11804-2023</t>
        </is>
      </c>
      <c r="B997" s="1" t="n">
        <v>44994</v>
      </c>
      <c r="C997" s="1" t="n">
        <v>45351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11727-2023</t>
        </is>
      </c>
      <c r="B998" s="1" t="n">
        <v>44994</v>
      </c>
      <c r="C998" s="1" t="n">
        <v>45351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11741-2023</t>
        </is>
      </c>
      <c r="B999" s="1" t="n">
        <v>44994</v>
      </c>
      <c r="C999" s="1" t="n">
        <v>45351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11730-2023</t>
        </is>
      </c>
      <c r="B1000" s="1" t="n">
        <v>44994</v>
      </c>
      <c r="C1000" s="1" t="n">
        <v>45351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12504-2023</t>
        </is>
      </c>
      <c r="B1001" s="1" t="n">
        <v>44999</v>
      </c>
      <c r="C1001" s="1" t="n">
        <v>45351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12595-2023</t>
        </is>
      </c>
      <c r="B1002" s="1" t="n">
        <v>45000</v>
      </c>
      <c r="C1002" s="1" t="n">
        <v>45351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13275-2023</t>
        </is>
      </c>
      <c r="B1003" s="1" t="n">
        <v>45003</v>
      </c>
      <c r="C1003" s="1" t="n">
        <v>45351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HYPERLINK("https://klasma.github.io/Logging_0883/knärot/A 13275-2023 karta knärot.png", "A 13275-2023")</f>
        <v/>
      </c>
      <c r="V1003">
        <f>HYPERLINK("https://klasma.github.io/Logging_0883/klagomål/A 13275-2023 FSC-klagomål.docx", "A 13275-2023")</f>
        <v/>
      </c>
      <c r="W1003">
        <f>HYPERLINK("https://klasma.github.io/Logging_0883/klagomålsmail/A 13275-2023 FSC-klagomål mail.docx", "A 13275-2023")</f>
        <v/>
      </c>
      <c r="X1003">
        <f>HYPERLINK("https://klasma.github.io/Logging_0883/tillsyn/A 13275-2023 tillsynsbegäran.docx", "A 13275-2023")</f>
        <v/>
      </c>
      <c r="Y1003">
        <f>HYPERLINK("https://klasma.github.io/Logging_0883/tillsynsmail/A 13275-2023 tillsynsbegäran mail.docx", "A 13275-2023")</f>
        <v/>
      </c>
    </row>
    <row r="1004" ht="15" customHeight="1">
      <c r="A1004" t="inlineStr">
        <is>
          <t>A 13761-2023</t>
        </is>
      </c>
      <c r="B1004" s="1" t="n">
        <v>45007</v>
      </c>
      <c r="C1004" s="1" t="n">
        <v>45351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13770-2023</t>
        </is>
      </c>
      <c r="B1005" s="1" t="n">
        <v>45007</v>
      </c>
      <c r="C1005" s="1" t="n">
        <v>45351</v>
      </c>
      <c r="D1005" t="inlineStr">
        <is>
          <t>KALMAR LÄN</t>
        </is>
      </c>
      <c r="E1005" t="inlineStr">
        <is>
          <t>VÄSTERVIK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13841-2023</t>
        </is>
      </c>
      <c r="B1006" s="1" t="n">
        <v>45007</v>
      </c>
      <c r="C1006" s="1" t="n">
        <v>45351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13838-2023</t>
        </is>
      </c>
      <c r="B1007" s="1" t="n">
        <v>45007</v>
      </c>
      <c r="C1007" s="1" t="n">
        <v>45351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13995-2023</t>
        </is>
      </c>
      <c r="B1008" s="1" t="n">
        <v>45008</v>
      </c>
      <c r="C1008" s="1" t="n">
        <v>45351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14388-2023</t>
        </is>
      </c>
      <c r="B1009" s="1" t="n">
        <v>45012</v>
      </c>
      <c r="C1009" s="1" t="n">
        <v>45351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14387-2023</t>
        </is>
      </c>
      <c r="B1010" s="1" t="n">
        <v>45012</v>
      </c>
      <c r="C1010" s="1" t="n">
        <v>45351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14385-2023</t>
        </is>
      </c>
      <c r="B1011" s="1" t="n">
        <v>45012</v>
      </c>
      <c r="C1011" s="1" t="n">
        <v>45351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15099-2023</t>
        </is>
      </c>
      <c r="B1012" s="1" t="n">
        <v>45016</v>
      </c>
      <c r="C1012" s="1" t="n">
        <v>45351</v>
      </c>
      <c r="D1012" t="inlineStr">
        <is>
          <t>KALMAR LÄN</t>
        </is>
      </c>
      <c r="E1012" t="inlineStr">
        <is>
          <t>VÄSTERVIK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15106-2023</t>
        </is>
      </c>
      <c r="B1013" s="1" t="n">
        <v>45016</v>
      </c>
      <c r="C1013" s="1" t="n">
        <v>45351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15097-2023</t>
        </is>
      </c>
      <c r="B1014" s="1" t="n">
        <v>45016</v>
      </c>
      <c r="C1014" s="1" t="n">
        <v>45351</v>
      </c>
      <c r="D1014" t="inlineStr">
        <is>
          <t>KALMAR LÄN</t>
        </is>
      </c>
      <c r="E1014" t="inlineStr">
        <is>
          <t>VÄSTERVIK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15103-2023</t>
        </is>
      </c>
      <c r="B1015" s="1" t="n">
        <v>45016</v>
      </c>
      <c r="C1015" s="1" t="n">
        <v>45351</v>
      </c>
      <c r="D1015" t="inlineStr">
        <is>
          <t>KALMAR LÄN</t>
        </is>
      </c>
      <c r="E1015" t="inlineStr">
        <is>
          <t>VÄSTERVIK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15270-2023</t>
        </is>
      </c>
      <c r="B1016" s="1" t="n">
        <v>45019</v>
      </c>
      <c r="C1016" s="1" t="n">
        <v>45351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15438-2023</t>
        </is>
      </c>
      <c r="B1017" s="1" t="n">
        <v>45020</v>
      </c>
      <c r="C1017" s="1" t="n">
        <v>45351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15761-2023</t>
        </is>
      </c>
      <c r="B1018" s="1" t="n">
        <v>45021</v>
      </c>
      <c r="C1018" s="1" t="n">
        <v>45351</v>
      </c>
      <c r="D1018" t="inlineStr">
        <is>
          <t>KALMAR LÄN</t>
        </is>
      </c>
      <c r="E1018" t="inlineStr">
        <is>
          <t>VÄSTERVIK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15765-2023</t>
        </is>
      </c>
      <c r="B1019" s="1" t="n">
        <v>45021</v>
      </c>
      <c r="C1019" s="1" t="n">
        <v>45351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15875-2023</t>
        </is>
      </c>
      <c r="B1020" s="1" t="n">
        <v>45022</v>
      </c>
      <c r="C1020" s="1" t="n">
        <v>45351</v>
      </c>
      <c r="D1020" t="inlineStr">
        <is>
          <t>KALMAR LÄN</t>
        </is>
      </c>
      <c r="E1020" t="inlineStr">
        <is>
          <t>VÄSTERVIK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16485-2023</t>
        </is>
      </c>
      <c r="B1021" s="1" t="n">
        <v>45029</v>
      </c>
      <c r="C1021" s="1" t="n">
        <v>45351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16506-2023</t>
        </is>
      </c>
      <c r="B1022" s="1" t="n">
        <v>45029</v>
      </c>
      <c r="C1022" s="1" t="n">
        <v>45351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16507-2023</t>
        </is>
      </c>
      <c r="B1023" s="1" t="n">
        <v>45029</v>
      </c>
      <c r="C1023" s="1" t="n">
        <v>45351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16617-2023</t>
        </is>
      </c>
      <c r="B1024" s="1" t="n">
        <v>45030</v>
      </c>
      <c r="C1024" s="1" t="n">
        <v>45351</v>
      </c>
      <c r="D1024" t="inlineStr">
        <is>
          <t>KALMAR LÄN</t>
        </is>
      </c>
      <c r="E1024" t="inlineStr">
        <is>
          <t>VÄSTERVIK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16834-2023</t>
        </is>
      </c>
      <c r="B1025" s="1" t="n">
        <v>45033</v>
      </c>
      <c r="C1025" s="1" t="n">
        <v>45351</v>
      </c>
      <c r="D1025" t="inlineStr">
        <is>
          <t>KALMAR LÄN</t>
        </is>
      </c>
      <c r="E1025" t="inlineStr">
        <is>
          <t>VÄSTERVIK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16819-2023</t>
        </is>
      </c>
      <c r="B1026" s="1" t="n">
        <v>45033</v>
      </c>
      <c r="C1026" s="1" t="n">
        <v>45351</v>
      </c>
      <c r="D1026" t="inlineStr">
        <is>
          <t>KALMAR LÄN</t>
        </is>
      </c>
      <c r="E1026" t="inlineStr">
        <is>
          <t>VÄSTERVIK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17307-2023</t>
        </is>
      </c>
      <c r="B1027" s="1" t="n">
        <v>45035</v>
      </c>
      <c r="C1027" s="1" t="n">
        <v>45351</v>
      </c>
      <c r="D1027" t="inlineStr">
        <is>
          <t>KALMAR LÄN</t>
        </is>
      </c>
      <c r="E1027" t="inlineStr">
        <is>
          <t>VÄSTERVIK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17314-2023</t>
        </is>
      </c>
      <c r="B1028" s="1" t="n">
        <v>45035</v>
      </c>
      <c r="C1028" s="1" t="n">
        <v>45351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17315-2023</t>
        </is>
      </c>
      <c r="B1029" s="1" t="n">
        <v>45035</v>
      </c>
      <c r="C1029" s="1" t="n">
        <v>45351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17306-2023</t>
        </is>
      </c>
      <c r="B1030" s="1" t="n">
        <v>45035</v>
      </c>
      <c r="C1030" s="1" t="n">
        <v>45351</v>
      </c>
      <c r="D1030" t="inlineStr">
        <is>
          <t>KALMAR LÄN</t>
        </is>
      </c>
      <c r="E1030" t="inlineStr">
        <is>
          <t>VÄSTERVIK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17313-2023</t>
        </is>
      </c>
      <c r="B1031" s="1" t="n">
        <v>45035</v>
      </c>
      <c r="C1031" s="1" t="n">
        <v>45351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17317-2023</t>
        </is>
      </c>
      <c r="B1032" s="1" t="n">
        <v>45035</v>
      </c>
      <c r="C1032" s="1" t="n">
        <v>45351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17317-2023 karta knärot.png", "A 17317-2023")</f>
        <v/>
      </c>
      <c r="V1032">
        <f>HYPERLINK("https://klasma.github.io/Logging_0883/klagomål/A 17317-2023 FSC-klagomål.docx", "A 17317-2023")</f>
        <v/>
      </c>
      <c r="W1032">
        <f>HYPERLINK("https://klasma.github.io/Logging_0883/klagomålsmail/A 17317-2023 FSC-klagomål mail.docx", "A 17317-2023")</f>
        <v/>
      </c>
      <c r="X1032">
        <f>HYPERLINK("https://klasma.github.io/Logging_0883/tillsyn/A 17317-2023 tillsynsbegäran.docx", "A 17317-2023")</f>
        <v/>
      </c>
      <c r="Y1032">
        <f>HYPERLINK("https://klasma.github.io/Logging_0883/tillsynsmail/A 17317-2023 tillsynsbegäran mail.docx", "A 17317-2023")</f>
        <v/>
      </c>
    </row>
    <row r="1033" ht="15" customHeight="1">
      <c r="A1033" t="inlineStr">
        <is>
          <t>A 17467-2023</t>
        </is>
      </c>
      <c r="B1033" s="1" t="n">
        <v>45036</v>
      </c>
      <c r="C1033" s="1" t="n">
        <v>45351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17642-2023</t>
        </is>
      </c>
      <c r="B1034" s="1" t="n">
        <v>45036</v>
      </c>
      <c r="C1034" s="1" t="n">
        <v>45351</v>
      </c>
      <c r="D1034" t="inlineStr">
        <is>
          <t>KALMAR LÄN</t>
        </is>
      </c>
      <c r="E1034" t="inlineStr">
        <is>
          <t>VÄSTERVIK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17644-2023</t>
        </is>
      </c>
      <c r="B1035" s="1" t="n">
        <v>45036</v>
      </c>
      <c r="C1035" s="1" t="n">
        <v>45351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17650-2023</t>
        </is>
      </c>
      <c r="B1036" s="1" t="n">
        <v>45036</v>
      </c>
      <c r="C1036" s="1" t="n">
        <v>45351</v>
      </c>
      <c r="D1036" t="inlineStr">
        <is>
          <t>KALMAR LÄN</t>
        </is>
      </c>
      <c r="E1036" t="inlineStr">
        <is>
          <t>VÄSTERVIK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17645-2023</t>
        </is>
      </c>
      <c r="B1037" s="1" t="n">
        <v>45036</v>
      </c>
      <c r="C1037" s="1" t="n">
        <v>45351</v>
      </c>
      <c r="D1037" t="inlineStr">
        <is>
          <t>KALMAR LÄN</t>
        </is>
      </c>
      <c r="E1037" t="inlineStr">
        <is>
          <t>VÄSTERVIK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17652-2023</t>
        </is>
      </c>
      <c r="B1038" s="1" t="n">
        <v>45036</v>
      </c>
      <c r="C1038" s="1" t="n">
        <v>45351</v>
      </c>
      <c r="D1038" t="inlineStr">
        <is>
          <t>KALMAR LÄN</t>
        </is>
      </c>
      <c r="E1038" t="inlineStr">
        <is>
          <t>VÄSTERVIK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17643-2023</t>
        </is>
      </c>
      <c r="B1039" s="1" t="n">
        <v>45036</v>
      </c>
      <c r="C1039" s="1" t="n">
        <v>45351</v>
      </c>
      <c r="D1039" t="inlineStr">
        <is>
          <t>KALMAR LÄN</t>
        </is>
      </c>
      <c r="E1039" t="inlineStr">
        <is>
          <t>VÄSTERVIK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17648-2023</t>
        </is>
      </c>
      <c r="B1040" s="1" t="n">
        <v>45036</v>
      </c>
      <c r="C1040" s="1" t="n">
        <v>45351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18051-2023</t>
        </is>
      </c>
      <c r="B1041" s="1" t="n">
        <v>45040</v>
      </c>
      <c r="C1041" s="1" t="n">
        <v>45351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18071-2023</t>
        </is>
      </c>
      <c r="B1042" s="1" t="n">
        <v>45040</v>
      </c>
      <c r="C1042" s="1" t="n">
        <v>45351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18068-2023</t>
        </is>
      </c>
      <c r="B1043" s="1" t="n">
        <v>45040</v>
      </c>
      <c r="C1043" s="1" t="n">
        <v>45351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18079-2023</t>
        </is>
      </c>
      <c r="B1044" s="1" t="n">
        <v>45040</v>
      </c>
      <c r="C1044" s="1" t="n">
        <v>45351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18048-2023</t>
        </is>
      </c>
      <c r="B1045" s="1" t="n">
        <v>45040</v>
      </c>
      <c r="C1045" s="1" t="n">
        <v>45351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18081-2023</t>
        </is>
      </c>
      <c r="B1046" s="1" t="n">
        <v>45040</v>
      </c>
      <c r="C1046" s="1" t="n">
        <v>45351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18858-2023</t>
        </is>
      </c>
      <c r="B1047" s="1" t="n">
        <v>45044</v>
      </c>
      <c r="C1047" s="1" t="n">
        <v>45351</v>
      </c>
      <c r="D1047" t="inlineStr">
        <is>
          <t>KALMAR LÄN</t>
        </is>
      </c>
      <c r="E1047" t="inlineStr">
        <is>
          <t>VÄSTERVIK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18859-2023</t>
        </is>
      </c>
      <c r="B1048" s="1" t="n">
        <v>45044</v>
      </c>
      <c r="C1048" s="1" t="n">
        <v>45351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18960-2023</t>
        </is>
      </c>
      <c r="B1049" s="1" t="n">
        <v>45044</v>
      </c>
      <c r="C1049" s="1" t="n">
        <v>45351</v>
      </c>
      <c r="D1049" t="inlineStr">
        <is>
          <t>KALMAR LÄN</t>
        </is>
      </c>
      <c r="E1049" t="inlineStr">
        <is>
          <t>VÄSTERVIK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19110-2023</t>
        </is>
      </c>
      <c r="B1050" s="1" t="n">
        <v>45048</v>
      </c>
      <c r="C1050" s="1" t="n">
        <v>45351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19212-2023</t>
        </is>
      </c>
      <c r="B1051" s="1" t="n">
        <v>45048</v>
      </c>
      <c r="C1051" s="1" t="n">
        <v>45351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19365-2023</t>
        </is>
      </c>
      <c r="B1052" s="1" t="n">
        <v>45049</v>
      </c>
      <c r="C1052" s="1" t="n">
        <v>45351</v>
      </c>
      <c r="D1052" t="inlineStr">
        <is>
          <t>KALMAR LÄN</t>
        </is>
      </c>
      <c r="E1052" t="inlineStr">
        <is>
          <t>VÄSTERVIK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19365-2023 karta knärot.png", "A 19365-2023")</f>
        <v/>
      </c>
      <c r="V1052">
        <f>HYPERLINK("https://klasma.github.io/Logging_0883/klagomål/A 19365-2023 FSC-klagomål.docx", "A 19365-2023")</f>
        <v/>
      </c>
      <c r="W1052">
        <f>HYPERLINK("https://klasma.github.io/Logging_0883/klagomålsmail/A 19365-2023 FSC-klagomål mail.docx", "A 19365-2023")</f>
        <v/>
      </c>
      <c r="X1052">
        <f>HYPERLINK("https://klasma.github.io/Logging_0883/tillsyn/A 19365-2023 tillsynsbegäran.docx", "A 19365-2023")</f>
        <v/>
      </c>
      <c r="Y1052">
        <f>HYPERLINK("https://klasma.github.io/Logging_0883/tillsynsmail/A 19365-2023 tillsynsbegäran mail.docx", "A 19365-2023")</f>
        <v/>
      </c>
    </row>
    <row r="1053" ht="15" customHeight="1">
      <c r="A1053" t="inlineStr">
        <is>
          <t>A 19333-2023</t>
        </is>
      </c>
      <c r="B1053" s="1" t="n">
        <v>45049</v>
      </c>
      <c r="C1053" s="1" t="n">
        <v>45351</v>
      </c>
      <c r="D1053" t="inlineStr">
        <is>
          <t>KALMAR LÄN</t>
        </is>
      </c>
      <c r="E1053" t="inlineStr">
        <is>
          <t>VÄSTERVIK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19551-2023</t>
        </is>
      </c>
      <c r="B1054" s="1" t="n">
        <v>45049</v>
      </c>
      <c r="C1054" s="1" t="n">
        <v>45351</v>
      </c>
      <c r="D1054" t="inlineStr">
        <is>
          <t>KALMAR LÄN</t>
        </is>
      </c>
      <c r="E1054" t="inlineStr">
        <is>
          <t>VÄSTERVIK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19638-2023</t>
        </is>
      </c>
      <c r="B1055" s="1" t="n">
        <v>45051</v>
      </c>
      <c r="C1055" s="1" t="n">
        <v>45351</v>
      </c>
      <c r="D1055" t="inlineStr">
        <is>
          <t>KALMAR LÄN</t>
        </is>
      </c>
      <c r="E1055" t="inlineStr">
        <is>
          <t>VÄSTERVIK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19660-2023</t>
        </is>
      </c>
      <c r="B1056" s="1" t="n">
        <v>45051</v>
      </c>
      <c r="C1056" s="1" t="n">
        <v>45351</v>
      </c>
      <c r="D1056" t="inlineStr">
        <is>
          <t>KALMAR LÄN</t>
        </is>
      </c>
      <c r="E1056" t="inlineStr">
        <is>
          <t>VÄSTERVIK</t>
        </is>
      </c>
      <c r="F1056" t="inlineStr">
        <is>
          <t>Övriga Aktiebolag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19639-2023</t>
        </is>
      </c>
      <c r="B1057" s="1" t="n">
        <v>45051</v>
      </c>
      <c r="C1057" s="1" t="n">
        <v>45351</v>
      </c>
      <c r="D1057" t="inlineStr">
        <is>
          <t>KALMAR LÄN</t>
        </is>
      </c>
      <c r="E1057" t="inlineStr">
        <is>
          <t>VÄSTERVIK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19640-2023</t>
        </is>
      </c>
      <c r="B1058" s="1" t="n">
        <v>45051</v>
      </c>
      <c r="C1058" s="1" t="n">
        <v>45351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19864-2023</t>
        </is>
      </c>
      <c r="B1059" s="1" t="n">
        <v>45053</v>
      </c>
      <c r="C1059" s="1" t="n">
        <v>45351</v>
      </c>
      <c r="D1059" t="inlineStr">
        <is>
          <t>KALMAR LÄN</t>
        </is>
      </c>
      <c r="E1059" t="inlineStr">
        <is>
          <t>VÄSTERVIK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20637-2023</t>
        </is>
      </c>
      <c r="B1060" s="1" t="n">
        <v>45057</v>
      </c>
      <c r="C1060" s="1" t="n">
        <v>45351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20774-2023</t>
        </is>
      </c>
      <c r="B1061" s="1" t="n">
        <v>45058</v>
      </c>
      <c r="C1061" s="1" t="n">
        <v>45351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21122-2023</t>
        </is>
      </c>
      <c r="B1062" s="1" t="n">
        <v>45062</v>
      </c>
      <c r="C1062" s="1" t="n">
        <v>45351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21286-2023</t>
        </is>
      </c>
      <c r="B1063" s="1" t="n">
        <v>45062</v>
      </c>
      <c r="C1063" s="1" t="n">
        <v>45351</v>
      </c>
      <c r="D1063" t="inlineStr">
        <is>
          <t>KALMAR LÄN</t>
        </is>
      </c>
      <c r="E1063" t="inlineStr">
        <is>
          <t>VÄSTERVIK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21447-2023</t>
        </is>
      </c>
      <c r="B1064" s="1" t="n">
        <v>45063</v>
      </c>
      <c r="C1064" s="1" t="n">
        <v>45351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21826-2023</t>
        </is>
      </c>
      <c r="B1065" s="1" t="n">
        <v>45068</v>
      </c>
      <c r="C1065" s="1" t="n">
        <v>45351</v>
      </c>
      <c r="D1065" t="inlineStr">
        <is>
          <t>KALMAR LÄN</t>
        </is>
      </c>
      <c r="E1065" t="inlineStr">
        <is>
          <t>VÄSTERVIK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21831-2023</t>
        </is>
      </c>
      <c r="B1066" s="1" t="n">
        <v>45068</v>
      </c>
      <c r="C1066" s="1" t="n">
        <v>45351</v>
      </c>
      <c r="D1066" t="inlineStr">
        <is>
          <t>KALMAR LÄN</t>
        </is>
      </c>
      <c r="E1066" t="inlineStr">
        <is>
          <t>VÄSTERVIK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21939-2023</t>
        </is>
      </c>
      <c r="B1067" s="1" t="n">
        <v>45068</v>
      </c>
      <c r="C1067" s="1" t="n">
        <v>45351</v>
      </c>
      <c r="D1067" t="inlineStr">
        <is>
          <t>KALMAR LÄN</t>
        </is>
      </c>
      <c r="E1067" t="inlineStr">
        <is>
          <t>VÄSTERVIK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21823-2023</t>
        </is>
      </c>
      <c r="B1068" s="1" t="n">
        <v>45068</v>
      </c>
      <c r="C1068" s="1" t="n">
        <v>45351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21830-2023</t>
        </is>
      </c>
      <c r="B1069" s="1" t="n">
        <v>45068</v>
      </c>
      <c r="C1069" s="1" t="n">
        <v>45351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21824-2023</t>
        </is>
      </c>
      <c r="B1070" s="1" t="n">
        <v>45068</v>
      </c>
      <c r="C1070" s="1" t="n">
        <v>45351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21829-2023</t>
        </is>
      </c>
      <c r="B1071" s="1" t="n">
        <v>45068</v>
      </c>
      <c r="C1071" s="1" t="n">
        <v>45351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21942-2023</t>
        </is>
      </c>
      <c r="B1072" s="1" t="n">
        <v>45068</v>
      </c>
      <c r="C1072" s="1" t="n">
        <v>45351</v>
      </c>
      <c r="D1072" t="inlineStr">
        <is>
          <t>KALMAR LÄN</t>
        </is>
      </c>
      <c r="E1072" t="inlineStr">
        <is>
          <t>VÄSTERVIK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21940-2023</t>
        </is>
      </c>
      <c r="B1073" s="1" t="n">
        <v>45068</v>
      </c>
      <c r="C1073" s="1" t="n">
        <v>45351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23439-2023</t>
        </is>
      </c>
      <c r="B1074" s="1" t="n">
        <v>45072</v>
      </c>
      <c r="C1074" s="1" t="n">
        <v>45351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23080-2023</t>
        </is>
      </c>
      <c r="B1075" s="1" t="n">
        <v>45075</v>
      </c>
      <c r="C1075" s="1" t="n">
        <v>45351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23317-2023</t>
        </is>
      </c>
      <c r="B1076" s="1" t="n">
        <v>45076</v>
      </c>
      <c r="C1076" s="1" t="n">
        <v>45351</v>
      </c>
      <c r="D1076" t="inlineStr">
        <is>
          <t>KALMAR LÄN</t>
        </is>
      </c>
      <c r="E1076" t="inlineStr">
        <is>
          <t>VÄSTERVIK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23316-2023</t>
        </is>
      </c>
      <c r="B1077" s="1" t="n">
        <v>45076</v>
      </c>
      <c r="C1077" s="1" t="n">
        <v>45351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23580-2023</t>
        </is>
      </c>
      <c r="B1078" s="1" t="n">
        <v>45077</v>
      </c>
      <c r="C1078" s="1" t="n">
        <v>45351</v>
      </c>
      <c r="D1078" t="inlineStr">
        <is>
          <t>KALMAR LÄN</t>
        </is>
      </c>
      <c r="E1078" t="inlineStr">
        <is>
          <t>VÄSTERVIK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25403-2023</t>
        </is>
      </c>
      <c r="B1079" s="1" t="n">
        <v>45079</v>
      </c>
      <c r="C1079" s="1" t="n">
        <v>45351</v>
      </c>
      <c r="D1079" t="inlineStr">
        <is>
          <t>KALMAR LÄN</t>
        </is>
      </c>
      <c r="E1079" t="inlineStr">
        <is>
          <t>VÄSTERVIK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24877-2023</t>
        </is>
      </c>
      <c r="B1080" s="1" t="n">
        <v>45085</v>
      </c>
      <c r="C1080" s="1" t="n">
        <v>45351</v>
      </c>
      <c r="D1080" t="inlineStr">
        <is>
          <t>KALMAR LÄN</t>
        </is>
      </c>
      <c r="E1080" t="inlineStr">
        <is>
          <t>VÄSTERVIK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24881-2023</t>
        </is>
      </c>
      <c r="B1081" s="1" t="n">
        <v>45085</v>
      </c>
      <c r="C1081" s="1" t="n">
        <v>45351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24893-2023</t>
        </is>
      </c>
      <c r="B1082" s="1" t="n">
        <v>45085</v>
      </c>
      <c r="C1082" s="1" t="n">
        <v>45351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25180-2023</t>
        </is>
      </c>
      <c r="B1083" s="1" t="n">
        <v>45086</v>
      </c>
      <c r="C1083" s="1" t="n">
        <v>45351</v>
      </c>
      <c r="D1083" t="inlineStr">
        <is>
          <t>KALMAR LÄN</t>
        </is>
      </c>
      <c r="E1083" t="inlineStr">
        <is>
          <t>VÄSTERVIK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25434-2023</t>
        </is>
      </c>
      <c r="B1084" s="1" t="n">
        <v>45089</v>
      </c>
      <c r="C1084" s="1" t="n">
        <v>45351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25440-2023</t>
        </is>
      </c>
      <c r="B1085" s="1" t="n">
        <v>45089</v>
      </c>
      <c r="C1085" s="1" t="n">
        <v>45351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25568-2023</t>
        </is>
      </c>
      <c r="B1086" s="1" t="n">
        <v>45089</v>
      </c>
      <c r="C1086" s="1" t="n">
        <v>45351</v>
      </c>
      <c r="D1086" t="inlineStr">
        <is>
          <t>KALMAR LÄN</t>
        </is>
      </c>
      <c r="E1086" t="inlineStr">
        <is>
          <t>VÄSTERVIK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25488-2023</t>
        </is>
      </c>
      <c r="B1087" s="1" t="n">
        <v>45089</v>
      </c>
      <c r="C1087" s="1" t="n">
        <v>45351</v>
      </c>
      <c r="D1087" t="inlineStr">
        <is>
          <t>KALMAR LÄN</t>
        </is>
      </c>
      <c r="E1087" t="inlineStr">
        <is>
          <t>VÄSTERVIK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25518-2023</t>
        </is>
      </c>
      <c r="B1088" s="1" t="n">
        <v>45089</v>
      </c>
      <c r="C1088" s="1" t="n">
        <v>45351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25714-2023</t>
        </is>
      </c>
      <c r="B1089" s="1" t="n">
        <v>45089</v>
      </c>
      <c r="C1089" s="1" t="n">
        <v>45351</v>
      </c>
      <c r="D1089" t="inlineStr">
        <is>
          <t>KALMAR LÄN</t>
        </is>
      </c>
      <c r="E1089" t="inlineStr">
        <is>
          <t>VÄSTERVIK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25801-2023</t>
        </is>
      </c>
      <c r="B1090" s="1" t="n">
        <v>45090</v>
      </c>
      <c r="C1090" s="1" t="n">
        <v>45351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26244-2023</t>
        </is>
      </c>
      <c r="B1091" s="1" t="n">
        <v>45091</v>
      </c>
      <c r="C1091" s="1" t="n">
        <v>45351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26073-2023</t>
        </is>
      </c>
      <c r="B1092" s="1" t="n">
        <v>45091</v>
      </c>
      <c r="C1092" s="1" t="n">
        <v>45351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21.2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26773-2023</t>
        </is>
      </c>
      <c r="B1093" s="1" t="n">
        <v>45093</v>
      </c>
      <c r="C1093" s="1" t="n">
        <v>45351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26772-2023</t>
        </is>
      </c>
      <c r="B1094" s="1" t="n">
        <v>45093</v>
      </c>
      <c r="C1094" s="1" t="n">
        <v>45351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26776-2023</t>
        </is>
      </c>
      <c r="B1095" s="1" t="n">
        <v>45093</v>
      </c>
      <c r="C1095" s="1" t="n">
        <v>45351</v>
      </c>
      <c r="D1095" t="inlineStr">
        <is>
          <t>KALMAR LÄN</t>
        </is>
      </c>
      <c r="E1095" t="inlineStr">
        <is>
          <t>VÄSTERVIK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26770-2023</t>
        </is>
      </c>
      <c r="B1096" s="1" t="n">
        <v>45093</v>
      </c>
      <c r="C1096" s="1" t="n">
        <v>45351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26775-2023</t>
        </is>
      </c>
      <c r="B1097" s="1" t="n">
        <v>45093</v>
      </c>
      <c r="C1097" s="1" t="n">
        <v>45351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27485-2023</t>
        </is>
      </c>
      <c r="B1098" s="1" t="n">
        <v>45097</v>
      </c>
      <c r="C1098" s="1" t="n">
        <v>45351</v>
      </c>
      <c r="D1098" t="inlineStr">
        <is>
          <t>KALMAR LÄN</t>
        </is>
      </c>
      <c r="E1098" t="inlineStr">
        <is>
          <t>VÄSTERVIK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27491-2023</t>
        </is>
      </c>
      <c r="B1099" s="1" t="n">
        <v>45097</v>
      </c>
      <c r="C1099" s="1" t="n">
        <v>45351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27482-2023</t>
        </is>
      </c>
      <c r="B1100" s="1" t="n">
        <v>45097</v>
      </c>
      <c r="C1100" s="1" t="n">
        <v>45351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27662-2023</t>
        </is>
      </c>
      <c r="B1101" s="1" t="n">
        <v>45097</v>
      </c>
      <c r="C1101" s="1" t="n">
        <v>45351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28895-2023</t>
        </is>
      </c>
      <c r="B1102" s="1" t="n">
        <v>45104</v>
      </c>
      <c r="C1102" s="1" t="n">
        <v>45351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28894-2023</t>
        </is>
      </c>
      <c r="B1103" s="1" t="n">
        <v>45104</v>
      </c>
      <c r="C1103" s="1" t="n">
        <v>45351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28939-2023</t>
        </is>
      </c>
      <c r="B1104" s="1" t="n">
        <v>45104</v>
      </c>
      <c r="C1104" s="1" t="n">
        <v>45351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28952-2023</t>
        </is>
      </c>
      <c r="B1105" s="1" t="n">
        <v>45104</v>
      </c>
      <c r="C1105" s="1" t="n">
        <v>45351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29907-2023</t>
        </is>
      </c>
      <c r="B1106" s="1" t="n">
        <v>45107</v>
      </c>
      <c r="C1106" s="1" t="n">
        <v>45351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29905-2023</t>
        </is>
      </c>
      <c r="B1107" s="1" t="n">
        <v>45107</v>
      </c>
      <c r="C1107" s="1" t="n">
        <v>45351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29904-2023</t>
        </is>
      </c>
      <c r="B1108" s="1" t="n">
        <v>45107</v>
      </c>
      <c r="C1108" s="1" t="n">
        <v>45351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30029-2023</t>
        </is>
      </c>
      <c r="B1109" s="1" t="n">
        <v>45110</v>
      </c>
      <c r="C1109" s="1" t="n">
        <v>45351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30035-2023</t>
        </is>
      </c>
      <c r="B1110" s="1" t="n">
        <v>45110</v>
      </c>
      <c r="C1110" s="1" t="n">
        <v>45351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32418-2023</t>
        </is>
      </c>
      <c r="B1111" s="1" t="n">
        <v>45110</v>
      </c>
      <c r="C1111" s="1" t="n">
        <v>45351</v>
      </c>
      <c r="D1111" t="inlineStr">
        <is>
          <t>KALMAR LÄN</t>
        </is>
      </c>
      <c r="E1111" t="inlineStr">
        <is>
          <t>VÄSTERVIK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30431-2023</t>
        </is>
      </c>
      <c r="B1112" s="1" t="n">
        <v>45111</v>
      </c>
      <c r="C1112" s="1" t="n">
        <v>45351</v>
      </c>
      <c r="D1112" t="inlineStr">
        <is>
          <t>KALMAR LÄN</t>
        </is>
      </c>
      <c r="E1112" t="inlineStr">
        <is>
          <t>VÄSTERVIK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30692-2023</t>
        </is>
      </c>
      <c r="B1113" s="1" t="n">
        <v>45112</v>
      </c>
      <c r="C1113" s="1" t="n">
        <v>45351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31437-2023</t>
        </is>
      </c>
      <c r="B1114" s="1" t="n">
        <v>45114</v>
      </c>
      <c r="C1114" s="1" t="n">
        <v>45351</v>
      </c>
      <c r="D1114" t="inlineStr">
        <is>
          <t>KALMAR LÄN</t>
        </is>
      </c>
      <c r="E1114" t="inlineStr">
        <is>
          <t>VÄSTERVIK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33277-2023</t>
        </is>
      </c>
      <c r="B1115" s="1" t="n">
        <v>45114</v>
      </c>
      <c r="C1115" s="1" t="n">
        <v>45351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31686-2023</t>
        </is>
      </c>
      <c r="B1116" s="1" t="n">
        <v>45117</v>
      </c>
      <c r="C1116" s="1" t="n">
        <v>45351</v>
      </c>
      <c r="D1116" t="inlineStr">
        <is>
          <t>KALMAR LÄN</t>
        </is>
      </c>
      <c r="E1116" t="inlineStr">
        <is>
          <t>VÄSTERVIK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31691-2023</t>
        </is>
      </c>
      <c r="B1117" s="1" t="n">
        <v>45117</v>
      </c>
      <c r="C1117" s="1" t="n">
        <v>45351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32647-2023</t>
        </is>
      </c>
      <c r="B1118" s="1" t="n">
        <v>45121</v>
      </c>
      <c r="C1118" s="1" t="n">
        <v>45351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32813-2023</t>
        </is>
      </c>
      <c r="B1119" s="1" t="n">
        <v>45124</v>
      </c>
      <c r="C1119" s="1" t="n">
        <v>45351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32812-2023</t>
        </is>
      </c>
      <c r="B1120" s="1" t="n">
        <v>45124</v>
      </c>
      <c r="C1120" s="1" t="n">
        <v>45351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32811-2023</t>
        </is>
      </c>
      <c r="B1121" s="1" t="n">
        <v>45124</v>
      </c>
      <c r="C1121" s="1" t="n">
        <v>45351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33271-2023</t>
        </is>
      </c>
      <c r="B1122" s="1" t="n">
        <v>45127</v>
      </c>
      <c r="C1122" s="1" t="n">
        <v>45351</v>
      </c>
      <c r="D1122" t="inlineStr">
        <is>
          <t>KALMAR LÄN</t>
        </is>
      </c>
      <c r="E1122" t="inlineStr">
        <is>
          <t>VÄSTERVIK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33272-2023</t>
        </is>
      </c>
      <c r="B1123" s="1" t="n">
        <v>45127</v>
      </c>
      <c r="C1123" s="1" t="n">
        <v>45351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33489-2023</t>
        </is>
      </c>
      <c r="B1124" s="1" t="n">
        <v>45131</v>
      </c>
      <c r="C1124" s="1" t="n">
        <v>45351</v>
      </c>
      <c r="D1124" t="inlineStr">
        <is>
          <t>KALMAR LÄN</t>
        </is>
      </c>
      <c r="E1124" t="inlineStr">
        <is>
          <t>VÄSTERVIK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33648-2023</t>
        </is>
      </c>
      <c r="B1125" s="1" t="n">
        <v>45132</v>
      </c>
      <c r="C1125" s="1" t="n">
        <v>45351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33647-2023</t>
        </is>
      </c>
      <c r="B1126" s="1" t="n">
        <v>45132</v>
      </c>
      <c r="C1126" s="1" t="n">
        <v>45351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33722-2023</t>
        </is>
      </c>
      <c r="B1127" s="1" t="n">
        <v>45133</v>
      </c>
      <c r="C1127" s="1" t="n">
        <v>45351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33828-2023</t>
        </is>
      </c>
      <c r="B1128" s="1" t="n">
        <v>45133</v>
      </c>
      <c r="C1128" s="1" t="n">
        <v>45351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33814-2023</t>
        </is>
      </c>
      <c r="B1129" s="1" t="n">
        <v>45133</v>
      </c>
      <c r="C1129" s="1" t="n">
        <v>45351</v>
      </c>
      <c r="D1129" t="inlineStr">
        <is>
          <t>KALMAR LÄN</t>
        </is>
      </c>
      <c r="E1129" t="inlineStr">
        <is>
          <t>VÄSTERVIK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33990-2023</t>
        </is>
      </c>
      <c r="B1130" s="1" t="n">
        <v>45134</v>
      </c>
      <c r="C1130" s="1" t="n">
        <v>45351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34121-2023</t>
        </is>
      </c>
      <c r="B1131" s="1" t="n">
        <v>45135</v>
      </c>
      <c r="C1131" s="1" t="n">
        <v>45351</v>
      </c>
      <c r="D1131" t="inlineStr">
        <is>
          <t>KALMAR LÄN</t>
        </is>
      </c>
      <c r="E1131" t="inlineStr">
        <is>
          <t>VÄSTERVIK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HYPERLINK("https://klasma.github.io/Logging_0883/knärot/A 34121-2023 karta knärot.png", "A 34121-2023")</f>
        <v/>
      </c>
      <c r="V1131">
        <f>HYPERLINK("https://klasma.github.io/Logging_0883/klagomål/A 34121-2023 FSC-klagomål.docx", "A 34121-2023")</f>
        <v/>
      </c>
      <c r="W1131">
        <f>HYPERLINK("https://klasma.github.io/Logging_0883/klagomålsmail/A 34121-2023 FSC-klagomål mail.docx", "A 34121-2023")</f>
        <v/>
      </c>
      <c r="X1131">
        <f>HYPERLINK("https://klasma.github.io/Logging_0883/tillsyn/A 34121-2023 tillsynsbegäran.docx", "A 34121-2023")</f>
        <v/>
      </c>
      <c r="Y1131">
        <f>HYPERLINK("https://klasma.github.io/Logging_0883/tillsynsmail/A 34121-2023 tillsynsbegäran mail.docx", "A 34121-2023")</f>
        <v/>
      </c>
    </row>
    <row r="1132" ht="15" customHeight="1">
      <c r="A1132" t="inlineStr">
        <is>
          <t>A 34643-2023</t>
        </is>
      </c>
      <c r="B1132" s="1" t="n">
        <v>45140</v>
      </c>
      <c r="C1132" s="1" t="n">
        <v>45351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34648-2023</t>
        </is>
      </c>
      <c r="B1133" s="1" t="n">
        <v>45140</v>
      </c>
      <c r="C1133" s="1" t="n">
        <v>45351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34641-2023</t>
        </is>
      </c>
      <c r="B1134" s="1" t="n">
        <v>45140</v>
      </c>
      <c r="C1134" s="1" t="n">
        <v>45351</v>
      </c>
      <c r="D1134" t="inlineStr">
        <is>
          <t>KALMAR LÄN</t>
        </is>
      </c>
      <c r="E1134" t="inlineStr">
        <is>
          <t>VÄSTERVIK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34646-2023</t>
        </is>
      </c>
      <c r="B1135" s="1" t="n">
        <v>45140</v>
      </c>
      <c r="C1135" s="1" t="n">
        <v>45351</v>
      </c>
      <c r="D1135" t="inlineStr">
        <is>
          <t>KALMAR LÄN</t>
        </is>
      </c>
      <c r="E1135" t="inlineStr">
        <is>
          <t>VÄSTERVIK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34655-2023</t>
        </is>
      </c>
      <c r="B1136" s="1" t="n">
        <v>45140</v>
      </c>
      <c r="C1136" s="1" t="n">
        <v>45351</v>
      </c>
      <c r="D1136" t="inlineStr">
        <is>
          <t>KALMAR LÄN</t>
        </is>
      </c>
      <c r="E1136" t="inlineStr">
        <is>
          <t>VÄSTERVIK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34650-2023</t>
        </is>
      </c>
      <c r="B1137" s="1" t="n">
        <v>45140</v>
      </c>
      <c r="C1137" s="1" t="n">
        <v>45351</v>
      </c>
      <c r="D1137" t="inlineStr">
        <is>
          <t>KALMAR LÄN</t>
        </is>
      </c>
      <c r="E1137" t="inlineStr">
        <is>
          <t>VÄSTERVIK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34953-2023</t>
        </is>
      </c>
      <c r="B1138" s="1" t="n">
        <v>45142</v>
      </c>
      <c r="C1138" s="1" t="n">
        <v>45351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35171-2023</t>
        </is>
      </c>
      <c r="B1139" s="1" t="n">
        <v>45145</v>
      </c>
      <c r="C1139" s="1" t="n">
        <v>45351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35160-2023</t>
        </is>
      </c>
      <c r="B1140" s="1" t="n">
        <v>45145</v>
      </c>
      <c r="C1140" s="1" t="n">
        <v>45351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35180-2023</t>
        </is>
      </c>
      <c r="B1141" s="1" t="n">
        <v>45145</v>
      </c>
      <c r="C1141" s="1" t="n">
        <v>45351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35502-2023</t>
        </is>
      </c>
      <c r="B1142" s="1" t="n">
        <v>45146</v>
      </c>
      <c r="C1142" s="1" t="n">
        <v>45351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35484-2023</t>
        </is>
      </c>
      <c r="B1143" s="1" t="n">
        <v>45146</v>
      </c>
      <c r="C1143" s="1" t="n">
        <v>45351</v>
      </c>
      <c r="D1143" t="inlineStr">
        <is>
          <t>KALMAR LÄN</t>
        </is>
      </c>
      <c r="E1143" t="inlineStr">
        <is>
          <t>VÄSTERVIK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35485-2023</t>
        </is>
      </c>
      <c r="B1144" s="1" t="n">
        <v>45146</v>
      </c>
      <c r="C1144" s="1" t="n">
        <v>45351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35658-2023</t>
        </is>
      </c>
      <c r="B1145" s="1" t="n">
        <v>45147</v>
      </c>
      <c r="C1145" s="1" t="n">
        <v>45351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35662-2023</t>
        </is>
      </c>
      <c r="B1146" s="1" t="n">
        <v>45147</v>
      </c>
      <c r="C1146" s="1" t="n">
        <v>45351</v>
      </c>
      <c r="D1146" t="inlineStr">
        <is>
          <t>KALMAR LÄN</t>
        </is>
      </c>
      <c r="E1146" t="inlineStr">
        <is>
          <t>VÄSTERVIK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35666-2023</t>
        </is>
      </c>
      <c r="B1147" s="1" t="n">
        <v>45147</v>
      </c>
      <c r="C1147" s="1" t="n">
        <v>45351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35606-2023</t>
        </is>
      </c>
      <c r="B1148" s="1" t="n">
        <v>45147</v>
      </c>
      <c r="C1148" s="1" t="n">
        <v>45351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35770-2023</t>
        </is>
      </c>
      <c r="B1149" s="1" t="n">
        <v>45147</v>
      </c>
      <c r="C1149" s="1" t="n">
        <v>45351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35655-2023</t>
        </is>
      </c>
      <c r="B1150" s="1" t="n">
        <v>45147</v>
      </c>
      <c r="C1150" s="1" t="n">
        <v>45351</v>
      </c>
      <c r="D1150" t="inlineStr">
        <is>
          <t>KALMAR LÄN</t>
        </is>
      </c>
      <c r="E1150" t="inlineStr">
        <is>
          <t>VÄSTERVIK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35667-2023</t>
        </is>
      </c>
      <c r="B1151" s="1" t="n">
        <v>45147</v>
      </c>
      <c r="C1151" s="1" t="n">
        <v>45351</v>
      </c>
      <c r="D1151" t="inlineStr">
        <is>
          <t>KALMAR LÄN</t>
        </is>
      </c>
      <c r="E1151" t="inlineStr">
        <is>
          <t>VÄSTERVIK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35652-2023</t>
        </is>
      </c>
      <c r="B1152" s="1" t="n">
        <v>45147</v>
      </c>
      <c r="C1152" s="1" t="n">
        <v>45351</v>
      </c>
      <c r="D1152" t="inlineStr">
        <is>
          <t>KALMAR LÄN</t>
        </is>
      </c>
      <c r="E1152" t="inlineStr">
        <is>
          <t>VÄSTERVIK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35660-2023</t>
        </is>
      </c>
      <c r="B1153" s="1" t="n">
        <v>45147</v>
      </c>
      <c r="C1153" s="1" t="n">
        <v>45351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35619-2023</t>
        </is>
      </c>
      <c r="B1154" s="1" t="n">
        <v>45147</v>
      </c>
      <c r="C1154" s="1" t="n">
        <v>45351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35653-2023</t>
        </is>
      </c>
      <c r="B1155" s="1" t="n">
        <v>45147</v>
      </c>
      <c r="C1155" s="1" t="n">
        <v>45351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35665-2023</t>
        </is>
      </c>
      <c r="B1156" s="1" t="n">
        <v>45147</v>
      </c>
      <c r="C1156" s="1" t="n">
        <v>45351</v>
      </c>
      <c r="D1156" t="inlineStr">
        <is>
          <t>KALMAR LÄN</t>
        </is>
      </c>
      <c r="E1156" t="inlineStr">
        <is>
          <t>VÄSTERVIK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35960-2023</t>
        </is>
      </c>
      <c r="B1157" s="1" t="n">
        <v>45148</v>
      </c>
      <c r="C1157" s="1" t="n">
        <v>45351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35959-2023</t>
        </is>
      </c>
      <c r="B1158" s="1" t="n">
        <v>45148</v>
      </c>
      <c r="C1158" s="1" t="n">
        <v>45351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35962-2023</t>
        </is>
      </c>
      <c r="B1159" s="1" t="n">
        <v>45148</v>
      </c>
      <c r="C1159" s="1" t="n">
        <v>45351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35961-2023</t>
        </is>
      </c>
      <c r="B1160" s="1" t="n">
        <v>45148</v>
      </c>
      <c r="C1160" s="1" t="n">
        <v>45351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36418-2023</t>
        </is>
      </c>
      <c r="B1161" s="1" t="n">
        <v>45152</v>
      </c>
      <c r="C1161" s="1" t="n">
        <v>45351</v>
      </c>
      <c r="D1161" t="inlineStr">
        <is>
          <t>KALMAR LÄN</t>
        </is>
      </c>
      <c r="E1161" t="inlineStr">
        <is>
          <t>VÄSTERVIK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HYPERLINK("https://klasma.github.io/Logging_0883/knärot/A 36418-2023 karta knärot.png", "A 36418-2023")</f>
        <v/>
      </c>
      <c r="V1161">
        <f>HYPERLINK("https://klasma.github.io/Logging_0883/klagomål/A 36418-2023 FSC-klagomål.docx", "A 36418-2023")</f>
        <v/>
      </c>
      <c r="W1161">
        <f>HYPERLINK("https://klasma.github.io/Logging_0883/klagomålsmail/A 36418-2023 FSC-klagomål mail.docx", "A 36418-2023")</f>
        <v/>
      </c>
      <c r="X1161">
        <f>HYPERLINK("https://klasma.github.io/Logging_0883/tillsyn/A 36418-2023 tillsynsbegäran.docx", "A 36418-2023")</f>
        <v/>
      </c>
      <c r="Y1161">
        <f>HYPERLINK("https://klasma.github.io/Logging_0883/tillsynsmail/A 36418-2023 tillsynsbegäran mail.docx", "A 36418-2023")</f>
        <v/>
      </c>
    </row>
    <row r="1162" ht="15" customHeight="1">
      <c r="A1162" t="inlineStr">
        <is>
          <t>A 36572-2023</t>
        </is>
      </c>
      <c r="B1162" s="1" t="n">
        <v>45153</v>
      </c>
      <c r="C1162" s="1" t="n">
        <v>45351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36643-2023</t>
        </is>
      </c>
      <c r="B1163" s="1" t="n">
        <v>45153</v>
      </c>
      <c r="C1163" s="1" t="n">
        <v>45351</v>
      </c>
      <c r="D1163" t="inlineStr">
        <is>
          <t>KALMAR LÄN</t>
        </is>
      </c>
      <c r="E1163" t="inlineStr">
        <is>
          <t>VÄSTERVIK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37349-2023</t>
        </is>
      </c>
      <c r="B1164" s="1" t="n">
        <v>45156</v>
      </c>
      <c r="C1164" s="1" t="n">
        <v>45351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37352-2023</t>
        </is>
      </c>
      <c r="B1165" s="1" t="n">
        <v>45156</v>
      </c>
      <c r="C1165" s="1" t="n">
        <v>45351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37354-2023</t>
        </is>
      </c>
      <c r="B1166" s="1" t="n">
        <v>45156</v>
      </c>
      <c r="C1166" s="1" t="n">
        <v>45351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37351-2023</t>
        </is>
      </c>
      <c r="B1167" s="1" t="n">
        <v>45156</v>
      </c>
      <c r="C1167" s="1" t="n">
        <v>45351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37642-2023</t>
        </is>
      </c>
      <c r="B1168" s="1" t="n">
        <v>45159</v>
      </c>
      <c r="C1168" s="1" t="n">
        <v>45351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37643-2023</t>
        </is>
      </c>
      <c r="B1169" s="1" t="n">
        <v>45159</v>
      </c>
      <c r="C1169" s="1" t="n">
        <v>45351</v>
      </c>
      <c r="D1169" t="inlineStr">
        <is>
          <t>KALMAR LÄN</t>
        </is>
      </c>
      <c r="E1169" t="inlineStr">
        <is>
          <t>VÄSTERVIK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37644-2023</t>
        </is>
      </c>
      <c r="B1170" s="1" t="n">
        <v>45159</v>
      </c>
      <c r="C1170" s="1" t="n">
        <v>45351</v>
      </c>
      <c r="D1170" t="inlineStr">
        <is>
          <t>KALMAR LÄN</t>
        </is>
      </c>
      <c r="E1170" t="inlineStr">
        <is>
          <t>VÄSTERVIK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37661-2023</t>
        </is>
      </c>
      <c r="B1171" s="1" t="n">
        <v>45159</v>
      </c>
      <c r="C1171" s="1" t="n">
        <v>45351</v>
      </c>
      <c r="D1171" t="inlineStr">
        <is>
          <t>KALMAR LÄN</t>
        </is>
      </c>
      <c r="E1171" t="inlineStr">
        <is>
          <t>VÄSTERVIK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37716-2023</t>
        </is>
      </c>
      <c r="B1172" s="1" t="n">
        <v>45159</v>
      </c>
      <c r="C1172" s="1" t="n">
        <v>45351</v>
      </c>
      <c r="D1172" t="inlineStr">
        <is>
          <t>KALMAR LÄN</t>
        </is>
      </c>
      <c r="E1172" t="inlineStr">
        <is>
          <t>VÄSTERVIK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37858-2023</t>
        </is>
      </c>
      <c r="B1173" s="1" t="n">
        <v>45160</v>
      </c>
      <c r="C1173" s="1" t="n">
        <v>45351</v>
      </c>
      <c r="D1173" t="inlineStr">
        <is>
          <t>KALMAR LÄN</t>
        </is>
      </c>
      <c r="E1173" t="inlineStr">
        <is>
          <t>VÄSTERVIK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37956-2023</t>
        </is>
      </c>
      <c r="B1174" s="1" t="n">
        <v>45160</v>
      </c>
      <c r="C1174" s="1" t="n">
        <v>45351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38040-2023</t>
        </is>
      </c>
      <c r="B1175" s="1" t="n">
        <v>45160</v>
      </c>
      <c r="C1175" s="1" t="n">
        <v>45351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38045-2023</t>
        </is>
      </c>
      <c r="B1176" s="1" t="n">
        <v>45160</v>
      </c>
      <c r="C1176" s="1" t="n">
        <v>45351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37952-2023</t>
        </is>
      </c>
      <c r="B1177" s="1" t="n">
        <v>45160</v>
      </c>
      <c r="C1177" s="1" t="n">
        <v>45351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37986-2023</t>
        </is>
      </c>
      <c r="B1178" s="1" t="n">
        <v>45160</v>
      </c>
      <c r="C1178" s="1" t="n">
        <v>45351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37991-2023</t>
        </is>
      </c>
      <c r="B1179" s="1" t="n">
        <v>45160</v>
      </c>
      <c r="C1179" s="1" t="n">
        <v>45351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38047-2023</t>
        </is>
      </c>
      <c r="B1180" s="1" t="n">
        <v>45160</v>
      </c>
      <c r="C1180" s="1" t="n">
        <v>45351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37987-2023</t>
        </is>
      </c>
      <c r="B1181" s="1" t="n">
        <v>45160</v>
      </c>
      <c r="C1181" s="1" t="n">
        <v>45351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37997-2023</t>
        </is>
      </c>
      <c r="B1182" s="1" t="n">
        <v>45160</v>
      </c>
      <c r="C1182" s="1" t="n">
        <v>45351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37957-2023</t>
        </is>
      </c>
      <c r="B1183" s="1" t="n">
        <v>45160</v>
      </c>
      <c r="C1183" s="1" t="n">
        <v>45351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37963-2023</t>
        </is>
      </c>
      <c r="B1184" s="1" t="n">
        <v>45160</v>
      </c>
      <c r="C1184" s="1" t="n">
        <v>45351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37989-2023</t>
        </is>
      </c>
      <c r="B1185" s="1" t="n">
        <v>45160</v>
      </c>
      <c r="C1185" s="1" t="n">
        <v>45351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37995-2023</t>
        </is>
      </c>
      <c r="B1186" s="1" t="n">
        <v>45160</v>
      </c>
      <c r="C1186" s="1" t="n">
        <v>45351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38037-2023</t>
        </is>
      </c>
      <c r="B1187" s="1" t="n">
        <v>45160</v>
      </c>
      <c r="C1187" s="1" t="n">
        <v>45351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38041-2023</t>
        </is>
      </c>
      <c r="B1188" s="1" t="n">
        <v>45160</v>
      </c>
      <c r="C1188" s="1" t="n">
        <v>45351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38046-2023</t>
        </is>
      </c>
      <c r="B1189" s="1" t="n">
        <v>45160</v>
      </c>
      <c r="C1189" s="1" t="n">
        <v>45351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38048-2023</t>
        </is>
      </c>
      <c r="B1190" s="1" t="n">
        <v>45160</v>
      </c>
      <c r="C1190" s="1" t="n">
        <v>45351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38174-2023</t>
        </is>
      </c>
      <c r="B1191" s="1" t="n">
        <v>45161</v>
      </c>
      <c r="C1191" s="1" t="n">
        <v>45351</v>
      </c>
      <c r="D1191" t="inlineStr">
        <is>
          <t>KALMAR LÄN</t>
        </is>
      </c>
      <c r="E1191" t="inlineStr">
        <is>
          <t>VÄSTERVIK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39299-2023</t>
        </is>
      </c>
      <c r="B1192" s="1" t="n">
        <v>45166</v>
      </c>
      <c r="C1192" s="1" t="n">
        <v>45351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39630-2023</t>
        </is>
      </c>
      <c r="B1193" s="1" t="n">
        <v>45167</v>
      </c>
      <c r="C1193" s="1" t="n">
        <v>45351</v>
      </c>
      <c r="D1193" t="inlineStr">
        <is>
          <t>KALMAR LÄN</t>
        </is>
      </c>
      <c r="E1193" t="inlineStr">
        <is>
          <t>VÄSTERVIK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39892-2023</t>
        </is>
      </c>
      <c r="B1194" s="1" t="n">
        <v>45168</v>
      </c>
      <c r="C1194" s="1" t="n">
        <v>45351</v>
      </c>
      <c r="D1194" t="inlineStr">
        <is>
          <t>KALMAR LÄN</t>
        </is>
      </c>
      <c r="E1194" t="inlineStr">
        <is>
          <t>VÄSTERVIK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40677-2023</t>
        </is>
      </c>
      <c r="B1195" s="1" t="n">
        <v>45170</v>
      </c>
      <c r="C1195" s="1" t="n">
        <v>45351</v>
      </c>
      <c r="D1195" t="inlineStr">
        <is>
          <t>KALMAR LÄN</t>
        </is>
      </c>
      <c r="E1195" t="inlineStr">
        <is>
          <t>VÄSTERVIK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40451-2023</t>
        </is>
      </c>
      <c r="B1196" s="1" t="n">
        <v>45170</v>
      </c>
      <c r="C1196" s="1" t="n">
        <v>45351</v>
      </c>
      <c r="D1196" t="inlineStr">
        <is>
          <t>KALMAR LÄN</t>
        </is>
      </c>
      <c r="E1196" t="inlineStr">
        <is>
          <t>VÄSTERVIK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40674-2023</t>
        </is>
      </c>
      <c r="B1197" s="1" t="n">
        <v>45170</v>
      </c>
      <c r="C1197" s="1" t="n">
        <v>45351</v>
      </c>
      <c r="D1197" t="inlineStr">
        <is>
          <t>KALMAR LÄN</t>
        </is>
      </c>
      <c r="E1197" t="inlineStr">
        <is>
          <t>VÄSTERVIK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40973-2023</t>
        </is>
      </c>
      <c r="B1198" s="1" t="n">
        <v>45173</v>
      </c>
      <c r="C1198" s="1" t="n">
        <v>45351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40935-2023</t>
        </is>
      </c>
      <c r="B1199" s="1" t="n">
        <v>45173</v>
      </c>
      <c r="C1199" s="1" t="n">
        <v>45351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40977-2023</t>
        </is>
      </c>
      <c r="B1200" s="1" t="n">
        <v>45173</v>
      </c>
      <c r="C1200" s="1" t="n">
        <v>45351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41342-2023</t>
        </is>
      </c>
      <c r="B1201" s="1" t="n">
        <v>45174</v>
      </c>
      <c r="C1201" s="1" t="n">
        <v>45351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41994-2023</t>
        </is>
      </c>
      <c r="B1202" s="1" t="n">
        <v>45177</v>
      </c>
      <c r="C1202" s="1" t="n">
        <v>45351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42415-2023</t>
        </is>
      </c>
      <c r="B1203" s="1" t="n">
        <v>45180</v>
      </c>
      <c r="C1203" s="1" t="n">
        <v>45351</v>
      </c>
      <c r="D1203" t="inlineStr">
        <is>
          <t>KALMAR LÄN</t>
        </is>
      </c>
      <c r="E1203" t="inlineStr">
        <is>
          <t>VÄSTERVIK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42331-2023</t>
        </is>
      </c>
      <c r="B1204" s="1" t="n">
        <v>45180</v>
      </c>
      <c r="C1204" s="1" t="n">
        <v>45351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42348-2023</t>
        </is>
      </c>
      <c r="B1205" s="1" t="n">
        <v>45180</v>
      </c>
      <c r="C1205" s="1" t="n">
        <v>45351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43660-2023</t>
        </is>
      </c>
      <c r="B1206" s="1" t="n">
        <v>45187</v>
      </c>
      <c r="C1206" s="1" t="n">
        <v>45351</v>
      </c>
      <c r="D1206" t="inlineStr">
        <is>
          <t>KALMAR LÄN</t>
        </is>
      </c>
      <c r="E1206" t="inlineStr">
        <is>
          <t>VÄSTERVIK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43759-2023</t>
        </is>
      </c>
      <c r="B1207" s="1" t="n">
        <v>45187</v>
      </c>
      <c r="C1207" s="1" t="n">
        <v>45351</v>
      </c>
      <c r="D1207" t="inlineStr">
        <is>
          <t>KALMAR LÄN</t>
        </is>
      </c>
      <c r="E1207" t="inlineStr">
        <is>
          <t>VÄSTERVIK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43900-2023</t>
        </is>
      </c>
      <c r="B1208" s="1" t="n">
        <v>45187</v>
      </c>
      <c r="C1208" s="1" t="n">
        <v>45351</v>
      </c>
      <c r="D1208" t="inlineStr">
        <is>
          <t>KALMAR LÄN</t>
        </is>
      </c>
      <c r="E1208" t="inlineStr">
        <is>
          <t>VÄSTERVIK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44705-2023</t>
        </is>
      </c>
      <c r="B1209" s="1" t="n">
        <v>45190</v>
      </c>
      <c r="C1209" s="1" t="n">
        <v>45351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44714-2023</t>
        </is>
      </c>
      <c r="B1210" s="1" t="n">
        <v>45190</v>
      </c>
      <c r="C1210" s="1" t="n">
        <v>45351</v>
      </c>
      <c r="D1210" t="inlineStr">
        <is>
          <t>KALMAR LÄN</t>
        </is>
      </c>
      <c r="E1210" t="inlineStr">
        <is>
          <t>VÄSTERVIK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44749-2023</t>
        </is>
      </c>
      <c r="B1211" s="1" t="n">
        <v>45190</v>
      </c>
      <c r="C1211" s="1" t="n">
        <v>45351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44721-2023</t>
        </is>
      </c>
      <c r="B1212" s="1" t="n">
        <v>45190</v>
      </c>
      <c r="C1212" s="1" t="n">
        <v>45351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45192-2023</t>
        </is>
      </c>
      <c r="B1213" s="1" t="n">
        <v>45191</v>
      </c>
      <c r="C1213" s="1" t="n">
        <v>45351</v>
      </c>
      <c r="D1213" t="inlineStr">
        <is>
          <t>KALMAR LÄN</t>
        </is>
      </c>
      <c r="E1213" t="inlineStr">
        <is>
          <t>VÄSTERVIK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45202-2023</t>
        </is>
      </c>
      <c r="B1214" s="1" t="n">
        <v>45191</v>
      </c>
      <c r="C1214" s="1" t="n">
        <v>45351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45190-2023</t>
        </is>
      </c>
      <c r="B1215" s="1" t="n">
        <v>45191</v>
      </c>
      <c r="C1215" s="1" t="n">
        <v>45351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45396-2023</t>
        </is>
      </c>
      <c r="B1216" s="1" t="n">
        <v>45194</v>
      </c>
      <c r="C1216" s="1" t="n">
        <v>45351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45474-2023</t>
        </is>
      </c>
      <c r="B1217" s="1" t="n">
        <v>45194</v>
      </c>
      <c r="C1217" s="1" t="n">
        <v>45351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45450-2023</t>
        </is>
      </c>
      <c r="B1218" s="1" t="n">
        <v>45194</v>
      </c>
      <c r="C1218" s="1" t="n">
        <v>45351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45460-2023</t>
        </is>
      </c>
      <c r="B1219" s="1" t="n">
        <v>45194</v>
      </c>
      <c r="C1219" s="1" t="n">
        <v>45351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45921-2023</t>
        </is>
      </c>
      <c r="B1220" s="1" t="n">
        <v>45195</v>
      </c>
      <c r="C1220" s="1" t="n">
        <v>45351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46088-2023</t>
        </is>
      </c>
      <c r="B1221" s="1" t="n">
        <v>45196</v>
      </c>
      <c r="C1221" s="1" t="n">
        <v>45351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46124-2023</t>
        </is>
      </c>
      <c r="B1222" s="1" t="n">
        <v>45196</v>
      </c>
      <c r="C1222" s="1" t="n">
        <v>45351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46129-2023</t>
        </is>
      </c>
      <c r="B1223" s="1" t="n">
        <v>45196</v>
      </c>
      <c r="C1223" s="1" t="n">
        <v>45351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46067-2023</t>
        </is>
      </c>
      <c r="B1224" s="1" t="n">
        <v>45196</v>
      </c>
      <c r="C1224" s="1" t="n">
        <v>45351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46064-2023</t>
        </is>
      </c>
      <c r="B1225" s="1" t="n">
        <v>45196</v>
      </c>
      <c r="C1225" s="1" t="n">
        <v>45351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46069-2023</t>
        </is>
      </c>
      <c r="B1226" s="1" t="n">
        <v>45196</v>
      </c>
      <c r="C1226" s="1" t="n">
        <v>45351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46130-2023</t>
        </is>
      </c>
      <c r="B1227" s="1" t="n">
        <v>45196</v>
      </c>
      <c r="C1227" s="1" t="n">
        <v>45351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46066-2023</t>
        </is>
      </c>
      <c r="B1228" s="1" t="n">
        <v>45196</v>
      </c>
      <c r="C1228" s="1" t="n">
        <v>45351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46070-2023</t>
        </is>
      </c>
      <c r="B1229" s="1" t="n">
        <v>45196</v>
      </c>
      <c r="C1229" s="1" t="n">
        <v>45351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46121-2023</t>
        </is>
      </c>
      <c r="B1230" s="1" t="n">
        <v>45196</v>
      </c>
      <c r="C1230" s="1" t="n">
        <v>45351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46126-2023</t>
        </is>
      </c>
      <c r="B1231" s="1" t="n">
        <v>45196</v>
      </c>
      <c r="C1231" s="1" t="n">
        <v>45351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46131-2023</t>
        </is>
      </c>
      <c r="B1232" s="1" t="n">
        <v>45196</v>
      </c>
      <c r="C1232" s="1" t="n">
        <v>45351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46598-2023</t>
        </is>
      </c>
      <c r="B1233" s="1" t="n">
        <v>45198</v>
      </c>
      <c r="C1233" s="1" t="n">
        <v>45351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46717-2023</t>
        </is>
      </c>
      <c r="B1234" s="1" t="n">
        <v>45198</v>
      </c>
      <c r="C1234" s="1" t="n">
        <v>45351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46718-2023</t>
        </is>
      </c>
      <c r="B1235" s="1" t="n">
        <v>45198</v>
      </c>
      <c r="C1235" s="1" t="n">
        <v>45351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47123-2023</t>
        </is>
      </c>
      <c r="B1236" s="1" t="n">
        <v>45201</v>
      </c>
      <c r="C1236" s="1" t="n">
        <v>45351</v>
      </c>
      <c r="D1236" t="inlineStr">
        <is>
          <t>KALMAR LÄN</t>
        </is>
      </c>
      <c r="E1236" t="inlineStr">
        <is>
          <t>VÄSTERVIK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46920-2023</t>
        </is>
      </c>
      <c r="B1237" s="1" t="n">
        <v>45201</v>
      </c>
      <c r="C1237" s="1" t="n">
        <v>45351</v>
      </c>
      <c r="D1237" t="inlineStr">
        <is>
          <t>KALMAR LÄN</t>
        </is>
      </c>
      <c r="E1237" t="inlineStr">
        <is>
          <t>VÄSTERVIK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47111-2023</t>
        </is>
      </c>
      <c r="B1238" s="1" t="n">
        <v>45201</v>
      </c>
      <c r="C1238" s="1" t="n">
        <v>45351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47120-2023</t>
        </is>
      </c>
      <c r="B1239" s="1" t="n">
        <v>45201</v>
      </c>
      <c r="C1239" s="1" t="n">
        <v>45351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47124-2023</t>
        </is>
      </c>
      <c r="B1240" s="1" t="n">
        <v>45201</v>
      </c>
      <c r="C1240" s="1" t="n">
        <v>45351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46970-2023</t>
        </is>
      </c>
      <c r="B1241" s="1" t="n">
        <v>45201</v>
      </c>
      <c r="C1241" s="1" t="n">
        <v>45351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46968-2023</t>
        </is>
      </c>
      <c r="B1242" s="1" t="n">
        <v>45201</v>
      </c>
      <c r="C1242" s="1" t="n">
        <v>45351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47414-2023</t>
        </is>
      </c>
      <c r="B1243" s="1" t="n">
        <v>45202</v>
      </c>
      <c r="C1243" s="1" t="n">
        <v>45351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47267-2023</t>
        </is>
      </c>
      <c r="B1244" s="1" t="n">
        <v>45202</v>
      </c>
      <c r="C1244" s="1" t="n">
        <v>45351</v>
      </c>
      <c r="D1244" t="inlineStr">
        <is>
          <t>KALMAR LÄN</t>
        </is>
      </c>
      <c r="E1244" t="inlineStr">
        <is>
          <t>VÄSTERVIK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47363-2023</t>
        </is>
      </c>
      <c r="B1245" s="1" t="n">
        <v>45202</v>
      </c>
      <c r="C1245" s="1" t="n">
        <v>45351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47964-2023</t>
        </is>
      </c>
      <c r="B1246" s="1" t="n">
        <v>45204</v>
      </c>
      <c r="C1246" s="1" t="n">
        <v>45351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47945-2023</t>
        </is>
      </c>
      <c r="B1247" s="1" t="n">
        <v>45204</v>
      </c>
      <c r="C1247" s="1" t="n">
        <v>45351</v>
      </c>
      <c r="D1247" t="inlineStr">
        <is>
          <t>KALMAR LÄN</t>
        </is>
      </c>
      <c r="E1247" t="inlineStr">
        <is>
          <t>VÄSTERVIK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47939-2023</t>
        </is>
      </c>
      <c r="B1248" s="1" t="n">
        <v>45204</v>
      </c>
      <c r="C1248" s="1" t="n">
        <v>45351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48039-2023</t>
        </is>
      </c>
      <c r="B1249" s="1" t="n">
        <v>45204</v>
      </c>
      <c r="C1249" s="1" t="n">
        <v>45351</v>
      </c>
      <c r="D1249" t="inlineStr">
        <is>
          <t>KALMAR LÄN</t>
        </is>
      </c>
      <c r="E1249" t="inlineStr">
        <is>
          <t>VÄSTERVIK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48043-2023</t>
        </is>
      </c>
      <c r="B1250" s="1" t="n">
        <v>45204</v>
      </c>
      <c r="C1250" s="1" t="n">
        <v>45351</v>
      </c>
      <c r="D1250" t="inlineStr">
        <is>
          <t>KALMAR LÄN</t>
        </is>
      </c>
      <c r="E1250" t="inlineStr">
        <is>
          <t>VÄSTERVIK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48041-2023</t>
        </is>
      </c>
      <c r="B1251" s="1" t="n">
        <v>45204</v>
      </c>
      <c r="C1251" s="1" t="n">
        <v>45351</v>
      </c>
      <c r="D1251" t="inlineStr">
        <is>
          <t>KALMAR LÄN</t>
        </is>
      </c>
      <c r="E1251" t="inlineStr">
        <is>
          <t>VÄSTERVIK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47967-2023</t>
        </is>
      </c>
      <c r="B1252" s="1" t="n">
        <v>45204</v>
      </c>
      <c r="C1252" s="1" t="n">
        <v>45351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48511-2023</t>
        </is>
      </c>
      <c r="B1253" s="1" t="n">
        <v>45208</v>
      </c>
      <c r="C1253" s="1" t="n">
        <v>45351</v>
      </c>
      <c r="D1253" t="inlineStr">
        <is>
          <t>KALMAR LÄN</t>
        </is>
      </c>
      <c r="E1253" t="inlineStr">
        <is>
          <t>VÄSTERVIK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49177-2023</t>
        </is>
      </c>
      <c r="B1254" s="1" t="n">
        <v>45210</v>
      </c>
      <c r="C1254" s="1" t="n">
        <v>45351</v>
      </c>
      <c r="D1254" t="inlineStr">
        <is>
          <t>KALMAR LÄN</t>
        </is>
      </c>
      <c r="E1254" t="inlineStr">
        <is>
          <t>VÄSTERVIK</t>
        </is>
      </c>
      <c r="G1254" t="n">
        <v>16.7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49351-2023</t>
        </is>
      </c>
      <c r="B1255" s="1" t="n">
        <v>45211</v>
      </c>
      <c r="C1255" s="1" t="n">
        <v>45351</v>
      </c>
      <c r="D1255" t="inlineStr">
        <is>
          <t>KALMAR LÄN</t>
        </is>
      </c>
      <c r="E1255" t="inlineStr">
        <is>
          <t>VÄSTERVIK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49355-2023</t>
        </is>
      </c>
      <c r="B1256" s="1" t="n">
        <v>45211</v>
      </c>
      <c r="C1256" s="1" t="n">
        <v>45351</v>
      </c>
      <c r="D1256" t="inlineStr">
        <is>
          <t>KALMAR LÄN</t>
        </is>
      </c>
      <c r="E1256" t="inlineStr">
        <is>
          <t>VÄSTERVIK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49369-2023</t>
        </is>
      </c>
      <c r="B1257" s="1" t="n">
        <v>45211</v>
      </c>
      <c r="C1257" s="1" t="n">
        <v>45351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49452-2023</t>
        </is>
      </c>
      <c r="B1258" s="1" t="n">
        <v>45211</v>
      </c>
      <c r="C1258" s="1" t="n">
        <v>45351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49479-2023</t>
        </is>
      </c>
      <c r="B1259" s="1" t="n">
        <v>45211</v>
      </c>
      <c r="C1259" s="1" t="n">
        <v>45351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49507-2023</t>
        </is>
      </c>
      <c r="B1260" s="1" t="n">
        <v>45211</v>
      </c>
      <c r="C1260" s="1" t="n">
        <v>45351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49516-2023</t>
        </is>
      </c>
      <c r="B1261" s="1" t="n">
        <v>45211</v>
      </c>
      <c r="C1261" s="1" t="n">
        <v>45351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49442-2023</t>
        </is>
      </c>
      <c r="B1262" s="1" t="n">
        <v>45211</v>
      </c>
      <c r="C1262" s="1" t="n">
        <v>45351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49468-2023</t>
        </is>
      </c>
      <c r="B1263" s="1" t="n">
        <v>45211</v>
      </c>
      <c r="C1263" s="1" t="n">
        <v>45351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49580-2023</t>
        </is>
      </c>
      <c r="B1264" s="1" t="n">
        <v>45211</v>
      </c>
      <c r="C1264" s="1" t="n">
        <v>45351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50042-2023</t>
        </is>
      </c>
      <c r="B1265" s="1" t="n">
        <v>45215</v>
      </c>
      <c r="C1265" s="1" t="n">
        <v>45351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50127-2023</t>
        </is>
      </c>
      <c r="B1266" s="1" t="n">
        <v>45215</v>
      </c>
      <c r="C1266" s="1" t="n">
        <v>45351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50001-2023</t>
        </is>
      </c>
      <c r="B1267" s="1" t="n">
        <v>45215</v>
      </c>
      <c r="C1267" s="1" t="n">
        <v>45351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50045-2023</t>
        </is>
      </c>
      <c r="B1268" s="1" t="n">
        <v>45215</v>
      </c>
      <c r="C1268" s="1" t="n">
        <v>45351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50086-2023</t>
        </is>
      </c>
      <c r="B1269" s="1" t="n">
        <v>45215</v>
      </c>
      <c r="C1269" s="1" t="n">
        <v>45351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52043-2023</t>
        </is>
      </c>
      <c r="B1270" s="1" t="n">
        <v>45216</v>
      </c>
      <c r="C1270" s="1" t="n">
        <v>45351</v>
      </c>
      <c r="D1270" t="inlineStr">
        <is>
          <t>KALMAR LÄN</t>
        </is>
      </c>
      <c r="E1270" t="inlineStr">
        <is>
          <t>VÄSTERVIK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52049-2023</t>
        </is>
      </c>
      <c r="B1271" s="1" t="n">
        <v>45216</v>
      </c>
      <c r="C1271" s="1" t="n">
        <v>45351</v>
      </c>
      <c r="D1271" t="inlineStr">
        <is>
          <t>KALMAR LÄN</t>
        </is>
      </c>
      <c r="E1271" t="inlineStr">
        <is>
          <t>VÄSTERVIK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52035-2023</t>
        </is>
      </c>
      <c r="B1272" s="1" t="n">
        <v>45216</v>
      </c>
      <c r="C1272" s="1" t="n">
        <v>45351</v>
      </c>
      <c r="D1272" t="inlineStr">
        <is>
          <t>KALMAR LÄN</t>
        </is>
      </c>
      <c r="E1272" t="inlineStr">
        <is>
          <t>VÄSTERVIK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51524-2023</t>
        </is>
      </c>
      <c r="B1273" s="1" t="n">
        <v>45222</v>
      </c>
      <c r="C1273" s="1" t="n">
        <v>45351</v>
      </c>
      <c r="D1273" t="inlineStr">
        <is>
          <t>KALMAR LÄN</t>
        </is>
      </c>
      <c r="E1273" t="inlineStr">
        <is>
          <t>VÄSTERVIK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51640-2023</t>
        </is>
      </c>
      <c r="B1274" s="1" t="n">
        <v>45222</v>
      </c>
      <c r="C1274" s="1" t="n">
        <v>45351</v>
      </c>
      <c r="D1274" t="inlineStr">
        <is>
          <t>KALMAR LÄN</t>
        </is>
      </c>
      <c r="E1274" t="inlineStr">
        <is>
          <t>VÄSTERVIK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51645-2023</t>
        </is>
      </c>
      <c r="B1275" s="1" t="n">
        <v>45222</v>
      </c>
      <c r="C1275" s="1" t="n">
        <v>45351</v>
      </c>
      <c r="D1275" t="inlineStr">
        <is>
          <t>KALMAR LÄN</t>
        </is>
      </c>
      <c r="E1275" t="inlineStr">
        <is>
          <t>VÄSTERVIK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51581-2023</t>
        </is>
      </c>
      <c r="B1276" s="1" t="n">
        <v>45222</v>
      </c>
      <c r="C1276" s="1" t="n">
        <v>45351</v>
      </c>
      <c r="D1276" t="inlineStr">
        <is>
          <t>KALMAR LÄN</t>
        </is>
      </c>
      <c r="E1276" t="inlineStr">
        <is>
          <t>VÄSTERVIK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52189-2023</t>
        </is>
      </c>
      <c r="B1277" s="1" t="n">
        <v>45224</v>
      </c>
      <c r="C1277" s="1" t="n">
        <v>45351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52325-2023</t>
        </is>
      </c>
      <c r="B1278" s="1" t="n">
        <v>45224</v>
      </c>
      <c r="C1278" s="1" t="n">
        <v>45351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52468-2023</t>
        </is>
      </c>
      <c r="B1279" s="1" t="n">
        <v>45225</v>
      </c>
      <c r="C1279" s="1" t="n">
        <v>45351</v>
      </c>
      <c r="D1279" t="inlineStr">
        <is>
          <t>KALMAR LÄN</t>
        </is>
      </c>
      <c r="E1279" t="inlineStr">
        <is>
          <t>VÄSTERVIK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52845-2023</t>
        </is>
      </c>
      <c r="B1280" s="1" t="n">
        <v>45226</v>
      </c>
      <c r="C1280" s="1" t="n">
        <v>45351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52844-2023</t>
        </is>
      </c>
      <c r="B1281" s="1" t="n">
        <v>45226</v>
      </c>
      <c r="C1281" s="1" t="n">
        <v>45351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54124-2023</t>
        </is>
      </c>
      <c r="B1282" s="1" t="n">
        <v>45232</v>
      </c>
      <c r="C1282" s="1" t="n">
        <v>45351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54135-2023</t>
        </is>
      </c>
      <c r="B1283" s="1" t="n">
        <v>45232</v>
      </c>
      <c r="C1283" s="1" t="n">
        <v>45351</v>
      </c>
      <c r="D1283" t="inlineStr">
        <is>
          <t>KALMAR LÄN</t>
        </is>
      </c>
      <c r="E1283" t="inlineStr">
        <is>
          <t>VÄSTERVIK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54232-2023</t>
        </is>
      </c>
      <c r="B1284" s="1" t="n">
        <v>45232</v>
      </c>
      <c r="C1284" s="1" t="n">
        <v>45351</v>
      </c>
      <c r="D1284" t="inlineStr">
        <is>
          <t>KALMAR LÄN</t>
        </is>
      </c>
      <c r="E1284" t="inlineStr">
        <is>
          <t>VÄSTERVIK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54569-2023</t>
        </is>
      </c>
      <c r="B1285" s="1" t="n">
        <v>45233</v>
      </c>
      <c r="C1285" s="1" t="n">
        <v>45351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54358-2023</t>
        </is>
      </c>
      <c r="B1286" s="1" t="n">
        <v>45233</v>
      </c>
      <c r="C1286" s="1" t="n">
        <v>45351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54778-2023</t>
        </is>
      </c>
      <c r="B1287" s="1" t="n">
        <v>45236</v>
      </c>
      <c r="C1287" s="1" t="n">
        <v>45351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54951-2023</t>
        </is>
      </c>
      <c r="B1288" s="1" t="n">
        <v>45236</v>
      </c>
      <c r="C1288" s="1" t="n">
        <v>45351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55007-2023</t>
        </is>
      </c>
      <c r="B1289" s="1" t="n">
        <v>45237</v>
      </c>
      <c r="C1289" s="1" t="n">
        <v>45351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54950-2023</t>
        </is>
      </c>
      <c r="B1290" s="1" t="n">
        <v>45236</v>
      </c>
      <c r="C1290" s="1" t="n">
        <v>45351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54784-2023</t>
        </is>
      </c>
      <c r="B1291" s="1" t="n">
        <v>45236</v>
      </c>
      <c r="C1291" s="1" t="n">
        <v>45351</v>
      </c>
      <c r="D1291" t="inlineStr">
        <is>
          <t>KALMAR LÄN</t>
        </is>
      </c>
      <c r="E1291" t="inlineStr">
        <is>
          <t>VÄSTERVIK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54953-2023</t>
        </is>
      </c>
      <c r="B1292" s="1" t="n">
        <v>45236</v>
      </c>
      <c r="C1292" s="1" t="n">
        <v>45351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55287-2023</t>
        </is>
      </c>
      <c r="B1293" s="1" t="n">
        <v>45237</v>
      </c>
      <c r="C1293" s="1" t="n">
        <v>45351</v>
      </c>
      <c r="D1293" t="inlineStr">
        <is>
          <t>KALMAR LÄN</t>
        </is>
      </c>
      <c r="E1293" t="inlineStr">
        <is>
          <t>VÄSTERVIK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55289-2023</t>
        </is>
      </c>
      <c r="B1294" s="1" t="n">
        <v>45237</v>
      </c>
      <c r="C1294" s="1" t="n">
        <v>45351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55403-2023</t>
        </is>
      </c>
      <c r="B1295" s="1" t="n">
        <v>45238</v>
      </c>
      <c r="C1295" s="1" t="n">
        <v>45351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55578-2023</t>
        </is>
      </c>
      <c r="B1296" s="1" t="n">
        <v>45238</v>
      </c>
      <c r="C1296" s="1" t="n">
        <v>45351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56719-2023</t>
        </is>
      </c>
      <c r="B1297" s="1" t="n">
        <v>45238</v>
      </c>
      <c r="C1297" s="1" t="n">
        <v>45351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55866-2023</t>
        </is>
      </c>
      <c r="B1298" s="1" t="n">
        <v>45239</v>
      </c>
      <c r="C1298" s="1" t="n">
        <v>45351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55958-2023</t>
        </is>
      </c>
      <c r="B1299" s="1" t="n">
        <v>45240</v>
      </c>
      <c r="C1299" s="1" t="n">
        <v>45351</v>
      </c>
      <c r="D1299" t="inlineStr">
        <is>
          <t>KALMAR LÄN</t>
        </is>
      </c>
      <c r="E1299" t="inlineStr">
        <is>
          <t>VÄSTERVIK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56188-2023</t>
        </is>
      </c>
      <c r="B1300" s="1" t="n">
        <v>45240</v>
      </c>
      <c r="C1300" s="1" t="n">
        <v>45351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56033-2023</t>
        </is>
      </c>
      <c r="B1301" s="1" t="n">
        <v>45240</v>
      </c>
      <c r="C1301" s="1" t="n">
        <v>45351</v>
      </c>
      <c r="D1301" t="inlineStr">
        <is>
          <t>KALMAR LÄN</t>
        </is>
      </c>
      <c r="E1301" t="inlineStr">
        <is>
          <t>VÄSTERVIK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56187-2023</t>
        </is>
      </c>
      <c r="B1302" s="1" t="n">
        <v>45240</v>
      </c>
      <c r="C1302" s="1" t="n">
        <v>45351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HYPERLINK("https://klasma.github.io/Logging_0883/knärot/A 56187-2023 karta knärot.png", "A 56187-2023")</f>
        <v/>
      </c>
      <c r="V1302">
        <f>HYPERLINK("https://klasma.github.io/Logging_0883/klagomål/A 56187-2023 FSC-klagomål.docx", "A 56187-2023")</f>
        <v/>
      </c>
      <c r="W1302">
        <f>HYPERLINK("https://klasma.github.io/Logging_0883/klagomålsmail/A 56187-2023 FSC-klagomål mail.docx", "A 56187-2023")</f>
        <v/>
      </c>
      <c r="X1302">
        <f>HYPERLINK("https://klasma.github.io/Logging_0883/tillsyn/A 56187-2023 tillsynsbegäran.docx", "A 56187-2023")</f>
        <v/>
      </c>
      <c r="Y1302">
        <f>HYPERLINK("https://klasma.github.io/Logging_0883/tillsynsmail/A 56187-2023 tillsynsbegäran mail.docx", "A 56187-2023")</f>
        <v/>
      </c>
    </row>
    <row r="1303" ht="15" customHeight="1">
      <c r="A1303" t="inlineStr">
        <is>
          <t>A 56042-2023</t>
        </is>
      </c>
      <c r="B1303" s="1" t="n">
        <v>45240</v>
      </c>
      <c r="C1303" s="1" t="n">
        <v>45351</v>
      </c>
      <c r="D1303" t="inlineStr">
        <is>
          <t>KALMAR LÄN</t>
        </is>
      </c>
      <c r="E1303" t="inlineStr">
        <is>
          <t>VÄSTERVIK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56046-2023</t>
        </is>
      </c>
      <c r="B1304" s="1" t="n">
        <v>45240</v>
      </c>
      <c r="C1304" s="1" t="n">
        <v>45351</v>
      </c>
      <c r="D1304" t="inlineStr">
        <is>
          <t>KALMAR LÄN</t>
        </is>
      </c>
      <c r="E1304" t="inlineStr">
        <is>
          <t>VÄSTERVIK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57019-2023</t>
        </is>
      </c>
      <c r="B1305" s="1" t="n">
        <v>45244</v>
      </c>
      <c r="C1305" s="1" t="n">
        <v>45351</v>
      </c>
      <c r="D1305" t="inlineStr">
        <is>
          <t>KALMAR LÄN</t>
        </is>
      </c>
      <c r="E1305" t="inlineStr">
        <is>
          <t>VÄSTERVIK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57025-2023</t>
        </is>
      </c>
      <c r="B1306" s="1" t="n">
        <v>45244</v>
      </c>
      <c r="C1306" s="1" t="n">
        <v>45351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57367-2023</t>
        </is>
      </c>
      <c r="B1307" s="1" t="n">
        <v>45245</v>
      </c>
      <c r="C1307" s="1" t="n">
        <v>45351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57162-2023</t>
        </is>
      </c>
      <c r="B1308" s="1" t="n">
        <v>45245</v>
      </c>
      <c r="C1308" s="1" t="n">
        <v>45351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57369-2023</t>
        </is>
      </c>
      <c r="B1309" s="1" t="n">
        <v>45245</v>
      </c>
      <c r="C1309" s="1" t="n">
        <v>45351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57368-2023</t>
        </is>
      </c>
      <c r="B1310" s="1" t="n">
        <v>45245</v>
      </c>
      <c r="C1310" s="1" t="n">
        <v>45351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57366-2023</t>
        </is>
      </c>
      <c r="B1311" s="1" t="n">
        <v>45245</v>
      </c>
      <c r="C1311" s="1" t="n">
        <v>45351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57757-2023</t>
        </is>
      </c>
      <c r="B1312" s="1" t="n">
        <v>45246</v>
      </c>
      <c r="C1312" s="1" t="n">
        <v>45351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58454-2023</t>
        </is>
      </c>
      <c r="B1313" s="1" t="n">
        <v>45250</v>
      </c>
      <c r="C1313" s="1" t="n">
        <v>45351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58703-2023</t>
        </is>
      </c>
      <c r="B1314" s="1" t="n">
        <v>45251</v>
      </c>
      <c r="C1314" s="1" t="n">
        <v>45351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59331-2023</t>
        </is>
      </c>
      <c r="B1315" s="1" t="n">
        <v>45253</v>
      </c>
      <c r="C1315" s="1" t="n">
        <v>45351</v>
      </c>
      <c r="D1315" t="inlineStr">
        <is>
          <t>KALMAR LÄN</t>
        </is>
      </c>
      <c r="E1315" t="inlineStr">
        <is>
          <t>VÄSTERVIK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59539-2023</t>
        </is>
      </c>
      <c r="B1316" s="1" t="n">
        <v>45254</v>
      </c>
      <c r="C1316" s="1" t="n">
        <v>45351</v>
      </c>
      <c r="D1316" t="inlineStr">
        <is>
          <t>KALMAR LÄN</t>
        </is>
      </c>
      <c r="E1316" t="inlineStr">
        <is>
          <t>VÄSTERVIK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59696-2023</t>
        </is>
      </c>
      <c r="B1317" s="1" t="n">
        <v>45256</v>
      </c>
      <c r="C1317" s="1" t="n">
        <v>45351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59695-2023</t>
        </is>
      </c>
      <c r="B1318" s="1" t="n">
        <v>45256</v>
      </c>
      <c r="C1318" s="1" t="n">
        <v>45351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59732-2023</t>
        </is>
      </c>
      <c r="B1319" s="1" t="n">
        <v>45257</v>
      </c>
      <c r="C1319" s="1" t="n">
        <v>45351</v>
      </c>
      <c r="D1319" t="inlineStr">
        <is>
          <t>KALMAR LÄN</t>
        </is>
      </c>
      <c r="E1319" t="inlineStr">
        <is>
          <t>VÄSTERVIK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45351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59844-2023</t>
        </is>
      </c>
      <c r="B1321" s="1" t="n">
        <v>45257</v>
      </c>
      <c r="C1321" s="1" t="n">
        <v>45351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60056-2023</t>
        </is>
      </c>
      <c r="B1322" s="1" t="n">
        <v>45258</v>
      </c>
      <c r="C1322" s="1" t="n">
        <v>45351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60196-2023</t>
        </is>
      </c>
      <c r="B1323" s="1" t="n">
        <v>45258</v>
      </c>
      <c r="C1323" s="1" t="n">
        <v>45351</v>
      </c>
      <c r="D1323" t="inlineStr">
        <is>
          <t>KALMAR LÄN</t>
        </is>
      </c>
      <c r="E1323" t="inlineStr">
        <is>
          <t>VÄSTERVIK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60179-2023</t>
        </is>
      </c>
      <c r="B1324" s="1" t="n">
        <v>45258</v>
      </c>
      <c r="C1324" s="1" t="n">
        <v>45351</v>
      </c>
      <c r="D1324" t="inlineStr">
        <is>
          <t>KALMAR LÄN</t>
        </is>
      </c>
      <c r="E1324" t="inlineStr">
        <is>
          <t>VÄSTERVIK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60187-2023</t>
        </is>
      </c>
      <c r="B1325" s="1" t="n">
        <v>45258</v>
      </c>
      <c r="C1325" s="1" t="n">
        <v>45351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60300-2023</t>
        </is>
      </c>
      <c r="B1326" s="1" t="n">
        <v>45258</v>
      </c>
      <c r="C1326" s="1" t="n">
        <v>45351</v>
      </c>
      <c r="D1326" t="inlineStr">
        <is>
          <t>KALMAR LÄN</t>
        </is>
      </c>
      <c r="E1326" t="inlineStr">
        <is>
          <t>VÄSTERVIK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60634-2023</t>
        </is>
      </c>
      <c r="B1327" s="1" t="n">
        <v>45260</v>
      </c>
      <c r="C1327" s="1" t="n">
        <v>45351</v>
      </c>
      <c r="D1327" t="inlineStr">
        <is>
          <t>KALMAR LÄN</t>
        </is>
      </c>
      <c r="E1327" t="inlineStr">
        <is>
          <t>VÄSTERVIK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60921-2023</t>
        </is>
      </c>
      <c r="B1328" s="1" t="n">
        <v>45261</v>
      </c>
      <c r="C1328" s="1" t="n">
        <v>45351</v>
      </c>
      <c r="D1328" t="inlineStr">
        <is>
          <t>KALMAR LÄN</t>
        </is>
      </c>
      <c r="E1328" t="inlineStr">
        <is>
          <t>VÄSTERVIK</t>
        </is>
      </c>
      <c r="G1328" t="n">
        <v>11.1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61556-2023</t>
        </is>
      </c>
      <c r="B1329" s="1" t="n">
        <v>45261</v>
      </c>
      <c r="C1329" s="1" t="n">
        <v>45351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45351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45351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61450-2023</t>
        </is>
      </c>
      <c r="B1332" s="1" t="n">
        <v>45264</v>
      </c>
      <c r="C1332" s="1" t="n">
        <v>45351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45351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61728-2023</t>
        </is>
      </c>
      <c r="B1334" s="1" t="n">
        <v>45265</v>
      </c>
      <c r="C1334" s="1" t="n">
        <v>45351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45351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45351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45351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45351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61807-2023</t>
        </is>
      </c>
      <c r="B1339" s="1" t="n">
        <v>45266</v>
      </c>
      <c r="C1339" s="1" t="n">
        <v>45351</v>
      </c>
      <c r="D1339" t="inlineStr">
        <is>
          <t>KALMAR LÄN</t>
        </is>
      </c>
      <c r="E1339" t="inlineStr">
        <is>
          <t>VÄSTERVIK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62034-2023</t>
        </is>
      </c>
      <c r="B1340" s="1" t="n">
        <v>45266</v>
      </c>
      <c r="C1340" s="1" t="n">
        <v>45351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62340-2023</t>
        </is>
      </c>
      <c r="B1341" s="1" t="n">
        <v>45267</v>
      </c>
      <c r="C1341" s="1" t="n">
        <v>45351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62589-2023</t>
        </is>
      </c>
      <c r="B1342" s="1" t="n">
        <v>45270</v>
      </c>
      <c r="C1342" s="1" t="n">
        <v>45351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62898-2023</t>
        </is>
      </c>
      <c r="B1343" s="1" t="n">
        <v>45271</v>
      </c>
      <c r="C1343" s="1" t="n">
        <v>45351</v>
      </c>
      <c r="D1343" t="inlineStr">
        <is>
          <t>KALMAR LÄN</t>
        </is>
      </c>
      <c r="E1343" t="inlineStr">
        <is>
          <t>VÄSTERVIK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62850-2023</t>
        </is>
      </c>
      <c r="B1344" s="1" t="n">
        <v>45272</v>
      </c>
      <c r="C1344" s="1" t="n">
        <v>45351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62876-2023</t>
        </is>
      </c>
      <c r="B1345" s="1" t="n">
        <v>45272</v>
      </c>
      <c r="C1345" s="1" t="n">
        <v>45351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63023-2023</t>
        </is>
      </c>
      <c r="B1346" s="1" t="n">
        <v>45272</v>
      </c>
      <c r="C1346" s="1" t="n">
        <v>45351</v>
      </c>
      <c r="D1346" t="inlineStr">
        <is>
          <t>KALMAR LÄN</t>
        </is>
      </c>
      <c r="E1346" t="inlineStr">
        <is>
          <t>VÄSTERVIK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63043-2023</t>
        </is>
      </c>
      <c r="B1347" s="1" t="n">
        <v>45272</v>
      </c>
      <c r="C1347" s="1" t="n">
        <v>45351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63041-2023</t>
        </is>
      </c>
      <c r="B1348" s="1" t="n">
        <v>45272</v>
      </c>
      <c r="C1348" s="1" t="n">
        <v>45351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63021-2023</t>
        </is>
      </c>
      <c r="B1349" s="1" t="n">
        <v>45272</v>
      </c>
      <c r="C1349" s="1" t="n">
        <v>45351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63017-2023</t>
        </is>
      </c>
      <c r="B1350" s="1" t="n">
        <v>45272</v>
      </c>
      <c r="C1350" s="1" t="n">
        <v>45351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45351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62887-2023</t>
        </is>
      </c>
      <c r="B1352" s="1" t="n">
        <v>45272</v>
      </c>
      <c r="C1352" s="1" t="n">
        <v>45351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62873-2023</t>
        </is>
      </c>
      <c r="B1353" s="1" t="n">
        <v>45272</v>
      </c>
      <c r="C1353" s="1" t="n">
        <v>45351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45351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45351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63361-2023</t>
        </is>
      </c>
      <c r="B1356" s="1" t="n">
        <v>45274</v>
      </c>
      <c r="C1356" s="1" t="n">
        <v>45351</v>
      </c>
      <c r="D1356" t="inlineStr">
        <is>
          <t>KALMAR LÄN</t>
        </is>
      </c>
      <c r="E1356" t="inlineStr">
        <is>
          <t>VÄSTERVIK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63606-2023</t>
        </is>
      </c>
      <c r="B1357" s="1" t="n">
        <v>45275</v>
      </c>
      <c r="C1357" s="1" t="n">
        <v>45351</v>
      </c>
      <c r="D1357" t="inlineStr">
        <is>
          <t>KALMAR LÄN</t>
        </is>
      </c>
      <c r="E1357" t="inlineStr">
        <is>
          <t>VÄSTERVIK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45351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63890-2023</t>
        </is>
      </c>
      <c r="B1359" s="1" t="n">
        <v>45278</v>
      </c>
      <c r="C1359" s="1" t="n">
        <v>45351</v>
      </c>
      <c r="D1359" t="inlineStr">
        <is>
          <t>KALMAR LÄN</t>
        </is>
      </c>
      <c r="E1359" t="inlineStr">
        <is>
          <t>VÄSTERVIK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64040-2023</t>
        </is>
      </c>
      <c r="B1360" s="1" t="n">
        <v>45279</v>
      </c>
      <c r="C1360" s="1" t="n">
        <v>45351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64580-2023</t>
        </is>
      </c>
      <c r="B1361" s="1" t="n">
        <v>45281</v>
      </c>
      <c r="C1361" s="1" t="n">
        <v>45351</v>
      </c>
      <c r="D1361" t="inlineStr">
        <is>
          <t>KALMAR LÄN</t>
        </is>
      </c>
      <c r="E1361" t="inlineStr">
        <is>
          <t>VÄSTERVIK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64762-2023</t>
        </is>
      </c>
      <c r="B1362" s="1" t="n">
        <v>45282</v>
      </c>
      <c r="C1362" s="1" t="n">
        <v>45351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45351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64760-2023</t>
        </is>
      </c>
      <c r="B1364" s="1" t="n">
        <v>45282</v>
      </c>
      <c r="C1364" s="1" t="n">
        <v>45351</v>
      </c>
      <c r="D1364" t="inlineStr">
        <is>
          <t>KALMAR LÄN</t>
        </is>
      </c>
      <c r="E1364" t="inlineStr">
        <is>
          <t>VÄSTERVIK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64885-2023</t>
        </is>
      </c>
      <c r="B1365" s="1" t="n">
        <v>45282</v>
      </c>
      <c r="C1365" s="1" t="n">
        <v>45351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34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64763-2023</t>
        </is>
      </c>
      <c r="B1366" s="1" t="n">
        <v>45282</v>
      </c>
      <c r="C1366" s="1" t="n">
        <v>45351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65028-2023</t>
        </is>
      </c>
      <c r="B1367" s="1" t="n">
        <v>45287</v>
      </c>
      <c r="C1367" s="1" t="n">
        <v>45351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65059-2023</t>
        </is>
      </c>
      <c r="B1368" s="1" t="n">
        <v>45287</v>
      </c>
      <c r="C1368" s="1" t="n">
        <v>45351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65046-2023</t>
        </is>
      </c>
      <c r="B1369" s="1" t="n">
        <v>45287</v>
      </c>
      <c r="C1369" s="1" t="n">
        <v>45351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338-2024</t>
        </is>
      </c>
      <c r="B1370" s="1" t="n">
        <v>45295</v>
      </c>
      <c r="C1370" s="1" t="n">
        <v>45351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340-2024</t>
        </is>
      </c>
      <c r="B1371" s="1" t="n">
        <v>45295</v>
      </c>
      <c r="C1371" s="1" t="n">
        <v>45351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492-2024</t>
        </is>
      </c>
      <c r="B1372" s="1" t="n">
        <v>45299</v>
      </c>
      <c r="C1372" s="1" t="n">
        <v>45351</v>
      </c>
      <c r="D1372" t="inlineStr">
        <is>
          <t>KALMAR LÄN</t>
        </is>
      </c>
      <c r="E1372" t="inlineStr">
        <is>
          <t>VÄSTERVIK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782-2024</t>
        </is>
      </c>
      <c r="B1373" s="1" t="n">
        <v>45300</v>
      </c>
      <c r="C1373" s="1" t="n">
        <v>45351</v>
      </c>
      <c r="D1373" t="inlineStr">
        <is>
          <t>KALMAR LÄN</t>
        </is>
      </c>
      <c r="E1373" t="inlineStr">
        <is>
          <t>VÄSTERVIK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45351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934-2024</t>
        </is>
      </c>
      <c r="B1375" s="1" t="n">
        <v>45301</v>
      </c>
      <c r="C1375" s="1" t="n">
        <v>45351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938-2024</t>
        </is>
      </c>
      <c r="B1376" s="1" t="n">
        <v>45301</v>
      </c>
      <c r="C1376" s="1" t="n">
        <v>45351</v>
      </c>
      <c r="D1376" t="inlineStr">
        <is>
          <t>KALMAR LÄN</t>
        </is>
      </c>
      <c r="E1376" t="inlineStr">
        <is>
          <t>VÄSTERVIK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942-2024</t>
        </is>
      </c>
      <c r="B1377" s="1" t="n">
        <v>45301</v>
      </c>
      <c r="C1377" s="1" t="n">
        <v>45351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946-2024</t>
        </is>
      </c>
      <c r="B1378" s="1" t="n">
        <v>45301</v>
      </c>
      <c r="C1378" s="1" t="n">
        <v>45351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925-2024</t>
        </is>
      </c>
      <c r="B1379" s="1" t="n">
        <v>45301</v>
      </c>
      <c r="C1379" s="1" t="n">
        <v>45351</v>
      </c>
      <c r="D1379" t="inlineStr">
        <is>
          <t>KALMAR LÄN</t>
        </is>
      </c>
      <c r="E1379" t="inlineStr">
        <is>
          <t>VÄSTERVIK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949-2024</t>
        </is>
      </c>
      <c r="B1380" s="1" t="n">
        <v>45301</v>
      </c>
      <c r="C1380" s="1" t="n">
        <v>45351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928-2024</t>
        </is>
      </c>
      <c r="B1381" s="1" t="n">
        <v>45301</v>
      </c>
      <c r="C1381" s="1" t="n">
        <v>45351</v>
      </c>
      <c r="D1381" t="inlineStr">
        <is>
          <t>KALMAR LÄN</t>
        </is>
      </c>
      <c r="E1381" t="inlineStr">
        <is>
          <t>VÄSTERVIK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936-2024</t>
        </is>
      </c>
      <c r="B1382" s="1" t="n">
        <v>45301</v>
      </c>
      <c r="C1382" s="1" t="n">
        <v>45351</v>
      </c>
      <c r="D1382" t="inlineStr">
        <is>
          <t>KALMAR LÄN</t>
        </is>
      </c>
      <c r="E1382" t="inlineStr">
        <is>
          <t>VÄSTERVIK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944-2024</t>
        </is>
      </c>
      <c r="B1383" s="1" t="n">
        <v>45301</v>
      </c>
      <c r="C1383" s="1" t="n">
        <v>45351</v>
      </c>
      <c r="D1383" t="inlineStr">
        <is>
          <t>KALMAR LÄN</t>
        </is>
      </c>
      <c r="E1383" t="inlineStr">
        <is>
          <t>VÄSTERVIK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948-2024</t>
        </is>
      </c>
      <c r="B1384" s="1" t="n">
        <v>45301</v>
      </c>
      <c r="C1384" s="1" t="n">
        <v>45351</v>
      </c>
      <c r="D1384" t="inlineStr">
        <is>
          <t>KALMAR LÄN</t>
        </is>
      </c>
      <c r="E1384" t="inlineStr">
        <is>
          <t>VÄSTERVIK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1098-2024</t>
        </is>
      </c>
      <c r="B1385" s="1" t="n">
        <v>45302</v>
      </c>
      <c r="C1385" s="1" t="n">
        <v>45351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1096-2024</t>
        </is>
      </c>
      <c r="B1386" s="1" t="n">
        <v>45302</v>
      </c>
      <c r="C1386" s="1" t="n">
        <v>45351</v>
      </c>
      <c r="D1386" t="inlineStr">
        <is>
          <t>KALMAR LÄN</t>
        </is>
      </c>
      <c r="E1386" t="inlineStr">
        <is>
          <t>VÄSTERVIK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1568-2024</t>
        </is>
      </c>
      <c r="B1387" s="1" t="n">
        <v>45306</v>
      </c>
      <c r="C1387" s="1" t="n">
        <v>45351</v>
      </c>
      <c r="D1387" t="inlineStr">
        <is>
          <t>KALMAR LÄN</t>
        </is>
      </c>
      <c r="E1387" t="inlineStr">
        <is>
          <t>VÄSTERVIK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1572-2024</t>
        </is>
      </c>
      <c r="B1388" s="1" t="n">
        <v>45306</v>
      </c>
      <c r="C1388" s="1" t="n">
        <v>45351</v>
      </c>
      <c r="D1388" t="inlineStr">
        <is>
          <t>KALMAR LÄN</t>
        </is>
      </c>
      <c r="E1388" t="inlineStr">
        <is>
          <t>VÄSTERVIK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1665-2024</t>
        </is>
      </c>
      <c r="B1389" s="1" t="n">
        <v>45306</v>
      </c>
      <c r="C1389" s="1" t="n">
        <v>45351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1664-2024</t>
        </is>
      </c>
      <c r="B1390" s="1" t="n">
        <v>45306</v>
      </c>
      <c r="C1390" s="1" t="n">
        <v>45351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2144-2024</t>
        </is>
      </c>
      <c r="B1391" s="1" t="n">
        <v>45309</v>
      </c>
      <c r="C1391" s="1" t="n">
        <v>45351</v>
      </c>
      <c r="D1391" t="inlineStr">
        <is>
          <t>KALMAR LÄN</t>
        </is>
      </c>
      <c r="E1391" t="inlineStr">
        <is>
          <t>VÄSTERVIK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2168-2024</t>
        </is>
      </c>
      <c r="B1392" s="1" t="n">
        <v>45309</v>
      </c>
      <c r="C1392" s="1" t="n">
        <v>45351</v>
      </c>
      <c r="D1392" t="inlineStr">
        <is>
          <t>KALMAR LÄN</t>
        </is>
      </c>
      <c r="E1392" t="inlineStr">
        <is>
          <t>VÄSTERVIK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2082-2024</t>
        </is>
      </c>
      <c r="B1393" s="1" t="n">
        <v>45309</v>
      </c>
      <c r="C1393" s="1" t="n">
        <v>45351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2153-2024</t>
        </is>
      </c>
      <c r="B1394" s="1" t="n">
        <v>45309</v>
      </c>
      <c r="C1394" s="1" t="n">
        <v>45351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2507-2024</t>
        </is>
      </c>
      <c r="B1395" s="1" t="n">
        <v>45313</v>
      </c>
      <c r="C1395" s="1" t="n">
        <v>45351</v>
      </c>
      <c r="D1395" t="inlineStr">
        <is>
          <t>KALMAR LÄN</t>
        </is>
      </c>
      <c r="E1395" t="inlineStr">
        <is>
          <t>VÄSTERVIK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2520-2024</t>
        </is>
      </c>
      <c r="B1396" s="1" t="n">
        <v>45313</v>
      </c>
      <c r="C1396" s="1" t="n">
        <v>45351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2543-2024</t>
        </is>
      </c>
      <c r="B1397" s="1" t="n">
        <v>45313</v>
      </c>
      <c r="C1397" s="1" t="n">
        <v>45351</v>
      </c>
      <c r="D1397" t="inlineStr">
        <is>
          <t>KALMAR LÄN</t>
        </is>
      </c>
      <c r="E1397" t="inlineStr">
        <is>
          <t>VÄSTERVIK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2804-2024</t>
        </is>
      </c>
      <c r="B1398" s="1" t="n">
        <v>45314</v>
      </c>
      <c r="C1398" s="1" t="n">
        <v>45351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2634-2024</t>
        </is>
      </c>
      <c r="B1399" s="1" t="n">
        <v>45314</v>
      </c>
      <c r="C1399" s="1" t="n">
        <v>45351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2726-2024</t>
        </is>
      </c>
      <c r="B1400" s="1" t="n">
        <v>45314</v>
      </c>
      <c r="C1400" s="1" t="n">
        <v>45351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3157-2024</t>
        </is>
      </c>
      <c r="B1401" s="1" t="n">
        <v>45316</v>
      </c>
      <c r="C1401" s="1" t="n">
        <v>45351</v>
      </c>
      <c r="D1401" t="inlineStr">
        <is>
          <t>KALMAR LÄN</t>
        </is>
      </c>
      <c r="E1401" t="inlineStr">
        <is>
          <t>VÄSTERVIK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3557-2024</t>
        </is>
      </c>
      <c r="B1402" s="1" t="n">
        <v>45320</v>
      </c>
      <c r="C1402" s="1" t="n">
        <v>45351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3429-2024</t>
        </is>
      </c>
      <c r="B1403" s="1" t="n">
        <v>45320</v>
      </c>
      <c r="C1403" s="1" t="n">
        <v>45351</v>
      </c>
      <c r="D1403" t="inlineStr">
        <is>
          <t>KALMAR LÄN</t>
        </is>
      </c>
      <c r="E1403" t="inlineStr">
        <is>
          <t>VÄSTERVIK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3818-2024</t>
        </is>
      </c>
      <c r="B1404" s="1" t="n">
        <v>45321</v>
      </c>
      <c r="C1404" s="1" t="n">
        <v>45351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3826-2024</t>
        </is>
      </c>
      <c r="B1405" s="1" t="n">
        <v>45321</v>
      </c>
      <c r="C1405" s="1" t="n">
        <v>45351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3830-2024</t>
        </is>
      </c>
      <c r="B1406" s="1" t="n">
        <v>45321</v>
      </c>
      <c r="C1406" s="1" t="n">
        <v>45351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3828-2024</t>
        </is>
      </c>
      <c r="B1407" s="1" t="n">
        <v>45321</v>
      </c>
      <c r="C1407" s="1" t="n">
        <v>45351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3776-2024</t>
        </is>
      </c>
      <c r="B1408" s="1" t="n">
        <v>45321</v>
      </c>
      <c r="C1408" s="1" t="n">
        <v>45351</v>
      </c>
      <c r="D1408" t="inlineStr">
        <is>
          <t>KALMAR LÄN</t>
        </is>
      </c>
      <c r="E1408" t="inlineStr">
        <is>
          <t>VÄSTERVIK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3817-2024</t>
        </is>
      </c>
      <c r="B1409" s="1" t="n">
        <v>45321</v>
      </c>
      <c r="C1409" s="1" t="n">
        <v>45351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3829-2024</t>
        </is>
      </c>
      <c r="B1410" s="1" t="n">
        <v>45321</v>
      </c>
      <c r="C1410" s="1" t="n">
        <v>45351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4520-2024</t>
        </is>
      </c>
      <c r="B1411" s="1" t="n">
        <v>45327</v>
      </c>
      <c r="C1411" s="1" t="n">
        <v>45351</v>
      </c>
      <c r="D1411" t="inlineStr">
        <is>
          <t>KALMAR LÄN</t>
        </is>
      </c>
      <c r="E1411" t="inlineStr">
        <is>
          <t>VÄSTERVIK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4540-2024</t>
        </is>
      </c>
      <c r="B1412" s="1" t="n">
        <v>45327</v>
      </c>
      <c r="C1412" s="1" t="n">
        <v>45351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4858-2024</t>
        </is>
      </c>
      <c r="B1413" s="1" t="n">
        <v>45329</v>
      </c>
      <c r="C1413" s="1" t="n">
        <v>45351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45351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45351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45351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5004-2024</t>
        </is>
      </c>
      <c r="B1417" s="1" t="n">
        <v>45329</v>
      </c>
      <c r="C1417" s="1" t="n">
        <v>45351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5234-2024</t>
        </is>
      </c>
      <c r="B1418" s="1" t="n">
        <v>45330</v>
      </c>
      <c r="C1418" s="1" t="n">
        <v>45351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5348-2024</t>
        </is>
      </c>
      <c r="B1419" s="1" t="n">
        <v>45331</v>
      </c>
      <c r="C1419" s="1" t="n">
        <v>45351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45351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45351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45351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45351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45351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6019-2024</t>
        </is>
      </c>
      <c r="B1425" s="1" t="n">
        <v>45336</v>
      </c>
      <c r="C1425" s="1" t="n">
        <v>45351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6017-2024</t>
        </is>
      </c>
      <c r="B1426" s="1" t="n">
        <v>45336</v>
      </c>
      <c r="C1426" s="1" t="n">
        <v>45351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6021-2024</t>
        </is>
      </c>
      <c r="B1427" s="1" t="n">
        <v>45336</v>
      </c>
      <c r="C1427" s="1" t="n">
        <v>45351</v>
      </c>
      <c r="D1427" t="inlineStr">
        <is>
          <t>KALMAR LÄN</t>
        </is>
      </c>
      <c r="E1427" t="inlineStr">
        <is>
          <t>VÄSTERVIK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45351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6406-2024</t>
        </is>
      </c>
      <c r="B1429" s="1" t="n">
        <v>45338</v>
      </c>
      <c r="C1429" s="1" t="n">
        <v>45351</v>
      </c>
      <c r="D1429" t="inlineStr">
        <is>
          <t>KALMAR LÄN</t>
        </is>
      </c>
      <c r="E1429" t="inlineStr">
        <is>
          <t>VÄSTERVIK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6426-2024</t>
        </is>
      </c>
      <c r="B1430" s="1" t="n">
        <v>45338</v>
      </c>
      <c r="C1430" s="1" t="n">
        <v>45351</v>
      </c>
      <c r="D1430" t="inlineStr">
        <is>
          <t>KALMAR LÄN</t>
        </is>
      </c>
      <c r="E1430" t="inlineStr">
        <is>
          <t>VÄSTERVIK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45351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6423-2024</t>
        </is>
      </c>
      <c r="B1432" s="1" t="n">
        <v>45338</v>
      </c>
      <c r="C1432" s="1" t="n">
        <v>45351</v>
      </c>
      <c r="D1432" t="inlineStr">
        <is>
          <t>KALMAR LÄN</t>
        </is>
      </c>
      <c r="E1432" t="inlineStr">
        <is>
          <t>VÄSTERVIK</t>
        </is>
      </c>
      <c r="G1432" t="n">
        <v>26.6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6289-2024</t>
        </is>
      </c>
      <c r="B1433" s="1" t="n">
        <v>45338</v>
      </c>
      <c r="C1433" s="1" t="n">
        <v>45351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6746-2024</t>
        </is>
      </c>
      <c r="B1434" s="1" t="n">
        <v>45342</v>
      </c>
      <c r="C1434" s="1" t="n">
        <v>45351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6731-2024</t>
        </is>
      </c>
      <c r="B1435" s="1" t="n">
        <v>45342</v>
      </c>
      <c r="C1435" s="1" t="n">
        <v>45351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45351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45351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7536-2024</t>
        </is>
      </c>
      <c r="B1438" s="1" t="n">
        <v>45348</v>
      </c>
      <c r="C1438" s="1" t="n">
        <v>45351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7512-2024</t>
        </is>
      </c>
      <c r="B1439" s="1" t="n">
        <v>45348</v>
      </c>
      <c r="C1439" s="1" t="n">
        <v>45351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7548-2024</t>
        </is>
      </c>
      <c r="B1440" s="1" t="n">
        <v>45348</v>
      </c>
      <c r="C1440" s="1" t="n">
        <v>45351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7688-2024</t>
        </is>
      </c>
      <c r="B1441" s="1" t="n">
        <v>45349</v>
      </c>
      <c r="C1441" s="1" t="n">
        <v>45351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7687-2024</t>
        </is>
      </c>
      <c r="B1442" s="1" t="n">
        <v>45349</v>
      </c>
      <c r="C1442" s="1" t="n">
        <v>45351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2024-02-29T12:59:34Z</dcterms:created>
  <dcterms:modified xmlns:dcterms="http://purl.org/dc/terms/" xmlns:xsi="http://www.w3.org/2001/XMLSchema-instance" xsi:type="dcterms:W3CDTF">2024-02-29T12:59:35Z</dcterms:modified>
</cp:coreProperties>
</file>