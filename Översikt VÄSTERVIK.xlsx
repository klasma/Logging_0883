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45633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45633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45633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45633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45633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45633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45633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45633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45633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45633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45633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45633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45633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45633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45633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45633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45633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45633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45633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45633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45633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45633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45633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45633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45633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45633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45633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45633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45633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45633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45633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45633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45633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45633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45633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45633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45633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45633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45633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45633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45633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45633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45633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45633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45633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45633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45633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45633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45633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45633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45633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45633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45633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45633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45633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45633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45633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45633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45633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45633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45633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45633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45633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45633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45633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45633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45633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45633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45633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45633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45633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45633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45633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45633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45633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45633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45633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45633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45633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45633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45633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45633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45633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45633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45633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45633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45633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45633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45633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45633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45633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45633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45633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45633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45633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45633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45633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45633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45633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45633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45633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45633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45633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45633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45633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45633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45633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45633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45633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45633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45633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45633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45633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45633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45633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45633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45633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45633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45633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45633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45633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45633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45633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45633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45633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45633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45633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45633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45633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45633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45633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45633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45633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45633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45633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45633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45633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45633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45633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45633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45633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45633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45633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45633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45633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45633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45633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45633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45633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45633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45633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45633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45633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45633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45633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45633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45633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45633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45633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45633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45633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45633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45633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45633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56036-2024</t>
        </is>
      </c>
      <c r="B194" s="1" t="n">
        <v>45624</v>
      </c>
      <c r="C194" s="1" t="n">
        <v>45633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5.5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56036-2024 artfynd.xlsx", "A 56036-2024")</f>
        <v/>
      </c>
      <c r="T194">
        <f>HYPERLINK("https://klasma.github.io/Logging_0883/kartor/A 56036-2024 karta.png", "A 56036-2024")</f>
        <v/>
      </c>
      <c r="U194">
        <f>HYPERLINK("https://klasma.github.io/Logging_0883/knärot/A 56036-2024 karta knärot.png", "A 56036-2024")</f>
        <v/>
      </c>
      <c r="V194">
        <f>HYPERLINK("https://klasma.github.io/Logging_0883/klagomål/A 56036-2024 FSC-klagomål.docx", "A 56036-2024")</f>
        <v/>
      </c>
      <c r="W194">
        <f>HYPERLINK("https://klasma.github.io/Logging_0883/klagomålsmail/A 56036-2024 FSC-klagomål mail.docx", "A 56036-2024")</f>
        <v/>
      </c>
      <c r="X194">
        <f>HYPERLINK("https://klasma.github.io/Logging_0883/tillsyn/A 56036-2024 tillsynsbegäran.docx", "A 56036-2024")</f>
        <v/>
      </c>
      <c r="Y194">
        <f>HYPERLINK("https://klasma.github.io/Logging_0883/tillsynsmail/A 56036-2024 tillsynsbegäran mail.docx", "A 56036-2024")</f>
        <v/>
      </c>
      <c r="Z194">
        <f>HYPERLINK("https://klasma.github.io/Logging_0883/fåglar/A 56036-2024 prioriterade fågelarter.docx", "A 56036-2024")</f>
        <v/>
      </c>
    </row>
    <row r="195" ht="15" customHeight="1">
      <c r="A195" t="inlineStr">
        <is>
          <t>A 27200-2019</t>
        </is>
      </c>
      <c r="B195" s="1" t="n">
        <v>43614</v>
      </c>
      <c r="C195" s="1" t="n">
        <v>45633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8.5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Myskmadra</t>
        </is>
      </c>
      <c r="S195">
        <f>HYPERLINK("https://klasma.github.io/Logging_0883/artfynd/A 27200-2019 artfynd.xlsx", "A 27200-2019")</f>
        <v/>
      </c>
      <c r="T195">
        <f>HYPERLINK("https://klasma.github.io/Logging_0883/kartor/A 27200-2019 karta.png", "A 27200-2019")</f>
        <v/>
      </c>
      <c r="V195">
        <f>HYPERLINK("https://klasma.github.io/Logging_0883/klagomål/A 27200-2019 FSC-klagomål.docx", "A 27200-2019")</f>
        <v/>
      </c>
      <c r="W195">
        <f>HYPERLINK("https://klasma.github.io/Logging_0883/klagomålsmail/A 27200-2019 FSC-klagomål mail.docx", "A 27200-2019")</f>
        <v/>
      </c>
      <c r="X195">
        <f>HYPERLINK("https://klasma.github.io/Logging_0883/tillsyn/A 27200-2019 tillsynsbegäran.docx", "A 27200-2019")</f>
        <v/>
      </c>
      <c r="Y195">
        <f>HYPERLINK("https://klasma.github.io/Logging_0883/tillsynsmail/A 27200-2019 tillsynsbegäran mail.docx", "A 27200-2019")</f>
        <v/>
      </c>
    </row>
    <row r="196" ht="15" customHeight="1">
      <c r="A196" t="inlineStr">
        <is>
          <t>A 27204-2019</t>
        </is>
      </c>
      <c r="B196" s="1" t="n">
        <v>43614</v>
      </c>
      <c r="C196" s="1" t="n">
        <v>45633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12.9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 fjädermossa</t>
        </is>
      </c>
      <c r="S196">
        <f>HYPERLINK("https://klasma.github.io/Logging_0883/artfynd/A 27204-2019 artfynd.xlsx", "A 27204-2019")</f>
        <v/>
      </c>
      <c r="T196">
        <f>HYPERLINK("https://klasma.github.io/Logging_0883/kartor/A 27204-2019 karta.png", "A 27204-2019")</f>
        <v/>
      </c>
      <c r="V196">
        <f>HYPERLINK("https://klasma.github.io/Logging_0883/klagomål/A 27204-2019 FSC-klagomål.docx", "A 27204-2019")</f>
        <v/>
      </c>
      <c r="W196">
        <f>HYPERLINK("https://klasma.github.io/Logging_0883/klagomålsmail/A 27204-2019 FSC-klagomål mail.docx", "A 27204-2019")</f>
        <v/>
      </c>
      <c r="X196">
        <f>HYPERLINK("https://klasma.github.io/Logging_0883/tillsyn/A 27204-2019 tillsynsbegäran.docx", "A 27204-2019")</f>
        <v/>
      </c>
      <c r="Y196">
        <f>HYPERLINK("https://klasma.github.io/Logging_0883/tillsynsmail/A 27204-2019 tillsynsbegäran mail.docx", "A 27204-2019")</f>
        <v/>
      </c>
    </row>
    <row r="197" ht="15" customHeight="1">
      <c r="A197" t="inlineStr">
        <is>
          <t>A 27203-2019</t>
        </is>
      </c>
      <c r="B197" s="1" t="n">
        <v>43614</v>
      </c>
      <c r="C197" s="1" t="n">
        <v>45633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4.8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Blomskägglav</t>
        </is>
      </c>
      <c r="S197">
        <f>HYPERLINK("https://klasma.github.io/Logging_0883/artfynd/A 27203-2019 artfynd.xlsx", "A 27203-2019")</f>
        <v/>
      </c>
      <c r="T197">
        <f>HYPERLINK("https://klasma.github.io/Logging_0883/kartor/A 27203-2019 karta.png", "A 27203-2019")</f>
        <v/>
      </c>
      <c r="V197">
        <f>HYPERLINK("https://klasma.github.io/Logging_0883/klagomål/A 27203-2019 FSC-klagomål.docx", "A 27203-2019")</f>
        <v/>
      </c>
      <c r="W197">
        <f>HYPERLINK("https://klasma.github.io/Logging_0883/klagomålsmail/A 27203-2019 FSC-klagomål mail.docx", "A 27203-2019")</f>
        <v/>
      </c>
      <c r="X197">
        <f>HYPERLINK("https://klasma.github.io/Logging_0883/tillsyn/A 27203-2019 tillsynsbegäran.docx", "A 27203-2019")</f>
        <v/>
      </c>
      <c r="Y197">
        <f>HYPERLINK("https://klasma.github.io/Logging_0883/tillsynsmail/A 27203-2019 tillsynsbegäran mail.docx", "A 27203-2019")</f>
        <v/>
      </c>
    </row>
    <row r="198" ht="15" customHeight="1">
      <c r="A198" t="inlineStr">
        <is>
          <t>A 59193-2019</t>
        </is>
      </c>
      <c r="B198" s="1" t="n">
        <v>43775</v>
      </c>
      <c r="C198" s="1" t="n">
        <v>45633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Åkerkulla</t>
        </is>
      </c>
      <c r="S198">
        <f>HYPERLINK("https://klasma.github.io/Logging_0883/artfynd/A 59193-2019 artfynd.xlsx", "A 59193-2019")</f>
        <v/>
      </c>
      <c r="T198">
        <f>HYPERLINK("https://klasma.github.io/Logging_0883/kartor/A 59193-2019 karta.png", "A 59193-2019")</f>
        <v/>
      </c>
      <c r="V198">
        <f>HYPERLINK("https://klasma.github.io/Logging_0883/klagomål/A 59193-2019 FSC-klagomål.docx", "A 59193-2019")</f>
        <v/>
      </c>
      <c r="W198">
        <f>HYPERLINK("https://klasma.github.io/Logging_0883/klagomålsmail/A 59193-2019 FSC-klagomål mail.docx", "A 59193-2019")</f>
        <v/>
      </c>
      <c r="X198">
        <f>HYPERLINK("https://klasma.github.io/Logging_0883/tillsyn/A 59193-2019 tillsynsbegäran.docx", "A 59193-2019")</f>
        <v/>
      </c>
      <c r="Y198">
        <f>HYPERLINK("https://klasma.github.io/Logging_0883/tillsynsmail/A 59193-2019 tillsynsbegäran mail.docx", "A 59193-2019")</f>
        <v/>
      </c>
    </row>
    <row r="199" ht="15" customHeight="1">
      <c r="A199" t="inlineStr">
        <is>
          <t>A 16608-2020</t>
        </is>
      </c>
      <c r="B199" s="1" t="n">
        <v>43908</v>
      </c>
      <c r="C199" s="1" t="n">
        <v>45633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Skogsklocka</t>
        </is>
      </c>
      <c r="S199">
        <f>HYPERLINK("https://klasma.github.io/Logging_0883/artfynd/A 16608-2020 artfynd.xlsx", "A 16608-2020")</f>
        <v/>
      </c>
      <c r="T199">
        <f>HYPERLINK("https://klasma.github.io/Logging_0883/kartor/A 16608-2020 karta.png", "A 16608-2020")</f>
        <v/>
      </c>
      <c r="V199">
        <f>HYPERLINK("https://klasma.github.io/Logging_0883/klagomål/A 16608-2020 FSC-klagomål.docx", "A 16608-2020")</f>
        <v/>
      </c>
      <c r="W199">
        <f>HYPERLINK("https://klasma.github.io/Logging_0883/klagomålsmail/A 16608-2020 FSC-klagomål mail.docx", "A 16608-2020")</f>
        <v/>
      </c>
      <c r="X199">
        <f>HYPERLINK("https://klasma.github.io/Logging_0883/tillsyn/A 16608-2020 tillsynsbegäran.docx", "A 16608-2020")</f>
        <v/>
      </c>
      <c r="Y199">
        <f>HYPERLINK("https://klasma.github.io/Logging_0883/tillsynsmail/A 16608-2020 tillsynsbegäran mail.docx", "A 16608-2020")</f>
        <v/>
      </c>
    </row>
    <row r="200" ht="15" customHeight="1">
      <c r="A200" t="inlineStr">
        <is>
          <t>A 15357-2020</t>
        </is>
      </c>
      <c r="B200" s="1" t="n">
        <v>43913</v>
      </c>
      <c r="C200" s="1" t="n">
        <v>45633</v>
      </c>
      <c r="D200" t="inlineStr">
        <is>
          <t>KALMAR LÄN</t>
        </is>
      </c>
      <c r="E200" t="inlineStr">
        <is>
          <t>VÄSTERVIK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HYPERLINK("https://klasma.github.io/Logging_0883/artfynd/A 15357-2020 artfynd.xlsx", "A 15357-2020")</f>
        <v/>
      </c>
      <c r="T200">
        <f>HYPERLINK("https://klasma.github.io/Logging_0883/kartor/A 15357-2020 karta.png", "A 15357-2020")</f>
        <v/>
      </c>
      <c r="U200">
        <f>HYPERLINK("https://klasma.github.io/Logging_0883/knärot/A 15357-2020 karta knärot.png", "A 15357-2020")</f>
        <v/>
      </c>
      <c r="V200">
        <f>HYPERLINK("https://klasma.github.io/Logging_0883/klagomål/A 15357-2020 FSC-klagomål.docx", "A 15357-2020")</f>
        <v/>
      </c>
      <c r="W200">
        <f>HYPERLINK("https://klasma.github.io/Logging_0883/klagomålsmail/A 15357-2020 FSC-klagomål mail.docx", "A 15357-2020")</f>
        <v/>
      </c>
      <c r="X200">
        <f>HYPERLINK("https://klasma.github.io/Logging_0883/tillsyn/A 15357-2020 tillsynsbegäran.docx", "A 15357-2020")</f>
        <v/>
      </c>
      <c r="Y200">
        <f>HYPERLINK("https://klasma.github.io/Logging_0883/tillsynsmail/A 15357-2020 tillsynsbegäran mail.docx", "A 15357-2020")</f>
        <v/>
      </c>
    </row>
    <row r="201" ht="15" customHeight="1">
      <c r="A201" t="inlineStr">
        <is>
          <t>A 39836-2020</t>
        </is>
      </c>
      <c r="B201" s="1" t="n">
        <v>44064</v>
      </c>
      <c r="C201" s="1" t="n">
        <v>45633</v>
      </c>
      <c r="D201" t="inlineStr">
        <is>
          <t>KALMAR LÄN</t>
        </is>
      </c>
      <c r="E201" t="inlineStr">
        <is>
          <t>VÄSTERVIK</t>
        </is>
      </c>
      <c r="G201" t="n">
        <v>13.4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Havsörn</t>
        </is>
      </c>
      <c r="S201">
        <f>HYPERLINK("https://klasma.github.io/Logging_0883/artfynd/A 39836-2020 artfynd.xlsx", "A 39836-2020")</f>
        <v/>
      </c>
      <c r="T201">
        <f>HYPERLINK("https://klasma.github.io/Logging_0883/kartor/A 39836-2020 karta.png", "A 39836-2020")</f>
        <v/>
      </c>
      <c r="V201">
        <f>HYPERLINK("https://klasma.github.io/Logging_0883/klagomål/A 39836-2020 FSC-klagomål.docx", "A 39836-2020")</f>
        <v/>
      </c>
      <c r="W201">
        <f>HYPERLINK("https://klasma.github.io/Logging_0883/klagomålsmail/A 39836-2020 FSC-klagomål mail.docx", "A 39836-2020")</f>
        <v/>
      </c>
      <c r="X201">
        <f>HYPERLINK("https://klasma.github.io/Logging_0883/tillsyn/A 39836-2020 tillsynsbegäran.docx", "A 39836-2020")</f>
        <v/>
      </c>
      <c r="Y201">
        <f>HYPERLINK("https://klasma.github.io/Logging_0883/tillsynsmail/A 39836-2020 tillsynsbegäran mail.docx", "A 39836-2020")</f>
        <v/>
      </c>
      <c r="Z201">
        <f>HYPERLINK("https://klasma.github.io/Logging_0883/fåglar/A 39836-2020 prioriterade fågelarter.docx", "A 39836-2020")</f>
        <v/>
      </c>
    </row>
    <row r="202" ht="15" customHeight="1">
      <c r="A202" t="inlineStr">
        <is>
          <t>A 66752-2020</t>
        </is>
      </c>
      <c r="B202" s="1" t="n">
        <v>44175</v>
      </c>
      <c r="C202" s="1" t="n">
        <v>45633</v>
      </c>
      <c r="D202" t="inlineStr">
        <is>
          <t>KALMAR LÄN</t>
        </is>
      </c>
      <c r="E202" t="inlineStr">
        <is>
          <t>VÄSTERVIK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66752-2020 artfynd.xlsx", "A 66752-2020")</f>
        <v/>
      </c>
      <c r="T202">
        <f>HYPERLINK("https://klasma.github.io/Logging_0883/kartor/A 66752-2020 karta.png", "A 66752-2020")</f>
        <v/>
      </c>
      <c r="V202">
        <f>HYPERLINK("https://klasma.github.io/Logging_0883/klagomål/A 66752-2020 FSC-klagomål.docx", "A 66752-2020")</f>
        <v/>
      </c>
      <c r="W202">
        <f>HYPERLINK("https://klasma.github.io/Logging_0883/klagomålsmail/A 66752-2020 FSC-klagomål mail.docx", "A 66752-2020")</f>
        <v/>
      </c>
      <c r="X202">
        <f>HYPERLINK("https://klasma.github.io/Logging_0883/tillsyn/A 66752-2020 tillsynsbegäran.docx", "A 66752-2020")</f>
        <v/>
      </c>
      <c r="Y202">
        <f>HYPERLINK("https://klasma.github.io/Logging_0883/tillsynsmail/A 66752-2020 tillsynsbegäran mail.docx", "A 66752-2020")</f>
        <v/>
      </c>
    </row>
    <row r="203" ht="15" customHeight="1">
      <c r="A203" t="inlineStr">
        <is>
          <t>A 69632-2020</t>
        </is>
      </c>
      <c r="B203" s="1" t="n">
        <v>44195</v>
      </c>
      <c r="C203" s="1" t="n">
        <v>45633</v>
      </c>
      <c r="D203" t="inlineStr">
        <is>
          <t>KALMAR LÄN</t>
        </is>
      </c>
      <c r="E203" t="inlineStr">
        <is>
          <t>VÄSTERVIK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69632-2020 artfynd.xlsx", "A 69632-2020")</f>
        <v/>
      </c>
      <c r="T203">
        <f>HYPERLINK("https://klasma.github.io/Logging_0883/kartor/A 69632-2020 karta.png", "A 69632-2020")</f>
        <v/>
      </c>
      <c r="V203">
        <f>HYPERLINK("https://klasma.github.io/Logging_0883/klagomål/A 69632-2020 FSC-klagomål.docx", "A 69632-2020")</f>
        <v/>
      </c>
      <c r="W203">
        <f>HYPERLINK("https://klasma.github.io/Logging_0883/klagomålsmail/A 69632-2020 FSC-klagomål mail.docx", "A 69632-2020")</f>
        <v/>
      </c>
      <c r="X203">
        <f>HYPERLINK("https://klasma.github.io/Logging_0883/tillsyn/A 69632-2020 tillsynsbegäran.docx", "A 69632-2020")</f>
        <v/>
      </c>
      <c r="Y203">
        <f>HYPERLINK("https://klasma.github.io/Logging_0883/tillsynsmail/A 69632-2020 tillsynsbegäran mail.docx", "A 69632-2020")</f>
        <v/>
      </c>
    </row>
    <row r="204" ht="15" customHeight="1">
      <c r="A204" t="inlineStr">
        <is>
          <t>A 20233-2021</t>
        </is>
      </c>
      <c r="B204" s="1" t="n">
        <v>44314</v>
      </c>
      <c r="C204" s="1" t="n">
        <v>45633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20233-2021 artfynd.xlsx", "A 20233-2021")</f>
        <v/>
      </c>
      <c r="T204">
        <f>HYPERLINK("https://klasma.github.io/Logging_0883/kartor/A 20233-2021 karta.png", "A 20233-2021")</f>
        <v/>
      </c>
      <c r="V204">
        <f>HYPERLINK("https://klasma.github.io/Logging_0883/klagomål/A 20233-2021 FSC-klagomål.docx", "A 20233-2021")</f>
        <v/>
      </c>
      <c r="W204">
        <f>HYPERLINK("https://klasma.github.io/Logging_0883/klagomålsmail/A 20233-2021 FSC-klagomål mail.docx", "A 20233-2021")</f>
        <v/>
      </c>
      <c r="X204">
        <f>HYPERLINK("https://klasma.github.io/Logging_0883/tillsyn/A 20233-2021 tillsynsbegäran.docx", "A 20233-2021")</f>
        <v/>
      </c>
      <c r="Y204">
        <f>HYPERLINK("https://klasma.github.io/Logging_0883/tillsynsmail/A 20233-2021 tillsynsbegäran mail.docx", "A 20233-2021")</f>
        <v/>
      </c>
    </row>
    <row r="205" ht="15" customHeight="1">
      <c r="A205" t="inlineStr">
        <is>
          <t>A 24048-2021</t>
        </is>
      </c>
      <c r="B205" s="1" t="n">
        <v>44336</v>
      </c>
      <c r="C205" s="1" t="n">
        <v>45633</v>
      </c>
      <c r="D205" t="inlineStr">
        <is>
          <t>KALMAR LÄN</t>
        </is>
      </c>
      <c r="E205" t="inlineStr">
        <is>
          <t>VÄSTERVIK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24048-2021 artfynd.xlsx", "A 24048-2021")</f>
        <v/>
      </c>
      <c r="T205">
        <f>HYPERLINK("https://klasma.github.io/Logging_0883/kartor/A 24048-2021 karta.png", "A 24048-2021")</f>
        <v/>
      </c>
      <c r="U205">
        <f>HYPERLINK("https://klasma.github.io/Logging_0883/knärot/A 24048-2021 karta knärot.png", "A 24048-2021")</f>
        <v/>
      </c>
      <c r="V205">
        <f>HYPERLINK("https://klasma.github.io/Logging_0883/klagomål/A 24048-2021 FSC-klagomål.docx", "A 24048-2021")</f>
        <v/>
      </c>
      <c r="W205">
        <f>HYPERLINK("https://klasma.github.io/Logging_0883/klagomålsmail/A 24048-2021 FSC-klagomål mail.docx", "A 24048-2021")</f>
        <v/>
      </c>
      <c r="X205">
        <f>HYPERLINK("https://klasma.github.io/Logging_0883/tillsyn/A 24048-2021 tillsynsbegäran.docx", "A 24048-2021")</f>
        <v/>
      </c>
      <c r="Y205">
        <f>HYPERLINK("https://klasma.github.io/Logging_0883/tillsynsmail/A 24048-2021 tillsynsbegäran mail.docx", "A 24048-2021")</f>
        <v/>
      </c>
    </row>
    <row r="206" ht="15" customHeight="1">
      <c r="A206" t="inlineStr">
        <is>
          <t>A 25447-2021</t>
        </is>
      </c>
      <c r="B206" s="1" t="n">
        <v>44342</v>
      </c>
      <c r="C206" s="1" t="n">
        <v>45633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25447-2021 artfynd.xlsx", "A 25447-2021")</f>
        <v/>
      </c>
      <c r="T206">
        <f>HYPERLINK("https://klasma.github.io/Logging_0883/kartor/A 25447-2021 karta.png", "A 25447-2021")</f>
        <v/>
      </c>
      <c r="U206">
        <f>HYPERLINK("https://klasma.github.io/Logging_0883/knärot/A 25447-2021 karta knärot.png", "A 25447-2021")</f>
        <v/>
      </c>
      <c r="V206">
        <f>HYPERLINK("https://klasma.github.io/Logging_0883/klagomål/A 25447-2021 FSC-klagomål.docx", "A 25447-2021")</f>
        <v/>
      </c>
      <c r="W206">
        <f>HYPERLINK("https://klasma.github.io/Logging_0883/klagomålsmail/A 25447-2021 FSC-klagomål mail.docx", "A 25447-2021")</f>
        <v/>
      </c>
      <c r="X206">
        <f>HYPERLINK("https://klasma.github.io/Logging_0883/tillsyn/A 25447-2021 tillsynsbegäran.docx", "A 25447-2021")</f>
        <v/>
      </c>
      <c r="Y206">
        <f>HYPERLINK("https://klasma.github.io/Logging_0883/tillsynsmail/A 25447-2021 tillsynsbegäran mail.docx", "A 25447-2021")</f>
        <v/>
      </c>
    </row>
    <row r="207" ht="15" customHeight="1">
      <c r="A207" t="inlineStr">
        <is>
          <t>A 25594-2021</t>
        </is>
      </c>
      <c r="B207" s="1" t="n">
        <v>44343</v>
      </c>
      <c r="C207" s="1" t="n">
        <v>45633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25594-2021 artfynd.xlsx", "A 25594-2021")</f>
        <v/>
      </c>
      <c r="T207">
        <f>HYPERLINK("https://klasma.github.io/Logging_0883/kartor/A 25594-2021 karta.png", "A 25594-2021")</f>
        <v/>
      </c>
      <c r="U207">
        <f>HYPERLINK("https://klasma.github.io/Logging_0883/knärot/A 25594-2021 karta knärot.png", "A 25594-2021")</f>
        <v/>
      </c>
      <c r="V207">
        <f>HYPERLINK("https://klasma.github.io/Logging_0883/klagomål/A 25594-2021 FSC-klagomål.docx", "A 25594-2021")</f>
        <v/>
      </c>
      <c r="W207">
        <f>HYPERLINK("https://klasma.github.io/Logging_0883/klagomålsmail/A 25594-2021 FSC-klagomål mail.docx", "A 25594-2021")</f>
        <v/>
      </c>
      <c r="X207">
        <f>HYPERLINK("https://klasma.github.io/Logging_0883/tillsyn/A 25594-2021 tillsynsbegäran.docx", "A 25594-2021")</f>
        <v/>
      </c>
      <c r="Y207">
        <f>HYPERLINK("https://klasma.github.io/Logging_0883/tillsynsmail/A 25594-2021 tillsynsbegäran mail.docx", "A 25594-2021")</f>
        <v/>
      </c>
    </row>
    <row r="208" ht="15" customHeight="1">
      <c r="A208" t="inlineStr">
        <is>
          <t>A 29455-2021</t>
        </is>
      </c>
      <c r="B208" s="1" t="n">
        <v>44361</v>
      </c>
      <c r="C208" s="1" t="n">
        <v>45633</v>
      </c>
      <c r="D208" t="inlineStr">
        <is>
          <t>KALMAR LÄN</t>
        </is>
      </c>
      <c r="E208" t="inlineStr">
        <is>
          <t>VÄSTERVIK</t>
        </is>
      </c>
      <c r="F208" t="inlineStr">
        <is>
          <t>Övriga Aktiebolag</t>
        </is>
      </c>
      <c r="G208" t="n">
        <v>3.1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29455-2021 artfynd.xlsx", "A 29455-2021")</f>
        <v/>
      </c>
      <c r="T208">
        <f>HYPERLINK("https://klasma.github.io/Logging_0883/kartor/A 29455-2021 karta.png", "A 29455-2021")</f>
        <v/>
      </c>
      <c r="U208">
        <f>HYPERLINK("https://klasma.github.io/Logging_0883/knärot/A 29455-2021 karta knärot.png", "A 29455-2021")</f>
        <v/>
      </c>
      <c r="V208">
        <f>HYPERLINK("https://klasma.github.io/Logging_0883/klagomål/A 29455-2021 FSC-klagomål.docx", "A 29455-2021")</f>
        <v/>
      </c>
      <c r="W208">
        <f>HYPERLINK("https://klasma.github.io/Logging_0883/klagomålsmail/A 29455-2021 FSC-klagomål mail.docx", "A 29455-2021")</f>
        <v/>
      </c>
      <c r="X208">
        <f>HYPERLINK("https://klasma.github.io/Logging_0883/tillsyn/A 29455-2021 tillsynsbegäran.docx", "A 29455-2021")</f>
        <v/>
      </c>
      <c r="Y208">
        <f>HYPERLINK("https://klasma.github.io/Logging_0883/tillsynsmail/A 29455-2021 tillsynsbegäran mail.docx", "A 29455-2021")</f>
        <v/>
      </c>
    </row>
    <row r="209" ht="15" customHeight="1">
      <c r="A209" t="inlineStr">
        <is>
          <t>A 31315-2021</t>
        </is>
      </c>
      <c r="B209" s="1" t="n">
        <v>44368</v>
      </c>
      <c r="C209" s="1" t="n">
        <v>45633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31315-2021 artfynd.xlsx", "A 31315-2021")</f>
        <v/>
      </c>
      <c r="T209">
        <f>HYPERLINK("https://klasma.github.io/Logging_0883/kartor/A 31315-2021 karta.png", "A 31315-2021")</f>
        <v/>
      </c>
      <c r="U209">
        <f>HYPERLINK("https://klasma.github.io/Logging_0883/knärot/A 31315-2021 karta knärot.png", "A 31315-2021")</f>
        <v/>
      </c>
      <c r="V209">
        <f>HYPERLINK("https://klasma.github.io/Logging_0883/klagomål/A 31315-2021 FSC-klagomål.docx", "A 31315-2021")</f>
        <v/>
      </c>
      <c r="W209">
        <f>HYPERLINK("https://klasma.github.io/Logging_0883/klagomålsmail/A 31315-2021 FSC-klagomål mail.docx", "A 31315-2021")</f>
        <v/>
      </c>
      <c r="X209">
        <f>HYPERLINK("https://klasma.github.io/Logging_0883/tillsyn/A 31315-2021 tillsynsbegäran.docx", "A 31315-2021")</f>
        <v/>
      </c>
      <c r="Y209">
        <f>HYPERLINK("https://klasma.github.io/Logging_0883/tillsynsmail/A 31315-2021 tillsynsbegäran mail.docx", "A 31315-2021")</f>
        <v/>
      </c>
    </row>
    <row r="210" ht="15" customHeight="1">
      <c r="A210" t="inlineStr">
        <is>
          <t>A 44635-2021</t>
        </is>
      </c>
      <c r="B210" s="1" t="n">
        <v>44437</v>
      </c>
      <c r="C210" s="1" t="n">
        <v>45633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HYPERLINK("https://klasma.github.io/Logging_0883/artfynd/A 44635-2021 artfynd.xlsx", "A 44635-2021")</f>
        <v/>
      </c>
      <c r="T210">
        <f>HYPERLINK("https://klasma.github.io/Logging_0883/kartor/A 44635-2021 karta.png", "A 44635-2021")</f>
        <v/>
      </c>
      <c r="V210">
        <f>HYPERLINK("https://klasma.github.io/Logging_0883/klagomål/A 44635-2021 FSC-klagomål.docx", "A 44635-2021")</f>
        <v/>
      </c>
      <c r="W210">
        <f>HYPERLINK("https://klasma.github.io/Logging_0883/klagomålsmail/A 44635-2021 FSC-klagomål mail.docx", "A 44635-2021")</f>
        <v/>
      </c>
      <c r="X210">
        <f>HYPERLINK("https://klasma.github.io/Logging_0883/tillsyn/A 44635-2021 tillsynsbegäran.docx", "A 44635-2021")</f>
        <v/>
      </c>
      <c r="Y210">
        <f>HYPERLINK("https://klasma.github.io/Logging_0883/tillsynsmail/A 44635-2021 tillsynsbegäran mail.docx", "A 44635-2021")</f>
        <v/>
      </c>
    </row>
    <row r="211" ht="15" customHeight="1">
      <c r="A211" t="inlineStr">
        <is>
          <t>A 47860-2021</t>
        </is>
      </c>
      <c r="B211" s="1" t="n">
        <v>44448</v>
      </c>
      <c r="C211" s="1" t="n">
        <v>45633</v>
      </c>
      <c r="D211" t="inlineStr">
        <is>
          <t>KALMAR LÄN</t>
        </is>
      </c>
      <c r="E211" t="inlineStr">
        <is>
          <t>VÄSTERVIK</t>
        </is>
      </c>
      <c r="G211" t="n">
        <v>2.8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47860-2021 artfynd.xlsx", "A 47860-2021")</f>
        <v/>
      </c>
      <c r="T211">
        <f>HYPERLINK("https://klasma.github.io/Logging_0883/kartor/A 47860-2021 karta.png", "A 47860-2021")</f>
        <v/>
      </c>
      <c r="V211">
        <f>HYPERLINK("https://klasma.github.io/Logging_0883/klagomål/A 47860-2021 FSC-klagomål.docx", "A 47860-2021")</f>
        <v/>
      </c>
      <c r="W211">
        <f>HYPERLINK("https://klasma.github.io/Logging_0883/klagomålsmail/A 47860-2021 FSC-klagomål mail.docx", "A 47860-2021")</f>
        <v/>
      </c>
      <c r="X211">
        <f>HYPERLINK("https://klasma.github.io/Logging_0883/tillsyn/A 47860-2021 tillsynsbegäran.docx", "A 47860-2021")</f>
        <v/>
      </c>
      <c r="Y211">
        <f>HYPERLINK("https://klasma.github.io/Logging_0883/tillsynsmail/A 47860-2021 tillsynsbegäran mail.docx", "A 47860-2021")</f>
        <v/>
      </c>
    </row>
    <row r="212" ht="15" customHeight="1">
      <c r="A212" t="inlineStr">
        <is>
          <t>A 52831-2021</t>
        </is>
      </c>
      <c r="B212" s="1" t="n">
        <v>44467</v>
      </c>
      <c r="C212" s="1" t="n">
        <v>45633</v>
      </c>
      <c r="D212" t="inlineStr">
        <is>
          <t>KALMAR LÄN</t>
        </is>
      </c>
      <c r="E212" t="inlineStr">
        <is>
          <t>VÄSTERVIK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52831-2021 artfynd.xlsx", "A 52831-2021")</f>
        <v/>
      </c>
      <c r="T212">
        <f>HYPERLINK("https://klasma.github.io/Logging_0883/kartor/A 52831-2021 karta.png", "A 52831-2021")</f>
        <v/>
      </c>
      <c r="V212">
        <f>HYPERLINK("https://klasma.github.io/Logging_0883/klagomål/A 52831-2021 FSC-klagomål.docx", "A 52831-2021")</f>
        <v/>
      </c>
      <c r="W212">
        <f>HYPERLINK("https://klasma.github.io/Logging_0883/klagomålsmail/A 52831-2021 FSC-klagomål mail.docx", "A 52831-2021")</f>
        <v/>
      </c>
      <c r="X212">
        <f>HYPERLINK("https://klasma.github.io/Logging_0883/tillsyn/A 52831-2021 tillsynsbegäran.docx", "A 52831-2021")</f>
        <v/>
      </c>
      <c r="Y212">
        <f>HYPERLINK("https://klasma.github.io/Logging_0883/tillsynsmail/A 52831-2021 tillsynsbegäran mail.docx", "A 52831-2021")</f>
        <v/>
      </c>
    </row>
    <row r="213" ht="15" customHeight="1">
      <c r="A213" t="inlineStr">
        <is>
          <t>A 53738-2021</t>
        </is>
      </c>
      <c r="B213" s="1" t="n">
        <v>44467</v>
      </c>
      <c r="C213" s="1" t="n">
        <v>45633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53738-2021 artfynd.xlsx", "A 53738-2021")</f>
        <v/>
      </c>
      <c r="T213">
        <f>HYPERLINK("https://klasma.github.io/Logging_0883/kartor/A 53738-2021 karta.png", "A 53738-2021")</f>
        <v/>
      </c>
      <c r="U213">
        <f>HYPERLINK("https://klasma.github.io/Logging_0883/knärot/A 53738-2021 karta knärot.png", "A 53738-2021")</f>
        <v/>
      </c>
      <c r="V213">
        <f>HYPERLINK("https://klasma.github.io/Logging_0883/klagomål/A 53738-2021 FSC-klagomål.docx", "A 53738-2021")</f>
        <v/>
      </c>
      <c r="W213">
        <f>HYPERLINK("https://klasma.github.io/Logging_0883/klagomålsmail/A 53738-2021 FSC-klagomål mail.docx", "A 53738-2021")</f>
        <v/>
      </c>
      <c r="X213">
        <f>HYPERLINK("https://klasma.github.io/Logging_0883/tillsyn/A 53738-2021 tillsynsbegäran.docx", "A 53738-2021")</f>
        <v/>
      </c>
      <c r="Y213">
        <f>HYPERLINK("https://klasma.github.io/Logging_0883/tillsynsmail/A 53738-2021 tillsynsbegäran mail.docx", "A 53738-2021")</f>
        <v/>
      </c>
    </row>
    <row r="214" ht="15" customHeight="1">
      <c r="A214" t="inlineStr">
        <is>
          <t>A 56618-2021</t>
        </is>
      </c>
      <c r="B214" s="1" t="n">
        <v>44480</v>
      </c>
      <c r="C214" s="1" t="n">
        <v>45633</v>
      </c>
      <c r="D214" t="inlineStr">
        <is>
          <t>KALMAR LÄN</t>
        </is>
      </c>
      <c r="E214" t="inlineStr">
        <is>
          <t>VÄSTERVIK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56618-2021 artfynd.xlsx", "A 56618-2021")</f>
        <v/>
      </c>
      <c r="T214">
        <f>HYPERLINK("https://klasma.github.io/Logging_0883/kartor/A 56618-2021 karta.png", "A 56618-2021")</f>
        <v/>
      </c>
      <c r="V214">
        <f>HYPERLINK("https://klasma.github.io/Logging_0883/klagomål/A 56618-2021 FSC-klagomål.docx", "A 56618-2021")</f>
        <v/>
      </c>
      <c r="W214">
        <f>HYPERLINK("https://klasma.github.io/Logging_0883/klagomålsmail/A 56618-2021 FSC-klagomål mail.docx", "A 56618-2021")</f>
        <v/>
      </c>
      <c r="X214">
        <f>HYPERLINK("https://klasma.github.io/Logging_0883/tillsyn/A 56618-2021 tillsynsbegäran.docx", "A 56618-2021")</f>
        <v/>
      </c>
      <c r="Y214">
        <f>HYPERLINK("https://klasma.github.io/Logging_0883/tillsynsmail/A 56618-2021 tillsynsbegäran mail.docx", "A 56618-2021")</f>
        <v/>
      </c>
    </row>
    <row r="215" ht="15" customHeight="1">
      <c r="A215" t="inlineStr">
        <is>
          <t>A 61319-2021</t>
        </is>
      </c>
      <c r="B215" s="1" t="n">
        <v>44498</v>
      </c>
      <c r="C215" s="1" t="n">
        <v>45633</v>
      </c>
      <c r="D215" t="inlineStr">
        <is>
          <t>KALMAR LÄN</t>
        </is>
      </c>
      <c r="E215" t="inlineStr">
        <is>
          <t>VÄSTERVIK</t>
        </is>
      </c>
      <c r="G215" t="n">
        <v>2.2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Ekoxe</t>
        </is>
      </c>
      <c r="S215">
        <f>HYPERLINK("https://klasma.github.io/Logging_0883/artfynd/A 61319-2021 artfynd.xlsx", "A 61319-2021")</f>
        <v/>
      </c>
      <c r="T215">
        <f>HYPERLINK("https://klasma.github.io/Logging_0883/kartor/A 61319-2021 karta.png", "A 61319-2021")</f>
        <v/>
      </c>
      <c r="V215">
        <f>HYPERLINK("https://klasma.github.io/Logging_0883/klagomål/A 61319-2021 FSC-klagomål.docx", "A 61319-2021")</f>
        <v/>
      </c>
      <c r="W215">
        <f>HYPERLINK("https://klasma.github.io/Logging_0883/klagomålsmail/A 61319-2021 FSC-klagomål mail.docx", "A 61319-2021")</f>
        <v/>
      </c>
      <c r="X215">
        <f>HYPERLINK("https://klasma.github.io/Logging_0883/tillsyn/A 61319-2021 tillsynsbegäran.docx", "A 61319-2021")</f>
        <v/>
      </c>
      <c r="Y215">
        <f>HYPERLINK("https://klasma.github.io/Logging_0883/tillsynsmail/A 61319-2021 tillsynsbegäran mail.docx", "A 61319-2021")</f>
        <v/>
      </c>
    </row>
    <row r="216" ht="15" customHeight="1">
      <c r="A216" t="inlineStr">
        <is>
          <t>A 1677-2022</t>
        </is>
      </c>
      <c r="B216" s="1" t="n">
        <v>44574</v>
      </c>
      <c r="C216" s="1" t="n">
        <v>45633</v>
      </c>
      <c r="D216" t="inlineStr">
        <is>
          <t>KALMAR LÄN</t>
        </is>
      </c>
      <c r="E216" t="inlineStr">
        <is>
          <t>VÄSTERVIK</t>
        </is>
      </c>
      <c r="G216" t="n">
        <v>3.3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1677-2022 artfynd.xlsx", "A 1677-2022")</f>
        <v/>
      </c>
      <c r="T216">
        <f>HYPERLINK("https://klasma.github.io/Logging_0883/kartor/A 1677-2022 karta.png", "A 1677-2022")</f>
        <v/>
      </c>
      <c r="U216">
        <f>HYPERLINK("https://klasma.github.io/Logging_0883/knärot/A 1677-2022 karta knärot.png", "A 1677-2022")</f>
        <v/>
      </c>
      <c r="V216">
        <f>HYPERLINK("https://klasma.github.io/Logging_0883/klagomål/A 1677-2022 FSC-klagomål.docx", "A 1677-2022")</f>
        <v/>
      </c>
      <c r="W216">
        <f>HYPERLINK("https://klasma.github.io/Logging_0883/klagomålsmail/A 1677-2022 FSC-klagomål mail.docx", "A 1677-2022")</f>
        <v/>
      </c>
      <c r="X216">
        <f>HYPERLINK("https://klasma.github.io/Logging_0883/tillsyn/A 1677-2022 tillsynsbegäran.docx", "A 1677-2022")</f>
        <v/>
      </c>
      <c r="Y216">
        <f>HYPERLINK("https://klasma.github.io/Logging_0883/tillsynsmail/A 1677-2022 tillsynsbegäran mail.docx", "A 1677-2022")</f>
        <v/>
      </c>
    </row>
    <row r="217" ht="15" customHeight="1">
      <c r="A217" t="inlineStr">
        <is>
          <t>A 11609-2022</t>
        </is>
      </c>
      <c r="B217" s="1" t="n">
        <v>44631</v>
      </c>
      <c r="C217" s="1" t="n">
        <v>45633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11609-2022 artfynd.xlsx", "A 11609-2022")</f>
        <v/>
      </c>
      <c r="T217">
        <f>HYPERLINK("https://klasma.github.io/Logging_0883/kartor/A 11609-2022 karta.png", "A 11609-2022")</f>
        <v/>
      </c>
      <c r="U217">
        <f>HYPERLINK("https://klasma.github.io/Logging_0883/knärot/A 11609-2022 karta knärot.png", "A 11609-2022")</f>
        <v/>
      </c>
      <c r="V217">
        <f>HYPERLINK("https://klasma.github.io/Logging_0883/klagomål/A 11609-2022 FSC-klagomål.docx", "A 11609-2022")</f>
        <v/>
      </c>
      <c r="W217">
        <f>HYPERLINK("https://klasma.github.io/Logging_0883/klagomålsmail/A 11609-2022 FSC-klagomål mail.docx", "A 11609-2022")</f>
        <v/>
      </c>
      <c r="X217">
        <f>HYPERLINK("https://klasma.github.io/Logging_0883/tillsyn/A 11609-2022 tillsynsbegäran.docx", "A 11609-2022")</f>
        <v/>
      </c>
      <c r="Y217">
        <f>HYPERLINK("https://klasma.github.io/Logging_0883/tillsynsmail/A 11609-2022 tillsynsbegäran mail.docx", "A 11609-2022")</f>
        <v/>
      </c>
    </row>
    <row r="218" ht="15" customHeight="1">
      <c r="A218" t="inlineStr">
        <is>
          <t>A 12662-2022</t>
        </is>
      </c>
      <c r="B218" s="1" t="n">
        <v>44641</v>
      </c>
      <c r="C218" s="1" t="n">
        <v>45633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HYPERLINK("https://klasma.github.io/Logging_0883/artfynd/A 12662-2022 artfynd.xlsx", "A 12662-2022")</f>
        <v/>
      </c>
      <c r="T218">
        <f>HYPERLINK("https://klasma.github.io/Logging_0883/kartor/A 12662-2022 karta.png", "A 12662-2022")</f>
        <v/>
      </c>
      <c r="V218">
        <f>HYPERLINK("https://klasma.github.io/Logging_0883/klagomål/A 12662-2022 FSC-klagomål.docx", "A 12662-2022")</f>
        <v/>
      </c>
      <c r="W218">
        <f>HYPERLINK("https://klasma.github.io/Logging_0883/klagomålsmail/A 12662-2022 FSC-klagomål mail.docx", "A 12662-2022")</f>
        <v/>
      </c>
      <c r="X218">
        <f>HYPERLINK("https://klasma.github.io/Logging_0883/tillsyn/A 12662-2022 tillsynsbegäran.docx", "A 12662-2022")</f>
        <v/>
      </c>
      <c r="Y218">
        <f>HYPERLINK("https://klasma.github.io/Logging_0883/tillsynsmail/A 12662-2022 tillsynsbegäran mail.docx", "A 12662-2022")</f>
        <v/>
      </c>
    </row>
    <row r="219" ht="15" customHeight="1">
      <c r="A219" t="inlineStr">
        <is>
          <t>A 15378-2022</t>
        </is>
      </c>
      <c r="B219" s="1" t="n">
        <v>44659</v>
      </c>
      <c r="C219" s="1" t="n">
        <v>45633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Klofibbla</t>
        </is>
      </c>
      <c r="S219">
        <f>HYPERLINK("https://klasma.github.io/Logging_0883/artfynd/A 15378-2022 artfynd.xlsx", "A 15378-2022")</f>
        <v/>
      </c>
      <c r="T219">
        <f>HYPERLINK("https://klasma.github.io/Logging_0883/kartor/A 15378-2022 karta.png", "A 15378-2022")</f>
        <v/>
      </c>
      <c r="V219">
        <f>HYPERLINK("https://klasma.github.io/Logging_0883/klagomål/A 15378-2022 FSC-klagomål.docx", "A 15378-2022")</f>
        <v/>
      </c>
      <c r="W219">
        <f>HYPERLINK("https://klasma.github.io/Logging_0883/klagomålsmail/A 15378-2022 FSC-klagomål mail.docx", "A 15378-2022")</f>
        <v/>
      </c>
      <c r="X219">
        <f>HYPERLINK("https://klasma.github.io/Logging_0883/tillsyn/A 15378-2022 tillsynsbegäran.docx", "A 15378-2022")</f>
        <v/>
      </c>
      <c r="Y219">
        <f>HYPERLINK("https://klasma.github.io/Logging_0883/tillsynsmail/A 15378-2022 tillsynsbegäran mail.docx", "A 15378-2022")</f>
        <v/>
      </c>
    </row>
    <row r="220" ht="15" customHeight="1">
      <c r="A220" t="inlineStr">
        <is>
          <t>A 19900-2022</t>
        </is>
      </c>
      <c r="B220" s="1" t="n">
        <v>44697</v>
      </c>
      <c r="C220" s="1" t="n">
        <v>45633</v>
      </c>
      <c r="D220" t="inlineStr">
        <is>
          <t>KALMAR LÄN</t>
        </is>
      </c>
      <c r="E220" t="inlineStr">
        <is>
          <t>VÄSTERVIK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19900-2022 artfynd.xlsx", "A 19900-2022")</f>
        <v/>
      </c>
      <c r="T220">
        <f>HYPERLINK("https://klasma.github.io/Logging_0883/kartor/A 19900-2022 karta.png", "A 19900-2022")</f>
        <v/>
      </c>
      <c r="U220">
        <f>HYPERLINK("https://klasma.github.io/Logging_0883/knärot/A 19900-2022 karta knärot.png", "A 19900-2022")</f>
        <v/>
      </c>
      <c r="V220">
        <f>HYPERLINK("https://klasma.github.io/Logging_0883/klagomål/A 19900-2022 FSC-klagomål.docx", "A 19900-2022")</f>
        <v/>
      </c>
      <c r="W220">
        <f>HYPERLINK("https://klasma.github.io/Logging_0883/klagomålsmail/A 19900-2022 FSC-klagomål mail.docx", "A 19900-2022")</f>
        <v/>
      </c>
      <c r="X220">
        <f>HYPERLINK("https://klasma.github.io/Logging_0883/tillsyn/A 19900-2022 tillsynsbegäran.docx", "A 19900-2022")</f>
        <v/>
      </c>
      <c r="Y220">
        <f>HYPERLINK("https://klasma.github.io/Logging_0883/tillsynsmail/A 19900-2022 tillsynsbegäran mail.docx", "A 19900-2022")</f>
        <v/>
      </c>
    </row>
    <row r="221" ht="15" customHeight="1">
      <c r="A221" t="inlineStr">
        <is>
          <t>A 26056-2022</t>
        </is>
      </c>
      <c r="B221" s="1" t="n">
        <v>44734</v>
      </c>
      <c r="C221" s="1" t="n">
        <v>45633</v>
      </c>
      <c r="D221" t="inlineStr">
        <is>
          <t>KALMAR LÄN</t>
        </is>
      </c>
      <c r="E221" t="inlineStr">
        <is>
          <t>VÄSTERVIK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26056-2022 artfynd.xlsx", "A 26056-2022")</f>
        <v/>
      </c>
      <c r="T221">
        <f>HYPERLINK("https://klasma.github.io/Logging_0883/kartor/A 26056-2022 karta.png", "A 26056-2022")</f>
        <v/>
      </c>
      <c r="V221">
        <f>HYPERLINK("https://klasma.github.io/Logging_0883/klagomål/A 26056-2022 FSC-klagomål.docx", "A 26056-2022")</f>
        <v/>
      </c>
      <c r="W221">
        <f>HYPERLINK("https://klasma.github.io/Logging_0883/klagomålsmail/A 26056-2022 FSC-klagomål mail.docx", "A 26056-2022")</f>
        <v/>
      </c>
      <c r="X221">
        <f>HYPERLINK("https://klasma.github.io/Logging_0883/tillsyn/A 26056-2022 tillsynsbegäran.docx", "A 26056-2022")</f>
        <v/>
      </c>
      <c r="Y221">
        <f>HYPERLINK("https://klasma.github.io/Logging_0883/tillsynsmail/A 26056-2022 tillsynsbegäran mail.docx", "A 26056-2022")</f>
        <v/>
      </c>
    </row>
    <row r="222" ht="15" customHeight="1">
      <c r="A222" t="inlineStr">
        <is>
          <t>A 33209-2022</t>
        </is>
      </c>
      <c r="B222" s="1" t="n">
        <v>44785</v>
      </c>
      <c r="C222" s="1" t="n">
        <v>45633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33209-2022 artfynd.xlsx", "A 33209-2022")</f>
        <v/>
      </c>
      <c r="T222">
        <f>HYPERLINK("https://klasma.github.io/Logging_0883/kartor/A 33209-2022 karta.png", "A 33209-2022")</f>
        <v/>
      </c>
      <c r="V222">
        <f>HYPERLINK("https://klasma.github.io/Logging_0883/klagomål/A 33209-2022 FSC-klagomål.docx", "A 33209-2022")</f>
        <v/>
      </c>
      <c r="W222">
        <f>HYPERLINK("https://klasma.github.io/Logging_0883/klagomålsmail/A 33209-2022 FSC-klagomål mail.docx", "A 33209-2022")</f>
        <v/>
      </c>
      <c r="X222">
        <f>HYPERLINK("https://klasma.github.io/Logging_0883/tillsyn/A 33209-2022 tillsynsbegäran.docx", "A 33209-2022")</f>
        <v/>
      </c>
      <c r="Y222">
        <f>HYPERLINK("https://klasma.github.io/Logging_0883/tillsynsmail/A 33209-2022 tillsynsbegäran mail.docx", "A 33209-2022")</f>
        <v/>
      </c>
    </row>
    <row r="223" ht="15" customHeight="1">
      <c r="A223" t="inlineStr">
        <is>
          <t>A 40924-2022</t>
        </is>
      </c>
      <c r="B223" s="1" t="n">
        <v>44825</v>
      </c>
      <c r="C223" s="1" t="n">
        <v>45633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0.5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Barbastell</t>
        </is>
      </c>
      <c r="S223">
        <f>HYPERLINK("https://klasma.github.io/Logging_0883/artfynd/A 40924-2022 artfynd.xlsx", "A 40924-2022")</f>
        <v/>
      </c>
      <c r="T223">
        <f>HYPERLINK("https://klasma.github.io/Logging_0883/kartor/A 40924-2022 karta.png", "A 40924-2022")</f>
        <v/>
      </c>
      <c r="V223">
        <f>HYPERLINK("https://klasma.github.io/Logging_0883/klagomål/A 40924-2022 FSC-klagomål.docx", "A 40924-2022")</f>
        <v/>
      </c>
      <c r="W223">
        <f>HYPERLINK("https://klasma.github.io/Logging_0883/klagomålsmail/A 40924-2022 FSC-klagomål mail.docx", "A 40924-2022")</f>
        <v/>
      </c>
      <c r="X223">
        <f>HYPERLINK("https://klasma.github.io/Logging_0883/tillsyn/A 40924-2022 tillsynsbegäran.docx", "A 40924-2022")</f>
        <v/>
      </c>
      <c r="Y223">
        <f>HYPERLINK("https://klasma.github.io/Logging_0883/tillsynsmail/A 40924-2022 tillsynsbegäran mail.docx", "A 40924-2022")</f>
        <v/>
      </c>
    </row>
    <row r="224" ht="15" customHeight="1">
      <c r="A224" t="inlineStr">
        <is>
          <t>A 46559-2022</t>
        </is>
      </c>
      <c r="B224" s="1" t="n">
        <v>44848</v>
      </c>
      <c r="C224" s="1" t="n">
        <v>45633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HYPERLINK("https://klasma.github.io/Logging_0883/artfynd/A 46559-2022 artfynd.xlsx", "A 46559-2022")</f>
        <v/>
      </c>
      <c r="T224">
        <f>HYPERLINK("https://klasma.github.io/Logging_0883/kartor/A 46559-2022 karta.png", "A 46559-2022")</f>
        <v/>
      </c>
      <c r="V224">
        <f>HYPERLINK("https://klasma.github.io/Logging_0883/klagomål/A 46559-2022 FSC-klagomål.docx", "A 46559-2022")</f>
        <v/>
      </c>
      <c r="W224">
        <f>HYPERLINK("https://klasma.github.io/Logging_0883/klagomålsmail/A 46559-2022 FSC-klagomål mail.docx", "A 46559-2022")</f>
        <v/>
      </c>
      <c r="X224">
        <f>HYPERLINK("https://klasma.github.io/Logging_0883/tillsyn/A 46559-2022 tillsynsbegäran.docx", "A 46559-2022")</f>
        <v/>
      </c>
      <c r="Y224">
        <f>HYPERLINK("https://klasma.github.io/Logging_0883/tillsynsmail/A 46559-2022 tillsynsbegäran mail.docx", "A 46559-2022")</f>
        <v/>
      </c>
    </row>
    <row r="225" ht="15" customHeight="1">
      <c r="A225" t="inlineStr">
        <is>
          <t>A 46556-2022</t>
        </is>
      </c>
      <c r="B225" s="1" t="n">
        <v>44848</v>
      </c>
      <c r="C225" s="1" t="n">
        <v>45633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46556-2022 artfynd.xlsx", "A 46556-2022")</f>
        <v/>
      </c>
      <c r="T225">
        <f>HYPERLINK("https://klasma.github.io/Logging_0883/kartor/A 46556-2022 karta.png", "A 46556-2022")</f>
        <v/>
      </c>
      <c r="V225">
        <f>HYPERLINK("https://klasma.github.io/Logging_0883/klagomål/A 46556-2022 FSC-klagomål.docx", "A 46556-2022")</f>
        <v/>
      </c>
      <c r="W225">
        <f>HYPERLINK("https://klasma.github.io/Logging_0883/klagomålsmail/A 46556-2022 FSC-klagomål mail.docx", "A 46556-2022")</f>
        <v/>
      </c>
      <c r="X225">
        <f>HYPERLINK("https://klasma.github.io/Logging_0883/tillsyn/A 46556-2022 tillsynsbegäran.docx", "A 46556-2022")</f>
        <v/>
      </c>
      <c r="Y225">
        <f>HYPERLINK("https://klasma.github.io/Logging_0883/tillsynsmail/A 46556-2022 tillsynsbegäran mail.docx", "A 46556-2022")</f>
        <v/>
      </c>
    </row>
    <row r="226" ht="15" customHeight="1">
      <c r="A226" t="inlineStr">
        <is>
          <t>A 51024-2022</t>
        </is>
      </c>
      <c r="B226" s="1" t="n">
        <v>44867</v>
      </c>
      <c r="C226" s="1" t="n">
        <v>45633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7.6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HYPERLINK("https://klasma.github.io/Logging_0883/artfynd/A 51024-2022 artfynd.xlsx", "A 51024-2022")</f>
        <v/>
      </c>
      <c r="T226">
        <f>HYPERLINK("https://klasma.github.io/Logging_0883/kartor/A 51024-2022 karta.png", "A 51024-2022")</f>
        <v/>
      </c>
      <c r="V226">
        <f>HYPERLINK("https://klasma.github.io/Logging_0883/klagomål/A 51024-2022 FSC-klagomål.docx", "A 51024-2022")</f>
        <v/>
      </c>
      <c r="W226">
        <f>HYPERLINK("https://klasma.github.io/Logging_0883/klagomålsmail/A 51024-2022 FSC-klagomål mail.docx", "A 51024-2022")</f>
        <v/>
      </c>
      <c r="X226">
        <f>HYPERLINK("https://klasma.github.io/Logging_0883/tillsyn/A 51024-2022 tillsynsbegäran.docx", "A 51024-2022")</f>
        <v/>
      </c>
      <c r="Y226">
        <f>HYPERLINK("https://klasma.github.io/Logging_0883/tillsynsmail/A 51024-2022 tillsynsbegäran mail.docx", "A 51024-2022")</f>
        <v/>
      </c>
      <c r="Z226">
        <f>HYPERLINK("https://klasma.github.io/Logging_0883/fåglar/A 51024-2022 prioriterade fågelarter.docx", "A 51024-2022")</f>
        <v/>
      </c>
    </row>
    <row r="227" ht="15" customHeight="1">
      <c r="A227" t="inlineStr">
        <is>
          <t>A 54193-2022</t>
        </is>
      </c>
      <c r="B227" s="1" t="n">
        <v>44881</v>
      </c>
      <c r="C227" s="1" t="n">
        <v>45633</v>
      </c>
      <c r="D227" t="inlineStr">
        <is>
          <t>KALMAR LÄN</t>
        </is>
      </c>
      <c r="E227" t="inlineStr">
        <is>
          <t>VÄSTERVIK</t>
        </is>
      </c>
      <c r="G227" t="n">
        <v>1.7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Murgröna</t>
        </is>
      </c>
      <c r="S227">
        <f>HYPERLINK("https://klasma.github.io/Logging_0883/artfynd/A 54193-2022 artfynd.xlsx", "A 54193-2022")</f>
        <v/>
      </c>
      <c r="T227">
        <f>HYPERLINK("https://klasma.github.io/Logging_0883/kartor/A 54193-2022 karta.png", "A 54193-2022")</f>
        <v/>
      </c>
      <c r="U227">
        <f>HYPERLINK("https://klasma.github.io/Logging_0883/knärot/A 54193-2022 karta knärot.png", "A 54193-2022")</f>
        <v/>
      </c>
      <c r="V227">
        <f>HYPERLINK("https://klasma.github.io/Logging_0883/klagomål/A 54193-2022 FSC-klagomål.docx", "A 54193-2022")</f>
        <v/>
      </c>
      <c r="W227">
        <f>HYPERLINK("https://klasma.github.io/Logging_0883/klagomålsmail/A 54193-2022 FSC-klagomål mail.docx", "A 54193-2022")</f>
        <v/>
      </c>
      <c r="X227">
        <f>HYPERLINK("https://klasma.github.io/Logging_0883/tillsyn/A 54193-2022 tillsynsbegäran.docx", "A 54193-2022")</f>
        <v/>
      </c>
      <c r="Y227">
        <f>HYPERLINK("https://klasma.github.io/Logging_0883/tillsynsmail/A 54193-2022 tillsynsbegäran mail.docx", "A 54193-2022")</f>
        <v/>
      </c>
    </row>
    <row r="228" ht="15" customHeight="1">
      <c r="A228" t="inlineStr">
        <is>
          <t>A 59178-2022</t>
        </is>
      </c>
      <c r="B228" s="1" t="n">
        <v>44904</v>
      </c>
      <c r="C228" s="1" t="n">
        <v>45633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59178-2022 artfynd.xlsx", "A 59178-2022")</f>
        <v/>
      </c>
      <c r="T228">
        <f>HYPERLINK("https://klasma.github.io/Logging_0883/kartor/A 59178-2022 karta.png", "A 59178-2022")</f>
        <v/>
      </c>
      <c r="V228">
        <f>HYPERLINK("https://klasma.github.io/Logging_0883/klagomål/A 59178-2022 FSC-klagomål.docx", "A 59178-2022")</f>
        <v/>
      </c>
      <c r="W228">
        <f>HYPERLINK("https://klasma.github.io/Logging_0883/klagomålsmail/A 59178-2022 FSC-klagomål mail.docx", "A 59178-2022")</f>
        <v/>
      </c>
      <c r="X228">
        <f>HYPERLINK("https://klasma.github.io/Logging_0883/tillsyn/A 59178-2022 tillsynsbegäran.docx", "A 59178-2022")</f>
        <v/>
      </c>
      <c r="Y228">
        <f>HYPERLINK("https://klasma.github.io/Logging_0883/tillsynsmail/A 59178-2022 tillsynsbegäran mail.docx", "A 59178-2022")</f>
        <v/>
      </c>
    </row>
    <row r="229" ht="15" customHeight="1">
      <c r="A229" t="inlineStr">
        <is>
          <t>A 59231-2022</t>
        </is>
      </c>
      <c r="B229" s="1" t="n">
        <v>44904</v>
      </c>
      <c r="C229" s="1" t="n">
        <v>45633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59231-2022 artfynd.xlsx", "A 59231-2022")</f>
        <v/>
      </c>
      <c r="T229">
        <f>HYPERLINK("https://klasma.github.io/Logging_0883/kartor/A 59231-2022 karta.png", "A 59231-2022")</f>
        <v/>
      </c>
      <c r="V229">
        <f>HYPERLINK("https://klasma.github.io/Logging_0883/klagomål/A 59231-2022 FSC-klagomål.docx", "A 59231-2022")</f>
        <v/>
      </c>
      <c r="W229">
        <f>HYPERLINK("https://klasma.github.io/Logging_0883/klagomålsmail/A 59231-2022 FSC-klagomål mail.docx", "A 59231-2022")</f>
        <v/>
      </c>
      <c r="X229">
        <f>HYPERLINK("https://klasma.github.io/Logging_0883/tillsyn/A 59231-2022 tillsynsbegäran.docx", "A 59231-2022")</f>
        <v/>
      </c>
      <c r="Y229">
        <f>HYPERLINK("https://klasma.github.io/Logging_0883/tillsynsmail/A 59231-2022 tillsynsbegäran mail.docx", "A 59231-2022")</f>
        <v/>
      </c>
    </row>
    <row r="230" ht="15" customHeight="1">
      <c r="A230" t="inlineStr">
        <is>
          <t>A 975-2023</t>
        </is>
      </c>
      <c r="B230" s="1" t="n">
        <v>44935</v>
      </c>
      <c r="C230" s="1" t="n">
        <v>45633</v>
      </c>
      <c r="D230" t="inlineStr">
        <is>
          <t>KALMAR LÄN</t>
        </is>
      </c>
      <c r="E230" t="inlineStr">
        <is>
          <t>VÄSTERVIK</t>
        </is>
      </c>
      <c r="G230" t="n">
        <v>1.7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Läderbagge</t>
        </is>
      </c>
      <c r="S230">
        <f>HYPERLINK("https://klasma.github.io/Logging_0883/artfynd/A 975-2023 artfynd.xlsx", "A 975-2023")</f>
        <v/>
      </c>
      <c r="T230">
        <f>HYPERLINK("https://klasma.github.io/Logging_0883/kartor/A 975-2023 karta.png", "A 975-2023")</f>
        <v/>
      </c>
      <c r="V230">
        <f>HYPERLINK("https://klasma.github.io/Logging_0883/klagomål/A 975-2023 FSC-klagomål.docx", "A 975-2023")</f>
        <v/>
      </c>
      <c r="W230">
        <f>HYPERLINK("https://klasma.github.io/Logging_0883/klagomålsmail/A 975-2023 FSC-klagomål mail.docx", "A 975-2023")</f>
        <v/>
      </c>
      <c r="X230">
        <f>HYPERLINK("https://klasma.github.io/Logging_0883/tillsyn/A 975-2023 tillsynsbegäran.docx", "A 975-2023")</f>
        <v/>
      </c>
      <c r="Y230">
        <f>HYPERLINK("https://klasma.github.io/Logging_0883/tillsynsmail/A 975-2023 tillsynsbegäran mail.docx", "A 975-2023")</f>
        <v/>
      </c>
    </row>
    <row r="231" ht="15" customHeight="1">
      <c r="A231" t="inlineStr">
        <is>
          <t>A 1024-2023</t>
        </is>
      </c>
      <c r="B231" s="1" t="n">
        <v>44935</v>
      </c>
      <c r="C231" s="1" t="n">
        <v>45633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Ekticka</t>
        </is>
      </c>
      <c r="S231">
        <f>HYPERLINK("https://klasma.github.io/Logging_0883/artfynd/A 1024-2023 artfynd.xlsx", "A 1024-2023")</f>
        <v/>
      </c>
      <c r="T231">
        <f>HYPERLINK("https://klasma.github.io/Logging_0883/kartor/A 1024-2023 karta.png", "A 1024-2023")</f>
        <v/>
      </c>
      <c r="V231">
        <f>HYPERLINK("https://klasma.github.io/Logging_0883/klagomål/A 1024-2023 FSC-klagomål.docx", "A 1024-2023")</f>
        <v/>
      </c>
      <c r="W231">
        <f>HYPERLINK("https://klasma.github.io/Logging_0883/klagomålsmail/A 1024-2023 FSC-klagomål mail.docx", "A 1024-2023")</f>
        <v/>
      </c>
      <c r="X231">
        <f>HYPERLINK("https://klasma.github.io/Logging_0883/tillsyn/A 1024-2023 tillsynsbegäran.docx", "A 1024-2023")</f>
        <v/>
      </c>
      <c r="Y231">
        <f>HYPERLINK("https://klasma.github.io/Logging_0883/tillsynsmail/A 1024-2023 tillsynsbegäran mail.docx", "A 1024-2023")</f>
        <v/>
      </c>
    </row>
    <row r="232" ht="15" customHeight="1">
      <c r="A232" t="inlineStr">
        <is>
          <t>A 11589-2023</t>
        </is>
      </c>
      <c r="B232" s="1" t="n">
        <v>44994</v>
      </c>
      <c r="C232" s="1" t="n">
        <v>45633</v>
      </c>
      <c r="D232" t="inlineStr">
        <is>
          <t>KALMAR LÄN</t>
        </is>
      </c>
      <c r="E232" t="inlineStr">
        <is>
          <t>VÄSTERVIK</t>
        </is>
      </c>
      <c r="G232" t="n">
        <v>7.7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HYPERLINK("https://klasma.github.io/Logging_0883/artfynd/A 11589-2023 artfynd.xlsx", "A 11589-2023")</f>
        <v/>
      </c>
      <c r="T232">
        <f>HYPERLINK("https://klasma.github.io/Logging_0883/kartor/A 11589-2023 karta.png", "A 11589-2023")</f>
        <v/>
      </c>
      <c r="V232">
        <f>HYPERLINK("https://klasma.github.io/Logging_0883/klagomål/A 11589-2023 FSC-klagomål.docx", "A 11589-2023")</f>
        <v/>
      </c>
      <c r="W232">
        <f>HYPERLINK("https://klasma.github.io/Logging_0883/klagomålsmail/A 11589-2023 FSC-klagomål mail.docx", "A 11589-2023")</f>
        <v/>
      </c>
      <c r="X232">
        <f>HYPERLINK("https://klasma.github.io/Logging_0883/tillsyn/A 11589-2023 tillsynsbegäran.docx", "A 11589-2023")</f>
        <v/>
      </c>
      <c r="Y232">
        <f>HYPERLINK("https://klasma.github.io/Logging_0883/tillsynsmail/A 11589-2023 tillsynsbegäran mail.docx", "A 11589-2023")</f>
        <v/>
      </c>
    </row>
    <row r="233" ht="15" customHeight="1">
      <c r="A233" t="inlineStr">
        <is>
          <t>A 11729-2023</t>
        </is>
      </c>
      <c r="B233" s="1" t="n">
        <v>44994</v>
      </c>
      <c r="C233" s="1" t="n">
        <v>45633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Bredbrämad bastardsvärmare</t>
        </is>
      </c>
      <c r="S233">
        <f>HYPERLINK("https://klasma.github.io/Logging_0883/artfynd/A 11729-2023 artfynd.xlsx", "A 11729-2023")</f>
        <v/>
      </c>
      <c r="T233">
        <f>HYPERLINK("https://klasma.github.io/Logging_0883/kartor/A 11729-2023 karta.png", "A 11729-2023")</f>
        <v/>
      </c>
      <c r="V233">
        <f>HYPERLINK("https://klasma.github.io/Logging_0883/klagomål/A 11729-2023 FSC-klagomål.docx", "A 11729-2023")</f>
        <v/>
      </c>
      <c r="W233">
        <f>HYPERLINK("https://klasma.github.io/Logging_0883/klagomålsmail/A 11729-2023 FSC-klagomål mail.docx", "A 11729-2023")</f>
        <v/>
      </c>
      <c r="X233">
        <f>HYPERLINK("https://klasma.github.io/Logging_0883/tillsyn/A 11729-2023 tillsynsbegäran.docx", "A 11729-2023")</f>
        <v/>
      </c>
      <c r="Y233">
        <f>HYPERLINK("https://klasma.github.io/Logging_0883/tillsynsmail/A 11729-2023 tillsynsbegäran mail.docx", "A 11729-2023")</f>
        <v/>
      </c>
    </row>
    <row r="234" ht="15" customHeight="1">
      <c r="A234" t="inlineStr">
        <is>
          <t>A 14720-2023</t>
        </is>
      </c>
      <c r="B234" s="1" t="n">
        <v>45014</v>
      </c>
      <c r="C234" s="1" t="n">
        <v>45633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14720-2023 artfynd.xlsx", "A 14720-2023")</f>
        <v/>
      </c>
      <c r="T234">
        <f>HYPERLINK("https://klasma.github.io/Logging_0883/kartor/A 14720-2023 karta.png", "A 14720-2023")</f>
        <v/>
      </c>
      <c r="U234">
        <f>HYPERLINK("https://klasma.github.io/Logging_0883/knärot/A 14720-2023 karta knärot.png", "A 14720-2023")</f>
        <v/>
      </c>
      <c r="V234">
        <f>HYPERLINK("https://klasma.github.io/Logging_0883/klagomål/A 14720-2023 FSC-klagomål.docx", "A 14720-2023")</f>
        <v/>
      </c>
      <c r="W234">
        <f>HYPERLINK("https://klasma.github.io/Logging_0883/klagomålsmail/A 14720-2023 FSC-klagomål mail.docx", "A 14720-2023")</f>
        <v/>
      </c>
      <c r="X234">
        <f>HYPERLINK("https://klasma.github.io/Logging_0883/tillsyn/A 14720-2023 tillsynsbegäran.docx", "A 14720-2023")</f>
        <v/>
      </c>
      <c r="Y234">
        <f>HYPERLINK("https://klasma.github.io/Logging_0883/tillsynsmail/A 14720-2023 tillsynsbegäran mail.docx", "A 14720-2023")</f>
        <v/>
      </c>
    </row>
    <row r="235" ht="15" customHeight="1">
      <c r="A235" t="inlineStr">
        <is>
          <t>A 21828-2023</t>
        </is>
      </c>
      <c r="B235" s="1" t="n">
        <v>45068</v>
      </c>
      <c r="C235" s="1" t="n">
        <v>45633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21828-2023 artfynd.xlsx", "A 21828-2023")</f>
        <v/>
      </c>
      <c r="T235">
        <f>HYPERLINK("https://klasma.github.io/Logging_0883/kartor/A 21828-2023 karta.png", "A 21828-2023")</f>
        <v/>
      </c>
      <c r="V235">
        <f>HYPERLINK("https://klasma.github.io/Logging_0883/klagomål/A 21828-2023 FSC-klagomål.docx", "A 21828-2023")</f>
        <v/>
      </c>
      <c r="W235">
        <f>HYPERLINK("https://klasma.github.io/Logging_0883/klagomålsmail/A 21828-2023 FSC-klagomål mail.docx", "A 21828-2023")</f>
        <v/>
      </c>
      <c r="X235">
        <f>HYPERLINK("https://klasma.github.io/Logging_0883/tillsyn/A 21828-2023 tillsynsbegäran.docx", "A 21828-2023")</f>
        <v/>
      </c>
      <c r="Y235">
        <f>HYPERLINK("https://klasma.github.io/Logging_0883/tillsynsmail/A 21828-2023 tillsynsbegäran mail.docx", "A 21828-2023")</f>
        <v/>
      </c>
    </row>
    <row r="236" ht="15" customHeight="1">
      <c r="A236" t="inlineStr">
        <is>
          <t>A 25436-2023</t>
        </is>
      </c>
      <c r="B236" s="1" t="n">
        <v>45089</v>
      </c>
      <c r="C236" s="1" t="n">
        <v>45633</v>
      </c>
      <c r="D236" t="inlineStr">
        <is>
          <t>KALMAR LÄN</t>
        </is>
      </c>
      <c r="E236" t="inlineStr">
        <is>
          <t>VÄSTERVIK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25436-2023 artfynd.xlsx", "A 25436-2023")</f>
        <v/>
      </c>
      <c r="T236">
        <f>HYPERLINK("https://klasma.github.io/Logging_0883/kartor/A 25436-2023 karta.png", "A 25436-2023")</f>
        <v/>
      </c>
      <c r="U236">
        <f>HYPERLINK("https://klasma.github.io/Logging_0883/knärot/A 25436-2023 karta knärot.png", "A 25436-2023")</f>
        <v/>
      </c>
      <c r="V236">
        <f>HYPERLINK("https://klasma.github.io/Logging_0883/klagomål/A 25436-2023 FSC-klagomål.docx", "A 25436-2023")</f>
        <v/>
      </c>
      <c r="W236">
        <f>HYPERLINK("https://klasma.github.io/Logging_0883/klagomålsmail/A 25436-2023 FSC-klagomål mail.docx", "A 25436-2023")</f>
        <v/>
      </c>
      <c r="X236">
        <f>HYPERLINK("https://klasma.github.io/Logging_0883/tillsyn/A 25436-2023 tillsynsbegäran.docx", "A 25436-2023")</f>
        <v/>
      </c>
      <c r="Y236">
        <f>HYPERLINK("https://klasma.github.io/Logging_0883/tillsynsmail/A 25436-2023 tillsynsbegäran mail.docx", "A 25436-2023")</f>
        <v/>
      </c>
    </row>
    <row r="237" ht="15" customHeight="1">
      <c r="A237" t="inlineStr">
        <is>
          <t>A 25433-2023</t>
        </is>
      </c>
      <c r="B237" s="1" t="n">
        <v>45089</v>
      </c>
      <c r="C237" s="1" t="n">
        <v>45633</v>
      </c>
      <c r="D237" t="inlineStr">
        <is>
          <t>KALMAR LÄN</t>
        </is>
      </c>
      <c r="E237" t="inlineStr">
        <is>
          <t>VÄSTERVIK</t>
        </is>
      </c>
      <c r="G237" t="n">
        <v>2.3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25433-2023 artfynd.xlsx", "A 25433-2023")</f>
        <v/>
      </c>
      <c r="T237">
        <f>HYPERLINK("https://klasma.github.io/Logging_0883/kartor/A 25433-2023 karta.png", "A 25433-2023")</f>
        <v/>
      </c>
      <c r="U237">
        <f>HYPERLINK("https://klasma.github.io/Logging_0883/knärot/A 25433-2023 karta knärot.png", "A 25433-2023")</f>
        <v/>
      </c>
      <c r="V237">
        <f>HYPERLINK("https://klasma.github.io/Logging_0883/klagomål/A 25433-2023 FSC-klagomål.docx", "A 25433-2023")</f>
        <v/>
      </c>
      <c r="W237">
        <f>HYPERLINK("https://klasma.github.io/Logging_0883/klagomålsmail/A 25433-2023 FSC-klagomål mail.docx", "A 25433-2023")</f>
        <v/>
      </c>
      <c r="X237">
        <f>HYPERLINK("https://klasma.github.io/Logging_0883/tillsyn/A 25433-2023 tillsynsbegäran.docx", "A 25433-2023")</f>
        <v/>
      </c>
      <c r="Y237">
        <f>HYPERLINK("https://klasma.github.io/Logging_0883/tillsynsmail/A 25433-2023 tillsynsbegäran mail.docx", "A 25433-2023")</f>
        <v/>
      </c>
    </row>
    <row r="238" ht="15" customHeight="1">
      <c r="A238" t="inlineStr">
        <is>
          <t>A 25563-2023</t>
        </is>
      </c>
      <c r="B238" s="1" t="n">
        <v>45089</v>
      </c>
      <c r="C238" s="1" t="n">
        <v>45633</v>
      </c>
      <c r="D238" t="inlineStr">
        <is>
          <t>KALMAR LÄN</t>
        </is>
      </c>
      <c r="E238" t="inlineStr">
        <is>
          <t>VÄSTERVIK</t>
        </is>
      </c>
      <c r="G238" t="n">
        <v>1.6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HYPERLINK("https://klasma.github.io/Logging_0883/artfynd/A 25563-2023 artfynd.xlsx", "A 25563-2023")</f>
        <v/>
      </c>
      <c r="T238">
        <f>HYPERLINK("https://klasma.github.io/Logging_0883/kartor/A 25563-2023 karta.png", "A 25563-2023")</f>
        <v/>
      </c>
      <c r="V238">
        <f>HYPERLINK("https://klasma.github.io/Logging_0883/klagomål/A 25563-2023 FSC-klagomål.docx", "A 25563-2023")</f>
        <v/>
      </c>
      <c r="W238">
        <f>HYPERLINK("https://klasma.github.io/Logging_0883/klagomålsmail/A 25563-2023 FSC-klagomål mail.docx", "A 25563-2023")</f>
        <v/>
      </c>
      <c r="X238">
        <f>HYPERLINK("https://klasma.github.io/Logging_0883/tillsyn/A 25563-2023 tillsynsbegäran.docx", "A 25563-2023")</f>
        <v/>
      </c>
      <c r="Y238">
        <f>HYPERLINK("https://klasma.github.io/Logging_0883/tillsynsmail/A 25563-2023 tillsynsbegäran mail.docx", "A 25563-2023")</f>
        <v/>
      </c>
      <c r="Z238">
        <f>HYPERLINK("https://klasma.github.io/Logging_0883/fåglar/A 25563-2023 prioriterade fågelarter.docx", "A 25563-2023")</f>
        <v/>
      </c>
    </row>
    <row r="239" ht="15" customHeight="1">
      <c r="A239" t="inlineStr">
        <is>
          <t>A 26278-2023</t>
        </is>
      </c>
      <c r="B239" s="1" t="n">
        <v>45091</v>
      </c>
      <c r="C239" s="1" t="n">
        <v>45633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26278-2023 artfynd.xlsx", "A 26278-2023")</f>
        <v/>
      </c>
      <c r="T239">
        <f>HYPERLINK("https://klasma.github.io/Logging_0883/kartor/A 26278-2023 karta.png", "A 26278-2023")</f>
        <v/>
      </c>
      <c r="U239">
        <f>HYPERLINK("https://klasma.github.io/Logging_0883/knärot/A 26278-2023 karta knärot.png", "A 26278-2023")</f>
        <v/>
      </c>
      <c r="V239">
        <f>HYPERLINK("https://klasma.github.io/Logging_0883/klagomål/A 26278-2023 FSC-klagomål.docx", "A 26278-2023")</f>
        <v/>
      </c>
      <c r="W239">
        <f>HYPERLINK("https://klasma.github.io/Logging_0883/klagomålsmail/A 26278-2023 FSC-klagomål mail.docx", "A 26278-2023")</f>
        <v/>
      </c>
      <c r="X239">
        <f>HYPERLINK("https://klasma.github.io/Logging_0883/tillsyn/A 26278-2023 tillsynsbegäran.docx", "A 26278-2023")</f>
        <v/>
      </c>
      <c r="Y239">
        <f>HYPERLINK("https://klasma.github.io/Logging_0883/tillsynsmail/A 26278-2023 tillsynsbegäran mail.docx", "A 26278-2023")</f>
        <v/>
      </c>
    </row>
    <row r="240" ht="15" customHeight="1">
      <c r="A240" t="inlineStr">
        <is>
          <t>A 28495-2023</t>
        </is>
      </c>
      <c r="B240" s="1" t="n">
        <v>45103</v>
      </c>
      <c r="C240" s="1" t="n">
        <v>45633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28495-2023 artfynd.xlsx", "A 28495-2023")</f>
        <v/>
      </c>
      <c r="T240">
        <f>HYPERLINK("https://klasma.github.io/Logging_0883/kartor/A 28495-2023 karta.png", "A 28495-2023")</f>
        <v/>
      </c>
      <c r="U240">
        <f>HYPERLINK("https://klasma.github.io/Logging_0883/knärot/A 28495-2023 karta knärot.png", "A 28495-2023")</f>
        <v/>
      </c>
      <c r="V240">
        <f>HYPERLINK("https://klasma.github.io/Logging_0883/klagomål/A 28495-2023 FSC-klagomål.docx", "A 28495-2023")</f>
        <v/>
      </c>
      <c r="W240">
        <f>HYPERLINK("https://klasma.github.io/Logging_0883/klagomålsmail/A 28495-2023 FSC-klagomål mail.docx", "A 28495-2023")</f>
        <v/>
      </c>
      <c r="X240">
        <f>HYPERLINK("https://klasma.github.io/Logging_0883/tillsyn/A 28495-2023 tillsynsbegäran.docx", "A 28495-2023")</f>
        <v/>
      </c>
      <c r="Y240">
        <f>HYPERLINK("https://klasma.github.io/Logging_0883/tillsynsmail/A 28495-2023 tillsynsbegäran mail.docx", "A 28495-2023")</f>
        <v/>
      </c>
    </row>
    <row r="241" ht="15" customHeight="1">
      <c r="A241" t="inlineStr">
        <is>
          <t>A 32653-2023</t>
        </is>
      </c>
      <c r="B241" s="1" t="n">
        <v>45121</v>
      </c>
      <c r="C241" s="1" t="n">
        <v>45633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32653-2023 artfynd.xlsx", "A 32653-2023")</f>
        <v/>
      </c>
      <c r="T241">
        <f>HYPERLINK("https://klasma.github.io/Logging_0883/kartor/A 32653-2023 karta.png", "A 32653-2023")</f>
        <v/>
      </c>
      <c r="U241">
        <f>HYPERLINK("https://klasma.github.io/Logging_0883/knärot/A 32653-2023 karta knärot.png", "A 32653-2023")</f>
        <v/>
      </c>
      <c r="V241">
        <f>HYPERLINK("https://klasma.github.io/Logging_0883/klagomål/A 32653-2023 FSC-klagomål.docx", "A 32653-2023")</f>
        <v/>
      </c>
      <c r="W241">
        <f>HYPERLINK("https://klasma.github.io/Logging_0883/klagomålsmail/A 32653-2023 FSC-klagomål mail.docx", "A 32653-2023")</f>
        <v/>
      </c>
      <c r="X241">
        <f>HYPERLINK("https://klasma.github.io/Logging_0883/tillsyn/A 32653-2023 tillsynsbegäran.docx", "A 32653-2023")</f>
        <v/>
      </c>
      <c r="Y241">
        <f>HYPERLINK("https://klasma.github.io/Logging_0883/tillsynsmail/A 32653-2023 tillsynsbegäran mail.docx", "A 32653-2023")</f>
        <v/>
      </c>
    </row>
    <row r="242" ht="15" customHeight="1">
      <c r="A242" t="inlineStr">
        <is>
          <t>A 33816-2023</t>
        </is>
      </c>
      <c r="B242" s="1" t="n">
        <v>45133</v>
      </c>
      <c r="C242" s="1" t="n">
        <v>45633</v>
      </c>
      <c r="D242" t="inlineStr">
        <is>
          <t>KALMAR LÄN</t>
        </is>
      </c>
      <c r="E242" t="inlineStr">
        <is>
          <t>VÄSTERVIK</t>
        </is>
      </c>
      <c r="G242" t="n">
        <v>4.9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33816-2023 artfynd.xlsx", "A 33816-2023")</f>
        <v/>
      </c>
      <c r="T242">
        <f>HYPERLINK("https://klasma.github.io/Logging_0883/kartor/A 33816-2023 karta.png", "A 33816-2023")</f>
        <v/>
      </c>
      <c r="V242">
        <f>HYPERLINK("https://klasma.github.io/Logging_0883/klagomål/A 33816-2023 FSC-klagomål.docx", "A 33816-2023")</f>
        <v/>
      </c>
      <c r="W242">
        <f>HYPERLINK("https://klasma.github.io/Logging_0883/klagomålsmail/A 33816-2023 FSC-klagomål mail.docx", "A 33816-2023")</f>
        <v/>
      </c>
      <c r="X242">
        <f>HYPERLINK("https://klasma.github.io/Logging_0883/tillsyn/A 33816-2023 tillsynsbegäran.docx", "A 33816-2023")</f>
        <v/>
      </c>
      <c r="Y242">
        <f>HYPERLINK("https://klasma.github.io/Logging_0883/tillsynsmail/A 33816-2023 tillsynsbegäran mail.docx", "A 33816-2023")</f>
        <v/>
      </c>
    </row>
    <row r="243" ht="15" customHeight="1">
      <c r="A243" t="inlineStr">
        <is>
          <t>A 33815-2023</t>
        </is>
      </c>
      <c r="B243" s="1" t="n">
        <v>45133</v>
      </c>
      <c r="C243" s="1" t="n">
        <v>45633</v>
      </c>
      <c r="D243" t="inlineStr">
        <is>
          <t>KALMAR LÄN</t>
        </is>
      </c>
      <c r="E243" t="inlineStr">
        <is>
          <t>VÄSTERVIK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33815-2023 artfynd.xlsx", "A 33815-2023")</f>
        <v/>
      </c>
      <c r="T243">
        <f>HYPERLINK("https://klasma.github.io/Logging_0883/kartor/A 33815-2023 karta.png", "A 33815-2023")</f>
        <v/>
      </c>
      <c r="V243">
        <f>HYPERLINK("https://klasma.github.io/Logging_0883/klagomål/A 33815-2023 FSC-klagomål.docx", "A 33815-2023")</f>
        <v/>
      </c>
      <c r="W243">
        <f>HYPERLINK("https://klasma.github.io/Logging_0883/klagomålsmail/A 33815-2023 FSC-klagomål mail.docx", "A 33815-2023")</f>
        <v/>
      </c>
      <c r="X243">
        <f>HYPERLINK("https://klasma.github.io/Logging_0883/tillsyn/A 33815-2023 tillsynsbegäran.docx", "A 33815-2023")</f>
        <v/>
      </c>
      <c r="Y243">
        <f>HYPERLINK("https://klasma.github.io/Logging_0883/tillsynsmail/A 33815-2023 tillsynsbegäran mail.docx", "A 33815-2023")</f>
        <v/>
      </c>
    </row>
    <row r="244" ht="15" customHeight="1">
      <c r="A244" t="inlineStr">
        <is>
          <t>A 34563-2023</t>
        </is>
      </c>
      <c r="B244" s="1" t="n">
        <v>45140</v>
      </c>
      <c r="C244" s="1" t="n">
        <v>45633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34563-2023 artfynd.xlsx", "A 34563-2023")</f>
        <v/>
      </c>
      <c r="T244">
        <f>HYPERLINK("https://klasma.github.io/Logging_0883/kartor/A 34563-2023 karta.png", "A 34563-2023")</f>
        <v/>
      </c>
      <c r="U244">
        <f>HYPERLINK("https://klasma.github.io/Logging_0883/knärot/A 34563-2023 karta knärot.png", "A 34563-2023")</f>
        <v/>
      </c>
      <c r="V244">
        <f>HYPERLINK("https://klasma.github.io/Logging_0883/klagomål/A 34563-2023 FSC-klagomål.docx", "A 34563-2023")</f>
        <v/>
      </c>
      <c r="W244">
        <f>HYPERLINK("https://klasma.github.io/Logging_0883/klagomålsmail/A 34563-2023 FSC-klagomål mail.docx", "A 34563-2023")</f>
        <v/>
      </c>
      <c r="X244">
        <f>HYPERLINK("https://klasma.github.io/Logging_0883/tillsyn/A 34563-2023 tillsynsbegäran.docx", "A 34563-2023")</f>
        <v/>
      </c>
      <c r="Y244">
        <f>HYPERLINK("https://klasma.github.io/Logging_0883/tillsynsmail/A 34563-2023 tillsynsbegäran mail.docx", "A 34563-2023")</f>
        <v/>
      </c>
    </row>
    <row r="245" ht="15" customHeight="1">
      <c r="A245" t="inlineStr">
        <is>
          <t>A 36400-2023</t>
        </is>
      </c>
      <c r="B245" s="1" t="n">
        <v>45152</v>
      </c>
      <c r="C245" s="1" t="n">
        <v>45633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36400-2023 artfynd.xlsx", "A 36400-2023")</f>
        <v/>
      </c>
      <c r="T245">
        <f>HYPERLINK("https://klasma.github.io/Logging_0883/kartor/A 36400-2023 karta.png", "A 36400-2023")</f>
        <v/>
      </c>
      <c r="U245">
        <f>HYPERLINK("https://klasma.github.io/Logging_0883/knärot/A 36400-2023 karta knärot.png", "A 36400-2023")</f>
        <v/>
      </c>
      <c r="V245">
        <f>HYPERLINK("https://klasma.github.io/Logging_0883/klagomål/A 36400-2023 FSC-klagomål.docx", "A 36400-2023")</f>
        <v/>
      </c>
      <c r="W245">
        <f>HYPERLINK("https://klasma.github.io/Logging_0883/klagomålsmail/A 36400-2023 FSC-klagomål mail.docx", "A 36400-2023")</f>
        <v/>
      </c>
      <c r="X245">
        <f>HYPERLINK("https://klasma.github.io/Logging_0883/tillsyn/A 36400-2023 tillsynsbegäran.docx", "A 36400-2023")</f>
        <v/>
      </c>
      <c r="Y245">
        <f>HYPERLINK("https://klasma.github.io/Logging_0883/tillsynsmail/A 36400-2023 tillsynsbegäran mail.docx", "A 36400-2023")</f>
        <v/>
      </c>
    </row>
    <row r="246" ht="15" customHeight="1">
      <c r="A246" t="inlineStr">
        <is>
          <t>A 43788-2023</t>
        </is>
      </c>
      <c r="B246" s="1" t="n">
        <v>45187</v>
      </c>
      <c r="C246" s="1" t="n">
        <v>45633</v>
      </c>
      <c r="D246" t="inlineStr">
        <is>
          <t>KALMAR LÄN</t>
        </is>
      </c>
      <c r="E246" t="inlineStr">
        <is>
          <t>VÄSTERVIK</t>
        </is>
      </c>
      <c r="G246" t="n">
        <v>4.5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HYPERLINK("https://klasma.github.io/Logging_0883/artfynd/A 43788-2023 artfynd.xlsx", "A 43788-2023")</f>
        <v/>
      </c>
      <c r="T246">
        <f>HYPERLINK("https://klasma.github.io/Logging_0883/kartor/A 43788-2023 karta.png", "A 43788-2023")</f>
        <v/>
      </c>
      <c r="V246">
        <f>HYPERLINK("https://klasma.github.io/Logging_0883/klagomål/A 43788-2023 FSC-klagomål.docx", "A 43788-2023")</f>
        <v/>
      </c>
      <c r="W246">
        <f>HYPERLINK("https://klasma.github.io/Logging_0883/klagomålsmail/A 43788-2023 FSC-klagomål mail.docx", "A 43788-2023")</f>
        <v/>
      </c>
      <c r="X246">
        <f>HYPERLINK("https://klasma.github.io/Logging_0883/tillsyn/A 43788-2023 tillsynsbegäran.docx", "A 43788-2023")</f>
        <v/>
      </c>
      <c r="Y246">
        <f>HYPERLINK("https://klasma.github.io/Logging_0883/tillsynsmail/A 43788-2023 tillsynsbegäran mail.docx", "A 43788-2023")</f>
        <v/>
      </c>
    </row>
    <row r="247" ht="15" customHeight="1">
      <c r="A247" t="inlineStr">
        <is>
          <t>A 46722-2023</t>
        </is>
      </c>
      <c r="B247" s="1" t="n">
        <v>45194</v>
      </c>
      <c r="C247" s="1" t="n">
        <v>45633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46722-2023 artfynd.xlsx", "A 46722-2023")</f>
        <v/>
      </c>
      <c r="T247">
        <f>HYPERLINK("https://klasma.github.io/Logging_0883/kartor/A 46722-2023 karta.png", "A 46722-2023")</f>
        <v/>
      </c>
      <c r="U247">
        <f>HYPERLINK("https://klasma.github.io/Logging_0883/knärot/A 46722-2023 karta knärot.png", "A 46722-2023")</f>
        <v/>
      </c>
      <c r="V247">
        <f>HYPERLINK("https://klasma.github.io/Logging_0883/klagomål/A 46722-2023 FSC-klagomål.docx", "A 46722-2023")</f>
        <v/>
      </c>
      <c r="W247">
        <f>HYPERLINK("https://klasma.github.io/Logging_0883/klagomålsmail/A 46722-2023 FSC-klagomål mail.docx", "A 46722-2023")</f>
        <v/>
      </c>
      <c r="X247">
        <f>HYPERLINK("https://klasma.github.io/Logging_0883/tillsyn/A 46722-2023 tillsynsbegäran.docx", "A 46722-2023")</f>
        <v/>
      </c>
      <c r="Y247">
        <f>HYPERLINK("https://klasma.github.io/Logging_0883/tillsynsmail/A 46722-2023 tillsynsbegäran mail.docx", "A 46722-2023")</f>
        <v/>
      </c>
    </row>
    <row r="248" ht="15" customHeight="1">
      <c r="A248" t="inlineStr">
        <is>
          <t>A 47112-2023</t>
        </is>
      </c>
      <c r="B248" s="1" t="n">
        <v>45201</v>
      </c>
      <c r="C248" s="1" t="n">
        <v>45633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47112-2023 artfynd.xlsx", "A 47112-2023")</f>
        <v/>
      </c>
      <c r="T248">
        <f>HYPERLINK("https://klasma.github.io/Logging_0883/kartor/A 47112-2023 karta.png", "A 47112-2023")</f>
        <v/>
      </c>
      <c r="V248">
        <f>HYPERLINK("https://klasma.github.io/Logging_0883/klagomål/A 47112-2023 FSC-klagomål.docx", "A 47112-2023")</f>
        <v/>
      </c>
      <c r="W248">
        <f>HYPERLINK("https://klasma.github.io/Logging_0883/klagomålsmail/A 47112-2023 FSC-klagomål mail.docx", "A 47112-2023")</f>
        <v/>
      </c>
      <c r="X248">
        <f>HYPERLINK("https://klasma.github.io/Logging_0883/tillsyn/A 47112-2023 tillsynsbegäran.docx", "A 47112-2023")</f>
        <v/>
      </c>
      <c r="Y248">
        <f>HYPERLINK("https://klasma.github.io/Logging_0883/tillsynsmail/A 47112-2023 tillsynsbegäran mail.docx", "A 47112-2023")</f>
        <v/>
      </c>
    </row>
    <row r="249" ht="15" customHeight="1">
      <c r="A249" t="inlineStr">
        <is>
          <t>A 49680-2023</t>
        </is>
      </c>
      <c r="B249" s="1" t="n">
        <v>45212</v>
      </c>
      <c r="C249" s="1" t="n">
        <v>45633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49680-2023 artfynd.xlsx", "A 49680-2023")</f>
        <v/>
      </c>
      <c r="T249">
        <f>HYPERLINK("https://klasma.github.io/Logging_0883/kartor/A 49680-2023 karta.png", "A 49680-2023")</f>
        <v/>
      </c>
      <c r="V249">
        <f>HYPERLINK("https://klasma.github.io/Logging_0883/klagomål/A 49680-2023 FSC-klagomål.docx", "A 49680-2023")</f>
        <v/>
      </c>
      <c r="W249">
        <f>HYPERLINK("https://klasma.github.io/Logging_0883/klagomålsmail/A 49680-2023 FSC-klagomål mail.docx", "A 49680-2023")</f>
        <v/>
      </c>
      <c r="X249">
        <f>HYPERLINK("https://klasma.github.io/Logging_0883/tillsyn/A 49680-2023 tillsynsbegäran.docx", "A 49680-2023")</f>
        <v/>
      </c>
      <c r="Y249">
        <f>HYPERLINK("https://klasma.github.io/Logging_0883/tillsynsmail/A 49680-2023 tillsynsbegäran mail.docx", "A 49680-2023")</f>
        <v/>
      </c>
    </row>
    <row r="250" ht="15" customHeight="1">
      <c r="A250" t="inlineStr">
        <is>
          <t>A 54272-2023</t>
        </is>
      </c>
      <c r="B250" s="1" t="n">
        <v>45232</v>
      </c>
      <c r="C250" s="1" t="n">
        <v>45633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Aprikosfingersvamp</t>
        </is>
      </c>
      <c r="S250">
        <f>HYPERLINK("https://klasma.github.io/Logging_0883/artfynd/A 54272-2023 artfynd.xlsx", "A 54272-2023")</f>
        <v/>
      </c>
      <c r="T250">
        <f>HYPERLINK("https://klasma.github.io/Logging_0883/kartor/A 54272-2023 karta.png", "A 54272-2023")</f>
        <v/>
      </c>
      <c r="V250">
        <f>HYPERLINK("https://klasma.github.io/Logging_0883/klagomål/A 54272-2023 FSC-klagomål.docx", "A 54272-2023")</f>
        <v/>
      </c>
      <c r="W250">
        <f>HYPERLINK("https://klasma.github.io/Logging_0883/klagomålsmail/A 54272-2023 FSC-klagomål mail.docx", "A 54272-2023")</f>
        <v/>
      </c>
      <c r="X250">
        <f>HYPERLINK("https://klasma.github.io/Logging_0883/tillsyn/A 54272-2023 tillsynsbegäran.docx", "A 54272-2023")</f>
        <v/>
      </c>
      <c r="Y250">
        <f>HYPERLINK("https://klasma.github.io/Logging_0883/tillsynsmail/A 54272-2023 tillsynsbegäran mail.docx", "A 54272-2023")</f>
        <v/>
      </c>
    </row>
    <row r="251" ht="15" customHeight="1">
      <c r="A251" t="inlineStr">
        <is>
          <t>A 55575-2023</t>
        </is>
      </c>
      <c r="B251" s="1" t="n">
        <v>45238</v>
      </c>
      <c r="C251" s="1" t="n">
        <v>45633</v>
      </c>
      <c r="D251" t="inlineStr">
        <is>
          <t>KALMAR LÄN</t>
        </is>
      </c>
      <c r="E251" t="inlineStr">
        <is>
          <t>VÄSTERVIK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55575-2023 artfynd.xlsx", "A 55575-2023")</f>
        <v/>
      </c>
      <c r="T251">
        <f>HYPERLINK("https://klasma.github.io/Logging_0883/kartor/A 55575-2023 karta.png", "A 55575-2023")</f>
        <v/>
      </c>
      <c r="U251">
        <f>HYPERLINK("https://klasma.github.io/Logging_0883/knärot/A 55575-2023 karta knärot.png", "A 55575-2023")</f>
        <v/>
      </c>
      <c r="V251">
        <f>HYPERLINK("https://klasma.github.io/Logging_0883/klagomål/A 55575-2023 FSC-klagomål.docx", "A 55575-2023")</f>
        <v/>
      </c>
      <c r="W251">
        <f>HYPERLINK("https://klasma.github.io/Logging_0883/klagomålsmail/A 55575-2023 FSC-klagomål mail.docx", "A 55575-2023")</f>
        <v/>
      </c>
      <c r="X251">
        <f>HYPERLINK("https://klasma.github.io/Logging_0883/tillsyn/A 55575-2023 tillsynsbegäran.docx", "A 55575-2023")</f>
        <v/>
      </c>
      <c r="Y251">
        <f>HYPERLINK("https://klasma.github.io/Logging_0883/tillsynsmail/A 55575-2023 tillsynsbegäran mail.docx", "A 55575-2023")</f>
        <v/>
      </c>
    </row>
    <row r="252" ht="15" customHeight="1">
      <c r="A252" t="inlineStr">
        <is>
          <t>A 56186-2023</t>
        </is>
      </c>
      <c r="B252" s="1" t="n">
        <v>45240</v>
      </c>
      <c r="C252" s="1" t="n">
        <v>45633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56186-2023 artfynd.xlsx", "A 56186-2023")</f>
        <v/>
      </c>
      <c r="T252">
        <f>HYPERLINK("https://klasma.github.io/Logging_0883/kartor/A 56186-2023 karta.png", "A 56186-2023")</f>
        <v/>
      </c>
      <c r="V252">
        <f>HYPERLINK("https://klasma.github.io/Logging_0883/klagomål/A 56186-2023 FSC-klagomål.docx", "A 56186-2023")</f>
        <v/>
      </c>
      <c r="W252">
        <f>HYPERLINK("https://klasma.github.io/Logging_0883/klagomålsmail/A 56186-2023 FSC-klagomål mail.docx", "A 56186-2023")</f>
        <v/>
      </c>
      <c r="X252">
        <f>HYPERLINK("https://klasma.github.io/Logging_0883/tillsyn/A 56186-2023 tillsynsbegäran.docx", "A 56186-2023")</f>
        <v/>
      </c>
      <c r="Y252">
        <f>HYPERLINK("https://klasma.github.io/Logging_0883/tillsynsmail/A 56186-2023 tillsynsbegäran mail.docx", "A 56186-2023")</f>
        <v/>
      </c>
    </row>
    <row r="253" ht="15" customHeight="1">
      <c r="A253" t="inlineStr">
        <is>
          <t>A 59368-2023</t>
        </is>
      </c>
      <c r="B253" s="1" t="n">
        <v>45253</v>
      </c>
      <c r="C253" s="1" t="n">
        <v>45633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59368-2023 artfynd.xlsx", "A 59368-2023")</f>
        <v/>
      </c>
      <c r="T253">
        <f>HYPERLINK("https://klasma.github.io/Logging_0883/kartor/A 59368-2023 karta.png", "A 59368-2023")</f>
        <v/>
      </c>
      <c r="U253">
        <f>HYPERLINK("https://klasma.github.io/Logging_0883/knärot/A 59368-2023 karta knärot.png", "A 59368-2023")</f>
        <v/>
      </c>
      <c r="V253">
        <f>HYPERLINK("https://klasma.github.io/Logging_0883/klagomål/A 59368-2023 FSC-klagomål.docx", "A 59368-2023")</f>
        <v/>
      </c>
      <c r="W253">
        <f>HYPERLINK("https://klasma.github.io/Logging_0883/klagomålsmail/A 59368-2023 FSC-klagomål mail.docx", "A 59368-2023")</f>
        <v/>
      </c>
      <c r="X253">
        <f>HYPERLINK("https://klasma.github.io/Logging_0883/tillsyn/A 59368-2023 tillsynsbegäran.docx", "A 59368-2023")</f>
        <v/>
      </c>
      <c r="Y253">
        <f>HYPERLINK("https://klasma.github.io/Logging_0883/tillsynsmail/A 59368-2023 tillsynsbegäran mail.docx", "A 59368-2023")</f>
        <v/>
      </c>
    </row>
    <row r="254" ht="15" customHeight="1">
      <c r="A254" t="inlineStr">
        <is>
          <t>A 60633-2023</t>
        </is>
      </c>
      <c r="B254" s="1" t="n">
        <v>45260</v>
      </c>
      <c r="C254" s="1" t="n">
        <v>45633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60633-2023 artfynd.xlsx", "A 60633-2023")</f>
        <v/>
      </c>
      <c r="T254">
        <f>HYPERLINK("https://klasma.github.io/Logging_0883/kartor/A 60633-2023 karta.png", "A 60633-2023")</f>
        <v/>
      </c>
      <c r="V254">
        <f>HYPERLINK("https://klasma.github.io/Logging_0883/klagomål/A 60633-2023 FSC-klagomål.docx", "A 60633-2023")</f>
        <v/>
      </c>
      <c r="W254">
        <f>HYPERLINK("https://klasma.github.io/Logging_0883/klagomålsmail/A 60633-2023 FSC-klagomål mail.docx", "A 60633-2023")</f>
        <v/>
      </c>
      <c r="X254">
        <f>HYPERLINK("https://klasma.github.io/Logging_0883/tillsyn/A 60633-2023 tillsynsbegäran.docx", "A 60633-2023")</f>
        <v/>
      </c>
      <c r="Y254">
        <f>HYPERLINK("https://klasma.github.io/Logging_0883/tillsynsmail/A 60633-2023 tillsynsbegäran mail.docx", "A 60633-2023")</f>
        <v/>
      </c>
      <c r="Z254">
        <f>HYPERLINK("https://klasma.github.io/Logging_0883/fåglar/A 60633-2023 prioriterade fågelarter.docx", "A 60633-2023")</f>
        <v/>
      </c>
    </row>
    <row r="255" ht="15" customHeight="1">
      <c r="A255" t="inlineStr">
        <is>
          <t>A 61806-2023</t>
        </is>
      </c>
      <c r="B255" s="1" t="n">
        <v>45266</v>
      </c>
      <c r="C255" s="1" t="n">
        <v>45633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Veckticka</t>
        </is>
      </c>
      <c r="S255">
        <f>HYPERLINK("https://klasma.github.io/Logging_0883/artfynd/A 61806-2023 artfynd.xlsx", "A 61806-2023")</f>
        <v/>
      </c>
      <c r="T255">
        <f>HYPERLINK("https://klasma.github.io/Logging_0883/kartor/A 61806-2023 karta.png", "A 61806-2023")</f>
        <v/>
      </c>
      <c r="V255">
        <f>HYPERLINK("https://klasma.github.io/Logging_0883/klagomål/A 61806-2023 FSC-klagomål.docx", "A 61806-2023")</f>
        <v/>
      </c>
      <c r="W255">
        <f>HYPERLINK("https://klasma.github.io/Logging_0883/klagomålsmail/A 61806-2023 FSC-klagomål mail.docx", "A 61806-2023")</f>
        <v/>
      </c>
      <c r="X255">
        <f>HYPERLINK("https://klasma.github.io/Logging_0883/tillsyn/A 61806-2023 tillsynsbegäran.docx", "A 61806-2023")</f>
        <v/>
      </c>
      <c r="Y255">
        <f>HYPERLINK("https://klasma.github.io/Logging_0883/tillsynsmail/A 61806-2023 tillsynsbegäran mail.docx", "A 61806-2023")</f>
        <v/>
      </c>
    </row>
    <row r="256" ht="15" customHeight="1">
      <c r="A256" t="inlineStr">
        <is>
          <t>A 1176-2024</t>
        </is>
      </c>
      <c r="B256" s="1" t="n">
        <v>45302</v>
      </c>
      <c r="C256" s="1" t="n">
        <v>45633</v>
      </c>
      <c r="D256" t="inlineStr">
        <is>
          <t>KALMAR LÄN</t>
        </is>
      </c>
      <c r="E256" t="inlineStr">
        <is>
          <t>VÄSTERVIK</t>
        </is>
      </c>
      <c r="G256" t="n">
        <v>2.5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1176-2024 artfynd.xlsx", "A 1176-2024")</f>
        <v/>
      </c>
      <c r="T256">
        <f>HYPERLINK("https://klasma.github.io/Logging_0883/kartor/A 1176-2024 karta.png", "A 1176-2024")</f>
        <v/>
      </c>
      <c r="V256">
        <f>HYPERLINK("https://klasma.github.io/Logging_0883/klagomål/A 1176-2024 FSC-klagomål.docx", "A 1176-2024")</f>
        <v/>
      </c>
      <c r="W256">
        <f>HYPERLINK("https://klasma.github.io/Logging_0883/klagomålsmail/A 1176-2024 FSC-klagomål mail.docx", "A 1176-2024")</f>
        <v/>
      </c>
      <c r="X256">
        <f>HYPERLINK("https://klasma.github.io/Logging_0883/tillsyn/A 1176-2024 tillsynsbegäran.docx", "A 1176-2024")</f>
        <v/>
      </c>
      <c r="Y256">
        <f>HYPERLINK("https://klasma.github.io/Logging_0883/tillsynsmail/A 1176-2024 tillsynsbegäran mail.docx", "A 1176-2024")</f>
        <v/>
      </c>
    </row>
    <row r="257" ht="15" customHeight="1">
      <c r="A257" t="inlineStr">
        <is>
          <t>A 2804-2024</t>
        </is>
      </c>
      <c r="B257" s="1" t="n">
        <v>45314</v>
      </c>
      <c r="C257" s="1" t="n">
        <v>45633</v>
      </c>
      <c r="D257" t="inlineStr">
        <is>
          <t>KALMAR LÄN</t>
        </is>
      </c>
      <c r="E257" t="inlineStr">
        <is>
          <t>VÄSTERVIK</t>
        </is>
      </c>
      <c r="G257" t="n">
        <v>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2804-2024 artfynd.xlsx", "A 2804-2024")</f>
        <v/>
      </c>
      <c r="T257">
        <f>HYPERLINK("https://klasma.github.io/Logging_0883/kartor/A 2804-2024 karta.png", "A 2804-2024")</f>
        <v/>
      </c>
      <c r="U257">
        <f>HYPERLINK("https://klasma.github.io/Logging_0883/knärot/A 2804-2024 karta knärot.png", "A 2804-2024")</f>
        <v/>
      </c>
      <c r="V257">
        <f>HYPERLINK("https://klasma.github.io/Logging_0883/klagomål/A 2804-2024 FSC-klagomål.docx", "A 2804-2024")</f>
        <v/>
      </c>
      <c r="W257">
        <f>HYPERLINK("https://klasma.github.io/Logging_0883/klagomålsmail/A 2804-2024 FSC-klagomål mail.docx", "A 2804-2024")</f>
        <v/>
      </c>
      <c r="X257">
        <f>HYPERLINK("https://klasma.github.io/Logging_0883/tillsyn/A 2804-2024 tillsynsbegäran.docx", "A 2804-2024")</f>
        <v/>
      </c>
      <c r="Y257">
        <f>HYPERLINK("https://klasma.github.io/Logging_0883/tillsynsmail/A 2804-2024 tillsynsbegäran mail.docx", "A 2804-2024")</f>
        <v/>
      </c>
    </row>
    <row r="258" ht="15" customHeight="1">
      <c r="A258" t="inlineStr">
        <is>
          <t>A 6025-2024</t>
        </is>
      </c>
      <c r="B258" s="1" t="n">
        <v>45336</v>
      </c>
      <c r="C258" s="1" t="n">
        <v>45633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6025-2024 artfynd.xlsx", "A 6025-2024")</f>
        <v/>
      </c>
      <c r="T258">
        <f>HYPERLINK("https://klasma.github.io/Logging_0883/kartor/A 6025-2024 karta.png", "A 6025-2024")</f>
        <v/>
      </c>
      <c r="V258">
        <f>HYPERLINK("https://klasma.github.io/Logging_0883/klagomål/A 6025-2024 FSC-klagomål.docx", "A 6025-2024")</f>
        <v/>
      </c>
      <c r="W258">
        <f>HYPERLINK("https://klasma.github.io/Logging_0883/klagomålsmail/A 6025-2024 FSC-klagomål mail.docx", "A 6025-2024")</f>
        <v/>
      </c>
      <c r="X258">
        <f>HYPERLINK("https://klasma.github.io/Logging_0883/tillsyn/A 6025-2024 tillsynsbegäran.docx", "A 6025-2024")</f>
        <v/>
      </c>
      <c r="Y258">
        <f>HYPERLINK("https://klasma.github.io/Logging_0883/tillsynsmail/A 6025-2024 tillsynsbegäran mail.docx", "A 6025-2024")</f>
        <v/>
      </c>
    </row>
    <row r="259" ht="15" customHeight="1">
      <c r="A259" t="inlineStr">
        <is>
          <t>A 11165-2024</t>
        </is>
      </c>
      <c r="B259" s="1" t="n">
        <v>45371</v>
      </c>
      <c r="C259" s="1" t="n">
        <v>45633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HYPERLINK("https://klasma.github.io/Logging_0883/artfynd/A 11165-2024 artfynd.xlsx", "A 11165-2024")</f>
        <v/>
      </c>
      <c r="T259">
        <f>HYPERLINK("https://klasma.github.io/Logging_0883/kartor/A 11165-2024 karta.png", "A 11165-2024")</f>
        <v/>
      </c>
      <c r="V259">
        <f>HYPERLINK("https://klasma.github.io/Logging_0883/klagomål/A 11165-2024 FSC-klagomål.docx", "A 11165-2024")</f>
        <v/>
      </c>
      <c r="W259">
        <f>HYPERLINK("https://klasma.github.io/Logging_0883/klagomålsmail/A 11165-2024 FSC-klagomål mail.docx", "A 11165-2024")</f>
        <v/>
      </c>
      <c r="X259">
        <f>HYPERLINK("https://klasma.github.io/Logging_0883/tillsyn/A 11165-2024 tillsynsbegäran.docx", "A 11165-2024")</f>
        <v/>
      </c>
      <c r="Y259">
        <f>HYPERLINK("https://klasma.github.io/Logging_0883/tillsynsmail/A 11165-2024 tillsynsbegäran mail.docx", "A 11165-2024")</f>
        <v/>
      </c>
      <c r="Z259">
        <f>HYPERLINK("https://klasma.github.io/Logging_0883/fåglar/A 11165-2024 prioriterade fågelarter.docx", "A 11165-2024")</f>
        <v/>
      </c>
    </row>
    <row r="260" ht="15" customHeight="1">
      <c r="A260" t="inlineStr">
        <is>
          <t>A 11195-2024</t>
        </is>
      </c>
      <c r="B260" s="1" t="n">
        <v>45371</v>
      </c>
      <c r="C260" s="1" t="n">
        <v>45633</v>
      </c>
      <c r="D260" t="inlineStr">
        <is>
          <t>KALMAR LÄN</t>
        </is>
      </c>
      <c r="E260" t="inlineStr">
        <is>
          <t>VÄSTERVIK</t>
        </is>
      </c>
      <c r="G260" t="n">
        <v>1.9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11195-2024 artfynd.xlsx", "A 11195-2024")</f>
        <v/>
      </c>
      <c r="T260">
        <f>HYPERLINK("https://klasma.github.io/Logging_0883/kartor/A 11195-2024 karta.png", "A 11195-2024")</f>
        <v/>
      </c>
      <c r="U260">
        <f>HYPERLINK("https://klasma.github.io/Logging_0883/knärot/A 11195-2024 karta knärot.png", "A 11195-2024")</f>
        <v/>
      </c>
      <c r="V260">
        <f>HYPERLINK("https://klasma.github.io/Logging_0883/klagomål/A 11195-2024 FSC-klagomål.docx", "A 11195-2024")</f>
        <v/>
      </c>
      <c r="W260">
        <f>HYPERLINK("https://klasma.github.io/Logging_0883/klagomålsmail/A 11195-2024 FSC-klagomål mail.docx", "A 11195-2024")</f>
        <v/>
      </c>
      <c r="X260">
        <f>HYPERLINK("https://klasma.github.io/Logging_0883/tillsyn/A 11195-2024 tillsynsbegäran.docx", "A 11195-2024")</f>
        <v/>
      </c>
      <c r="Y260">
        <f>HYPERLINK("https://klasma.github.io/Logging_0883/tillsynsmail/A 11195-2024 tillsynsbegäran mail.docx", "A 11195-2024")</f>
        <v/>
      </c>
    </row>
    <row r="261" ht="15" customHeight="1">
      <c r="A261" t="inlineStr">
        <is>
          <t>A 13745-2024</t>
        </is>
      </c>
      <c r="B261" s="1" t="n">
        <v>45390</v>
      </c>
      <c r="C261" s="1" t="n">
        <v>45633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13745-2024 artfynd.xlsx", "A 13745-2024")</f>
        <v/>
      </c>
      <c r="T261">
        <f>HYPERLINK("https://klasma.github.io/Logging_0883/kartor/A 13745-2024 karta.png", "A 13745-2024")</f>
        <v/>
      </c>
      <c r="U261">
        <f>HYPERLINK("https://klasma.github.io/Logging_0883/knärot/A 13745-2024 karta knärot.png", "A 13745-2024")</f>
        <v/>
      </c>
      <c r="V261">
        <f>HYPERLINK("https://klasma.github.io/Logging_0883/klagomål/A 13745-2024 FSC-klagomål.docx", "A 13745-2024")</f>
        <v/>
      </c>
      <c r="W261">
        <f>HYPERLINK("https://klasma.github.io/Logging_0883/klagomålsmail/A 13745-2024 FSC-klagomål mail.docx", "A 13745-2024")</f>
        <v/>
      </c>
      <c r="X261">
        <f>HYPERLINK("https://klasma.github.io/Logging_0883/tillsyn/A 13745-2024 tillsynsbegäran.docx", "A 13745-2024")</f>
        <v/>
      </c>
      <c r="Y261">
        <f>HYPERLINK("https://klasma.github.io/Logging_0883/tillsynsmail/A 13745-2024 tillsynsbegäran mail.docx", "A 13745-2024")</f>
        <v/>
      </c>
      <c r="Z261">
        <f>HYPERLINK("https://klasma.github.io/Logging_0883/fåglar/A 13745-2024 prioriterade fågelarter.docx", "A 13745-2024")</f>
        <v/>
      </c>
    </row>
    <row r="262" ht="15" customHeight="1">
      <c r="A262" t="inlineStr">
        <is>
          <t>A 14231-2024</t>
        </is>
      </c>
      <c r="B262" s="1" t="n">
        <v>45393</v>
      </c>
      <c r="C262" s="1" t="n">
        <v>45633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14231-2024 artfynd.xlsx", "A 14231-2024")</f>
        <v/>
      </c>
      <c r="T262">
        <f>HYPERLINK("https://klasma.github.io/Logging_0883/kartor/A 14231-2024 karta.png", "A 14231-2024")</f>
        <v/>
      </c>
      <c r="U262">
        <f>HYPERLINK("https://klasma.github.io/Logging_0883/knärot/A 14231-2024 karta knärot.png", "A 14231-2024")</f>
        <v/>
      </c>
      <c r="V262">
        <f>HYPERLINK("https://klasma.github.io/Logging_0883/klagomål/A 14231-2024 FSC-klagomål.docx", "A 14231-2024")</f>
        <v/>
      </c>
      <c r="W262">
        <f>HYPERLINK("https://klasma.github.io/Logging_0883/klagomålsmail/A 14231-2024 FSC-klagomål mail.docx", "A 14231-2024")</f>
        <v/>
      </c>
      <c r="X262">
        <f>HYPERLINK("https://klasma.github.io/Logging_0883/tillsyn/A 14231-2024 tillsynsbegäran.docx", "A 14231-2024")</f>
        <v/>
      </c>
      <c r="Y262">
        <f>HYPERLINK("https://klasma.github.io/Logging_0883/tillsynsmail/A 14231-2024 tillsynsbegäran mail.docx", "A 14231-2024")</f>
        <v/>
      </c>
    </row>
    <row r="263" ht="15" customHeight="1">
      <c r="A263" t="inlineStr">
        <is>
          <t>A 16011-2024</t>
        </is>
      </c>
      <c r="B263" s="1" t="n">
        <v>45405</v>
      </c>
      <c r="C263" s="1" t="n">
        <v>45633</v>
      </c>
      <c r="D263" t="inlineStr">
        <is>
          <t>KALMAR LÄN</t>
        </is>
      </c>
      <c r="E263" t="inlineStr">
        <is>
          <t>VÄSTERVIK</t>
        </is>
      </c>
      <c r="G263" t="n">
        <v>7.8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HYPERLINK("https://klasma.github.io/Logging_0883/artfynd/A 16011-2024 artfynd.xlsx", "A 16011-2024")</f>
        <v/>
      </c>
      <c r="T263">
        <f>HYPERLINK("https://klasma.github.io/Logging_0883/kartor/A 16011-2024 karta.png", "A 16011-2024")</f>
        <v/>
      </c>
      <c r="V263">
        <f>HYPERLINK("https://klasma.github.io/Logging_0883/klagomål/A 16011-2024 FSC-klagomål.docx", "A 16011-2024")</f>
        <v/>
      </c>
      <c r="W263">
        <f>HYPERLINK("https://klasma.github.io/Logging_0883/klagomålsmail/A 16011-2024 FSC-klagomål mail.docx", "A 16011-2024")</f>
        <v/>
      </c>
      <c r="X263">
        <f>HYPERLINK("https://klasma.github.io/Logging_0883/tillsyn/A 16011-2024 tillsynsbegäran.docx", "A 16011-2024")</f>
        <v/>
      </c>
      <c r="Y263">
        <f>HYPERLINK("https://klasma.github.io/Logging_0883/tillsynsmail/A 16011-2024 tillsynsbegäran mail.docx", "A 16011-2024")</f>
        <v/>
      </c>
    </row>
    <row r="264" ht="15" customHeight="1">
      <c r="A264" t="inlineStr">
        <is>
          <t>A 16406-2024</t>
        </is>
      </c>
      <c r="B264" s="1" t="n">
        <v>45407</v>
      </c>
      <c r="C264" s="1" t="n">
        <v>45633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HYPERLINK("https://klasma.github.io/Logging_0883/artfynd/A 16406-2024 artfynd.xlsx", "A 16406-2024")</f>
        <v/>
      </c>
      <c r="T264">
        <f>HYPERLINK("https://klasma.github.io/Logging_0883/kartor/A 16406-2024 karta.png", "A 16406-2024")</f>
        <v/>
      </c>
      <c r="V264">
        <f>HYPERLINK("https://klasma.github.io/Logging_0883/klagomål/A 16406-2024 FSC-klagomål.docx", "A 16406-2024")</f>
        <v/>
      </c>
      <c r="W264">
        <f>HYPERLINK("https://klasma.github.io/Logging_0883/klagomålsmail/A 16406-2024 FSC-klagomål mail.docx", "A 16406-2024")</f>
        <v/>
      </c>
      <c r="X264">
        <f>HYPERLINK("https://klasma.github.io/Logging_0883/tillsyn/A 16406-2024 tillsynsbegäran.docx", "A 16406-2024")</f>
        <v/>
      </c>
      <c r="Y264">
        <f>HYPERLINK("https://klasma.github.io/Logging_0883/tillsynsmail/A 16406-2024 tillsynsbegäran mail.docx", "A 16406-2024")</f>
        <v/>
      </c>
    </row>
    <row r="265" ht="15" customHeight="1">
      <c r="A265" t="inlineStr">
        <is>
          <t>A 17424-2024</t>
        </is>
      </c>
      <c r="B265" s="1" t="n">
        <v>45415</v>
      </c>
      <c r="C265" s="1" t="n">
        <v>45633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HYPERLINK("https://klasma.github.io/Logging_0883/artfynd/A 17424-2024 artfynd.xlsx", "A 17424-2024")</f>
        <v/>
      </c>
      <c r="T265">
        <f>HYPERLINK("https://klasma.github.io/Logging_0883/kartor/A 17424-2024 karta.png", "A 17424-2024")</f>
        <v/>
      </c>
      <c r="V265">
        <f>HYPERLINK("https://klasma.github.io/Logging_0883/klagomål/A 17424-2024 FSC-klagomål.docx", "A 17424-2024")</f>
        <v/>
      </c>
      <c r="W265">
        <f>HYPERLINK("https://klasma.github.io/Logging_0883/klagomålsmail/A 17424-2024 FSC-klagomål mail.docx", "A 17424-2024")</f>
        <v/>
      </c>
      <c r="X265">
        <f>HYPERLINK("https://klasma.github.io/Logging_0883/tillsyn/A 17424-2024 tillsynsbegäran.docx", "A 17424-2024")</f>
        <v/>
      </c>
      <c r="Y265">
        <f>HYPERLINK("https://klasma.github.io/Logging_0883/tillsynsmail/A 17424-2024 tillsynsbegäran mail.docx", "A 17424-2024")</f>
        <v/>
      </c>
    </row>
    <row r="266" ht="15" customHeight="1">
      <c r="A266" t="inlineStr">
        <is>
          <t>A 18396-2024</t>
        </is>
      </c>
      <c r="B266" s="1" t="n">
        <v>45425</v>
      </c>
      <c r="C266" s="1" t="n">
        <v>45633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HYPERLINK("https://klasma.github.io/Logging_0883/artfynd/A 18396-2024 artfynd.xlsx", "A 18396-2024")</f>
        <v/>
      </c>
      <c r="T266">
        <f>HYPERLINK("https://klasma.github.io/Logging_0883/kartor/A 18396-2024 karta.png", "A 18396-2024")</f>
        <v/>
      </c>
      <c r="V266">
        <f>HYPERLINK("https://klasma.github.io/Logging_0883/klagomål/A 18396-2024 FSC-klagomål.docx", "A 18396-2024")</f>
        <v/>
      </c>
      <c r="W266">
        <f>HYPERLINK("https://klasma.github.io/Logging_0883/klagomålsmail/A 18396-2024 FSC-klagomål mail.docx", "A 18396-2024")</f>
        <v/>
      </c>
      <c r="X266">
        <f>HYPERLINK("https://klasma.github.io/Logging_0883/tillsyn/A 18396-2024 tillsynsbegäran.docx", "A 18396-2024")</f>
        <v/>
      </c>
      <c r="Y266">
        <f>HYPERLINK("https://klasma.github.io/Logging_0883/tillsynsmail/A 18396-2024 tillsynsbegäran mail.docx", "A 18396-2024")</f>
        <v/>
      </c>
    </row>
    <row r="267" ht="15" customHeight="1">
      <c r="A267" t="inlineStr">
        <is>
          <t>A 22885-2024</t>
        </is>
      </c>
      <c r="B267" s="1" t="n">
        <v>45448</v>
      </c>
      <c r="C267" s="1" t="n">
        <v>45633</v>
      </c>
      <c r="D267" t="inlineStr">
        <is>
          <t>KALMAR LÄN</t>
        </is>
      </c>
      <c r="E267" t="inlineStr">
        <is>
          <t>VÄSTERVIK</t>
        </is>
      </c>
      <c r="G267" t="n">
        <v>7.1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HYPERLINK("https://klasma.github.io/Logging_0883/artfynd/A 22885-2024 artfynd.xlsx", "A 22885-2024")</f>
        <v/>
      </c>
      <c r="T267">
        <f>HYPERLINK("https://klasma.github.io/Logging_0883/kartor/A 22885-2024 karta.png", "A 22885-2024")</f>
        <v/>
      </c>
      <c r="V267">
        <f>HYPERLINK("https://klasma.github.io/Logging_0883/klagomål/A 22885-2024 FSC-klagomål.docx", "A 22885-2024")</f>
        <v/>
      </c>
      <c r="W267">
        <f>HYPERLINK("https://klasma.github.io/Logging_0883/klagomålsmail/A 22885-2024 FSC-klagomål mail.docx", "A 22885-2024")</f>
        <v/>
      </c>
      <c r="X267">
        <f>HYPERLINK("https://klasma.github.io/Logging_0883/tillsyn/A 22885-2024 tillsynsbegäran.docx", "A 22885-2024")</f>
        <v/>
      </c>
      <c r="Y267">
        <f>HYPERLINK("https://klasma.github.io/Logging_0883/tillsynsmail/A 22885-2024 tillsynsbegäran mail.docx", "A 22885-2024")</f>
        <v/>
      </c>
    </row>
    <row r="268" ht="15" customHeight="1">
      <c r="A268" t="inlineStr">
        <is>
          <t>A 27708-2024</t>
        </is>
      </c>
      <c r="B268" s="1" t="n">
        <v>45475</v>
      </c>
      <c r="C268" s="1" t="n">
        <v>45633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HYPERLINK("https://klasma.github.io/Logging_0883/artfynd/A 27708-2024 artfynd.xlsx", "A 27708-2024")</f>
        <v/>
      </c>
      <c r="T268">
        <f>HYPERLINK("https://klasma.github.io/Logging_0883/kartor/A 27708-2024 karta.png", "A 27708-2024")</f>
        <v/>
      </c>
      <c r="V268">
        <f>HYPERLINK("https://klasma.github.io/Logging_0883/klagomål/A 27708-2024 FSC-klagomål.docx", "A 27708-2024")</f>
        <v/>
      </c>
      <c r="W268">
        <f>HYPERLINK("https://klasma.github.io/Logging_0883/klagomålsmail/A 27708-2024 FSC-klagomål mail.docx", "A 27708-2024")</f>
        <v/>
      </c>
      <c r="X268">
        <f>HYPERLINK("https://klasma.github.io/Logging_0883/tillsyn/A 27708-2024 tillsynsbegäran.docx", "A 27708-2024")</f>
        <v/>
      </c>
      <c r="Y268">
        <f>HYPERLINK("https://klasma.github.io/Logging_0883/tillsynsmail/A 27708-2024 tillsynsbegäran mail.docx", "A 27708-2024")</f>
        <v/>
      </c>
      <c r="Z268">
        <f>HYPERLINK("https://klasma.github.io/Logging_0883/fåglar/A 27708-2024 prioriterade fågelarter.docx", "A 27708-2024")</f>
        <v/>
      </c>
    </row>
    <row r="269" ht="15" customHeight="1">
      <c r="A269" t="inlineStr">
        <is>
          <t>A 29398-2024</t>
        </is>
      </c>
      <c r="B269" s="1" t="n">
        <v>45483</v>
      </c>
      <c r="C269" s="1" t="n">
        <v>45633</v>
      </c>
      <c r="D269" t="inlineStr">
        <is>
          <t>KALMAR LÄN</t>
        </is>
      </c>
      <c r="E269" t="inlineStr">
        <is>
          <t>VÄSTERVIK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Skogsklocka</t>
        </is>
      </c>
      <c r="S269">
        <f>HYPERLINK("https://klasma.github.io/Logging_0883/artfynd/A 29398-2024 artfynd.xlsx", "A 29398-2024")</f>
        <v/>
      </c>
      <c r="T269">
        <f>HYPERLINK("https://klasma.github.io/Logging_0883/kartor/A 29398-2024 karta.png", "A 29398-2024")</f>
        <v/>
      </c>
      <c r="V269">
        <f>HYPERLINK("https://klasma.github.io/Logging_0883/klagomål/A 29398-2024 FSC-klagomål.docx", "A 29398-2024")</f>
        <v/>
      </c>
      <c r="W269">
        <f>HYPERLINK("https://klasma.github.io/Logging_0883/klagomålsmail/A 29398-2024 FSC-klagomål mail.docx", "A 29398-2024")</f>
        <v/>
      </c>
      <c r="X269">
        <f>HYPERLINK("https://klasma.github.io/Logging_0883/tillsyn/A 29398-2024 tillsynsbegäran.docx", "A 29398-2024")</f>
        <v/>
      </c>
      <c r="Y269">
        <f>HYPERLINK("https://klasma.github.io/Logging_0883/tillsynsmail/A 29398-2024 tillsynsbegäran mail.docx", "A 29398-2024")</f>
        <v/>
      </c>
    </row>
    <row r="270" ht="15" customHeight="1">
      <c r="A270" t="inlineStr">
        <is>
          <t>A 30386-2024</t>
        </is>
      </c>
      <c r="B270" s="1" t="n">
        <v>45491</v>
      </c>
      <c r="C270" s="1" t="n">
        <v>45633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HYPERLINK("https://klasma.github.io/Logging_0883/artfynd/A 30386-2024 artfynd.xlsx", "A 30386-2024")</f>
        <v/>
      </c>
      <c r="T270">
        <f>HYPERLINK("https://klasma.github.io/Logging_0883/kartor/A 30386-2024 karta.png", "A 30386-2024")</f>
        <v/>
      </c>
      <c r="V270">
        <f>HYPERLINK("https://klasma.github.io/Logging_0883/klagomål/A 30386-2024 FSC-klagomål.docx", "A 30386-2024")</f>
        <v/>
      </c>
      <c r="W270">
        <f>HYPERLINK("https://klasma.github.io/Logging_0883/klagomålsmail/A 30386-2024 FSC-klagomål mail.docx", "A 30386-2024")</f>
        <v/>
      </c>
      <c r="X270">
        <f>HYPERLINK("https://klasma.github.io/Logging_0883/tillsyn/A 30386-2024 tillsynsbegäran.docx", "A 30386-2024")</f>
        <v/>
      </c>
      <c r="Y270">
        <f>HYPERLINK("https://klasma.github.io/Logging_0883/tillsynsmail/A 30386-2024 tillsynsbegäran mail.docx", "A 30386-2024")</f>
        <v/>
      </c>
    </row>
    <row r="271" ht="15" customHeight="1">
      <c r="A271" t="inlineStr">
        <is>
          <t>A 34357-2024</t>
        </is>
      </c>
      <c r="B271" s="1" t="n">
        <v>45525</v>
      </c>
      <c r="C271" s="1" t="n">
        <v>45633</v>
      </c>
      <c r="D271" t="inlineStr">
        <is>
          <t>KALMAR LÄN</t>
        </is>
      </c>
      <c r="E271" t="inlineStr">
        <is>
          <t>VÄSTERVIK</t>
        </is>
      </c>
      <c r="F271" t="inlineStr">
        <is>
          <t>Övriga Aktiebolag</t>
        </is>
      </c>
      <c r="G271" t="n">
        <v>14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Havsörn</t>
        </is>
      </c>
      <c r="S271">
        <f>HYPERLINK("https://klasma.github.io/Logging_0883/artfynd/A 34357-2024 artfynd.xlsx", "A 34357-2024")</f>
        <v/>
      </c>
      <c r="T271">
        <f>HYPERLINK("https://klasma.github.io/Logging_0883/kartor/A 34357-2024 karta.png", "A 34357-2024")</f>
        <v/>
      </c>
      <c r="V271">
        <f>HYPERLINK("https://klasma.github.io/Logging_0883/klagomål/A 34357-2024 FSC-klagomål.docx", "A 34357-2024")</f>
        <v/>
      </c>
      <c r="W271">
        <f>HYPERLINK("https://klasma.github.io/Logging_0883/klagomålsmail/A 34357-2024 FSC-klagomål mail.docx", "A 34357-2024")</f>
        <v/>
      </c>
      <c r="X271">
        <f>HYPERLINK("https://klasma.github.io/Logging_0883/tillsyn/A 34357-2024 tillsynsbegäran.docx", "A 34357-2024")</f>
        <v/>
      </c>
      <c r="Y271">
        <f>HYPERLINK("https://klasma.github.io/Logging_0883/tillsynsmail/A 34357-2024 tillsynsbegäran mail.docx", "A 34357-2024")</f>
        <v/>
      </c>
      <c r="Z271">
        <f>HYPERLINK("https://klasma.github.io/Logging_0883/fåglar/A 34357-2024 prioriterade fågelarter.docx", "A 34357-2024")</f>
        <v/>
      </c>
    </row>
    <row r="272" ht="15" customHeight="1">
      <c r="A272" t="inlineStr">
        <is>
          <t>A 35028-2024</t>
        </is>
      </c>
      <c r="B272" s="1" t="n">
        <v>45527</v>
      </c>
      <c r="C272" s="1" t="n">
        <v>45633</v>
      </c>
      <c r="D272" t="inlineStr">
        <is>
          <t>KALMAR LÄN</t>
        </is>
      </c>
      <c r="E272" t="inlineStr">
        <is>
          <t>VÄSTERVIK</t>
        </is>
      </c>
      <c r="G272" t="n">
        <v>1.3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HYPERLINK("https://klasma.github.io/Logging_0883/artfynd/A 35028-2024 artfynd.xlsx", "A 35028-2024")</f>
        <v/>
      </c>
      <c r="T272">
        <f>HYPERLINK("https://klasma.github.io/Logging_0883/kartor/A 35028-2024 karta.png", "A 35028-2024")</f>
        <v/>
      </c>
      <c r="V272">
        <f>HYPERLINK("https://klasma.github.io/Logging_0883/klagomål/A 35028-2024 FSC-klagomål.docx", "A 35028-2024")</f>
        <v/>
      </c>
      <c r="W272">
        <f>HYPERLINK("https://klasma.github.io/Logging_0883/klagomålsmail/A 35028-2024 FSC-klagomål mail.docx", "A 35028-2024")</f>
        <v/>
      </c>
      <c r="X272">
        <f>HYPERLINK("https://klasma.github.io/Logging_0883/tillsyn/A 35028-2024 tillsynsbegäran.docx", "A 35028-2024")</f>
        <v/>
      </c>
      <c r="Y272">
        <f>HYPERLINK("https://klasma.github.io/Logging_0883/tillsynsmail/A 35028-2024 tillsynsbegäran mail.docx", "A 35028-2024")</f>
        <v/>
      </c>
    </row>
    <row r="273" ht="15" customHeight="1">
      <c r="A273" t="inlineStr">
        <is>
          <t>A 35959-2024</t>
        </is>
      </c>
      <c r="B273" s="1" t="n">
        <v>45533</v>
      </c>
      <c r="C273" s="1" t="n">
        <v>45633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Smalsprötad bastardsvärmare</t>
        </is>
      </c>
      <c r="S273">
        <f>HYPERLINK("https://klasma.github.io/Logging_0883/artfynd/A 35959-2024 artfynd.xlsx", "A 35959-2024")</f>
        <v/>
      </c>
      <c r="T273">
        <f>HYPERLINK("https://klasma.github.io/Logging_0883/kartor/A 35959-2024 karta.png", "A 35959-2024")</f>
        <v/>
      </c>
      <c r="V273">
        <f>HYPERLINK("https://klasma.github.io/Logging_0883/klagomål/A 35959-2024 FSC-klagomål.docx", "A 35959-2024")</f>
        <v/>
      </c>
      <c r="W273">
        <f>HYPERLINK("https://klasma.github.io/Logging_0883/klagomålsmail/A 35959-2024 FSC-klagomål mail.docx", "A 35959-2024")</f>
        <v/>
      </c>
      <c r="X273">
        <f>HYPERLINK("https://klasma.github.io/Logging_0883/tillsyn/A 35959-2024 tillsynsbegäran.docx", "A 35959-2024")</f>
        <v/>
      </c>
      <c r="Y273">
        <f>HYPERLINK("https://klasma.github.io/Logging_0883/tillsynsmail/A 35959-2024 tillsynsbegäran mail.docx", "A 35959-2024")</f>
        <v/>
      </c>
    </row>
    <row r="274" ht="15" customHeight="1">
      <c r="A274" t="inlineStr">
        <is>
          <t>A 42811-2024</t>
        </is>
      </c>
      <c r="B274" s="1" t="n">
        <v>45566</v>
      </c>
      <c r="C274" s="1" t="n">
        <v>45633</v>
      </c>
      <c r="D274" t="inlineStr">
        <is>
          <t>KALMAR LÄN</t>
        </is>
      </c>
      <c r="E274" t="inlineStr">
        <is>
          <t>VÄSTERVIK</t>
        </is>
      </c>
      <c r="G274" t="n">
        <v>4.4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42811-2024 artfynd.xlsx", "A 42811-2024")</f>
        <v/>
      </c>
      <c r="T274">
        <f>HYPERLINK("https://klasma.github.io/Logging_0883/kartor/A 42811-2024 karta.png", "A 42811-2024")</f>
        <v/>
      </c>
      <c r="V274">
        <f>HYPERLINK("https://klasma.github.io/Logging_0883/klagomål/A 42811-2024 FSC-klagomål.docx", "A 42811-2024")</f>
        <v/>
      </c>
      <c r="W274">
        <f>HYPERLINK("https://klasma.github.io/Logging_0883/klagomålsmail/A 42811-2024 FSC-klagomål mail.docx", "A 42811-2024")</f>
        <v/>
      </c>
      <c r="X274">
        <f>HYPERLINK("https://klasma.github.io/Logging_0883/tillsyn/A 42811-2024 tillsynsbegäran.docx", "A 42811-2024")</f>
        <v/>
      </c>
      <c r="Y274">
        <f>HYPERLINK("https://klasma.github.io/Logging_0883/tillsynsmail/A 42811-2024 tillsynsbegäran mail.docx", "A 42811-2024")</f>
        <v/>
      </c>
    </row>
    <row r="275" ht="15" customHeight="1">
      <c r="A275" t="inlineStr">
        <is>
          <t>A 44333-2024</t>
        </is>
      </c>
      <c r="B275" s="1" t="n">
        <v>45573</v>
      </c>
      <c r="C275" s="1" t="n">
        <v>45633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4.5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44333-2024 artfynd.xlsx", "A 44333-2024")</f>
        <v/>
      </c>
      <c r="T275">
        <f>HYPERLINK("https://klasma.github.io/Logging_0883/kartor/A 44333-2024 karta.png", "A 44333-2024")</f>
        <v/>
      </c>
      <c r="V275">
        <f>HYPERLINK("https://klasma.github.io/Logging_0883/klagomål/A 44333-2024 FSC-klagomål.docx", "A 44333-2024")</f>
        <v/>
      </c>
      <c r="W275">
        <f>HYPERLINK("https://klasma.github.io/Logging_0883/klagomålsmail/A 44333-2024 FSC-klagomål mail.docx", "A 44333-2024")</f>
        <v/>
      </c>
      <c r="X275">
        <f>HYPERLINK("https://klasma.github.io/Logging_0883/tillsyn/A 44333-2024 tillsynsbegäran.docx", "A 44333-2024")</f>
        <v/>
      </c>
      <c r="Y275">
        <f>HYPERLINK("https://klasma.github.io/Logging_0883/tillsynsmail/A 44333-2024 tillsynsbegäran mail.docx", "A 44333-2024")</f>
        <v/>
      </c>
      <c r="Z275">
        <f>HYPERLINK("https://klasma.github.io/Logging_0883/fåglar/A 44333-2024 prioriterade fågelarter.docx", "A 44333-2024")</f>
        <v/>
      </c>
    </row>
    <row r="276" ht="15" customHeight="1">
      <c r="A276" t="inlineStr">
        <is>
          <t>A 45462-2024</t>
        </is>
      </c>
      <c r="B276" s="1" t="n">
        <v>45576</v>
      </c>
      <c r="C276" s="1" t="n">
        <v>45633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Järpe</t>
        </is>
      </c>
      <c r="S276">
        <f>HYPERLINK("https://klasma.github.io/Logging_0883/artfynd/A 45462-2024 artfynd.xlsx", "A 45462-2024")</f>
        <v/>
      </c>
      <c r="T276">
        <f>HYPERLINK("https://klasma.github.io/Logging_0883/kartor/A 45462-2024 karta.png", "A 45462-2024")</f>
        <v/>
      </c>
      <c r="V276">
        <f>HYPERLINK("https://klasma.github.io/Logging_0883/klagomål/A 45462-2024 FSC-klagomål.docx", "A 45462-2024")</f>
        <v/>
      </c>
      <c r="W276">
        <f>HYPERLINK("https://klasma.github.io/Logging_0883/klagomålsmail/A 45462-2024 FSC-klagomål mail.docx", "A 45462-2024")</f>
        <v/>
      </c>
      <c r="X276">
        <f>HYPERLINK("https://klasma.github.io/Logging_0883/tillsyn/A 45462-2024 tillsynsbegäran.docx", "A 45462-2024")</f>
        <v/>
      </c>
      <c r="Y276">
        <f>HYPERLINK("https://klasma.github.io/Logging_0883/tillsynsmail/A 45462-2024 tillsynsbegäran mail.docx", "A 45462-2024")</f>
        <v/>
      </c>
      <c r="Z276">
        <f>HYPERLINK("https://klasma.github.io/Logging_0883/fåglar/A 45462-2024 prioriterade fågelarter.docx", "A 45462-2024")</f>
        <v/>
      </c>
    </row>
    <row r="277" ht="15" customHeight="1">
      <c r="A277" t="inlineStr">
        <is>
          <t>A 45679-2024</t>
        </is>
      </c>
      <c r="B277" s="1" t="n">
        <v>45579</v>
      </c>
      <c r="C277" s="1" t="n">
        <v>45633</v>
      </c>
      <c r="D277" t="inlineStr">
        <is>
          <t>KALMAR LÄN</t>
        </is>
      </c>
      <c r="E277" t="inlineStr">
        <is>
          <t>VÄSTERVIK</t>
        </is>
      </c>
      <c r="F277" t="inlineStr">
        <is>
          <t>Kyrkan</t>
        </is>
      </c>
      <c r="G277" t="n">
        <v>2.8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45679-2024 artfynd.xlsx", "A 45679-2024")</f>
        <v/>
      </c>
      <c r="T277">
        <f>HYPERLINK("https://klasma.github.io/Logging_0883/kartor/A 45679-2024 karta.png", "A 45679-2024")</f>
        <v/>
      </c>
      <c r="U277">
        <f>HYPERLINK("https://klasma.github.io/Logging_0883/knärot/A 45679-2024 karta knärot.png", "A 45679-2024")</f>
        <v/>
      </c>
      <c r="V277">
        <f>HYPERLINK("https://klasma.github.io/Logging_0883/klagomål/A 45679-2024 FSC-klagomål.docx", "A 45679-2024")</f>
        <v/>
      </c>
      <c r="W277">
        <f>HYPERLINK("https://klasma.github.io/Logging_0883/klagomålsmail/A 45679-2024 FSC-klagomål mail.docx", "A 45679-2024")</f>
        <v/>
      </c>
      <c r="X277">
        <f>HYPERLINK("https://klasma.github.io/Logging_0883/tillsyn/A 45679-2024 tillsynsbegäran.docx", "A 45679-2024")</f>
        <v/>
      </c>
      <c r="Y277">
        <f>HYPERLINK("https://klasma.github.io/Logging_0883/tillsynsmail/A 45679-2024 tillsynsbegäran mail.docx", "A 45679-2024")</f>
        <v/>
      </c>
    </row>
    <row r="278" ht="15" customHeight="1">
      <c r="A278" t="inlineStr">
        <is>
          <t>A 51514-2024</t>
        </is>
      </c>
      <c r="B278" s="1" t="n">
        <v>45604</v>
      </c>
      <c r="C278" s="1" t="n">
        <v>45633</v>
      </c>
      <c r="D278" t="inlineStr">
        <is>
          <t>KALMAR LÄN</t>
        </is>
      </c>
      <c r="E278" t="inlineStr">
        <is>
          <t>VÄSTERVIK</t>
        </is>
      </c>
      <c r="F278" t="inlineStr">
        <is>
          <t>Övriga Aktiebolag</t>
        </is>
      </c>
      <c r="G278" t="n">
        <v>2.4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Havsörn</t>
        </is>
      </c>
      <c r="S278">
        <f>HYPERLINK("https://klasma.github.io/Logging_0883/artfynd/A 51514-2024 artfynd.xlsx", "A 51514-2024")</f>
        <v/>
      </c>
      <c r="T278">
        <f>HYPERLINK("https://klasma.github.io/Logging_0883/kartor/A 51514-2024 karta.png", "A 51514-2024")</f>
        <v/>
      </c>
      <c r="V278">
        <f>HYPERLINK("https://klasma.github.io/Logging_0883/klagomål/A 51514-2024 FSC-klagomål.docx", "A 51514-2024")</f>
        <v/>
      </c>
      <c r="W278">
        <f>HYPERLINK("https://klasma.github.io/Logging_0883/klagomålsmail/A 51514-2024 FSC-klagomål mail.docx", "A 51514-2024")</f>
        <v/>
      </c>
      <c r="X278">
        <f>HYPERLINK("https://klasma.github.io/Logging_0883/tillsyn/A 51514-2024 tillsynsbegäran.docx", "A 51514-2024")</f>
        <v/>
      </c>
      <c r="Y278">
        <f>HYPERLINK("https://klasma.github.io/Logging_0883/tillsynsmail/A 51514-2024 tillsynsbegäran mail.docx", "A 51514-2024")</f>
        <v/>
      </c>
      <c r="Z278">
        <f>HYPERLINK("https://klasma.github.io/Logging_0883/fåglar/A 51514-2024 prioriterade fågelarter.docx", "A 51514-2024")</f>
        <v/>
      </c>
    </row>
    <row r="279" ht="15" customHeight="1">
      <c r="A279" t="inlineStr">
        <is>
          <t>A 53075-2024</t>
        </is>
      </c>
      <c r="B279" s="1" t="n">
        <v>45611</v>
      </c>
      <c r="C279" s="1" t="n">
        <v>45633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8.5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HYPERLINK("https://klasma.github.io/Logging_0883/artfynd/A 53075-2024 artfynd.xlsx", "A 53075-2024")</f>
        <v/>
      </c>
      <c r="T279">
        <f>HYPERLINK("https://klasma.github.io/Logging_0883/kartor/A 53075-2024 karta.png", "A 53075-2024")</f>
        <v/>
      </c>
      <c r="V279">
        <f>HYPERLINK("https://klasma.github.io/Logging_0883/klagomål/A 53075-2024 FSC-klagomål.docx", "A 53075-2024")</f>
        <v/>
      </c>
      <c r="W279">
        <f>HYPERLINK("https://klasma.github.io/Logging_0883/klagomålsmail/A 53075-2024 FSC-klagomål mail.docx", "A 53075-2024")</f>
        <v/>
      </c>
      <c r="X279">
        <f>HYPERLINK("https://klasma.github.io/Logging_0883/tillsyn/A 53075-2024 tillsynsbegäran.docx", "A 53075-2024")</f>
        <v/>
      </c>
      <c r="Y279">
        <f>HYPERLINK("https://klasma.github.io/Logging_0883/tillsynsmail/A 53075-2024 tillsynsbegäran mail.docx", "A 53075-2024")</f>
        <v/>
      </c>
      <c r="Z279">
        <f>HYPERLINK("https://klasma.github.io/Logging_0883/fåglar/A 53075-2024 prioriterade fågelarter.docx", "A 53075-2024")</f>
        <v/>
      </c>
    </row>
    <row r="280" ht="15" customHeight="1">
      <c r="A280" t="inlineStr">
        <is>
          <t>A 55360-2024</t>
        </is>
      </c>
      <c r="B280" s="1" t="n">
        <v>45621</v>
      </c>
      <c r="C280" s="1" t="n">
        <v>45633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11.1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HYPERLINK("https://klasma.github.io/Logging_0883/artfynd/A 55360-2024 artfynd.xlsx", "A 55360-2024")</f>
        <v/>
      </c>
      <c r="T280">
        <f>HYPERLINK("https://klasma.github.io/Logging_0883/kartor/A 55360-2024 karta.png", "A 55360-2024")</f>
        <v/>
      </c>
      <c r="V280">
        <f>HYPERLINK("https://klasma.github.io/Logging_0883/klagomål/A 55360-2024 FSC-klagomål.docx", "A 55360-2024")</f>
        <v/>
      </c>
      <c r="W280">
        <f>HYPERLINK("https://klasma.github.io/Logging_0883/klagomålsmail/A 55360-2024 FSC-klagomål mail.docx", "A 55360-2024")</f>
        <v/>
      </c>
      <c r="X280">
        <f>HYPERLINK("https://klasma.github.io/Logging_0883/tillsyn/A 55360-2024 tillsynsbegäran.docx", "A 55360-2024")</f>
        <v/>
      </c>
      <c r="Y280">
        <f>HYPERLINK("https://klasma.github.io/Logging_0883/tillsynsmail/A 55360-2024 tillsynsbegäran mail.docx", "A 55360-2024")</f>
        <v/>
      </c>
    </row>
    <row r="281" ht="15" customHeight="1">
      <c r="A281" t="inlineStr">
        <is>
          <t>A 17794-2019</t>
        </is>
      </c>
      <c r="B281" s="1" t="n">
        <v>43556</v>
      </c>
      <c r="C281" s="1" t="n">
        <v>45633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18417-2019</t>
        </is>
      </c>
      <c r="B282" s="1" t="n">
        <v>43559</v>
      </c>
      <c r="C282" s="1" t="n">
        <v>45633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18552-2019</t>
        </is>
      </c>
      <c r="B283" s="1" t="n">
        <v>43559</v>
      </c>
      <c r="C283" s="1" t="n">
        <v>45633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18419-2019</t>
        </is>
      </c>
      <c r="B284" s="1" t="n">
        <v>43559</v>
      </c>
      <c r="C284" s="1" t="n">
        <v>45633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18768-2019</t>
        </is>
      </c>
      <c r="B285" s="1" t="n">
        <v>43560</v>
      </c>
      <c r="C285" s="1" t="n">
        <v>45633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19141-2019</t>
        </is>
      </c>
      <c r="B286" s="1" t="n">
        <v>43564</v>
      </c>
      <c r="C286" s="1" t="n">
        <v>45633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19414-2019</t>
        </is>
      </c>
      <c r="B287" s="1" t="n">
        <v>43565</v>
      </c>
      <c r="C287" s="1" t="n">
        <v>45633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19653-2019</t>
        </is>
      </c>
      <c r="B288" s="1" t="n">
        <v>43566</v>
      </c>
      <c r="C288" s="1" t="n">
        <v>45633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19819-2019</t>
        </is>
      </c>
      <c r="B289" s="1" t="n">
        <v>43567</v>
      </c>
      <c r="C289" s="1" t="n">
        <v>45633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19825-2019</t>
        </is>
      </c>
      <c r="B290" s="1" t="n">
        <v>43567</v>
      </c>
      <c r="C290" s="1" t="n">
        <v>45633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20371-2019</t>
        </is>
      </c>
      <c r="B291" s="1" t="n">
        <v>43571</v>
      </c>
      <c r="C291" s="1" t="n">
        <v>45633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24133-2019</t>
        </is>
      </c>
      <c r="B292" s="1" t="n">
        <v>43598</v>
      </c>
      <c r="C292" s="1" t="n">
        <v>45633</v>
      </c>
      <c r="D292" t="inlineStr">
        <is>
          <t>KALMAR LÄN</t>
        </is>
      </c>
      <c r="E292" t="inlineStr">
        <is>
          <t>VÄSTERVIK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24356-2019</t>
        </is>
      </c>
      <c r="B293" s="1" t="n">
        <v>43599</v>
      </c>
      <c r="C293" s="1" t="n">
        <v>45633</v>
      </c>
      <c r="D293" t="inlineStr">
        <is>
          <t>KALMAR LÄN</t>
        </is>
      </c>
      <c r="E293" t="inlineStr">
        <is>
          <t>VÄSTERVIK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24358-2019</t>
        </is>
      </c>
      <c r="B294" s="1" t="n">
        <v>43599</v>
      </c>
      <c r="C294" s="1" t="n">
        <v>45633</v>
      </c>
      <c r="D294" t="inlineStr">
        <is>
          <t>KALMAR LÄN</t>
        </is>
      </c>
      <c r="E294" t="inlineStr">
        <is>
          <t>VÄSTERVIK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24316-2019</t>
        </is>
      </c>
      <c r="B295" s="1" t="n">
        <v>43599</v>
      </c>
      <c r="C295" s="1" t="n">
        <v>45633</v>
      </c>
      <c r="D295" t="inlineStr">
        <is>
          <t>KALMAR LÄN</t>
        </is>
      </c>
      <c r="E295" t="inlineStr">
        <is>
          <t>VÄSTERVIK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24318-2019</t>
        </is>
      </c>
      <c r="B296" s="1" t="n">
        <v>43599</v>
      </c>
      <c r="C296" s="1" t="n">
        <v>45633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24354-2019</t>
        </is>
      </c>
      <c r="B297" s="1" t="n">
        <v>43599</v>
      </c>
      <c r="C297" s="1" t="n">
        <v>45633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24550-2019</t>
        </is>
      </c>
      <c r="B298" s="1" t="n">
        <v>43600</v>
      </c>
      <c r="C298" s="1" t="n">
        <v>45633</v>
      </c>
      <c r="D298" t="inlineStr">
        <is>
          <t>KALMAR LÄN</t>
        </is>
      </c>
      <c r="E298" t="inlineStr">
        <is>
          <t>VÄSTERVIK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24683-2019</t>
        </is>
      </c>
      <c r="B299" s="1" t="n">
        <v>43601</v>
      </c>
      <c r="C299" s="1" t="n">
        <v>45633</v>
      </c>
      <c r="D299" t="inlineStr">
        <is>
          <t>KALMAR LÄN</t>
        </is>
      </c>
      <c r="E299" t="inlineStr">
        <is>
          <t>VÄSTERVIK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24944-2019</t>
        </is>
      </c>
      <c r="B300" s="1" t="n">
        <v>43602</v>
      </c>
      <c r="C300" s="1" t="n">
        <v>45633</v>
      </c>
      <c r="D300" t="inlineStr">
        <is>
          <t>KALMAR LÄN</t>
        </is>
      </c>
      <c r="E300" t="inlineStr">
        <is>
          <t>VÄSTERVIK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26470-2019</t>
        </is>
      </c>
      <c r="B301" s="1" t="n">
        <v>43606</v>
      </c>
      <c r="C301" s="1" t="n">
        <v>45633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26834-2019</t>
        </is>
      </c>
      <c r="B302" s="1" t="n">
        <v>43608</v>
      </c>
      <c r="C302" s="1" t="n">
        <v>45633</v>
      </c>
      <c r="D302" t="inlineStr">
        <is>
          <t>KALMAR LÄN</t>
        </is>
      </c>
      <c r="E302" t="inlineStr">
        <is>
          <t>VÄSTERVIK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26833-2019</t>
        </is>
      </c>
      <c r="B303" s="1" t="n">
        <v>43608</v>
      </c>
      <c r="C303" s="1" t="n">
        <v>45633</v>
      </c>
      <c r="D303" t="inlineStr">
        <is>
          <t>KALMAR LÄN</t>
        </is>
      </c>
      <c r="E303" t="inlineStr">
        <is>
          <t>VÄSTERVIK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26567-2019</t>
        </is>
      </c>
      <c r="B304" s="1" t="n">
        <v>43612</v>
      </c>
      <c r="C304" s="1" t="n">
        <v>45633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26590-2019</t>
        </is>
      </c>
      <c r="B305" s="1" t="n">
        <v>43612</v>
      </c>
      <c r="C305" s="1" t="n">
        <v>45633</v>
      </c>
      <c r="D305" t="inlineStr">
        <is>
          <t>KALMAR LÄN</t>
        </is>
      </c>
      <c r="E305" t="inlineStr">
        <is>
          <t>VÄSTERVIK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26585-2019</t>
        </is>
      </c>
      <c r="B306" s="1" t="n">
        <v>43612</v>
      </c>
      <c r="C306" s="1" t="n">
        <v>45633</v>
      </c>
      <c r="D306" t="inlineStr">
        <is>
          <t>KALMAR LÄN</t>
        </is>
      </c>
      <c r="E306" t="inlineStr">
        <is>
          <t>VÄSTERVIK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26578-2019</t>
        </is>
      </c>
      <c r="B307" s="1" t="n">
        <v>43612</v>
      </c>
      <c r="C307" s="1" t="n">
        <v>45633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27206-2019</t>
        </is>
      </c>
      <c r="B308" s="1" t="n">
        <v>43614</v>
      </c>
      <c r="C308" s="1" t="n">
        <v>45633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28970-2019</t>
        </is>
      </c>
      <c r="B309" s="1" t="n">
        <v>43619</v>
      </c>
      <c r="C309" s="1" t="n">
        <v>45633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27654-2019</t>
        </is>
      </c>
      <c r="B310" s="1" t="n">
        <v>43619</v>
      </c>
      <c r="C310" s="1" t="n">
        <v>45633</v>
      </c>
      <c r="D310" t="inlineStr">
        <is>
          <t>KALMAR LÄN</t>
        </is>
      </c>
      <c r="E310" t="inlineStr">
        <is>
          <t>VÄSTERVIK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28347-2019</t>
        </is>
      </c>
      <c r="B311" s="1" t="n">
        <v>43624</v>
      </c>
      <c r="C311" s="1" t="n">
        <v>45633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28594-2019</t>
        </is>
      </c>
      <c r="B312" s="1" t="n">
        <v>43626</v>
      </c>
      <c r="C312" s="1" t="n">
        <v>45633</v>
      </c>
      <c r="D312" t="inlineStr">
        <is>
          <t>KALMAR LÄN</t>
        </is>
      </c>
      <c r="E312" t="inlineStr">
        <is>
          <t>VÄSTERVIK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28590-2019</t>
        </is>
      </c>
      <c r="B313" s="1" t="n">
        <v>43626</v>
      </c>
      <c r="C313" s="1" t="n">
        <v>45633</v>
      </c>
      <c r="D313" t="inlineStr">
        <is>
          <t>KALMAR LÄN</t>
        </is>
      </c>
      <c r="E313" t="inlineStr">
        <is>
          <t>VÄSTERVIK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29519-2019</t>
        </is>
      </c>
      <c r="B314" s="1" t="n">
        <v>43627</v>
      </c>
      <c r="C314" s="1" t="n">
        <v>45633</v>
      </c>
      <c r="D314" t="inlineStr">
        <is>
          <t>KALMAR LÄN</t>
        </is>
      </c>
      <c r="E314" t="inlineStr">
        <is>
          <t>VÄSTERVIK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30058-2019</t>
        </is>
      </c>
      <c r="B315" s="1" t="n">
        <v>43633</v>
      </c>
      <c r="C315" s="1" t="n">
        <v>45633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30057-2019</t>
        </is>
      </c>
      <c r="B316" s="1" t="n">
        <v>43633</v>
      </c>
      <c r="C316" s="1" t="n">
        <v>45633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29922-2019</t>
        </is>
      </c>
      <c r="B317" s="1" t="n">
        <v>43633</v>
      </c>
      <c r="C317" s="1" t="n">
        <v>45633</v>
      </c>
      <c r="D317" t="inlineStr">
        <is>
          <t>KALMAR LÄN</t>
        </is>
      </c>
      <c r="E317" t="inlineStr">
        <is>
          <t>VÄSTERVIK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31072-2019</t>
        </is>
      </c>
      <c r="B318" s="1" t="n">
        <v>43640</v>
      </c>
      <c r="C318" s="1" t="n">
        <v>45633</v>
      </c>
      <c r="D318" t="inlineStr">
        <is>
          <t>KALMAR LÄN</t>
        </is>
      </c>
      <c r="E318" t="inlineStr">
        <is>
          <t>VÄSTERVIK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32045-2019</t>
        </is>
      </c>
      <c r="B319" s="1" t="n">
        <v>43643</v>
      </c>
      <c r="C319" s="1" t="n">
        <v>45633</v>
      </c>
      <c r="D319" t="inlineStr">
        <is>
          <t>KALMAR LÄN</t>
        </is>
      </c>
      <c r="E319" t="inlineStr">
        <is>
          <t>VÄSTERVIK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32052-2019</t>
        </is>
      </c>
      <c r="B320" s="1" t="n">
        <v>43643</v>
      </c>
      <c r="C320" s="1" t="n">
        <v>45633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32048-2019</t>
        </is>
      </c>
      <c r="B321" s="1" t="n">
        <v>43643</v>
      </c>
      <c r="C321" s="1" t="n">
        <v>45633</v>
      </c>
      <c r="D321" t="inlineStr">
        <is>
          <t>KALMAR LÄN</t>
        </is>
      </c>
      <c r="E321" t="inlineStr">
        <is>
          <t>VÄSTERVIK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32522-2019</t>
        </is>
      </c>
      <c r="B322" s="1" t="n">
        <v>43646</v>
      </c>
      <c r="C322" s="1" t="n">
        <v>45633</v>
      </c>
      <c r="D322" t="inlineStr">
        <is>
          <t>KALMAR LÄN</t>
        </is>
      </c>
      <c r="E322" t="inlineStr">
        <is>
          <t>VÄSTERVIK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32521-2019</t>
        </is>
      </c>
      <c r="B323" s="1" t="n">
        <v>43646</v>
      </c>
      <c r="C323" s="1" t="n">
        <v>45633</v>
      </c>
      <c r="D323" t="inlineStr">
        <is>
          <t>KALMAR LÄN</t>
        </is>
      </c>
      <c r="E323" t="inlineStr">
        <is>
          <t>VÄSTERVIK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32524-2019</t>
        </is>
      </c>
      <c r="B324" s="1" t="n">
        <v>43646</v>
      </c>
      <c r="C324" s="1" t="n">
        <v>45633</v>
      </c>
      <c r="D324" t="inlineStr">
        <is>
          <t>KALMAR LÄN</t>
        </is>
      </c>
      <c r="E324" t="inlineStr">
        <is>
          <t>VÄSTERVIK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32523-2019</t>
        </is>
      </c>
      <c r="B325" s="1" t="n">
        <v>43646</v>
      </c>
      <c r="C325" s="1" t="n">
        <v>45633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33752-2019</t>
        </is>
      </c>
      <c r="B326" s="1" t="n">
        <v>43651</v>
      </c>
      <c r="C326" s="1" t="n">
        <v>45633</v>
      </c>
      <c r="D326" t="inlineStr">
        <is>
          <t>KALMAR LÄN</t>
        </is>
      </c>
      <c r="E326" t="inlineStr">
        <is>
          <t>VÄSTERVIK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33738-2019</t>
        </is>
      </c>
      <c r="B327" s="1" t="n">
        <v>43651</v>
      </c>
      <c r="C327" s="1" t="n">
        <v>45633</v>
      </c>
      <c r="D327" t="inlineStr">
        <is>
          <t>KALMAR LÄN</t>
        </is>
      </c>
      <c r="E327" t="inlineStr">
        <is>
          <t>VÄSTERVIK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33741-2019</t>
        </is>
      </c>
      <c r="B328" s="1" t="n">
        <v>43651</v>
      </c>
      <c r="C328" s="1" t="n">
        <v>45633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35283-2019</t>
        </is>
      </c>
      <c r="B329" s="1" t="n">
        <v>43656</v>
      </c>
      <c r="C329" s="1" t="n">
        <v>45633</v>
      </c>
      <c r="D329" t="inlineStr">
        <is>
          <t>KALMAR LÄN</t>
        </is>
      </c>
      <c r="E329" t="inlineStr">
        <is>
          <t>VÄSTERVIK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35284-2019</t>
        </is>
      </c>
      <c r="B330" s="1" t="n">
        <v>43656</v>
      </c>
      <c r="C330" s="1" t="n">
        <v>45633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35285-2019</t>
        </is>
      </c>
      <c r="B331" s="1" t="n">
        <v>43656</v>
      </c>
      <c r="C331" s="1" t="n">
        <v>45633</v>
      </c>
      <c r="D331" t="inlineStr">
        <is>
          <t>KALMAR LÄN</t>
        </is>
      </c>
      <c r="E331" t="inlineStr">
        <is>
          <t>VÄSTERVIK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37615-2019</t>
        </is>
      </c>
      <c r="B332" s="1" t="n">
        <v>43681</v>
      </c>
      <c r="C332" s="1" t="n">
        <v>45633</v>
      </c>
      <c r="D332" t="inlineStr">
        <is>
          <t>KALMAR LÄN</t>
        </is>
      </c>
      <c r="E332" t="inlineStr">
        <is>
          <t>VÄSTERVIK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37983-2019</t>
        </is>
      </c>
      <c r="B333" s="1" t="n">
        <v>43683</v>
      </c>
      <c r="C333" s="1" t="n">
        <v>45633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37920-2019</t>
        </is>
      </c>
      <c r="B334" s="1" t="n">
        <v>43683</v>
      </c>
      <c r="C334" s="1" t="n">
        <v>45633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38229-2019</t>
        </is>
      </c>
      <c r="B335" s="1" t="n">
        <v>43684</v>
      </c>
      <c r="C335" s="1" t="n">
        <v>45633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38239-2019</t>
        </is>
      </c>
      <c r="B336" s="1" t="n">
        <v>43684</v>
      </c>
      <c r="C336" s="1" t="n">
        <v>45633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38904-2019</t>
        </is>
      </c>
      <c r="B337" s="1" t="n">
        <v>43689</v>
      </c>
      <c r="C337" s="1" t="n">
        <v>45633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39696-2019</t>
        </is>
      </c>
      <c r="B338" s="1" t="n">
        <v>43691</v>
      </c>
      <c r="C338" s="1" t="n">
        <v>45633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39745-2019</t>
        </is>
      </c>
      <c r="B339" s="1" t="n">
        <v>43691</v>
      </c>
      <c r="C339" s="1" t="n">
        <v>45633</v>
      </c>
      <c r="D339" t="inlineStr">
        <is>
          <t>KALMAR LÄN</t>
        </is>
      </c>
      <c r="E339" t="inlineStr">
        <is>
          <t>VÄSTERVIK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41961-2019</t>
        </is>
      </c>
      <c r="B340" s="1" t="n">
        <v>43698</v>
      </c>
      <c r="C340" s="1" t="n">
        <v>45633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41728-2019</t>
        </is>
      </c>
      <c r="B341" s="1" t="n">
        <v>43699</v>
      </c>
      <c r="C341" s="1" t="n">
        <v>45633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44467-2019</t>
        </is>
      </c>
      <c r="B342" s="1" t="n">
        <v>43711</v>
      </c>
      <c r="C342" s="1" t="n">
        <v>45633</v>
      </c>
      <c r="D342" t="inlineStr">
        <is>
          <t>KALMAR LÄN</t>
        </is>
      </c>
      <c r="E342" t="inlineStr">
        <is>
          <t>VÄSTERVIK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44639-2019</t>
        </is>
      </c>
      <c r="B343" s="1" t="n">
        <v>43712</v>
      </c>
      <c r="C343" s="1" t="n">
        <v>45633</v>
      </c>
      <c r="D343" t="inlineStr">
        <is>
          <t>KALMAR LÄN</t>
        </is>
      </c>
      <c r="E343" t="inlineStr">
        <is>
          <t>VÄSTERVIK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46173-2019</t>
        </is>
      </c>
      <c r="B344" s="1" t="n">
        <v>43712</v>
      </c>
      <c r="C344" s="1" t="n">
        <v>45633</v>
      </c>
      <c r="D344" t="inlineStr">
        <is>
          <t>KALMAR LÄN</t>
        </is>
      </c>
      <c r="E344" t="inlineStr">
        <is>
          <t>VÄSTERVIK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45162-2019</t>
        </is>
      </c>
      <c r="B345" s="1" t="n">
        <v>43713</v>
      </c>
      <c r="C345" s="1" t="n">
        <v>45633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45379-2019</t>
        </is>
      </c>
      <c r="B346" s="1" t="n">
        <v>43713</v>
      </c>
      <c r="C346" s="1" t="n">
        <v>45633</v>
      </c>
      <c r="D346" t="inlineStr">
        <is>
          <t>KALMAR LÄN</t>
        </is>
      </c>
      <c r="E346" t="inlineStr">
        <is>
          <t>VÄSTERVIK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45386-2019</t>
        </is>
      </c>
      <c r="B347" s="1" t="n">
        <v>43713</v>
      </c>
      <c r="C347" s="1" t="n">
        <v>45633</v>
      </c>
      <c r="D347" t="inlineStr">
        <is>
          <t>KALMAR LÄN</t>
        </is>
      </c>
      <c r="E347" t="inlineStr">
        <is>
          <t>VÄSTERVIK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45757-2019</t>
        </is>
      </c>
      <c r="B348" s="1" t="n">
        <v>43717</v>
      </c>
      <c r="C348" s="1" t="n">
        <v>45633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45772-2019</t>
        </is>
      </c>
      <c r="B349" s="1" t="n">
        <v>43717</v>
      </c>
      <c r="C349" s="1" t="n">
        <v>45633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45897-2019</t>
        </is>
      </c>
      <c r="B350" s="1" t="n">
        <v>43717</v>
      </c>
      <c r="C350" s="1" t="n">
        <v>45633</v>
      </c>
      <c r="D350" t="inlineStr">
        <is>
          <t>KALMAR LÄN</t>
        </is>
      </c>
      <c r="E350" t="inlineStr">
        <is>
          <t>VÄSTERVIK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46333-2019</t>
        </is>
      </c>
      <c r="B351" s="1" t="n">
        <v>43718</v>
      </c>
      <c r="C351" s="1" t="n">
        <v>45633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46942-2019</t>
        </is>
      </c>
      <c r="B352" s="1" t="n">
        <v>43719</v>
      </c>
      <c r="C352" s="1" t="n">
        <v>45633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47434-2019</t>
        </is>
      </c>
      <c r="B353" s="1" t="n">
        <v>43723</v>
      </c>
      <c r="C353" s="1" t="n">
        <v>45633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47435-2019</t>
        </is>
      </c>
      <c r="B354" s="1" t="n">
        <v>43723</v>
      </c>
      <c r="C354" s="1" t="n">
        <v>45633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47438-2019</t>
        </is>
      </c>
      <c r="B355" s="1" t="n">
        <v>43723</v>
      </c>
      <c r="C355" s="1" t="n">
        <v>45633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47956-2019</t>
        </is>
      </c>
      <c r="B356" s="1" t="n">
        <v>43725</v>
      </c>
      <c r="C356" s="1" t="n">
        <v>45633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47954-2019</t>
        </is>
      </c>
      <c r="B357" s="1" t="n">
        <v>43725</v>
      </c>
      <c r="C357" s="1" t="n">
        <v>45633</v>
      </c>
      <c r="D357" t="inlineStr">
        <is>
          <t>KALMAR LÄN</t>
        </is>
      </c>
      <c r="E357" t="inlineStr">
        <is>
          <t>VÄSTERVIK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48357-2019</t>
        </is>
      </c>
      <c r="B358" s="1" t="n">
        <v>43726</v>
      </c>
      <c r="C358" s="1" t="n">
        <v>45633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48982-2019</t>
        </is>
      </c>
      <c r="B359" s="1" t="n">
        <v>43729</v>
      </c>
      <c r="C359" s="1" t="n">
        <v>45633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48981-2019</t>
        </is>
      </c>
      <c r="B360" s="1" t="n">
        <v>43729</v>
      </c>
      <c r="C360" s="1" t="n">
        <v>45633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48983-2019</t>
        </is>
      </c>
      <c r="B361" s="1" t="n">
        <v>43729</v>
      </c>
      <c r="C361" s="1" t="n">
        <v>45633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50461-2019</t>
        </is>
      </c>
      <c r="B362" s="1" t="n">
        <v>43735</v>
      </c>
      <c r="C362" s="1" t="n">
        <v>45633</v>
      </c>
      <c r="D362" t="inlineStr">
        <is>
          <t>KALMAR LÄN</t>
        </is>
      </c>
      <c r="E362" t="inlineStr">
        <is>
          <t>VÄSTERVIK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50627-2019</t>
        </is>
      </c>
      <c r="B363" s="1" t="n">
        <v>43736</v>
      </c>
      <c r="C363" s="1" t="n">
        <v>45633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50626-2019</t>
        </is>
      </c>
      <c r="B364" s="1" t="n">
        <v>43736</v>
      </c>
      <c r="C364" s="1" t="n">
        <v>45633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51408-2019</t>
        </is>
      </c>
      <c r="B365" s="1" t="n">
        <v>43740</v>
      </c>
      <c r="C365" s="1" t="n">
        <v>45633</v>
      </c>
      <c r="D365" t="inlineStr">
        <is>
          <t>KALMAR LÄN</t>
        </is>
      </c>
      <c r="E365" t="inlineStr">
        <is>
          <t>VÄSTERVIK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52292-2019</t>
        </is>
      </c>
      <c r="B366" s="1" t="n">
        <v>43744</v>
      </c>
      <c r="C366" s="1" t="n">
        <v>45633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52527-2019</t>
        </is>
      </c>
      <c r="B367" s="1" t="n">
        <v>43745</v>
      </c>
      <c r="C367" s="1" t="n">
        <v>45633</v>
      </c>
      <c r="D367" t="inlineStr">
        <is>
          <t>KALMAR LÄN</t>
        </is>
      </c>
      <c r="E367" t="inlineStr">
        <is>
          <t>VÄSTERVIK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53714-2019</t>
        </is>
      </c>
      <c r="B368" s="1" t="n">
        <v>43749</v>
      </c>
      <c r="C368" s="1" t="n">
        <v>45633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53546-2019</t>
        </is>
      </c>
      <c r="B369" s="1" t="n">
        <v>43749</v>
      </c>
      <c r="C369" s="1" t="n">
        <v>45633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54591-2019</t>
        </is>
      </c>
      <c r="B370" s="1" t="n">
        <v>43754</v>
      </c>
      <c r="C370" s="1" t="n">
        <v>45633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54597-2019</t>
        </is>
      </c>
      <c r="B371" s="1" t="n">
        <v>43754</v>
      </c>
      <c r="C371" s="1" t="n">
        <v>45633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57650-2019</t>
        </is>
      </c>
      <c r="B372" s="1" t="n">
        <v>43761</v>
      </c>
      <c r="C372" s="1" t="n">
        <v>45633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57654-2019</t>
        </is>
      </c>
      <c r="B373" s="1" t="n">
        <v>43761</v>
      </c>
      <c r="C373" s="1" t="n">
        <v>45633</v>
      </c>
      <c r="D373" t="inlineStr">
        <is>
          <t>KALMAR LÄN</t>
        </is>
      </c>
      <c r="E373" t="inlineStr">
        <is>
          <t>VÄSTERVIK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56580-2019</t>
        </is>
      </c>
      <c r="B374" s="1" t="n">
        <v>43763</v>
      </c>
      <c r="C374" s="1" t="n">
        <v>45633</v>
      </c>
      <c r="D374" t="inlineStr">
        <is>
          <t>KALMAR LÄN</t>
        </is>
      </c>
      <c r="E374" t="inlineStr">
        <is>
          <t>VÄSTERVIK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57770-2019</t>
        </is>
      </c>
      <c r="B375" s="1" t="n">
        <v>43768</v>
      </c>
      <c r="C375" s="1" t="n">
        <v>45633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58323-2019</t>
        </is>
      </c>
      <c r="B376" s="1" t="n">
        <v>43770</v>
      </c>
      <c r="C376" s="1" t="n">
        <v>45633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58386-2019</t>
        </is>
      </c>
      <c r="B377" s="1" t="n">
        <v>43772</v>
      </c>
      <c r="C377" s="1" t="n">
        <v>45633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58658-2019</t>
        </is>
      </c>
      <c r="B378" s="1" t="n">
        <v>43773</v>
      </c>
      <c r="C378" s="1" t="n">
        <v>45633</v>
      </c>
      <c r="D378" t="inlineStr">
        <is>
          <t>KALMAR LÄN</t>
        </is>
      </c>
      <c r="E378" t="inlineStr">
        <is>
          <t>VÄSTERVIK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59753-2019</t>
        </is>
      </c>
      <c r="B379" s="1" t="n">
        <v>43776</v>
      </c>
      <c r="C379" s="1" t="n">
        <v>45633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59898-2019</t>
        </is>
      </c>
      <c r="B380" s="1" t="n">
        <v>43777</v>
      </c>
      <c r="C380" s="1" t="n">
        <v>45633</v>
      </c>
      <c r="D380" t="inlineStr">
        <is>
          <t>KALMAR LÄN</t>
        </is>
      </c>
      <c r="E380" t="inlineStr">
        <is>
          <t>VÄSTERVIK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59892-2019</t>
        </is>
      </c>
      <c r="B381" s="1" t="n">
        <v>43777</v>
      </c>
      <c r="C381" s="1" t="n">
        <v>45633</v>
      </c>
      <c r="D381" t="inlineStr">
        <is>
          <t>KALMAR LÄN</t>
        </is>
      </c>
      <c r="E381" t="inlineStr">
        <is>
          <t>VÄSTERVIK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59937-2019</t>
        </is>
      </c>
      <c r="B382" s="1" t="n">
        <v>43777</v>
      </c>
      <c r="C382" s="1" t="n">
        <v>45633</v>
      </c>
      <c r="D382" t="inlineStr">
        <is>
          <t>KALMAR LÄN</t>
        </is>
      </c>
      <c r="E382" t="inlineStr">
        <is>
          <t>VÄSTERVIK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60707-2019</t>
        </is>
      </c>
      <c r="B383" s="1" t="n">
        <v>43781</v>
      </c>
      <c r="C383" s="1" t="n">
        <v>45633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61055-2019</t>
        </is>
      </c>
      <c r="B384" s="1" t="n">
        <v>43782</v>
      </c>
      <c r="C384" s="1" t="n">
        <v>45633</v>
      </c>
      <c r="D384" t="inlineStr">
        <is>
          <t>KALMAR LÄN</t>
        </is>
      </c>
      <c r="E384" t="inlineStr">
        <is>
          <t>VÄSTERVIK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61708-2019</t>
        </is>
      </c>
      <c r="B385" s="1" t="n">
        <v>43784</v>
      </c>
      <c r="C385" s="1" t="n">
        <v>45633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62093-2019</t>
        </is>
      </c>
      <c r="B386" s="1" t="n">
        <v>43787</v>
      </c>
      <c r="C386" s="1" t="n">
        <v>45633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62046-2019</t>
        </is>
      </c>
      <c r="B387" s="1" t="n">
        <v>43787</v>
      </c>
      <c r="C387" s="1" t="n">
        <v>45633</v>
      </c>
      <c r="D387" t="inlineStr">
        <is>
          <t>KALMAR LÄN</t>
        </is>
      </c>
      <c r="E387" t="inlineStr">
        <is>
          <t>VÄSTERVIK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62473-2019</t>
        </is>
      </c>
      <c r="B388" s="1" t="n">
        <v>43788</v>
      </c>
      <c r="C388" s="1" t="n">
        <v>45633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62660-2019</t>
        </is>
      </c>
      <c r="B389" s="1" t="n">
        <v>43789</v>
      </c>
      <c r="C389" s="1" t="n">
        <v>45633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63090-2019</t>
        </is>
      </c>
      <c r="B390" s="1" t="n">
        <v>43791</v>
      </c>
      <c r="C390" s="1" t="n">
        <v>45633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63385-2019</t>
        </is>
      </c>
      <c r="B391" s="1" t="n">
        <v>43794</v>
      </c>
      <c r="C391" s="1" t="n">
        <v>45633</v>
      </c>
      <c r="D391" t="inlineStr">
        <is>
          <t>KALMAR LÄN</t>
        </is>
      </c>
      <c r="E391" t="inlineStr">
        <is>
          <t>VÄSTERVIK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64610-2019</t>
        </is>
      </c>
      <c r="B392" s="1" t="n">
        <v>43798</v>
      </c>
      <c r="C392" s="1" t="n">
        <v>45633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65604-2019</t>
        </is>
      </c>
      <c r="B393" s="1" t="n">
        <v>43804</v>
      </c>
      <c r="C393" s="1" t="n">
        <v>45633</v>
      </c>
      <c r="D393" t="inlineStr">
        <is>
          <t>KALMAR LÄN</t>
        </is>
      </c>
      <c r="E393" t="inlineStr">
        <is>
          <t>VÄSTERVIK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66743-2019</t>
        </is>
      </c>
      <c r="B394" s="1" t="n">
        <v>43804</v>
      </c>
      <c r="C394" s="1" t="n">
        <v>45633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HYPERLINK("https://klasma.github.io/Logging_0883/knärot/A 66743-2019 karta knärot.png", "A 66743-2019")</f>
        <v/>
      </c>
      <c r="V394">
        <f>HYPERLINK("https://klasma.github.io/Logging_0883/klagomål/A 66743-2019 FSC-klagomål.docx", "A 66743-2019")</f>
        <v/>
      </c>
      <c r="W394">
        <f>HYPERLINK("https://klasma.github.io/Logging_0883/klagomålsmail/A 66743-2019 FSC-klagomål mail.docx", "A 66743-2019")</f>
        <v/>
      </c>
      <c r="X394">
        <f>HYPERLINK("https://klasma.github.io/Logging_0883/tillsyn/A 66743-2019 tillsynsbegäran.docx", "A 66743-2019")</f>
        <v/>
      </c>
      <c r="Y394">
        <f>HYPERLINK("https://klasma.github.io/Logging_0883/tillsynsmail/A 66743-2019 tillsynsbegäran mail.docx", "A 66743-2019")</f>
        <v/>
      </c>
    </row>
    <row r="395" ht="15" customHeight="1">
      <c r="A395" t="inlineStr">
        <is>
          <t>A 66279-2019</t>
        </is>
      </c>
      <c r="B395" s="1" t="n">
        <v>43808</v>
      </c>
      <c r="C395" s="1" t="n">
        <v>45633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66232-2019</t>
        </is>
      </c>
      <c r="B396" s="1" t="n">
        <v>43808</v>
      </c>
      <c r="C396" s="1" t="n">
        <v>45633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67407-2019</t>
        </is>
      </c>
      <c r="B397" s="1" t="n">
        <v>43812</v>
      </c>
      <c r="C397" s="1" t="n">
        <v>45633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68494-2019</t>
        </is>
      </c>
      <c r="B398" s="1" t="n">
        <v>43818</v>
      </c>
      <c r="C398" s="1" t="n">
        <v>45633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68764-2019</t>
        </is>
      </c>
      <c r="B399" s="1" t="n">
        <v>43819</v>
      </c>
      <c r="C399" s="1" t="n">
        <v>45633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483-2020</t>
        </is>
      </c>
      <c r="B400" s="1" t="n">
        <v>43837</v>
      </c>
      <c r="C400" s="1" t="n">
        <v>45633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777-2020</t>
        </is>
      </c>
      <c r="B401" s="1" t="n">
        <v>43838</v>
      </c>
      <c r="C401" s="1" t="n">
        <v>45633</v>
      </c>
      <c r="D401" t="inlineStr">
        <is>
          <t>KALMAR LÄN</t>
        </is>
      </c>
      <c r="E401" t="inlineStr">
        <is>
          <t>VÄSTERVIK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776-2020</t>
        </is>
      </c>
      <c r="B402" s="1" t="n">
        <v>43838</v>
      </c>
      <c r="C402" s="1" t="n">
        <v>45633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1989-2020</t>
        </is>
      </c>
      <c r="B403" s="1" t="n">
        <v>43838</v>
      </c>
      <c r="C403" s="1" t="n">
        <v>45633</v>
      </c>
      <c r="D403" t="inlineStr">
        <is>
          <t>KALMAR LÄN</t>
        </is>
      </c>
      <c r="E403" t="inlineStr">
        <is>
          <t>VÄSTERVIK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2494-2020</t>
        </is>
      </c>
      <c r="B404" s="1" t="n">
        <v>43847</v>
      </c>
      <c r="C404" s="1" t="n">
        <v>45633</v>
      </c>
      <c r="D404" t="inlineStr">
        <is>
          <t>KALMAR LÄN</t>
        </is>
      </c>
      <c r="E404" t="inlineStr">
        <is>
          <t>VÄSTERVIK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3739-2020</t>
        </is>
      </c>
      <c r="B405" s="1" t="n">
        <v>43853</v>
      </c>
      <c r="C405" s="1" t="n">
        <v>45633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3934-2020</t>
        </is>
      </c>
      <c r="B406" s="1" t="n">
        <v>43854</v>
      </c>
      <c r="C406" s="1" t="n">
        <v>45633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4786-2020</t>
        </is>
      </c>
      <c r="B407" s="1" t="n">
        <v>43859</v>
      </c>
      <c r="C407" s="1" t="n">
        <v>45633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4954-2020</t>
        </is>
      </c>
      <c r="B408" s="1" t="n">
        <v>43859</v>
      </c>
      <c r="C408" s="1" t="n">
        <v>45633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4992-2020</t>
        </is>
      </c>
      <c r="B409" s="1" t="n">
        <v>43859</v>
      </c>
      <c r="C409" s="1" t="n">
        <v>45633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4939-2020</t>
        </is>
      </c>
      <c r="B410" s="1" t="n">
        <v>43859</v>
      </c>
      <c r="C410" s="1" t="n">
        <v>45633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5622-2020</t>
        </is>
      </c>
      <c r="B411" s="1" t="n">
        <v>43860</v>
      </c>
      <c r="C411" s="1" t="n">
        <v>45633</v>
      </c>
      <c r="D411" t="inlineStr">
        <is>
          <t>KALMAR LÄN</t>
        </is>
      </c>
      <c r="E411" t="inlineStr">
        <is>
          <t>VÄSTERVIK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5637-2020</t>
        </is>
      </c>
      <c r="B412" s="1" t="n">
        <v>43860</v>
      </c>
      <c r="C412" s="1" t="n">
        <v>45633</v>
      </c>
      <c r="D412" t="inlineStr">
        <is>
          <t>KALMAR LÄN</t>
        </is>
      </c>
      <c r="E412" t="inlineStr">
        <is>
          <t>VÄSTERVIK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5629-2020</t>
        </is>
      </c>
      <c r="B413" s="1" t="n">
        <v>43860</v>
      </c>
      <c r="C413" s="1" t="n">
        <v>45633</v>
      </c>
      <c r="D413" t="inlineStr">
        <is>
          <t>KALMAR LÄN</t>
        </is>
      </c>
      <c r="E413" t="inlineStr">
        <is>
          <t>VÄSTERVIK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5583-2020</t>
        </is>
      </c>
      <c r="B414" s="1" t="n">
        <v>43861</v>
      </c>
      <c r="C414" s="1" t="n">
        <v>45633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5594-2020</t>
        </is>
      </c>
      <c r="B415" s="1" t="n">
        <v>43861</v>
      </c>
      <c r="C415" s="1" t="n">
        <v>45633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5697-2020</t>
        </is>
      </c>
      <c r="B416" s="1" t="n">
        <v>43861</v>
      </c>
      <c r="C416" s="1" t="n">
        <v>45633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5822-2020</t>
        </is>
      </c>
      <c r="B417" s="1" t="n">
        <v>43864</v>
      </c>
      <c r="C417" s="1" t="n">
        <v>45633</v>
      </c>
      <c r="D417" t="inlineStr">
        <is>
          <t>KALMAR LÄN</t>
        </is>
      </c>
      <c r="E417" t="inlineStr">
        <is>
          <t>VÄSTERVIK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6425-2020</t>
        </is>
      </c>
      <c r="B418" s="1" t="n">
        <v>43865</v>
      </c>
      <c r="C418" s="1" t="n">
        <v>45633</v>
      </c>
      <c r="D418" t="inlineStr">
        <is>
          <t>KALMAR LÄN</t>
        </is>
      </c>
      <c r="E418" t="inlineStr">
        <is>
          <t>VÄSTERVIK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6391-2020</t>
        </is>
      </c>
      <c r="B419" s="1" t="n">
        <v>43866</v>
      </c>
      <c r="C419" s="1" t="n">
        <v>45633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6387-2020</t>
        </is>
      </c>
      <c r="B420" s="1" t="n">
        <v>43866</v>
      </c>
      <c r="C420" s="1" t="n">
        <v>45633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7290-2020</t>
        </is>
      </c>
      <c r="B421" s="1" t="n">
        <v>43871</v>
      </c>
      <c r="C421" s="1" t="n">
        <v>45633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7660-2020</t>
        </is>
      </c>
      <c r="B422" s="1" t="n">
        <v>43872</v>
      </c>
      <c r="C422" s="1" t="n">
        <v>45633</v>
      </c>
      <c r="D422" t="inlineStr">
        <is>
          <t>KALMAR LÄN</t>
        </is>
      </c>
      <c r="E422" t="inlineStr">
        <is>
          <t>VÄSTERVIK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7652-2020</t>
        </is>
      </c>
      <c r="B423" s="1" t="n">
        <v>43872</v>
      </c>
      <c r="C423" s="1" t="n">
        <v>45633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7727-2020</t>
        </is>
      </c>
      <c r="B424" s="1" t="n">
        <v>43872</v>
      </c>
      <c r="C424" s="1" t="n">
        <v>45633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8075-2020</t>
        </is>
      </c>
      <c r="B425" s="1" t="n">
        <v>43874</v>
      </c>
      <c r="C425" s="1" t="n">
        <v>45633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8072-2020</t>
        </is>
      </c>
      <c r="B426" s="1" t="n">
        <v>43874</v>
      </c>
      <c r="C426" s="1" t="n">
        <v>45633</v>
      </c>
      <c r="D426" t="inlineStr">
        <is>
          <t>KALMAR LÄN</t>
        </is>
      </c>
      <c r="E426" t="inlineStr">
        <is>
          <t>VÄSTERVIK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9168-2020</t>
        </is>
      </c>
      <c r="B427" s="1" t="n">
        <v>43879</v>
      </c>
      <c r="C427" s="1" t="n">
        <v>45633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9166-2020</t>
        </is>
      </c>
      <c r="B428" s="1" t="n">
        <v>43879</v>
      </c>
      <c r="C428" s="1" t="n">
        <v>45633</v>
      </c>
      <c r="D428" t="inlineStr">
        <is>
          <t>KALMAR LÄN</t>
        </is>
      </c>
      <c r="E428" t="inlineStr">
        <is>
          <t>VÄSTERVIK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9332-2020</t>
        </is>
      </c>
      <c r="B429" s="1" t="n">
        <v>43880</v>
      </c>
      <c r="C429" s="1" t="n">
        <v>45633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10373-2020</t>
        </is>
      </c>
      <c r="B430" s="1" t="n">
        <v>43885</v>
      </c>
      <c r="C430" s="1" t="n">
        <v>45633</v>
      </c>
      <c r="D430" t="inlineStr">
        <is>
          <t>KALMAR LÄN</t>
        </is>
      </c>
      <c r="E430" t="inlineStr">
        <is>
          <t>VÄSTERVIK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11067-2020</t>
        </is>
      </c>
      <c r="B431" s="1" t="n">
        <v>43885</v>
      </c>
      <c r="C431" s="1" t="n">
        <v>45633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10482-2020</t>
        </is>
      </c>
      <c r="B432" s="1" t="n">
        <v>43886</v>
      </c>
      <c r="C432" s="1" t="n">
        <v>45633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10173-2020</t>
        </is>
      </c>
      <c r="B433" s="1" t="n">
        <v>43886</v>
      </c>
      <c r="C433" s="1" t="n">
        <v>45633</v>
      </c>
      <c r="D433" t="inlineStr">
        <is>
          <t>KALMAR LÄN</t>
        </is>
      </c>
      <c r="E433" t="inlineStr">
        <is>
          <t>VÄSTERVIK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11253-2020</t>
        </is>
      </c>
      <c r="B434" s="1" t="n">
        <v>43892</v>
      </c>
      <c r="C434" s="1" t="n">
        <v>45633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11248-2020</t>
        </is>
      </c>
      <c r="B435" s="1" t="n">
        <v>43892</v>
      </c>
      <c r="C435" s="1" t="n">
        <v>45633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11246-2020</t>
        </is>
      </c>
      <c r="B436" s="1" t="n">
        <v>43892</v>
      </c>
      <c r="C436" s="1" t="n">
        <v>45633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12430-2020</t>
        </is>
      </c>
      <c r="B437" s="1" t="n">
        <v>43896</v>
      </c>
      <c r="C437" s="1" t="n">
        <v>45633</v>
      </c>
      <c r="D437" t="inlineStr">
        <is>
          <t>KALMAR LÄN</t>
        </is>
      </c>
      <c r="E437" t="inlineStr">
        <is>
          <t>VÄSTERVIK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12965-2020</t>
        </is>
      </c>
      <c r="B438" s="1" t="n">
        <v>43900</v>
      </c>
      <c r="C438" s="1" t="n">
        <v>45633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13514-2020</t>
        </is>
      </c>
      <c r="B439" s="1" t="n">
        <v>43902</v>
      </c>
      <c r="C439" s="1" t="n">
        <v>45633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13526-2020</t>
        </is>
      </c>
      <c r="B440" s="1" t="n">
        <v>43902</v>
      </c>
      <c r="C440" s="1" t="n">
        <v>45633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13523-2020</t>
        </is>
      </c>
      <c r="B441" s="1" t="n">
        <v>43902</v>
      </c>
      <c r="C441" s="1" t="n">
        <v>45633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14889-2020</t>
        </is>
      </c>
      <c r="B442" s="1" t="n">
        <v>43906</v>
      </c>
      <c r="C442" s="1" t="n">
        <v>45633</v>
      </c>
      <c r="D442" t="inlineStr">
        <is>
          <t>KALMAR LÄN</t>
        </is>
      </c>
      <c r="E442" t="inlineStr">
        <is>
          <t>VÄSTERVIK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14887-2020</t>
        </is>
      </c>
      <c r="B443" s="1" t="n">
        <v>43906</v>
      </c>
      <c r="C443" s="1" t="n">
        <v>45633</v>
      </c>
      <c r="D443" t="inlineStr">
        <is>
          <t>KALMAR LÄN</t>
        </is>
      </c>
      <c r="E443" t="inlineStr">
        <is>
          <t>VÄSTERVIK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14891-2020</t>
        </is>
      </c>
      <c r="B444" s="1" t="n">
        <v>43906</v>
      </c>
      <c r="C444" s="1" t="n">
        <v>45633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14456-2020</t>
        </is>
      </c>
      <c r="B445" s="1" t="n">
        <v>43908</v>
      </c>
      <c r="C445" s="1" t="n">
        <v>45633</v>
      </c>
      <c r="D445" t="inlineStr">
        <is>
          <t>KALMAR LÄN</t>
        </is>
      </c>
      <c r="E445" t="inlineStr">
        <is>
          <t>VÄSTERVIK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16580-2020</t>
        </is>
      </c>
      <c r="B446" s="1" t="n">
        <v>43908</v>
      </c>
      <c r="C446" s="1" t="n">
        <v>45633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19422-2020</t>
        </is>
      </c>
      <c r="B447" s="1" t="n">
        <v>43938</v>
      </c>
      <c r="C447" s="1" t="n">
        <v>45633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19437-2020</t>
        </is>
      </c>
      <c r="B448" s="1" t="n">
        <v>43938</v>
      </c>
      <c r="C448" s="1" t="n">
        <v>45633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19829-2020</t>
        </is>
      </c>
      <c r="B449" s="1" t="n">
        <v>43942</v>
      </c>
      <c r="C449" s="1" t="n">
        <v>45633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20408-2020</t>
        </is>
      </c>
      <c r="B450" s="1" t="n">
        <v>43945</v>
      </c>
      <c r="C450" s="1" t="n">
        <v>45633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20411-2020</t>
        </is>
      </c>
      <c r="B451" s="1" t="n">
        <v>43945</v>
      </c>
      <c r="C451" s="1" t="n">
        <v>45633</v>
      </c>
      <c r="D451" t="inlineStr">
        <is>
          <t>KALMAR LÄN</t>
        </is>
      </c>
      <c r="E451" t="inlineStr">
        <is>
          <t>VÄSTERVIK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20694-2020</t>
        </is>
      </c>
      <c r="B452" s="1" t="n">
        <v>43949</v>
      </c>
      <c r="C452" s="1" t="n">
        <v>45633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22643-2020</t>
        </is>
      </c>
      <c r="B453" s="1" t="n">
        <v>43963</v>
      </c>
      <c r="C453" s="1" t="n">
        <v>45633</v>
      </c>
      <c r="D453" t="inlineStr">
        <is>
          <t>KALMAR LÄN</t>
        </is>
      </c>
      <c r="E453" t="inlineStr">
        <is>
          <t>VÄSTERVIK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22882-2020</t>
        </is>
      </c>
      <c r="B454" s="1" t="n">
        <v>43964</v>
      </c>
      <c r="C454" s="1" t="n">
        <v>45633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22880-2020</t>
        </is>
      </c>
      <c r="B455" s="1" t="n">
        <v>43964</v>
      </c>
      <c r="C455" s="1" t="n">
        <v>45633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22803-2020</t>
        </is>
      </c>
      <c r="B456" s="1" t="n">
        <v>43964</v>
      </c>
      <c r="C456" s="1" t="n">
        <v>45633</v>
      </c>
      <c r="D456" t="inlineStr">
        <is>
          <t>KALMAR LÄN</t>
        </is>
      </c>
      <c r="E456" t="inlineStr">
        <is>
          <t>VÄSTERVIK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24366-2020</t>
        </is>
      </c>
      <c r="B457" s="1" t="n">
        <v>43973</v>
      </c>
      <c r="C457" s="1" t="n">
        <v>45633</v>
      </c>
      <c r="D457" t="inlineStr">
        <is>
          <t>KALMAR LÄN</t>
        </is>
      </c>
      <c r="E457" t="inlineStr">
        <is>
          <t>VÄSTERVIK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24575-2020</t>
        </is>
      </c>
      <c r="B458" s="1" t="n">
        <v>43977</v>
      </c>
      <c r="C458" s="1" t="n">
        <v>45633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24570-2020</t>
        </is>
      </c>
      <c r="B459" s="1" t="n">
        <v>43977</v>
      </c>
      <c r="C459" s="1" t="n">
        <v>45633</v>
      </c>
      <c r="D459" t="inlineStr">
        <is>
          <t>KALMAR LÄN</t>
        </is>
      </c>
      <c r="E459" t="inlineStr">
        <is>
          <t>VÄSTERVIK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24677-2020</t>
        </is>
      </c>
      <c r="B460" s="1" t="n">
        <v>43978</v>
      </c>
      <c r="C460" s="1" t="n">
        <v>45633</v>
      </c>
      <c r="D460" t="inlineStr">
        <is>
          <t>KALMAR LÄN</t>
        </is>
      </c>
      <c r="E460" t="inlineStr">
        <is>
          <t>VÄSTERVIK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25241-2020</t>
        </is>
      </c>
      <c r="B461" s="1" t="n">
        <v>43980</v>
      </c>
      <c r="C461" s="1" t="n">
        <v>45633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26226-2020</t>
        </is>
      </c>
      <c r="B462" s="1" t="n">
        <v>43985</v>
      </c>
      <c r="C462" s="1" t="n">
        <v>45633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26129-2020</t>
        </is>
      </c>
      <c r="B463" s="1" t="n">
        <v>43985</v>
      </c>
      <c r="C463" s="1" t="n">
        <v>45633</v>
      </c>
      <c r="D463" t="inlineStr">
        <is>
          <t>KALMAR LÄN</t>
        </is>
      </c>
      <c r="E463" t="inlineStr">
        <is>
          <t>VÄSTERVIK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26842-2020</t>
        </is>
      </c>
      <c r="B464" s="1" t="n">
        <v>43987</v>
      </c>
      <c r="C464" s="1" t="n">
        <v>45633</v>
      </c>
      <c r="D464" t="inlineStr">
        <is>
          <t>KALMAR LÄN</t>
        </is>
      </c>
      <c r="E464" t="inlineStr">
        <is>
          <t>VÄSTERVIK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29093-2020</t>
        </is>
      </c>
      <c r="B465" s="1" t="n">
        <v>44002</v>
      </c>
      <c r="C465" s="1" t="n">
        <v>45633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29264-2020</t>
        </is>
      </c>
      <c r="B466" s="1" t="n">
        <v>44004</v>
      </c>
      <c r="C466" s="1" t="n">
        <v>45633</v>
      </c>
      <c r="D466" t="inlineStr">
        <is>
          <t>KALMAR LÄN</t>
        </is>
      </c>
      <c r="E466" t="inlineStr">
        <is>
          <t>VÄSTERVIK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30581-2020</t>
        </is>
      </c>
      <c r="B467" s="1" t="n">
        <v>44008</v>
      </c>
      <c r="C467" s="1" t="n">
        <v>45633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30578-2020</t>
        </is>
      </c>
      <c r="B468" s="1" t="n">
        <v>44008</v>
      </c>
      <c r="C468" s="1" t="n">
        <v>45633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31587-2020</t>
        </is>
      </c>
      <c r="B469" s="1" t="n">
        <v>44012</v>
      </c>
      <c r="C469" s="1" t="n">
        <v>45633</v>
      </c>
      <c r="D469" t="inlineStr">
        <is>
          <t>KALMAR LÄN</t>
        </is>
      </c>
      <c r="E469" t="inlineStr">
        <is>
          <t>VÄSTERVIK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32807-2020</t>
        </is>
      </c>
      <c r="B470" s="1" t="n">
        <v>44018</v>
      </c>
      <c r="C470" s="1" t="n">
        <v>45633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33137-2020</t>
        </is>
      </c>
      <c r="B471" s="1" t="n">
        <v>44021</v>
      </c>
      <c r="C471" s="1" t="n">
        <v>45633</v>
      </c>
      <c r="D471" t="inlineStr">
        <is>
          <t>KALMAR LÄN</t>
        </is>
      </c>
      <c r="E471" t="inlineStr">
        <is>
          <t>VÄSTERVIK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34775-2020</t>
        </is>
      </c>
      <c r="B472" s="1" t="n">
        <v>44035</v>
      </c>
      <c r="C472" s="1" t="n">
        <v>45633</v>
      </c>
      <c r="D472" t="inlineStr">
        <is>
          <t>KALMAR LÄN</t>
        </is>
      </c>
      <c r="E472" t="inlineStr">
        <is>
          <t>VÄSTERVIK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35150-2020</t>
        </is>
      </c>
      <c r="B473" s="1" t="n">
        <v>44040</v>
      </c>
      <c r="C473" s="1" t="n">
        <v>45633</v>
      </c>
      <c r="D473" t="inlineStr">
        <is>
          <t>KALMAR LÄN</t>
        </is>
      </c>
      <c r="E473" t="inlineStr">
        <is>
          <t>VÄSTERVIK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35655-2020</t>
        </is>
      </c>
      <c r="B474" s="1" t="n">
        <v>44046</v>
      </c>
      <c r="C474" s="1" t="n">
        <v>45633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35689-2020</t>
        </is>
      </c>
      <c r="B475" s="1" t="n">
        <v>44046</v>
      </c>
      <c r="C475" s="1" t="n">
        <v>45633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35868-2020</t>
        </is>
      </c>
      <c r="B476" s="1" t="n">
        <v>44047</v>
      </c>
      <c r="C476" s="1" t="n">
        <v>45633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37146-2020</t>
        </is>
      </c>
      <c r="B477" s="1" t="n">
        <v>44054</v>
      </c>
      <c r="C477" s="1" t="n">
        <v>45633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37156-2020</t>
        </is>
      </c>
      <c r="B478" s="1" t="n">
        <v>44054</v>
      </c>
      <c r="C478" s="1" t="n">
        <v>45633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37163-2020</t>
        </is>
      </c>
      <c r="B479" s="1" t="n">
        <v>44054</v>
      </c>
      <c r="C479" s="1" t="n">
        <v>45633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37162-2020</t>
        </is>
      </c>
      <c r="B480" s="1" t="n">
        <v>44054</v>
      </c>
      <c r="C480" s="1" t="n">
        <v>45633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37113-2020</t>
        </is>
      </c>
      <c r="B481" s="1" t="n">
        <v>44054</v>
      </c>
      <c r="C481" s="1" t="n">
        <v>45633</v>
      </c>
      <c r="D481" t="inlineStr">
        <is>
          <t>KALMAR LÄN</t>
        </is>
      </c>
      <c r="E481" t="inlineStr">
        <is>
          <t>VÄSTERVIK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37122-2020</t>
        </is>
      </c>
      <c r="B482" s="1" t="n">
        <v>44054</v>
      </c>
      <c r="C482" s="1" t="n">
        <v>45633</v>
      </c>
      <c r="D482" t="inlineStr">
        <is>
          <t>KALMAR LÄN</t>
        </is>
      </c>
      <c r="E482" t="inlineStr">
        <is>
          <t>VÄSTERVIK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37149-2020</t>
        </is>
      </c>
      <c r="B483" s="1" t="n">
        <v>44054</v>
      </c>
      <c r="C483" s="1" t="n">
        <v>45633</v>
      </c>
      <c r="D483" t="inlineStr">
        <is>
          <t>KALMAR LÄN</t>
        </is>
      </c>
      <c r="E483" t="inlineStr">
        <is>
          <t>VÄSTERVIK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37166-2020</t>
        </is>
      </c>
      <c r="B484" s="1" t="n">
        <v>44054</v>
      </c>
      <c r="C484" s="1" t="n">
        <v>45633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37114-2020</t>
        </is>
      </c>
      <c r="B485" s="1" t="n">
        <v>44054</v>
      </c>
      <c r="C485" s="1" t="n">
        <v>45633</v>
      </c>
      <c r="D485" t="inlineStr">
        <is>
          <t>KALMAR LÄN</t>
        </is>
      </c>
      <c r="E485" t="inlineStr">
        <is>
          <t>VÄSTERVIK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39153-2020</t>
        </is>
      </c>
      <c r="B486" s="1" t="n">
        <v>44063</v>
      </c>
      <c r="C486" s="1" t="n">
        <v>45633</v>
      </c>
      <c r="D486" t="inlineStr">
        <is>
          <t>KALMAR LÄN</t>
        </is>
      </c>
      <c r="E486" t="inlineStr">
        <is>
          <t>VÄSTERVIK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39779-2020</t>
        </is>
      </c>
      <c r="B487" s="1" t="n">
        <v>44064</v>
      </c>
      <c r="C487" s="1" t="n">
        <v>45633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39859-2020</t>
        </is>
      </c>
      <c r="B488" s="1" t="n">
        <v>44064</v>
      </c>
      <c r="C488" s="1" t="n">
        <v>45633</v>
      </c>
      <c r="D488" t="inlineStr">
        <is>
          <t>KALMAR LÄN</t>
        </is>
      </c>
      <c r="E488" t="inlineStr">
        <is>
          <t>VÄSTERVIK</t>
        </is>
      </c>
      <c r="G488" t="n">
        <v>29.6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39857-2020</t>
        </is>
      </c>
      <c r="B489" s="1" t="n">
        <v>44064</v>
      </c>
      <c r="C489" s="1" t="n">
        <v>45633</v>
      </c>
      <c r="D489" t="inlineStr">
        <is>
          <t>KALMAR LÄN</t>
        </is>
      </c>
      <c r="E489" t="inlineStr">
        <is>
          <t>VÄSTERVIK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42113-2020</t>
        </is>
      </c>
      <c r="B490" s="1" t="n">
        <v>44071</v>
      </c>
      <c r="C490" s="1" t="n">
        <v>45633</v>
      </c>
      <c r="D490" t="inlineStr">
        <is>
          <t>KALMAR LÄN</t>
        </is>
      </c>
      <c r="E490" t="inlineStr">
        <is>
          <t>VÄSTERVIK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43730-2020</t>
        </is>
      </c>
      <c r="B491" s="1" t="n">
        <v>44082</v>
      </c>
      <c r="C491" s="1" t="n">
        <v>45633</v>
      </c>
      <c r="D491" t="inlineStr">
        <is>
          <t>KALMAR LÄN</t>
        </is>
      </c>
      <c r="E491" t="inlineStr">
        <is>
          <t>VÄSTERVIK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44466-2020</t>
        </is>
      </c>
      <c r="B492" s="1" t="n">
        <v>44084</v>
      </c>
      <c r="C492" s="1" t="n">
        <v>45633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45537-2020</t>
        </is>
      </c>
      <c r="B493" s="1" t="n">
        <v>44089</v>
      </c>
      <c r="C493" s="1" t="n">
        <v>45633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45877-2020</t>
        </is>
      </c>
      <c r="B494" s="1" t="n">
        <v>44091</v>
      </c>
      <c r="C494" s="1" t="n">
        <v>45633</v>
      </c>
      <c r="D494" t="inlineStr">
        <is>
          <t>KALMAR LÄN</t>
        </is>
      </c>
      <c r="E494" t="inlineStr">
        <is>
          <t>VÄSTERVIK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46214-2020</t>
        </is>
      </c>
      <c r="B495" s="1" t="n">
        <v>44092</v>
      </c>
      <c r="C495" s="1" t="n">
        <v>45633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46822-2020</t>
        </is>
      </c>
      <c r="B496" s="1" t="n">
        <v>44096</v>
      </c>
      <c r="C496" s="1" t="n">
        <v>45633</v>
      </c>
      <c r="D496" t="inlineStr">
        <is>
          <t>KALMAR LÄN</t>
        </is>
      </c>
      <c r="E496" t="inlineStr">
        <is>
          <t>VÄSTERVIK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47907-2020</t>
        </is>
      </c>
      <c r="B497" s="1" t="n">
        <v>44099</v>
      </c>
      <c r="C497" s="1" t="n">
        <v>45633</v>
      </c>
      <c r="D497" t="inlineStr">
        <is>
          <t>KALMAR LÄN</t>
        </is>
      </c>
      <c r="E497" t="inlineStr">
        <is>
          <t>VÄSTERVIK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48135-2020</t>
        </is>
      </c>
      <c r="B498" s="1" t="n">
        <v>44099</v>
      </c>
      <c r="C498" s="1" t="n">
        <v>45633</v>
      </c>
      <c r="D498" t="inlineStr">
        <is>
          <t>KALMAR LÄN</t>
        </is>
      </c>
      <c r="E498" t="inlineStr">
        <is>
          <t>VÄSTERVIK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50821-2020</t>
        </is>
      </c>
      <c r="B499" s="1" t="n">
        <v>44111</v>
      </c>
      <c r="C499" s="1" t="n">
        <v>45633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50800-2020</t>
        </is>
      </c>
      <c r="B500" s="1" t="n">
        <v>44111</v>
      </c>
      <c r="C500" s="1" t="n">
        <v>45633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51264-2020</t>
        </is>
      </c>
      <c r="B501" s="1" t="n">
        <v>44112</v>
      </c>
      <c r="C501" s="1" t="n">
        <v>45633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54164-2020</t>
        </is>
      </c>
      <c r="B502" s="1" t="n">
        <v>44125</v>
      </c>
      <c r="C502" s="1" t="n">
        <v>45633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55240-2020</t>
        </is>
      </c>
      <c r="B503" s="1" t="n">
        <v>44130</v>
      </c>
      <c r="C503" s="1" t="n">
        <v>45633</v>
      </c>
      <c r="D503" t="inlineStr">
        <is>
          <t>KALMAR LÄN</t>
        </is>
      </c>
      <c r="E503" t="inlineStr">
        <is>
          <t>VÄSTERVIK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56127-2020</t>
        </is>
      </c>
      <c r="B504" s="1" t="n">
        <v>44132</v>
      </c>
      <c r="C504" s="1" t="n">
        <v>45633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57009-2020</t>
        </is>
      </c>
      <c r="B505" s="1" t="n">
        <v>44138</v>
      </c>
      <c r="C505" s="1" t="n">
        <v>45633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HYPERLINK("https://klasma.github.io/Logging_0883/knärot/A 57009-2020 karta knärot.png", "A 57009-2020")</f>
        <v/>
      </c>
      <c r="V505">
        <f>HYPERLINK("https://klasma.github.io/Logging_0883/klagomål/A 57009-2020 FSC-klagomål.docx", "A 57009-2020")</f>
        <v/>
      </c>
      <c r="W505">
        <f>HYPERLINK("https://klasma.github.io/Logging_0883/klagomålsmail/A 57009-2020 FSC-klagomål mail.docx", "A 57009-2020")</f>
        <v/>
      </c>
      <c r="X505">
        <f>HYPERLINK("https://klasma.github.io/Logging_0883/tillsyn/A 57009-2020 tillsynsbegäran.docx", "A 57009-2020")</f>
        <v/>
      </c>
      <c r="Y505">
        <f>HYPERLINK("https://klasma.github.io/Logging_0883/tillsynsmail/A 57009-2020 tillsynsbegäran mail.docx", "A 57009-2020")</f>
        <v/>
      </c>
    </row>
    <row r="506" ht="15" customHeight="1">
      <c r="A506" t="inlineStr">
        <is>
          <t>A 57065-2020</t>
        </is>
      </c>
      <c r="B506" s="1" t="n">
        <v>44138</v>
      </c>
      <c r="C506" s="1" t="n">
        <v>45633</v>
      </c>
      <c r="D506" t="inlineStr">
        <is>
          <t>KALMAR LÄN</t>
        </is>
      </c>
      <c r="E506" t="inlineStr">
        <is>
          <t>VÄSTERVIK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58041-2020</t>
        </is>
      </c>
      <c r="B507" s="1" t="n">
        <v>44140</v>
      </c>
      <c r="C507" s="1" t="n">
        <v>45633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57922-2020</t>
        </is>
      </c>
      <c r="B508" s="1" t="n">
        <v>44141</v>
      </c>
      <c r="C508" s="1" t="n">
        <v>45633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58800-2020</t>
        </is>
      </c>
      <c r="B509" s="1" t="n">
        <v>44146</v>
      </c>
      <c r="C509" s="1" t="n">
        <v>45633</v>
      </c>
      <c r="D509" t="inlineStr">
        <is>
          <t>KALMAR LÄN</t>
        </is>
      </c>
      <c r="E509" t="inlineStr">
        <is>
          <t>VÄSTERVIK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59421-2020</t>
        </is>
      </c>
      <c r="B510" s="1" t="n">
        <v>44148</v>
      </c>
      <c r="C510" s="1" t="n">
        <v>45633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59634-2020</t>
        </is>
      </c>
      <c r="B511" s="1" t="n">
        <v>44150</v>
      </c>
      <c r="C511" s="1" t="n">
        <v>45633</v>
      </c>
      <c r="D511" t="inlineStr">
        <is>
          <t>KALMAR LÄN</t>
        </is>
      </c>
      <c r="E511" t="inlineStr">
        <is>
          <t>VÄSTERVIK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61682-2020</t>
        </is>
      </c>
      <c r="B512" s="1" t="n">
        <v>44154</v>
      </c>
      <c r="C512" s="1" t="n">
        <v>45633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61696-2020</t>
        </is>
      </c>
      <c r="B513" s="1" t="n">
        <v>44158</v>
      </c>
      <c r="C513" s="1" t="n">
        <v>45633</v>
      </c>
      <c r="D513" t="inlineStr">
        <is>
          <t>KALMAR LÄN</t>
        </is>
      </c>
      <c r="E513" t="inlineStr">
        <is>
          <t>VÄSTERVIK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61799-2020</t>
        </is>
      </c>
      <c r="B514" s="1" t="n">
        <v>44158</v>
      </c>
      <c r="C514" s="1" t="n">
        <v>45633</v>
      </c>
      <c r="D514" t="inlineStr">
        <is>
          <t>KALMAR LÄN</t>
        </is>
      </c>
      <c r="E514" t="inlineStr">
        <is>
          <t>VÄSTERVIK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63635-2020</t>
        </is>
      </c>
      <c r="B515" s="1" t="n">
        <v>44162</v>
      </c>
      <c r="C515" s="1" t="n">
        <v>45633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63212-2020</t>
        </is>
      </c>
      <c r="B516" s="1" t="n">
        <v>44163</v>
      </c>
      <c r="C516" s="1" t="n">
        <v>45633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64399-2020</t>
        </is>
      </c>
      <c r="B517" s="1" t="n">
        <v>44168</v>
      </c>
      <c r="C517" s="1" t="n">
        <v>45633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66149-2020</t>
        </is>
      </c>
      <c r="B518" s="1" t="n">
        <v>44173</v>
      </c>
      <c r="C518" s="1" t="n">
        <v>45633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65647-2020</t>
        </is>
      </c>
      <c r="B519" s="1" t="n">
        <v>44174</v>
      </c>
      <c r="C519" s="1" t="n">
        <v>45633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66748-2020</t>
        </is>
      </c>
      <c r="B520" s="1" t="n">
        <v>44175</v>
      </c>
      <c r="C520" s="1" t="n">
        <v>45633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66757-2020</t>
        </is>
      </c>
      <c r="B521" s="1" t="n">
        <v>44175</v>
      </c>
      <c r="C521" s="1" t="n">
        <v>45633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66328-2020</t>
        </is>
      </c>
      <c r="B522" s="1" t="n">
        <v>44176</v>
      </c>
      <c r="C522" s="1" t="n">
        <v>45633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66292-2020</t>
        </is>
      </c>
      <c r="B523" s="1" t="n">
        <v>44176</v>
      </c>
      <c r="C523" s="1" t="n">
        <v>45633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66888-2020</t>
        </is>
      </c>
      <c r="B524" s="1" t="n">
        <v>44179</v>
      </c>
      <c r="C524" s="1" t="n">
        <v>45633</v>
      </c>
      <c r="D524" t="inlineStr">
        <is>
          <t>KALMAR LÄN</t>
        </is>
      </c>
      <c r="E524" t="inlineStr">
        <is>
          <t>VÄSTERVIK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67133-2020</t>
        </is>
      </c>
      <c r="B525" s="1" t="n">
        <v>44180</v>
      </c>
      <c r="C525" s="1" t="n">
        <v>45633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68811-2020</t>
        </is>
      </c>
      <c r="B526" s="1" t="n">
        <v>44187</v>
      </c>
      <c r="C526" s="1" t="n">
        <v>45633</v>
      </c>
      <c r="D526" t="inlineStr">
        <is>
          <t>KALMAR LÄN</t>
        </is>
      </c>
      <c r="E526" t="inlineStr">
        <is>
          <t>VÄSTERVIK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69098-2020</t>
        </is>
      </c>
      <c r="B527" s="1" t="n">
        <v>44187</v>
      </c>
      <c r="C527" s="1" t="n">
        <v>45633</v>
      </c>
      <c r="D527" t="inlineStr">
        <is>
          <t>KALMAR LÄN</t>
        </is>
      </c>
      <c r="E527" t="inlineStr">
        <is>
          <t>VÄSTERVIK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69064-2020</t>
        </is>
      </c>
      <c r="B528" s="1" t="n">
        <v>44188</v>
      </c>
      <c r="C528" s="1" t="n">
        <v>45633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119-2021</t>
        </is>
      </c>
      <c r="B529" s="1" t="n">
        <v>44200</v>
      </c>
      <c r="C529" s="1" t="n">
        <v>45633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401-2021</t>
        </is>
      </c>
      <c r="B530" s="1" t="n">
        <v>44201</v>
      </c>
      <c r="C530" s="1" t="n">
        <v>45633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410-2021</t>
        </is>
      </c>
      <c r="B531" s="1" t="n">
        <v>44201</v>
      </c>
      <c r="C531" s="1" t="n">
        <v>45633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578-2021</t>
        </is>
      </c>
      <c r="B532" s="1" t="n">
        <v>44203</v>
      </c>
      <c r="C532" s="1" t="n">
        <v>45633</v>
      </c>
      <c r="D532" t="inlineStr">
        <is>
          <t>KALMAR LÄN</t>
        </is>
      </c>
      <c r="E532" t="inlineStr">
        <is>
          <t>VÄSTERVIK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809-2021</t>
        </is>
      </c>
      <c r="B533" s="1" t="n">
        <v>44204</v>
      </c>
      <c r="C533" s="1" t="n">
        <v>45633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789-2021</t>
        </is>
      </c>
      <c r="B534" s="1" t="n">
        <v>44204</v>
      </c>
      <c r="C534" s="1" t="n">
        <v>45633</v>
      </c>
      <c r="D534" t="inlineStr">
        <is>
          <t>KALMAR LÄN</t>
        </is>
      </c>
      <c r="E534" t="inlineStr">
        <is>
          <t>VÄSTERVIK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1959-2021</t>
        </is>
      </c>
      <c r="B535" s="1" t="n">
        <v>44210</v>
      </c>
      <c r="C535" s="1" t="n">
        <v>45633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2106-2021</t>
        </is>
      </c>
      <c r="B536" s="1" t="n">
        <v>44211</v>
      </c>
      <c r="C536" s="1" t="n">
        <v>45633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3555-2021</t>
        </is>
      </c>
      <c r="B537" s="1" t="n">
        <v>44218</v>
      </c>
      <c r="C537" s="1" t="n">
        <v>45633</v>
      </c>
      <c r="D537" t="inlineStr">
        <is>
          <t>KALMAR LÄN</t>
        </is>
      </c>
      <c r="E537" t="inlineStr">
        <is>
          <t>VÄSTERVIK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3553-2021</t>
        </is>
      </c>
      <c r="B538" s="1" t="n">
        <v>44218</v>
      </c>
      <c r="C538" s="1" t="n">
        <v>45633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3492-2021</t>
        </is>
      </c>
      <c r="B539" s="1" t="n">
        <v>44218</v>
      </c>
      <c r="C539" s="1" t="n">
        <v>45633</v>
      </c>
      <c r="D539" t="inlineStr">
        <is>
          <t>KALMAR LÄN</t>
        </is>
      </c>
      <c r="E539" t="inlineStr">
        <is>
          <t>VÄSTERVIK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3669-2021</t>
        </is>
      </c>
      <c r="B540" s="1" t="n">
        <v>44221</v>
      </c>
      <c r="C540" s="1" t="n">
        <v>45633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5510-2021</t>
        </is>
      </c>
      <c r="B541" s="1" t="n">
        <v>44230</v>
      </c>
      <c r="C541" s="1" t="n">
        <v>45633</v>
      </c>
      <c r="D541" t="inlineStr">
        <is>
          <t>KALMAR LÄN</t>
        </is>
      </c>
      <c r="E541" t="inlineStr">
        <is>
          <t>VÄSTERVIK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5575-2021</t>
        </is>
      </c>
      <c r="B542" s="1" t="n">
        <v>44230</v>
      </c>
      <c r="C542" s="1" t="n">
        <v>45633</v>
      </c>
      <c r="D542" t="inlineStr">
        <is>
          <t>KALMAR LÄN</t>
        </is>
      </c>
      <c r="E542" t="inlineStr">
        <is>
          <t>VÄSTERVIK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6627-2021</t>
        </is>
      </c>
      <c r="B543" s="1" t="n">
        <v>44236</v>
      </c>
      <c r="C543" s="1" t="n">
        <v>45633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6616-2021</t>
        </is>
      </c>
      <c r="B544" s="1" t="n">
        <v>44236</v>
      </c>
      <c r="C544" s="1" t="n">
        <v>45633</v>
      </c>
      <c r="D544" t="inlineStr">
        <is>
          <t>KALMAR LÄN</t>
        </is>
      </c>
      <c r="E544" t="inlineStr">
        <is>
          <t>VÄSTERVIK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6974-2021</t>
        </is>
      </c>
      <c r="B545" s="1" t="n">
        <v>44237</v>
      </c>
      <c r="C545" s="1" t="n">
        <v>45633</v>
      </c>
      <c r="D545" t="inlineStr">
        <is>
          <t>KALMAR LÄN</t>
        </is>
      </c>
      <c r="E545" t="inlineStr">
        <is>
          <t>VÄSTERVIK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7754-2021</t>
        </is>
      </c>
      <c r="B546" s="1" t="n">
        <v>44239</v>
      </c>
      <c r="C546" s="1" t="n">
        <v>45633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8074-2021</t>
        </is>
      </c>
      <c r="B547" s="1" t="n">
        <v>44243</v>
      </c>
      <c r="C547" s="1" t="n">
        <v>45633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8196-2021</t>
        </is>
      </c>
      <c r="B548" s="1" t="n">
        <v>44244</v>
      </c>
      <c r="C548" s="1" t="n">
        <v>45633</v>
      </c>
      <c r="D548" t="inlineStr">
        <is>
          <t>KALMAR LÄN</t>
        </is>
      </c>
      <c r="E548" t="inlineStr">
        <is>
          <t>VÄSTERVIK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8788-2021</t>
        </is>
      </c>
      <c r="B549" s="1" t="n">
        <v>44246</v>
      </c>
      <c r="C549" s="1" t="n">
        <v>45633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9091-2021</t>
        </is>
      </c>
      <c r="B550" s="1" t="n">
        <v>44249</v>
      </c>
      <c r="C550" s="1" t="n">
        <v>45633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9125-2021</t>
        </is>
      </c>
      <c r="B551" s="1" t="n">
        <v>44249</v>
      </c>
      <c r="C551" s="1" t="n">
        <v>45633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10020-2021</t>
        </is>
      </c>
      <c r="B552" s="1" t="n">
        <v>44256</v>
      </c>
      <c r="C552" s="1" t="n">
        <v>45633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10517-2021</t>
        </is>
      </c>
      <c r="B553" s="1" t="n">
        <v>44258</v>
      </c>
      <c r="C553" s="1" t="n">
        <v>45633</v>
      </c>
      <c r="D553" t="inlineStr">
        <is>
          <t>KALMAR LÄN</t>
        </is>
      </c>
      <c r="E553" t="inlineStr">
        <is>
          <t>VÄSTERVIK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12123-2021</t>
        </is>
      </c>
      <c r="B554" s="1" t="n">
        <v>44266</v>
      </c>
      <c r="C554" s="1" t="n">
        <v>45633</v>
      </c>
      <c r="D554" t="inlineStr">
        <is>
          <t>KALMAR LÄN</t>
        </is>
      </c>
      <c r="E554" t="inlineStr">
        <is>
          <t>VÄSTERVIK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12520-2021</t>
        </is>
      </c>
      <c r="B555" s="1" t="n">
        <v>44269</v>
      </c>
      <c r="C555" s="1" t="n">
        <v>45633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13036-2021</t>
        </is>
      </c>
      <c r="B556" s="1" t="n">
        <v>44271</v>
      </c>
      <c r="C556" s="1" t="n">
        <v>45633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13230-2021</t>
        </is>
      </c>
      <c r="B557" s="1" t="n">
        <v>44272</v>
      </c>
      <c r="C557" s="1" t="n">
        <v>45633</v>
      </c>
      <c r="D557" t="inlineStr">
        <is>
          <t>KALMAR LÄN</t>
        </is>
      </c>
      <c r="E557" t="inlineStr">
        <is>
          <t>VÄSTERVIK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13761-2021</t>
        </is>
      </c>
      <c r="B558" s="1" t="n">
        <v>44274</v>
      </c>
      <c r="C558" s="1" t="n">
        <v>45633</v>
      </c>
      <c r="D558" t="inlineStr">
        <is>
          <t>KALMAR LÄN</t>
        </is>
      </c>
      <c r="E558" t="inlineStr">
        <is>
          <t>VÄSTERVIK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13626-2021</t>
        </is>
      </c>
      <c r="B559" s="1" t="n">
        <v>44274</v>
      </c>
      <c r="C559" s="1" t="n">
        <v>45633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14151-2021</t>
        </is>
      </c>
      <c r="B560" s="1" t="n">
        <v>44278</v>
      </c>
      <c r="C560" s="1" t="n">
        <v>45633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14149-2021</t>
        </is>
      </c>
      <c r="B561" s="1" t="n">
        <v>44278</v>
      </c>
      <c r="C561" s="1" t="n">
        <v>45633</v>
      </c>
      <c r="D561" t="inlineStr">
        <is>
          <t>KALMAR LÄN</t>
        </is>
      </c>
      <c r="E561" t="inlineStr">
        <is>
          <t>VÄSTERVIK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14317-2021</t>
        </is>
      </c>
      <c r="B562" s="1" t="n">
        <v>44278</v>
      </c>
      <c r="C562" s="1" t="n">
        <v>45633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15595-2021</t>
        </is>
      </c>
      <c r="B563" s="1" t="n">
        <v>44285</v>
      </c>
      <c r="C563" s="1" t="n">
        <v>45633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15598-2021</t>
        </is>
      </c>
      <c r="B564" s="1" t="n">
        <v>44285</v>
      </c>
      <c r="C564" s="1" t="n">
        <v>45633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15591-2021</t>
        </is>
      </c>
      <c r="B565" s="1" t="n">
        <v>44285</v>
      </c>
      <c r="C565" s="1" t="n">
        <v>45633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15834-2021</t>
        </is>
      </c>
      <c r="B566" s="1" t="n">
        <v>44286</v>
      </c>
      <c r="C566" s="1" t="n">
        <v>45633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16729-2021</t>
        </is>
      </c>
      <c r="B567" s="1" t="n">
        <v>44294</v>
      </c>
      <c r="C567" s="1" t="n">
        <v>45633</v>
      </c>
      <c r="D567" t="inlineStr">
        <is>
          <t>KALMAR LÄN</t>
        </is>
      </c>
      <c r="E567" t="inlineStr">
        <is>
          <t>VÄSTERVIK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16697-2021</t>
        </is>
      </c>
      <c r="B568" s="1" t="n">
        <v>44294</v>
      </c>
      <c r="C568" s="1" t="n">
        <v>45633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16728-2021</t>
        </is>
      </c>
      <c r="B569" s="1" t="n">
        <v>44294</v>
      </c>
      <c r="C569" s="1" t="n">
        <v>45633</v>
      </c>
      <c r="D569" t="inlineStr">
        <is>
          <t>KALMAR LÄN</t>
        </is>
      </c>
      <c r="E569" t="inlineStr">
        <is>
          <t>VÄSTERVIK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16734-2021</t>
        </is>
      </c>
      <c r="B570" s="1" t="n">
        <v>44294</v>
      </c>
      <c r="C570" s="1" t="n">
        <v>45633</v>
      </c>
      <c r="D570" t="inlineStr">
        <is>
          <t>KALMAR LÄN</t>
        </is>
      </c>
      <c r="E570" t="inlineStr">
        <is>
          <t>VÄSTERVIK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16726-2021</t>
        </is>
      </c>
      <c r="B571" s="1" t="n">
        <v>44294</v>
      </c>
      <c r="C571" s="1" t="n">
        <v>45633</v>
      </c>
      <c r="D571" t="inlineStr">
        <is>
          <t>KALMAR LÄN</t>
        </is>
      </c>
      <c r="E571" t="inlineStr">
        <is>
          <t>VÄSTERVIK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16992-2021</t>
        </is>
      </c>
      <c r="B572" s="1" t="n">
        <v>44295</v>
      </c>
      <c r="C572" s="1" t="n">
        <v>45633</v>
      </c>
      <c r="D572" t="inlineStr">
        <is>
          <t>KALMAR LÄN</t>
        </is>
      </c>
      <c r="E572" t="inlineStr">
        <is>
          <t>VÄSTERVIK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17124-2021</t>
        </is>
      </c>
      <c r="B573" s="1" t="n">
        <v>44298</v>
      </c>
      <c r="C573" s="1" t="n">
        <v>45633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17200-2021</t>
        </is>
      </c>
      <c r="B574" s="1" t="n">
        <v>44298</v>
      </c>
      <c r="C574" s="1" t="n">
        <v>45633</v>
      </c>
      <c r="D574" t="inlineStr">
        <is>
          <t>KALMAR LÄN</t>
        </is>
      </c>
      <c r="E574" t="inlineStr">
        <is>
          <t>VÄSTERVIK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17277-2021</t>
        </is>
      </c>
      <c r="B575" s="1" t="n">
        <v>44298</v>
      </c>
      <c r="C575" s="1" t="n">
        <v>45633</v>
      </c>
      <c r="D575" t="inlineStr">
        <is>
          <t>KALMAR LÄN</t>
        </is>
      </c>
      <c r="E575" t="inlineStr">
        <is>
          <t>VÄSTERVIK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17216-2021</t>
        </is>
      </c>
      <c r="B576" s="1" t="n">
        <v>44298</v>
      </c>
      <c r="C576" s="1" t="n">
        <v>45633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17253-2021</t>
        </is>
      </c>
      <c r="B577" s="1" t="n">
        <v>44298</v>
      </c>
      <c r="C577" s="1" t="n">
        <v>45633</v>
      </c>
      <c r="D577" t="inlineStr">
        <is>
          <t>KALMAR LÄN</t>
        </is>
      </c>
      <c r="E577" t="inlineStr">
        <is>
          <t>VÄSTERVIK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18013-2021</t>
        </is>
      </c>
      <c r="B578" s="1" t="n">
        <v>44302</v>
      </c>
      <c r="C578" s="1" t="n">
        <v>45633</v>
      </c>
      <c r="D578" t="inlineStr">
        <is>
          <t>KALMAR LÄN</t>
        </is>
      </c>
      <c r="E578" t="inlineStr">
        <is>
          <t>VÄSTERVIK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18470-2021</t>
        </is>
      </c>
      <c r="B579" s="1" t="n">
        <v>44306</v>
      </c>
      <c r="C579" s="1" t="n">
        <v>45633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18837-2021</t>
        </is>
      </c>
      <c r="B580" s="1" t="n">
        <v>44307</v>
      </c>
      <c r="C580" s="1" t="n">
        <v>45633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18900-2021</t>
        </is>
      </c>
      <c r="B581" s="1" t="n">
        <v>44308</v>
      </c>
      <c r="C581" s="1" t="n">
        <v>45633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18915-2021</t>
        </is>
      </c>
      <c r="B582" s="1" t="n">
        <v>44308</v>
      </c>
      <c r="C582" s="1" t="n">
        <v>45633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19219-2021</t>
        </is>
      </c>
      <c r="B583" s="1" t="n">
        <v>44309</v>
      </c>
      <c r="C583" s="1" t="n">
        <v>45633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19644-2021</t>
        </is>
      </c>
      <c r="B584" s="1" t="n">
        <v>44312</v>
      </c>
      <c r="C584" s="1" t="n">
        <v>45633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19660-2021</t>
        </is>
      </c>
      <c r="B585" s="1" t="n">
        <v>44312</v>
      </c>
      <c r="C585" s="1" t="n">
        <v>45633</v>
      </c>
      <c r="D585" t="inlineStr">
        <is>
          <t>KALMAR LÄN</t>
        </is>
      </c>
      <c r="E585" t="inlineStr">
        <is>
          <t>VÄSTERVIK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20204-2021</t>
        </is>
      </c>
      <c r="B586" s="1" t="n">
        <v>44314</v>
      </c>
      <c r="C586" s="1" t="n">
        <v>45633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20772-2021</t>
        </is>
      </c>
      <c r="B587" s="1" t="n">
        <v>44316</v>
      </c>
      <c r="C587" s="1" t="n">
        <v>45633</v>
      </c>
      <c r="D587" t="inlineStr">
        <is>
          <t>KALMAR LÄN</t>
        </is>
      </c>
      <c r="E587" t="inlineStr">
        <is>
          <t>VÄSTERVIK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20945-2021</t>
        </is>
      </c>
      <c r="B588" s="1" t="n">
        <v>44319</v>
      </c>
      <c r="C588" s="1" t="n">
        <v>45633</v>
      </c>
      <c r="D588" t="inlineStr">
        <is>
          <t>KALMAR LÄN</t>
        </is>
      </c>
      <c r="E588" t="inlineStr">
        <is>
          <t>VÄSTERVIK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21036-2021</t>
        </is>
      </c>
      <c r="B589" s="1" t="n">
        <v>44319</v>
      </c>
      <c r="C589" s="1" t="n">
        <v>45633</v>
      </c>
      <c r="D589" t="inlineStr">
        <is>
          <t>KALMAR LÄN</t>
        </is>
      </c>
      <c r="E589" t="inlineStr">
        <is>
          <t>VÄSTERVIK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21057-2021</t>
        </is>
      </c>
      <c r="B590" s="1" t="n">
        <v>44319</v>
      </c>
      <c r="C590" s="1" t="n">
        <v>45633</v>
      </c>
      <c r="D590" t="inlineStr">
        <is>
          <t>KALMAR LÄN</t>
        </is>
      </c>
      <c r="E590" t="inlineStr">
        <is>
          <t>VÄSTERVIK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21255-2021</t>
        </is>
      </c>
      <c r="B591" s="1" t="n">
        <v>44320</v>
      </c>
      <c r="C591" s="1" t="n">
        <v>45633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23090-2021</t>
        </is>
      </c>
      <c r="B592" s="1" t="n">
        <v>44330</v>
      </c>
      <c r="C592" s="1" t="n">
        <v>45633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23097-2021</t>
        </is>
      </c>
      <c r="B593" s="1" t="n">
        <v>44330</v>
      </c>
      <c r="C593" s="1" t="n">
        <v>45633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23150-2021</t>
        </is>
      </c>
      <c r="B594" s="1" t="n">
        <v>44331</v>
      </c>
      <c r="C594" s="1" t="n">
        <v>45633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23504-2021</t>
        </is>
      </c>
      <c r="B595" s="1" t="n">
        <v>44334</v>
      </c>
      <c r="C595" s="1" t="n">
        <v>45633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23628-2021</t>
        </is>
      </c>
      <c r="B596" s="1" t="n">
        <v>44334</v>
      </c>
      <c r="C596" s="1" t="n">
        <v>45633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23626-2021</t>
        </is>
      </c>
      <c r="B597" s="1" t="n">
        <v>44334</v>
      </c>
      <c r="C597" s="1" t="n">
        <v>45633</v>
      </c>
      <c r="D597" t="inlineStr">
        <is>
          <t>KALMAR LÄN</t>
        </is>
      </c>
      <c r="E597" t="inlineStr">
        <is>
          <t>VÄSTERVIK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23995-2021</t>
        </is>
      </c>
      <c r="B598" s="1" t="n">
        <v>44335</v>
      </c>
      <c r="C598" s="1" t="n">
        <v>45633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23993-2021</t>
        </is>
      </c>
      <c r="B599" s="1" t="n">
        <v>44335</v>
      </c>
      <c r="C599" s="1" t="n">
        <v>45633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23998-2021</t>
        </is>
      </c>
      <c r="B600" s="1" t="n">
        <v>44335</v>
      </c>
      <c r="C600" s="1" t="n">
        <v>45633</v>
      </c>
      <c r="D600" t="inlineStr">
        <is>
          <t>KALMAR LÄN</t>
        </is>
      </c>
      <c r="E600" t="inlineStr">
        <is>
          <t>VÄSTERVIK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23992-2021</t>
        </is>
      </c>
      <c r="B601" s="1" t="n">
        <v>44335</v>
      </c>
      <c r="C601" s="1" t="n">
        <v>45633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23997-2021</t>
        </is>
      </c>
      <c r="B602" s="1" t="n">
        <v>44335</v>
      </c>
      <c r="C602" s="1" t="n">
        <v>45633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24000-2021</t>
        </is>
      </c>
      <c r="B603" s="1" t="n">
        <v>44335</v>
      </c>
      <c r="C603" s="1" t="n">
        <v>45633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23996-2021</t>
        </is>
      </c>
      <c r="B604" s="1" t="n">
        <v>44335</v>
      </c>
      <c r="C604" s="1" t="n">
        <v>45633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24570-2021</t>
        </is>
      </c>
      <c r="B605" s="1" t="n">
        <v>44339</v>
      </c>
      <c r="C605" s="1" t="n">
        <v>45633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25238-2021</t>
        </is>
      </c>
      <c r="B606" s="1" t="n">
        <v>44342</v>
      </c>
      <c r="C606" s="1" t="n">
        <v>45633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25418-2021</t>
        </is>
      </c>
      <c r="B607" s="1" t="n">
        <v>44342</v>
      </c>
      <c r="C607" s="1" t="n">
        <v>45633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25408-2021</t>
        </is>
      </c>
      <c r="B608" s="1" t="n">
        <v>44342</v>
      </c>
      <c r="C608" s="1" t="n">
        <v>45633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27183-2021</t>
        </is>
      </c>
      <c r="B609" s="1" t="n">
        <v>44350</v>
      </c>
      <c r="C609" s="1" t="n">
        <v>45633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29460-2021</t>
        </is>
      </c>
      <c r="B610" s="1" t="n">
        <v>44361</v>
      </c>
      <c r="C610" s="1" t="n">
        <v>45633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31061-2021</t>
        </is>
      </c>
      <c r="B611" s="1" t="n">
        <v>44368</v>
      </c>
      <c r="C611" s="1" t="n">
        <v>45633</v>
      </c>
      <c r="D611" t="inlineStr">
        <is>
          <t>KALMAR LÄN</t>
        </is>
      </c>
      <c r="E611" t="inlineStr">
        <is>
          <t>VÄSTERVIK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31318-2021</t>
        </is>
      </c>
      <c r="B612" s="1" t="n">
        <v>44368</v>
      </c>
      <c r="C612" s="1" t="n">
        <v>45633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31319-2021</t>
        </is>
      </c>
      <c r="B613" s="1" t="n">
        <v>44368</v>
      </c>
      <c r="C613" s="1" t="n">
        <v>45633</v>
      </c>
      <c r="D613" t="inlineStr">
        <is>
          <t>KALMAR LÄN</t>
        </is>
      </c>
      <c r="E613" t="inlineStr">
        <is>
          <t>VÄSTERVIK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31317-2021</t>
        </is>
      </c>
      <c r="B614" s="1" t="n">
        <v>44368</v>
      </c>
      <c r="C614" s="1" t="n">
        <v>45633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31479-2021</t>
        </is>
      </c>
      <c r="B615" s="1" t="n">
        <v>44369</v>
      </c>
      <c r="C615" s="1" t="n">
        <v>45633</v>
      </c>
      <c r="D615" t="inlineStr">
        <is>
          <t>KALMAR LÄN</t>
        </is>
      </c>
      <c r="E615" t="inlineStr">
        <is>
          <t>VÄSTERVIK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31558-2021</t>
        </is>
      </c>
      <c r="B616" s="1" t="n">
        <v>44369</v>
      </c>
      <c r="C616" s="1" t="n">
        <v>45633</v>
      </c>
      <c r="D616" t="inlineStr">
        <is>
          <t>KALMAR LÄN</t>
        </is>
      </c>
      <c r="E616" t="inlineStr">
        <is>
          <t>VÄSTERVIK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31545-2021</t>
        </is>
      </c>
      <c r="B617" s="1" t="n">
        <v>44369</v>
      </c>
      <c r="C617" s="1" t="n">
        <v>45633</v>
      </c>
      <c r="D617" t="inlineStr">
        <is>
          <t>KALMAR LÄN</t>
        </is>
      </c>
      <c r="E617" t="inlineStr">
        <is>
          <t>VÄSTERVIK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31633-2021</t>
        </is>
      </c>
      <c r="B618" s="1" t="n">
        <v>44369</v>
      </c>
      <c r="C618" s="1" t="n">
        <v>45633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31592-2021</t>
        </is>
      </c>
      <c r="B619" s="1" t="n">
        <v>44369</v>
      </c>
      <c r="C619" s="1" t="n">
        <v>45633</v>
      </c>
      <c r="D619" t="inlineStr">
        <is>
          <t>KALMAR LÄN</t>
        </is>
      </c>
      <c r="E619" t="inlineStr">
        <is>
          <t>VÄSTERVIK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31952-2021</t>
        </is>
      </c>
      <c r="B620" s="1" t="n">
        <v>44370</v>
      </c>
      <c r="C620" s="1" t="n">
        <v>45633</v>
      </c>
      <c r="D620" t="inlineStr">
        <is>
          <t>KALMAR LÄN</t>
        </is>
      </c>
      <c r="E620" t="inlineStr">
        <is>
          <t>VÄSTERVIK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32394-2021</t>
        </is>
      </c>
      <c r="B621" s="1" t="n">
        <v>44371</v>
      </c>
      <c r="C621" s="1" t="n">
        <v>45633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32583-2021</t>
        </is>
      </c>
      <c r="B622" s="1" t="n">
        <v>44375</v>
      </c>
      <c r="C622" s="1" t="n">
        <v>45633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32822-2021</t>
        </is>
      </c>
      <c r="B623" s="1" t="n">
        <v>44375</v>
      </c>
      <c r="C623" s="1" t="n">
        <v>45633</v>
      </c>
      <c r="D623" t="inlineStr">
        <is>
          <t>KALMAR LÄN</t>
        </is>
      </c>
      <c r="E623" t="inlineStr">
        <is>
          <t>VÄSTERVIK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34125-2021</t>
        </is>
      </c>
      <c r="B624" s="1" t="n">
        <v>44379</v>
      </c>
      <c r="C624" s="1" t="n">
        <v>45633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34118-2021</t>
        </is>
      </c>
      <c r="B625" s="1" t="n">
        <v>44379</v>
      </c>
      <c r="C625" s="1" t="n">
        <v>45633</v>
      </c>
      <c r="D625" t="inlineStr">
        <is>
          <t>KALMAR LÄN</t>
        </is>
      </c>
      <c r="E625" t="inlineStr">
        <is>
          <t>VÄSTERVIK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34493-2021</t>
        </is>
      </c>
      <c r="B626" s="1" t="n">
        <v>44382</v>
      </c>
      <c r="C626" s="1" t="n">
        <v>45633</v>
      </c>
      <c r="D626" t="inlineStr">
        <is>
          <t>KALMAR LÄN</t>
        </is>
      </c>
      <c r="E626" t="inlineStr">
        <is>
          <t>VÄSTERVIK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34953-2021</t>
        </is>
      </c>
      <c r="B627" s="1" t="n">
        <v>44383</v>
      </c>
      <c r="C627" s="1" t="n">
        <v>45633</v>
      </c>
      <c r="D627" t="inlineStr">
        <is>
          <t>KALMAR LÄN</t>
        </is>
      </c>
      <c r="E627" t="inlineStr">
        <is>
          <t>VÄSTERVIK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34958-2021</t>
        </is>
      </c>
      <c r="B628" s="1" t="n">
        <v>44383</v>
      </c>
      <c r="C628" s="1" t="n">
        <v>45633</v>
      </c>
      <c r="D628" t="inlineStr">
        <is>
          <t>KALMAR LÄN</t>
        </is>
      </c>
      <c r="E628" t="inlineStr">
        <is>
          <t>VÄSTERVIK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36125-2021</t>
        </is>
      </c>
      <c r="B629" s="1" t="n">
        <v>44386</v>
      </c>
      <c r="C629" s="1" t="n">
        <v>45633</v>
      </c>
      <c r="D629" t="inlineStr">
        <is>
          <t>KALMAR LÄN</t>
        </is>
      </c>
      <c r="E629" t="inlineStr">
        <is>
          <t>VÄSTERVIK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35906-2021</t>
        </is>
      </c>
      <c r="B630" s="1" t="n">
        <v>44387</v>
      </c>
      <c r="C630" s="1" t="n">
        <v>45633</v>
      </c>
      <c r="D630" t="inlineStr">
        <is>
          <t>KALMAR LÄN</t>
        </is>
      </c>
      <c r="E630" t="inlineStr">
        <is>
          <t>VÄSTERVIK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37036-2021</t>
        </is>
      </c>
      <c r="B631" s="1" t="n">
        <v>44393</v>
      </c>
      <c r="C631" s="1" t="n">
        <v>45633</v>
      </c>
      <c r="D631" t="inlineStr">
        <is>
          <t>KALMAR LÄN</t>
        </is>
      </c>
      <c r="E631" t="inlineStr">
        <is>
          <t>VÄSTERVIK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37033-2021</t>
        </is>
      </c>
      <c r="B632" s="1" t="n">
        <v>44393</v>
      </c>
      <c r="C632" s="1" t="n">
        <v>45633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37441-2021</t>
        </is>
      </c>
      <c r="B633" s="1" t="n">
        <v>44398</v>
      </c>
      <c r="C633" s="1" t="n">
        <v>45633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37545-2021</t>
        </is>
      </c>
      <c r="B634" s="1" t="n">
        <v>44399</v>
      </c>
      <c r="C634" s="1" t="n">
        <v>45633</v>
      </c>
      <c r="D634" t="inlineStr">
        <is>
          <t>KALMAR LÄN</t>
        </is>
      </c>
      <c r="E634" t="inlineStr">
        <is>
          <t>VÄSTERVIK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37550-2021</t>
        </is>
      </c>
      <c r="B635" s="1" t="n">
        <v>44399</v>
      </c>
      <c r="C635" s="1" t="n">
        <v>45633</v>
      </c>
      <c r="D635" t="inlineStr">
        <is>
          <t>KALMAR LÄN</t>
        </is>
      </c>
      <c r="E635" t="inlineStr">
        <is>
          <t>VÄSTERVIK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37717-2021</t>
        </is>
      </c>
      <c r="B636" s="1" t="n">
        <v>44400</v>
      </c>
      <c r="C636" s="1" t="n">
        <v>45633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37748-2021</t>
        </is>
      </c>
      <c r="B637" s="1" t="n">
        <v>44400</v>
      </c>
      <c r="C637" s="1" t="n">
        <v>45633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37753-2021</t>
        </is>
      </c>
      <c r="B638" s="1" t="n">
        <v>44400</v>
      </c>
      <c r="C638" s="1" t="n">
        <v>45633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38613-2021</t>
        </is>
      </c>
      <c r="B639" s="1" t="n">
        <v>44409</v>
      </c>
      <c r="C639" s="1" t="n">
        <v>45633</v>
      </c>
      <c r="D639" t="inlineStr">
        <is>
          <t>KALMAR LÄN</t>
        </is>
      </c>
      <c r="E639" t="inlineStr">
        <is>
          <t>VÄSTERVIK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42052-2021</t>
        </is>
      </c>
      <c r="B640" s="1" t="n">
        <v>44426</v>
      </c>
      <c r="C640" s="1" t="n">
        <v>45633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42112-2021</t>
        </is>
      </c>
      <c r="B641" s="1" t="n">
        <v>44426</v>
      </c>
      <c r="C641" s="1" t="n">
        <v>45633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42131-2021</t>
        </is>
      </c>
      <c r="B642" s="1" t="n">
        <v>44426</v>
      </c>
      <c r="C642" s="1" t="n">
        <v>45633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42150-2021</t>
        </is>
      </c>
      <c r="B643" s="1" t="n">
        <v>44426</v>
      </c>
      <c r="C643" s="1" t="n">
        <v>45633</v>
      </c>
      <c r="D643" t="inlineStr">
        <is>
          <t>KALMAR LÄN</t>
        </is>
      </c>
      <c r="E643" t="inlineStr">
        <is>
          <t>VÄSTERVIK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42137-2021</t>
        </is>
      </c>
      <c r="B644" s="1" t="n">
        <v>44426</v>
      </c>
      <c r="C644" s="1" t="n">
        <v>45633</v>
      </c>
      <c r="D644" t="inlineStr">
        <is>
          <t>KALMAR LÄN</t>
        </is>
      </c>
      <c r="E644" t="inlineStr">
        <is>
          <t>VÄSTERVIK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42164-2021</t>
        </is>
      </c>
      <c r="B645" s="1" t="n">
        <v>44426</v>
      </c>
      <c r="C645" s="1" t="n">
        <v>45633</v>
      </c>
      <c r="D645" t="inlineStr">
        <is>
          <t>KALMAR LÄN</t>
        </is>
      </c>
      <c r="E645" t="inlineStr">
        <is>
          <t>VÄSTERVIK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HYPERLINK("https://klasma.github.io/Logging_0883/knärot/A 42164-2021 karta knärot.png", "A 42164-2021")</f>
        <v/>
      </c>
      <c r="V645">
        <f>HYPERLINK("https://klasma.github.io/Logging_0883/klagomål/A 42164-2021 FSC-klagomål.docx", "A 42164-2021")</f>
        <v/>
      </c>
      <c r="W645">
        <f>HYPERLINK("https://klasma.github.io/Logging_0883/klagomålsmail/A 42164-2021 FSC-klagomål mail.docx", "A 42164-2021")</f>
        <v/>
      </c>
      <c r="X645">
        <f>HYPERLINK("https://klasma.github.io/Logging_0883/tillsyn/A 42164-2021 tillsynsbegäran.docx", "A 42164-2021")</f>
        <v/>
      </c>
      <c r="Y645">
        <f>HYPERLINK("https://klasma.github.io/Logging_0883/tillsynsmail/A 42164-2021 tillsynsbegäran mail.docx", "A 42164-2021")</f>
        <v/>
      </c>
    </row>
    <row r="646" ht="15" customHeight="1">
      <c r="A646" t="inlineStr">
        <is>
          <t>A 42353-2021</t>
        </is>
      </c>
      <c r="B646" s="1" t="n">
        <v>44427</v>
      </c>
      <c r="C646" s="1" t="n">
        <v>45633</v>
      </c>
      <c r="D646" t="inlineStr">
        <is>
          <t>KALMAR LÄN</t>
        </is>
      </c>
      <c r="E646" t="inlineStr">
        <is>
          <t>VÄSTERVIK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43759-2021</t>
        </is>
      </c>
      <c r="B647" s="1" t="n">
        <v>44433</v>
      </c>
      <c r="C647" s="1" t="n">
        <v>45633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43828-2021</t>
        </is>
      </c>
      <c r="B648" s="1" t="n">
        <v>44433</v>
      </c>
      <c r="C648" s="1" t="n">
        <v>45633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43805-2021</t>
        </is>
      </c>
      <c r="B649" s="1" t="n">
        <v>44433</v>
      </c>
      <c r="C649" s="1" t="n">
        <v>45633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43810-2021</t>
        </is>
      </c>
      <c r="B650" s="1" t="n">
        <v>44433</v>
      </c>
      <c r="C650" s="1" t="n">
        <v>45633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43826-2021</t>
        </is>
      </c>
      <c r="B651" s="1" t="n">
        <v>44433</v>
      </c>
      <c r="C651" s="1" t="n">
        <v>45633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43803-2021</t>
        </is>
      </c>
      <c r="B652" s="1" t="n">
        <v>44433</v>
      </c>
      <c r="C652" s="1" t="n">
        <v>45633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43802-2021</t>
        </is>
      </c>
      <c r="B653" s="1" t="n">
        <v>44433</v>
      </c>
      <c r="C653" s="1" t="n">
        <v>45633</v>
      </c>
      <c r="D653" t="inlineStr">
        <is>
          <t>KALMAR LÄN</t>
        </is>
      </c>
      <c r="E653" t="inlineStr">
        <is>
          <t>VÄSTERVIK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43808-2021</t>
        </is>
      </c>
      <c r="B654" s="1" t="n">
        <v>44433</v>
      </c>
      <c r="C654" s="1" t="n">
        <v>45633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43807-2021</t>
        </is>
      </c>
      <c r="B655" s="1" t="n">
        <v>44433</v>
      </c>
      <c r="C655" s="1" t="n">
        <v>45633</v>
      </c>
      <c r="D655" t="inlineStr">
        <is>
          <t>KALMAR LÄN</t>
        </is>
      </c>
      <c r="E655" t="inlineStr">
        <is>
          <t>VÄSTERVIK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43953-2021</t>
        </is>
      </c>
      <c r="B656" s="1" t="n">
        <v>44434</v>
      </c>
      <c r="C656" s="1" t="n">
        <v>45633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44454-2021</t>
        </is>
      </c>
      <c r="B657" s="1" t="n">
        <v>44435</v>
      </c>
      <c r="C657" s="1" t="n">
        <v>45633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HYPERLINK("https://klasma.github.io/Logging_0883/knärot/A 44454-2021 karta knärot.png", "A 44454-2021")</f>
        <v/>
      </c>
      <c r="V657">
        <f>HYPERLINK("https://klasma.github.io/Logging_0883/klagomål/A 44454-2021 FSC-klagomål.docx", "A 44454-2021")</f>
        <v/>
      </c>
      <c r="W657">
        <f>HYPERLINK("https://klasma.github.io/Logging_0883/klagomålsmail/A 44454-2021 FSC-klagomål mail.docx", "A 44454-2021")</f>
        <v/>
      </c>
      <c r="X657">
        <f>HYPERLINK("https://klasma.github.io/Logging_0883/tillsyn/A 44454-2021 tillsynsbegäran.docx", "A 44454-2021")</f>
        <v/>
      </c>
      <c r="Y657">
        <f>HYPERLINK("https://klasma.github.io/Logging_0883/tillsynsmail/A 44454-2021 tillsynsbegäran mail.docx", "A 44454-2021")</f>
        <v/>
      </c>
    </row>
    <row r="658" ht="15" customHeight="1">
      <c r="A658" t="inlineStr">
        <is>
          <t>A 44668-2021</t>
        </is>
      </c>
      <c r="B658" s="1" t="n">
        <v>44438</v>
      </c>
      <c r="C658" s="1" t="n">
        <v>45633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47404-2021</t>
        </is>
      </c>
      <c r="B659" s="1" t="n">
        <v>44447</v>
      </c>
      <c r="C659" s="1" t="n">
        <v>45633</v>
      </c>
      <c r="D659" t="inlineStr">
        <is>
          <t>KALMAR LÄN</t>
        </is>
      </c>
      <c r="E659" t="inlineStr">
        <is>
          <t>VÄSTERVIK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47527-2021</t>
        </is>
      </c>
      <c r="B660" s="1" t="n">
        <v>44447</v>
      </c>
      <c r="C660" s="1" t="n">
        <v>45633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47525-2021</t>
        </is>
      </c>
      <c r="B661" s="1" t="n">
        <v>44447</v>
      </c>
      <c r="C661" s="1" t="n">
        <v>45633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47530-2021</t>
        </is>
      </c>
      <c r="B662" s="1" t="n">
        <v>44447</v>
      </c>
      <c r="C662" s="1" t="n">
        <v>45633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48021-2021</t>
        </is>
      </c>
      <c r="B663" s="1" t="n">
        <v>44449</v>
      </c>
      <c r="C663" s="1" t="n">
        <v>45633</v>
      </c>
      <c r="D663" t="inlineStr">
        <is>
          <t>KALMAR LÄN</t>
        </is>
      </c>
      <c r="E663" t="inlineStr">
        <is>
          <t>VÄSTERVIK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48018-2021</t>
        </is>
      </c>
      <c r="B664" s="1" t="n">
        <v>44449</v>
      </c>
      <c r="C664" s="1" t="n">
        <v>45633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48041-2021</t>
        </is>
      </c>
      <c r="B665" s="1" t="n">
        <v>44449</v>
      </c>
      <c r="C665" s="1" t="n">
        <v>45633</v>
      </c>
      <c r="D665" t="inlineStr">
        <is>
          <t>KALMAR LÄN</t>
        </is>
      </c>
      <c r="E665" t="inlineStr">
        <is>
          <t>VÄSTERVIK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48254-2021</t>
        </is>
      </c>
      <c r="B666" s="1" t="n">
        <v>44449</v>
      </c>
      <c r="C666" s="1" t="n">
        <v>45633</v>
      </c>
      <c r="D666" t="inlineStr">
        <is>
          <t>KALMAR LÄN</t>
        </is>
      </c>
      <c r="E666" t="inlineStr">
        <is>
          <t>VÄSTERVIK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49402-2021</t>
        </is>
      </c>
      <c r="B667" s="1" t="n">
        <v>44454</v>
      </c>
      <c r="C667" s="1" t="n">
        <v>45633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49407-2021</t>
        </is>
      </c>
      <c r="B668" s="1" t="n">
        <v>44454</v>
      </c>
      <c r="C668" s="1" t="n">
        <v>45633</v>
      </c>
      <c r="D668" t="inlineStr">
        <is>
          <t>KALMAR LÄN</t>
        </is>
      </c>
      <c r="E668" t="inlineStr">
        <is>
          <t>VÄSTERVIK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49398-2021</t>
        </is>
      </c>
      <c r="B669" s="1" t="n">
        <v>44454</v>
      </c>
      <c r="C669" s="1" t="n">
        <v>45633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49404-2021</t>
        </is>
      </c>
      <c r="B670" s="1" t="n">
        <v>44454</v>
      </c>
      <c r="C670" s="1" t="n">
        <v>45633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50977-2021</t>
        </is>
      </c>
      <c r="B671" s="1" t="n">
        <v>44460</v>
      </c>
      <c r="C671" s="1" t="n">
        <v>45633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51504-2021</t>
        </is>
      </c>
      <c r="B672" s="1" t="n">
        <v>44461</v>
      </c>
      <c r="C672" s="1" t="n">
        <v>45633</v>
      </c>
      <c r="D672" t="inlineStr">
        <is>
          <t>KALMAR LÄN</t>
        </is>
      </c>
      <c r="E672" t="inlineStr">
        <is>
          <t>VÄSTERVIK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51883-2021</t>
        </is>
      </c>
      <c r="B673" s="1" t="n">
        <v>44462</v>
      </c>
      <c r="C673" s="1" t="n">
        <v>45633</v>
      </c>
      <c r="D673" t="inlineStr">
        <is>
          <t>KALMAR LÄN</t>
        </is>
      </c>
      <c r="E673" t="inlineStr">
        <is>
          <t>VÄSTERVIK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51884-2021</t>
        </is>
      </c>
      <c r="B674" s="1" t="n">
        <v>44462</v>
      </c>
      <c r="C674" s="1" t="n">
        <v>45633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52155-2021</t>
        </is>
      </c>
      <c r="B675" s="1" t="n">
        <v>44463</v>
      </c>
      <c r="C675" s="1" t="n">
        <v>45633</v>
      </c>
      <c r="D675" t="inlineStr">
        <is>
          <t>KALMAR LÄN</t>
        </is>
      </c>
      <c r="E675" t="inlineStr">
        <is>
          <t>VÄSTERVIK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52645-2021</t>
        </is>
      </c>
      <c r="B676" s="1" t="n">
        <v>44466</v>
      </c>
      <c r="C676" s="1" t="n">
        <v>45633</v>
      </c>
      <c r="D676" t="inlineStr">
        <is>
          <t>KALMAR LÄN</t>
        </is>
      </c>
      <c r="E676" t="inlineStr">
        <is>
          <t>VÄSTERVIK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53259-2021</t>
        </is>
      </c>
      <c r="B677" s="1" t="n">
        <v>44468</v>
      </c>
      <c r="C677" s="1" t="n">
        <v>45633</v>
      </c>
      <c r="D677" t="inlineStr">
        <is>
          <t>KALMAR LÄN</t>
        </is>
      </c>
      <c r="E677" t="inlineStr">
        <is>
          <t>VÄSTERVIK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53254-2021</t>
        </is>
      </c>
      <c r="B678" s="1" t="n">
        <v>44468</v>
      </c>
      <c r="C678" s="1" t="n">
        <v>45633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53913-2021</t>
        </is>
      </c>
      <c r="B679" s="1" t="n">
        <v>44469</v>
      </c>
      <c r="C679" s="1" t="n">
        <v>45633</v>
      </c>
      <c r="D679" t="inlineStr">
        <is>
          <t>KALMAR LÄN</t>
        </is>
      </c>
      <c r="E679" t="inlineStr">
        <is>
          <t>VÄSTERVIK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55008-2021</t>
        </is>
      </c>
      <c r="B680" s="1" t="n">
        <v>44474</v>
      </c>
      <c r="C680" s="1" t="n">
        <v>45633</v>
      </c>
      <c r="D680" t="inlineStr">
        <is>
          <t>KALMAR LÄN</t>
        </is>
      </c>
      <c r="E680" t="inlineStr">
        <is>
          <t>VÄSTERVIK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55023-2021</t>
        </is>
      </c>
      <c r="B681" s="1" t="n">
        <v>44474</v>
      </c>
      <c r="C681" s="1" t="n">
        <v>45633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56617-2021</t>
        </is>
      </c>
      <c r="B682" s="1" t="n">
        <v>44480</v>
      </c>
      <c r="C682" s="1" t="n">
        <v>45633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56620-2021</t>
        </is>
      </c>
      <c r="B683" s="1" t="n">
        <v>44480</v>
      </c>
      <c r="C683" s="1" t="n">
        <v>45633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56619-2021</t>
        </is>
      </c>
      <c r="B684" s="1" t="n">
        <v>44480</v>
      </c>
      <c r="C684" s="1" t="n">
        <v>45633</v>
      </c>
      <c r="D684" t="inlineStr">
        <is>
          <t>KALMAR LÄN</t>
        </is>
      </c>
      <c r="E684" t="inlineStr">
        <is>
          <t>VÄSTERVIK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57804-2021</t>
        </is>
      </c>
      <c r="B685" s="1" t="n">
        <v>44484</v>
      </c>
      <c r="C685" s="1" t="n">
        <v>45633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57808-2021</t>
        </is>
      </c>
      <c r="B686" s="1" t="n">
        <v>44484</v>
      </c>
      <c r="C686" s="1" t="n">
        <v>45633</v>
      </c>
      <c r="D686" t="inlineStr">
        <is>
          <t>KALMAR LÄN</t>
        </is>
      </c>
      <c r="E686" t="inlineStr">
        <is>
          <t>VÄSTERVIK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57983-2021</t>
        </is>
      </c>
      <c r="B687" s="1" t="n">
        <v>44487</v>
      </c>
      <c r="C687" s="1" t="n">
        <v>45633</v>
      </c>
      <c r="D687" t="inlineStr">
        <is>
          <t>KALMAR LÄN</t>
        </is>
      </c>
      <c r="E687" t="inlineStr">
        <is>
          <t>VÄSTERVIK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57928-2021</t>
        </is>
      </c>
      <c r="B688" s="1" t="n">
        <v>44487</v>
      </c>
      <c r="C688" s="1" t="n">
        <v>45633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57937-2021</t>
        </is>
      </c>
      <c r="B689" s="1" t="n">
        <v>44487</v>
      </c>
      <c r="C689" s="1" t="n">
        <v>45633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58090-2021</t>
        </is>
      </c>
      <c r="B690" s="1" t="n">
        <v>44487</v>
      </c>
      <c r="C690" s="1" t="n">
        <v>45633</v>
      </c>
      <c r="D690" t="inlineStr">
        <is>
          <t>KALMAR LÄN</t>
        </is>
      </c>
      <c r="E690" t="inlineStr">
        <is>
          <t>VÄSTERVIK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58555-2021</t>
        </is>
      </c>
      <c r="B691" s="1" t="n">
        <v>44488</v>
      </c>
      <c r="C691" s="1" t="n">
        <v>45633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61317-2021</t>
        </is>
      </c>
      <c r="B692" s="1" t="n">
        <v>44498</v>
      </c>
      <c r="C692" s="1" t="n">
        <v>45633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61584-2021</t>
        </is>
      </c>
      <c r="B693" s="1" t="n">
        <v>44501</v>
      </c>
      <c r="C693" s="1" t="n">
        <v>45633</v>
      </c>
      <c r="D693" t="inlineStr">
        <is>
          <t>KALMAR LÄN</t>
        </is>
      </c>
      <c r="E693" t="inlineStr">
        <is>
          <t>VÄSTERVIK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62930-2021</t>
        </is>
      </c>
      <c r="B694" s="1" t="n">
        <v>44504</v>
      </c>
      <c r="C694" s="1" t="n">
        <v>45633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63812-2021</t>
        </is>
      </c>
      <c r="B695" s="1" t="n">
        <v>44509</v>
      </c>
      <c r="C695" s="1" t="n">
        <v>45633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64497-2021</t>
        </is>
      </c>
      <c r="B696" s="1" t="n">
        <v>44511</v>
      </c>
      <c r="C696" s="1" t="n">
        <v>45633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64558-2021</t>
        </is>
      </c>
      <c r="B697" s="1" t="n">
        <v>44511</v>
      </c>
      <c r="C697" s="1" t="n">
        <v>45633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64822-2021</t>
        </is>
      </c>
      <c r="B698" s="1" t="n">
        <v>44512</v>
      </c>
      <c r="C698" s="1" t="n">
        <v>45633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64920-2021</t>
        </is>
      </c>
      <c r="B699" s="1" t="n">
        <v>44512</v>
      </c>
      <c r="C699" s="1" t="n">
        <v>45633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64920-2021 karta knärot.png", "A 64920-2021")</f>
        <v/>
      </c>
      <c r="V699">
        <f>HYPERLINK("https://klasma.github.io/Logging_0883/klagomål/A 64920-2021 FSC-klagomål.docx", "A 64920-2021")</f>
        <v/>
      </c>
      <c r="W699">
        <f>HYPERLINK("https://klasma.github.io/Logging_0883/klagomålsmail/A 64920-2021 FSC-klagomål mail.docx", "A 64920-2021")</f>
        <v/>
      </c>
      <c r="X699">
        <f>HYPERLINK("https://klasma.github.io/Logging_0883/tillsyn/A 64920-2021 tillsynsbegäran.docx", "A 64920-2021")</f>
        <v/>
      </c>
      <c r="Y699">
        <f>HYPERLINK("https://klasma.github.io/Logging_0883/tillsynsmail/A 64920-2021 tillsynsbegäran mail.docx", "A 64920-2021")</f>
        <v/>
      </c>
    </row>
    <row r="700" ht="15" customHeight="1">
      <c r="A700" t="inlineStr">
        <is>
          <t>A 65408-2021</t>
        </is>
      </c>
      <c r="B700" s="1" t="n">
        <v>44515</v>
      </c>
      <c r="C700" s="1" t="n">
        <v>45633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68920-2021</t>
        </is>
      </c>
      <c r="B701" s="1" t="n">
        <v>44530</v>
      </c>
      <c r="C701" s="1" t="n">
        <v>45633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69328-2021</t>
        </is>
      </c>
      <c r="B702" s="1" t="n">
        <v>44531</v>
      </c>
      <c r="C702" s="1" t="n">
        <v>45633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69702-2021</t>
        </is>
      </c>
      <c r="B703" s="1" t="n">
        <v>44532</v>
      </c>
      <c r="C703" s="1" t="n">
        <v>45633</v>
      </c>
      <c r="D703" t="inlineStr">
        <is>
          <t>KALMAR LÄN</t>
        </is>
      </c>
      <c r="E703" t="inlineStr">
        <is>
          <t>VÄSTERVIK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69750-2021</t>
        </is>
      </c>
      <c r="B704" s="1" t="n">
        <v>44532</v>
      </c>
      <c r="C704" s="1" t="n">
        <v>45633</v>
      </c>
      <c r="D704" t="inlineStr">
        <is>
          <t>KALMAR LÄN</t>
        </is>
      </c>
      <c r="E704" t="inlineStr">
        <is>
          <t>VÄSTERVIK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69753-2021</t>
        </is>
      </c>
      <c r="B705" s="1" t="n">
        <v>44532</v>
      </c>
      <c r="C705" s="1" t="n">
        <v>45633</v>
      </c>
      <c r="D705" t="inlineStr">
        <is>
          <t>KALMAR LÄN</t>
        </is>
      </c>
      <c r="E705" t="inlineStr">
        <is>
          <t>VÄSTERVIK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71114-2021</t>
        </is>
      </c>
      <c r="B706" s="1" t="n">
        <v>44539</v>
      </c>
      <c r="C706" s="1" t="n">
        <v>45633</v>
      </c>
      <c r="D706" t="inlineStr">
        <is>
          <t>KALMAR LÄN</t>
        </is>
      </c>
      <c r="E706" t="inlineStr">
        <is>
          <t>VÄSTERVIK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72378-2021</t>
        </is>
      </c>
      <c r="B707" s="1" t="n">
        <v>44545</v>
      </c>
      <c r="C707" s="1" t="n">
        <v>45633</v>
      </c>
      <c r="D707" t="inlineStr">
        <is>
          <t>KALMAR LÄN</t>
        </is>
      </c>
      <c r="E707" t="inlineStr">
        <is>
          <t>VÄSTERVIK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72733-2021</t>
        </is>
      </c>
      <c r="B708" s="1" t="n">
        <v>44546</v>
      </c>
      <c r="C708" s="1" t="n">
        <v>45633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73640-2021</t>
        </is>
      </c>
      <c r="B709" s="1" t="n">
        <v>44552</v>
      </c>
      <c r="C709" s="1" t="n">
        <v>45633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73638-2021</t>
        </is>
      </c>
      <c r="B710" s="1" t="n">
        <v>44552</v>
      </c>
      <c r="C710" s="1" t="n">
        <v>45633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166-2022</t>
        </is>
      </c>
      <c r="B711" s="1" t="n">
        <v>44564</v>
      </c>
      <c r="C711" s="1" t="n">
        <v>45633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174-2022</t>
        </is>
      </c>
      <c r="B712" s="1" t="n">
        <v>44564</v>
      </c>
      <c r="C712" s="1" t="n">
        <v>45633</v>
      </c>
      <c r="D712" t="inlineStr">
        <is>
          <t>KALMAR LÄN</t>
        </is>
      </c>
      <c r="E712" t="inlineStr">
        <is>
          <t>VÄSTERVIK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170-2022</t>
        </is>
      </c>
      <c r="B713" s="1" t="n">
        <v>44564</v>
      </c>
      <c r="C713" s="1" t="n">
        <v>45633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358-2022</t>
        </is>
      </c>
      <c r="B714" s="1" t="n">
        <v>44565</v>
      </c>
      <c r="C714" s="1" t="n">
        <v>45633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320-2022</t>
        </is>
      </c>
      <c r="B715" s="1" t="n">
        <v>44565</v>
      </c>
      <c r="C715" s="1" t="n">
        <v>45633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360-2022</t>
        </is>
      </c>
      <c r="B716" s="1" t="n">
        <v>44565</v>
      </c>
      <c r="C716" s="1" t="n">
        <v>45633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959-2022</t>
        </is>
      </c>
      <c r="B717" s="1" t="n">
        <v>44571</v>
      </c>
      <c r="C717" s="1" t="n">
        <v>45633</v>
      </c>
      <c r="D717" t="inlineStr">
        <is>
          <t>KALMAR LÄN</t>
        </is>
      </c>
      <c r="E717" t="inlineStr">
        <is>
          <t>VÄSTERVIK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1585-2022</t>
        </is>
      </c>
      <c r="B718" s="1" t="n">
        <v>44573</v>
      </c>
      <c r="C718" s="1" t="n">
        <v>45633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1843-2022</t>
        </is>
      </c>
      <c r="B719" s="1" t="n">
        <v>44574</v>
      </c>
      <c r="C719" s="1" t="n">
        <v>45633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3145-2022</t>
        </is>
      </c>
      <c r="B720" s="1" t="n">
        <v>44582</v>
      </c>
      <c r="C720" s="1" t="n">
        <v>45633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3718-2022</t>
        </is>
      </c>
      <c r="B721" s="1" t="n">
        <v>44586</v>
      </c>
      <c r="C721" s="1" t="n">
        <v>45633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4463-2022</t>
        </is>
      </c>
      <c r="B722" s="1" t="n">
        <v>44589</v>
      </c>
      <c r="C722" s="1" t="n">
        <v>45633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4490-2022</t>
        </is>
      </c>
      <c r="B723" s="1" t="n">
        <v>44589</v>
      </c>
      <c r="C723" s="1" t="n">
        <v>45633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4812-2022</t>
        </is>
      </c>
      <c r="B724" s="1" t="n">
        <v>44592</v>
      </c>
      <c r="C724" s="1" t="n">
        <v>45633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5450-2022</t>
        </is>
      </c>
      <c r="B725" s="1" t="n">
        <v>44595</v>
      </c>
      <c r="C725" s="1" t="n">
        <v>45633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5551-2022</t>
        </is>
      </c>
      <c r="B726" s="1" t="n">
        <v>44595</v>
      </c>
      <c r="C726" s="1" t="n">
        <v>45633</v>
      </c>
      <c r="D726" t="inlineStr">
        <is>
          <t>KALMAR LÄN</t>
        </is>
      </c>
      <c r="E726" t="inlineStr">
        <is>
          <t>VÄSTERVIK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5761-2022</t>
        </is>
      </c>
      <c r="B727" s="1" t="n">
        <v>44596</v>
      </c>
      <c r="C727" s="1" t="n">
        <v>45633</v>
      </c>
      <c r="D727" t="inlineStr">
        <is>
          <t>KALMAR LÄN</t>
        </is>
      </c>
      <c r="E727" t="inlineStr">
        <is>
          <t>VÄSTERVIK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7580-2022</t>
        </is>
      </c>
      <c r="B728" s="1" t="n">
        <v>44607</v>
      </c>
      <c r="C728" s="1" t="n">
        <v>45633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7826-2022</t>
        </is>
      </c>
      <c r="B729" s="1" t="n">
        <v>44608</v>
      </c>
      <c r="C729" s="1" t="n">
        <v>45633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8355-2022</t>
        </is>
      </c>
      <c r="B730" s="1" t="n">
        <v>44610</v>
      </c>
      <c r="C730" s="1" t="n">
        <v>45633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9025-2022</t>
        </is>
      </c>
      <c r="B731" s="1" t="n">
        <v>44615</v>
      </c>
      <c r="C731" s="1" t="n">
        <v>45633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9605-2022</t>
        </is>
      </c>
      <c r="B732" s="1" t="n">
        <v>44617</v>
      </c>
      <c r="C732" s="1" t="n">
        <v>45633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9605-2022 karta knärot.png", "A 9605-2022")</f>
        <v/>
      </c>
      <c r="V732">
        <f>HYPERLINK("https://klasma.github.io/Logging_0883/klagomål/A 9605-2022 FSC-klagomål.docx", "A 9605-2022")</f>
        <v/>
      </c>
      <c r="W732">
        <f>HYPERLINK("https://klasma.github.io/Logging_0883/klagomålsmail/A 9605-2022 FSC-klagomål mail.docx", "A 9605-2022")</f>
        <v/>
      </c>
      <c r="X732">
        <f>HYPERLINK("https://klasma.github.io/Logging_0883/tillsyn/A 9605-2022 tillsynsbegäran.docx", "A 9605-2022")</f>
        <v/>
      </c>
      <c r="Y732">
        <f>HYPERLINK("https://klasma.github.io/Logging_0883/tillsynsmail/A 9605-2022 tillsynsbegäran mail.docx", "A 9605-2022")</f>
        <v/>
      </c>
    </row>
    <row r="733" ht="15" customHeight="1">
      <c r="A733" t="inlineStr">
        <is>
          <t>A 10071-2022</t>
        </is>
      </c>
      <c r="B733" s="1" t="n">
        <v>44621</v>
      </c>
      <c r="C733" s="1" t="n">
        <v>45633</v>
      </c>
      <c r="D733" t="inlineStr">
        <is>
          <t>KALMAR LÄN</t>
        </is>
      </c>
      <c r="E733" t="inlineStr">
        <is>
          <t>VÄSTERVIK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10119-2022</t>
        </is>
      </c>
      <c r="B734" s="1" t="n">
        <v>44621</v>
      </c>
      <c r="C734" s="1" t="n">
        <v>45633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10117-2022</t>
        </is>
      </c>
      <c r="B735" s="1" t="n">
        <v>44621</v>
      </c>
      <c r="C735" s="1" t="n">
        <v>45633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10116-2022</t>
        </is>
      </c>
      <c r="B736" s="1" t="n">
        <v>44621</v>
      </c>
      <c r="C736" s="1" t="n">
        <v>45633</v>
      </c>
      <c r="D736" t="inlineStr">
        <is>
          <t>KALMAR LÄN</t>
        </is>
      </c>
      <c r="E736" t="inlineStr">
        <is>
          <t>VÄSTERVIK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10406-2022</t>
        </is>
      </c>
      <c r="B737" s="1" t="n">
        <v>44623</v>
      </c>
      <c r="C737" s="1" t="n">
        <v>45633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10441-2022</t>
        </is>
      </c>
      <c r="B738" s="1" t="n">
        <v>44623</v>
      </c>
      <c r="C738" s="1" t="n">
        <v>45633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10452-2022</t>
        </is>
      </c>
      <c r="B739" s="1" t="n">
        <v>44623</v>
      </c>
      <c r="C739" s="1" t="n">
        <v>45633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11988-2022</t>
        </is>
      </c>
      <c r="B740" s="1" t="n">
        <v>44635</v>
      </c>
      <c r="C740" s="1" t="n">
        <v>45633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12652-2022</t>
        </is>
      </c>
      <c r="B741" s="1" t="n">
        <v>44641</v>
      </c>
      <c r="C741" s="1" t="n">
        <v>45633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13023-2022</t>
        </is>
      </c>
      <c r="B742" s="1" t="n">
        <v>44643</v>
      </c>
      <c r="C742" s="1" t="n">
        <v>45633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13375-2022</t>
        </is>
      </c>
      <c r="B743" s="1" t="n">
        <v>44645</v>
      </c>
      <c r="C743" s="1" t="n">
        <v>45633</v>
      </c>
      <c r="D743" t="inlineStr">
        <is>
          <t>KALMAR LÄN</t>
        </is>
      </c>
      <c r="E743" t="inlineStr">
        <is>
          <t>VÄSTERVIK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13491-2022</t>
        </is>
      </c>
      <c r="B744" s="1" t="n">
        <v>44646</v>
      </c>
      <c r="C744" s="1" t="n">
        <v>45633</v>
      </c>
      <c r="D744" t="inlineStr">
        <is>
          <t>KALMAR LÄN</t>
        </is>
      </c>
      <c r="E744" t="inlineStr">
        <is>
          <t>VÄSTERVIK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13489-2022</t>
        </is>
      </c>
      <c r="B745" s="1" t="n">
        <v>44646</v>
      </c>
      <c r="C745" s="1" t="n">
        <v>45633</v>
      </c>
      <c r="D745" t="inlineStr">
        <is>
          <t>KALMAR LÄN</t>
        </is>
      </c>
      <c r="E745" t="inlineStr">
        <is>
          <t>VÄSTERVIK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13490-2022</t>
        </is>
      </c>
      <c r="B746" s="1" t="n">
        <v>44646</v>
      </c>
      <c r="C746" s="1" t="n">
        <v>45633</v>
      </c>
      <c r="D746" t="inlineStr">
        <is>
          <t>KALMAR LÄN</t>
        </is>
      </c>
      <c r="E746" t="inlineStr">
        <is>
          <t>VÄSTERVIK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13765-2022</t>
        </is>
      </c>
      <c r="B747" s="1" t="n">
        <v>44649</v>
      </c>
      <c r="C747" s="1" t="n">
        <v>45633</v>
      </c>
      <c r="D747" t="inlineStr">
        <is>
          <t>KALMAR LÄN</t>
        </is>
      </c>
      <c r="E747" t="inlineStr">
        <is>
          <t>VÄSTERVIK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14038-2022</t>
        </is>
      </c>
      <c r="B748" s="1" t="n">
        <v>44650</v>
      </c>
      <c r="C748" s="1" t="n">
        <v>45633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14212-2022</t>
        </is>
      </c>
      <c r="B749" s="1" t="n">
        <v>44651</v>
      </c>
      <c r="C749" s="1" t="n">
        <v>45633</v>
      </c>
      <c r="D749" t="inlineStr">
        <is>
          <t>KALMAR LÄN</t>
        </is>
      </c>
      <c r="E749" t="inlineStr">
        <is>
          <t>VÄSTERVIK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14529-2022</t>
        </is>
      </c>
      <c r="B750" s="1" t="n">
        <v>44655</v>
      </c>
      <c r="C750" s="1" t="n">
        <v>45633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15379-2022</t>
        </is>
      </c>
      <c r="B751" s="1" t="n">
        <v>44659</v>
      </c>
      <c r="C751" s="1" t="n">
        <v>45633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16207-2022</t>
        </is>
      </c>
      <c r="B752" s="1" t="n">
        <v>44669</v>
      </c>
      <c r="C752" s="1" t="n">
        <v>45633</v>
      </c>
      <c r="D752" t="inlineStr">
        <is>
          <t>KALMAR LÄN</t>
        </is>
      </c>
      <c r="E752" t="inlineStr">
        <is>
          <t>VÄSTERVIK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16587-2022</t>
        </is>
      </c>
      <c r="B753" s="1" t="n">
        <v>44672</v>
      </c>
      <c r="C753" s="1" t="n">
        <v>45633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16586-2022</t>
        </is>
      </c>
      <c r="B754" s="1" t="n">
        <v>44672</v>
      </c>
      <c r="C754" s="1" t="n">
        <v>45633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16765-2022</t>
        </is>
      </c>
      <c r="B755" s="1" t="n">
        <v>44673</v>
      </c>
      <c r="C755" s="1" t="n">
        <v>45633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17953-2022</t>
        </is>
      </c>
      <c r="B756" s="1" t="n">
        <v>44683</v>
      </c>
      <c r="C756" s="1" t="n">
        <v>45633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17954-2022</t>
        </is>
      </c>
      <c r="B757" s="1" t="n">
        <v>44683</v>
      </c>
      <c r="C757" s="1" t="n">
        <v>45633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19648-2022</t>
        </is>
      </c>
      <c r="B758" s="1" t="n">
        <v>44694</v>
      </c>
      <c r="C758" s="1" t="n">
        <v>45633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19656-2022</t>
        </is>
      </c>
      <c r="B759" s="1" t="n">
        <v>44694</v>
      </c>
      <c r="C759" s="1" t="n">
        <v>45633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19653-2022</t>
        </is>
      </c>
      <c r="B760" s="1" t="n">
        <v>44694</v>
      </c>
      <c r="C760" s="1" t="n">
        <v>45633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23167-2022</t>
        </is>
      </c>
      <c r="B761" s="1" t="n">
        <v>44719</v>
      </c>
      <c r="C761" s="1" t="n">
        <v>45633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23411-2022</t>
        </is>
      </c>
      <c r="B762" s="1" t="n">
        <v>44720</v>
      </c>
      <c r="C762" s="1" t="n">
        <v>45633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23589-2022</t>
        </is>
      </c>
      <c r="B763" s="1" t="n">
        <v>44721</v>
      </c>
      <c r="C763" s="1" t="n">
        <v>45633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23743-2022</t>
        </is>
      </c>
      <c r="B764" s="1" t="n">
        <v>44722</v>
      </c>
      <c r="C764" s="1" t="n">
        <v>45633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24040-2022</t>
        </is>
      </c>
      <c r="B765" s="1" t="n">
        <v>44724</v>
      </c>
      <c r="C765" s="1" t="n">
        <v>45633</v>
      </c>
      <c r="D765" t="inlineStr">
        <is>
          <t>KALMAR LÄN</t>
        </is>
      </c>
      <c r="E765" t="inlineStr">
        <is>
          <t>VÄSTERVIK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24830-2022</t>
        </is>
      </c>
      <c r="B766" s="1" t="n">
        <v>44728</v>
      </c>
      <c r="C766" s="1" t="n">
        <v>45633</v>
      </c>
      <c r="D766" t="inlineStr">
        <is>
          <t>KALMAR LÄN</t>
        </is>
      </c>
      <c r="E766" t="inlineStr">
        <is>
          <t>VÄSTERVIK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24829-2022</t>
        </is>
      </c>
      <c r="B767" s="1" t="n">
        <v>44728</v>
      </c>
      <c r="C767" s="1" t="n">
        <v>45633</v>
      </c>
      <c r="D767" t="inlineStr">
        <is>
          <t>KALMAR LÄN</t>
        </is>
      </c>
      <c r="E767" t="inlineStr">
        <is>
          <t>VÄSTERVIK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26059-2022</t>
        </is>
      </c>
      <c r="B768" s="1" t="n">
        <v>44734</v>
      </c>
      <c r="C768" s="1" t="n">
        <v>45633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27552-2022</t>
        </is>
      </c>
      <c r="B769" s="1" t="n">
        <v>44742</v>
      </c>
      <c r="C769" s="1" t="n">
        <v>45633</v>
      </c>
      <c r="D769" t="inlineStr">
        <is>
          <t>KALMAR LÄN</t>
        </is>
      </c>
      <c r="E769" t="inlineStr">
        <is>
          <t>VÄSTERVIK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28426-2022</t>
        </is>
      </c>
      <c r="B770" s="1" t="n">
        <v>44747</v>
      </c>
      <c r="C770" s="1" t="n">
        <v>45633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28588-2022</t>
        </is>
      </c>
      <c r="B771" s="1" t="n">
        <v>44748</v>
      </c>
      <c r="C771" s="1" t="n">
        <v>45633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28679-2022</t>
        </is>
      </c>
      <c r="B772" s="1" t="n">
        <v>44748</v>
      </c>
      <c r="C772" s="1" t="n">
        <v>45633</v>
      </c>
      <c r="D772" t="inlineStr">
        <is>
          <t>KALMAR LÄN</t>
        </is>
      </c>
      <c r="E772" t="inlineStr">
        <is>
          <t>VÄSTERVIK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28798-2022</t>
        </is>
      </c>
      <c r="B773" s="1" t="n">
        <v>44749</v>
      </c>
      <c r="C773" s="1" t="n">
        <v>45633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29816-2022</t>
        </is>
      </c>
      <c r="B774" s="1" t="n">
        <v>44755</v>
      </c>
      <c r="C774" s="1" t="n">
        <v>45633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29909-2022</t>
        </is>
      </c>
      <c r="B775" s="1" t="n">
        <v>44756</v>
      </c>
      <c r="C775" s="1" t="n">
        <v>45633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29952-2022</t>
        </is>
      </c>
      <c r="B776" s="1" t="n">
        <v>44756</v>
      </c>
      <c r="C776" s="1" t="n">
        <v>45633</v>
      </c>
      <c r="D776" t="inlineStr">
        <is>
          <t>KALMAR LÄN</t>
        </is>
      </c>
      <c r="E776" t="inlineStr">
        <is>
          <t>VÄSTERVIK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30186-2022</t>
        </is>
      </c>
      <c r="B777" s="1" t="n">
        <v>44757</v>
      </c>
      <c r="C777" s="1" t="n">
        <v>45633</v>
      </c>
      <c r="D777" t="inlineStr">
        <is>
          <t>KALMAR LÄN</t>
        </is>
      </c>
      <c r="E777" t="inlineStr">
        <is>
          <t>VÄSTERVIK</t>
        </is>
      </c>
      <c r="F777" t="inlineStr">
        <is>
          <t>Övriga Aktiebolag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31825-2022</t>
        </is>
      </c>
      <c r="B778" s="1" t="n">
        <v>44776</v>
      </c>
      <c r="C778" s="1" t="n">
        <v>45633</v>
      </c>
      <c r="D778" t="inlineStr">
        <is>
          <t>KALMAR LÄN</t>
        </is>
      </c>
      <c r="E778" t="inlineStr">
        <is>
          <t>VÄSTERVIK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32104-2022</t>
        </is>
      </c>
      <c r="B779" s="1" t="n">
        <v>44778</v>
      </c>
      <c r="C779" s="1" t="n">
        <v>45633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32702-2022</t>
        </is>
      </c>
      <c r="B780" s="1" t="n">
        <v>44783</v>
      </c>
      <c r="C780" s="1" t="n">
        <v>45633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32763-2022</t>
        </is>
      </c>
      <c r="B781" s="1" t="n">
        <v>44783</v>
      </c>
      <c r="C781" s="1" t="n">
        <v>45633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32764-2022</t>
        </is>
      </c>
      <c r="B782" s="1" t="n">
        <v>44783</v>
      </c>
      <c r="C782" s="1" t="n">
        <v>45633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32934-2022</t>
        </is>
      </c>
      <c r="B783" s="1" t="n">
        <v>44784</v>
      </c>
      <c r="C783" s="1" t="n">
        <v>45633</v>
      </c>
      <c r="D783" t="inlineStr">
        <is>
          <t>KALMAR LÄN</t>
        </is>
      </c>
      <c r="E783" t="inlineStr">
        <is>
          <t>VÄSTERVIK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33206-2022</t>
        </is>
      </c>
      <c r="B784" s="1" t="n">
        <v>44785</v>
      </c>
      <c r="C784" s="1" t="n">
        <v>45633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33204-2022</t>
        </is>
      </c>
      <c r="B785" s="1" t="n">
        <v>44785</v>
      </c>
      <c r="C785" s="1" t="n">
        <v>45633</v>
      </c>
      <c r="D785" t="inlineStr">
        <is>
          <t>KALMAR LÄN</t>
        </is>
      </c>
      <c r="E785" t="inlineStr">
        <is>
          <t>VÄSTERVIK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33208-2022</t>
        </is>
      </c>
      <c r="B786" s="1" t="n">
        <v>44785</v>
      </c>
      <c r="C786" s="1" t="n">
        <v>45633</v>
      </c>
      <c r="D786" t="inlineStr">
        <is>
          <t>KALMAR LÄN</t>
        </is>
      </c>
      <c r="E786" t="inlineStr">
        <is>
          <t>VÄSTERVIK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33210-2022</t>
        </is>
      </c>
      <c r="B787" s="1" t="n">
        <v>44785</v>
      </c>
      <c r="C787" s="1" t="n">
        <v>45633</v>
      </c>
      <c r="D787" t="inlineStr">
        <is>
          <t>KALMAR LÄN</t>
        </is>
      </c>
      <c r="E787" t="inlineStr">
        <is>
          <t>VÄSTERVIK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33207-2022</t>
        </is>
      </c>
      <c r="B788" s="1" t="n">
        <v>44785</v>
      </c>
      <c r="C788" s="1" t="n">
        <v>45633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33211-2022</t>
        </is>
      </c>
      <c r="B789" s="1" t="n">
        <v>44785</v>
      </c>
      <c r="C789" s="1" t="n">
        <v>45633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34241-2022</t>
        </is>
      </c>
      <c r="B790" s="1" t="n">
        <v>44791</v>
      </c>
      <c r="C790" s="1" t="n">
        <v>45633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34644-2022</t>
        </is>
      </c>
      <c r="B791" s="1" t="n">
        <v>44795</v>
      </c>
      <c r="C791" s="1" t="n">
        <v>45633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34675-2022</t>
        </is>
      </c>
      <c r="B792" s="1" t="n">
        <v>44795</v>
      </c>
      <c r="C792" s="1" t="n">
        <v>45633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34672-2022</t>
        </is>
      </c>
      <c r="B793" s="1" t="n">
        <v>44795</v>
      </c>
      <c r="C793" s="1" t="n">
        <v>45633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34836-2022</t>
        </is>
      </c>
      <c r="B794" s="1" t="n">
        <v>44796</v>
      </c>
      <c r="C794" s="1" t="n">
        <v>45633</v>
      </c>
      <c r="D794" t="inlineStr">
        <is>
          <t>KALMAR LÄN</t>
        </is>
      </c>
      <c r="E794" t="inlineStr">
        <is>
          <t>VÄSTERVIK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35417-2022</t>
        </is>
      </c>
      <c r="B795" s="1" t="n">
        <v>44798</v>
      </c>
      <c r="C795" s="1" t="n">
        <v>45633</v>
      </c>
      <c r="D795" t="inlineStr">
        <is>
          <t>KALMAR LÄN</t>
        </is>
      </c>
      <c r="E795" t="inlineStr">
        <is>
          <t>VÄSTERVIK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37936-2022</t>
        </is>
      </c>
      <c r="B796" s="1" t="n">
        <v>44811</v>
      </c>
      <c r="C796" s="1" t="n">
        <v>45633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38069-2022</t>
        </is>
      </c>
      <c r="B797" s="1" t="n">
        <v>44811</v>
      </c>
      <c r="C797" s="1" t="n">
        <v>45633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38399-2022</t>
        </is>
      </c>
      <c r="B798" s="1" t="n">
        <v>44812</v>
      </c>
      <c r="C798" s="1" t="n">
        <v>45633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40062-2022</t>
        </is>
      </c>
      <c r="B799" s="1" t="n">
        <v>44820</v>
      </c>
      <c r="C799" s="1" t="n">
        <v>45633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40050-2022</t>
        </is>
      </c>
      <c r="B800" s="1" t="n">
        <v>44820</v>
      </c>
      <c r="C800" s="1" t="n">
        <v>45633</v>
      </c>
      <c r="D800" t="inlineStr">
        <is>
          <t>KALMAR LÄN</t>
        </is>
      </c>
      <c r="E800" t="inlineStr">
        <is>
          <t>VÄSTERVIK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40925-2022</t>
        </is>
      </c>
      <c r="B801" s="1" t="n">
        <v>44825</v>
      </c>
      <c r="C801" s="1" t="n">
        <v>45633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40920-2022</t>
        </is>
      </c>
      <c r="B802" s="1" t="n">
        <v>44825</v>
      </c>
      <c r="C802" s="1" t="n">
        <v>45633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42122-2022</t>
        </is>
      </c>
      <c r="B803" s="1" t="n">
        <v>44830</v>
      </c>
      <c r="C803" s="1" t="n">
        <v>45633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42130-2022</t>
        </is>
      </c>
      <c r="B804" s="1" t="n">
        <v>44830</v>
      </c>
      <c r="C804" s="1" t="n">
        <v>45633</v>
      </c>
      <c r="D804" t="inlineStr">
        <is>
          <t>KALMAR LÄN</t>
        </is>
      </c>
      <c r="E804" t="inlineStr">
        <is>
          <t>VÄSTERVIK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42119-2022</t>
        </is>
      </c>
      <c r="B805" s="1" t="n">
        <v>44830</v>
      </c>
      <c r="C805" s="1" t="n">
        <v>45633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43965-2022</t>
        </is>
      </c>
      <c r="B806" s="1" t="n">
        <v>44838</v>
      </c>
      <c r="C806" s="1" t="n">
        <v>45633</v>
      </c>
      <c r="D806" t="inlineStr">
        <is>
          <t>KALMAR LÄN</t>
        </is>
      </c>
      <c r="E806" t="inlineStr">
        <is>
          <t>VÄSTERVIK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45721-2022</t>
        </is>
      </c>
      <c r="B807" s="1" t="n">
        <v>44845</v>
      </c>
      <c r="C807" s="1" t="n">
        <v>45633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HYPERLINK("https://klasma.github.io/Logging_0883/knärot/A 45721-2022 karta knärot.png", "A 45721-2022")</f>
        <v/>
      </c>
      <c r="V807">
        <f>HYPERLINK("https://klasma.github.io/Logging_0883/klagomål/A 45721-2022 FSC-klagomål.docx", "A 45721-2022")</f>
        <v/>
      </c>
      <c r="W807">
        <f>HYPERLINK("https://klasma.github.io/Logging_0883/klagomålsmail/A 45721-2022 FSC-klagomål mail.docx", "A 45721-2022")</f>
        <v/>
      </c>
      <c r="X807">
        <f>HYPERLINK("https://klasma.github.io/Logging_0883/tillsyn/A 45721-2022 tillsynsbegäran.docx", "A 45721-2022")</f>
        <v/>
      </c>
      <c r="Y807">
        <f>HYPERLINK("https://klasma.github.io/Logging_0883/tillsynsmail/A 45721-2022 tillsynsbegäran mail.docx", "A 45721-2022")</f>
        <v/>
      </c>
    </row>
    <row r="808" ht="15" customHeight="1">
      <c r="A808" t="inlineStr">
        <is>
          <t>A 45806-2022</t>
        </is>
      </c>
      <c r="B808" s="1" t="n">
        <v>44846</v>
      </c>
      <c r="C808" s="1" t="n">
        <v>45633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46018-2022</t>
        </is>
      </c>
      <c r="B809" s="1" t="n">
        <v>44846</v>
      </c>
      <c r="C809" s="1" t="n">
        <v>45633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46267-2022</t>
        </is>
      </c>
      <c r="B810" s="1" t="n">
        <v>44847</v>
      </c>
      <c r="C810" s="1" t="n">
        <v>45633</v>
      </c>
      <c r="D810" t="inlineStr">
        <is>
          <t>KALMAR LÄN</t>
        </is>
      </c>
      <c r="E810" t="inlineStr">
        <is>
          <t>VÄSTERVIK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46135-2022</t>
        </is>
      </c>
      <c r="B811" s="1" t="n">
        <v>44847</v>
      </c>
      <c r="C811" s="1" t="n">
        <v>45633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46354-2022</t>
        </is>
      </c>
      <c r="B812" s="1" t="n">
        <v>44848</v>
      </c>
      <c r="C812" s="1" t="n">
        <v>45633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46527-2022</t>
        </is>
      </c>
      <c r="B813" s="1" t="n">
        <v>44848</v>
      </c>
      <c r="C813" s="1" t="n">
        <v>45633</v>
      </c>
      <c r="D813" t="inlineStr">
        <is>
          <t>KALMAR LÄN</t>
        </is>
      </c>
      <c r="E813" t="inlineStr">
        <is>
          <t>VÄSTERVIK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46560-2022</t>
        </is>
      </c>
      <c r="B814" s="1" t="n">
        <v>44848</v>
      </c>
      <c r="C814" s="1" t="n">
        <v>45633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46561-2022</t>
        </is>
      </c>
      <c r="B815" s="1" t="n">
        <v>44848</v>
      </c>
      <c r="C815" s="1" t="n">
        <v>45633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46596-2022</t>
        </is>
      </c>
      <c r="B816" s="1" t="n">
        <v>44848</v>
      </c>
      <c r="C816" s="1" t="n">
        <v>45633</v>
      </c>
      <c r="D816" t="inlineStr">
        <is>
          <t>KALMAR LÄN</t>
        </is>
      </c>
      <c r="E816" t="inlineStr">
        <is>
          <t>VÄSTERVIK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46562-2022</t>
        </is>
      </c>
      <c r="B817" s="1" t="n">
        <v>44848</v>
      </c>
      <c r="C817" s="1" t="n">
        <v>45633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46781-2022</t>
        </is>
      </c>
      <c r="B818" s="1" t="n">
        <v>44851</v>
      </c>
      <c r="C818" s="1" t="n">
        <v>45633</v>
      </c>
      <c r="D818" t="inlineStr">
        <is>
          <t>KALMAR LÄN</t>
        </is>
      </c>
      <c r="E818" t="inlineStr">
        <is>
          <t>VÄSTERVIK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46783-2022</t>
        </is>
      </c>
      <c r="B819" s="1" t="n">
        <v>44851</v>
      </c>
      <c r="C819" s="1" t="n">
        <v>45633</v>
      </c>
      <c r="D819" t="inlineStr">
        <is>
          <t>KALMAR LÄN</t>
        </is>
      </c>
      <c r="E819" t="inlineStr">
        <is>
          <t>VÄSTERVIK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46790-2022</t>
        </is>
      </c>
      <c r="B820" s="1" t="n">
        <v>44851</v>
      </c>
      <c r="C820" s="1" t="n">
        <v>45633</v>
      </c>
      <c r="D820" t="inlineStr">
        <is>
          <t>KALMAR LÄN</t>
        </is>
      </c>
      <c r="E820" t="inlineStr">
        <is>
          <t>VÄSTERVIK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47323-2022</t>
        </is>
      </c>
      <c r="B821" s="1" t="n">
        <v>44853</v>
      </c>
      <c r="C821" s="1" t="n">
        <v>45633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47325-2022</t>
        </is>
      </c>
      <c r="B822" s="1" t="n">
        <v>44853</v>
      </c>
      <c r="C822" s="1" t="n">
        <v>45633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47705-2022</t>
        </is>
      </c>
      <c r="B823" s="1" t="n">
        <v>44854</v>
      </c>
      <c r="C823" s="1" t="n">
        <v>45633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49276-2022</t>
        </is>
      </c>
      <c r="B824" s="1" t="n">
        <v>44858</v>
      </c>
      <c r="C824" s="1" t="n">
        <v>45633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48553-2022</t>
        </is>
      </c>
      <c r="B825" s="1" t="n">
        <v>44859</v>
      </c>
      <c r="C825" s="1" t="n">
        <v>45633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48888-2022</t>
        </is>
      </c>
      <c r="B826" s="1" t="n">
        <v>44859</v>
      </c>
      <c r="C826" s="1" t="n">
        <v>45633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49205-2022</t>
        </is>
      </c>
      <c r="B827" s="1" t="n">
        <v>44860</v>
      </c>
      <c r="C827" s="1" t="n">
        <v>45633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50253-2022</t>
        </is>
      </c>
      <c r="B828" s="1" t="n">
        <v>44860</v>
      </c>
      <c r="C828" s="1" t="n">
        <v>45633</v>
      </c>
      <c r="D828" t="inlineStr">
        <is>
          <t>KALMAR LÄN</t>
        </is>
      </c>
      <c r="E828" t="inlineStr">
        <is>
          <t>VÄSTERVIK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49286-2022</t>
        </is>
      </c>
      <c r="B829" s="1" t="n">
        <v>44861</v>
      </c>
      <c r="C829" s="1" t="n">
        <v>45633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49377-2022</t>
        </is>
      </c>
      <c r="B830" s="1" t="n">
        <v>44861</v>
      </c>
      <c r="C830" s="1" t="n">
        <v>45633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49916-2022</t>
        </is>
      </c>
      <c r="B831" s="1" t="n">
        <v>44865</v>
      </c>
      <c r="C831" s="1" t="n">
        <v>45633</v>
      </c>
      <c r="D831" t="inlineStr">
        <is>
          <t>KALMAR LÄN</t>
        </is>
      </c>
      <c r="E831" t="inlineStr">
        <is>
          <t>VÄSTERVIK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50691-2022</t>
        </is>
      </c>
      <c r="B832" s="1" t="n">
        <v>44867</v>
      </c>
      <c r="C832" s="1" t="n">
        <v>45633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50911-2022</t>
        </is>
      </c>
      <c r="B833" s="1" t="n">
        <v>44867</v>
      </c>
      <c r="C833" s="1" t="n">
        <v>45633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50990-2022</t>
        </is>
      </c>
      <c r="B834" s="1" t="n">
        <v>44867</v>
      </c>
      <c r="C834" s="1" t="n">
        <v>45633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52289-2022</t>
        </is>
      </c>
      <c r="B835" s="1" t="n">
        <v>44873</v>
      </c>
      <c r="C835" s="1" t="n">
        <v>45633</v>
      </c>
      <c r="D835" t="inlineStr">
        <is>
          <t>KALMAR LÄN</t>
        </is>
      </c>
      <c r="E835" t="inlineStr">
        <is>
          <t>VÄSTERVIK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53108-2022</t>
        </is>
      </c>
      <c r="B836" s="1" t="n">
        <v>44876</v>
      </c>
      <c r="C836" s="1" t="n">
        <v>45633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53333-2022</t>
        </is>
      </c>
      <c r="B837" s="1" t="n">
        <v>44879</v>
      </c>
      <c r="C837" s="1" t="n">
        <v>45633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54190-2022</t>
        </is>
      </c>
      <c r="B838" s="1" t="n">
        <v>44881</v>
      </c>
      <c r="C838" s="1" t="n">
        <v>45633</v>
      </c>
      <c r="D838" t="inlineStr">
        <is>
          <t>KALMAR LÄN</t>
        </is>
      </c>
      <c r="E838" t="inlineStr">
        <is>
          <t>VÄSTERVIK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55382-2022</t>
        </is>
      </c>
      <c r="B839" s="1" t="n">
        <v>44887</v>
      </c>
      <c r="C839" s="1" t="n">
        <v>45633</v>
      </c>
      <c r="D839" t="inlineStr">
        <is>
          <t>KALMAR LÄN</t>
        </is>
      </c>
      <c r="E839" t="inlineStr">
        <is>
          <t>VÄSTERVIK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55828-2022</t>
        </is>
      </c>
      <c r="B840" s="1" t="n">
        <v>44888</v>
      </c>
      <c r="C840" s="1" t="n">
        <v>45633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55922-2022</t>
        </is>
      </c>
      <c r="B841" s="1" t="n">
        <v>44889</v>
      </c>
      <c r="C841" s="1" t="n">
        <v>45633</v>
      </c>
      <c r="D841" t="inlineStr">
        <is>
          <t>KALMAR LÄN</t>
        </is>
      </c>
      <c r="E841" t="inlineStr">
        <is>
          <t>VÄSTERVIK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56610-2022</t>
        </is>
      </c>
      <c r="B842" s="1" t="n">
        <v>44893</v>
      </c>
      <c r="C842" s="1" t="n">
        <v>45633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57023-2022</t>
        </is>
      </c>
      <c r="B843" s="1" t="n">
        <v>44895</v>
      </c>
      <c r="C843" s="1" t="n">
        <v>45633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58927-2022</t>
        </is>
      </c>
      <c r="B844" s="1" t="n">
        <v>44896</v>
      </c>
      <c r="C844" s="1" t="n">
        <v>45633</v>
      </c>
      <c r="D844" t="inlineStr">
        <is>
          <t>KALMAR LÄN</t>
        </is>
      </c>
      <c r="E844" t="inlineStr">
        <is>
          <t>VÄSTERVIK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57997-2022</t>
        </is>
      </c>
      <c r="B845" s="1" t="n">
        <v>44900</v>
      </c>
      <c r="C845" s="1" t="n">
        <v>45633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58217-2022</t>
        </is>
      </c>
      <c r="B846" s="1" t="n">
        <v>44901</v>
      </c>
      <c r="C846" s="1" t="n">
        <v>45633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58216-2022</t>
        </is>
      </c>
      <c r="B847" s="1" t="n">
        <v>44901</v>
      </c>
      <c r="C847" s="1" t="n">
        <v>45633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58209-2022</t>
        </is>
      </c>
      <c r="B848" s="1" t="n">
        <v>44901</v>
      </c>
      <c r="C848" s="1" t="n">
        <v>45633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58214-2022</t>
        </is>
      </c>
      <c r="B849" s="1" t="n">
        <v>44901</v>
      </c>
      <c r="C849" s="1" t="n">
        <v>45633</v>
      </c>
      <c r="D849" t="inlineStr">
        <is>
          <t>KALMAR LÄN</t>
        </is>
      </c>
      <c r="E849" t="inlineStr">
        <is>
          <t>VÄSTERVIK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58707-2022</t>
        </is>
      </c>
      <c r="B850" s="1" t="n">
        <v>44902</v>
      </c>
      <c r="C850" s="1" t="n">
        <v>45633</v>
      </c>
      <c r="D850" t="inlineStr">
        <is>
          <t>KALMAR LÄN</t>
        </is>
      </c>
      <c r="E850" t="inlineStr">
        <is>
          <t>VÄSTERVIK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58826-2022</t>
        </is>
      </c>
      <c r="B851" s="1" t="n">
        <v>44903</v>
      </c>
      <c r="C851" s="1" t="n">
        <v>45633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59212-2022</t>
        </is>
      </c>
      <c r="B852" s="1" t="n">
        <v>44904</v>
      </c>
      <c r="C852" s="1" t="n">
        <v>45633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59227-2022</t>
        </is>
      </c>
      <c r="B853" s="1" t="n">
        <v>44904</v>
      </c>
      <c r="C853" s="1" t="n">
        <v>45633</v>
      </c>
      <c r="D853" t="inlineStr">
        <is>
          <t>KALMAR LÄN</t>
        </is>
      </c>
      <c r="E853" t="inlineStr">
        <is>
          <t>VÄSTERVIK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59210-2022</t>
        </is>
      </c>
      <c r="B854" s="1" t="n">
        <v>44904</v>
      </c>
      <c r="C854" s="1" t="n">
        <v>45633</v>
      </c>
      <c r="D854" t="inlineStr">
        <is>
          <t>KALMAR LÄN</t>
        </is>
      </c>
      <c r="E854" t="inlineStr">
        <is>
          <t>VÄSTERVIK</t>
        </is>
      </c>
      <c r="G854" t="n">
        <v>21.2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59221-2022</t>
        </is>
      </c>
      <c r="B855" s="1" t="n">
        <v>44904</v>
      </c>
      <c r="C855" s="1" t="n">
        <v>45633</v>
      </c>
      <c r="D855" t="inlineStr">
        <is>
          <t>KALMAR LÄN</t>
        </is>
      </c>
      <c r="E855" t="inlineStr">
        <is>
          <t>VÄSTERVIK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59156-2022</t>
        </is>
      </c>
      <c r="B856" s="1" t="n">
        <v>44904</v>
      </c>
      <c r="C856" s="1" t="n">
        <v>45633</v>
      </c>
      <c r="D856" t="inlineStr">
        <is>
          <t>KALMAR LÄN</t>
        </is>
      </c>
      <c r="E856" t="inlineStr">
        <is>
          <t>VÄSTERVIK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59170-2022</t>
        </is>
      </c>
      <c r="B857" s="1" t="n">
        <v>44904</v>
      </c>
      <c r="C857" s="1" t="n">
        <v>45633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59202-2022</t>
        </is>
      </c>
      <c r="B858" s="1" t="n">
        <v>44904</v>
      </c>
      <c r="C858" s="1" t="n">
        <v>45633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59220-2022</t>
        </is>
      </c>
      <c r="B859" s="1" t="n">
        <v>44904</v>
      </c>
      <c r="C859" s="1" t="n">
        <v>45633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59498-2022</t>
        </is>
      </c>
      <c r="B860" s="1" t="n">
        <v>44907</v>
      </c>
      <c r="C860" s="1" t="n">
        <v>45633</v>
      </c>
      <c r="D860" t="inlineStr">
        <is>
          <t>KALMAR LÄN</t>
        </is>
      </c>
      <c r="E860" t="inlineStr">
        <is>
          <t>VÄSTERVIK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59675-2022</t>
        </is>
      </c>
      <c r="B861" s="1" t="n">
        <v>44908</v>
      </c>
      <c r="C861" s="1" t="n">
        <v>45633</v>
      </c>
      <c r="D861" t="inlineStr">
        <is>
          <t>KALMAR LÄN</t>
        </is>
      </c>
      <c r="E861" t="inlineStr">
        <is>
          <t>VÄSTERVIK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59871-2022</t>
        </is>
      </c>
      <c r="B862" s="1" t="n">
        <v>44908</v>
      </c>
      <c r="C862" s="1" t="n">
        <v>45633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60263-2022</t>
        </is>
      </c>
      <c r="B863" s="1" t="n">
        <v>44910</v>
      </c>
      <c r="C863" s="1" t="n">
        <v>45633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60402-2022</t>
        </is>
      </c>
      <c r="B864" s="1" t="n">
        <v>44910</v>
      </c>
      <c r="C864" s="1" t="n">
        <v>45633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60409-2022</t>
        </is>
      </c>
      <c r="B865" s="1" t="n">
        <v>44910</v>
      </c>
      <c r="C865" s="1" t="n">
        <v>45633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61529-2022</t>
        </is>
      </c>
      <c r="B866" s="1" t="n">
        <v>44910</v>
      </c>
      <c r="C866" s="1" t="n">
        <v>45633</v>
      </c>
      <c r="D866" t="inlineStr">
        <is>
          <t>KALMAR LÄN</t>
        </is>
      </c>
      <c r="E866" t="inlineStr">
        <is>
          <t>VÄSTERVIK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60710-2022</t>
        </is>
      </c>
      <c r="B867" s="1" t="n">
        <v>44912</v>
      </c>
      <c r="C867" s="1" t="n">
        <v>45633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60713-2022</t>
        </is>
      </c>
      <c r="B868" s="1" t="n">
        <v>44912</v>
      </c>
      <c r="C868" s="1" t="n">
        <v>45633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60711-2022</t>
        </is>
      </c>
      <c r="B869" s="1" t="n">
        <v>44912</v>
      </c>
      <c r="C869" s="1" t="n">
        <v>45633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61580-2022</t>
        </is>
      </c>
      <c r="B870" s="1" t="n">
        <v>44916</v>
      </c>
      <c r="C870" s="1" t="n">
        <v>45633</v>
      </c>
      <c r="D870" t="inlineStr">
        <is>
          <t>KALMAR LÄN</t>
        </is>
      </c>
      <c r="E870" t="inlineStr">
        <is>
          <t>VÄSTERVIK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61649-2022</t>
        </is>
      </c>
      <c r="B871" s="1" t="n">
        <v>44916</v>
      </c>
      <c r="C871" s="1" t="n">
        <v>45633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62005-2022</t>
        </is>
      </c>
      <c r="B872" s="1" t="n">
        <v>44918</v>
      </c>
      <c r="C872" s="1" t="n">
        <v>45633</v>
      </c>
      <c r="D872" t="inlineStr">
        <is>
          <t>KALMAR LÄN</t>
        </is>
      </c>
      <c r="E872" t="inlineStr">
        <is>
          <t>VÄSTERVIK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62306-2022</t>
        </is>
      </c>
      <c r="B873" s="1" t="n">
        <v>44923</v>
      </c>
      <c r="C873" s="1" t="n">
        <v>45633</v>
      </c>
      <c r="D873" t="inlineStr">
        <is>
          <t>KALMAR LÄN</t>
        </is>
      </c>
      <c r="E873" t="inlineStr">
        <is>
          <t>VÄSTERVIK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62422-2022</t>
        </is>
      </c>
      <c r="B874" s="1" t="n">
        <v>44924</v>
      </c>
      <c r="C874" s="1" t="n">
        <v>45633</v>
      </c>
      <c r="D874" t="inlineStr">
        <is>
          <t>KALMAR LÄN</t>
        </is>
      </c>
      <c r="E874" t="inlineStr">
        <is>
          <t>VÄSTERVIK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65-2023</t>
        </is>
      </c>
      <c r="B875" s="1" t="n">
        <v>44928</v>
      </c>
      <c r="C875" s="1" t="n">
        <v>45633</v>
      </c>
      <c r="D875" t="inlineStr">
        <is>
          <t>KALMAR LÄN</t>
        </is>
      </c>
      <c r="E875" t="inlineStr">
        <is>
          <t>VÄSTERVIK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352-2023</t>
        </is>
      </c>
      <c r="B876" s="1" t="n">
        <v>44929</v>
      </c>
      <c r="C876" s="1" t="n">
        <v>45633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351-2023</t>
        </is>
      </c>
      <c r="B877" s="1" t="n">
        <v>44929</v>
      </c>
      <c r="C877" s="1" t="n">
        <v>45633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562-2023</t>
        </is>
      </c>
      <c r="B878" s="1" t="n">
        <v>44930</v>
      </c>
      <c r="C878" s="1" t="n">
        <v>45633</v>
      </c>
      <c r="D878" t="inlineStr">
        <is>
          <t>KALMAR LÄN</t>
        </is>
      </c>
      <c r="E878" t="inlineStr">
        <is>
          <t>VÄSTERVIK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740-2023</t>
        </is>
      </c>
      <c r="B879" s="1" t="n">
        <v>44931</v>
      </c>
      <c r="C879" s="1" t="n">
        <v>45633</v>
      </c>
      <c r="D879" t="inlineStr">
        <is>
          <t>KALMAR LÄN</t>
        </is>
      </c>
      <c r="E879" t="inlineStr">
        <is>
          <t>VÄSTERVIK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792-2023</t>
        </is>
      </c>
      <c r="B880" s="1" t="n">
        <v>44931</v>
      </c>
      <c r="C880" s="1" t="n">
        <v>45633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808-2023</t>
        </is>
      </c>
      <c r="B881" s="1" t="n">
        <v>44931</v>
      </c>
      <c r="C881" s="1" t="n">
        <v>45633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843-2023</t>
        </is>
      </c>
      <c r="B882" s="1" t="n">
        <v>44931</v>
      </c>
      <c r="C882" s="1" t="n">
        <v>45633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1079-2023</t>
        </is>
      </c>
      <c r="B883" s="1" t="n">
        <v>44935</v>
      </c>
      <c r="C883" s="1" t="n">
        <v>45633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1699-2023</t>
        </is>
      </c>
      <c r="B884" s="1" t="n">
        <v>44935</v>
      </c>
      <c r="C884" s="1" t="n">
        <v>45633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1568-2023</t>
        </is>
      </c>
      <c r="B885" s="1" t="n">
        <v>44937</v>
      </c>
      <c r="C885" s="1" t="n">
        <v>45633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1798-2023</t>
        </is>
      </c>
      <c r="B886" s="1" t="n">
        <v>44938</v>
      </c>
      <c r="C886" s="1" t="n">
        <v>45633</v>
      </c>
      <c r="D886" t="inlineStr">
        <is>
          <t>KALMAR LÄN</t>
        </is>
      </c>
      <c r="E886" t="inlineStr">
        <is>
          <t>VÄSTERVIK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1961-2023</t>
        </is>
      </c>
      <c r="B887" s="1" t="n">
        <v>44939</v>
      </c>
      <c r="C887" s="1" t="n">
        <v>45633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2098-2023</t>
        </is>
      </c>
      <c r="B888" s="1" t="n">
        <v>44939</v>
      </c>
      <c r="C888" s="1" t="n">
        <v>45633</v>
      </c>
      <c r="D888" t="inlineStr">
        <is>
          <t>KALMAR LÄN</t>
        </is>
      </c>
      <c r="E888" t="inlineStr">
        <is>
          <t>VÄSTERVIK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2314-2023</t>
        </is>
      </c>
      <c r="B889" s="1" t="n">
        <v>44942</v>
      </c>
      <c r="C889" s="1" t="n">
        <v>45633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2738-2023</t>
        </is>
      </c>
      <c r="B890" s="1" t="n">
        <v>44944</v>
      </c>
      <c r="C890" s="1" t="n">
        <v>45633</v>
      </c>
      <c r="D890" t="inlineStr">
        <is>
          <t>KALMAR LÄN</t>
        </is>
      </c>
      <c r="E890" t="inlineStr">
        <is>
          <t>VÄSTERVIK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2741-2023</t>
        </is>
      </c>
      <c r="B891" s="1" t="n">
        <v>44944</v>
      </c>
      <c r="C891" s="1" t="n">
        <v>45633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2746-2023</t>
        </is>
      </c>
      <c r="B892" s="1" t="n">
        <v>44944</v>
      </c>
      <c r="C892" s="1" t="n">
        <v>45633</v>
      </c>
      <c r="D892" t="inlineStr">
        <is>
          <t>KALMAR LÄN</t>
        </is>
      </c>
      <c r="E892" t="inlineStr">
        <is>
          <t>VÄSTERVIK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3075-2023</t>
        </is>
      </c>
      <c r="B893" s="1" t="n">
        <v>44946</v>
      </c>
      <c r="C893" s="1" t="n">
        <v>45633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3187-2023</t>
        </is>
      </c>
      <c r="B894" s="1" t="n">
        <v>44946</v>
      </c>
      <c r="C894" s="1" t="n">
        <v>45633</v>
      </c>
      <c r="D894" t="inlineStr">
        <is>
          <t>KALMAR LÄN</t>
        </is>
      </c>
      <c r="E894" t="inlineStr">
        <is>
          <t>VÄSTERVIK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3185-2023</t>
        </is>
      </c>
      <c r="B895" s="1" t="n">
        <v>44946</v>
      </c>
      <c r="C895" s="1" t="n">
        <v>45633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3190-2023</t>
        </is>
      </c>
      <c r="B896" s="1" t="n">
        <v>44946</v>
      </c>
      <c r="C896" s="1" t="n">
        <v>45633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3867-2023</t>
        </is>
      </c>
      <c r="B897" s="1" t="n">
        <v>44951</v>
      </c>
      <c r="C897" s="1" t="n">
        <v>45633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4508-2023</t>
        </is>
      </c>
      <c r="B898" s="1" t="n">
        <v>44956</v>
      </c>
      <c r="C898" s="1" t="n">
        <v>45633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4624-2023</t>
        </is>
      </c>
      <c r="B899" s="1" t="n">
        <v>44956</v>
      </c>
      <c r="C899" s="1" t="n">
        <v>45633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4579-2023</t>
        </is>
      </c>
      <c r="B900" s="1" t="n">
        <v>44956</v>
      </c>
      <c r="C900" s="1" t="n">
        <v>45633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4583-2023</t>
        </is>
      </c>
      <c r="B901" s="1" t="n">
        <v>44956</v>
      </c>
      <c r="C901" s="1" t="n">
        <v>45633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4951-2023</t>
        </is>
      </c>
      <c r="B902" s="1" t="n">
        <v>44958</v>
      </c>
      <c r="C902" s="1" t="n">
        <v>45633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5684-2023</t>
        </is>
      </c>
      <c r="B903" s="1" t="n">
        <v>44960</v>
      </c>
      <c r="C903" s="1" t="n">
        <v>45633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6346-2023</t>
        </is>
      </c>
      <c r="B904" s="1" t="n">
        <v>44960</v>
      </c>
      <c r="C904" s="1" t="n">
        <v>45633</v>
      </c>
      <c r="D904" t="inlineStr">
        <is>
          <t>KALMAR LÄN</t>
        </is>
      </c>
      <c r="E904" t="inlineStr">
        <is>
          <t>VÄSTERVIK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5775-2023</t>
        </is>
      </c>
      <c r="B905" s="1" t="n">
        <v>44963</v>
      </c>
      <c r="C905" s="1" t="n">
        <v>45633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5769-2023</t>
        </is>
      </c>
      <c r="B906" s="1" t="n">
        <v>44963</v>
      </c>
      <c r="C906" s="1" t="n">
        <v>45633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5774-2023</t>
        </is>
      </c>
      <c r="B907" s="1" t="n">
        <v>44963</v>
      </c>
      <c r="C907" s="1" t="n">
        <v>45633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6042-2023</t>
        </is>
      </c>
      <c r="B908" s="1" t="n">
        <v>44964</v>
      </c>
      <c r="C908" s="1" t="n">
        <v>45633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5982-2023</t>
        </is>
      </c>
      <c r="B909" s="1" t="n">
        <v>44964</v>
      </c>
      <c r="C909" s="1" t="n">
        <v>45633</v>
      </c>
      <c r="D909" t="inlineStr">
        <is>
          <t>KALMAR LÄN</t>
        </is>
      </c>
      <c r="E909" t="inlineStr">
        <is>
          <t>VÄSTERVIK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6126-2023</t>
        </is>
      </c>
      <c r="B910" s="1" t="n">
        <v>44964</v>
      </c>
      <c r="C910" s="1" t="n">
        <v>45633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6319-2023</t>
        </is>
      </c>
      <c r="B911" s="1" t="n">
        <v>44965</v>
      </c>
      <c r="C911" s="1" t="n">
        <v>45633</v>
      </c>
      <c r="D911" t="inlineStr">
        <is>
          <t>KALMAR LÄN</t>
        </is>
      </c>
      <c r="E911" t="inlineStr">
        <is>
          <t>VÄSTERVIK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7126-2023</t>
        </is>
      </c>
      <c r="B912" s="1" t="n">
        <v>44970</v>
      </c>
      <c r="C912" s="1" t="n">
        <v>45633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7080-2023</t>
        </is>
      </c>
      <c r="B913" s="1" t="n">
        <v>44970</v>
      </c>
      <c r="C913" s="1" t="n">
        <v>45633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7098-2023</t>
        </is>
      </c>
      <c r="B914" s="1" t="n">
        <v>44970</v>
      </c>
      <c r="C914" s="1" t="n">
        <v>45633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7255-2023</t>
        </is>
      </c>
      <c r="B915" s="1" t="n">
        <v>44970</v>
      </c>
      <c r="C915" s="1" t="n">
        <v>45633</v>
      </c>
      <c r="D915" t="inlineStr">
        <is>
          <t>KALMAR LÄN</t>
        </is>
      </c>
      <c r="E915" t="inlineStr">
        <is>
          <t>VÄSTERVIK</t>
        </is>
      </c>
      <c r="F915" t="inlineStr">
        <is>
          <t>Naturvårdsverket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HYPERLINK("https://klasma.github.io/Logging_0883/knärot/A 7255-2023 karta knärot.png", "A 7255-2023")</f>
        <v/>
      </c>
      <c r="V915">
        <f>HYPERLINK("https://klasma.github.io/Logging_0883/klagomål/A 7255-2023 FSC-klagomål.docx", "A 7255-2023")</f>
        <v/>
      </c>
      <c r="W915">
        <f>HYPERLINK("https://klasma.github.io/Logging_0883/klagomålsmail/A 7255-2023 FSC-klagomål mail.docx", "A 7255-2023")</f>
        <v/>
      </c>
      <c r="X915">
        <f>HYPERLINK("https://klasma.github.io/Logging_0883/tillsyn/A 7255-2023 tillsynsbegäran.docx", "A 7255-2023")</f>
        <v/>
      </c>
      <c r="Y915">
        <f>HYPERLINK("https://klasma.github.io/Logging_0883/tillsynsmail/A 7255-2023 tillsynsbegäran mail.docx", "A 7255-2023")</f>
        <v/>
      </c>
    </row>
    <row r="916" ht="15" customHeight="1">
      <c r="A916" t="inlineStr">
        <is>
          <t>A 7100-2023</t>
        </is>
      </c>
      <c r="B916" s="1" t="n">
        <v>44970</v>
      </c>
      <c r="C916" s="1" t="n">
        <v>45633</v>
      </c>
      <c r="D916" t="inlineStr">
        <is>
          <t>KALMAR LÄN</t>
        </is>
      </c>
      <c r="E916" t="inlineStr">
        <is>
          <t>VÄSTERVIK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7360-2023</t>
        </is>
      </c>
      <c r="B917" s="1" t="n">
        <v>44971</v>
      </c>
      <c r="C917" s="1" t="n">
        <v>45633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7779-2023</t>
        </is>
      </c>
      <c r="B918" s="1" t="n">
        <v>44973</v>
      </c>
      <c r="C918" s="1" t="n">
        <v>45633</v>
      </c>
      <c r="D918" t="inlineStr">
        <is>
          <t>KALMAR LÄN</t>
        </is>
      </c>
      <c r="E918" t="inlineStr">
        <is>
          <t>VÄSTERVIK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8005-2023</t>
        </is>
      </c>
      <c r="B919" s="1" t="n">
        <v>44973</v>
      </c>
      <c r="C919" s="1" t="n">
        <v>45633</v>
      </c>
      <c r="D919" t="inlineStr">
        <is>
          <t>KALMAR LÄN</t>
        </is>
      </c>
      <c r="E919" t="inlineStr">
        <is>
          <t>VÄSTERVIK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7925-2023</t>
        </is>
      </c>
      <c r="B920" s="1" t="n">
        <v>44973</v>
      </c>
      <c r="C920" s="1" t="n">
        <v>45633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7934-2023</t>
        </is>
      </c>
      <c r="B921" s="1" t="n">
        <v>44973</v>
      </c>
      <c r="C921" s="1" t="n">
        <v>45633</v>
      </c>
      <c r="D921" t="inlineStr">
        <is>
          <t>KALMAR LÄN</t>
        </is>
      </c>
      <c r="E921" t="inlineStr">
        <is>
          <t>VÄSTERVIK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7938-2023</t>
        </is>
      </c>
      <c r="B922" s="1" t="n">
        <v>44973</v>
      </c>
      <c r="C922" s="1" t="n">
        <v>45633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8014-2023</t>
        </is>
      </c>
      <c r="B923" s="1" t="n">
        <v>44973</v>
      </c>
      <c r="C923" s="1" t="n">
        <v>45633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8007-2023</t>
        </is>
      </c>
      <c r="B924" s="1" t="n">
        <v>44973</v>
      </c>
      <c r="C924" s="1" t="n">
        <v>45633</v>
      </c>
      <c r="D924" t="inlineStr">
        <is>
          <t>KALMAR LÄN</t>
        </is>
      </c>
      <c r="E924" t="inlineStr">
        <is>
          <t>VÄSTERVIK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8283-2023</t>
        </is>
      </c>
      <c r="B925" s="1" t="n">
        <v>44974</v>
      </c>
      <c r="C925" s="1" t="n">
        <v>45633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14.5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8289-2023</t>
        </is>
      </c>
      <c r="B926" s="1" t="n">
        <v>44974</v>
      </c>
      <c r="C926" s="1" t="n">
        <v>45633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8456-2023</t>
        </is>
      </c>
      <c r="B927" s="1" t="n">
        <v>44977</v>
      </c>
      <c r="C927" s="1" t="n">
        <v>45633</v>
      </c>
      <c r="D927" t="inlineStr">
        <is>
          <t>KALMAR LÄN</t>
        </is>
      </c>
      <c r="E927" t="inlineStr">
        <is>
          <t>VÄSTERVIK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8382-2023</t>
        </is>
      </c>
      <c r="B928" s="1" t="n">
        <v>44977</v>
      </c>
      <c r="C928" s="1" t="n">
        <v>45633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8440-2023</t>
        </is>
      </c>
      <c r="B929" s="1" t="n">
        <v>44977</v>
      </c>
      <c r="C929" s="1" t="n">
        <v>45633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8593-2023</t>
        </is>
      </c>
      <c r="B930" s="1" t="n">
        <v>44977</v>
      </c>
      <c r="C930" s="1" t="n">
        <v>45633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8597-2023</t>
        </is>
      </c>
      <c r="B931" s="1" t="n">
        <v>44977</v>
      </c>
      <c r="C931" s="1" t="n">
        <v>45633</v>
      </c>
      <c r="D931" t="inlineStr">
        <is>
          <t>KALMAR LÄN</t>
        </is>
      </c>
      <c r="E931" t="inlineStr">
        <is>
          <t>VÄSTERVIK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8594-2023</t>
        </is>
      </c>
      <c r="B932" s="1" t="n">
        <v>44977</v>
      </c>
      <c r="C932" s="1" t="n">
        <v>45633</v>
      </c>
      <c r="D932" t="inlineStr">
        <is>
          <t>KALMAR LÄN</t>
        </is>
      </c>
      <c r="E932" t="inlineStr">
        <is>
          <t>VÄSTERVIK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8513-2023</t>
        </is>
      </c>
      <c r="B933" s="1" t="n">
        <v>44977</v>
      </c>
      <c r="C933" s="1" t="n">
        <v>45633</v>
      </c>
      <c r="D933" t="inlineStr">
        <is>
          <t>KALMAR LÄN</t>
        </is>
      </c>
      <c r="E933" t="inlineStr">
        <is>
          <t>VÄSTERVIK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8561-2023</t>
        </is>
      </c>
      <c r="B934" s="1" t="n">
        <v>44977</v>
      </c>
      <c r="C934" s="1" t="n">
        <v>45633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8896-2023</t>
        </is>
      </c>
      <c r="B935" s="1" t="n">
        <v>44979</v>
      </c>
      <c r="C935" s="1" t="n">
        <v>45633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9037-2023</t>
        </is>
      </c>
      <c r="B936" s="1" t="n">
        <v>44979</v>
      </c>
      <c r="C936" s="1" t="n">
        <v>45633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9111-2023</t>
        </is>
      </c>
      <c r="B937" s="1" t="n">
        <v>44980</v>
      </c>
      <c r="C937" s="1" t="n">
        <v>45633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9042-2023</t>
        </is>
      </c>
      <c r="B938" s="1" t="n">
        <v>44979</v>
      </c>
      <c r="C938" s="1" t="n">
        <v>45633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9112-2023</t>
        </is>
      </c>
      <c r="B939" s="1" t="n">
        <v>44979</v>
      </c>
      <c r="C939" s="1" t="n">
        <v>45633</v>
      </c>
      <c r="D939" t="inlineStr">
        <is>
          <t>KALMAR LÄN</t>
        </is>
      </c>
      <c r="E939" t="inlineStr">
        <is>
          <t>VÄSTERVIK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9110-2023</t>
        </is>
      </c>
      <c r="B940" s="1" t="n">
        <v>44979</v>
      </c>
      <c r="C940" s="1" t="n">
        <v>45633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9223-2023</t>
        </is>
      </c>
      <c r="B941" s="1" t="n">
        <v>44980</v>
      </c>
      <c r="C941" s="1" t="n">
        <v>45633</v>
      </c>
      <c r="D941" t="inlineStr">
        <is>
          <t>KALMAR LÄN</t>
        </is>
      </c>
      <c r="E941" t="inlineStr">
        <is>
          <t>VÄSTERVIK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9222-2023</t>
        </is>
      </c>
      <c r="B942" s="1" t="n">
        <v>44980</v>
      </c>
      <c r="C942" s="1" t="n">
        <v>45633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9220-2023</t>
        </is>
      </c>
      <c r="B943" s="1" t="n">
        <v>44980</v>
      </c>
      <c r="C943" s="1" t="n">
        <v>45633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9631-2023</t>
        </is>
      </c>
      <c r="B944" s="1" t="n">
        <v>44984</v>
      </c>
      <c r="C944" s="1" t="n">
        <v>45633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9771-2023</t>
        </is>
      </c>
      <c r="B945" s="1" t="n">
        <v>44984</v>
      </c>
      <c r="C945" s="1" t="n">
        <v>45633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9770-2023</t>
        </is>
      </c>
      <c r="B946" s="1" t="n">
        <v>44984</v>
      </c>
      <c r="C946" s="1" t="n">
        <v>45633</v>
      </c>
      <c r="D946" t="inlineStr">
        <is>
          <t>KALMAR LÄN</t>
        </is>
      </c>
      <c r="E946" t="inlineStr">
        <is>
          <t>VÄSTERVIK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9792-2023</t>
        </is>
      </c>
      <c r="B947" s="1" t="n">
        <v>44984</v>
      </c>
      <c r="C947" s="1" t="n">
        <v>45633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10419-2023</t>
        </is>
      </c>
      <c r="B948" s="1" t="n">
        <v>44987</v>
      </c>
      <c r="C948" s="1" t="n">
        <v>45633</v>
      </c>
      <c r="D948" t="inlineStr">
        <is>
          <t>KALMAR LÄN</t>
        </is>
      </c>
      <c r="E948" t="inlineStr">
        <is>
          <t>VÄSTERVIK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10421-2023</t>
        </is>
      </c>
      <c r="B949" s="1" t="n">
        <v>44987</v>
      </c>
      <c r="C949" s="1" t="n">
        <v>45633</v>
      </c>
      <c r="D949" t="inlineStr">
        <is>
          <t>KALMAR LÄN</t>
        </is>
      </c>
      <c r="E949" t="inlineStr">
        <is>
          <t>VÄSTERVIK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10665-2023</t>
        </is>
      </c>
      <c r="B950" s="1" t="n">
        <v>44988</v>
      </c>
      <c r="C950" s="1" t="n">
        <v>45633</v>
      </c>
      <c r="D950" t="inlineStr">
        <is>
          <t>KALMAR LÄN</t>
        </is>
      </c>
      <c r="E950" t="inlineStr">
        <is>
          <t>VÄSTERVIK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10725-2023</t>
        </is>
      </c>
      <c r="B951" s="1" t="n">
        <v>44988</v>
      </c>
      <c r="C951" s="1" t="n">
        <v>45633</v>
      </c>
      <c r="D951" t="inlineStr">
        <is>
          <t>KALMAR LÄN</t>
        </is>
      </c>
      <c r="E951" t="inlineStr">
        <is>
          <t>VÄSTERVIK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10807-2023</t>
        </is>
      </c>
      <c r="B952" s="1" t="n">
        <v>44989</v>
      </c>
      <c r="C952" s="1" t="n">
        <v>45633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10801-2023</t>
        </is>
      </c>
      <c r="B953" s="1" t="n">
        <v>44989</v>
      </c>
      <c r="C953" s="1" t="n">
        <v>45633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11210-2023</t>
        </is>
      </c>
      <c r="B954" s="1" t="n">
        <v>44992</v>
      </c>
      <c r="C954" s="1" t="n">
        <v>45633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11276-2023</t>
        </is>
      </c>
      <c r="B955" s="1" t="n">
        <v>44992</v>
      </c>
      <c r="C955" s="1" t="n">
        <v>45633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11577-2023</t>
        </is>
      </c>
      <c r="B956" s="1" t="n">
        <v>44994</v>
      </c>
      <c r="C956" s="1" t="n">
        <v>45633</v>
      </c>
      <c r="D956" t="inlineStr">
        <is>
          <t>KALMAR LÄN</t>
        </is>
      </c>
      <c r="E956" t="inlineStr">
        <is>
          <t>VÄSTERVIK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11583-2023</t>
        </is>
      </c>
      <c r="B957" s="1" t="n">
        <v>44994</v>
      </c>
      <c r="C957" s="1" t="n">
        <v>45633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11579-2023</t>
        </is>
      </c>
      <c r="B958" s="1" t="n">
        <v>44994</v>
      </c>
      <c r="C958" s="1" t="n">
        <v>45633</v>
      </c>
      <c r="D958" t="inlineStr">
        <is>
          <t>KALMAR LÄN</t>
        </is>
      </c>
      <c r="E958" t="inlineStr">
        <is>
          <t>VÄSTERVIK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11584-2023</t>
        </is>
      </c>
      <c r="B959" s="1" t="n">
        <v>44994</v>
      </c>
      <c r="C959" s="1" t="n">
        <v>45633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11586-2023</t>
        </is>
      </c>
      <c r="B960" s="1" t="n">
        <v>44994</v>
      </c>
      <c r="C960" s="1" t="n">
        <v>45633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11804-2023</t>
        </is>
      </c>
      <c r="B961" s="1" t="n">
        <v>44994</v>
      </c>
      <c r="C961" s="1" t="n">
        <v>45633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11727-2023</t>
        </is>
      </c>
      <c r="B962" s="1" t="n">
        <v>44994</v>
      </c>
      <c r="C962" s="1" t="n">
        <v>45633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11741-2023</t>
        </is>
      </c>
      <c r="B963" s="1" t="n">
        <v>44994</v>
      </c>
      <c r="C963" s="1" t="n">
        <v>45633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11730-2023</t>
        </is>
      </c>
      <c r="B964" s="1" t="n">
        <v>44994</v>
      </c>
      <c r="C964" s="1" t="n">
        <v>45633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12504-2023</t>
        </is>
      </c>
      <c r="B965" s="1" t="n">
        <v>44999</v>
      </c>
      <c r="C965" s="1" t="n">
        <v>45633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12595-2023</t>
        </is>
      </c>
      <c r="B966" s="1" t="n">
        <v>45000</v>
      </c>
      <c r="C966" s="1" t="n">
        <v>45633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13275-2023</t>
        </is>
      </c>
      <c r="B967" s="1" t="n">
        <v>45003</v>
      </c>
      <c r="C967" s="1" t="n">
        <v>45633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HYPERLINK("https://klasma.github.io/Logging_0883/knärot/A 13275-2023 karta knärot.png", "A 13275-2023")</f>
        <v/>
      </c>
      <c r="V967">
        <f>HYPERLINK("https://klasma.github.io/Logging_0883/klagomål/A 13275-2023 FSC-klagomål.docx", "A 13275-2023")</f>
        <v/>
      </c>
      <c r="W967">
        <f>HYPERLINK("https://klasma.github.io/Logging_0883/klagomålsmail/A 13275-2023 FSC-klagomål mail.docx", "A 13275-2023")</f>
        <v/>
      </c>
      <c r="X967">
        <f>HYPERLINK("https://klasma.github.io/Logging_0883/tillsyn/A 13275-2023 tillsynsbegäran.docx", "A 13275-2023")</f>
        <v/>
      </c>
      <c r="Y967">
        <f>HYPERLINK("https://klasma.github.io/Logging_0883/tillsynsmail/A 13275-2023 tillsynsbegäran mail.docx", "A 13275-2023")</f>
        <v/>
      </c>
    </row>
    <row r="968" ht="15" customHeight="1">
      <c r="A968" t="inlineStr">
        <is>
          <t>A 13761-2023</t>
        </is>
      </c>
      <c r="B968" s="1" t="n">
        <v>45007</v>
      </c>
      <c r="C968" s="1" t="n">
        <v>45633</v>
      </c>
      <c r="D968" t="inlineStr">
        <is>
          <t>KALMAR LÄN</t>
        </is>
      </c>
      <c r="E968" t="inlineStr">
        <is>
          <t>VÄSTERVIK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13770-2023</t>
        </is>
      </c>
      <c r="B969" s="1" t="n">
        <v>45007</v>
      </c>
      <c r="C969" s="1" t="n">
        <v>45633</v>
      </c>
      <c r="D969" t="inlineStr">
        <is>
          <t>KALMAR LÄN</t>
        </is>
      </c>
      <c r="E969" t="inlineStr">
        <is>
          <t>VÄSTERVIK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13841-2023</t>
        </is>
      </c>
      <c r="B970" s="1" t="n">
        <v>45007</v>
      </c>
      <c r="C970" s="1" t="n">
        <v>45633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13838-2023</t>
        </is>
      </c>
      <c r="B971" s="1" t="n">
        <v>45007</v>
      </c>
      <c r="C971" s="1" t="n">
        <v>45633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13995-2023</t>
        </is>
      </c>
      <c r="B972" s="1" t="n">
        <v>45008</v>
      </c>
      <c r="C972" s="1" t="n">
        <v>45633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14388-2023</t>
        </is>
      </c>
      <c r="B973" s="1" t="n">
        <v>45012</v>
      </c>
      <c r="C973" s="1" t="n">
        <v>45633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14387-2023</t>
        </is>
      </c>
      <c r="B974" s="1" t="n">
        <v>45012</v>
      </c>
      <c r="C974" s="1" t="n">
        <v>45633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14385-2023</t>
        </is>
      </c>
      <c r="B975" s="1" t="n">
        <v>45012</v>
      </c>
      <c r="C975" s="1" t="n">
        <v>45633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15099-2023</t>
        </is>
      </c>
      <c r="B976" s="1" t="n">
        <v>45016</v>
      </c>
      <c r="C976" s="1" t="n">
        <v>45633</v>
      </c>
      <c r="D976" t="inlineStr">
        <is>
          <t>KALMAR LÄN</t>
        </is>
      </c>
      <c r="E976" t="inlineStr">
        <is>
          <t>VÄSTERVIK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15106-2023</t>
        </is>
      </c>
      <c r="B977" s="1" t="n">
        <v>45016</v>
      </c>
      <c r="C977" s="1" t="n">
        <v>45633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15097-2023</t>
        </is>
      </c>
      <c r="B978" s="1" t="n">
        <v>45016</v>
      </c>
      <c r="C978" s="1" t="n">
        <v>45633</v>
      </c>
      <c r="D978" t="inlineStr">
        <is>
          <t>KALMAR LÄN</t>
        </is>
      </c>
      <c r="E978" t="inlineStr">
        <is>
          <t>VÄSTERVIK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15103-2023</t>
        </is>
      </c>
      <c r="B979" s="1" t="n">
        <v>45016</v>
      </c>
      <c r="C979" s="1" t="n">
        <v>45633</v>
      </c>
      <c r="D979" t="inlineStr">
        <is>
          <t>KALMAR LÄN</t>
        </is>
      </c>
      <c r="E979" t="inlineStr">
        <is>
          <t>VÄSTERVIK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15270-2023</t>
        </is>
      </c>
      <c r="B980" s="1" t="n">
        <v>45019</v>
      </c>
      <c r="C980" s="1" t="n">
        <v>45633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15438-2023</t>
        </is>
      </c>
      <c r="B981" s="1" t="n">
        <v>45020</v>
      </c>
      <c r="C981" s="1" t="n">
        <v>45633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15761-2023</t>
        </is>
      </c>
      <c r="B982" s="1" t="n">
        <v>45021</v>
      </c>
      <c r="C982" s="1" t="n">
        <v>45633</v>
      </c>
      <c r="D982" t="inlineStr">
        <is>
          <t>KALMAR LÄN</t>
        </is>
      </c>
      <c r="E982" t="inlineStr">
        <is>
          <t>VÄSTERVIK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15765-2023</t>
        </is>
      </c>
      <c r="B983" s="1" t="n">
        <v>45021</v>
      </c>
      <c r="C983" s="1" t="n">
        <v>45633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15875-2023</t>
        </is>
      </c>
      <c r="B984" s="1" t="n">
        <v>45022</v>
      </c>
      <c r="C984" s="1" t="n">
        <v>45633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16485-2023</t>
        </is>
      </c>
      <c r="B985" s="1" t="n">
        <v>45029</v>
      </c>
      <c r="C985" s="1" t="n">
        <v>45633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16506-2023</t>
        </is>
      </c>
      <c r="B986" s="1" t="n">
        <v>45029</v>
      </c>
      <c r="C986" s="1" t="n">
        <v>45633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16507-2023</t>
        </is>
      </c>
      <c r="B987" s="1" t="n">
        <v>45029</v>
      </c>
      <c r="C987" s="1" t="n">
        <v>45633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16617-2023</t>
        </is>
      </c>
      <c r="B988" s="1" t="n">
        <v>45030</v>
      </c>
      <c r="C988" s="1" t="n">
        <v>45633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16834-2023</t>
        </is>
      </c>
      <c r="B989" s="1" t="n">
        <v>45033</v>
      </c>
      <c r="C989" s="1" t="n">
        <v>45633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16819-2023</t>
        </is>
      </c>
      <c r="B990" s="1" t="n">
        <v>45033</v>
      </c>
      <c r="C990" s="1" t="n">
        <v>45633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17307-2023</t>
        </is>
      </c>
      <c r="B991" s="1" t="n">
        <v>45035</v>
      </c>
      <c r="C991" s="1" t="n">
        <v>45633</v>
      </c>
      <c r="D991" t="inlineStr">
        <is>
          <t>KALMAR LÄN</t>
        </is>
      </c>
      <c r="E991" t="inlineStr">
        <is>
          <t>VÄSTERVIK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17314-2023</t>
        </is>
      </c>
      <c r="B992" s="1" t="n">
        <v>45035</v>
      </c>
      <c r="C992" s="1" t="n">
        <v>45633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17315-2023</t>
        </is>
      </c>
      <c r="B993" s="1" t="n">
        <v>45035</v>
      </c>
      <c r="C993" s="1" t="n">
        <v>45633</v>
      </c>
      <c r="D993" t="inlineStr">
        <is>
          <t>KALMAR LÄN</t>
        </is>
      </c>
      <c r="E993" t="inlineStr">
        <is>
          <t>VÄSTERVIK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17306-2023</t>
        </is>
      </c>
      <c r="B994" s="1" t="n">
        <v>45035</v>
      </c>
      <c r="C994" s="1" t="n">
        <v>45633</v>
      </c>
      <c r="D994" t="inlineStr">
        <is>
          <t>KALMAR LÄN</t>
        </is>
      </c>
      <c r="E994" t="inlineStr">
        <is>
          <t>VÄSTERVIK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17313-2023</t>
        </is>
      </c>
      <c r="B995" s="1" t="n">
        <v>45035</v>
      </c>
      <c r="C995" s="1" t="n">
        <v>45633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17317-2023</t>
        </is>
      </c>
      <c r="B996" s="1" t="n">
        <v>45035</v>
      </c>
      <c r="C996" s="1" t="n">
        <v>45633</v>
      </c>
      <c r="D996" t="inlineStr">
        <is>
          <t>KALMAR LÄN</t>
        </is>
      </c>
      <c r="E996" t="inlineStr">
        <is>
          <t>VÄSTERVIK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HYPERLINK("https://klasma.github.io/Logging_0883/knärot/A 17317-2023 karta knärot.png", "A 17317-2023")</f>
        <v/>
      </c>
      <c r="V996">
        <f>HYPERLINK("https://klasma.github.io/Logging_0883/klagomål/A 17317-2023 FSC-klagomål.docx", "A 17317-2023")</f>
        <v/>
      </c>
      <c r="W996">
        <f>HYPERLINK("https://klasma.github.io/Logging_0883/klagomålsmail/A 17317-2023 FSC-klagomål mail.docx", "A 17317-2023")</f>
        <v/>
      </c>
      <c r="X996">
        <f>HYPERLINK("https://klasma.github.io/Logging_0883/tillsyn/A 17317-2023 tillsynsbegäran.docx", "A 17317-2023")</f>
        <v/>
      </c>
      <c r="Y996">
        <f>HYPERLINK("https://klasma.github.io/Logging_0883/tillsynsmail/A 17317-2023 tillsynsbegäran mail.docx", "A 17317-2023")</f>
        <v/>
      </c>
    </row>
    <row r="997" ht="15" customHeight="1">
      <c r="A997" t="inlineStr">
        <is>
          <t>A 17467-2023</t>
        </is>
      </c>
      <c r="B997" s="1" t="n">
        <v>45036</v>
      </c>
      <c r="C997" s="1" t="n">
        <v>45633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17642-2023</t>
        </is>
      </c>
      <c r="B998" s="1" t="n">
        <v>45036</v>
      </c>
      <c r="C998" s="1" t="n">
        <v>45633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17644-2023</t>
        </is>
      </c>
      <c r="B999" s="1" t="n">
        <v>45036</v>
      </c>
      <c r="C999" s="1" t="n">
        <v>45633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17650-2023</t>
        </is>
      </c>
      <c r="B1000" s="1" t="n">
        <v>45036</v>
      </c>
      <c r="C1000" s="1" t="n">
        <v>45633</v>
      </c>
      <c r="D1000" t="inlineStr">
        <is>
          <t>KALMAR LÄN</t>
        </is>
      </c>
      <c r="E1000" t="inlineStr">
        <is>
          <t>VÄSTERVIK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17645-2023</t>
        </is>
      </c>
      <c r="B1001" s="1" t="n">
        <v>45036</v>
      </c>
      <c r="C1001" s="1" t="n">
        <v>45633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17652-2023</t>
        </is>
      </c>
      <c r="B1002" s="1" t="n">
        <v>45036</v>
      </c>
      <c r="C1002" s="1" t="n">
        <v>45633</v>
      </c>
      <c r="D1002" t="inlineStr">
        <is>
          <t>KALMAR LÄN</t>
        </is>
      </c>
      <c r="E1002" t="inlineStr">
        <is>
          <t>VÄSTERVIK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17643-2023</t>
        </is>
      </c>
      <c r="B1003" s="1" t="n">
        <v>45036</v>
      </c>
      <c r="C1003" s="1" t="n">
        <v>45633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17648-2023</t>
        </is>
      </c>
      <c r="B1004" s="1" t="n">
        <v>45036</v>
      </c>
      <c r="C1004" s="1" t="n">
        <v>45633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18051-2023</t>
        </is>
      </c>
      <c r="B1005" s="1" t="n">
        <v>45040</v>
      </c>
      <c r="C1005" s="1" t="n">
        <v>45633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18071-2023</t>
        </is>
      </c>
      <c r="B1006" s="1" t="n">
        <v>45040</v>
      </c>
      <c r="C1006" s="1" t="n">
        <v>45633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18068-2023</t>
        </is>
      </c>
      <c r="B1007" s="1" t="n">
        <v>45040</v>
      </c>
      <c r="C1007" s="1" t="n">
        <v>45633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18079-2023</t>
        </is>
      </c>
      <c r="B1008" s="1" t="n">
        <v>45040</v>
      </c>
      <c r="C1008" s="1" t="n">
        <v>45633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18048-2023</t>
        </is>
      </c>
      <c r="B1009" s="1" t="n">
        <v>45040</v>
      </c>
      <c r="C1009" s="1" t="n">
        <v>45633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18081-2023</t>
        </is>
      </c>
      <c r="B1010" s="1" t="n">
        <v>45040</v>
      </c>
      <c r="C1010" s="1" t="n">
        <v>45633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18858-2023</t>
        </is>
      </c>
      <c r="B1011" s="1" t="n">
        <v>45044</v>
      </c>
      <c r="C1011" s="1" t="n">
        <v>45633</v>
      </c>
      <c r="D1011" t="inlineStr">
        <is>
          <t>KALMAR LÄN</t>
        </is>
      </c>
      <c r="E1011" t="inlineStr">
        <is>
          <t>VÄSTERVIK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18859-2023</t>
        </is>
      </c>
      <c r="B1012" s="1" t="n">
        <v>45044</v>
      </c>
      <c r="C1012" s="1" t="n">
        <v>45633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18960-2023</t>
        </is>
      </c>
      <c r="B1013" s="1" t="n">
        <v>45044</v>
      </c>
      <c r="C1013" s="1" t="n">
        <v>45633</v>
      </c>
      <c r="D1013" t="inlineStr">
        <is>
          <t>KALMAR LÄN</t>
        </is>
      </c>
      <c r="E1013" t="inlineStr">
        <is>
          <t>VÄSTERVIK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19110-2023</t>
        </is>
      </c>
      <c r="B1014" s="1" t="n">
        <v>45048</v>
      </c>
      <c r="C1014" s="1" t="n">
        <v>45633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19212-2023</t>
        </is>
      </c>
      <c r="B1015" s="1" t="n">
        <v>45048</v>
      </c>
      <c r="C1015" s="1" t="n">
        <v>45633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19365-2023</t>
        </is>
      </c>
      <c r="B1016" s="1" t="n">
        <v>45049</v>
      </c>
      <c r="C1016" s="1" t="n">
        <v>45633</v>
      </c>
      <c r="D1016" t="inlineStr">
        <is>
          <t>KALMAR LÄN</t>
        </is>
      </c>
      <c r="E1016" t="inlineStr">
        <is>
          <t>VÄSTERVIK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19365-2023 karta knärot.png", "A 19365-2023")</f>
        <v/>
      </c>
      <c r="V1016">
        <f>HYPERLINK("https://klasma.github.io/Logging_0883/klagomål/A 19365-2023 FSC-klagomål.docx", "A 19365-2023")</f>
        <v/>
      </c>
      <c r="W1016">
        <f>HYPERLINK("https://klasma.github.io/Logging_0883/klagomålsmail/A 19365-2023 FSC-klagomål mail.docx", "A 19365-2023")</f>
        <v/>
      </c>
      <c r="X1016">
        <f>HYPERLINK("https://klasma.github.io/Logging_0883/tillsyn/A 19365-2023 tillsynsbegäran.docx", "A 19365-2023")</f>
        <v/>
      </c>
      <c r="Y1016">
        <f>HYPERLINK("https://klasma.github.io/Logging_0883/tillsynsmail/A 19365-2023 tillsynsbegäran mail.docx", "A 19365-2023")</f>
        <v/>
      </c>
    </row>
    <row r="1017" ht="15" customHeight="1">
      <c r="A1017" t="inlineStr">
        <is>
          <t>A 19333-2023</t>
        </is>
      </c>
      <c r="B1017" s="1" t="n">
        <v>45049</v>
      </c>
      <c r="C1017" s="1" t="n">
        <v>45633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19551-2023</t>
        </is>
      </c>
      <c r="B1018" s="1" t="n">
        <v>45049</v>
      </c>
      <c r="C1018" s="1" t="n">
        <v>45633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19638-2023</t>
        </is>
      </c>
      <c r="B1019" s="1" t="n">
        <v>45051</v>
      </c>
      <c r="C1019" s="1" t="n">
        <v>45633</v>
      </c>
      <c r="D1019" t="inlineStr">
        <is>
          <t>KALMAR LÄN</t>
        </is>
      </c>
      <c r="E1019" t="inlineStr">
        <is>
          <t>VÄSTERVIK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19660-2023</t>
        </is>
      </c>
      <c r="B1020" s="1" t="n">
        <v>45051</v>
      </c>
      <c r="C1020" s="1" t="n">
        <v>45633</v>
      </c>
      <c r="D1020" t="inlineStr">
        <is>
          <t>KALMAR LÄN</t>
        </is>
      </c>
      <c r="E1020" t="inlineStr">
        <is>
          <t>VÄSTERVIK</t>
        </is>
      </c>
      <c r="F1020" t="inlineStr">
        <is>
          <t>Övriga Aktiebolag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19639-2023</t>
        </is>
      </c>
      <c r="B1021" s="1" t="n">
        <v>45051</v>
      </c>
      <c r="C1021" s="1" t="n">
        <v>45633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19640-2023</t>
        </is>
      </c>
      <c r="B1022" s="1" t="n">
        <v>45051</v>
      </c>
      <c r="C1022" s="1" t="n">
        <v>45633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19864-2023</t>
        </is>
      </c>
      <c r="B1023" s="1" t="n">
        <v>45053</v>
      </c>
      <c r="C1023" s="1" t="n">
        <v>45633</v>
      </c>
      <c r="D1023" t="inlineStr">
        <is>
          <t>KALMAR LÄN</t>
        </is>
      </c>
      <c r="E1023" t="inlineStr">
        <is>
          <t>VÄSTERVIK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20637-2023</t>
        </is>
      </c>
      <c r="B1024" s="1" t="n">
        <v>45057</v>
      </c>
      <c r="C1024" s="1" t="n">
        <v>45633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20774-2023</t>
        </is>
      </c>
      <c r="B1025" s="1" t="n">
        <v>45058</v>
      </c>
      <c r="C1025" s="1" t="n">
        <v>45633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21122-2023</t>
        </is>
      </c>
      <c r="B1026" s="1" t="n">
        <v>45062</v>
      </c>
      <c r="C1026" s="1" t="n">
        <v>45633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21286-2023</t>
        </is>
      </c>
      <c r="B1027" s="1" t="n">
        <v>45062</v>
      </c>
      <c r="C1027" s="1" t="n">
        <v>45633</v>
      </c>
      <c r="D1027" t="inlineStr">
        <is>
          <t>KALMAR LÄN</t>
        </is>
      </c>
      <c r="E1027" t="inlineStr">
        <is>
          <t>VÄSTERVIK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21447-2023</t>
        </is>
      </c>
      <c r="B1028" s="1" t="n">
        <v>45063</v>
      </c>
      <c r="C1028" s="1" t="n">
        <v>45633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21826-2023</t>
        </is>
      </c>
      <c r="B1029" s="1" t="n">
        <v>45068</v>
      </c>
      <c r="C1029" s="1" t="n">
        <v>45633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21831-2023</t>
        </is>
      </c>
      <c r="B1030" s="1" t="n">
        <v>45068</v>
      </c>
      <c r="C1030" s="1" t="n">
        <v>45633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21939-2023</t>
        </is>
      </c>
      <c r="B1031" s="1" t="n">
        <v>45068</v>
      </c>
      <c r="C1031" s="1" t="n">
        <v>45633</v>
      </c>
      <c r="D1031" t="inlineStr">
        <is>
          <t>KALMAR LÄN</t>
        </is>
      </c>
      <c r="E1031" t="inlineStr">
        <is>
          <t>VÄSTERVIK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21823-2023</t>
        </is>
      </c>
      <c r="B1032" s="1" t="n">
        <v>45068</v>
      </c>
      <c r="C1032" s="1" t="n">
        <v>45633</v>
      </c>
      <c r="D1032" t="inlineStr">
        <is>
          <t>KALMAR LÄN</t>
        </is>
      </c>
      <c r="E1032" t="inlineStr">
        <is>
          <t>VÄSTERVIK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21830-2023</t>
        </is>
      </c>
      <c r="B1033" s="1" t="n">
        <v>45068</v>
      </c>
      <c r="C1033" s="1" t="n">
        <v>45633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21824-2023</t>
        </is>
      </c>
      <c r="B1034" s="1" t="n">
        <v>45068</v>
      </c>
      <c r="C1034" s="1" t="n">
        <v>45633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21829-2023</t>
        </is>
      </c>
      <c r="B1035" s="1" t="n">
        <v>45068</v>
      </c>
      <c r="C1035" s="1" t="n">
        <v>45633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21942-2023</t>
        </is>
      </c>
      <c r="B1036" s="1" t="n">
        <v>45068</v>
      </c>
      <c r="C1036" s="1" t="n">
        <v>45633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21940-2023</t>
        </is>
      </c>
      <c r="B1037" s="1" t="n">
        <v>45068</v>
      </c>
      <c r="C1037" s="1" t="n">
        <v>45633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23439-2023</t>
        </is>
      </c>
      <c r="B1038" s="1" t="n">
        <v>45072</v>
      </c>
      <c r="C1038" s="1" t="n">
        <v>45633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23080-2023</t>
        </is>
      </c>
      <c r="B1039" s="1" t="n">
        <v>45075</v>
      </c>
      <c r="C1039" s="1" t="n">
        <v>45633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23317-2023</t>
        </is>
      </c>
      <c r="B1040" s="1" t="n">
        <v>45076</v>
      </c>
      <c r="C1040" s="1" t="n">
        <v>45633</v>
      </c>
      <c r="D1040" t="inlineStr">
        <is>
          <t>KALMAR LÄN</t>
        </is>
      </c>
      <c r="E1040" t="inlineStr">
        <is>
          <t>VÄSTERVIK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23316-2023</t>
        </is>
      </c>
      <c r="B1041" s="1" t="n">
        <v>45076</v>
      </c>
      <c r="C1041" s="1" t="n">
        <v>45633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23580-2023</t>
        </is>
      </c>
      <c r="B1042" s="1" t="n">
        <v>45077</v>
      </c>
      <c r="C1042" s="1" t="n">
        <v>45633</v>
      </c>
      <c r="D1042" t="inlineStr">
        <is>
          <t>KALMAR LÄN</t>
        </is>
      </c>
      <c r="E1042" t="inlineStr">
        <is>
          <t>VÄSTERVIK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25403-2023</t>
        </is>
      </c>
      <c r="B1043" s="1" t="n">
        <v>45079</v>
      </c>
      <c r="C1043" s="1" t="n">
        <v>45633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24877-2023</t>
        </is>
      </c>
      <c r="B1044" s="1" t="n">
        <v>45085</v>
      </c>
      <c r="C1044" s="1" t="n">
        <v>45633</v>
      </c>
      <c r="D1044" t="inlineStr">
        <is>
          <t>KALMAR LÄN</t>
        </is>
      </c>
      <c r="E1044" t="inlineStr">
        <is>
          <t>VÄSTERVIK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24881-2023</t>
        </is>
      </c>
      <c r="B1045" s="1" t="n">
        <v>45085</v>
      </c>
      <c r="C1045" s="1" t="n">
        <v>45633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24893-2023</t>
        </is>
      </c>
      <c r="B1046" s="1" t="n">
        <v>45085</v>
      </c>
      <c r="C1046" s="1" t="n">
        <v>45633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25180-2023</t>
        </is>
      </c>
      <c r="B1047" s="1" t="n">
        <v>45086</v>
      </c>
      <c r="C1047" s="1" t="n">
        <v>45633</v>
      </c>
      <c r="D1047" t="inlineStr">
        <is>
          <t>KALMAR LÄN</t>
        </is>
      </c>
      <c r="E1047" t="inlineStr">
        <is>
          <t>VÄSTERVIK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25434-2023</t>
        </is>
      </c>
      <c r="B1048" s="1" t="n">
        <v>45089</v>
      </c>
      <c r="C1048" s="1" t="n">
        <v>45633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25440-2023</t>
        </is>
      </c>
      <c r="B1049" s="1" t="n">
        <v>45089</v>
      </c>
      <c r="C1049" s="1" t="n">
        <v>45633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25568-2023</t>
        </is>
      </c>
      <c r="B1050" s="1" t="n">
        <v>45089</v>
      </c>
      <c r="C1050" s="1" t="n">
        <v>45633</v>
      </c>
      <c r="D1050" t="inlineStr">
        <is>
          <t>KALMAR LÄN</t>
        </is>
      </c>
      <c r="E1050" t="inlineStr">
        <is>
          <t>VÄSTERVIK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25488-2023</t>
        </is>
      </c>
      <c r="B1051" s="1" t="n">
        <v>45089</v>
      </c>
      <c r="C1051" s="1" t="n">
        <v>45633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25518-2023</t>
        </is>
      </c>
      <c r="B1052" s="1" t="n">
        <v>45089</v>
      </c>
      <c r="C1052" s="1" t="n">
        <v>45633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25714-2023</t>
        </is>
      </c>
      <c r="B1053" s="1" t="n">
        <v>45089</v>
      </c>
      <c r="C1053" s="1" t="n">
        <v>45633</v>
      </c>
      <c r="D1053" t="inlineStr">
        <is>
          <t>KALMAR LÄN</t>
        </is>
      </c>
      <c r="E1053" t="inlineStr">
        <is>
          <t>VÄSTERVIK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25801-2023</t>
        </is>
      </c>
      <c r="B1054" s="1" t="n">
        <v>45090</v>
      </c>
      <c r="C1054" s="1" t="n">
        <v>45633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26244-2023</t>
        </is>
      </c>
      <c r="B1055" s="1" t="n">
        <v>45091</v>
      </c>
      <c r="C1055" s="1" t="n">
        <v>45633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26073-2023</t>
        </is>
      </c>
      <c r="B1056" s="1" t="n">
        <v>45091</v>
      </c>
      <c r="C1056" s="1" t="n">
        <v>45633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26773-2023</t>
        </is>
      </c>
      <c r="B1057" s="1" t="n">
        <v>45093</v>
      </c>
      <c r="C1057" s="1" t="n">
        <v>45633</v>
      </c>
      <c r="D1057" t="inlineStr">
        <is>
          <t>KALMAR LÄN</t>
        </is>
      </c>
      <c r="E1057" t="inlineStr">
        <is>
          <t>VÄSTERVIK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26772-2023</t>
        </is>
      </c>
      <c r="B1058" s="1" t="n">
        <v>45093</v>
      </c>
      <c r="C1058" s="1" t="n">
        <v>45633</v>
      </c>
      <c r="D1058" t="inlineStr">
        <is>
          <t>KALMAR LÄN</t>
        </is>
      </c>
      <c r="E1058" t="inlineStr">
        <is>
          <t>VÄSTERVIK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26776-2023</t>
        </is>
      </c>
      <c r="B1059" s="1" t="n">
        <v>45093</v>
      </c>
      <c r="C1059" s="1" t="n">
        <v>45633</v>
      </c>
      <c r="D1059" t="inlineStr">
        <is>
          <t>KALMAR LÄN</t>
        </is>
      </c>
      <c r="E1059" t="inlineStr">
        <is>
          <t>VÄSTERVIK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26770-2023</t>
        </is>
      </c>
      <c r="B1060" s="1" t="n">
        <v>45093</v>
      </c>
      <c r="C1060" s="1" t="n">
        <v>45633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26775-2023</t>
        </is>
      </c>
      <c r="B1061" s="1" t="n">
        <v>45093</v>
      </c>
      <c r="C1061" s="1" t="n">
        <v>45633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27485-2023</t>
        </is>
      </c>
      <c r="B1062" s="1" t="n">
        <v>45097</v>
      </c>
      <c r="C1062" s="1" t="n">
        <v>45633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27491-2023</t>
        </is>
      </c>
      <c r="B1063" s="1" t="n">
        <v>45097</v>
      </c>
      <c r="C1063" s="1" t="n">
        <v>45633</v>
      </c>
      <c r="D1063" t="inlineStr">
        <is>
          <t>KALMAR LÄN</t>
        </is>
      </c>
      <c r="E1063" t="inlineStr">
        <is>
          <t>VÄSTERVIK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27482-2023</t>
        </is>
      </c>
      <c r="B1064" s="1" t="n">
        <v>45097</v>
      </c>
      <c r="C1064" s="1" t="n">
        <v>45633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27662-2023</t>
        </is>
      </c>
      <c r="B1065" s="1" t="n">
        <v>45097</v>
      </c>
      <c r="C1065" s="1" t="n">
        <v>45633</v>
      </c>
      <c r="D1065" t="inlineStr">
        <is>
          <t>KALMAR LÄN</t>
        </is>
      </c>
      <c r="E1065" t="inlineStr">
        <is>
          <t>VÄSTERVIK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28895-2023</t>
        </is>
      </c>
      <c r="B1066" s="1" t="n">
        <v>45104</v>
      </c>
      <c r="C1066" s="1" t="n">
        <v>45633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28894-2023</t>
        </is>
      </c>
      <c r="B1067" s="1" t="n">
        <v>45104</v>
      </c>
      <c r="C1067" s="1" t="n">
        <v>45633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28939-2023</t>
        </is>
      </c>
      <c r="B1068" s="1" t="n">
        <v>45104</v>
      </c>
      <c r="C1068" s="1" t="n">
        <v>45633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28952-2023</t>
        </is>
      </c>
      <c r="B1069" s="1" t="n">
        <v>45104</v>
      </c>
      <c r="C1069" s="1" t="n">
        <v>45633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29907-2023</t>
        </is>
      </c>
      <c r="B1070" s="1" t="n">
        <v>45107</v>
      </c>
      <c r="C1070" s="1" t="n">
        <v>45633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29905-2023</t>
        </is>
      </c>
      <c r="B1071" s="1" t="n">
        <v>45107</v>
      </c>
      <c r="C1071" s="1" t="n">
        <v>45633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29904-2023</t>
        </is>
      </c>
      <c r="B1072" s="1" t="n">
        <v>45107</v>
      </c>
      <c r="C1072" s="1" t="n">
        <v>45633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30029-2023</t>
        </is>
      </c>
      <c r="B1073" s="1" t="n">
        <v>45110</v>
      </c>
      <c r="C1073" s="1" t="n">
        <v>45633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30035-2023</t>
        </is>
      </c>
      <c r="B1074" s="1" t="n">
        <v>45110</v>
      </c>
      <c r="C1074" s="1" t="n">
        <v>45633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32418-2023</t>
        </is>
      </c>
      <c r="B1075" s="1" t="n">
        <v>45110</v>
      </c>
      <c r="C1075" s="1" t="n">
        <v>45633</v>
      </c>
      <c r="D1075" t="inlineStr">
        <is>
          <t>KALMAR LÄN</t>
        </is>
      </c>
      <c r="E1075" t="inlineStr">
        <is>
          <t>VÄSTERVIK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30431-2023</t>
        </is>
      </c>
      <c r="B1076" s="1" t="n">
        <v>45111</v>
      </c>
      <c r="C1076" s="1" t="n">
        <v>45633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30692-2023</t>
        </is>
      </c>
      <c r="B1077" s="1" t="n">
        <v>45112</v>
      </c>
      <c r="C1077" s="1" t="n">
        <v>45633</v>
      </c>
      <c r="D1077" t="inlineStr">
        <is>
          <t>KALMAR LÄN</t>
        </is>
      </c>
      <c r="E1077" t="inlineStr">
        <is>
          <t>VÄSTERVIK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31437-2023</t>
        </is>
      </c>
      <c r="B1078" s="1" t="n">
        <v>45114</v>
      </c>
      <c r="C1078" s="1" t="n">
        <v>45633</v>
      </c>
      <c r="D1078" t="inlineStr">
        <is>
          <t>KALMAR LÄN</t>
        </is>
      </c>
      <c r="E1078" t="inlineStr">
        <is>
          <t>VÄSTERVIK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33277-2023</t>
        </is>
      </c>
      <c r="B1079" s="1" t="n">
        <v>45114</v>
      </c>
      <c r="C1079" s="1" t="n">
        <v>45633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31686-2023</t>
        </is>
      </c>
      <c r="B1080" s="1" t="n">
        <v>45117</v>
      </c>
      <c r="C1080" s="1" t="n">
        <v>45633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31691-2023</t>
        </is>
      </c>
      <c r="B1081" s="1" t="n">
        <v>45117</v>
      </c>
      <c r="C1081" s="1" t="n">
        <v>45633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32647-2023</t>
        </is>
      </c>
      <c r="B1082" s="1" t="n">
        <v>45121</v>
      </c>
      <c r="C1082" s="1" t="n">
        <v>45633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32813-2023</t>
        </is>
      </c>
      <c r="B1083" s="1" t="n">
        <v>45124</v>
      </c>
      <c r="C1083" s="1" t="n">
        <v>45633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32812-2023</t>
        </is>
      </c>
      <c r="B1084" s="1" t="n">
        <v>45124</v>
      </c>
      <c r="C1084" s="1" t="n">
        <v>45633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32811-2023</t>
        </is>
      </c>
      <c r="B1085" s="1" t="n">
        <v>45124</v>
      </c>
      <c r="C1085" s="1" t="n">
        <v>45633</v>
      </c>
      <c r="D1085" t="inlineStr">
        <is>
          <t>KALMAR LÄN</t>
        </is>
      </c>
      <c r="E1085" t="inlineStr">
        <is>
          <t>VÄSTERVIK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33271-2023</t>
        </is>
      </c>
      <c r="B1086" s="1" t="n">
        <v>45127</v>
      </c>
      <c r="C1086" s="1" t="n">
        <v>45633</v>
      </c>
      <c r="D1086" t="inlineStr">
        <is>
          <t>KALMAR LÄN</t>
        </is>
      </c>
      <c r="E1086" t="inlineStr">
        <is>
          <t>VÄSTERVIK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33272-2023</t>
        </is>
      </c>
      <c r="B1087" s="1" t="n">
        <v>45127</v>
      </c>
      <c r="C1087" s="1" t="n">
        <v>45633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33489-2023</t>
        </is>
      </c>
      <c r="B1088" s="1" t="n">
        <v>45131</v>
      </c>
      <c r="C1088" s="1" t="n">
        <v>45633</v>
      </c>
      <c r="D1088" t="inlineStr">
        <is>
          <t>KALMAR LÄN</t>
        </is>
      </c>
      <c r="E1088" t="inlineStr">
        <is>
          <t>VÄSTERVIK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33648-2023</t>
        </is>
      </c>
      <c r="B1089" s="1" t="n">
        <v>45132</v>
      </c>
      <c r="C1089" s="1" t="n">
        <v>45633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33647-2023</t>
        </is>
      </c>
      <c r="B1090" s="1" t="n">
        <v>45132</v>
      </c>
      <c r="C1090" s="1" t="n">
        <v>45633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33722-2023</t>
        </is>
      </c>
      <c r="B1091" s="1" t="n">
        <v>45133</v>
      </c>
      <c r="C1091" s="1" t="n">
        <v>45633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33828-2023</t>
        </is>
      </c>
      <c r="B1092" s="1" t="n">
        <v>45133</v>
      </c>
      <c r="C1092" s="1" t="n">
        <v>45633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33814-2023</t>
        </is>
      </c>
      <c r="B1093" s="1" t="n">
        <v>45133</v>
      </c>
      <c r="C1093" s="1" t="n">
        <v>45633</v>
      </c>
      <c r="D1093" t="inlineStr">
        <is>
          <t>KALMAR LÄN</t>
        </is>
      </c>
      <c r="E1093" t="inlineStr">
        <is>
          <t>VÄSTERVIK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33990-2023</t>
        </is>
      </c>
      <c r="B1094" s="1" t="n">
        <v>45134</v>
      </c>
      <c r="C1094" s="1" t="n">
        <v>45633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34121-2023</t>
        </is>
      </c>
      <c r="B1095" s="1" t="n">
        <v>45135</v>
      </c>
      <c r="C1095" s="1" t="n">
        <v>45633</v>
      </c>
      <c r="D1095" t="inlineStr">
        <is>
          <t>KALMAR LÄN</t>
        </is>
      </c>
      <c r="E1095" t="inlineStr">
        <is>
          <t>VÄSTERVIK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HYPERLINK("https://klasma.github.io/Logging_0883/knärot/A 34121-2023 karta knärot.png", "A 34121-2023")</f>
        <v/>
      </c>
      <c r="V1095">
        <f>HYPERLINK("https://klasma.github.io/Logging_0883/klagomål/A 34121-2023 FSC-klagomål.docx", "A 34121-2023")</f>
        <v/>
      </c>
      <c r="W1095">
        <f>HYPERLINK("https://klasma.github.io/Logging_0883/klagomålsmail/A 34121-2023 FSC-klagomål mail.docx", "A 34121-2023")</f>
        <v/>
      </c>
      <c r="X1095">
        <f>HYPERLINK("https://klasma.github.io/Logging_0883/tillsyn/A 34121-2023 tillsynsbegäran.docx", "A 34121-2023")</f>
        <v/>
      </c>
      <c r="Y1095">
        <f>HYPERLINK("https://klasma.github.io/Logging_0883/tillsynsmail/A 34121-2023 tillsynsbegäran mail.docx", "A 34121-2023")</f>
        <v/>
      </c>
    </row>
    <row r="1096" ht="15" customHeight="1">
      <c r="A1096" t="inlineStr">
        <is>
          <t>A 34643-2023</t>
        </is>
      </c>
      <c r="B1096" s="1" t="n">
        <v>45140</v>
      </c>
      <c r="C1096" s="1" t="n">
        <v>45633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34648-2023</t>
        </is>
      </c>
      <c r="B1097" s="1" t="n">
        <v>45140</v>
      </c>
      <c r="C1097" s="1" t="n">
        <v>45633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34641-2023</t>
        </is>
      </c>
      <c r="B1098" s="1" t="n">
        <v>45140</v>
      </c>
      <c r="C1098" s="1" t="n">
        <v>45633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34646-2023</t>
        </is>
      </c>
      <c r="B1099" s="1" t="n">
        <v>45140</v>
      </c>
      <c r="C1099" s="1" t="n">
        <v>45633</v>
      </c>
      <c r="D1099" t="inlineStr">
        <is>
          <t>KALMAR LÄN</t>
        </is>
      </c>
      <c r="E1099" t="inlineStr">
        <is>
          <t>VÄSTERVIK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34655-2023</t>
        </is>
      </c>
      <c r="B1100" s="1" t="n">
        <v>45140</v>
      </c>
      <c r="C1100" s="1" t="n">
        <v>45633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34650-2023</t>
        </is>
      </c>
      <c r="B1101" s="1" t="n">
        <v>45140</v>
      </c>
      <c r="C1101" s="1" t="n">
        <v>45633</v>
      </c>
      <c r="D1101" t="inlineStr">
        <is>
          <t>KALMAR LÄN</t>
        </is>
      </c>
      <c r="E1101" t="inlineStr">
        <is>
          <t>VÄSTERVIK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34953-2023</t>
        </is>
      </c>
      <c r="B1102" s="1" t="n">
        <v>45142</v>
      </c>
      <c r="C1102" s="1" t="n">
        <v>45633</v>
      </c>
      <c r="D1102" t="inlineStr">
        <is>
          <t>KALMAR LÄN</t>
        </is>
      </c>
      <c r="E1102" t="inlineStr">
        <is>
          <t>VÄSTERVIK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35171-2023</t>
        </is>
      </c>
      <c r="B1103" s="1" t="n">
        <v>45145</v>
      </c>
      <c r="C1103" s="1" t="n">
        <v>45633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35160-2023</t>
        </is>
      </c>
      <c r="B1104" s="1" t="n">
        <v>45145</v>
      </c>
      <c r="C1104" s="1" t="n">
        <v>45633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35180-2023</t>
        </is>
      </c>
      <c r="B1105" s="1" t="n">
        <v>45145</v>
      </c>
      <c r="C1105" s="1" t="n">
        <v>45633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35502-2023</t>
        </is>
      </c>
      <c r="B1106" s="1" t="n">
        <v>45146</v>
      </c>
      <c r="C1106" s="1" t="n">
        <v>45633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35484-2023</t>
        </is>
      </c>
      <c r="B1107" s="1" t="n">
        <v>45146</v>
      </c>
      <c r="C1107" s="1" t="n">
        <v>45633</v>
      </c>
      <c r="D1107" t="inlineStr">
        <is>
          <t>KALMAR LÄN</t>
        </is>
      </c>
      <c r="E1107" t="inlineStr">
        <is>
          <t>VÄSTERVIK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35485-2023</t>
        </is>
      </c>
      <c r="B1108" s="1" t="n">
        <v>45146</v>
      </c>
      <c r="C1108" s="1" t="n">
        <v>45633</v>
      </c>
      <c r="D1108" t="inlineStr">
        <is>
          <t>KALMAR LÄN</t>
        </is>
      </c>
      <c r="E1108" t="inlineStr">
        <is>
          <t>VÄSTERVIK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35658-2023</t>
        </is>
      </c>
      <c r="B1109" s="1" t="n">
        <v>45147</v>
      </c>
      <c r="C1109" s="1" t="n">
        <v>45633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35662-2023</t>
        </is>
      </c>
      <c r="B1110" s="1" t="n">
        <v>45147</v>
      </c>
      <c r="C1110" s="1" t="n">
        <v>45633</v>
      </c>
      <c r="D1110" t="inlineStr">
        <is>
          <t>KALMAR LÄN</t>
        </is>
      </c>
      <c r="E1110" t="inlineStr">
        <is>
          <t>VÄSTERVIK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35666-2023</t>
        </is>
      </c>
      <c r="B1111" s="1" t="n">
        <v>45147</v>
      </c>
      <c r="C1111" s="1" t="n">
        <v>45633</v>
      </c>
      <c r="D1111" t="inlineStr">
        <is>
          <t>KALMAR LÄN</t>
        </is>
      </c>
      <c r="E1111" t="inlineStr">
        <is>
          <t>VÄSTERVIK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35606-2023</t>
        </is>
      </c>
      <c r="B1112" s="1" t="n">
        <v>45147</v>
      </c>
      <c r="C1112" s="1" t="n">
        <v>45633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35770-2023</t>
        </is>
      </c>
      <c r="B1113" s="1" t="n">
        <v>45147</v>
      </c>
      <c r="C1113" s="1" t="n">
        <v>45633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35655-2023</t>
        </is>
      </c>
      <c r="B1114" s="1" t="n">
        <v>45147</v>
      </c>
      <c r="C1114" s="1" t="n">
        <v>45633</v>
      </c>
      <c r="D1114" t="inlineStr">
        <is>
          <t>KALMAR LÄN</t>
        </is>
      </c>
      <c r="E1114" t="inlineStr">
        <is>
          <t>VÄSTERVIK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35667-2023</t>
        </is>
      </c>
      <c r="B1115" s="1" t="n">
        <v>45147</v>
      </c>
      <c r="C1115" s="1" t="n">
        <v>45633</v>
      </c>
      <c r="D1115" t="inlineStr">
        <is>
          <t>KALMAR LÄN</t>
        </is>
      </c>
      <c r="E1115" t="inlineStr">
        <is>
          <t>VÄSTERVIK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35652-2023</t>
        </is>
      </c>
      <c r="B1116" s="1" t="n">
        <v>45147</v>
      </c>
      <c r="C1116" s="1" t="n">
        <v>45633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35660-2023</t>
        </is>
      </c>
      <c r="B1117" s="1" t="n">
        <v>45147</v>
      </c>
      <c r="C1117" s="1" t="n">
        <v>45633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35619-2023</t>
        </is>
      </c>
      <c r="B1118" s="1" t="n">
        <v>45147</v>
      </c>
      <c r="C1118" s="1" t="n">
        <v>45633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35653-2023</t>
        </is>
      </c>
      <c r="B1119" s="1" t="n">
        <v>45147</v>
      </c>
      <c r="C1119" s="1" t="n">
        <v>45633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35665-2023</t>
        </is>
      </c>
      <c r="B1120" s="1" t="n">
        <v>45147</v>
      </c>
      <c r="C1120" s="1" t="n">
        <v>45633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35960-2023</t>
        </is>
      </c>
      <c r="B1121" s="1" t="n">
        <v>45148</v>
      </c>
      <c r="C1121" s="1" t="n">
        <v>45633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35959-2023</t>
        </is>
      </c>
      <c r="B1122" s="1" t="n">
        <v>45148</v>
      </c>
      <c r="C1122" s="1" t="n">
        <v>45633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35962-2023</t>
        </is>
      </c>
      <c r="B1123" s="1" t="n">
        <v>45148</v>
      </c>
      <c r="C1123" s="1" t="n">
        <v>45633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35961-2023</t>
        </is>
      </c>
      <c r="B1124" s="1" t="n">
        <v>45148</v>
      </c>
      <c r="C1124" s="1" t="n">
        <v>45633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36418-2023</t>
        </is>
      </c>
      <c r="B1125" s="1" t="n">
        <v>45152</v>
      </c>
      <c r="C1125" s="1" t="n">
        <v>45633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HYPERLINK("https://klasma.github.io/Logging_0883/knärot/A 36418-2023 karta knärot.png", "A 36418-2023")</f>
        <v/>
      </c>
      <c r="V1125">
        <f>HYPERLINK("https://klasma.github.io/Logging_0883/klagomål/A 36418-2023 FSC-klagomål.docx", "A 36418-2023")</f>
        <v/>
      </c>
      <c r="W1125">
        <f>HYPERLINK("https://klasma.github.io/Logging_0883/klagomålsmail/A 36418-2023 FSC-klagomål mail.docx", "A 36418-2023")</f>
        <v/>
      </c>
      <c r="X1125">
        <f>HYPERLINK("https://klasma.github.io/Logging_0883/tillsyn/A 36418-2023 tillsynsbegäran.docx", "A 36418-2023")</f>
        <v/>
      </c>
      <c r="Y1125">
        <f>HYPERLINK("https://klasma.github.io/Logging_0883/tillsynsmail/A 36418-2023 tillsynsbegäran mail.docx", "A 36418-2023")</f>
        <v/>
      </c>
    </row>
    <row r="1126" ht="15" customHeight="1">
      <c r="A1126" t="inlineStr">
        <is>
          <t>A 36572-2023</t>
        </is>
      </c>
      <c r="B1126" s="1" t="n">
        <v>45153</v>
      </c>
      <c r="C1126" s="1" t="n">
        <v>45633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36643-2023</t>
        </is>
      </c>
      <c r="B1127" s="1" t="n">
        <v>45153</v>
      </c>
      <c r="C1127" s="1" t="n">
        <v>45633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37349-2023</t>
        </is>
      </c>
      <c r="B1128" s="1" t="n">
        <v>45156</v>
      </c>
      <c r="C1128" s="1" t="n">
        <v>45633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37352-2023</t>
        </is>
      </c>
      <c r="B1129" s="1" t="n">
        <v>45156</v>
      </c>
      <c r="C1129" s="1" t="n">
        <v>45633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37354-2023</t>
        </is>
      </c>
      <c r="B1130" s="1" t="n">
        <v>45156</v>
      </c>
      <c r="C1130" s="1" t="n">
        <v>45633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37351-2023</t>
        </is>
      </c>
      <c r="B1131" s="1" t="n">
        <v>45156</v>
      </c>
      <c r="C1131" s="1" t="n">
        <v>45633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37642-2023</t>
        </is>
      </c>
      <c r="B1132" s="1" t="n">
        <v>45159</v>
      </c>
      <c r="C1132" s="1" t="n">
        <v>45633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37643-2023</t>
        </is>
      </c>
      <c r="B1133" s="1" t="n">
        <v>45159</v>
      </c>
      <c r="C1133" s="1" t="n">
        <v>45633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37644-2023</t>
        </is>
      </c>
      <c r="B1134" s="1" t="n">
        <v>45159</v>
      </c>
      <c r="C1134" s="1" t="n">
        <v>45633</v>
      </c>
      <c r="D1134" t="inlineStr">
        <is>
          <t>KALMAR LÄN</t>
        </is>
      </c>
      <c r="E1134" t="inlineStr">
        <is>
          <t>VÄSTERVIK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37661-2023</t>
        </is>
      </c>
      <c r="B1135" s="1" t="n">
        <v>45159</v>
      </c>
      <c r="C1135" s="1" t="n">
        <v>45633</v>
      </c>
      <c r="D1135" t="inlineStr">
        <is>
          <t>KALMAR LÄN</t>
        </is>
      </c>
      <c r="E1135" t="inlineStr">
        <is>
          <t>VÄSTERVIK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37716-2023</t>
        </is>
      </c>
      <c r="B1136" s="1" t="n">
        <v>45159</v>
      </c>
      <c r="C1136" s="1" t="n">
        <v>45633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37858-2023</t>
        </is>
      </c>
      <c r="B1137" s="1" t="n">
        <v>45160</v>
      </c>
      <c r="C1137" s="1" t="n">
        <v>45633</v>
      </c>
      <c r="D1137" t="inlineStr">
        <is>
          <t>KALMAR LÄN</t>
        </is>
      </c>
      <c r="E1137" t="inlineStr">
        <is>
          <t>VÄSTERVIK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37956-2023</t>
        </is>
      </c>
      <c r="B1138" s="1" t="n">
        <v>45160</v>
      </c>
      <c r="C1138" s="1" t="n">
        <v>45633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38040-2023</t>
        </is>
      </c>
      <c r="B1139" s="1" t="n">
        <v>45160</v>
      </c>
      <c r="C1139" s="1" t="n">
        <v>45633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38045-2023</t>
        </is>
      </c>
      <c r="B1140" s="1" t="n">
        <v>45160</v>
      </c>
      <c r="C1140" s="1" t="n">
        <v>45633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37952-2023</t>
        </is>
      </c>
      <c r="B1141" s="1" t="n">
        <v>45160</v>
      </c>
      <c r="C1141" s="1" t="n">
        <v>45633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37986-2023</t>
        </is>
      </c>
      <c r="B1142" s="1" t="n">
        <v>45160</v>
      </c>
      <c r="C1142" s="1" t="n">
        <v>45633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37991-2023</t>
        </is>
      </c>
      <c r="B1143" s="1" t="n">
        <v>45160</v>
      </c>
      <c r="C1143" s="1" t="n">
        <v>45633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38047-2023</t>
        </is>
      </c>
      <c r="B1144" s="1" t="n">
        <v>45160</v>
      </c>
      <c r="C1144" s="1" t="n">
        <v>45633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37987-2023</t>
        </is>
      </c>
      <c r="B1145" s="1" t="n">
        <v>45160</v>
      </c>
      <c r="C1145" s="1" t="n">
        <v>45633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37997-2023</t>
        </is>
      </c>
      <c r="B1146" s="1" t="n">
        <v>45160</v>
      </c>
      <c r="C1146" s="1" t="n">
        <v>45633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37957-2023</t>
        </is>
      </c>
      <c r="B1147" s="1" t="n">
        <v>45160</v>
      </c>
      <c r="C1147" s="1" t="n">
        <v>45633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37963-2023</t>
        </is>
      </c>
      <c r="B1148" s="1" t="n">
        <v>45160</v>
      </c>
      <c r="C1148" s="1" t="n">
        <v>45633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37989-2023</t>
        </is>
      </c>
      <c r="B1149" s="1" t="n">
        <v>45160</v>
      </c>
      <c r="C1149" s="1" t="n">
        <v>45633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37995-2023</t>
        </is>
      </c>
      <c r="B1150" s="1" t="n">
        <v>45160</v>
      </c>
      <c r="C1150" s="1" t="n">
        <v>45633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38037-2023</t>
        </is>
      </c>
      <c r="B1151" s="1" t="n">
        <v>45160</v>
      </c>
      <c r="C1151" s="1" t="n">
        <v>45633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38041-2023</t>
        </is>
      </c>
      <c r="B1152" s="1" t="n">
        <v>45160</v>
      </c>
      <c r="C1152" s="1" t="n">
        <v>45633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38046-2023</t>
        </is>
      </c>
      <c r="B1153" s="1" t="n">
        <v>45160</v>
      </c>
      <c r="C1153" s="1" t="n">
        <v>45633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38048-2023</t>
        </is>
      </c>
      <c r="B1154" s="1" t="n">
        <v>45160</v>
      </c>
      <c r="C1154" s="1" t="n">
        <v>45633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38174-2023</t>
        </is>
      </c>
      <c r="B1155" s="1" t="n">
        <v>45161</v>
      </c>
      <c r="C1155" s="1" t="n">
        <v>45633</v>
      </c>
      <c r="D1155" t="inlineStr">
        <is>
          <t>KALMAR LÄN</t>
        </is>
      </c>
      <c r="E1155" t="inlineStr">
        <is>
          <t>VÄSTERVIK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39299-2023</t>
        </is>
      </c>
      <c r="B1156" s="1" t="n">
        <v>45166</v>
      </c>
      <c r="C1156" s="1" t="n">
        <v>45633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39630-2023</t>
        </is>
      </c>
      <c r="B1157" s="1" t="n">
        <v>45167</v>
      </c>
      <c r="C1157" s="1" t="n">
        <v>45633</v>
      </c>
      <c r="D1157" t="inlineStr">
        <is>
          <t>KALMAR LÄN</t>
        </is>
      </c>
      <c r="E1157" t="inlineStr">
        <is>
          <t>VÄSTERVIK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39892-2023</t>
        </is>
      </c>
      <c r="B1158" s="1" t="n">
        <v>45168</v>
      </c>
      <c r="C1158" s="1" t="n">
        <v>45633</v>
      </c>
      <c r="D1158" t="inlineStr">
        <is>
          <t>KALMAR LÄN</t>
        </is>
      </c>
      <c r="E1158" t="inlineStr">
        <is>
          <t>VÄSTERVIK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40677-2023</t>
        </is>
      </c>
      <c r="B1159" s="1" t="n">
        <v>45170</v>
      </c>
      <c r="C1159" s="1" t="n">
        <v>45633</v>
      </c>
      <c r="D1159" t="inlineStr">
        <is>
          <t>KALMAR LÄN</t>
        </is>
      </c>
      <c r="E1159" t="inlineStr">
        <is>
          <t>VÄSTERVIK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40451-2023</t>
        </is>
      </c>
      <c r="B1160" s="1" t="n">
        <v>45170</v>
      </c>
      <c r="C1160" s="1" t="n">
        <v>45633</v>
      </c>
      <c r="D1160" t="inlineStr">
        <is>
          <t>KALMAR LÄN</t>
        </is>
      </c>
      <c r="E1160" t="inlineStr">
        <is>
          <t>VÄSTERVIK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40674-2023</t>
        </is>
      </c>
      <c r="B1161" s="1" t="n">
        <v>45170</v>
      </c>
      <c r="C1161" s="1" t="n">
        <v>45633</v>
      </c>
      <c r="D1161" t="inlineStr">
        <is>
          <t>KALMAR LÄN</t>
        </is>
      </c>
      <c r="E1161" t="inlineStr">
        <is>
          <t>VÄSTERVIK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40973-2023</t>
        </is>
      </c>
      <c r="B1162" s="1" t="n">
        <v>45173</v>
      </c>
      <c r="C1162" s="1" t="n">
        <v>45633</v>
      </c>
      <c r="D1162" t="inlineStr">
        <is>
          <t>KALMAR LÄN</t>
        </is>
      </c>
      <c r="E1162" t="inlineStr">
        <is>
          <t>VÄSTERVIK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40935-2023</t>
        </is>
      </c>
      <c r="B1163" s="1" t="n">
        <v>45173</v>
      </c>
      <c r="C1163" s="1" t="n">
        <v>45633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40977-2023</t>
        </is>
      </c>
      <c r="B1164" s="1" t="n">
        <v>45173</v>
      </c>
      <c r="C1164" s="1" t="n">
        <v>45633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41342-2023</t>
        </is>
      </c>
      <c r="B1165" s="1" t="n">
        <v>45174</v>
      </c>
      <c r="C1165" s="1" t="n">
        <v>45633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41994-2023</t>
        </is>
      </c>
      <c r="B1166" s="1" t="n">
        <v>45177</v>
      </c>
      <c r="C1166" s="1" t="n">
        <v>45633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42415-2023</t>
        </is>
      </c>
      <c r="B1167" s="1" t="n">
        <v>45180</v>
      </c>
      <c r="C1167" s="1" t="n">
        <v>45633</v>
      </c>
      <c r="D1167" t="inlineStr">
        <is>
          <t>KALMAR LÄN</t>
        </is>
      </c>
      <c r="E1167" t="inlineStr">
        <is>
          <t>VÄSTERVIK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42331-2023</t>
        </is>
      </c>
      <c r="B1168" s="1" t="n">
        <v>45180</v>
      </c>
      <c r="C1168" s="1" t="n">
        <v>45633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42348-2023</t>
        </is>
      </c>
      <c r="B1169" s="1" t="n">
        <v>45180</v>
      </c>
      <c r="C1169" s="1" t="n">
        <v>45633</v>
      </c>
      <c r="D1169" t="inlineStr">
        <is>
          <t>KALMAR LÄN</t>
        </is>
      </c>
      <c r="E1169" t="inlineStr">
        <is>
          <t>VÄSTERVIK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43660-2023</t>
        </is>
      </c>
      <c r="B1170" s="1" t="n">
        <v>45187</v>
      </c>
      <c r="C1170" s="1" t="n">
        <v>45633</v>
      </c>
      <c r="D1170" t="inlineStr">
        <is>
          <t>KALMAR LÄN</t>
        </is>
      </c>
      <c r="E1170" t="inlineStr">
        <is>
          <t>VÄSTERVIK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43759-2023</t>
        </is>
      </c>
      <c r="B1171" s="1" t="n">
        <v>45187</v>
      </c>
      <c r="C1171" s="1" t="n">
        <v>45633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43900-2023</t>
        </is>
      </c>
      <c r="B1172" s="1" t="n">
        <v>45187</v>
      </c>
      <c r="C1172" s="1" t="n">
        <v>45633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44705-2023</t>
        </is>
      </c>
      <c r="B1173" s="1" t="n">
        <v>45190</v>
      </c>
      <c r="C1173" s="1" t="n">
        <v>45633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44714-2023</t>
        </is>
      </c>
      <c r="B1174" s="1" t="n">
        <v>45190</v>
      </c>
      <c r="C1174" s="1" t="n">
        <v>45633</v>
      </c>
      <c r="D1174" t="inlineStr">
        <is>
          <t>KALMAR LÄN</t>
        </is>
      </c>
      <c r="E1174" t="inlineStr">
        <is>
          <t>VÄSTERVIK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44749-2023</t>
        </is>
      </c>
      <c r="B1175" s="1" t="n">
        <v>45190</v>
      </c>
      <c r="C1175" s="1" t="n">
        <v>45633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44721-2023</t>
        </is>
      </c>
      <c r="B1176" s="1" t="n">
        <v>45190</v>
      </c>
      <c r="C1176" s="1" t="n">
        <v>45633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45192-2023</t>
        </is>
      </c>
      <c r="B1177" s="1" t="n">
        <v>45191</v>
      </c>
      <c r="C1177" s="1" t="n">
        <v>45633</v>
      </c>
      <c r="D1177" t="inlineStr">
        <is>
          <t>KALMAR LÄN</t>
        </is>
      </c>
      <c r="E1177" t="inlineStr">
        <is>
          <t>VÄSTERVIK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45202-2023</t>
        </is>
      </c>
      <c r="B1178" s="1" t="n">
        <v>45191</v>
      </c>
      <c r="C1178" s="1" t="n">
        <v>45633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45190-2023</t>
        </is>
      </c>
      <c r="B1179" s="1" t="n">
        <v>45191</v>
      </c>
      <c r="C1179" s="1" t="n">
        <v>45633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45396-2023</t>
        </is>
      </c>
      <c r="B1180" s="1" t="n">
        <v>45194</v>
      </c>
      <c r="C1180" s="1" t="n">
        <v>45633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45474-2023</t>
        </is>
      </c>
      <c r="B1181" s="1" t="n">
        <v>45194</v>
      </c>
      <c r="C1181" s="1" t="n">
        <v>45633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45450-2023</t>
        </is>
      </c>
      <c r="B1182" s="1" t="n">
        <v>45194</v>
      </c>
      <c r="C1182" s="1" t="n">
        <v>45633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45460-2023</t>
        </is>
      </c>
      <c r="B1183" s="1" t="n">
        <v>45194</v>
      </c>
      <c r="C1183" s="1" t="n">
        <v>45633</v>
      </c>
      <c r="D1183" t="inlineStr">
        <is>
          <t>KALMAR LÄN</t>
        </is>
      </c>
      <c r="E1183" t="inlineStr">
        <is>
          <t>VÄSTERVIK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45921-2023</t>
        </is>
      </c>
      <c r="B1184" s="1" t="n">
        <v>45195</v>
      </c>
      <c r="C1184" s="1" t="n">
        <v>45633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46088-2023</t>
        </is>
      </c>
      <c r="B1185" s="1" t="n">
        <v>45196</v>
      </c>
      <c r="C1185" s="1" t="n">
        <v>45633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46124-2023</t>
        </is>
      </c>
      <c r="B1186" s="1" t="n">
        <v>45196</v>
      </c>
      <c r="C1186" s="1" t="n">
        <v>45633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46129-2023</t>
        </is>
      </c>
      <c r="B1187" s="1" t="n">
        <v>45196</v>
      </c>
      <c r="C1187" s="1" t="n">
        <v>45633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46067-2023</t>
        </is>
      </c>
      <c r="B1188" s="1" t="n">
        <v>45196</v>
      </c>
      <c r="C1188" s="1" t="n">
        <v>45633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46064-2023</t>
        </is>
      </c>
      <c r="B1189" s="1" t="n">
        <v>45196</v>
      </c>
      <c r="C1189" s="1" t="n">
        <v>45633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46069-2023</t>
        </is>
      </c>
      <c r="B1190" s="1" t="n">
        <v>45196</v>
      </c>
      <c r="C1190" s="1" t="n">
        <v>45633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46130-2023</t>
        </is>
      </c>
      <c r="B1191" s="1" t="n">
        <v>45196</v>
      </c>
      <c r="C1191" s="1" t="n">
        <v>45633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46066-2023</t>
        </is>
      </c>
      <c r="B1192" s="1" t="n">
        <v>45196</v>
      </c>
      <c r="C1192" s="1" t="n">
        <v>45633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46070-2023</t>
        </is>
      </c>
      <c r="B1193" s="1" t="n">
        <v>45196</v>
      </c>
      <c r="C1193" s="1" t="n">
        <v>45633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46121-2023</t>
        </is>
      </c>
      <c r="B1194" s="1" t="n">
        <v>45196</v>
      </c>
      <c r="C1194" s="1" t="n">
        <v>45633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46126-2023</t>
        </is>
      </c>
      <c r="B1195" s="1" t="n">
        <v>45196</v>
      </c>
      <c r="C1195" s="1" t="n">
        <v>45633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46131-2023</t>
        </is>
      </c>
      <c r="B1196" s="1" t="n">
        <v>45196</v>
      </c>
      <c r="C1196" s="1" t="n">
        <v>45633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46598-2023</t>
        </is>
      </c>
      <c r="B1197" s="1" t="n">
        <v>45198</v>
      </c>
      <c r="C1197" s="1" t="n">
        <v>45633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46717-2023</t>
        </is>
      </c>
      <c r="B1198" s="1" t="n">
        <v>45198</v>
      </c>
      <c r="C1198" s="1" t="n">
        <v>45633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46718-2023</t>
        </is>
      </c>
      <c r="B1199" s="1" t="n">
        <v>45198</v>
      </c>
      <c r="C1199" s="1" t="n">
        <v>45633</v>
      </c>
      <c r="D1199" t="inlineStr">
        <is>
          <t>KALMAR LÄN</t>
        </is>
      </c>
      <c r="E1199" t="inlineStr">
        <is>
          <t>VÄSTERVIK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47123-2023</t>
        </is>
      </c>
      <c r="B1200" s="1" t="n">
        <v>45201</v>
      </c>
      <c r="C1200" s="1" t="n">
        <v>45633</v>
      </c>
      <c r="D1200" t="inlineStr">
        <is>
          <t>KALMAR LÄN</t>
        </is>
      </c>
      <c r="E1200" t="inlineStr">
        <is>
          <t>VÄSTERVIK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46920-2023</t>
        </is>
      </c>
      <c r="B1201" s="1" t="n">
        <v>45201</v>
      </c>
      <c r="C1201" s="1" t="n">
        <v>45633</v>
      </c>
      <c r="D1201" t="inlineStr">
        <is>
          <t>KALMAR LÄN</t>
        </is>
      </c>
      <c r="E1201" t="inlineStr">
        <is>
          <t>VÄSTERVIK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47111-2023</t>
        </is>
      </c>
      <c r="B1202" s="1" t="n">
        <v>45201</v>
      </c>
      <c r="C1202" s="1" t="n">
        <v>45633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47120-2023</t>
        </is>
      </c>
      <c r="B1203" s="1" t="n">
        <v>45201</v>
      </c>
      <c r="C1203" s="1" t="n">
        <v>45633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47124-2023</t>
        </is>
      </c>
      <c r="B1204" s="1" t="n">
        <v>45201</v>
      </c>
      <c r="C1204" s="1" t="n">
        <v>45633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46970-2023</t>
        </is>
      </c>
      <c r="B1205" s="1" t="n">
        <v>45201</v>
      </c>
      <c r="C1205" s="1" t="n">
        <v>45633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46968-2023</t>
        </is>
      </c>
      <c r="B1206" s="1" t="n">
        <v>45201</v>
      </c>
      <c r="C1206" s="1" t="n">
        <v>45633</v>
      </c>
      <c r="D1206" t="inlineStr">
        <is>
          <t>KALMAR LÄN</t>
        </is>
      </c>
      <c r="E1206" t="inlineStr">
        <is>
          <t>VÄSTERVIK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47414-2023</t>
        </is>
      </c>
      <c r="B1207" s="1" t="n">
        <v>45202</v>
      </c>
      <c r="C1207" s="1" t="n">
        <v>45633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47267-2023</t>
        </is>
      </c>
      <c r="B1208" s="1" t="n">
        <v>45202</v>
      </c>
      <c r="C1208" s="1" t="n">
        <v>45633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47363-2023</t>
        </is>
      </c>
      <c r="B1209" s="1" t="n">
        <v>45202</v>
      </c>
      <c r="C1209" s="1" t="n">
        <v>45633</v>
      </c>
      <c r="D1209" t="inlineStr">
        <is>
          <t>KALMAR LÄN</t>
        </is>
      </c>
      <c r="E1209" t="inlineStr">
        <is>
          <t>VÄSTERVIK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47964-2023</t>
        </is>
      </c>
      <c r="B1210" s="1" t="n">
        <v>45204</v>
      </c>
      <c r="C1210" s="1" t="n">
        <v>45633</v>
      </c>
      <c r="D1210" t="inlineStr">
        <is>
          <t>KALMAR LÄN</t>
        </is>
      </c>
      <c r="E1210" t="inlineStr">
        <is>
          <t>VÄSTERVIK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47945-2023</t>
        </is>
      </c>
      <c r="B1211" s="1" t="n">
        <v>45204</v>
      </c>
      <c r="C1211" s="1" t="n">
        <v>45633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47939-2023</t>
        </is>
      </c>
      <c r="B1212" s="1" t="n">
        <v>45204</v>
      </c>
      <c r="C1212" s="1" t="n">
        <v>45633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48039-2023</t>
        </is>
      </c>
      <c r="B1213" s="1" t="n">
        <v>45204</v>
      </c>
      <c r="C1213" s="1" t="n">
        <v>45633</v>
      </c>
      <c r="D1213" t="inlineStr">
        <is>
          <t>KALMAR LÄN</t>
        </is>
      </c>
      <c r="E1213" t="inlineStr">
        <is>
          <t>VÄSTERVIK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48043-2023</t>
        </is>
      </c>
      <c r="B1214" s="1" t="n">
        <v>45204</v>
      </c>
      <c r="C1214" s="1" t="n">
        <v>45633</v>
      </c>
      <c r="D1214" t="inlineStr">
        <is>
          <t>KALMAR LÄN</t>
        </is>
      </c>
      <c r="E1214" t="inlineStr">
        <is>
          <t>VÄSTERVIK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48041-2023</t>
        </is>
      </c>
      <c r="B1215" s="1" t="n">
        <v>45204</v>
      </c>
      <c r="C1215" s="1" t="n">
        <v>45633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47967-2023</t>
        </is>
      </c>
      <c r="B1216" s="1" t="n">
        <v>45204</v>
      </c>
      <c r="C1216" s="1" t="n">
        <v>45633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48511-2023</t>
        </is>
      </c>
      <c r="B1217" s="1" t="n">
        <v>45208</v>
      </c>
      <c r="C1217" s="1" t="n">
        <v>45633</v>
      </c>
      <c r="D1217" t="inlineStr">
        <is>
          <t>KALMAR LÄN</t>
        </is>
      </c>
      <c r="E1217" t="inlineStr">
        <is>
          <t>VÄSTERVIK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49177-2023</t>
        </is>
      </c>
      <c r="B1218" s="1" t="n">
        <v>45210</v>
      </c>
      <c r="C1218" s="1" t="n">
        <v>45633</v>
      </c>
      <c r="D1218" t="inlineStr">
        <is>
          <t>KALMAR LÄN</t>
        </is>
      </c>
      <c r="E1218" t="inlineStr">
        <is>
          <t>VÄSTERVIK</t>
        </is>
      </c>
      <c r="G1218" t="n">
        <v>16.7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49351-2023</t>
        </is>
      </c>
      <c r="B1219" s="1" t="n">
        <v>45211</v>
      </c>
      <c r="C1219" s="1" t="n">
        <v>45633</v>
      </c>
      <c r="D1219" t="inlineStr">
        <is>
          <t>KALMAR LÄN</t>
        </is>
      </c>
      <c r="E1219" t="inlineStr">
        <is>
          <t>VÄSTERVIK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49355-2023</t>
        </is>
      </c>
      <c r="B1220" s="1" t="n">
        <v>45211</v>
      </c>
      <c r="C1220" s="1" t="n">
        <v>45633</v>
      </c>
      <c r="D1220" t="inlineStr">
        <is>
          <t>KALMAR LÄN</t>
        </is>
      </c>
      <c r="E1220" t="inlineStr">
        <is>
          <t>VÄSTERVIK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49369-2023</t>
        </is>
      </c>
      <c r="B1221" s="1" t="n">
        <v>45211</v>
      </c>
      <c r="C1221" s="1" t="n">
        <v>45633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49452-2023</t>
        </is>
      </c>
      <c r="B1222" s="1" t="n">
        <v>45211</v>
      </c>
      <c r="C1222" s="1" t="n">
        <v>45633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49479-2023</t>
        </is>
      </c>
      <c r="B1223" s="1" t="n">
        <v>45211</v>
      </c>
      <c r="C1223" s="1" t="n">
        <v>45633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49507-2023</t>
        </is>
      </c>
      <c r="B1224" s="1" t="n">
        <v>45211</v>
      </c>
      <c r="C1224" s="1" t="n">
        <v>45633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49516-2023</t>
        </is>
      </c>
      <c r="B1225" s="1" t="n">
        <v>45211</v>
      </c>
      <c r="C1225" s="1" t="n">
        <v>45633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49442-2023</t>
        </is>
      </c>
      <c r="B1226" s="1" t="n">
        <v>45211</v>
      </c>
      <c r="C1226" s="1" t="n">
        <v>45633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49468-2023</t>
        </is>
      </c>
      <c r="B1227" s="1" t="n">
        <v>45211</v>
      </c>
      <c r="C1227" s="1" t="n">
        <v>45633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49580-2023</t>
        </is>
      </c>
      <c r="B1228" s="1" t="n">
        <v>45211</v>
      </c>
      <c r="C1228" s="1" t="n">
        <v>45633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50042-2023</t>
        </is>
      </c>
      <c r="B1229" s="1" t="n">
        <v>45215</v>
      </c>
      <c r="C1229" s="1" t="n">
        <v>45633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50127-2023</t>
        </is>
      </c>
      <c r="B1230" s="1" t="n">
        <v>45215</v>
      </c>
      <c r="C1230" s="1" t="n">
        <v>45633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50001-2023</t>
        </is>
      </c>
      <c r="B1231" s="1" t="n">
        <v>45215</v>
      </c>
      <c r="C1231" s="1" t="n">
        <v>45633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50045-2023</t>
        </is>
      </c>
      <c r="B1232" s="1" t="n">
        <v>45215</v>
      </c>
      <c r="C1232" s="1" t="n">
        <v>45633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50086-2023</t>
        </is>
      </c>
      <c r="B1233" s="1" t="n">
        <v>45215</v>
      </c>
      <c r="C1233" s="1" t="n">
        <v>45633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52043-2023</t>
        </is>
      </c>
      <c r="B1234" s="1" t="n">
        <v>45216</v>
      </c>
      <c r="C1234" s="1" t="n">
        <v>45633</v>
      </c>
      <c r="D1234" t="inlineStr">
        <is>
          <t>KALMAR LÄN</t>
        </is>
      </c>
      <c r="E1234" t="inlineStr">
        <is>
          <t>VÄSTERVIK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52049-2023</t>
        </is>
      </c>
      <c r="B1235" s="1" t="n">
        <v>45216</v>
      </c>
      <c r="C1235" s="1" t="n">
        <v>45633</v>
      </c>
      <c r="D1235" t="inlineStr">
        <is>
          <t>KALMAR LÄN</t>
        </is>
      </c>
      <c r="E1235" t="inlineStr">
        <is>
          <t>VÄSTERVIK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52035-2023</t>
        </is>
      </c>
      <c r="B1236" s="1" t="n">
        <v>45216</v>
      </c>
      <c r="C1236" s="1" t="n">
        <v>45633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51524-2023</t>
        </is>
      </c>
      <c r="B1237" s="1" t="n">
        <v>45222</v>
      </c>
      <c r="C1237" s="1" t="n">
        <v>45633</v>
      </c>
      <c r="D1237" t="inlineStr">
        <is>
          <t>KALMAR LÄN</t>
        </is>
      </c>
      <c r="E1237" t="inlineStr">
        <is>
          <t>VÄSTERVIK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51640-2023</t>
        </is>
      </c>
      <c r="B1238" s="1" t="n">
        <v>45222</v>
      </c>
      <c r="C1238" s="1" t="n">
        <v>45633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51645-2023</t>
        </is>
      </c>
      <c r="B1239" s="1" t="n">
        <v>45222</v>
      </c>
      <c r="C1239" s="1" t="n">
        <v>45633</v>
      </c>
      <c r="D1239" t="inlineStr">
        <is>
          <t>KALMAR LÄN</t>
        </is>
      </c>
      <c r="E1239" t="inlineStr">
        <is>
          <t>VÄSTERVIK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51581-2023</t>
        </is>
      </c>
      <c r="B1240" s="1" t="n">
        <v>45222</v>
      </c>
      <c r="C1240" s="1" t="n">
        <v>45633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52189-2023</t>
        </is>
      </c>
      <c r="B1241" s="1" t="n">
        <v>45224</v>
      </c>
      <c r="C1241" s="1" t="n">
        <v>45633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52325-2023</t>
        </is>
      </c>
      <c r="B1242" s="1" t="n">
        <v>45224</v>
      </c>
      <c r="C1242" s="1" t="n">
        <v>45633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52468-2023</t>
        </is>
      </c>
      <c r="B1243" s="1" t="n">
        <v>45225</v>
      </c>
      <c r="C1243" s="1" t="n">
        <v>45633</v>
      </c>
      <c r="D1243" t="inlineStr">
        <is>
          <t>KALMAR LÄN</t>
        </is>
      </c>
      <c r="E1243" t="inlineStr">
        <is>
          <t>VÄSTERVIK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52845-2023</t>
        </is>
      </c>
      <c r="B1244" s="1" t="n">
        <v>45226</v>
      </c>
      <c r="C1244" s="1" t="n">
        <v>45633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52844-2023</t>
        </is>
      </c>
      <c r="B1245" s="1" t="n">
        <v>45226</v>
      </c>
      <c r="C1245" s="1" t="n">
        <v>45633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54124-2023</t>
        </is>
      </c>
      <c r="B1246" s="1" t="n">
        <v>45232</v>
      </c>
      <c r="C1246" s="1" t="n">
        <v>45633</v>
      </c>
      <c r="D1246" t="inlineStr">
        <is>
          <t>KALMAR LÄN</t>
        </is>
      </c>
      <c r="E1246" t="inlineStr">
        <is>
          <t>VÄSTERVIK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54135-2023</t>
        </is>
      </c>
      <c r="B1247" s="1" t="n">
        <v>45232</v>
      </c>
      <c r="C1247" s="1" t="n">
        <v>45633</v>
      </c>
      <c r="D1247" t="inlineStr">
        <is>
          <t>KALMAR LÄN</t>
        </is>
      </c>
      <c r="E1247" t="inlineStr">
        <is>
          <t>VÄSTERVIK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54232-2023</t>
        </is>
      </c>
      <c r="B1248" s="1" t="n">
        <v>45232</v>
      </c>
      <c r="C1248" s="1" t="n">
        <v>45633</v>
      </c>
      <c r="D1248" t="inlineStr">
        <is>
          <t>KALMAR LÄN</t>
        </is>
      </c>
      <c r="E1248" t="inlineStr">
        <is>
          <t>VÄSTERVIK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54569-2023</t>
        </is>
      </c>
      <c r="B1249" s="1" t="n">
        <v>45233</v>
      </c>
      <c r="C1249" s="1" t="n">
        <v>45633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54358-2023</t>
        </is>
      </c>
      <c r="B1250" s="1" t="n">
        <v>45233</v>
      </c>
      <c r="C1250" s="1" t="n">
        <v>45633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54778-2023</t>
        </is>
      </c>
      <c r="B1251" s="1" t="n">
        <v>45236</v>
      </c>
      <c r="C1251" s="1" t="n">
        <v>45633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54951-2023</t>
        </is>
      </c>
      <c r="B1252" s="1" t="n">
        <v>45236</v>
      </c>
      <c r="C1252" s="1" t="n">
        <v>45633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55007-2023</t>
        </is>
      </c>
      <c r="B1253" s="1" t="n">
        <v>45237</v>
      </c>
      <c r="C1253" s="1" t="n">
        <v>45633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54950-2023</t>
        </is>
      </c>
      <c r="B1254" s="1" t="n">
        <v>45236</v>
      </c>
      <c r="C1254" s="1" t="n">
        <v>45633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54784-2023</t>
        </is>
      </c>
      <c r="B1255" s="1" t="n">
        <v>45236</v>
      </c>
      <c r="C1255" s="1" t="n">
        <v>45633</v>
      </c>
      <c r="D1255" t="inlineStr">
        <is>
          <t>KALMAR LÄN</t>
        </is>
      </c>
      <c r="E1255" t="inlineStr">
        <is>
          <t>VÄSTERVIK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54953-2023</t>
        </is>
      </c>
      <c r="B1256" s="1" t="n">
        <v>45236</v>
      </c>
      <c r="C1256" s="1" t="n">
        <v>45633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55287-2023</t>
        </is>
      </c>
      <c r="B1257" s="1" t="n">
        <v>45237</v>
      </c>
      <c r="C1257" s="1" t="n">
        <v>45633</v>
      </c>
      <c r="D1257" t="inlineStr">
        <is>
          <t>KALMAR LÄN</t>
        </is>
      </c>
      <c r="E1257" t="inlineStr">
        <is>
          <t>VÄSTERVIK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55289-2023</t>
        </is>
      </c>
      <c r="B1258" s="1" t="n">
        <v>45237</v>
      </c>
      <c r="C1258" s="1" t="n">
        <v>45633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55403-2023</t>
        </is>
      </c>
      <c r="B1259" s="1" t="n">
        <v>45238</v>
      </c>
      <c r="C1259" s="1" t="n">
        <v>45633</v>
      </c>
      <c r="D1259" t="inlineStr">
        <is>
          <t>KALMAR LÄN</t>
        </is>
      </c>
      <c r="E1259" t="inlineStr">
        <is>
          <t>VÄSTERVIK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55578-2023</t>
        </is>
      </c>
      <c r="B1260" s="1" t="n">
        <v>45238</v>
      </c>
      <c r="C1260" s="1" t="n">
        <v>45633</v>
      </c>
      <c r="D1260" t="inlineStr">
        <is>
          <t>KALMAR LÄN</t>
        </is>
      </c>
      <c r="E1260" t="inlineStr">
        <is>
          <t>VÄSTERVIK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56719-2023</t>
        </is>
      </c>
      <c r="B1261" s="1" t="n">
        <v>45238</v>
      </c>
      <c r="C1261" s="1" t="n">
        <v>45633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55866-2023</t>
        </is>
      </c>
      <c r="B1262" s="1" t="n">
        <v>45239</v>
      </c>
      <c r="C1262" s="1" t="n">
        <v>45633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55958-2023</t>
        </is>
      </c>
      <c r="B1263" s="1" t="n">
        <v>45240</v>
      </c>
      <c r="C1263" s="1" t="n">
        <v>45633</v>
      </c>
      <c r="D1263" t="inlineStr">
        <is>
          <t>KALMAR LÄN</t>
        </is>
      </c>
      <c r="E1263" t="inlineStr">
        <is>
          <t>VÄSTERVIK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56188-2023</t>
        </is>
      </c>
      <c r="B1264" s="1" t="n">
        <v>45240</v>
      </c>
      <c r="C1264" s="1" t="n">
        <v>45633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56033-2023</t>
        </is>
      </c>
      <c r="B1265" s="1" t="n">
        <v>45240</v>
      </c>
      <c r="C1265" s="1" t="n">
        <v>45633</v>
      </c>
      <c r="D1265" t="inlineStr">
        <is>
          <t>KALMAR LÄN</t>
        </is>
      </c>
      <c r="E1265" t="inlineStr">
        <is>
          <t>VÄSTERVIK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56187-2023</t>
        </is>
      </c>
      <c r="B1266" s="1" t="n">
        <v>45240</v>
      </c>
      <c r="C1266" s="1" t="n">
        <v>45633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HYPERLINK("https://klasma.github.io/Logging_0883/knärot/A 56187-2023 karta knärot.png", "A 56187-2023")</f>
        <v/>
      </c>
      <c r="V1266">
        <f>HYPERLINK("https://klasma.github.io/Logging_0883/klagomål/A 56187-2023 FSC-klagomål.docx", "A 56187-2023")</f>
        <v/>
      </c>
      <c r="W1266">
        <f>HYPERLINK("https://klasma.github.io/Logging_0883/klagomålsmail/A 56187-2023 FSC-klagomål mail.docx", "A 56187-2023")</f>
        <v/>
      </c>
      <c r="X1266">
        <f>HYPERLINK("https://klasma.github.io/Logging_0883/tillsyn/A 56187-2023 tillsynsbegäran.docx", "A 56187-2023")</f>
        <v/>
      </c>
      <c r="Y1266">
        <f>HYPERLINK("https://klasma.github.io/Logging_0883/tillsynsmail/A 56187-2023 tillsynsbegäran mail.docx", "A 56187-2023")</f>
        <v/>
      </c>
    </row>
    <row r="1267" ht="15" customHeight="1">
      <c r="A1267" t="inlineStr">
        <is>
          <t>A 56042-2023</t>
        </is>
      </c>
      <c r="B1267" s="1" t="n">
        <v>45240</v>
      </c>
      <c r="C1267" s="1" t="n">
        <v>45633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56046-2023</t>
        </is>
      </c>
      <c r="B1268" s="1" t="n">
        <v>45240</v>
      </c>
      <c r="C1268" s="1" t="n">
        <v>45633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57019-2023</t>
        </is>
      </c>
      <c r="B1269" s="1" t="n">
        <v>45244</v>
      </c>
      <c r="C1269" s="1" t="n">
        <v>45633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57025-2023</t>
        </is>
      </c>
      <c r="B1270" s="1" t="n">
        <v>45244</v>
      </c>
      <c r="C1270" s="1" t="n">
        <v>45633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57367-2023</t>
        </is>
      </c>
      <c r="B1271" s="1" t="n">
        <v>45245</v>
      </c>
      <c r="C1271" s="1" t="n">
        <v>45633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57162-2023</t>
        </is>
      </c>
      <c r="B1272" s="1" t="n">
        <v>45245</v>
      </c>
      <c r="C1272" s="1" t="n">
        <v>45633</v>
      </c>
      <c r="D1272" t="inlineStr">
        <is>
          <t>KALMAR LÄN</t>
        </is>
      </c>
      <c r="E1272" t="inlineStr">
        <is>
          <t>VÄSTERVIK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57369-2023</t>
        </is>
      </c>
      <c r="B1273" s="1" t="n">
        <v>45245</v>
      </c>
      <c r="C1273" s="1" t="n">
        <v>45633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57368-2023</t>
        </is>
      </c>
      <c r="B1274" s="1" t="n">
        <v>45245</v>
      </c>
      <c r="C1274" s="1" t="n">
        <v>45633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57366-2023</t>
        </is>
      </c>
      <c r="B1275" s="1" t="n">
        <v>45245</v>
      </c>
      <c r="C1275" s="1" t="n">
        <v>45633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57757-2023</t>
        </is>
      </c>
      <c r="B1276" s="1" t="n">
        <v>45246</v>
      </c>
      <c r="C1276" s="1" t="n">
        <v>45633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58454-2023</t>
        </is>
      </c>
      <c r="B1277" s="1" t="n">
        <v>45250</v>
      </c>
      <c r="C1277" s="1" t="n">
        <v>45633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58703-2023</t>
        </is>
      </c>
      <c r="B1278" s="1" t="n">
        <v>45251</v>
      </c>
      <c r="C1278" s="1" t="n">
        <v>45633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59331-2023</t>
        </is>
      </c>
      <c r="B1279" s="1" t="n">
        <v>45253</v>
      </c>
      <c r="C1279" s="1" t="n">
        <v>45633</v>
      </c>
      <c r="D1279" t="inlineStr">
        <is>
          <t>KALMAR LÄN</t>
        </is>
      </c>
      <c r="E1279" t="inlineStr">
        <is>
          <t>VÄSTERVIK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59539-2023</t>
        </is>
      </c>
      <c r="B1280" s="1" t="n">
        <v>45254</v>
      </c>
      <c r="C1280" s="1" t="n">
        <v>45633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59696-2023</t>
        </is>
      </c>
      <c r="B1281" s="1" t="n">
        <v>45256</v>
      </c>
      <c r="C1281" s="1" t="n">
        <v>45633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59695-2023</t>
        </is>
      </c>
      <c r="B1282" s="1" t="n">
        <v>45256</v>
      </c>
      <c r="C1282" s="1" t="n">
        <v>45633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59732-2023</t>
        </is>
      </c>
      <c r="B1283" s="1" t="n">
        <v>45257</v>
      </c>
      <c r="C1283" s="1" t="n">
        <v>45633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59844-2023</t>
        </is>
      </c>
      <c r="B1284" s="1" t="n">
        <v>45257</v>
      </c>
      <c r="C1284" s="1" t="n">
        <v>45633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59847-2023</t>
        </is>
      </c>
      <c r="B1285" s="1" t="n">
        <v>45257</v>
      </c>
      <c r="C1285" s="1" t="n">
        <v>45633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60056-2023</t>
        </is>
      </c>
      <c r="B1286" s="1" t="n">
        <v>45258</v>
      </c>
      <c r="C1286" s="1" t="n">
        <v>45633</v>
      </c>
      <c r="D1286" t="inlineStr">
        <is>
          <t>KALMAR LÄN</t>
        </is>
      </c>
      <c r="E1286" t="inlineStr">
        <is>
          <t>VÄSTERVIK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60196-2023</t>
        </is>
      </c>
      <c r="B1287" s="1" t="n">
        <v>45258</v>
      </c>
      <c r="C1287" s="1" t="n">
        <v>45633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60179-2023</t>
        </is>
      </c>
      <c r="B1288" s="1" t="n">
        <v>45258</v>
      </c>
      <c r="C1288" s="1" t="n">
        <v>45633</v>
      </c>
      <c r="D1288" t="inlineStr">
        <is>
          <t>KALMAR LÄN</t>
        </is>
      </c>
      <c r="E1288" t="inlineStr">
        <is>
          <t>VÄSTERVIK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60187-2023</t>
        </is>
      </c>
      <c r="B1289" s="1" t="n">
        <v>45258</v>
      </c>
      <c r="C1289" s="1" t="n">
        <v>45633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60300-2023</t>
        </is>
      </c>
      <c r="B1290" s="1" t="n">
        <v>45258</v>
      </c>
      <c r="C1290" s="1" t="n">
        <v>45633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60634-2023</t>
        </is>
      </c>
      <c r="B1291" s="1" t="n">
        <v>45260</v>
      </c>
      <c r="C1291" s="1" t="n">
        <v>45633</v>
      </c>
      <c r="D1291" t="inlineStr">
        <is>
          <t>KALMAR LÄN</t>
        </is>
      </c>
      <c r="E1291" t="inlineStr">
        <is>
          <t>VÄSTERVIK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60921-2023</t>
        </is>
      </c>
      <c r="B1292" s="1" t="n">
        <v>45261</v>
      </c>
      <c r="C1292" s="1" t="n">
        <v>45633</v>
      </c>
      <c r="D1292" t="inlineStr">
        <is>
          <t>KALMAR LÄN</t>
        </is>
      </c>
      <c r="E1292" t="inlineStr">
        <is>
          <t>VÄSTERVIK</t>
        </is>
      </c>
      <c r="G1292" t="n">
        <v>11.1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61556-2023</t>
        </is>
      </c>
      <c r="B1293" s="1" t="n">
        <v>45261</v>
      </c>
      <c r="C1293" s="1" t="n">
        <v>45633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61450-2023</t>
        </is>
      </c>
      <c r="B1294" s="1" t="n">
        <v>45264</v>
      </c>
      <c r="C1294" s="1" t="n">
        <v>45633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61449-2023</t>
        </is>
      </c>
      <c r="B1295" s="1" t="n">
        <v>45264</v>
      </c>
      <c r="C1295" s="1" t="n">
        <v>45633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61448-2023</t>
        </is>
      </c>
      <c r="B1296" s="1" t="n">
        <v>45264</v>
      </c>
      <c r="C1296" s="1" t="n">
        <v>45633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61728-2023</t>
        </is>
      </c>
      <c r="B1297" s="1" t="n">
        <v>45265</v>
      </c>
      <c r="C1297" s="1" t="n">
        <v>45633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61746-2023</t>
        </is>
      </c>
      <c r="B1298" s="1" t="n">
        <v>45265</v>
      </c>
      <c r="C1298" s="1" t="n">
        <v>45633</v>
      </c>
      <c r="D1298" t="inlineStr">
        <is>
          <t>KALMAR LÄN</t>
        </is>
      </c>
      <c r="E1298" t="inlineStr">
        <is>
          <t>VÄSTERVIK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61807-2023</t>
        </is>
      </c>
      <c r="B1299" s="1" t="n">
        <v>45266</v>
      </c>
      <c r="C1299" s="1" t="n">
        <v>45633</v>
      </c>
      <c r="D1299" t="inlineStr">
        <is>
          <t>KALMAR LÄN</t>
        </is>
      </c>
      <c r="E1299" t="inlineStr">
        <is>
          <t>VÄSTERVIK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61999-2023</t>
        </is>
      </c>
      <c r="B1300" s="1" t="n">
        <v>45266</v>
      </c>
      <c r="C1300" s="1" t="n">
        <v>45633</v>
      </c>
      <c r="D1300" t="inlineStr">
        <is>
          <t>KALMAR LÄN</t>
        </is>
      </c>
      <c r="E1300" t="inlineStr">
        <is>
          <t>VÄSTERVIK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62003-2023</t>
        </is>
      </c>
      <c r="B1301" s="1" t="n">
        <v>45266</v>
      </c>
      <c r="C1301" s="1" t="n">
        <v>45633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62017-2023</t>
        </is>
      </c>
      <c r="B1302" s="1" t="n">
        <v>45266</v>
      </c>
      <c r="C1302" s="1" t="n">
        <v>45633</v>
      </c>
      <c r="D1302" t="inlineStr">
        <is>
          <t>KALMAR LÄN</t>
        </is>
      </c>
      <c r="E1302" t="inlineStr">
        <is>
          <t>VÄSTERVIK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62027-2023</t>
        </is>
      </c>
      <c r="B1303" s="1" t="n">
        <v>45266</v>
      </c>
      <c r="C1303" s="1" t="n">
        <v>45633</v>
      </c>
      <c r="D1303" t="inlineStr">
        <is>
          <t>KALMAR LÄN</t>
        </is>
      </c>
      <c r="E1303" t="inlineStr">
        <is>
          <t>VÄSTERVIK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62034-2023</t>
        </is>
      </c>
      <c r="B1304" s="1" t="n">
        <v>45266</v>
      </c>
      <c r="C1304" s="1" t="n">
        <v>45633</v>
      </c>
      <c r="D1304" t="inlineStr">
        <is>
          <t>KALMAR LÄN</t>
        </is>
      </c>
      <c r="E1304" t="inlineStr">
        <is>
          <t>VÄSTERVIK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62340-2023</t>
        </is>
      </c>
      <c r="B1305" s="1" t="n">
        <v>45267</v>
      </c>
      <c r="C1305" s="1" t="n">
        <v>45633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62589-2023</t>
        </is>
      </c>
      <c r="B1306" s="1" t="n">
        <v>45270</v>
      </c>
      <c r="C1306" s="1" t="n">
        <v>45633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HYPERLINK("https://klasma.github.io/Logging_0883/knärot/A 62589-2023 karta knärot.png", "A 62589-2023")</f>
        <v/>
      </c>
      <c r="V1306">
        <f>HYPERLINK("https://klasma.github.io/Logging_0883/klagomål/A 62589-2023 FSC-klagomål.docx", "A 62589-2023")</f>
        <v/>
      </c>
      <c r="W1306">
        <f>HYPERLINK("https://klasma.github.io/Logging_0883/klagomålsmail/A 62589-2023 FSC-klagomål mail.docx", "A 62589-2023")</f>
        <v/>
      </c>
      <c r="X1306">
        <f>HYPERLINK("https://klasma.github.io/Logging_0883/tillsyn/A 62589-2023 tillsynsbegäran.docx", "A 62589-2023")</f>
        <v/>
      </c>
      <c r="Y1306">
        <f>HYPERLINK("https://klasma.github.io/Logging_0883/tillsynsmail/A 62589-2023 tillsynsbegäran mail.docx", "A 62589-2023")</f>
        <v/>
      </c>
    </row>
    <row r="1307" ht="15" customHeight="1">
      <c r="A1307" t="inlineStr">
        <is>
          <t>A 62898-2023</t>
        </is>
      </c>
      <c r="B1307" s="1" t="n">
        <v>45271</v>
      </c>
      <c r="C1307" s="1" t="n">
        <v>45633</v>
      </c>
      <c r="D1307" t="inlineStr">
        <is>
          <t>KALMAR LÄN</t>
        </is>
      </c>
      <c r="E1307" t="inlineStr">
        <is>
          <t>VÄSTERVIK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62888-2023</t>
        </is>
      </c>
      <c r="B1308" s="1" t="n">
        <v>45272</v>
      </c>
      <c r="C1308" s="1" t="n">
        <v>45633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63018-2023</t>
        </is>
      </c>
      <c r="B1309" s="1" t="n">
        <v>45272</v>
      </c>
      <c r="C1309" s="1" t="n">
        <v>45633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62873-2023</t>
        </is>
      </c>
      <c r="B1310" s="1" t="n">
        <v>45272</v>
      </c>
      <c r="C1310" s="1" t="n">
        <v>45633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62887-2023</t>
        </is>
      </c>
      <c r="B1311" s="1" t="n">
        <v>45272</v>
      </c>
      <c r="C1311" s="1" t="n">
        <v>45633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62850-2023</t>
        </is>
      </c>
      <c r="B1312" s="1" t="n">
        <v>45272</v>
      </c>
      <c r="C1312" s="1" t="n">
        <v>45633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62876-2023</t>
        </is>
      </c>
      <c r="B1313" s="1" t="n">
        <v>45272</v>
      </c>
      <c r="C1313" s="1" t="n">
        <v>45633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63023-2023</t>
        </is>
      </c>
      <c r="B1314" s="1" t="n">
        <v>45272</v>
      </c>
      <c r="C1314" s="1" t="n">
        <v>45633</v>
      </c>
      <c r="D1314" t="inlineStr">
        <is>
          <t>KALMAR LÄN</t>
        </is>
      </c>
      <c r="E1314" t="inlineStr">
        <is>
          <t>VÄSTERVIK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63043-2023</t>
        </is>
      </c>
      <c r="B1315" s="1" t="n">
        <v>45272</v>
      </c>
      <c r="C1315" s="1" t="n">
        <v>45633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62921-2023</t>
        </is>
      </c>
      <c r="B1316" s="1" t="n">
        <v>45272</v>
      </c>
      <c r="C1316" s="1" t="n">
        <v>45633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63017-2023</t>
        </is>
      </c>
      <c r="B1317" s="1" t="n">
        <v>45272</v>
      </c>
      <c r="C1317" s="1" t="n">
        <v>45633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63021-2023</t>
        </is>
      </c>
      <c r="B1318" s="1" t="n">
        <v>45272</v>
      </c>
      <c r="C1318" s="1" t="n">
        <v>45633</v>
      </c>
      <c r="D1318" t="inlineStr">
        <is>
          <t>KALMAR LÄN</t>
        </is>
      </c>
      <c r="E1318" t="inlineStr">
        <is>
          <t>VÄSTERVIK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63041-2023</t>
        </is>
      </c>
      <c r="B1319" s="1" t="n">
        <v>45272</v>
      </c>
      <c r="C1319" s="1" t="n">
        <v>45633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63361-2023</t>
        </is>
      </c>
      <c r="B1320" s="1" t="n">
        <v>45274</v>
      </c>
      <c r="C1320" s="1" t="n">
        <v>45633</v>
      </c>
      <c r="D1320" t="inlineStr">
        <is>
          <t>KALMAR LÄN</t>
        </is>
      </c>
      <c r="E1320" t="inlineStr">
        <is>
          <t>VÄSTERVIK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63606-2023</t>
        </is>
      </c>
      <c r="B1321" s="1" t="n">
        <v>45275</v>
      </c>
      <c r="C1321" s="1" t="n">
        <v>45633</v>
      </c>
      <c r="D1321" t="inlineStr">
        <is>
          <t>KALMAR LÄN</t>
        </is>
      </c>
      <c r="E1321" t="inlineStr">
        <is>
          <t>VÄSTERVIK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63890-2023</t>
        </is>
      </c>
      <c r="B1322" s="1" t="n">
        <v>45278</v>
      </c>
      <c r="C1322" s="1" t="n">
        <v>45633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63859-2023</t>
        </is>
      </c>
      <c r="B1323" s="1" t="n">
        <v>45278</v>
      </c>
      <c r="C1323" s="1" t="n">
        <v>45633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64040-2023</t>
        </is>
      </c>
      <c r="B1324" s="1" t="n">
        <v>45279</v>
      </c>
      <c r="C1324" s="1" t="n">
        <v>45633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64580-2023</t>
        </is>
      </c>
      <c r="B1325" s="1" t="n">
        <v>45281</v>
      </c>
      <c r="C1325" s="1" t="n">
        <v>45633</v>
      </c>
      <c r="D1325" t="inlineStr">
        <is>
          <t>KALMAR LÄN</t>
        </is>
      </c>
      <c r="E1325" t="inlineStr">
        <is>
          <t>VÄSTERVIK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64762-2023</t>
        </is>
      </c>
      <c r="B1326" s="1" t="n">
        <v>45282</v>
      </c>
      <c r="C1326" s="1" t="n">
        <v>45633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64763-2023</t>
        </is>
      </c>
      <c r="B1327" s="1" t="n">
        <v>45282</v>
      </c>
      <c r="C1327" s="1" t="n">
        <v>45633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64760-2023</t>
        </is>
      </c>
      <c r="B1328" s="1" t="n">
        <v>45282</v>
      </c>
      <c r="C1328" s="1" t="n">
        <v>45633</v>
      </c>
      <c r="D1328" t="inlineStr">
        <is>
          <t>KALMAR LÄN</t>
        </is>
      </c>
      <c r="E1328" t="inlineStr">
        <is>
          <t>VÄSTERVIK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64886-2023</t>
        </is>
      </c>
      <c r="B1329" s="1" t="n">
        <v>45282</v>
      </c>
      <c r="C1329" s="1" t="n">
        <v>45633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65046-2023</t>
        </is>
      </c>
      <c r="B1330" s="1" t="n">
        <v>45287</v>
      </c>
      <c r="C1330" s="1" t="n">
        <v>45633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65028-2023</t>
        </is>
      </c>
      <c r="B1331" s="1" t="n">
        <v>45287</v>
      </c>
      <c r="C1331" s="1" t="n">
        <v>45633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65059-2023</t>
        </is>
      </c>
      <c r="B1332" s="1" t="n">
        <v>45287</v>
      </c>
      <c r="C1332" s="1" t="n">
        <v>45633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338-2024</t>
        </is>
      </c>
      <c r="B1333" s="1" t="n">
        <v>45295</v>
      </c>
      <c r="C1333" s="1" t="n">
        <v>45633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340-2024</t>
        </is>
      </c>
      <c r="B1334" s="1" t="n">
        <v>45295</v>
      </c>
      <c r="C1334" s="1" t="n">
        <v>45633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492-2024</t>
        </is>
      </c>
      <c r="B1335" s="1" t="n">
        <v>45299</v>
      </c>
      <c r="C1335" s="1" t="n">
        <v>45633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782-2024</t>
        </is>
      </c>
      <c r="B1336" s="1" t="n">
        <v>45300</v>
      </c>
      <c r="C1336" s="1" t="n">
        <v>45633</v>
      </c>
      <c r="D1336" t="inlineStr">
        <is>
          <t>KALMAR LÄN</t>
        </is>
      </c>
      <c r="E1336" t="inlineStr">
        <is>
          <t>VÄSTERVIK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928-2024</t>
        </is>
      </c>
      <c r="B1337" s="1" t="n">
        <v>45301</v>
      </c>
      <c r="C1337" s="1" t="n">
        <v>45633</v>
      </c>
      <c r="D1337" t="inlineStr">
        <is>
          <t>KALMAR LÄN</t>
        </is>
      </c>
      <c r="E1337" t="inlineStr">
        <is>
          <t>VÄSTERVIK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936-2024</t>
        </is>
      </c>
      <c r="B1338" s="1" t="n">
        <v>45301</v>
      </c>
      <c r="C1338" s="1" t="n">
        <v>45633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944-2024</t>
        </is>
      </c>
      <c r="B1339" s="1" t="n">
        <v>45301</v>
      </c>
      <c r="C1339" s="1" t="n">
        <v>45633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901-2024</t>
        </is>
      </c>
      <c r="B1340" s="1" t="n">
        <v>45301</v>
      </c>
      <c r="C1340" s="1" t="n">
        <v>45633</v>
      </c>
      <c r="D1340" t="inlineStr">
        <is>
          <t>KALMAR LÄN</t>
        </is>
      </c>
      <c r="E1340" t="inlineStr">
        <is>
          <t>VÄSTERVIK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925-2024</t>
        </is>
      </c>
      <c r="B1341" s="1" t="n">
        <v>45301</v>
      </c>
      <c r="C1341" s="1" t="n">
        <v>45633</v>
      </c>
      <c r="D1341" t="inlineStr">
        <is>
          <t>KALMAR LÄN</t>
        </is>
      </c>
      <c r="E1341" t="inlineStr">
        <is>
          <t>VÄSTERVIK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949-2024</t>
        </is>
      </c>
      <c r="B1342" s="1" t="n">
        <v>45301</v>
      </c>
      <c r="C1342" s="1" t="n">
        <v>45633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934-2024</t>
        </is>
      </c>
      <c r="B1343" s="1" t="n">
        <v>45301</v>
      </c>
      <c r="C1343" s="1" t="n">
        <v>45633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942-2024</t>
        </is>
      </c>
      <c r="B1344" s="1" t="n">
        <v>45301</v>
      </c>
      <c r="C1344" s="1" t="n">
        <v>45633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946-2024</t>
        </is>
      </c>
      <c r="B1345" s="1" t="n">
        <v>45301</v>
      </c>
      <c r="C1345" s="1" t="n">
        <v>45633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1098-2024</t>
        </is>
      </c>
      <c r="B1346" s="1" t="n">
        <v>45302</v>
      </c>
      <c r="C1346" s="1" t="n">
        <v>45633</v>
      </c>
      <c r="D1346" t="inlineStr">
        <is>
          <t>KALMAR LÄN</t>
        </is>
      </c>
      <c r="E1346" t="inlineStr">
        <is>
          <t>VÄSTERVIK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1096-2024</t>
        </is>
      </c>
      <c r="B1347" s="1" t="n">
        <v>45302</v>
      </c>
      <c r="C1347" s="1" t="n">
        <v>45633</v>
      </c>
      <c r="D1347" t="inlineStr">
        <is>
          <t>KALMAR LÄN</t>
        </is>
      </c>
      <c r="E1347" t="inlineStr">
        <is>
          <t>VÄSTERVIK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1665-2024</t>
        </is>
      </c>
      <c r="B1348" s="1" t="n">
        <v>45306</v>
      </c>
      <c r="C1348" s="1" t="n">
        <v>45633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1568-2024</t>
        </is>
      </c>
      <c r="B1349" s="1" t="n">
        <v>45306</v>
      </c>
      <c r="C1349" s="1" t="n">
        <v>45633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1572-2024</t>
        </is>
      </c>
      <c r="B1350" s="1" t="n">
        <v>45306</v>
      </c>
      <c r="C1350" s="1" t="n">
        <v>45633</v>
      </c>
      <c r="D1350" t="inlineStr">
        <is>
          <t>KALMAR LÄN</t>
        </is>
      </c>
      <c r="E1350" t="inlineStr">
        <is>
          <t>VÄSTERVIK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1664-2024</t>
        </is>
      </c>
      <c r="B1351" s="1" t="n">
        <v>45306</v>
      </c>
      <c r="C1351" s="1" t="n">
        <v>45633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2153-2024</t>
        </is>
      </c>
      <c r="B1352" s="1" t="n">
        <v>45309</v>
      </c>
      <c r="C1352" s="1" t="n">
        <v>45633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2082-2024</t>
        </is>
      </c>
      <c r="B1353" s="1" t="n">
        <v>45309</v>
      </c>
      <c r="C1353" s="1" t="n">
        <v>45633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2144-2024</t>
        </is>
      </c>
      <c r="B1354" s="1" t="n">
        <v>45309</v>
      </c>
      <c r="C1354" s="1" t="n">
        <v>45633</v>
      </c>
      <c r="D1354" t="inlineStr">
        <is>
          <t>KALMAR LÄN</t>
        </is>
      </c>
      <c r="E1354" t="inlineStr">
        <is>
          <t>VÄSTERVIK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2168-2024</t>
        </is>
      </c>
      <c r="B1355" s="1" t="n">
        <v>45309</v>
      </c>
      <c r="C1355" s="1" t="n">
        <v>45633</v>
      </c>
      <c r="D1355" t="inlineStr">
        <is>
          <t>KALMAR LÄN</t>
        </is>
      </c>
      <c r="E1355" t="inlineStr">
        <is>
          <t>VÄSTERVIK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2520-2024</t>
        </is>
      </c>
      <c r="B1356" s="1" t="n">
        <v>45313</v>
      </c>
      <c r="C1356" s="1" t="n">
        <v>45633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2507-2024</t>
        </is>
      </c>
      <c r="B1357" s="1" t="n">
        <v>45313</v>
      </c>
      <c r="C1357" s="1" t="n">
        <v>45633</v>
      </c>
      <c r="D1357" t="inlineStr">
        <is>
          <t>KALMAR LÄN</t>
        </is>
      </c>
      <c r="E1357" t="inlineStr">
        <is>
          <t>VÄSTERVIK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2543-2024</t>
        </is>
      </c>
      <c r="B1358" s="1" t="n">
        <v>45313</v>
      </c>
      <c r="C1358" s="1" t="n">
        <v>45633</v>
      </c>
      <c r="D1358" t="inlineStr">
        <is>
          <t>KALMAR LÄN</t>
        </is>
      </c>
      <c r="E1358" t="inlineStr">
        <is>
          <t>VÄSTERVIK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2634-2024</t>
        </is>
      </c>
      <c r="B1359" s="1" t="n">
        <v>45314</v>
      </c>
      <c r="C1359" s="1" t="n">
        <v>45633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2726-2024</t>
        </is>
      </c>
      <c r="B1360" s="1" t="n">
        <v>45314</v>
      </c>
      <c r="C1360" s="1" t="n">
        <v>45633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3157-2024</t>
        </is>
      </c>
      <c r="B1361" s="1" t="n">
        <v>45316</v>
      </c>
      <c r="C1361" s="1" t="n">
        <v>45633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3429-2024</t>
        </is>
      </c>
      <c r="B1362" s="1" t="n">
        <v>45320</v>
      </c>
      <c r="C1362" s="1" t="n">
        <v>45633</v>
      </c>
      <c r="D1362" t="inlineStr">
        <is>
          <t>KALMAR LÄN</t>
        </is>
      </c>
      <c r="E1362" t="inlineStr">
        <is>
          <t>VÄSTERVIK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3557-2024</t>
        </is>
      </c>
      <c r="B1363" s="1" t="n">
        <v>45320</v>
      </c>
      <c r="C1363" s="1" t="n">
        <v>45633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3818-2024</t>
        </is>
      </c>
      <c r="B1364" s="1" t="n">
        <v>45321</v>
      </c>
      <c r="C1364" s="1" t="n">
        <v>45633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3826-2024</t>
        </is>
      </c>
      <c r="B1365" s="1" t="n">
        <v>45321</v>
      </c>
      <c r="C1365" s="1" t="n">
        <v>45633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3830-2024</t>
        </is>
      </c>
      <c r="B1366" s="1" t="n">
        <v>45321</v>
      </c>
      <c r="C1366" s="1" t="n">
        <v>45633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3776-2024</t>
        </is>
      </c>
      <c r="B1367" s="1" t="n">
        <v>45321</v>
      </c>
      <c r="C1367" s="1" t="n">
        <v>45633</v>
      </c>
      <c r="D1367" t="inlineStr">
        <is>
          <t>KALMAR LÄN</t>
        </is>
      </c>
      <c r="E1367" t="inlineStr">
        <is>
          <t>VÄSTERVIK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3817-2024</t>
        </is>
      </c>
      <c r="B1368" s="1" t="n">
        <v>45321</v>
      </c>
      <c r="C1368" s="1" t="n">
        <v>45633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3829-2024</t>
        </is>
      </c>
      <c r="B1369" s="1" t="n">
        <v>45321</v>
      </c>
      <c r="C1369" s="1" t="n">
        <v>45633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3828-2024</t>
        </is>
      </c>
      <c r="B1370" s="1" t="n">
        <v>45321</v>
      </c>
      <c r="C1370" s="1" t="n">
        <v>45633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4520-2024</t>
        </is>
      </c>
      <c r="B1371" s="1" t="n">
        <v>45327</v>
      </c>
      <c r="C1371" s="1" t="n">
        <v>45633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4540-2024</t>
        </is>
      </c>
      <c r="B1372" s="1" t="n">
        <v>45327</v>
      </c>
      <c r="C1372" s="1" t="n">
        <v>45633</v>
      </c>
      <c r="D1372" t="inlineStr">
        <is>
          <t>KALMAR LÄN</t>
        </is>
      </c>
      <c r="E1372" t="inlineStr">
        <is>
          <t>VÄSTERVIK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4858-2024</t>
        </is>
      </c>
      <c r="B1373" s="1" t="n">
        <v>45329</v>
      </c>
      <c r="C1373" s="1" t="n">
        <v>45633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4950-2024</t>
        </is>
      </c>
      <c r="B1374" s="1" t="n">
        <v>45329</v>
      </c>
      <c r="C1374" s="1" t="n">
        <v>45633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5004-2024</t>
        </is>
      </c>
      <c r="B1375" s="1" t="n">
        <v>45329</v>
      </c>
      <c r="C1375" s="1" t="n">
        <v>45633</v>
      </c>
      <c r="D1375" t="inlineStr">
        <is>
          <t>KALMAR LÄN</t>
        </is>
      </c>
      <c r="E1375" t="inlineStr">
        <is>
          <t>VÄSTERVIK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4945-2024</t>
        </is>
      </c>
      <c r="B1376" s="1" t="n">
        <v>45329</v>
      </c>
      <c r="C1376" s="1" t="n">
        <v>45633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4965-2024</t>
        </is>
      </c>
      <c r="B1377" s="1" t="n">
        <v>45329</v>
      </c>
      <c r="C1377" s="1" t="n">
        <v>45633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5234-2024</t>
        </is>
      </c>
      <c r="B1378" s="1" t="n">
        <v>45330</v>
      </c>
      <c r="C1378" s="1" t="n">
        <v>45633</v>
      </c>
      <c r="D1378" t="inlineStr">
        <is>
          <t>KALMAR LÄN</t>
        </is>
      </c>
      <c r="E1378" t="inlineStr">
        <is>
          <t>VÄSTERVIK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5300-2024</t>
        </is>
      </c>
      <c r="B1379" s="1" t="n">
        <v>45331</v>
      </c>
      <c r="C1379" s="1" t="n">
        <v>45633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5348-2024</t>
        </is>
      </c>
      <c r="B1380" s="1" t="n">
        <v>45331</v>
      </c>
      <c r="C1380" s="1" t="n">
        <v>45633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5355-2024</t>
        </is>
      </c>
      <c r="B1381" s="1" t="n">
        <v>45331</v>
      </c>
      <c r="C1381" s="1" t="n">
        <v>45633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5923-2024</t>
        </is>
      </c>
      <c r="B1382" s="1" t="n">
        <v>45335</v>
      </c>
      <c r="C1382" s="1" t="n">
        <v>45633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5924-2024</t>
        </is>
      </c>
      <c r="B1383" s="1" t="n">
        <v>45335</v>
      </c>
      <c r="C1383" s="1" t="n">
        <v>45633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5925-2024</t>
        </is>
      </c>
      <c r="B1384" s="1" t="n">
        <v>45336</v>
      </c>
      <c r="C1384" s="1" t="n">
        <v>45633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6019-2024</t>
        </is>
      </c>
      <c r="B1385" s="1" t="n">
        <v>45336</v>
      </c>
      <c r="C1385" s="1" t="n">
        <v>45633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6017-2024</t>
        </is>
      </c>
      <c r="B1386" s="1" t="n">
        <v>45336</v>
      </c>
      <c r="C1386" s="1" t="n">
        <v>45633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6021-2024</t>
        </is>
      </c>
      <c r="B1387" s="1" t="n">
        <v>45336</v>
      </c>
      <c r="C1387" s="1" t="n">
        <v>45633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6148-2024</t>
        </is>
      </c>
      <c r="B1388" s="1" t="n">
        <v>45337</v>
      </c>
      <c r="C1388" s="1" t="n">
        <v>45633</v>
      </c>
      <c r="D1388" t="inlineStr">
        <is>
          <t>KALMAR LÄN</t>
        </is>
      </c>
      <c r="E1388" t="inlineStr">
        <is>
          <t>VÄSTERVIK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6289-2024</t>
        </is>
      </c>
      <c r="B1389" s="1" t="n">
        <v>45338</v>
      </c>
      <c r="C1389" s="1" t="n">
        <v>45633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6426-2024</t>
        </is>
      </c>
      <c r="B1390" s="1" t="n">
        <v>45338</v>
      </c>
      <c r="C1390" s="1" t="n">
        <v>45633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6312-2024</t>
        </is>
      </c>
      <c r="B1391" s="1" t="n">
        <v>45338</v>
      </c>
      <c r="C1391" s="1" t="n">
        <v>45633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6406-2024</t>
        </is>
      </c>
      <c r="B1392" s="1" t="n">
        <v>45338</v>
      </c>
      <c r="C1392" s="1" t="n">
        <v>45633</v>
      </c>
      <c r="D1392" t="inlineStr">
        <is>
          <t>KALMAR LÄN</t>
        </is>
      </c>
      <c r="E1392" t="inlineStr">
        <is>
          <t>VÄSTERVIK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  <c r="U1392">
        <f>HYPERLINK("https://klasma.github.io/Logging_0883/knärot/A 6406-2024 karta knärot.png", "A 6406-2024")</f>
        <v/>
      </c>
      <c r="V1392">
        <f>HYPERLINK("https://klasma.github.io/Logging_0883/klagomål/A 6406-2024 FSC-klagomål.docx", "A 6406-2024")</f>
        <v/>
      </c>
      <c r="W1392">
        <f>HYPERLINK("https://klasma.github.io/Logging_0883/klagomålsmail/A 6406-2024 FSC-klagomål mail.docx", "A 6406-2024")</f>
        <v/>
      </c>
      <c r="X1392">
        <f>HYPERLINK("https://klasma.github.io/Logging_0883/tillsyn/A 6406-2024 tillsynsbegäran.docx", "A 6406-2024")</f>
        <v/>
      </c>
      <c r="Y1392">
        <f>HYPERLINK("https://klasma.github.io/Logging_0883/tillsynsmail/A 6406-2024 tillsynsbegäran mail.docx", "A 6406-2024")</f>
        <v/>
      </c>
    </row>
    <row r="1393" ht="15" customHeight="1">
      <c r="A1393" t="inlineStr">
        <is>
          <t>A 6731-2024</t>
        </is>
      </c>
      <c r="B1393" s="1" t="n">
        <v>45342</v>
      </c>
      <c r="C1393" s="1" t="n">
        <v>45633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6746-2024</t>
        </is>
      </c>
      <c r="B1394" s="1" t="n">
        <v>45342</v>
      </c>
      <c r="C1394" s="1" t="n">
        <v>45633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7089-2024</t>
        </is>
      </c>
      <c r="B1395" s="1" t="n">
        <v>45343</v>
      </c>
      <c r="C1395" s="1" t="n">
        <v>45633</v>
      </c>
      <c r="D1395" t="inlineStr">
        <is>
          <t>KALMAR LÄN</t>
        </is>
      </c>
      <c r="E1395" t="inlineStr">
        <is>
          <t>VÄSTERVIK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7090-2024</t>
        </is>
      </c>
      <c r="B1396" s="1" t="n">
        <v>45343</v>
      </c>
      <c r="C1396" s="1" t="n">
        <v>45633</v>
      </c>
      <c r="D1396" t="inlineStr">
        <is>
          <t>KALMAR LÄN</t>
        </is>
      </c>
      <c r="E1396" t="inlineStr">
        <is>
          <t>VÄSTERVIK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7512-2024</t>
        </is>
      </c>
      <c r="B1397" s="1" t="n">
        <v>45348</v>
      </c>
      <c r="C1397" s="1" t="n">
        <v>45633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7536-2024</t>
        </is>
      </c>
      <c r="B1398" s="1" t="n">
        <v>45348</v>
      </c>
      <c r="C1398" s="1" t="n">
        <v>45633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7548-2024</t>
        </is>
      </c>
      <c r="B1399" s="1" t="n">
        <v>45348</v>
      </c>
      <c r="C1399" s="1" t="n">
        <v>45633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7688-2024</t>
        </is>
      </c>
      <c r="B1400" s="1" t="n">
        <v>45349</v>
      </c>
      <c r="C1400" s="1" t="n">
        <v>45633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7687-2024</t>
        </is>
      </c>
      <c r="B1401" s="1" t="n">
        <v>45349</v>
      </c>
      <c r="C1401" s="1" t="n">
        <v>45633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8089-2024</t>
        </is>
      </c>
      <c r="B1402" s="1" t="n">
        <v>45351</v>
      </c>
      <c r="C1402" s="1" t="n">
        <v>45633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8619-2024</t>
        </is>
      </c>
      <c r="B1403" s="1" t="n">
        <v>45355</v>
      </c>
      <c r="C1403" s="1" t="n">
        <v>45633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8731-2024</t>
        </is>
      </c>
      <c r="B1404" s="1" t="n">
        <v>45356</v>
      </c>
      <c r="C1404" s="1" t="n">
        <v>45633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8732-2024</t>
        </is>
      </c>
      <c r="B1405" s="1" t="n">
        <v>45356</v>
      </c>
      <c r="C1405" s="1" t="n">
        <v>45633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9107-2024</t>
        </is>
      </c>
      <c r="B1406" s="1" t="n">
        <v>45357</v>
      </c>
      <c r="C1406" s="1" t="n">
        <v>45633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9124-2024</t>
        </is>
      </c>
      <c r="B1407" s="1" t="n">
        <v>45358</v>
      </c>
      <c r="C1407" s="1" t="n">
        <v>45633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9249-2024</t>
        </is>
      </c>
      <c r="B1408" s="1" t="n">
        <v>45358</v>
      </c>
      <c r="C1408" s="1" t="n">
        <v>45633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9140-2024</t>
        </is>
      </c>
      <c r="B1409" s="1" t="n">
        <v>45358</v>
      </c>
      <c r="C1409" s="1" t="n">
        <v>45633</v>
      </c>
      <c r="D1409" t="inlineStr">
        <is>
          <t>KALMAR LÄN</t>
        </is>
      </c>
      <c r="E1409" t="inlineStr">
        <is>
          <t>VÄSTERVIK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9549-2024</t>
        </is>
      </c>
      <c r="B1410" s="1" t="n">
        <v>45359</v>
      </c>
      <c r="C1410" s="1" t="n">
        <v>45633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9760-2024</t>
        </is>
      </c>
      <c r="B1411" s="1" t="n">
        <v>45362</v>
      </c>
      <c r="C1411" s="1" t="n">
        <v>45633</v>
      </c>
      <c r="D1411" t="inlineStr">
        <is>
          <t>KALMAR LÄN</t>
        </is>
      </c>
      <c r="E1411" t="inlineStr">
        <is>
          <t>VÄSTERVIK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9753-2024</t>
        </is>
      </c>
      <c r="B1412" s="1" t="n">
        <v>45362</v>
      </c>
      <c r="C1412" s="1" t="n">
        <v>45633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9985-2024</t>
        </is>
      </c>
      <c r="B1413" s="1" t="n">
        <v>45363</v>
      </c>
      <c r="C1413" s="1" t="n">
        <v>45633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10515-2024</t>
        </is>
      </c>
      <c r="B1414" s="1" t="n">
        <v>45366</v>
      </c>
      <c r="C1414" s="1" t="n">
        <v>45633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10521-2024</t>
        </is>
      </c>
      <c r="B1415" s="1" t="n">
        <v>45366</v>
      </c>
      <c r="C1415" s="1" t="n">
        <v>45633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10727-2024</t>
        </is>
      </c>
      <c r="B1416" s="1" t="n">
        <v>45369</v>
      </c>
      <c r="C1416" s="1" t="n">
        <v>45633</v>
      </c>
      <c r="D1416" t="inlineStr">
        <is>
          <t>KALMAR LÄN</t>
        </is>
      </c>
      <c r="E1416" t="inlineStr">
        <is>
          <t>VÄSTERVIK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10688-2024</t>
        </is>
      </c>
      <c r="B1417" s="1" t="n">
        <v>45369</v>
      </c>
      <c r="C1417" s="1" t="n">
        <v>45633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10942-2024</t>
        </is>
      </c>
      <c r="B1418" s="1" t="n">
        <v>45370</v>
      </c>
      <c r="C1418" s="1" t="n">
        <v>45633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11189-2024</t>
        </is>
      </c>
      <c r="B1419" s="1" t="n">
        <v>45371</v>
      </c>
      <c r="C1419" s="1" t="n">
        <v>45633</v>
      </c>
      <c r="D1419" t="inlineStr">
        <is>
          <t>KALMAR LÄN</t>
        </is>
      </c>
      <c r="E1419" t="inlineStr">
        <is>
          <t>VÄSTERVIK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11167-2024</t>
        </is>
      </c>
      <c r="B1420" s="1" t="n">
        <v>45371</v>
      </c>
      <c r="C1420" s="1" t="n">
        <v>45633</v>
      </c>
      <c r="D1420" t="inlineStr">
        <is>
          <t>KALMAR LÄN</t>
        </is>
      </c>
      <c r="E1420" t="inlineStr">
        <is>
          <t>VÄSTERVIK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11183-2024</t>
        </is>
      </c>
      <c r="B1421" s="1" t="n">
        <v>45371</v>
      </c>
      <c r="C1421" s="1" t="n">
        <v>45633</v>
      </c>
      <c r="D1421" t="inlineStr">
        <is>
          <t>KALMAR LÄN</t>
        </is>
      </c>
      <c r="E1421" t="inlineStr">
        <is>
          <t>VÄSTERVIK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11198-2024</t>
        </is>
      </c>
      <c r="B1422" s="1" t="n">
        <v>45371</v>
      </c>
      <c r="C1422" s="1" t="n">
        <v>45633</v>
      </c>
      <c r="D1422" t="inlineStr">
        <is>
          <t>KALMAR LÄN</t>
        </is>
      </c>
      <c r="E1422" t="inlineStr">
        <is>
          <t>VÄSTERVIK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11750-2024</t>
        </is>
      </c>
      <c r="B1423" s="1" t="n">
        <v>45373</v>
      </c>
      <c r="C1423" s="1" t="n">
        <v>45633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11746-2024</t>
        </is>
      </c>
      <c r="B1424" s="1" t="n">
        <v>45373</v>
      </c>
      <c r="C1424" s="1" t="n">
        <v>45633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11611-2024</t>
        </is>
      </c>
      <c r="B1425" s="1" t="n">
        <v>45373</v>
      </c>
      <c r="C1425" s="1" t="n">
        <v>45633</v>
      </c>
      <c r="D1425" t="inlineStr">
        <is>
          <t>KALMAR LÄN</t>
        </is>
      </c>
      <c r="E1425" t="inlineStr">
        <is>
          <t>VÄSTERVIK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11791-2024</t>
        </is>
      </c>
      <c r="B1426" s="1" t="n">
        <v>45375</v>
      </c>
      <c r="C1426" s="1" t="n">
        <v>45633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11848-2024</t>
        </is>
      </c>
      <c r="B1427" s="1" t="n">
        <v>45376</v>
      </c>
      <c r="C1427" s="1" t="n">
        <v>45633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11856-2024</t>
        </is>
      </c>
      <c r="B1428" s="1" t="n">
        <v>45376</v>
      </c>
      <c r="C1428" s="1" t="n">
        <v>45633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11864-2024</t>
        </is>
      </c>
      <c r="B1429" s="1" t="n">
        <v>45376</v>
      </c>
      <c r="C1429" s="1" t="n">
        <v>45633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11854-2024</t>
        </is>
      </c>
      <c r="B1430" s="1" t="n">
        <v>45376</v>
      </c>
      <c r="C1430" s="1" t="n">
        <v>45633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12009-2024</t>
        </is>
      </c>
      <c r="B1431" s="1" t="n">
        <v>45377</v>
      </c>
      <c r="C1431" s="1" t="n">
        <v>45633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12433-2024</t>
        </is>
      </c>
      <c r="B1432" s="1" t="n">
        <v>45379</v>
      </c>
      <c r="C1432" s="1" t="n">
        <v>45633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12643-2024</t>
        </is>
      </c>
      <c r="B1433" s="1" t="n">
        <v>45379</v>
      </c>
      <c r="C1433" s="1" t="n">
        <v>45633</v>
      </c>
      <c r="D1433" t="inlineStr">
        <is>
          <t>KALMAR LÄN</t>
        </is>
      </c>
      <c r="E1433" t="inlineStr">
        <is>
          <t>VÄSTERVIK</t>
        </is>
      </c>
      <c r="F1433" t="inlineStr">
        <is>
          <t>Kommuner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12431-2024</t>
        </is>
      </c>
      <c r="B1434" s="1" t="n">
        <v>45379</v>
      </c>
      <c r="C1434" s="1" t="n">
        <v>45633</v>
      </c>
      <c r="D1434" t="inlineStr">
        <is>
          <t>KALMAR LÄN</t>
        </is>
      </c>
      <c r="E1434" t="inlineStr">
        <is>
          <t>VÄSTERVIK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12435-2024</t>
        </is>
      </c>
      <c r="B1435" s="1" t="n">
        <v>45379</v>
      </c>
      <c r="C1435" s="1" t="n">
        <v>45633</v>
      </c>
      <c r="D1435" t="inlineStr">
        <is>
          <t>KALMAR LÄN</t>
        </is>
      </c>
      <c r="E1435" t="inlineStr">
        <is>
          <t>VÄSTERVIK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12446-2024</t>
        </is>
      </c>
      <c r="B1436" s="1" t="n">
        <v>45379</v>
      </c>
      <c r="C1436" s="1" t="n">
        <v>45633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12852-2024</t>
        </is>
      </c>
      <c r="B1437" s="1" t="n">
        <v>45384</v>
      </c>
      <c r="C1437" s="1" t="n">
        <v>45633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13400-2024</t>
        </is>
      </c>
      <c r="B1438" s="1" t="n">
        <v>45387</v>
      </c>
      <c r="C1438" s="1" t="n">
        <v>45633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13753-2024</t>
        </is>
      </c>
      <c r="B1439" s="1" t="n">
        <v>45390</v>
      </c>
      <c r="C1439" s="1" t="n">
        <v>45633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13743-2024</t>
        </is>
      </c>
      <c r="B1440" s="1" t="n">
        <v>45390</v>
      </c>
      <c r="C1440" s="1" t="n">
        <v>45633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13748-2024</t>
        </is>
      </c>
      <c r="B1441" s="1" t="n">
        <v>45390</v>
      </c>
      <c r="C1441" s="1" t="n">
        <v>45633</v>
      </c>
      <c r="D1441" t="inlineStr">
        <is>
          <t>KALMAR LÄN</t>
        </is>
      </c>
      <c r="E1441" t="inlineStr">
        <is>
          <t>VÄSTERVIK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13747-2024</t>
        </is>
      </c>
      <c r="B1442" s="1" t="n">
        <v>45390</v>
      </c>
      <c r="C1442" s="1" t="n">
        <v>45633</v>
      </c>
      <c r="D1442" t="inlineStr">
        <is>
          <t>KALMAR LÄN</t>
        </is>
      </c>
      <c r="E1442" t="inlineStr">
        <is>
          <t>VÄSTERVIK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13751-2024</t>
        </is>
      </c>
      <c r="B1443" s="1" t="n">
        <v>45390</v>
      </c>
      <c r="C1443" s="1" t="n">
        <v>45633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13742-2024</t>
        </is>
      </c>
      <c r="B1444" s="1" t="n">
        <v>45390</v>
      </c>
      <c r="C1444" s="1" t="n">
        <v>45633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13746-2024</t>
        </is>
      </c>
      <c r="B1445" s="1" t="n">
        <v>45390</v>
      </c>
      <c r="C1445" s="1" t="n">
        <v>45633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13750-2024</t>
        </is>
      </c>
      <c r="B1446" s="1" t="n">
        <v>45390</v>
      </c>
      <c r="C1446" s="1" t="n">
        <v>45633</v>
      </c>
      <c r="D1446" t="inlineStr">
        <is>
          <t>KALMAR LÄN</t>
        </is>
      </c>
      <c r="E1446" t="inlineStr">
        <is>
          <t>VÄSTERVIK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13825-2024</t>
        </is>
      </c>
      <c r="B1447" s="1" t="n">
        <v>45391</v>
      </c>
      <c r="C1447" s="1" t="n">
        <v>45633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13836-2024</t>
        </is>
      </c>
      <c r="B1448" s="1" t="n">
        <v>45391</v>
      </c>
      <c r="C1448" s="1" t="n">
        <v>45633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13840-2024</t>
        </is>
      </c>
      <c r="B1449" s="1" t="n">
        <v>45391</v>
      </c>
      <c r="C1449" s="1" t="n">
        <v>45633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13823-2024</t>
        </is>
      </c>
      <c r="B1450" s="1" t="n">
        <v>45391</v>
      </c>
      <c r="C1450" s="1" t="n">
        <v>45633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13827-2024</t>
        </is>
      </c>
      <c r="B1451" s="1" t="n">
        <v>45391</v>
      </c>
      <c r="C1451" s="1" t="n">
        <v>45633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13838-2024</t>
        </is>
      </c>
      <c r="B1452" s="1" t="n">
        <v>45391</v>
      </c>
      <c r="C1452" s="1" t="n">
        <v>45633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13837-2024</t>
        </is>
      </c>
      <c r="B1453" s="1" t="n">
        <v>45391</v>
      </c>
      <c r="C1453" s="1" t="n">
        <v>45633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13843-2024</t>
        </is>
      </c>
      <c r="B1454" s="1" t="n">
        <v>45391</v>
      </c>
      <c r="C1454" s="1" t="n">
        <v>45633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13839-2024</t>
        </is>
      </c>
      <c r="B1455" s="1" t="n">
        <v>45391</v>
      </c>
      <c r="C1455" s="1" t="n">
        <v>45633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14024-2024</t>
        </is>
      </c>
      <c r="B1456" s="1" t="n">
        <v>45392</v>
      </c>
      <c r="C1456" s="1" t="n">
        <v>45633</v>
      </c>
      <c r="D1456" t="inlineStr">
        <is>
          <t>KALMAR LÄN</t>
        </is>
      </c>
      <c r="E1456" t="inlineStr">
        <is>
          <t>VÄSTERVIK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14147-2024</t>
        </is>
      </c>
      <c r="B1457" s="1" t="n">
        <v>45392</v>
      </c>
      <c r="C1457" s="1" t="n">
        <v>45633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14146-2024</t>
        </is>
      </c>
      <c r="B1458" s="1" t="n">
        <v>45392</v>
      </c>
      <c r="C1458" s="1" t="n">
        <v>45633</v>
      </c>
      <c r="D1458" t="inlineStr">
        <is>
          <t>KALMAR LÄN</t>
        </is>
      </c>
      <c r="E1458" t="inlineStr">
        <is>
          <t>VÄSTERVIK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14145-2024</t>
        </is>
      </c>
      <c r="B1459" s="1" t="n">
        <v>45392</v>
      </c>
      <c r="C1459" s="1" t="n">
        <v>45633</v>
      </c>
      <c r="D1459" t="inlineStr">
        <is>
          <t>KALMAR LÄN</t>
        </is>
      </c>
      <c r="E1459" t="inlineStr">
        <is>
          <t>VÄSTERVIK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14281-2024</t>
        </is>
      </c>
      <c r="B1460" s="1" t="n">
        <v>45393</v>
      </c>
      <c r="C1460" s="1" t="n">
        <v>45633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14282-2024</t>
        </is>
      </c>
      <c r="B1461" s="1" t="n">
        <v>45393</v>
      </c>
      <c r="C1461" s="1" t="n">
        <v>45633</v>
      </c>
      <c r="D1461" t="inlineStr">
        <is>
          <t>KALMAR LÄN</t>
        </is>
      </c>
      <c r="E1461" t="inlineStr">
        <is>
          <t>VÄSTERVIK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14237-2024</t>
        </is>
      </c>
      <c r="B1462" s="1" t="n">
        <v>45393</v>
      </c>
      <c r="C1462" s="1" t="n">
        <v>45633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14452-2024</t>
        </is>
      </c>
      <c r="B1463" s="1" t="n">
        <v>45394</v>
      </c>
      <c r="C1463" s="1" t="n">
        <v>45633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15356-2024</t>
        </is>
      </c>
      <c r="B1464" s="1" t="n">
        <v>45400</v>
      </c>
      <c r="C1464" s="1" t="n">
        <v>45633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15357-2024</t>
        </is>
      </c>
      <c r="B1465" s="1" t="n">
        <v>45400</v>
      </c>
      <c r="C1465" s="1" t="n">
        <v>45633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15553-2024</t>
        </is>
      </c>
      <c r="B1466" s="1" t="n">
        <v>45401</v>
      </c>
      <c r="C1466" s="1" t="n">
        <v>45633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16040-2024</t>
        </is>
      </c>
      <c r="B1467" s="1" t="n">
        <v>45405</v>
      </c>
      <c r="C1467" s="1" t="n">
        <v>45633</v>
      </c>
      <c r="D1467" t="inlineStr">
        <is>
          <t>KALMAR LÄN</t>
        </is>
      </c>
      <c r="E1467" t="inlineStr">
        <is>
          <t>VÄSTERVIK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15926-2024</t>
        </is>
      </c>
      <c r="B1468" s="1" t="n">
        <v>45405</v>
      </c>
      <c r="C1468" s="1" t="n">
        <v>45633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16395-2024</t>
        </is>
      </c>
      <c r="B1469" s="1" t="n">
        <v>45407</v>
      </c>
      <c r="C1469" s="1" t="n">
        <v>45633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HYPERLINK("https://klasma.github.io/Logging_0883/knärot/A 16395-2024 karta knärot.png", "A 16395-2024")</f>
        <v/>
      </c>
      <c r="V1469">
        <f>HYPERLINK("https://klasma.github.io/Logging_0883/klagomål/A 16395-2024 FSC-klagomål.docx", "A 16395-2024")</f>
        <v/>
      </c>
      <c r="W1469">
        <f>HYPERLINK("https://klasma.github.io/Logging_0883/klagomålsmail/A 16395-2024 FSC-klagomål mail.docx", "A 16395-2024")</f>
        <v/>
      </c>
      <c r="X1469">
        <f>HYPERLINK("https://klasma.github.io/Logging_0883/tillsyn/A 16395-2024 tillsynsbegäran.docx", "A 16395-2024")</f>
        <v/>
      </c>
      <c r="Y1469">
        <f>HYPERLINK("https://klasma.github.io/Logging_0883/tillsynsmail/A 16395-2024 tillsynsbegäran mail.docx", "A 16395-2024")</f>
        <v/>
      </c>
    </row>
    <row r="1470" ht="15" customHeight="1">
      <c r="A1470" t="inlineStr">
        <is>
          <t>A 16381-2024</t>
        </is>
      </c>
      <c r="B1470" s="1" t="n">
        <v>45407</v>
      </c>
      <c r="C1470" s="1" t="n">
        <v>45633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16385-2024</t>
        </is>
      </c>
      <c r="B1471" s="1" t="n">
        <v>45407</v>
      </c>
      <c r="C1471" s="1" t="n">
        <v>45633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16386-2024</t>
        </is>
      </c>
      <c r="B1472" s="1" t="n">
        <v>45407</v>
      </c>
      <c r="C1472" s="1" t="n">
        <v>45633</v>
      </c>
      <c r="D1472" t="inlineStr">
        <is>
          <t>KALMAR LÄN</t>
        </is>
      </c>
      <c r="E1472" t="inlineStr">
        <is>
          <t>VÄSTERVIK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16390-2024</t>
        </is>
      </c>
      <c r="B1473" s="1" t="n">
        <v>45407</v>
      </c>
      <c r="C1473" s="1" t="n">
        <v>45633</v>
      </c>
      <c r="D1473" t="inlineStr">
        <is>
          <t>KALMAR LÄN</t>
        </is>
      </c>
      <c r="E1473" t="inlineStr">
        <is>
          <t>VÄSTERVIK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16398-2024</t>
        </is>
      </c>
      <c r="B1474" s="1" t="n">
        <v>45407</v>
      </c>
      <c r="C1474" s="1" t="n">
        <v>45633</v>
      </c>
      <c r="D1474" t="inlineStr">
        <is>
          <t>KALMAR LÄN</t>
        </is>
      </c>
      <c r="E1474" t="inlineStr">
        <is>
          <t>VÄSTERVIK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16696-2024</t>
        </is>
      </c>
      <c r="B1475" s="1" t="n">
        <v>45409</v>
      </c>
      <c r="C1475" s="1" t="n">
        <v>45633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17216-2024</t>
        </is>
      </c>
      <c r="B1476" s="1" t="n">
        <v>45414</v>
      </c>
      <c r="C1476" s="1" t="n">
        <v>45633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17214-2024</t>
        </is>
      </c>
      <c r="B1477" s="1" t="n">
        <v>45414</v>
      </c>
      <c r="C1477" s="1" t="n">
        <v>45633</v>
      </c>
      <c r="D1477" t="inlineStr">
        <is>
          <t>KALMAR LÄN</t>
        </is>
      </c>
      <c r="E1477" t="inlineStr">
        <is>
          <t>VÄSTERVIK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17427-2024</t>
        </is>
      </c>
      <c r="B1478" s="1" t="n">
        <v>45415</v>
      </c>
      <c r="C1478" s="1" t="n">
        <v>45633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17425-2024</t>
        </is>
      </c>
      <c r="B1479" s="1" t="n">
        <v>45415</v>
      </c>
      <c r="C1479" s="1" t="n">
        <v>45633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17426-2024</t>
        </is>
      </c>
      <c r="B1480" s="1" t="n">
        <v>45415</v>
      </c>
      <c r="C1480" s="1" t="n">
        <v>45633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18034-2024</t>
        </is>
      </c>
      <c r="B1481" s="1" t="n">
        <v>45420</v>
      </c>
      <c r="C1481" s="1" t="n">
        <v>45633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18143-2024</t>
        </is>
      </c>
      <c r="B1482" s="1" t="n">
        <v>45420</v>
      </c>
      <c r="C1482" s="1" t="n">
        <v>45633</v>
      </c>
      <c r="D1482" t="inlineStr">
        <is>
          <t>KALMAR LÄN</t>
        </is>
      </c>
      <c r="E1482" t="inlineStr">
        <is>
          <t>VÄSTERVIK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18395-2024</t>
        </is>
      </c>
      <c r="B1483" s="1" t="n">
        <v>45425</v>
      </c>
      <c r="C1483" s="1" t="n">
        <v>45633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18434-2024</t>
        </is>
      </c>
      <c r="B1484" s="1" t="n">
        <v>45425</v>
      </c>
      <c r="C1484" s="1" t="n">
        <v>45633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20368-2024</t>
        </is>
      </c>
      <c r="B1485" s="1" t="n">
        <v>45435</v>
      </c>
      <c r="C1485" s="1" t="n">
        <v>45633</v>
      </c>
      <c r="D1485" t="inlineStr">
        <is>
          <t>KALMAR LÄN</t>
        </is>
      </c>
      <c r="E1485" t="inlineStr">
        <is>
          <t>VÄSTERVIK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20365-2024</t>
        </is>
      </c>
      <c r="B1486" s="1" t="n">
        <v>45435</v>
      </c>
      <c r="C1486" s="1" t="n">
        <v>45633</v>
      </c>
      <c r="D1486" t="inlineStr">
        <is>
          <t>KALMAR LÄN</t>
        </is>
      </c>
      <c r="E1486" t="inlineStr">
        <is>
          <t>VÄSTERVIK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20370-2024</t>
        </is>
      </c>
      <c r="B1487" s="1" t="n">
        <v>45435</v>
      </c>
      <c r="C1487" s="1" t="n">
        <v>45633</v>
      </c>
      <c r="D1487" t="inlineStr">
        <is>
          <t>KALMAR LÄN</t>
        </is>
      </c>
      <c r="E1487" t="inlineStr">
        <is>
          <t>VÄSTERVIK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21648-2024</t>
        </is>
      </c>
      <c r="B1488" s="1" t="n">
        <v>45442</v>
      </c>
      <c r="C1488" s="1" t="n">
        <v>45633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21752-2024</t>
        </is>
      </c>
      <c r="B1489" s="1" t="n">
        <v>45442</v>
      </c>
      <c r="C1489" s="1" t="n">
        <v>45633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22266-2024</t>
        </is>
      </c>
      <c r="B1490" s="1" t="n">
        <v>45446</v>
      </c>
      <c r="C1490" s="1" t="n">
        <v>45633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22740-2024</t>
        </is>
      </c>
      <c r="B1491" s="1" t="n">
        <v>45448</v>
      </c>
      <c r="C1491" s="1" t="n">
        <v>45633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23221-2024</t>
        </is>
      </c>
      <c r="B1492" s="1" t="n">
        <v>45452</v>
      </c>
      <c r="C1492" s="1" t="n">
        <v>45633</v>
      </c>
      <c r="D1492" t="inlineStr">
        <is>
          <t>KALMAR LÄN</t>
        </is>
      </c>
      <c r="E1492" t="inlineStr">
        <is>
          <t>VÄSTERVIK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23248-2024</t>
        </is>
      </c>
      <c r="B1493" s="1" t="n">
        <v>45453</v>
      </c>
      <c r="C1493" s="1" t="n">
        <v>45633</v>
      </c>
      <c r="D1493" t="inlineStr">
        <is>
          <t>KALMAR LÄN</t>
        </is>
      </c>
      <c r="E1493" t="inlineStr">
        <is>
          <t>VÄSTERVIK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23626-2024</t>
        </is>
      </c>
      <c r="B1494" s="1" t="n">
        <v>45454</v>
      </c>
      <c r="C1494" s="1" t="n">
        <v>45633</v>
      </c>
      <c r="D1494" t="inlineStr">
        <is>
          <t>KALMAR LÄN</t>
        </is>
      </c>
      <c r="E1494" t="inlineStr">
        <is>
          <t>VÄSTERVIK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23873-2024</t>
        </is>
      </c>
      <c r="B1495" s="1" t="n">
        <v>45455</v>
      </c>
      <c r="C1495" s="1" t="n">
        <v>45633</v>
      </c>
      <c r="D1495" t="inlineStr">
        <is>
          <t>KALMAR LÄN</t>
        </is>
      </c>
      <c r="E1495" t="inlineStr">
        <is>
          <t>VÄSTERVIK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23983-2024</t>
        </is>
      </c>
      <c r="B1496" s="1" t="n">
        <v>45456</v>
      </c>
      <c r="C1496" s="1" t="n">
        <v>45633</v>
      </c>
      <c r="D1496" t="inlineStr">
        <is>
          <t>KALMAR LÄN</t>
        </is>
      </c>
      <c r="E1496" t="inlineStr">
        <is>
          <t>VÄSTERVIK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24600-2024</t>
        </is>
      </c>
      <c r="B1497" s="1" t="n">
        <v>45460</v>
      </c>
      <c r="C1497" s="1" t="n">
        <v>45633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24596-2024</t>
        </is>
      </c>
      <c r="B1498" s="1" t="n">
        <v>45460</v>
      </c>
      <c r="C1498" s="1" t="n">
        <v>45633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24592-2024</t>
        </is>
      </c>
      <c r="B1499" s="1" t="n">
        <v>45460</v>
      </c>
      <c r="C1499" s="1" t="n">
        <v>45633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24584-2024</t>
        </is>
      </c>
      <c r="B1500" s="1" t="n">
        <v>45460</v>
      </c>
      <c r="C1500" s="1" t="n">
        <v>45633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24571-2024</t>
        </is>
      </c>
      <c r="B1501" s="1" t="n">
        <v>45460</v>
      </c>
      <c r="C1501" s="1" t="n">
        <v>45633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24567-2024</t>
        </is>
      </c>
      <c r="B1502" s="1" t="n">
        <v>45460</v>
      </c>
      <c r="C1502" s="1" t="n">
        <v>45633</v>
      </c>
      <c r="D1502" t="inlineStr">
        <is>
          <t>KALMAR LÄN</t>
        </is>
      </c>
      <c r="E1502" t="inlineStr">
        <is>
          <t>VÄSTERVIK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24536-2024</t>
        </is>
      </c>
      <c r="B1503" s="1" t="n">
        <v>45460</v>
      </c>
      <c r="C1503" s="1" t="n">
        <v>45633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24578-2024</t>
        </is>
      </c>
      <c r="B1504" s="1" t="n">
        <v>45460</v>
      </c>
      <c r="C1504" s="1" t="n">
        <v>45633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24562-2024</t>
        </is>
      </c>
      <c r="B1505" s="1" t="n">
        <v>45460</v>
      </c>
      <c r="C1505" s="1" t="n">
        <v>45633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24572-2024</t>
        </is>
      </c>
      <c r="B1506" s="1" t="n">
        <v>45460</v>
      </c>
      <c r="C1506" s="1" t="n">
        <v>45633</v>
      </c>
      <c r="D1506" t="inlineStr">
        <is>
          <t>KALMAR LÄN</t>
        </is>
      </c>
      <c r="E1506" t="inlineStr">
        <is>
          <t>VÄSTERVIK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24988-2024</t>
        </is>
      </c>
      <c r="B1507" s="1" t="n">
        <v>45461</v>
      </c>
      <c r="C1507" s="1" t="n">
        <v>45633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25561-2024</t>
        </is>
      </c>
      <c r="B1508" s="1" t="n">
        <v>45463</v>
      </c>
      <c r="C1508" s="1" t="n">
        <v>45633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25429-2024</t>
        </is>
      </c>
      <c r="B1509" s="1" t="n">
        <v>45463</v>
      </c>
      <c r="C1509" s="1" t="n">
        <v>45633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25882-2024</t>
        </is>
      </c>
      <c r="B1510" s="1" t="n">
        <v>45467</v>
      </c>
      <c r="C1510" s="1" t="n">
        <v>45633</v>
      </c>
      <c r="D1510" t="inlineStr">
        <is>
          <t>KALMAR LÄN</t>
        </is>
      </c>
      <c r="E1510" t="inlineStr">
        <is>
          <t>VÄSTERVIK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26285-2024</t>
        </is>
      </c>
      <c r="B1511" s="1" t="n">
        <v>45468</v>
      </c>
      <c r="C1511" s="1" t="n">
        <v>45633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26140-2024</t>
        </is>
      </c>
      <c r="B1512" s="1" t="n">
        <v>45468</v>
      </c>
      <c r="C1512" s="1" t="n">
        <v>45633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26066-2024</t>
        </is>
      </c>
      <c r="B1513" s="1" t="n">
        <v>45468</v>
      </c>
      <c r="C1513" s="1" t="n">
        <v>45633</v>
      </c>
      <c r="D1513" t="inlineStr">
        <is>
          <t>KALMAR LÄN</t>
        </is>
      </c>
      <c r="E1513" t="inlineStr">
        <is>
          <t>VÄSTERVIK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26061-2024</t>
        </is>
      </c>
      <c r="B1514" s="1" t="n">
        <v>45468</v>
      </c>
      <c r="C1514" s="1" t="n">
        <v>45633</v>
      </c>
      <c r="D1514" t="inlineStr">
        <is>
          <t>KALMAR LÄN</t>
        </is>
      </c>
      <c r="E1514" t="inlineStr">
        <is>
          <t>VÄSTERVIK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26053-2024</t>
        </is>
      </c>
      <c r="B1515" s="1" t="n">
        <v>45468</v>
      </c>
      <c r="C1515" s="1" t="n">
        <v>45633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27094-2024</t>
        </is>
      </c>
      <c r="B1516" s="1" t="n">
        <v>45471</v>
      </c>
      <c r="C1516" s="1" t="n">
        <v>45633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27094-2024 karta knärot.png", "A 27094-2024")</f>
        <v/>
      </c>
      <c r="V1516">
        <f>HYPERLINK("https://klasma.github.io/Logging_0883/klagomål/A 27094-2024 FSC-klagomål.docx", "A 27094-2024")</f>
        <v/>
      </c>
      <c r="W1516">
        <f>HYPERLINK("https://klasma.github.io/Logging_0883/klagomålsmail/A 27094-2024 FSC-klagomål mail.docx", "A 27094-2024")</f>
        <v/>
      </c>
      <c r="X1516">
        <f>HYPERLINK("https://klasma.github.io/Logging_0883/tillsyn/A 27094-2024 tillsynsbegäran.docx", "A 27094-2024")</f>
        <v/>
      </c>
      <c r="Y1516">
        <f>HYPERLINK("https://klasma.github.io/Logging_0883/tillsynsmail/A 27094-2024 tillsynsbegäran mail.docx", "A 27094-2024")</f>
        <v/>
      </c>
    </row>
    <row r="1517" ht="15" customHeight="1">
      <c r="A1517" t="inlineStr">
        <is>
          <t>A 27568-2024</t>
        </is>
      </c>
      <c r="B1517" s="1" t="n">
        <v>45474</v>
      </c>
      <c r="C1517" s="1" t="n">
        <v>45633</v>
      </c>
      <c r="D1517" t="inlineStr">
        <is>
          <t>KALMAR LÄN</t>
        </is>
      </c>
      <c r="E1517" t="inlineStr">
        <is>
          <t>VÄSTERVIK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28110-2024</t>
        </is>
      </c>
      <c r="B1518" s="1" t="n">
        <v>45476</v>
      </c>
      <c r="C1518" s="1" t="n">
        <v>45633</v>
      </c>
      <c r="D1518" t="inlineStr">
        <is>
          <t>KALMAR LÄN</t>
        </is>
      </c>
      <c r="E1518" t="inlineStr">
        <is>
          <t>VÄSTERVIK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28122-2024</t>
        </is>
      </c>
      <c r="B1519" s="1" t="n">
        <v>45476</v>
      </c>
      <c r="C1519" s="1" t="n">
        <v>45633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28037-2024</t>
        </is>
      </c>
      <c r="B1520" s="1" t="n">
        <v>45476</v>
      </c>
      <c r="C1520" s="1" t="n">
        <v>45633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28404-2024</t>
        </is>
      </c>
      <c r="B1521" s="1" t="n">
        <v>45477</v>
      </c>
      <c r="C1521" s="1" t="n">
        <v>45633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28315-2024</t>
        </is>
      </c>
      <c r="B1522" s="1" t="n">
        <v>45477</v>
      </c>
      <c r="C1522" s="1" t="n">
        <v>45633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28291-2024</t>
        </is>
      </c>
      <c r="B1523" s="1" t="n">
        <v>45477</v>
      </c>
      <c r="C1523" s="1" t="n">
        <v>45633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28415-2024</t>
        </is>
      </c>
      <c r="B1524" s="1" t="n">
        <v>45477</v>
      </c>
      <c r="C1524" s="1" t="n">
        <v>45633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28390-2024</t>
        </is>
      </c>
      <c r="B1525" s="1" t="n">
        <v>45477</v>
      </c>
      <c r="C1525" s="1" t="n">
        <v>45633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28378-2024</t>
        </is>
      </c>
      <c r="B1526" s="1" t="n">
        <v>45477</v>
      </c>
      <c r="C1526" s="1" t="n">
        <v>45633</v>
      </c>
      <c r="D1526" t="inlineStr">
        <is>
          <t>KALMAR LÄN</t>
        </is>
      </c>
      <c r="E1526" t="inlineStr">
        <is>
          <t>VÄSTERVIK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28222-2024</t>
        </is>
      </c>
      <c r="B1527" s="1" t="n">
        <v>45477</v>
      </c>
      <c r="C1527" s="1" t="n">
        <v>45633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28344-2024</t>
        </is>
      </c>
      <c r="B1528" s="1" t="n">
        <v>45477</v>
      </c>
      <c r="C1528" s="1" t="n">
        <v>45633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28667-2024</t>
        </is>
      </c>
      <c r="B1529" s="1" t="n">
        <v>45478</v>
      </c>
      <c r="C1529" s="1" t="n">
        <v>45633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28640-2024</t>
        </is>
      </c>
      <c r="B1530" s="1" t="n">
        <v>45478</v>
      </c>
      <c r="C1530" s="1" t="n">
        <v>45633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29400-2024</t>
        </is>
      </c>
      <c r="B1531" s="1" t="n">
        <v>45483</v>
      </c>
      <c r="C1531" s="1" t="n">
        <v>45633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29404-2024</t>
        </is>
      </c>
      <c r="B1532" s="1" t="n">
        <v>45483</v>
      </c>
      <c r="C1532" s="1" t="n">
        <v>45633</v>
      </c>
      <c r="D1532" t="inlineStr">
        <is>
          <t>KALMAR LÄN</t>
        </is>
      </c>
      <c r="E1532" t="inlineStr">
        <is>
          <t>VÄSTERVIK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29412-2024</t>
        </is>
      </c>
      <c r="B1533" s="1" t="n">
        <v>45483</v>
      </c>
      <c r="C1533" s="1" t="n">
        <v>45633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29420-2024</t>
        </is>
      </c>
      <c r="B1534" s="1" t="n">
        <v>45483</v>
      </c>
      <c r="C1534" s="1" t="n">
        <v>45633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29396-2024</t>
        </is>
      </c>
      <c r="B1535" s="1" t="n">
        <v>45483</v>
      </c>
      <c r="C1535" s="1" t="n">
        <v>45633</v>
      </c>
      <c r="D1535" t="inlineStr">
        <is>
          <t>KALMAR LÄN</t>
        </is>
      </c>
      <c r="E1535" t="inlineStr">
        <is>
          <t>VÄSTERVIK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29405-2024</t>
        </is>
      </c>
      <c r="B1536" s="1" t="n">
        <v>45483</v>
      </c>
      <c r="C1536" s="1" t="n">
        <v>45633</v>
      </c>
      <c r="D1536" t="inlineStr">
        <is>
          <t>KALMAR LÄN</t>
        </is>
      </c>
      <c r="E1536" t="inlineStr">
        <is>
          <t>VÄSTERVIK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29417-2024</t>
        </is>
      </c>
      <c r="B1537" s="1" t="n">
        <v>45483</v>
      </c>
      <c r="C1537" s="1" t="n">
        <v>45633</v>
      </c>
      <c r="D1537" t="inlineStr">
        <is>
          <t>KALMAR LÄN</t>
        </is>
      </c>
      <c r="E1537" t="inlineStr">
        <is>
          <t>VÄSTERVIK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29407-2024</t>
        </is>
      </c>
      <c r="B1538" s="1" t="n">
        <v>45483</v>
      </c>
      <c r="C1538" s="1" t="n">
        <v>45633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29414-2024</t>
        </is>
      </c>
      <c r="B1539" s="1" t="n">
        <v>45483</v>
      </c>
      <c r="C1539" s="1" t="n">
        <v>45633</v>
      </c>
      <c r="D1539" t="inlineStr">
        <is>
          <t>KALMAR LÄN</t>
        </is>
      </c>
      <c r="E1539" t="inlineStr">
        <is>
          <t>VÄSTERVIK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29418-2024</t>
        </is>
      </c>
      <c r="B1540" s="1" t="n">
        <v>45483</v>
      </c>
      <c r="C1540" s="1" t="n">
        <v>45633</v>
      </c>
      <c r="D1540" t="inlineStr">
        <is>
          <t>KALMAR LÄN</t>
        </is>
      </c>
      <c r="E1540" t="inlineStr">
        <is>
          <t>VÄSTERVIK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29557-2024</t>
        </is>
      </c>
      <c r="B1541" s="1" t="n">
        <v>45484</v>
      </c>
      <c r="C1541" s="1" t="n">
        <v>45633</v>
      </c>
      <c r="D1541" t="inlineStr">
        <is>
          <t>KALMAR LÄN</t>
        </is>
      </c>
      <c r="E1541" t="inlineStr">
        <is>
          <t>VÄSTERVIK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29571-2024</t>
        </is>
      </c>
      <c r="B1542" s="1" t="n">
        <v>45484</v>
      </c>
      <c r="C1542" s="1" t="n">
        <v>45633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29786-2024</t>
        </is>
      </c>
      <c r="B1543" s="1" t="n">
        <v>45485</v>
      </c>
      <c r="C1543" s="1" t="n">
        <v>45633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29784-2024</t>
        </is>
      </c>
      <c r="B1544" s="1" t="n">
        <v>45485</v>
      </c>
      <c r="C1544" s="1" t="n">
        <v>45633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29789-2024</t>
        </is>
      </c>
      <c r="B1545" s="1" t="n">
        <v>45485</v>
      </c>
      <c r="C1545" s="1" t="n">
        <v>45633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30153-2024</t>
        </is>
      </c>
      <c r="B1546" s="1" t="n">
        <v>45489</v>
      </c>
      <c r="C1546" s="1" t="n">
        <v>45633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30148-2024</t>
        </is>
      </c>
      <c r="B1547" s="1" t="n">
        <v>45489</v>
      </c>
      <c r="C1547" s="1" t="n">
        <v>45633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30149-2024</t>
        </is>
      </c>
      <c r="B1548" s="1" t="n">
        <v>45489</v>
      </c>
      <c r="C1548" s="1" t="n">
        <v>45633</v>
      </c>
      <c r="D1548" t="inlineStr">
        <is>
          <t>KALMAR LÄN</t>
        </is>
      </c>
      <c r="E1548" t="inlineStr">
        <is>
          <t>VÄSTERVIK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30157-2024</t>
        </is>
      </c>
      <c r="B1549" s="1" t="n">
        <v>45489</v>
      </c>
      <c r="C1549" s="1" t="n">
        <v>45633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30437-2024</t>
        </is>
      </c>
      <c r="B1550" s="1" t="n">
        <v>45491</v>
      </c>
      <c r="C1550" s="1" t="n">
        <v>45633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30525-2024</t>
        </is>
      </c>
      <c r="B1551" s="1" t="n">
        <v>45492</v>
      </c>
      <c r="C1551" s="1" t="n">
        <v>45633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30523-2024</t>
        </is>
      </c>
      <c r="B1552" s="1" t="n">
        <v>45492</v>
      </c>
      <c r="C1552" s="1" t="n">
        <v>45633</v>
      </c>
      <c r="D1552" t="inlineStr">
        <is>
          <t>KALMAR LÄN</t>
        </is>
      </c>
      <c r="E1552" t="inlineStr">
        <is>
          <t>VÄSTERVIK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30511-2024</t>
        </is>
      </c>
      <c r="B1553" s="1" t="n">
        <v>45492</v>
      </c>
      <c r="C1553" s="1" t="n">
        <v>45633</v>
      </c>
      <c r="D1553" t="inlineStr">
        <is>
          <t>KALMAR LÄN</t>
        </is>
      </c>
      <c r="E1553" t="inlineStr">
        <is>
          <t>VÄSTERVIK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31147-2024</t>
        </is>
      </c>
      <c r="B1554" s="1" t="n">
        <v>45502</v>
      </c>
      <c r="C1554" s="1" t="n">
        <v>45633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31056-2024</t>
        </is>
      </c>
      <c r="B1555" s="1" t="n">
        <v>45502</v>
      </c>
      <c r="C1555" s="1" t="n">
        <v>45633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32009-2024</t>
        </is>
      </c>
      <c r="B1556" s="1" t="n">
        <v>45510</v>
      </c>
      <c r="C1556" s="1" t="n">
        <v>45633</v>
      </c>
      <c r="D1556" t="inlineStr">
        <is>
          <t>KALMAR LÄN</t>
        </is>
      </c>
      <c r="E1556" t="inlineStr">
        <is>
          <t>VÄSTERVIK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31999-2024</t>
        </is>
      </c>
      <c r="B1557" s="1" t="n">
        <v>45510</v>
      </c>
      <c r="C1557" s="1" t="n">
        <v>45633</v>
      </c>
      <c r="D1557" t="inlineStr">
        <is>
          <t>KALMAR LÄN</t>
        </is>
      </c>
      <c r="E1557" t="inlineStr">
        <is>
          <t>VÄSTERVIK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32006-2024</t>
        </is>
      </c>
      <c r="B1558" s="1" t="n">
        <v>45510</v>
      </c>
      <c r="C1558" s="1" t="n">
        <v>45633</v>
      </c>
      <c r="D1558" t="inlineStr">
        <is>
          <t>KALMAR LÄN</t>
        </is>
      </c>
      <c r="E1558" t="inlineStr">
        <is>
          <t>VÄSTERVIK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32159-2024</t>
        </is>
      </c>
      <c r="B1559" s="1" t="n">
        <v>45511</v>
      </c>
      <c r="C1559" s="1" t="n">
        <v>45633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32146-2024</t>
        </is>
      </c>
      <c r="B1560" s="1" t="n">
        <v>45511</v>
      </c>
      <c r="C1560" s="1" t="n">
        <v>45633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32137-2024</t>
        </is>
      </c>
      <c r="B1561" s="1" t="n">
        <v>45511</v>
      </c>
      <c r="C1561" s="1" t="n">
        <v>45633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32386-2024</t>
        </is>
      </c>
      <c r="B1562" s="1" t="n">
        <v>45512</v>
      </c>
      <c r="C1562" s="1" t="n">
        <v>45633</v>
      </c>
      <c r="D1562" t="inlineStr">
        <is>
          <t>KALMAR LÄN</t>
        </is>
      </c>
      <c r="E1562" t="inlineStr">
        <is>
          <t>VÄSTERVIK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32388-2024</t>
        </is>
      </c>
      <c r="B1563" s="1" t="n">
        <v>45512</v>
      </c>
      <c r="C1563" s="1" t="n">
        <v>45633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32389-2024</t>
        </is>
      </c>
      <c r="B1564" s="1" t="n">
        <v>45512</v>
      </c>
      <c r="C1564" s="1" t="n">
        <v>45633</v>
      </c>
      <c r="D1564" t="inlineStr">
        <is>
          <t>KALMAR LÄN</t>
        </is>
      </c>
      <c r="E1564" t="inlineStr">
        <is>
          <t>VÄSTERVIK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32283-2024</t>
        </is>
      </c>
      <c r="B1565" s="1" t="n">
        <v>45512</v>
      </c>
      <c r="C1565" s="1" t="n">
        <v>45633</v>
      </c>
      <c r="D1565" t="inlineStr">
        <is>
          <t>KALMAR LÄN</t>
        </is>
      </c>
      <c r="E1565" t="inlineStr">
        <is>
          <t>VÄSTERVIK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33535-2024</t>
        </is>
      </c>
      <c r="B1566" s="1" t="n">
        <v>45519</v>
      </c>
      <c r="C1566" s="1" t="n">
        <v>45633</v>
      </c>
      <c r="D1566" t="inlineStr">
        <is>
          <t>KALMAR LÄN</t>
        </is>
      </c>
      <c r="E1566" t="inlineStr">
        <is>
          <t>VÄSTERVIK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33508-2024</t>
        </is>
      </c>
      <c r="B1567" s="1" t="n">
        <v>45519</v>
      </c>
      <c r="C1567" s="1" t="n">
        <v>45633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33969-2024</t>
        </is>
      </c>
      <c r="B1568" s="1" t="n">
        <v>45523</v>
      </c>
      <c r="C1568" s="1" t="n">
        <v>45633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33966-2024</t>
        </is>
      </c>
      <c r="B1569" s="1" t="n">
        <v>45523</v>
      </c>
      <c r="C1569" s="1" t="n">
        <v>45633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34461-2024</t>
        </is>
      </c>
      <c r="B1570" s="1" t="n">
        <v>45525</v>
      </c>
      <c r="C1570" s="1" t="n">
        <v>45633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34463-2024</t>
        </is>
      </c>
      <c r="B1571" s="1" t="n">
        <v>45525</v>
      </c>
      <c r="C1571" s="1" t="n">
        <v>45633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34471-2024</t>
        </is>
      </c>
      <c r="B1572" s="1" t="n">
        <v>45525</v>
      </c>
      <c r="C1572" s="1" t="n">
        <v>45633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34420-2024</t>
        </is>
      </c>
      <c r="B1573" s="1" t="n">
        <v>45525</v>
      </c>
      <c r="C1573" s="1" t="n">
        <v>45633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34795-2024</t>
        </is>
      </c>
      <c r="B1574" s="1" t="n">
        <v>45526</v>
      </c>
      <c r="C1574" s="1" t="n">
        <v>45633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34833-2024</t>
        </is>
      </c>
      <c r="B1575" s="1" t="n">
        <v>45526</v>
      </c>
      <c r="C1575" s="1" t="n">
        <v>45633</v>
      </c>
      <c r="D1575" t="inlineStr">
        <is>
          <t>KALMAR LÄN</t>
        </is>
      </c>
      <c r="E1575" t="inlineStr">
        <is>
          <t>VÄSTERVIK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34788-2024</t>
        </is>
      </c>
      <c r="B1576" s="1" t="n">
        <v>45526</v>
      </c>
      <c r="C1576" s="1" t="n">
        <v>45633</v>
      </c>
      <c r="D1576" t="inlineStr">
        <is>
          <t>KALMAR LÄN</t>
        </is>
      </c>
      <c r="E1576" t="inlineStr">
        <is>
          <t>VÄSTERVIK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34832-2024</t>
        </is>
      </c>
      <c r="B1577" s="1" t="n">
        <v>45526</v>
      </c>
      <c r="C1577" s="1" t="n">
        <v>45633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35018-2024</t>
        </is>
      </c>
      <c r="B1578" s="1" t="n">
        <v>45527</v>
      </c>
      <c r="C1578" s="1" t="n">
        <v>45633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35108-2024</t>
        </is>
      </c>
      <c r="B1579" s="1" t="n">
        <v>45529</v>
      </c>
      <c r="C1579" s="1" t="n">
        <v>45633</v>
      </c>
      <c r="D1579" t="inlineStr">
        <is>
          <t>KALMAR LÄN</t>
        </is>
      </c>
      <c r="E1579" t="inlineStr">
        <is>
          <t>VÄSTERVIK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35162-2024</t>
        </is>
      </c>
      <c r="B1580" s="1" t="n">
        <v>45530</v>
      </c>
      <c r="C1580" s="1" t="n">
        <v>45633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35163-2024</t>
        </is>
      </c>
      <c r="B1581" s="1" t="n">
        <v>45530</v>
      </c>
      <c r="C1581" s="1" t="n">
        <v>45633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35137-2024</t>
        </is>
      </c>
      <c r="B1582" s="1" t="n">
        <v>45530</v>
      </c>
      <c r="C1582" s="1" t="n">
        <v>45633</v>
      </c>
      <c r="D1582" t="inlineStr">
        <is>
          <t>KALMAR LÄN</t>
        </is>
      </c>
      <c r="E1582" t="inlineStr">
        <is>
          <t>VÄSTERVIK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35456-2024</t>
        </is>
      </c>
      <c r="B1583" s="1" t="n">
        <v>45531</v>
      </c>
      <c r="C1583" s="1" t="n">
        <v>45633</v>
      </c>
      <c r="D1583" t="inlineStr">
        <is>
          <t>KALMAR LÄN</t>
        </is>
      </c>
      <c r="E1583" t="inlineStr">
        <is>
          <t>VÄSTERVIK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35951-2024</t>
        </is>
      </c>
      <c r="B1584" s="1" t="n">
        <v>45533</v>
      </c>
      <c r="C1584" s="1" t="n">
        <v>45633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36050-2024</t>
        </is>
      </c>
      <c r="B1585" s="1" t="n">
        <v>45533</v>
      </c>
      <c r="C1585" s="1" t="n">
        <v>45633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35983-2024</t>
        </is>
      </c>
      <c r="B1586" s="1" t="n">
        <v>45533</v>
      </c>
      <c r="C1586" s="1" t="n">
        <v>45633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36259-2024</t>
        </is>
      </c>
      <c r="B1587" s="1" t="n">
        <v>45534</v>
      </c>
      <c r="C1587" s="1" t="n">
        <v>45633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36400-2024</t>
        </is>
      </c>
      <c r="B1588" s="1" t="n">
        <v>45535</v>
      </c>
      <c r="C1588" s="1" t="n">
        <v>45633</v>
      </c>
      <c r="D1588" t="inlineStr">
        <is>
          <t>KALMAR LÄN</t>
        </is>
      </c>
      <c r="E1588" t="inlineStr">
        <is>
          <t>VÄSTERVIK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36555-2024</t>
        </is>
      </c>
      <c r="B1589" s="1" t="n">
        <v>45537</v>
      </c>
      <c r="C1589" s="1" t="n">
        <v>45633</v>
      </c>
      <c r="D1589" t="inlineStr">
        <is>
          <t>KALMAR LÄN</t>
        </is>
      </c>
      <c r="E1589" t="inlineStr">
        <is>
          <t>VÄSTERVIK</t>
        </is>
      </c>
      <c r="F1589" t="inlineStr">
        <is>
          <t>Kommuner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36725-2024</t>
        </is>
      </c>
      <c r="B1590" s="1" t="n">
        <v>45537</v>
      </c>
      <c r="C1590" s="1" t="n">
        <v>45633</v>
      </c>
      <c r="D1590" t="inlineStr">
        <is>
          <t>KALMAR LÄN</t>
        </is>
      </c>
      <c r="E1590" t="inlineStr">
        <is>
          <t>VÄSTERVIK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36853-2024</t>
        </is>
      </c>
      <c r="B1591" s="1" t="n">
        <v>45538</v>
      </c>
      <c r="C1591" s="1" t="n">
        <v>45633</v>
      </c>
      <c r="D1591" t="inlineStr">
        <is>
          <t>KALMAR LÄN</t>
        </is>
      </c>
      <c r="E1591" t="inlineStr">
        <is>
          <t>VÄSTERVIK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36878-2024</t>
        </is>
      </c>
      <c r="B1592" s="1" t="n">
        <v>45538</v>
      </c>
      <c r="C1592" s="1" t="n">
        <v>45633</v>
      </c>
      <c r="D1592" t="inlineStr">
        <is>
          <t>KALMAR LÄN</t>
        </is>
      </c>
      <c r="E1592" t="inlineStr">
        <is>
          <t>VÄSTERVIK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36881-2024</t>
        </is>
      </c>
      <c r="B1593" s="1" t="n">
        <v>45538</v>
      </c>
      <c r="C1593" s="1" t="n">
        <v>45633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36889-2024</t>
        </is>
      </c>
      <c r="B1594" s="1" t="n">
        <v>45538</v>
      </c>
      <c r="C1594" s="1" t="n">
        <v>45633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36888-2024</t>
        </is>
      </c>
      <c r="B1595" s="1" t="n">
        <v>45538</v>
      </c>
      <c r="C1595" s="1" t="n">
        <v>45633</v>
      </c>
      <c r="D1595" t="inlineStr">
        <is>
          <t>KALMAR LÄN</t>
        </is>
      </c>
      <c r="E1595" t="inlineStr">
        <is>
          <t>VÄSTERVIK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36906-2024</t>
        </is>
      </c>
      <c r="B1596" s="1" t="n">
        <v>45538</v>
      </c>
      <c r="C1596" s="1" t="n">
        <v>45633</v>
      </c>
      <c r="D1596" t="inlineStr">
        <is>
          <t>KALMAR LÄN</t>
        </is>
      </c>
      <c r="E1596" t="inlineStr">
        <is>
          <t>VÄSTERVIK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37117-2024</t>
        </is>
      </c>
      <c r="B1597" s="1" t="n">
        <v>45539</v>
      </c>
      <c r="C1597" s="1" t="n">
        <v>45633</v>
      </c>
      <c r="D1597" t="inlineStr">
        <is>
          <t>KALMAR LÄN</t>
        </is>
      </c>
      <c r="E1597" t="inlineStr">
        <is>
          <t>VÄSTERVIK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37326-2024</t>
        </is>
      </c>
      <c r="B1598" s="1" t="n">
        <v>45540</v>
      </c>
      <c r="C1598" s="1" t="n">
        <v>45633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38061-2024</t>
        </is>
      </c>
      <c r="B1599" s="1" t="n">
        <v>45544</v>
      </c>
      <c r="C1599" s="1" t="n">
        <v>45633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38545-2024</t>
        </is>
      </c>
      <c r="B1600" s="1" t="n">
        <v>45546</v>
      </c>
      <c r="C1600" s="1" t="n">
        <v>45633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39193-2024</t>
        </is>
      </c>
      <c r="B1601" s="1" t="n">
        <v>45548</v>
      </c>
      <c r="C1601" s="1" t="n">
        <v>45633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39257-2024</t>
        </is>
      </c>
      <c r="B1602" s="1" t="n">
        <v>45551</v>
      </c>
      <c r="C1602" s="1" t="n">
        <v>45633</v>
      </c>
      <c r="D1602" t="inlineStr">
        <is>
          <t>KALMAR LÄN</t>
        </is>
      </c>
      <c r="E1602" t="inlineStr">
        <is>
          <t>VÄSTERVIK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39278-2024</t>
        </is>
      </c>
      <c r="B1603" s="1" t="n">
        <v>45551</v>
      </c>
      <c r="C1603" s="1" t="n">
        <v>45633</v>
      </c>
      <c r="D1603" t="inlineStr">
        <is>
          <t>KALMAR LÄN</t>
        </is>
      </c>
      <c r="E1603" t="inlineStr">
        <is>
          <t>VÄSTERVIK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39287-2024</t>
        </is>
      </c>
      <c r="B1604" s="1" t="n">
        <v>45551</v>
      </c>
      <c r="C1604" s="1" t="n">
        <v>45633</v>
      </c>
      <c r="D1604" t="inlineStr">
        <is>
          <t>KALMAR LÄN</t>
        </is>
      </c>
      <c r="E1604" t="inlineStr">
        <is>
          <t>VÄSTERVIK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39309-2024</t>
        </is>
      </c>
      <c r="B1605" s="1" t="n">
        <v>45551</v>
      </c>
      <c r="C1605" s="1" t="n">
        <v>45633</v>
      </c>
      <c r="D1605" t="inlineStr">
        <is>
          <t>KALMAR LÄN</t>
        </is>
      </c>
      <c r="E1605" t="inlineStr">
        <is>
          <t>VÄSTERVIK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39259-2024</t>
        </is>
      </c>
      <c r="B1606" s="1" t="n">
        <v>45551</v>
      </c>
      <c r="C1606" s="1" t="n">
        <v>45633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39982-2024</t>
        </is>
      </c>
      <c r="B1607" s="1" t="n">
        <v>45553</v>
      </c>
      <c r="C1607" s="1" t="n">
        <v>45633</v>
      </c>
      <c r="D1607" t="inlineStr">
        <is>
          <t>KALMAR LÄN</t>
        </is>
      </c>
      <c r="E1607" t="inlineStr">
        <is>
          <t>VÄSTERVIK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39983-2024</t>
        </is>
      </c>
      <c r="B1608" s="1" t="n">
        <v>45553</v>
      </c>
      <c r="C1608" s="1" t="n">
        <v>45633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39980-2024</t>
        </is>
      </c>
      <c r="B1609" s="1" t="n">
        <v>45553</v>
      </c>
      <c r="C1609" s="1" t="n">
        <v>45633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40320-2024</t>
        </is>
      </c>
      <c r="B1610" s="1" t="n">
        <v>45554</v>
      </c>
      <c r="C1610" s="1" t="n">
        <v>45633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40648-2024</t>
        </is>
      </c>
      <c r="B1611" s="1" t="n">
        <v>45558</v>
      </c>
      <c r="C1611" s="1" t="n">
        <v>45633</v>
      </c>
      <c r="D1611" t="inlineStr">
        <is>
          <t>KALMAR LÄN</t>
        </is>
      </c>
      <c r="E1611" t="inlineStr">
        <is>
          <t>VÄSTERVIK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40645-2024</t>
        </is>
      </c>
      <c r="B1612" s="1" t="n">
        <v>45558</v>
      </c>
      <c r="C1612" s="1" t="n">
        <v>45633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40770-2024</t>
        </is>
      </c>
      <c r="B1613" s="1" t="n">
        <v>45558</v>
      </c>
      <c r="C1613" s="1" t="n">
        <v>45633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41248-2024</t>
        </is>
      </c>
      <c r="B1614" s="1" t="n">
        <v>45559</v>
      </c>
      <c r="C1614" s="1" t="n">
        <v>45633</v>
      </c>
      <c r="D1614" t="inlineStr">
        <is>
          <t>KALMAR LÄN</t>
        </is>
      </c>
      <c r="E1614" t="inlineStr">
        <is>
          <t>VÄSTERVIK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41237-2024</t>
        </is>
      </c>
      <c r="B1615" s="1" t="n">
        <v>45559</v>
      </c>
      <c r="C1615" s="1" t="n">
        <v>45633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41573-2024</t>
        </is>
      </c>
      <c r="B1616" s="1" t="n">
        <v>45560</v>
      </c>
      <c r="C1616" s="1" t="n">
        <v>45633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41571-2024</t>
        </is>
      </c>
      <c r="B1617" s="1" t="n">
        <v>45560</v>
      </c>
      <c r="C1617" s="1" t="n">
        <v>45633</v>
      </c>
      <c r="D1617" t="inlineStr">
        <is>
          <t>KALMAR LÄN</t>
        </is>
      </c>
      <c r="E1617" t="inlineStr">
        <is>
          <t>VÄSTERVIK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41926-2024</t>
        </is>
      </c>
      <c r="B1618" s="1" t="n">
        <v>45561</v>
      </c>
      <c r="C1618" s="1" t="n">
        <v>45633</v>
      </c>
      <c r="D1618" t="inlineStr">
        <is>
          <t>KALMAR LÄN</t>
        </is>
      </c>
      <c r="E1618" t="inlineStr">
        <is>
          <t>VÄSTERVIK</t>
        </is>
      </c>
      <c r="F1618" t="inlineStr">
        <is>
          <t>Kyrkan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42218-2024</t>
        </is>
      </c>
      <c r="B1619" s="1" t="n">
        <v>45562</v>
      </c>
      <c r="C1619" s="1" t="n">
        <v>45633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42816-2024</t>
        </is>
      </c>
      <c r="B1620" s="1" t="n">
        <v>45566</v>
      </c>
      <c r="C1620" s="1" t="n">
        <v>45633</v>
      </c>
      <c r="D1620" t="inlineStr">
        <is>
          <t>KALMAR LÄN</t>
        </is>
      </c>
      <c r="E1620" t="inlineStr">
        <is>
          <t>VÄSTERVIK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42746-2024</t>
        </is>
      </c>
      <c r="B1621" s="1" t="n">
        <v>45566</v>
      </c>
      <c r="C1621" s="1" t="n">
        <v>45633</v>
      </c>
      <c r="D1621" t="inlineStr">
        <is>
          <t>KALMAR LÄN</t>
        </is>
      </c>
      <c r="E1621" t="inlineStr">
        <is>
          <t>VÄSTERVIK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42742-2024</t>
        </is>
      </c>
      <c r="B1622" s="1" t="n">
        <v>45566</v>
      </c>
      <c r="C1622" s="1" t="n">
        <v>45633</v>
      </c>
      <c r="D1622" t="inlineStr">
        <is>
          <t>KALMAR LÄN</t>
        </is>
      </c>
      <c r="E1622" t="inlineStr">
        <is>
          <t>VÄSTERVIK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43199-2024</t>
        </is>
      </c>
      <c r="B1623" s="1" t="n">
        <v>45567</v>
      </c>
      <c r="C1623" s="1" t="n">
        <v>45633</v>
      </c>
      <c r="D1623" t="inlineStr">
        <is>
          <t>KALMAR LÄN</t>
        </is>
      </c>
      <c r="E1623" t="inlineStr">
        <is>
          <t>VÄSTERVIK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43208-2024</t>
        </is>
      </c>
      <c r="B1624" s="1" t="n">
        <v>45567</v>
      </c>
      <c r="C1624" s="1" t="n">
        <v>45633</v>
      </c>
      <c r="D1624" t="inlineStr">
        <is>
          <t>KALMAR LÄN</t>
        </is>
      </c>
      <c r="E1624" t="inlineStr">
        <is>
          <t>VÄSTERVIK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43274-2024</t>
        </is>
      </c>
      <c r="B1625" s="1" t="n">
        <v>45568</v>
      </c>
      <c r="C1625" s="1" t="n">
        <v>45633</v>
      </c>
      <c r="D1625" t="inlineStr">
        <is>
          <t>KALMAR LÄN</t>
        </is>
      </c>
      <c r="E1625" t="inlineStr">
        <is>
          <t>VÄSTERVIK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44198-2024</t>
        </is>
      </c>
      <c r="B1626" s="1" t="n">
        <v>45573</v>
      </c>
      <c r="C1626" s="1" t="n">
        <v>45633</v>
      </c>
      <c r="D1626" t="inlineStr">
        <is>
          <t>KALMAR LÄN</t>
        </is>
      </c>
      <c r="E1626" t="inlineStr">
        <is>
          <t>VÄSTERVIK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44203-2024</t>
        </is>
      </c>
      <c r="B1627" s="1" t="n">
        <v>45573</v>
      </c>
      <c r="C1627" s="1" t="n">
        <v>45633</v>
      </c>
      <c r="D1627" t="inlineStr">
        <is>
          <t>KALMAR LÄN</t>
        </is>
      </c>
      <c r="E1627" t="inlineStr">
        <is>
          <t>VÄSTERVIK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44223-2024</t>
        </is>
      </c>
      <c r="B1628" s="1" t="n">
        <v>45573</v>
      </c>
      <c r="C1628" s="1" t="n">
        <v>45633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45465-2024</t>
        </is>
      </c>
      <c r="B1629" s="1" t="n">
        <v>45576</v>
      </c>
      <c r="C1629" s="1" t="n">
        <v>45633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45463-2024</t>
        </is>
      </c>
      <c r="B1630" s="1" t="n">
        <v>45576</v>
      </c>
      <c r="C1630" s="1" t="n">
        <v>45633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45656-2024</t>
        </is>
      </c>
      <c r="B1631" s="1" t="n">
        <v>45579</v>
      </c>
      <c r="C1631" s="1" t="n">
        <v>45633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45652-2024</t>
        </is>
      </c>
      <c r="B1632" s="1" t="n">
        <v>45579</v>
      </c>
      <c r="C1632" s="1" t="n">
        <v>45633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45678-2024</t>
        </is>
      </c>
      <c r="B1633" s="1" t="n">
        <v>45579</v>
      </c>
      <c r="C1633" s="1" t="n">
        <v>45633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46967-2024</t>
        </is>
      </c>
      <c r="B1634" s="1" t="n">
        <v>45586</v>
      </c>
      <c r="C1634" s="1" t="n">
        <v>45633</v>
      </c>
      <c r="D1634" t="inlineStr">
        <is>
          <t>KALMAR LÄN</t>
        </is>
      </c>
      <c r="E1634" t="inlineStr">
        <is>
          <t>VÄSTERVIK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47053-2024</t>
        </is>
      </c>
      <c r="B1635" s="1" t="n">
        <v>45586</v>
      </c>
      <c r="C1635" s="1" t="n">
        <v>45633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48035-2024</t>
        </is>
      </c>
      <c r="B1636" s="1" t="n">
        <v>45589</v>
      </c>
      <c r="C1636" s="1" t="n">
        <v>45633</v>
      </c>
      <c r="D1636" t="inlineStr">
        <is>
          <t>KALMAR LÄN</t>
        </is>
      </c>
      <c r="E1636" t="inlineStr">
        <is>
          <t>VÄSTERVIK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48446-2024</t>
        </is>
      </c>
      <c r="B1637" s="1" t="n">
        <v>45590</v>
      </c>
      <c r="C1637" s="1" t="n">
        <v>45633</v>
      </c>
      <c r="D1637" t="inlineStr">
        <is>
          <t>KALMAR LÄN</t>
        </is>
      </c>
      <c r="E1637" t="inlineStr">
        <is>
          <t>VÄSTERVIK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48445-2024</t>
        </is>
      </c>
      <c r="B1638" s="1" t="n">
        <v>45590</v>
      </c>
      <c r="C1638" s="1" t="n">
        <v>45633</v>
      </c>
      <c r="D1638" t="inlineStr">
        <is>
          <t>KALMAR LÄN</t>
        </is>
      </c>
      <c r="E1638" t="inlineStr">
        <is>
          <t>VÄSTERVIK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48727-2024</t>
        </is>
      </c>
      <c r="B1639" s="1" t="n">
        <v>45593</v>
      </c>
      <c r="C1639" s="1" t="n">
        <v>45633</v>
      </c>
      <c r="D1639" t="inlineStr">
        <is>
          <t>KALMAR LÄN</t>
        </is>
      </c>
      <c r="E1639" t="inlineStr">
        <is>
          <t>VÄSTERVIK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45633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45633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HYPERLINK("https://klasma.github.io/Logging_0883/knärot/A 49378-2024 karta knärot.png", "A 49378-2024")</f>
        <v/>
      </c>
      <c r="V1641">
        <f>HYPERLINK("https://klasma.github.io/Logging_0883/klagomål/A 49378-2024 FSC-klagomål.docx", "A 49378-2024")</f>
        <v/>
      </c>
      <c r="W1641">
        <f>HYPERLINK("https://klasma.github.io/Logging_0883/klagomålsmail/A 49378-2024 FSC-klagomål mail.docx", "A 49378-2024")</f>
        <v/>
      </c>
      <c r="X1641">
        <f>HYPERLINK("https://klasma.github.io/Logging_0883/tillsyn/A 49378-2024 tillsynsbegäran.docx", "A 49378-2024")</f>
        <v/>
      </c>
      <c r="Y1641">
        <f>HYPERLINK("https://klasma.github.io/Logging_0883/tillsynsmail/A 49378-2024 tillsynsbegäran mail.docx", "A 49378-2024")</f>
        <v/>
      </c>
    </row>
    <row r="1642" ht="15" customHeight="1">
      <c r="A1642" t="inlineStr">
        <is>
          <t>A 49700-2024</t>
        </is>
      </c>
      <c r="B1642" s="1" t="n">
        <v>45596</v>
      </c>
      <c r="C1642" s="1" t="n">
        <v>45633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45633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45633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45633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50452-2024</t>
        </is>
      </c>
      <c r="B1646" s="1" t="n">
        <v>45601</v>
      </c>
      <c r="C1646" s="1" t="n">
        <v>45633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45633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50454-2024</t>
        </is>
      </c>
      <c r="B1648" s="1" t="n">
        <v>45601</v>
      </c>
      <c r="C1648" s="1" t="n">
        <v>45633</v>
      </c>
      <c r="D1648" t="inlineStr">
        <is>
          <t>KALMAR LÄN</t>
        </is>
      </c>
      <c r="E1648" t="inlineStr">
        <is>
          <t>VÄSTERVIK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51510-2024</t>
        </is>
      </c>
      <c r="B1649" s="1" t="n">
        <v>45604</v>
      </c>
      <c r="C1649" s="1" t="n">
        <v>45633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51488-2024</t>
        </is>
      </c>
      <c r="B1650" s="1" t="n">
        <v>45604</v>
      </c>
      <c r="C1650" s="1" t="n">
        <v>45633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51496-2024</t>
        </is>
      </c>
      <c r="B1651" s="1" t="n">
        <v>45604</v>
      </c>
      <c r="C1651" s="1" t="n">
        <v>45633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45633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45633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45633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45633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45633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45633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54342-2024</t>
        </is>
      </c>
      <c r="B1658" s="1" t="n">
        <v>45617</v>
      </c>
      <c r="C1658" s="1" t="n">
        <v>45633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54630-2024</t>
        </is>
      </c>
      <c r="B1659" s="1" t="n">
        <v>45617</v>
      </c>
      <c r="C1659" s="1" t="n">
        <v>45633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54632-2024</t>
        </is>
      </c>
      <c r="B1660" s="1" t="n">
        <v>45617</v>
      </c>
      <c r="C1660" s="1" t="n">
        <v>45633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45633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45633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45633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54638-2024</t>
        </is>
      </c>
      <c r="B1664" s="1" t="n">
        <v>45617</v>
      </c>
      <c r="C1664" s="1" t="n">
        <v>45633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55023-2024</t>
        </is>
      </c>
      <c r="B1665" s="1" t="n">
        <v>45621</v>
      </c>
      <c r="C1665" s="1" t="n">
        <v>45633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55042-2024</t>
        </is>
      </c>
      <c r="B1666" s="1" t="n">
        <v>45621</v>
      </c>
      <c r="C1666" s="1" t="n">
        <v>45633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55047-2024</t>
        </is>
      </c>
      <c r="B1667" s="1" t="n">
        <v>45621</v>
      </c>
      <c r="C1667" s="1" t="n">
        <v>45633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55032-2024</t>
        </is>
      </c>
      <c r="B1668" s="1" t="n">
        <v>45621</v>
      </c>
      <c r="C1668" s="1" t="n">
        <v>45633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55053-2024</t>
        </is>
      </c>
      <c r="B1669" s="1" t="n">
        <v>45621</v>
      </c>
      <c r="C1669" s="1" t="n">
        <v>45633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45633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55362-2024</t>
        </is>
      </c>
      <c r="B1671" s="1" t="n">
        <v>45621</v>
      </c>
      <c r="C1671" s="1" t="n">
        <v>45633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55359-2024</t>
        </is>
      </c>
      <c r="B1672" s="1" t="n">
        <v>45621</v>
      </c>
      <c r="C1672" s="1" t="n">
        <v>45633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6.8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55358-2024</t>
        </is>
      </c>
      <c r="B1673" s="1" t="n">
        <v>45621</v>
      </c>
      <c r="C1673" s="1" t="n">
        <v>45633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8.300000000000001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45633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55020-2024</t>
        </is>
      </c>
      <c r="B1675" s="1" t="n">
        <v>45621</v>
      </c>
      <c r="C1675" s="1" t="n">
        <v>45633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55037-2024</t>
        </is>
      </c>
      <c r="B1676" s="1" t="n">
        <v>45621</v>
      </c>
      <c r="C1676" s="1" t="n">
        <v>45633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55050-2024</t>
        </is>
      </c>
      <c r="B1677" s="1" t="n">
        <v>45621</v>
      </c>
      <c r="C1677" s="1" t="n">
        <v>45633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45633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55647-2024</t>
        </is>
      </c>
      <c r="B1679" s="1" t="n">
        <v>45622</v>
      </c>
      <c r="C1679" s="1" t="n">
        <v>45633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55565-2024</t>
        </is>
      </c>
      <c r="B1680" s="1" t="n">
        <v>45622</v>
      </c>
      <c r="C1680" s="1" t="n">
        <v>45633</v>
      </c>
      <c r="D1680" t="inlineStr">
        <is>
          <t>KALMAR LÄN</t>
        </is>
      </c>
      <c r="E1680" t="inlineStr">
        <is>
          <t>VÄSTERVIK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55609-2024</t>
        </is>
      </c>
      <c r="B1681" s="1" t="n">
        <v>45622</v>
      </c>
      <c r="C1681" s="1" t="n">
        <v>45633</v>
      </c>
      <c r="D1681" t="inlineStr">
        <is>
          <t>KALMAR LÄN</t>
        </is>
      </c>
      <c r="E1681" t="inlineStr">
        <is>
          <t>VÄSTERVIK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45633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56378-2024</t>
        </is>
      </c>
      <c r="B1683" s="1" t="n">
        <v>45625</v>
      </c>
      <c r="C1683" s="1" t="n">
        <v>45633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56371-2024</t>
        </is>
      </c>
      <c r="B1684" s="1" t="n">
        <v>45625</v>
      </c>
      <c r="C1684" s="1" t="n">
        <v>45633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7.2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56384-2024</t>
        </is>
      </c>
      <c r="B1685" s="1" t="n">
        <v>45625</v>
      </c>
      <c r="C1685" s="1" t="n">
        <v>45633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56382-2024</t>
        </is>
      </c>
      <c r="B1686" s="1" t="n">
        <v>45625</v>
      </c>
      <c r="C1686" s="1" t="n">
        <v>45633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56377-2024</t>
        </is>
      </c>
      <c r="B1687" s="1" t="n">
        <v>45625</v>
      </c>
      <c r="C1687" s="1" t="n">
        <v>45633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56439-2024</t>
        </is>
      </c>
      <c r="B1688" s="1" t="n">
        <v>45625</v>
      </c>
      <c r="C1688" s="1" t="n">
        <v>45633</v>
      </c>
      <c r="D1688" t="inlineStr">
        <is>
          <t>KALMAR LÄN</t>
        </is>
      </c>
      <c r="E1688" t="inlineStr">
        <is>
          <t>VÄSTERVIK</t>
        </is>
      </c>
      <c r="F1688" t="inlineStr">
        <is>
          <t>Övriga Aktiebolag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45633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45633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56440-2024</t>
        </is>
      </c>
      <c r="B1691" s="1" t="n">
        <v>45625</v>
      </c>
      <c r="C1691" s="1" t="n">
        <v>45633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57178-2024</t>
        </is>
      </c>
      <c r="B1692" s="1" t="n">
        <v>45629</v>
      </c>
      <c r="C1692" s="1" t="n">
        <v>45633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57688-2024</t>
        </is>
      </c>
      <c r="B1693" s="1" t="n">
        <v>45630</v>
      </c>
      <c r="C1693" s="1" t="n">
        <v>45633</v>
      </c>
      <c r="D1693" t="inlineStr">
        <is>
          <t>KALMAR LÄN</t>
        </is>
      </c>
      <c r="E1693" t="inlineStr">
        <is>
          <t>VÄSTERVIK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57802-2024</t>
        </is>
      </c>
      <c r="B1694" s="1" t="n">
        <v>45631</v>
      </c>
      <c r="C1694" s="1" t="n">
        <v>45633</v>
      </c>
      <c r="D1694" t="inlineStr">
        <is>
          <t>KALMAR LÄN</t>
        </is>
      </c>
      <c r="E1694" t="inlineStr">
        <is>
          <t>VÄSTERVIK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57795-2024</t>
        </is>
      </c>
      <c r="B1695" s="1" t="n">
        <v>45631</v>
      </c>
      <c r="C1695" s="1" t="n">
        <v>45633</v>
      </c>
      <c r="D1695" t="inlineStr">
        <is>
          <t>KALMAR LÄN</t>
        </is>
      </c>
      <c r="E1695" t="inlineStr">
        <is>
          <t>VÄSTERVIK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57793-2024</t>
        </is>
      </c>
      <c r="B1696" s="1" t="n">
        <v>45631</v>
      </c>
      <c r="C1696" s="1" t="n">
        <v>45633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57792-2024</t>
        </is>
      </c>
      <c r="B1697" s="1" t="n">
        <v>45631</v>
      </c>
      <c r="C1697" s="1" t="n">
        <v>45633</v>
      </c>
      <c r="D1697" t="inlineStr">
        <is>
          <t>KALMAR LÄN</t>
        </is>
      </c>
      <c r="E1697" t="inlineStr">
        <is>
          <t>VÄSTERVIK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57924-2024</t>
        </is>
      </c>
      <c r="B1698" s="1" t="n">
        <v>45631</v>
      </c>
      <c r="C1698" s="1" t="n">
        <v>45633</v>
      </c>
      <c r="D1698" t="inlineStr">
        <is>
          <t>KALMAR LÄN</t>
        </is>
      </c>
      <c r="E1698" t="inlineStr">
        <is>
          <t>VÄSTERVIK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2024-12-07T14:44:19Z</dcterms:created>
  <dcterms:modified xmlns:dcterms="http://purl.org/dc/terms/" xmlns:xsi="http://www.w3.org/2001/XMLSchema-instance" xsi:type="dcterms:W3CDTF">2024-12-07T14:44:21Z</dcterms:modified>
</cp:coreProperties>
</file>