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45901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45901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45901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45901</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1370-2024</t>
        </is>
      </c>
      <c r="B6" s="1" t="n">
        <v>45303</v>
      </c>
      <c r="C6" s="1" t="n">
        <v>45901</v>
      </c>
      <c r="D6" t="inlineStr">
        <is>
          <t>KALMAR LÄN</t>
        </is>
      </c>
      <c r="E6" t="inlineStr">
        <is>
          <t>VÄSTERVIK</t>
        </is>
      </c>
      <c r="G6" t="n">
        <v>8.300000000000001</v>
      </c>
      <c r="H6" t="n">
        <v>4</v>
      </c>
      <c r="I6" t="n">
        <v>5</v>
      </c>
      <c r="J6" t="n">
        <v>5</v>
      </c>
      <c r="K6" t="n">
        <v>2</v>
      </c>
      <c r="L6" t="n">
        <v>0</v>
      </c>
      <c r="M6" t="n">
        <v>0</v>
      </c>
      <c r="N6" t="n">
        <v>0</v>
      </c>
      <c r="O6" t="n">
        <v>7</v>
      </c>
      <c r="P6" t="n">
        <v>2</v>
      </c>
      <c r="Q6" t="n">
        <v>13</v>
      </c>
      <c r="R6" s="2" t="inlineStr">
        <is>
          <t>Knärot
Vågticka
Gropticka
Järpe
Tallticka
Talltita
Ullticka
Brandticka
Bronshjon
Grovticka
Grönpyrola
Vågbandad barkbock
Mattlummer</t>
        </is>
      </c>
      <c r="S6">
        <f>HYPERLINK("https://klasma.github.io/Logging_0883/artfynd/A 1370-2024 artfynd.xlsx", "A 1370-2024")</f>
        <v/>
      </c>
      <c r="T6">
        <f>HYPERLINK("https://klasma.github.io/Logging_0883/kartor/A 1370-2024 karta.png", "A 1370-2024")</f>
        <v/>
      </c>
      <c r="U6">
        <f>HYPERLINK("https://klasma.github.io/Logging_0883/knärot/A 1370-2024 karta knärot.png", "A 1370-2024")</f>
        <v/>
      </c>
      <c r="V6">
        <f>HYPERLINK("https://klasma.github.io/Logging_0883/klagomål/A 1370-2024 FSC-klagomål.docx", "A 1370-2024")</f>
        <v/>
      </c>
      <c r="W6">
        <f>HYPERLINK("https://klasma.github.io/Logging_0883/klagomålsmail/A 1370-2024 FSC-klagomål mail.docx", "A 1370-2024")</f>
        <v/>
      </c>
      <c r="X6">
        <f>HYPERLINK("https://klasma.github.io/Logging_0883/tillsyn/A 1370-2024 tillsynsbegäran.docx", "A 1370-2024")</f>
        <v/>
      </c>
      <c r="Y6">
        <f>HYPERLINK("https://klasma.github.io/Logging_0883/tillsynsmail/A 1370-2024 tillsynsbegäran mail.docx", "A 1370-2024")</f>
        <v/>
      </c>
      <c r="Z6">
        <f>HYPERLINK("https://klasma.github.io/Logging_0883/fåglar/A 1370-2024 prioriterade fågelarter.docx", "A 1370-2024")</f>
        <v/>
      </c>
    </row>
    <row r="7" ht="15" customHeight="1">
      <c r="A7" t="inlineStr">
        <is>
          <t>A 60440-2024</t>
        </is>
      </c>
      <c r="B7" s="1" t="n">
        <v>45643.59024305556</v>
      </c>
      <c r="C7" s="1" t="n">
        <v>45901</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45901</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45901</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45901</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45901</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45901</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56737-2023</t>
        </is>
      </c>
      <c r="B13" s="1" t="n">
        <v>45244</v>
      </c>
      <c r="C13" s="1" t="n">
        <v>45901</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45901</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55017-2021</t>
        </is>
      </c>
      <c r="B15" s="1" t="n">
        <v>44474</v>
      </c>
      <c r="C15" s="1" t="n">
        <v>45901</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35134-2024</t>
        </is>
      </c>
      <c r="B16" s="1" t="n">
        <v>45530</v>
      </c>
      <c r="C16" s="1" t="n">
        <v>45901</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15252-2021</t>
        </is>
      </c>
      <c r="B17" s="1" t="n">
        <v>44284</v>
      </c>
      <c r="C17" s="1" t="n">
        <v>45901</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1773-2025</t>
        </is>
      </c>
      <c r="B18" s="1" t="n">
        <v>45671</v>
      </c>
      <c r="C18" s="1" t="n">
        <v>45901</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27378-2024</t>
        </is>
      </c>
      <c r="B19" s="1" t="n">
        <v>45473</v>
      </c>
      <c r="C19" s="1" t="n">
        <v>45901</v>
      </c>
      <c r="D19" t="inlineStr">
        <is>
          <t>KALMAR LÄN</t>
        </is>
      </c>
      <c r="E19" t="inlineStr">
        <is>
          <t>VÄSTERVIK</t>
        </is>
      </c>
      <c r="G19" t="n">
        <v>3</v>
      </c>
      <c r="H19" t="n">
        <v>4</v>
      </c>
      <c r="I19" t="n">
        <v>2</v>
      </c>
      <c r="J19" t="n">
        <v>2</v>
      </c>
      <c r="K19" t="n">
        <v>2</v>
      </c>
      <c r="L19" t="n">
        <v>0</v>
      </c>
      <c r="M19" t="n">
        <v>0</v>
      </c>
      <c r="N19" t="n">
        <v>0</v>
      </c>
      <c r="O19" t="n">
        <v>4</v>
      </c>
      <c r="P19" t="n">
        <v>2</v>
      </c>
      <c r="Q19" t="n">
        <v>8</v>
      </c>
      <c r="R19" s="2" t="inlineStr">
        <is>
          <t>Knärot
Rotfingersvamp
Svart taggsvamp
Talltita
Blåmossa
Dropptaggsvamp
Tjäder
Mattlummer</t>
        </is>
      </c>
      <c r="S19">
        <f>HYPERLINK("https://klasma.github.io/Logging_0883/artfynd/A 27378-2024 artfynd.xlsx", "A 27378-2024")</f>
        <v/>
      </c>
      <c r="T19">
        <f>HYPERLINK("https://klasma.github.io/Logging_0883/kartor/A 27378-2024 karta.png", "A 27378-2024")</f>
        <v/>
      </c>
      <c r="U19">
        <f>HYPERLINK("https://klasma.github.io/Logging_0883/knärot/A 27378-2024 karta knärot.png", "A 27378-2024")</f>
        <v/>
      </c>
      <c r="V19">
        <f>HYPERLINK("https://klasma.github.io/Logging_0883/klagomål/A 27378-2024 FSC-klagomål.docx", "A 27378-2024")</f>
        <v/>
      </c>
      <c r="W19">
        <f>HYPERLINK("https://klasma.github.io/Logging_0883/klagomålsmail/A 27378-2024 FSC-klagomål mail.docx", "A 27378-2024")</f>
        <v/>
      </c>
      <c r="X19">
        <f>HYPERLINK("https://klasma.github.io/Logging_0883/tillsyn/A 27378-2024 tillsynsbegäran.docx", "A 27378-2024")</f>
        <v/>
      </c>
      <c r="Y19">
        <f>HYPERLINK("https://klasma.github.io/Logging_0883/tillsynsmail/A 27378-2024 tillsynsbegäran mail.docx", "A 27378-2024")</f>
        <v/>
      </c>
      <c r="Z19">
        <f>HYPERLINK("https://klasma.github.io/Logging_0883/fåglar/A 27378-2024 prioriterade fågelarter.docx", "A 27378-2024")</f>
        <v/>
      </c>
    </row>
    <row r="20" ht="15" customHeight="1">
      <c r="A20" t="inlineStr">
        <is>
          <t>A 26281-2024</t>
        </is>
      </c>
      <c r="B20" s="1" t="n">
        <v>45468</v>
      </c>
      <c r="C20" s="1" t="n">
        <v>45901</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45901</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39298-2024</t>
        </is>
      </c>
      <c r="B22" s="1" t="n">
        <v>45551</v>
      </c>
      <c r="C22" s="1" t="n">
        <v>45901</v>
      </c>
      <c r="D22" t="inlineStr">
        <is>
          <t>KALMAR LÄN</t>
        </is>
      </c>
      <c r="E22" t="inlineStr">
        <is>
          <t>VÄSTERVIK</t>
        </is>
      </c>
      <c r="G22" t="n">
        <v>1.2</v>
      </c>
      <c r="H22" t="n">
        <v>3</v>
      </c>
      <c r="I22" t="n">
        <v>5</v>
      </c>
      <c r="J22" t="n">
        <v>1</v>
      </c>
      <c r="K22" t="n">
        <v>1</v>
      </c>
      <c r="L22" t="n">
        <v>0</v>
      </c>
      <c r="M22" t="n">
        <v>0</v>
      </c>
      <c r="N22" t="n">
        <v>0</v>
      </c>
      <c r="O22" t="n">
        <v>2</v>
      </c>
      <c r="P22" t="n">
        <v>1</v>
      </c>
      <c r="Q22" t="n">
        <v>7</v>
      </c>
      <c r="R22" s="2" t="inlineStr">
        <is>
          <t>Knärot
Talltita
Dropptaggsvamp
Grön sköldmossa
Grönpyrola
Rödgul trumpetsvamp
Stubbspretmossa</t>
        </is>
      </c>
      <c r="S22">
        <f>HYPERLINK("https://klasma.github.io/Logging_0883/artfynd/A 39298-2024 artfynd.xlsx", "A 39298-2024")</f>
        <v/>
      </c>
      <c r="T22">
        <f>HYPERLINK("https://klasma.github.io/Logging_0883/kartor/A 39298-2024 karta.png", "A 39298-2024")</f>
        <v/>
      </c>
      <c r="U22">
        <f>HYPERLINK("https://klasma.github.io/Logging_0883/knärot/A 39298-2024 karta knärot.png", "A 39298-2024")</f>
        <v/>
      </c>
      <c r="V22">
        <f>HYPERLINK("https://klasma.github.io/Logging_0883/klagomål/A 39298-2024 FSC-klagomål.docx", "A 39298-2024")</f>
        <v/>
      </c>
      <c r="W22">
        <f>HYPERLINK("https://klasma.github.io/Logging_0883/klagomålsmail/A 39298-2024 FSC-klagomål mail.docx", "A 39298-2024")</f>
        <v/>
      </c>
      <c r="X22">
        <f>HYPERLINK("https://klasma.github.io/Logging_0883/tillsyn/A 39298-2024 tillsynsbegäran.docx", "A 39298-2024")</f>
        <v/>
      </c>
      <c r="Y22">
        <f>HYPERLINK("https://klasma.github.io/Logging_0883/tillsynsmail/A 39298-2024 tillsynsbegäran mail.docx", "A 39298-2024")</f>
        <v/>
      </c>
      <c r="Z22">
        <f>HYPERLINK("https://klasma.github.io/Logging_0883/fåglar/A 39298-2024 prioriterade fågelarter.docx", "A 39298-2024")</f>
        <v/>
      </c>
    </row>
    <row r="23" ht="15" customHeight="1">
      <c r="A23" t="inlineStr">
        <is>
          <t>A 63850-2021</t>
        </is>
      </c>
      <c r="B23" s="1" t="n">
        <v>44505</v>
      </c>
      <c r="C23" s="1" t="n">
        <v>45901</v>
      </c>
      <c r="D23" t="inlineStr">
        <is>
          <t>KALMAR LÄN</t>
        </is>
      </c>
      <c r="E23" t="inlineStr">
        <is>
          <t>VÄSTERVIK</t>
        </is>
      </c>
      <c r="G23" t="n">
        <v>2.7</v>
      </c>
      <c r="H23" t="n">
        <v>3</v>
      </c>
      <c r="I23" t="n">
        <v>3</v>
      </c>
      <c r="J23" t="n">
        <v>3</v>
      </c>
      <c r="K23" t="n">
        <v>1</v>
      </c>
      <c r="L23" t="n">
        <v>0</v>
      </c>
      <c r="M23" t="n">
        <v>0</v>
      </c>
      <c r="N23" t="n">
        <v>0</v>
      </c>
      <c r="O23" t="n">
        <v>4</v>
      </c>
      <c r="P23" t="n">
        <v>1</v>
      </c>
      <c r="Q23" t="n">
        <v>7</v>
      </c>
      <c r="R23" s="2" t="inlineStr">
        <is>
          <t>Knärot
Tallticka
Talltita
Ullticka
Grovticka
Grön sköldmossa
Grönpyrola</t>
        </is>
      </c>
      <c r="S23">
        <f>HYPERLINK("https://klasma.github.io/Logging_0883/artfynd/A 63850-2021 artfynd.xlsx", "A 63850-2021")</f>
        <v/>
      </c>
      <c r="T23">
        <f>HYPERLINK("https://klasma.github.io/Logging_0883/kartor/A 63850-2021 karta.png", "A 63850-2021")</f>
        <v/>
      </c>
      <c r="U23">
        <f>HYPERLINK("https://klasma.github.io/Logging_0883/knärot/A 63850-2021 karta knärot.png", "A 63850-2021")</f>
        <v/>
      </c>
      <c r="V23">
        <f>HYPERLINK("https://klasma.github.io/Logging_0883/klagomål/A 63850-2021 FSC-klagomål.docx", "A 63850-2021")</f>
        <v/>
      </c>
      <c r="W23">
        <f>HYPERLINK("https://klasma.github.io/Logging_0883/klagomålsmail/A 63850-2021 FSC-klagomål mail.docx", "A 63850-2021")</f>
        <v/>
      </c>
      <c r="X23">
        <f>HYPERLINK("https://klasma.github.io/Logging_0883/tillsyn/A 63850-2021 tillsynsbegäran.docx", "A 63850-2021")</f>
        <v/>
      </c>
      <c r="Y23">
        <f>HYPERLINK("https://klasma.github.io/Logging_0883/tillsynsmail/A 63850-2021 tillsynsbegäran mail.docx", "A 63850-2021")</f>
        <v/>
      </c>
      <c r="Z23">
        <f>HYPERLINK("https://klasma.github.io/Logging_0883/fåglar/A 63850-2021 prioriterade fågelarter.docx", "A 63850-2021")</f>
        <v/>
      </c>
    </row>
    <row r="24" ht="15" customHeight="1">
      <c r="A24" t="inlineStr">
        <is>
          <t>A 23021-2025</t>
        </is>
      </c>
      <c r="B24" s="1" t="n">
        <v>45790</v>
      </c>
      <c r="C24" s="1" t="n">
        <v>45901</v>
      </c>
      <c r="D24" t="inlineStr">
        <is>
          <t>KALMAR LÄN</t>
        </is>
      </c>
      <c r="E24" t="inlineStr">
        <is>
          <t>VÄSTERVIK</t>
        </is>
      </c>
      <c r="G24" t="n">
        <v>5</v>
      </c>
      <c r="H24" t="n">
        <v>5</v>
      </c>
      <c r="I24" t="n">
        <v>0</v>
      </c>
      <c r="J24" t="n">
        <v>5</v>
      </c>
      <c r="K24" t="n">
        <v>1</v>
      </c>
      <c r="L24" t="n">
        <v>0</v>
      </c>
      <c r="M24" t="n">
        <v>0</v>
      </c>
      <c r="N24" t="n">
        <v>0</v>
      </c>
      <c r="O24" t="n">
        <v>6</v>
      </c>
      <c r="P24" t="n">
        <v>1</v>
      </c>
      <c r="Q24" t="n">
        <v>7</v>
      </c>
      <c r="R24" s="2" t="inlineStr">
        <is>
          <t>Stare
Grönsångare
Mindre hackspett
Spillkråka
Tallticka
Vintertagging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4397-2025</t>
        </is>
      </c>
      <c r="B25" s="1" t="n">
        <v>45686</v>
      </c>
      <c r="C25" s="1" t="n">
        <v>45901</v>
      </c>
      <c r="D25" t="inlineStr">
        <is>
          <t>KALMAR LÄN</t>
        </is>
      </c>
      <c r="E25" t="inlineStr">
        <is>
          <t>VÄSTERVIK</t>
        </is>
      </c>
      <c r="F25" t="inlineStr">
        <is>
          <t>Holmen skog AB</t>
        </is>
      </c>
      <c r="G25" t="n">
        <v>10</v>
      </c>
      <c r="H25" t="n">
        <v>7</v>
      </c>
      <c r="I25" t="n">
        <v>0</v>
      </c>
      <c r="J25" t="n">
        <v>4</v>
      </c>
      <c r="K25" t="n">
        <v>1</v>
      </c>
      <c r="L25" t="n">
        <v>0</v>
      </c>
      <c r="M25" t="n">
        <v>0</v>
      </c>
      <c r="N25" t="n">
        <v>0</v>
      </c>
      <c r="O25" t="n">
        <v>5</v>
      </c>
      <c r="P25" t="n">
        <v>1</v>
      </c>
      <c r="Q25" t="n">
        <v>7</v>
      </c>
      <c r="R25" s="2" t="inlineStr">
        <is>
          <t>Knärot
Entita
Grönsångare
Mindre hackspett
Talltita
Kungsfågel
Skogsduva</t>
        </is>
      </c>
      <c r="S25">
        <f>HYPERLINK("https://klasma.github.io/Logging_0883/artfynd/A 4397-2025 artfynd.xlsx", "A 4397-2025")</f>
        <v/>
      </c>
      <c r="T25">
        <f>HYPERLINK("https://klasma.github.io/Logging_0883/kartor/A 4397-2025 karta.png", "A 4397-2025")</f>
        <v/>
      </c>
      <c r="U25">
        <f>HYPERLINK("https://klasma.github.io/Logging_0883/knärot/A 4397-2025 karta knärot.png", "A 4397-2025")</f>
        <v/>
      </c>
      <c r="V25">
        <f>HYPERLINK("https://klasma.github.io/Logging_0883/klagomål/A 4397-2025 FSC-klagomål.docx", "A 4397-2025")</f>
        <v/>
      </c>
      <c r="W25">
        <f>HYPERLINK("https://klasma.github.io/Logging_0883/klagomålsmail/A 4397-2025 FSC-klagomål mail.docx", "A 4397-2025")</f>
        <v/>
      </c>
      <c r="X25">
        <f>HYPERLINK("https://klasma.github.io/Logging_0883/tillsyn/A 4397-2025 tillsynsbegäran.docx", "A 4397-2025")</f>
        <v/>
      </c>
      <c r="Y25">
        <f>HYPERLINK("https://klasma.github.io/Logging_0883/tillsynsmail/A 4397-2025 tillsynsbegäran mail.docx", "A 4397-2025")</f>
        <v/>
      </c>
      <c r="Z25">
        <f>HYPERLINK("https://klasma.github.io/Logging_0883/fåglar/A 4397-2025 prioriterade fågelarter.docx", "A 4397-2025")</f>
        <v/>
      </c>
    </row>
    <row r="26" ht="15" customHeight="1">
      <c r="A26" t="inlineStr">
        <is>
          <t>A 26574-2025</t>
        </is>
      </c>
      <c r="B26" s="1" t="n">
        <v>45807.68491898148</v>
      </c>
      <c r="C26" s="1" t="n">
        <v>45901</v>
      </c>
      <c r="D26" t="inlineStr">
        <is>
          <t>KALMAR LÄN</t>
        </is>
      </c>
      <c r="E26" t="inlineStr">
        <is>
          <t>VÄSTERVIK</t>
        </is>
      </c>
      <c r="G26" t="n">
        <v>8.4</v>
      </c>
      <c r="H26" t="n">
        <v>2</v>
      </c>
      <c r="I26" t="n">
        <v>3</v>
      </c>
      <c r="J26" t="n">
        <v>3</v>
      </c>
      <c r="K26" t="n">
        <v>0</v>
      </c>
      <c r="L26" t="n">
        <v>0</v>
      </c>
      <c r="M26" t="n">
        <v>0</v>
      </c>
      <c r="N26" t="n">
        <v>0</v>
      </c>
      <c r="O26" t="n">
        <v>3</v>
      </c>
      <c r="P26" t="n">
        <v>0</v>
      </c>
      <c r="Q26" t="n">
        <v>7</v>
      </c>
      <c r="R26" s="2" t="inlineStr">
        <is>
          <t>Drillsnäppa
Tallticka
Vippärt
Blåmossa
Murgröna
Sårläka
Kungsfågel</t>
        </is>
      </c>
      <c r="S26">
        <f>HYPERLINK("https://klasma.github.io/Logging_0883/artfynd/A 26574-2025 artfynd.xlsx", "A 26574-2025")</f>
        <v/>
      </c>
      <c r="T26">
        <f>HYPERLINK("https://klasma.github.io/Logging_0883/kartor/A 26574-2025 karta.png", "A 26574-2025")</f>
        <v/>
      </c>
      <c r="V26">
        <f>HYPERLINK("https://klasma.github.io/Logging_0883/klagomål/A 26574-2025 FSC-klagomål.docx", "A 26574-2025")</f>
        <v/>
      </c>
      <c r="W26">
        <f>HYPERLINK("https://klasma.github.io/Logging_0883/klagomålsmail/A 26574-2025 FSC-klagomål mail.docx", "A 26574-2025")</f>
        <v/>
      </c>
      <c r="X26">
        <f>HYPERLINK("https://klasma.github.io/Logging_0883/tillsyn/A 26574-2025 tillsynsbegäran.docx", "A 26574-2025")</f>
        <v/>
      </c>
      <c r="Y26">
        <f>HYPERLINK("https://klasma.github.io/Logging_0883/tillsynsmail/A 26574-2025 tillsynsbegäran mail.docx", "A 26574-2025")</f>
        <v/>
      </c>
      <c r="Z26">
        <f>HYPERLINK("https://klasma.github.io/Logging_0883/fåglar/A 26574-2025 prioriterade fågelarter.docx", "A 26574-2025")</f>
        <v/>
      </c>
    </row>
    <row r="27" ht="15" customHeight="1">
      <c r="A27" t="inlineStr">
        <is>
          <t>A 34624-2022</t>
        </is>
      </c>
      <c r="B27" s="1" t="n">
        <v>44795</v>
      </c>
      <c r="C27" s="1" t="n">
        <v>45901</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59457-2024</t>
        </is>
      </c>
      <c r="B28" s="1" t="n">
        <v>45638</v>
      </c>
      <c r="C28" s="1" t="n">
        <v>45901</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16996-2025</t>
        </is>
      </c>
      <c r="B29" s="1" t="n">
        <v>45755.51844907407</v>
      </c>
      <c r="C29" s="1" t="n">
        <v>45901</v>
      </c>
      <c r="D29" t="inlineStr">
        <is>
          <t>KALMAR LÄN</t>
        </is>
      </c>
      <c r="E29" t="inlineStr">
        <is>
          <t>VÄSTERVIK</t>
        </is>
      </c>
      <c r="G29" t="n">
        <v>2.1</v>
      </c>
      <c r="H29" t="n">
        <v>3</v>
      </c>
      <c r="I29" t="n">
        <v>5</v>
      </c>
      <c r="J29" t="n">
        <v>0</v>
      </c>
      <c r="K29" t="n">
        <v>1</v>
      </c>
      <c r="L29" t="n">
        <v>0</v>
      </c>
      <c r="M29" t="n">
        <v>0</v>
      </c>
      <c r="N29" t="n">
        <v>0</v>
      </c>
      <c r="O29" t="n">
        <v>1</v>
      </c>
      <c r="P29" t="n">
        <v>1</v>
      </c>
      <c r="Q29" t="n">
        <v>7</v>
      </c>
      <c r="R29" s="2" t="inlineStr">
        <is>
          <t>Knärot
Fällmossa
Grön sköldmossa
Grönpyrola
Guldlockmossa
Trädporella
Blåsippa</t>
        </is>
      </c>
      <c r="S29">
        <f>HYPERLINK("https://klasma.github.io/Logging_0883/artfynd/A 16996-2025 artfynd.xlsx", "A 16996-2025")</f>
        <v/>
      </c>
      <c r="T29">
        <f>HYPERLINK("https://klasma.github.io/Logging_0883/kartor/A 16996-2025 karta.png", "A 16996-2025")</f>
        <v/>
      </c>
      <c r="U29">
        <f>HYPERLINK("https://klasma.github.io/Logging_0883/knärot/A 16996-2025 karta knärot.png", "A 16996-2025")</f>
        <v/>
      </c>
      <c r="V29">
        <f>HYPERLINK("https://klasma.github.io/Logging_0883/klagomål/A 16996-2025 FSC-klagomål.docx", "A 16996-2025")</f>
        <v/>
      </c>
      <c r="W29">
        <f>HYPERLINK("https://klasma.github.io/Logging_0883/klagomålsmail/A 16996-2025 FSC-klagomål mail.docx", "A 16996-2025")</f>
        <v/>
      </c>
      <c r="X29">
        <f>HYPERLINK("https://klasma.github.io/Logging_0883/tillsyn/A 16996-2025 tillsynsbegäran.docx", "A 16996-2025")</f>
        <v/>
      </c>
      <c r="Y29">
        <f>HYPERLINK("https://klasma.github.io/Logging_0883/tillsynsmail/A 16996-2025 tillsynsbegäran mail.docx", "A 16996-2025")</f>
        <v/>
      </c>
    </row>
    <row r="30" ht="15" customHeight="1">
      <c r="A30" t="inlineStr">
        <is>
          <t>A 34638-2025</t>
        </is>
      </c>
      <c r="B30" s="1" t="n">
        <v>45848.30584490741</v>
      </c>
      <c r="C30" s="1" t="n">
        <v>45901</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45901</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45901</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71188-2021</t>
        </is>
      </c>
      <c r="B33" s="1" t="n">
        <v>44539</v>
      </c>
      <c r="C33" s="1" t="n">
        <v>45901</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45901</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55286-2023</t>
        </is>
      </c>
      <c r="B35" s="1" t="n">
        <v>45237</v>
      </c>
      <c r="C35" s="1" t="n">
        <v>45901</v>
      </c>
      <c r="D35" t="inlineStr">
        <is>
          <t>KALMAR LÄN</t>
        </is>
      </c>
      <c r="E35" t="inlineStr">
        <is>
          <t>VÄSTERVIK</t>
        </is>
      </c>
      <c r="G35" t="n">
        <v>5.9</v>
      </c>
      <c r="H35" t="n">
        <v>2</v>
      </c>
      <c r="I35" t="n">
        <v>3</v>
      </c>
      <c r="J35" t="n">
        <v>1</v>
      </c>
      <c r="K35" t="n">
        <v>2</v>
      </c>
      <c r="L35" t="n">
        <v>0</v>
      </c>
      <c r="M35" t="n">
        <v>0</v>
      </c>
      <c r="N35" t="n">
        <v>0</v>
      </c>
      <c r="O35" t="n">
        <v>3</v>
      </c>
      <c r="P35" t="n">
        <v>2</v>
      </c>
      <c r="Q35" t="n">
        <v>6</v>
      </c>
      <c r="R35" s="2" t="inlineStr">
        <is>
          <t>Knärot
Koppartaggsvamp
Spillkråka
Blomskägglav
Blåmossa
Grovticka</t>
        </is>
      </c>
      <c r="S35">
        <f>HYPERLINK("https://klasma.github.io/Logging_0883/artfynd/A 55286-2023 artfynd.xlsx", "A 55286-2023")</f>
        <v/>
      </c>
      <c r="T35">
        <f>HYPERLINK("https://klasma.github.io/Logging_0883/kartor/A 55286-2023 karta.png", "A 55286-2023")</f>
        <v/>
      </c>
      <c r="U35">
        <f>HYPERLINK("https://klasma.github.io/Logging_0883/knärot/A 55286-2023 karta knärot.png", "A 55286-2023")</f>
        <v/>
      </c>
      <c r="V35">
        <f>HYPERLINK("https://klasma.github.io/Logging_0883/klagomål/A 55286-2023 FSC-klagomål.docx", "A 55286-2023")</f>
        <v/>
      </c>
      <c r="W35">
        <f>HYPERLINK("https://klasma.github.io/Logging_0883/klagomålsmail/A 55286-2023 FSC-klagomål mail.docx", "A 55286-2023")</f>
        <v/>
      </c>
      <c r="X35">
        <f>HYPERLINK("https://klasma.github.io/Logging_0883/tillsyn/A 55286-2023 tillsynsbegäran.docx", "A 55286-2023")</f>
        <v/>
      </c>
      <c r="Y35">
        <f>HYPERLINK("https://klasma.github.io/Logging_0883/tillsynsmail/A 55286-2023 tillsynsbegäran mail.docx", "A 55286-2023")</f>
        <v/>
      </c>
      <c r="Z35">
        <f>HYPERLINK("https://klasma.github.io/Logging_0883/fåglar/A 55286-2023 prioriterade fågelarter.docx", "A 55286-2023")</f>
        <v/>
      </c>
    </row>
    <row r="36" ht="15" customHeight="1">
      <c r="A36" t="inlineStr">
        <is>
          <t>A 39295-2024</t>
        </is>
      </c>
      <c r="B36" s="1" t="n">
        <v>45551</v>
      </c>
      <c r="C36" s="1" t="n">
        <v>45901</v>
      </c>
      <c r="D36" t="inlineStr">
        <is>
          <t>KALMAR LÄN</t>
        </is>
      </c>
      <c r="E36" t="inlineStr">
        <is>
          <t>VÄSTERVIK</t>
        </is>
      </c>
      <c r="G36" t="n">
        <v>4.4</v>
      </c>
      <c r="H36" t="n">
        <v>3</v>
      </c>
      <c r="I36" t="n">
        <v>3</v>
      </c>
      <c r="J36" t="n">
        <v>2</v>
      </c>
      <c r="K36" t="n">
        <v>1</v>
      </c>
      <c r="L36" t="n">
        <v>0</v>
      </c>
      <c r="M36" t="n">
        <v>0</v>
      </c>
      <c r="N36" t="n">
        <v>0</v>
      </c>
      <c r="O36" t="n">
        <v>3</v>
      </c>
      <c r="P36" t="n">
        <v>1</v>
      </c>
      <c r="Q36" t="n">
        <v>6</v>
      </c>
      <c r="R36" s="2" t="inlineStr">
        <is>
          <t>Knärot
Entita
Talltita
Dropptaggsvamp
Fjällig taggsvamp s.str.
Grönpyrola</t>
        </is>
      </c>
      <c r="S36">
        <f>HYPERLINK("https://klasma.github.io/Logging_0883/artfynd/A 39295-2024 artfynd.xlsx", "A 39295-2024")</f>
        <v/>
      </c>
      <c r="T36">
        <f>HYPERLINK("https://klasma.github.io/Logging_0883/kartor/A 39295-2024 karta.png", "A 39295-2024")</f>
        <v/>
      </c>
      <c r="U36">
        <f>HYPERLINK("https://klasma.github.io/Logging_0883/knärot/A 39295-2024 karta knärot.png", "A 39295-2024")</f>
        <v/>
      </c>
      <c r="V36">
        <f>HYPERLINK("https://klasma.github.io/Logging_0883/klagomål/A 39295-2024 FSC-klagomål.docx", "A 39295-2024")</f>
        <v/>
      </c>
      <c r="W36">
        <f>HYPERLINK("https://klasma.github.io/Logging_0883/klagomålsmail/A 39295-2024 FSC-klagomål mail.docx", "A 39295-2024")</f>
        <v/>
      </c>
      <c r="X36">
        <f>HYPERLINK("https://klasma.github.io/Logging_0883/tillsyn/A 39295-2024 tillsynsbegäran.docx", "A 39295-2024")</f>
        <v/>
      </c>
      <c r="Y36">
        <f>HYPERLINK("https://klasma.github.io/Logging_0883/tillsynsmail/A 39295-2024 tillsynsbegäran mail.docx", "A 39295-2024")</f>
        <v/>
      </c>
      <c r="Z36">
        <f>HYPERLINK("https://klasma.github.io/Logging_0883/fåglar/A 39295-2024 prioriterade fågelarter.docx", "A 39295-2024")</f>
        <v/>
      </c>
    </row>
    <row r="37" ht="15" customHeight="1">
      <c r="A37" t="inlineStr">
        <is>
          <t>A 27379-2024</t>
        </is>
      </c>
      <c r="B37" s="1" t="n">
        <v>45473</v>
      </c>
      <c r="C37" s="1" t="n">
        <v>45901</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4456-2025</t>
        </is>
      </c>
      <c r="B38" s="1" t="n">
        <v>45686</v>
      </c>
      <c r="C38" s="1" t="n">
        <v>45901</v>
      </c>
      <c r="D38" t="inlineStr">
        <is>
          <t>KALMAR LÄN</t>
        </is>
      </c>
      <c r="E38" t="inlineStr">
        <is>
          <t>VÄSTERVIK</t>
        </is>
      </c>
      <c r="G38" t="n">
        <v>1.3</v>
      </c>
      <c r="H38" t="n">
        <v>2</v>
      </c>
      <c r="I38" t="n">
        <v>2</v>
      </c>
      <c r="J38" t="n">
        <v>3</v>
      </c>
      <c r="K38" t="n">
        <v>1</v>
      </c>
      <c r="L38" t="n">
        <v>0</v>
      </c>
      <c r="M38" t="n">
        <v>0</v>
      </c>
      <c r="N38" t="n">
        <v>0</v>
      </c>
      <c r="O38" t="n">
        <v>4</v>
      </c>
      <c r="P38" t="n">
        <v>1</v>
      </c>
      <c r="Q38" t="n">
        <v>6</v>
      </c>
      <c r="R38" s="2" t="inlineStr">
        <is>
          <t>Knärot
Spillkråka
Tallticka
Ullticka
Grovticka
Grönpyrola</t>
        </is>
      </c>
      <c r="S38">
        <f>HYPERLINK("https://klasma.github.io/Logging_0883/artfynd/A 4456-2025 artfynd.xlsx", "A 4456-2025")</f>
        <v/>
      </c>
      <c r="T38">
        <f>HYPERLINK("https://klasma.github.io/Logging_0883/kartor/A 4456-2025 karta.png", "A 4456-2025")</f>
        <v/>
      </c>
      <c r="U38">
        <f>HYPERLINK("https://klasma.github.io/Logging_0883/knärot/A 4456-2025 karta knärot.png", "A 4456-2025")</f>
        <v/>
      </c>
      <c r="V38">
        <f>HYPERLINK("https://klasma.github.io/Logging_0883/klagomål/A 4456-2025 FSC-klagomål.docx", "A 4456-2025")</f>
        <v/>
      </c>
      <c r="W38">
        <f>HYPERLINK("https://klasma.github.io/Logging_0883/klagomålsmail/A 4456-2025 FSC-klagomål mail.docx", "A 4456-2025")</f>
        <v/>
      </c>
      <c r="X38">
        <f>HYPERLINK("https://klasma.github.io/Logging_0883/tillsyn/A 4456-2025 tillsynsbegäran.docx", "A 4456-2025")</f>
        <v/>
      </c>
      <c r="Y38">
        <f>HYPERLINK("https://klasma.github.io/Logging_0883/tillsynsmail/A 4456-2025 tillsynsbegäran mail.docx", "A 4456-2025")</f>
        <v/>
      </c>
      <c r="Z38">
        <f>HYPERLINK("https://klasma.github.io/Logging_0883/fåglar/A 4456-2025 prioriterade fågelarter.docx", "A 4456-2025")</f>
        <v/>
      </c>
    </row>
    <row r="39" ht="15" customHeight="1">
      <c r="A39" t="inlineStr">
        <is>
          <t>A 11740-2023</t>
        </is>
      </c>
      <c r="B39" s="1" t="n">
        <v>44994</v>
      </c>
      <c r="C39" s="1" t="n">
        <v>45901</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2806-2025</t>
        </is>
      </c>
      <c r="B40" s="1" t="n">
        <v>45677</v>
      </c>
      <c r="C40" s="1" t="n">
        <v>45901</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974-2023</t>
        </is>
      </c>
      <c r="B41" s="1" t="n">
        <v>44935</v>
      </c>
      <c r="C41" s="1" t="n">
        <v>45901</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34642-2025</t>
        </is>
      </c>
      <c r="B42" s="1" t="n">
        <v>45848.32703703704</v>
      </c>
      <c r="C42" s="1" t="n">
        <v>45901</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5067-2025</t>
        </is>
      </c>
      <c r="B43" s="1" t="n">
        <v>45691</v>
      </c>
      <c r="C43" s="1" t="n">
        <v>45901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52046-2024</t>
        </is>
      </c>
      <c r="B44" s="1" t="n">
        <v>45608</v>
      </c>
      <c r="C44" s="1" t="n">
        <v>45901</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47936-2023</t>
        </is>
      </c>
      <c r="B45" s="1" t="n">
        <v>45204</v>
      </c>
      <c r="C45" s="1" t="n">
        <v>45901</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5922-2024</t>
        </is>
      </c>
      <c r="B46" s="1" t="n">
        <v>45335</v>
      </c>
      <c r="C46" s="1" t="n">
        <v>45901</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52916-2020</t>
        </is>
      </c>
      <c r="B47" s="1" t="n">
        <v>44120</v>
      </c>
      <c r="C47" s="1" t="n">
        <v>45901</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27380-2024</t>
        </is>
      </c>
      <c r="B48" s="1" t="n">
        <v>45473</v>
      </c>
      <c r="C48" s="1" t="n">
        <v>45901</v>
      </c>
      <c r="D48" t="inlineStr">
        <is>
          <t>KALMAR LÄN</t>
        </is>
      </c>
      <c r="E48" t="inlineStr">
        <is>
          <t>VÄSTERVIK</t>
        </is>
      </c>
      <c r="G48" t="n">
        <v>1.4</v>
      </c>
      <c r="H48" t="n">
        <v>2</v>
      </c>
      <c r="I48" t="n">
        <v>2</v>
      </c>
      <c r="J48" t="n">
        <v>2</v>
      </c>
      <c r="K48" t="n">
        <v>1</v>
      </c>
      <c r="L48" t="n">
        <v>0</v>
      </c>
      <c r="M48" t="n">
        <v>0</v>
      </c>
      <c r="N48" t="n">
        <v>0</v>
      </c>
      <c r="O48" t="n">
        <v>3</v>
      </c>
      <c r="P48" t="n">
        <v>1</v>
      </c>
      <c r="Q48" t="n">
        <v>5</v>
      </c>
      <c r="R48" s="2" t="inlineStr">
        <is>
          <t>Knärot
Tallticka
Talltita
Dropptaggsvamp
Zontaggsvamp</t>
        </is>
      </c>
      <c r="S48">
        <f>HYPERLINK("https://klasma.github.io/Logging_0883/artfynd/A 27380-2024 artfynd.xlsx", "A 27380-2024")</f>
        <v/>
      </c>
      <c r="T48">
        <f>HYPERLINK("https://klasma.github.io/Logging_0883/kartor/A 27380-2024 karta.png", "A 27380-2024")</f>
        <v/>
      </c>
      <c r="U48">
        <f>HYPERLINK("https://klasma.github.io/Logging_0883/knärot/A 27380-2024 karta knärot.png", "A 27380-2024")</f>
        <v/>
      </c>
      <c r="V48">
        <f>HYPERLINK("https://klasma.github.io/Logging_0883/klagomål/A 27380-2024 FSC-klagomål.docx", "A 27380-2024")</f>
        <v/>
      </c>
      <c r="W48">
        <f>HYPERLINK("https://klasma.github.io/Logging_0883/klagomålsmail/A 27380-2024 FSC-klagomål mail.docx", "A 27380-2024")</f>
        <v/>
      </c>
      <c r="X48">
        <f>HYPERLINK("https://klasma.github.io/Logging_0883/tillsyn/A 27380-2024 tillsynsbegäran.docx", "A 27380-2024")</f>
        <v/>
      </c>
      <c r="Y48">
        <f>HYPERLINK("https://klasma.github.io/Logging_0883/tillsynsmail/A 27380-2024 tillsynsbegäran mail.docx", "A 27380-2024")</f>
        <v/>
      </c>
      <c r="Z48">
        <f>HYPERLINK("https://klasma.github.io/Logging_0883/fåglar/A 27380-2024 prioriterade fågelarter.docx", "A 27380-2024")</f>
        <v/>
      </c>
    </row>
    <row r="49" ht="15" customHeight="1">
      <c r="A49" t="inlineStr">
        <is>
          <t>A 31431-2024</t>
        </is>
      </c>
      <c r="B49" s="1" t="n">
        <v>45505</v>
      </c>
      <c r="C49" s="1" t="n">
        <v>45901</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45901</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1779-2025</t>
        </is>
      </c>
      <c r="B51" s="1" t="n">
        <v>45671</v>
      </c>
      <c r="C51" s="1" t="n">
        <v>45901</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45901</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45901</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48724-2024</t>
        </is>
      </c>
      <c r="B54" s="1" t="n">
        <v>45593.55731481482</v>
      </c>
      <c r="C54" s="1" t="n">
        <v>45901</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33691-2025</t>
        </is>
      </c>
      <c r="B55" s="1" t="n">
        <v>45841.69503472222</v>
      </c>
      <c r="C55" s="1" t="n">
        <v>45901</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31060-2024</t>
        </is>
      </c>
      <c r="B56" s="1" t="n">
        <v>45502</v>
      </c>
      <c r="C56" s="1" t="n">
        <v>45901</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27737-2024</t>
        </is>
      </c>
      <c r="B57" s="1" t="n">
        <v>45475</v>
      </c>
      <c r="C57" s="1" t="n">
        <v>45901</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51923-2022</t>
        </is>
      </c>
      <c r="B58" s="1" t="n">
        <v>44868</v>
      </c>
      <c r="C58" s="1" t="n">
        <v>45901</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12335-2025</t>
        </is>
      </c>
      <c r="B59" s="1" t="n">
        <v>45730</v>
      </c>
      <c r="C59" s="1" t="n">
        <v>45901</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41571-2024</t>
        </is>
      </c>
      <c r="B60" s="1" t="n">
        <v>45560.54571759259</v>
      </c>
      <c r="C60" s="1" t="n">
        <v>45901</v>
      </c>
      <c r="D60" t="inlineStr">
        <is>
          <t>KALMAR LÄN</t>
        </is>
      </c>
      <c r="E60" t="inlineStr">
        <is>
          <t>VÄSTERVIK</t>
        </is>
      </c>
      <c r="G60" t="n">
        <v>5.2</v>
      </c>
      <c r="H60" t="n">
        <v>1</v>
      </c>
      <c r="I60" t="n">
        <v>2</v>
      </c>
      <c r="J60" t="n">
        <v>2</v>
      </c>
      <c r="K60" t="n">
        <v>0</v>
      </c>
      <c r="L60" t="n">
        <v>0</v>
      </c>
      <c r="M60" t="n">
        <v>0</v>
      </c>
      <c r="N60" t="n">
        <v>0</v>
      </c>
      <c r="O60" t="n">
        <v>2</v>
      </c>
      <c r="P60" t="n">
        <v>0</v>
      </c>
      <c r="Q60" t="n">
        <v>4</v>
      </c>
      <c r="R60" s="2" t="inlineStr">
        <is>
          <t>Tallticka
Talltita
Blåmossa
Dropptaggsvamp</t>
        </is>
      </c>
      <c r="S60">
        <f>HYPERLINK("https://klasma.github.io/Logging_0883/artfynd/A 41571-2024 artfynd.xlsx", "A 41571-2024")</f>
        <v/>
      </c>
      <c r="T60">
        <f>HYPERLINK("https://klasma.github.io/Logging_0883/kartor/A 41571-2024 karta.png", "A 41571-2024")</f>
        <v/>
      </c>
      <c r="U60">
        <f>HYPERLINK("https://klasma.github.io/Logging_0883/knärot/A 41571-2024 karta knärot.png", "A 41571-2024")</f>
        <v/>
      </c>
      <c r="V60">
        <f>HYPERLINK("https://klasma.github.io/Logging_0883/klagomål/A 41571-2024 FSC-klagomål.docx", "A 41571-2024")</f>
        <v/>
      </c>
      <c r="W60">
        <f>HYPERLINK("https://klasma.github.io/Logging_0883/klagomålsmail/A 41571-2024 FSC-klagomål mail.docx", "A 41571-2024")</f>
        <v/>
      </c>
      <c r="X60">
        <f>HYPERLINK("https://klasma.github.io/Logging_0883/tillsyn/A 41571-2024 tillsynsbegäran.docx", "A 41571-2024")</f>
        <v/>
      </c>
      <c r="Y60">
        <f>HYPERLINK("https://klasma.github.io/Logging_0883/tillsynsmail/A 41571-2024 tillsynsbegäran mail.docx", "A 41571-2024")</f>
        <v/>
      </c>
      <c r="Z60">
        <f>HYPERLINK("https://klasma.github.io/Logging_0883/fåglar/A 41571-2024 prioriterade fågelarter.docx", "A 41571-2024")</f>
        <v/>
      </c>
    </row>
    <row r="61" ht="15" customHeight="1">
      <c r="A61" t="inlineStr">
        <is>
          <t>A 18397-2024</t>
        </is>
      </c>
      <c r="B61" s="1" t="n">
        <v>45425</v>
      </c>
      <c r="C61" s="1" t="n">
        <v>45901</v>
      </c>
      <c r="D61" t="inlineStr">
        <is>
          <t>KALMAR LÄN</t>
        </is>
      </c>
      <c r="E61" t="inlineStr">
        <is>
          <t>VÄSTERVIK</t>
        </is>
      </c>
      <c r="F61" t="inlineStr">
        <is>
          <t>Holmen skog AB</t>
        </is>
      </c>
      <c r="G61" t="n">
        <v>3.5</v>
      </c>
      <c r="H61" t="n">
        <v>3</v>
      </c>
      <c r="I61" t="n">
        <v>1</v>
      </c>
      <c r="J61" t="n">
        <v>2</v>
      </c>
      <c r="K61" t="n">
        <v>1</v>
      </c>
      <c r="L61" t="n">
        <v>0</v>
      </c>
      <c r="M61" t="n">
        <v>0</v>
      </c>
      <c r="N61" t="n">
        <v>0</v>
      </c>
      <c r="O61" t="n">
        <v>3</v>
      </c>
      <c r="P61" t="n">
        <v>1</v>
      </c>
      <c r="Q61" t="n">
        <v>4</v>
      </c>
      <c r="R61" s="2" t="inlineStr">
        <is>
          <t>Knärot
Spillkråka
Talltita
Grönpyrola</t>
        </is>
      </c>
      <c r="S61">
        <f>HYPERLINK("https://klasma.github.io/Logging_0883/artfynd/A 18397-2024 artfynd.xlsx", "A 18397-2024")</f>
        <v/>
      </c>
      <c r="T61">
        <f>HYPERLINK("https://klasma.github.io/Logging_0883/kartor/A 18397-2024 karta.png", "A 18397-2024")</f>
        <v/>
      </c>
      <c r="U61">
        <f>HYPERLINK("https://klasma.github.io/Logging_0883/knärot/A 18397-2024 karta knärot.png", "A 18397-2024")</f>
        <v/>
      </c>
      <c r="V61">
        <f>HYPERLINK("https://klasma.github.io/Logging_0883/klagomål/A 18397-2024 FSC-klagomål.docx", "A 18397-2024")</f>
        <v/>
      </c>
      <c r="W61">
        <f>HYPERLINK("https://klasma.github.io/Logging_0883/klagomålsmail/A 18397-2024 FSC-klagomål mail.docx", "A 18397-2024")</f>
        <v/>
      </c>
      <c r="X61">
        <f>HYPERLINK("https://klasma.github.io/Logging_0883/tillsyn/A 18397-2024 tillsynsbegäran.docx", "A 18397-2024")</f>
        <v/>
      </c>
      <c r="Y61">
        <f>HYPERLINK("https://klasma.github.io/Logging_0883/tillsynsmail/A 18397-2024 tillsynsbegäran mail.docx", "A 18397-2024")</f>
        <v/>
      </c>
      <c r="Z61">
        <f>HYPERLINK("https://klasma.github.io/Logging_0883/fåglar/A 18397-2024 prioriterade fågelarter.docx", "A 18397-2024")</f>
        <v/>
      </c>
    </row>
    <row r="62" ht="15" customHeight="1">
      <c r="A62" t="inlineStr">
        <is>
          <t>A 35939-2024</t>
        </is>
      </c>
      <c r="B62" s="1" t="n">
        <v>45533.45459490741</v>
      </c>
      <c r="C62" s="1" t="n">
        <v>45901</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9975-2024</t>
        </is>
      </c>
      <c r="B63" s="1" t="n">
        <v>45363</v>
      </c>
      <c r="C63" s="1" t="n">
        <v>45901</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45901</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10781-2025</t>
        </is>
      </c>
      <c r="B65" s="1" t="n">
        <v>45722</v>
      </c>
      <c r="C65" s="1" t="n">
        <v>45901</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20366-2024</t>
        </is>
      </c>
      <c r="B66" s="1" t="n">
        <v>45435</v>
      </c>
      <c r="C66" s="1" t="n">
        <v>45901</v>
      </c>
      <c r="D66" t="inlineStr">
        <is>
          <t>KALMAR LÄN</t>
        </is>
      </c>
      <c r="E66" t="inlineStr">
        <is>
          <t>VÄSTERVIK</t>
        </is>
      </c>
      <c r="G66" t="n">
        <v>0.8</v>
      </c>
      <c r="H66" t="n">
        <v>3</v>
      </c>
      <c r="I66" t="n">
        <v>1</v>
      </c>
      <c r="J66" t="n">
        <v>3</v>
      </c>
      <c r="K66" t="n">
        <v>0</v>
      </c>
      <c r="L66" t="n">
        <v>0</v>
      </c>
      <c r="M66" t="n">
        <v>0</v>
      </c>
      <c r="N66" t="n">
        <v>0</v>
      </c>
      <c r="O66" t="n">
        <v>3</v>
      </c>
      <c r="P66" t="n">
        <v>0</v>
      </c>
      <c r="Q66" t="n">
        <v>4</v>
      </c>
      <c r="R66" s="2" t="inlineStr">
        <is>
          <t>Entita
Spillkråka
Tallticka
Purpurknipprot</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26985-2025</t>
        </is>
      </c>
      <c r="B67" s="1" t="n">
        <v>45811</v>
      </c>
      <c r="C67" s="1" t="n">
        <v>45901</v>
      </c>
      <c r="D67" t="inlineStr">
        <is>
          <t>KALMAR LÄN</t>
        </is>
      </c>
      <c r="E67" t="inlineStr">
        <is>
          <t>VÄSTERVIK</t>
        </is>
      </c>
      <c r="G67" t="n">
        <v>2.5</v>
      </c>
      <c r="H67" t="n">
        <v>3</v>
      </c>
      <c r="I67" t="n">
        <v>0</v>
      </c>
      <c r="J67" t="n">
        <v>3</v>
      </c>
      <c r="K67" t="n">
        <v>0</v>
      </c>
      <c r="L67" t="n">
        <v>0</v>
      </c>
      <c r="M67" t="n">
        <v>0</v>
      </c>
      <c r="N67" t="n">
        <v>0</v>
      </c>
      <c r="O67" t="n">
        <v>3</v>
      </c>
      <c r="P67" t="n">
        <v>0</v>
      </c>
      <c r="Q67" t="n">
        <v>4</v>
      </c>
      <c r="R67" s="2" t="inlineStr">
        <is>
          <t>Entita
Spillkråka
Tallticka
Gröngöling</t>
        </is>
      </c>
      <c r="S67">
        <f>HYPERLINK("https://klasma.github.io/Logging_0883/artfynd/A 26985-2025 artfynd.xlsx", "A 26985-2025")</f>
        <v/>
      </c>
      <c r="T67">
        <f>HYPERLINK("https://klasma.github.io/Logging_0883/kartor/A 26985-2025 karta.png", "A 26985-2025")</f>
        <v/>
      </c>
      <c r="V67">
        <f>HYPERLINK("https://klasma.github.io/Logging_0883/klagomål/A 26985-2025 FSC-klagomål.docx", "A 26985-2025")</f>
        <v/>
      </c>
      <c r="W67">
        <f>HYPERLINK("https://klasma.github.io/Logging_0883/klagomålsmail/A 26985-2025 FSC-klagomål mail.docx", "A 26985-2025")</f>
        <v/>
      </c>
      <c r="X67">
        <f>HYPERLINK("https://klasma.github.io/Logging_0883/tillsyn/A 26985-2025 tillsynsbegäran.docx", "A 26985-2025")</f>
        <v/>
      </c>
      <c r="Y67">
        <f>HYPERLINK("https://klasma.github.io/Logging_0883/tillsynsmail/A 26985-2025 tillsynsbegäran mail.docx", "A 26985-2025")</f>
        <v/>
      </c>
      <c r="Z67">
        <f>HYPERLINK("https://klasma.github.io/Logging_0883/fåglar/A 26985-2025 prioriterade fågelarter.docx", "A 26985-2025")</f>
        <v/>
      </c>
    </row>
    <row r="68" ht="15" customHeight="1">
      <c r="A68" t="inlineStr">
        <is>
          <t>A 54233-2023</t>
        </is>
      </c>
      <c r="B68" s="1" t="n">
        <v>45232</v>
      </c>
      <c r="C68" s="1" t="n">
        <v>45901</v>
      </c>
      <c r="D68" t="inlineStr">
        <is>
          <t>KALMAR LÄN</t>
        </is>
      </c>
      <c r="E68" t="inlineStr">
        <is>
          <t>VÄSTERVIK</t>
        </is>
      </c>
      <c r="G68" t="n">
        <v>1.9</v>
      </c>
      <c r="H68" t="n">
        <v>2</v>
      </c>
      <c r="I68" t="n">
        <v>1</v>
      </c>
      <c r="J68" t="n">
        <v>2</v>
      </c>
      <c r="K68" t="n">
        <v>1</v>
      </c>
      <c r="L68" t="n">
        <v>0</v>
      </c>
      <c r="M68" t="n">
        <v>0</v>
      </c>
      <c r="N68" t="n">
        <v>0</v>
      </c>
      <c r="O68" t="n">
        <v>3</v>
      </c>
      <c r="P68" t="n">
        <v>1</v>
      </c>
      <c r="Q68" t="n">
        <v>4</v>
      </c>
      <c r="R68" s="2" t="inlineStr">
        <is>
          <t>Knärot
Tallticka
Talltita
Blåmossa</t>
        </is>
      </c>
      <c r="S68">
        <f>HYPERLINK("https://klasma.github.io/Logging_0883/artfynd/A 54233-2023 artfynd.xlsx", "A 54233-2023")</f>
        <v/>
      </c>
      <c r="T68">
        <f>HYPERLINK("https://klasma.github.io/Logging_0883/kartor/A 54233-2023 karta.png", "A 54233-2023")</f>
        <v/>
      </c>
      <c r="U68">
        <f>HYPERLINK("https://klasma.github.io/Logging_0883/knärot/A 54233-2023 karta knärot.png", "A 54233-2023")</f>
        <v/>
      </c>
      <c r="V68">
        <f>HYPERLINK("https://klasma.github.io/Logging_0883/klagomål/A 54233-2023 FSC-klagomål.docx", "A 54233-2023")</f>
        <v/>
      </c>
      <c r="W68">
        <f>HYPERLINK("https://klasma.github.io/Logging_0883/klagomålsmail/A 54233-2023 FSC-klagomål mail.docx", "A 54233-2023")</f>
        <v/>
      </c>
      <c r="X68">
        <f>HYPERLINK("https://klasma.github.io/Logging_0883/tillsyn/A 54233-2023 tillsynsbegäran.docx", "A 54233-2023")</f>
        <v/>
      </c>
      <c r="Y68">
        <f>HYPERLINK("https://klasma.github.io/Logging_0883/tillsynsmail/A 54233-2023 tillsynsbegäran mail.docx", "A 54233-2023")</f>
        <v/>
      </c>
      <c r="Z68">
        <f>HYPERLINK("https://klasma.github.io/Logging_0883/fåglar/A 54233-2023 prioriterade fågelarter.docx", "A 54233-2023")</f>
        <v/>
      </c>
    </row>
    <row r="69" ht="15" customHeight="1">
      <c r="A69" t="inlineStr">
        <is>
          <t>A 63366-2023</t>
        </is>
      </c>
      <c r="B69" s="1" t="n">
        <v>45274</v>
      </c>
      <c r="C69" s="1" t="n">
        <v>45901</v>
      </c>
      <c r="D69" t="inlineStr">
        <is>
          <t>KALMAR LÄN</t>
        </is>
      </c>
      <c r="E69" t="inlineStr">
        <is>
          <t>VÄSTERVIK</t>
        </is>
      </c>
      <c r="G69" t="n">
        <v>4.1</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63366-2023 artfynd.xlsx", "A 63366-2023")</f>
        <v/>
      </c>
      <c r="T69">
        <f>HYPERLINK("https://klasma.github.io/Logging_0883/kartor/A 63366-2023 karta.png", "A 63366-2023")</f>
        <v/>
      </c>
      <c r="U69">
        <f>HYPERLINK("https://klasma.github.io/Logging_0883/knärot/A 63366-2023 karta knärot.png", "A 63366-2023")</f>
        <v/>
      </c>
      <c r="V69">
        <f>HYPERLINK("https://klasma.github.io/Logging_0883/klagomål/A 63366-2023 FSC-klagomål.docx", "A 63366-2023")</f>
        <v/>
      </c>
      <c r="W69">
        <f>HYPERLINK("https://klasma.github.io/Logging_0883/klagomålsmail/A 63366-2023 FSC-klagomål mail.docx", "A 63366-2023")</f>
        <v/>
      </c>
      <c r="X69">
        <f>HYPERLINK("https://klasma.github.io/Logging_0883/tillsyn/A 63366-2023 tillsynsbegäran.docx", "A 63366-2023")</f>
        <v/>
      </c>
      <c r="Y69">
        <f>HYPERLINK("https://klasma.github.io/Logging_0883/tillsynsmail/A 63366-2023 tillsynsbegäran mail.docx", "A 63366-2023")</f>
        <v/>
      </c>
      <c r="Z69">
        <f>HYPERLINK("https://klasma.github.io/Logging_0883/fåglar/A 63366-2023 prioriterade fågelarter.docx", "A 63366-2023")</f>
        <v/>
      </c>
    </row>
    <row r="70" ht="15" customHeight="1">
      <c r="A70" t="inlineStr">
        <is>
          <t>A 58727-2024</t>
        </is>
      </c>
      <c r="B70" s="1" t="n">
        <v>45635</v>
      </c>
      <c r="C70" s="1" t="n">
        <v>45901</v>
      </c>
      <c r="D70" t="inlineStr">
        <is>
          <t>KALMAR LÄN</t>
        </is>
      </c>
      <c r="E70" t="inlineStr">
        <is>
          <t>VÄSTERVIK</t>
        </is>
      </c>
      <c r="F70" t="inlineStr">
        <is>
          <t>Holmen skog AB</t>
        </is>
      </c>
      <c r="G70" t="n">
        <v>2.8</v>
      </c>
      <c r="H70" t="n">
        <v>3</v>
      </c>
      <c r="I70" t="n">
        <v>1</v>
      </c>
      <c r="J70" t="n">
        <v>3</v>
      </c>
      <c r="K70" t="n">
        <v>0</v>
      </c>
      <c r="L70" t="n">
        <v>0</v>
      </c>
      <c r="M70" t="n">
        <v>0</v>
      </c>
      <c r="N70" t="n">
        <v>0</v>
      </c>
      <c r="O70" t="n">
        <v>3</v>
      </c>
      <c r="P70" t="n">
        <v>0</v>
      </c>
      <c r="Q70" t="n">
        <v>4</v>
      </c>
      <c r="R70" s="2" t="inlineStr">
        <is>
          <t>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58955-2022</t>
        </is>
      </c>
      <c r="B71" s="1" t="n">
        <v>44896</v>
      </c>
      <c r="C71" s="1" t="n">
        <v>45901</v>
      </c>
      <c r="D71" t="inlineStr">
        <is>
          <t>KALMAR LÄN</t>
        </is>
      </c>
      <c r="E71" t="inlineStr">
        <is>
          <t>VÄSTERVIK</t>
        </is>
      </c>
      <c r="G71" t="n">
        <v>4.5</v>
      </c>
      <c r="H71" t="n">
        <v>2</v>
      </c>
      <c r="I71" t="n">
        <v>1</v>
      </c>
      <c r="J71" t="n">
        <v>1</v>
      </c>
      <c r="K71" t="n">
        <v>1</v>
      </c>
      <c r="L71" t="n">
        <v>0</v>
      </c>
      <c r="M71" t="n">
        <v>0</v>
      </c>
      <c r="N71" t="n">
        <v>0</v>
      </c>
      <c r="O71" t="n">
        <v>2</v>
      </c>
      <c r="P71" t="n">
        <v>1</v>
      </c>
      <c r="Q71" t="n">
        <v>4</v>
      </c>
      <c r="R71" s="2" t="inlineStr">
        <is>
          <t>Knärot
Tallticka
Hasselticka
Blåsippa</t>
        </is>
      </c>
      <c r="S71">
        <f>HYPERLINK("https://klasma.github.io/Logging_0883/artfynd/A 58955-2022 artfynd.xlsx", "A 58955-2022")</f>
        <v/>
      </c>
      <c r="T71">
        <f>HYPERLINK("https://klasma.github.io/Logging_0883/kartor/A 58955-2022 karta.png", "A 58955-2022")</f>
        <v/>
      </c>
      <c r="U71">
        <f>HYPERLINK("https://klasma.github.io/Logging_0883/knärot/A 58955-2022 karta knärot.png", "A 58955-2022")</f>
        <v/>
      </c>
      <c r="V71">
        <f>HYPERLINK("https://klasma.github.io/Logging_0883/klagomål/A 58955-2022 FSC-klagomål.docx", "A 58955-2022")</f>
        <v/>
      </c>
      <c r="W71">
        <f>HYPERLINK("https://klasma.github.io/Logging_0883/klagomålsmail/A 58955-2022 FSC-klagomål mail.docx", "A 58955-2022")</f>
        <v/>
      </c>
      <c r="X71">
        <f>HYPERLINK("https://klasma.github.io/Logging_0883/tillsyn/A 58955-2022 tillsynsbegäran.docx", "A 58955-2022")</f>
        <v/>
      </c>
      <c r="Y71">
        <f>HYPERLINK("https://klasma.github.io/Logging_0883/tillsynsmail/A 58955-2022 tillsynsbegäran mail.docx", "A 58955-2022")</f>
        <v/>
      </c>
    </row>
    <row r="72" ht="15" customHeight="1">
      <c r="A72" t="inlineStr">
        <is>
          <t>A 6472-2025</t>
        </is>
      </c>
      <c r="B72" s="1" t="n">
        <v>45699</v>
      </c>
      <c r="C72" s="1" t="n">
        <v>45901</v>
      </c>
      <c r="D72" t="inlineStr">
        <is>
          <t>KALMAR LÄN</t>
        </is>
      </c>
      <c r="E72" t="inlineStr">
        <is>
          <t>VÄSTERVIK</t>
        </is>
      </c>
      <c r="F72" t="inlineStr">
        <is>
          <t>Holmen skog AB</t>
        </is>
      </c>
      <c r="G72" t="n">
        <v>4.3</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6472-2025 artfynd.xlsx", "A 6472-2025")</f>
        <v/>
      </c>
      <c r="T72">
        <f>HYPERLINK("https://klasma.github.io/Logging_0883/kartor/A 6472-2025 karta.png", "A 6472-2025")</f>
        <v/>
      </c>
      <c r="V72">
        <f>HYPERLINK("https://klasma.github.io/Logging_0883/klagomål/A 6472-2025 FSC-klagomål.docx", "A 6472-2025")</f>
        <v/>
      </c>
      <c r="W72">
        <f>HYPERLINK("https://klasma.github.io/Logging_0883/klagomålsmail/A 6472-2025 FSC-klagomål mail.docx", "A 6472-2025")</f>
        <v/>
      </c>
      <c r="X72">
        <f>HYPERLINK("https://klasma.github.io/Logging_0883/tillsyn/A 6472-2025 tillsynsbegäran.docx", "A 6472-2025")</f>
        <v/>
      </c>
      <c r="Y72">
        <f>HYPERLINK("https://klasma.github.io/Logging_0883/tillsynsmail/A 6472-2025 tillsynsbegäran mail.docx", "A 6472-2025")</f>
        <v/>
      </c>
      <c r="Z72">
        <f>HYPERLINK("https://klasma.github.io/Logging_0883/fåglar/A 6472-2025 prioriterade fågelarter.docx", "A 6472-2025")</f>
        <v/>
      </c>
    </row>
    <row r="73" ht="15" customHeight="1">
      <c r="A73" t="inlineStr">
        <is>
          <t>A 34644-2025</t>
        </is>
      </c>
      <c r="B73" s="1" t="n">
        <v>45848.33202546297</v>
      </c>
      <c r="C73" s="1" t="n">
        <v>45901</v>
      </c>
      <c r="D73" t="inlineStr">
        <is>
          <t>KALMAR LÄN</t>
        </is>
      </c>
      <c r="E73" t="inlineStr">
        <is>
          <t>VÄSTERVIK</t>
        </is>
      </c>
      <c r="G73" t="n">
        <v>0.5</v>
      </c>
      <c r="H73" t="n">
        <v>2</v>
      </c>
      <c r="I73" t="n">
        <v>1</v>
      </c>
      <c r="J73" t="n">
        <v>2</v>
      </c>
      <c r="K73" t="n">
        <v>1</v>
      </c>
      <c r="L73" t="n">
        <v>0</v>
      </c>
      <c r="M73" t="n">
        <v>0</v>
      </c>
      <c r="N73" t="n">
        <v>0</v>
      </c>
      <c r="O73" t="n">
        <v>3</v>
      </c>
      <c r="P73" t="n">
        <v>1</v>
      </c>
      <c r="Q73" t="n">
        <v>4</v>
      </c>
      <c r="R73" s="2" t="inlineStr">
        <is>
          <t>Knärot
Fyrflikig jordstjärna
Talltita
Blåmossa</t>
        </is>
      </c>
      <c r="S73">
        <f>HYPERLINK("https://klasma.github.io/Logging_0883/artfynd/A 34644-2025 artfynd.xlsx", "A 34644-2025")</f>
        <v/>
      </c>
      <c r="T73">
        <f>HYPERLINK("https://klasma.github.io/Logging_0883/kartor/A 34644-2025 karta.png", "A 34644-2025")</f>
        <v/>
      </c>
      <c r="U73">
        <f>HYPERLINK("https://klasma.github.io/Logging_0883/knärot/A 34644-2025 karta knärot.png", "A 34644-2025")</f>
        <v/>
      </c>
      <c r="V73">
        <f>HYPERLINK("https://klasma.github.io/Logging_0883/klagomål/A 34644-2025 FSC-klagomål.docx", "A 34644-2025")</f>
        <v/>
      </c>
      <c r="W73">
        <f>HYPERLINK("https://klasma.github.io/Logging_0883/klagomålsmail/A 34644-2025 FSC-klagomål mail.docx", "A 34644-2025")</f>
        <v/>
      </c>
      <c r="X73">
        <f>HYPERLINK("https://klasma.github.io/Logging_0883/tillsyn/A 34644-2025 tillsynsbegäran.docx", "A 34644-2025")</f>
        <v/>
      </c>
      <c r="Y73">
        <f>HYPERLINK("https://klasma.github.io/Logging_0883/tillsynsmail/A 34644-2025 tillsynsbegäran mail.docx", "A 34644-2025")</f>
        <v/>
      </c>
      <c r="Z73">
        <f>HYPERLINK("https://klasma.github.io/Logging_0883/fåglar/A 34644-2025 prioriterade fågelarter.docx", "A 34644-2025")</f>
        <v/>
      </c>
    </row>
    <row r="74" ht="15" customHeight="1">
      <c r="A74" t="inlineStr">
        <is>
          <t>A 25280-2021</t>
        </is>
      </c>
      <c r="B74" s="1" t="n">
        <v>44342</v>
      </c>
      <c r="C74" s="1" t="n">
        <v>45901</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3781-2025</t>
        </is>
      </c>
      <c r="B75" s="1" t="n">
        <v>45681.62086805556</v>
      </c>
      <c r="C75" s="1" t="n">
        <v>45901</v>
      </c>
      <c r="D75" t="inlineStr">
        <is>
          <t>KALMAR LÄN</t>
        </is>
      </c>
      <c r="E75" t="inlineStr">
        <is>
          <t>VÄSTERVIK</t>
        </is>
      </c>
      <c r="G75" t="n">
        <v>1.4</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3781-2025 artfynd.xlsx", "A 3781-2025")</f>
        <v/>
      </c>
      <c r="T75">
        <f>HYPERLINK("https://klasma.github.io/Logging_0883/kartor/A 3781-2025 karta.png", "A 3781-2025")</f>
        <v/>
      </c>
      <c r="V75">
        <f>HYPERLINK("https://klasma.github.io/Logging_0883/klagomål/A 3781-2025 FSC-klagomål.docx", "A 3781-2025")</f>
        <v/>
      </c>
      <c r="W75">
        <f>HYPERLINK("https://klasma.github.io/Logging_0883/klagomålsmail/A 3781-2025 FSC-klagomål mail.docx", "A 3781-2025")</f>
        <v/>
      </c>
      <c r="X75">
        <f>HYPERLINK("https://klasma.github.io/Logging_0883/tillsyn/A 3781-2025 tillsynsbegäran.docx", "A 3781-2025")</f>
        <v/>
      </c>
      <c r="Y75">
        <f>HYPERLINK("https://klasma.github.io/Logging_0883/tillsynsmail/A 3781-2025 tillsynsbegäran mail.docx", "A 3781-2025")</f>
        <v/>
      </c>
      <c r="Z75">
        <f>HYPERLINK("https://klasma.github.io/Logging_0883/fåglar/A 3781-2025 prioriterade fågelarter.docx", "A 3781-2025")</f>
        <v/>
      </c>
    </row>
    <row r="76" ht="15" customHeight="1">
      <c r="A76" t="inlineStr">
        <is>
          <t>A 938-2024</t>
        </is>
      </c>
      <c r="B76" s="1" t="n">
        <v>45301</v>
      </c>
      <c r="C76" s="1" t="n">
        <v>45901</v>
      </c>
      <c r="D76" t="inlineStr">
        <is>
          <t>KALMAR LÄN</t>
        </is>
      </c>
      <c r="E76" t="inlineStr">
        <is>
          <t>VÄSTERVIK</t>
        </is>
      </c>
      <c r="G76" t="n">
        <v>10</v>
      </c>
      <c r="H76" t="n">
        <v>1</v>
      </c>
      <c r="I76" t="n">
        <v>0</v>
      </c>
      <c r="J76" t="n">
        <v>3</v>
      </c>
      <c r="K76" t="n">
        <v>0</v>
      </c>
      <c r="L76" t="n">
        <v>0</v>
      </c>
      <c r="M76" t="n">
        <v>0</v>
      </c>
      <c r="N76" t="n">
        <v>0</v>
      </c>
      <c r="O76" t="n">
        <v>3</v>
      </c>
      <c r="P76" t="n">
        <v>0</v>
      </c>
      <c r="Q76" t="n">
        <v>4</v>
      </c>
      <c r="R76" s="2" t="inlineStr">
        <is>
          <t>Reliktbock
Tallticka
Vintertagging
Tjäder</t>
        </is>
      </c>
      <c r="S76">
        <f>HYPERLINK("https://klasma.github.io/Logging_0883/artfynd/A 938-2024 artfynd.xlsx", "A 938-2024")</f>
        <v/>
      </c>
      <c r="T76">
        <f>HYPERLINK("https://klasma.github.io/Logging_0883/kartor/A 938-2024 karta.png", "A 938-2024")</f>
        <v/>
      </c>
      <c r="V76">
        <f>HYPERLINK("https://klasma.github.io/Logging_0883/klagomål/A 938-2024 FSC-klagomål.docx", "A 938-2024")</f>
        <v/>
      </c>
      <c r="W76">
        <f>HYPERLINK("https://klasma.github.io/Logging_0883/klagomålsmail/A 938-2024 FSC-klagomål mail.docx", "A 938-2024")</f>
        <v/>
      </c>
      <c r="X76">
        <f>HYPERLINK("https://klasma.github.io/Logging_0883/tillsyn/A 938-2024 tillsynsbegäran.docx", "A 938-2024")</f>
        <v/>
      </c>
      <c r="Y76">
        <f>HYPERLINK("https://klasma.github.io/Logging_0883/tillsynsmail/A 938-2024 tillsynsbegäran mail.docx", "A 938-2024")</f>
        <v/>
      </c>
      <c r="Z76">
        <f>HYPERLINK("https://klasma.github.io/Logging_0883/fåglar/A 938-2024 prioriterade fågelarter.docx", "A 938-2024")</f>
        <v/>
      </c>
    </row>
    <row r="77" ht="15" customHeight="1">
      <c r="A77" t="inlineStr">
        <is>
          <t>A 37438-2021</t>
        </is>
      </c>
      <c r="B77" s="1" t="n">
        <v>44398</v>
      </c>
      <c r="C77" s="1" t="n">
        <v>45901</v>
      </c>
      <c r="D77" t="inlineStr">
        <is>
          <t>KALMAR LÄN</t>
        </is>
      </c>
      <c r="E77" t="inlineStr">
        <is>
          <t>VÄSTERVIK</t>
        </is>
      </c>
      <c r="G77" t="n">
        <v>14.3</v>
      </c>
      <c r="H77" t="n">
        <v>2</v>
      </c>
      <c r="I77" t="n">
        <v>2</v>
      </c>
      <c r="J77" t="n">
        <v>0</v>
      </c>
      <c r="K77" t="n">
        <v>1</v>
      </c>
      <c r="L77" t="n">
        <v>0</v>
      </c>
      <c r="M77" t="n">
        <v>0</v>
      </c>
      <c r="N77" t="n">
        <v>0</v>
      </c>
      <c r="O77" t="n">
        <v>1</v>
      </c>
      <c r="P77" t="n">
        <v>1</v>
      </c>
      <c r="Q77" t="n">
        <v>4</v>
      </c>
      <c r="R77" s="2" t="inlineStr">
        <is>
          <t>Knärot
Grönpyrola
Kambräken
Tjäder</t>
        </is>
      </c>
      <c r="S77">
        <f>HYPERLINK("https://klasma.github.io/Logging_0883/artfynd/A 37438-2021 artfynd.xlsx", "A 37438-2021")</f>
        <v/>
      </c>
      <c r="T77">
        <f>HYPERLINK("https://klasma.github.io/Logging_0883/kartor/A 37438-2021 karta.png", "A 37438-2021")</f>
        <v/>
      </c>
      <c r="U77">
        <f>HYPERLINK("https://klasma.github.io/Logging_0883/knärot/A 37438-2021 karta knärot.png", "A 37438-2021")</f>
        <v/>
      </c>
      <c r="V77">
        <f>HYPERLINK("https://klasma.github.io/Logging_0883/klagomål/A 37438-2021 FSC-klagomål.docx", "A 37438-2021")</f>
        <v/>
      </c>
      <c r="W77">
        <f>HYPERLINK("https://klasma.github.io/Logging_0883/klagomålsmail/A 37438-2021 FSC-klagomål mail.docx", "A 37438-2021")</f>
        <v/>
      </c>
      <c r="X77">
        <f>HYPERLINK("https://klasma.github.io/Logging_0883/tillsyn/A 37438-2021 tillsynsbegäran.docx", "A 37438-2021")</f>
        <v/>
      </c>
      <c r="Y77">
        <f>HYPERLINK("https://klasma.github.io/Logging_0883/tillsynsmail/A 37438-2021 tillsynsbegäran mail.docx", "A 37438-2021")</f>
        <v/>
      </c>
      <c r="Z77">
        <f>HYPERLINK("https://klasma.github.io/Logging_0883/fåglar/A 37438-2021 prioriterade fågelarter.docx", "A 37438-2021")</f>
        <v/>
      </c>
    </row>
    <row r="78" ht="15" customHeight="1">
      <c r="A78" t="inlineStr">
        <is>
          <t>A 31914-2025</t>
        </is>
      </c>
      <c r="B78" s="1" t="n">
        <v>45834</v>
      </c>
      <c r="C78" s="1" t="n">
        <v>45901</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59319-2023</t>
        </is>
      </c>
      <c r="B79" s="1" t="n">
        <v>45253</v>
      </c>
      <c r="C79" s="1" t="n">
        <v>45901</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25534-2024</t>
        </is>
      </c>
      <c r="B80" s="1" t="n">
        <v>45463</v>
      </c>
      <c r="C80" s="1" t="n">
        <v>45901</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9097-2021</t>
        </is>
      </c>
      <c r="B81" s="1" t="n">
        <v>44249</v>
      </c>
      <c r="C81" s="1" t="n">
        <v>45901</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45901</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21084-2025</t>
        </is>
      </c>
      <c r="B83" s="1" t="n">
        <v>45777.6084837963</v>
      </c>
      <c r="C83" s="1" t="n">
        <v>45901</v>
      </c>
      <c r="D83" t="inlineStr">
        <is>
          <t>KALMAR LÄN</t>
        </is>
      </c>
      <c r="E83" t="inlineStr">
        <is>
          <t>VÄSTERVIK</t>
        </is>
      </c>
      <c r="G83" t="n">
        <v>0.8</v>
      </c>
      <c r="H83" t="n">
        <v>2</v>
      </c>
      <c r="I83" t="n">
        <v>1</v>
      </c>
      <c r="J83" t="n">
        <v>2</v>
      </c>
      <c r="K83" t="n">
        <v>0</v>
      </c>
      <c r="L83" t="n">
        <v>0</v>
      </c>
      <c r="M83" t="n">
        <v>0</v>
      </c>
      <c r="N83" t="n">
        <v>0</v>
      </c>
      <c r="O83" t="n">
        <v>2</v>
      </c>
      <c r="P83" t="n">
        <v>0</v>
      </c>
      <c r="Q83" t="n">
        <v>3</v>
      </c>
      <c r="R83" s="2" t="inlineStr">
        <is>
          <t>Spillkråka
Talltita
Grönpyrola</t>
        </is>
      </c>
      <c r="S83">
        <f>HYPERLINK("https://klasma.github.io/Logging_0883/artfynd/A 21084-2025 artfynd.xlsx", "A 21084-2025")</f>
        <v/>
      </c>
      <c r="T83">
        <f>HYPERLINK("https://klasma.github.io/Logging_0883/kartor/A 21084-2025 karta.png", "A 21084-2025")</f>
        <v/>
      </c>
      <c r="V83">
        <f>HYPERLINK("https://klasma.github.io/Logging_0883/klagomål/A 21084-2025 FSC-klagomål.docx", "A 21084-2025")</f>
        <v/>
      </c>
      <c r="W83">
        <f>HYPERLINK("https://klasma.github.io/Logging_0883/klagomålsmail/A 21084-2025 FSC-klagomål mail.docx", "A 21084-2025")</f>
        <v/>
      </c>
      <c r="X83">
        <f>HYPERLINK("https://klasma.github.io/Logging_0883/tillsyn/A 21084-2025 tillsynsbegäran.docx", "A 21084-2025")</f>
        <v/>
      </c>
      <c r="Y83">
        <f>HYPERLINK("https://klasma.github.io/Logging_0883/tillsynsmail/A 21084-2025 tillsynsbegäran mail.docx", "A 21084-2025")</f>
        <v/>
      </c>
      <c r="Z83">
        <f>HYPERLINK("https://klasma.github.io/Logging_0883/fåglar/A 21084-2025 prioriterade fågelarter.docx", "A 21084-2025")</f>
        <v/>
      </c>
    </row>
    <row r="84" ht="15" customHeight="1">
      <c r="A84" t="inlineStr">
        <is>
          <t>A 4454-2025</t>
        </is>
      </c>
      <c r="B84" s="1" t="n">
        <v>45686</v>
      </c>
      <c r="C84" s="1" t="n">
        <v>45901</v>
      </c>
      <c r="D84" t="inlineStr">
        <is>
          <t>KALMAR LÄN</t>
        </is>
      </c>
      <c r="E84" t="inlineStr">
        <is>
          <t>VÄSTERVIK</t>
        </is>
      </c>
      <c r="G84" t="n">
        <v>1</v>
      </c>
      <c r="H84" t="n">
        <v>2</v>
      </c>
      <c r="I84" t="n">
        <v>1</v>
      </c>
      <c r="J84" t="n">
        <v>0</v>
      </c>
      <c r="K84" t="n">
        <v>1</v>
      </c>
      <c r="L84" t="n">
        <v>0</v>
      </c>
      <c r="M84" t="n">
        <v>0</v>
      </c>
      <c r="N84" t="n">
        <v>0</v>
      </c>
      <c r="O84" t="n">
        <v>1</v>
      </c>
      <c r="P84" t="n">
        <v>1</v>
      </c>
      <c r="Q84" t="n">
        <v>3</v>
      </c>
      <c r="R84" s="2" t="inlineStr">
        <is>
          <t>Knärot
Grönpyrola
Kungsfågel</t>
        </is>
      </c>
      <c r="S84">
        <f>HYPERLINK("https://klasma.github.io/Logging_0883/artfynd/A 4454-2025 artfynd.xlsx", "A 4454-2025")</f>
        <v/>
      </c>
      <c r="T84">
        <f>HYPERLINK("https://klasma.github.io/Logging_0883/kartor/A 4454-2025 karta.png", "A 4454-2025")</f>
        <v/>
      </c>
      <c r="U84">
        <f>HYPERLINK("https://klasma.github.io/Logging_0883/knärot/A 4454-2025 karta knärot.png", "A 4454-2025")</f>
        <v/>
      </c>
      <c r="V84">
        <f>HYPERLINK("https://klasma.github.io/Logging_0883/klagomål/A 4454-2025 FSC-klagomål.docx", "A 4454-2025")</f>
        <v/>
      </c>
      <c r="W84">
        <f>HYPERLINK("https://klasma.github.io/Logging_0883/klagomålsmail/A 4454-2025 FSC-klagomål mail.docx", "A 4454-2025")</f>
        <v/>
      </c>
      <c r="X84">
        <f>HYPERLINK("https://klasma.github.io/Logging_0883/tillsyn/A 4454-2025 tillsynsbegäran.docx", "A 4454-2025")</f>
        <v/>
      </c>
      <c r="Y84">
        <f>HYPERLINK("https://klasma.github.io/Logging_0883/tillsynsmail/A 4454-2025 tillsynsbegäran mail.docx", "A 4454-2025")</f>
        <v/>
      </c>
      <c r="Z84">
        <f>HYPERLINK("https://klasma.github.io/Logging_0883/fåglar/A 4454-2025 prioriterade fågelarter.docx", "A 4454-2025")</f>
        <v/>
      </c>
    </row>
    <row r="85" ht="15" customHeight="1">
      <c r="A85" t="inlineStr">
        <is>
          <t>A 58750-2024</t>
        </is>
      </c>
      <c r="B85" s="1" t="n">
        <v>45635.71747685185</v>
      </c>
      <c r="C85" s="1" t="n">
        <v>45901</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27067-2024</t>
        </is>
      </c>
      <c r="B86" s="1" t="n">
        <v>45471</v>
      </c>
      <c r="C86" s="1" t="n">
        <v>45901</v>
      </c>
      <c r="D86" t="inlineStr">
        <is>
          <t>KALMAR LÄN</t>
        </is>
      </c>
      <c r="E86" t="inlineStr">
        <is>
          <t>VÄSTERVIK</t>
        </is>
      </c>
      <c r="F86" t="inlineStr">
        <is>
          <t>Holmen skog AB</t>
        </is>
      </c>
      <c r="G86" t="n">
        <v>8.4</v>
      </c>
      <c r="H86" t="n">
        <v>2</v>
      </c>
      <c r="I86" t="n">
        <v>0</v>
      </c>
      <c r="J86" t="n">
        <v>3</v>
      </c>
      <c r="K86" t="n">
        <v>0</v>
      </c>
      <c r="L86" t="n">
        <v>0</v>
      </c>
      <c r="M86" t="n">
        <v>0</v>
      </c>
      <c r="N86" t="n">
        <v>0</v>
      </c>
      <c r="O86" t="n">
        <v>3</v>
      </c>
      <c r="P86" t="n">
        <v>0</v>
      </c>
      <c r="Q86" t="n">
        <v>3</v>
      </c>
      <c r="R86" s="2" t="inlineStr">
        <is>
          <t>Ekticka
Spillkråka
Talltita</t>
        </is>
      </c>
      <c r="S86">
        <f>HYPERLINK("https://klasma.github.io/Logging_0883/artfynd/A 27067-2024 artfynd.xlsx", "A 27067-2024")</f>
        <v/>
      </c>
      <c r="T86">
        <f>HYPERLINK("https://klasma.github.io/Logging_0883/kartor/A 27067-2024 karta.png", "A 27067-2024")</f>
        <v/>
      </c>
      <c r="V86">
        <f>HYPERLINK("https://klasma.github.io/Logging_0883/klagomål/A 27067-2024 FSC-klagomål.docx", "A 27067-2024")</f>
        <v/>
      </c>
      <c r="W86">
        <f>HYPERLINK("https://klasma.github.io/Logging_0883/klagomålsmail/A 27067-2024 FSC-klagomål mail.docx", "A 27067-2024")</f>
        <v/>
      </c>
      <c r="X86">
        <f>HYPERLINK("https://klasma.github.io/Logging_0883/tillsyn/A 27067-2024 tillsynsbegäran.docx", "A 27067-2024")</f>
        <v/>
      </c>
      <c r="Y86">
        <f>HYPERLINK("https://klasma.github.io/Logging_0883/tillsynsmail/A 27067-2024 tillsynsbegäran mail.docx", "A 27067-2024")</f>
        <v/>
      </c>
      <c r="Z86">
        <f>HYPERLINK("https://klasma.github.io/Logging_0883/fåglar/A 27067-2024 prioriterade fågelarter.docx", "A 27067-2024")</f>
        <v/>
      </c>
    </row>
    <row r="87" ht="15" customHeight="1">
      <c r="A87" t="inlineStr">
        <is>
          <t>A 1763-2025</t>
        </is>
      </c>
      <c r="B87" s="1" t="n">
        <v>45671</v>
      </c>
      <c r="C87" s="1" t="n">
        <v>45901</v>
      </c>
      <c r="D87" t="inlineStr">
        <is>
          <t>KALMAR LÄN</t>
        </is>
      </c>
      <c r="E87" t="inlineStr">
        <is>
          <t>VÄSTERVIK</t>
        </is>
      </c>
      <c r="G87" t="n">
        <v>1.1</v>
      </c>
      <c r="H87" t="n">
        <v>2</v>
      </c>
      <c r="I87" t="n">
        <v>1</v>
      </c>
      <c r="J87" t="n">
        <v>2</v>
      </c>
      <c r="K87" t="n">
        <v>0</v>
      </c>
      <c r="L87" t="n">
        <v>0</v>
      </c>
      <c r="M87" t="n">
        <v>0</v>
      </c>
      <c r="N87" t="n">
        <v>0</v>
      </c>
      <c r="O87" t="n">
        <v>2</v>
      </c>
      <c r="P87" t="n">
        <v>0</v>
      </c>
      <c r="Q87" t="n">
        <v>3</v>
      </c>
      <c r="R87" s="2" t="inlineStr">
        <is>
          <t>Spillkråka
Talltita
Blåmossa</t>
        </is>
      </c>
      <c r="S87">
        <f>HYPERLINK("https://klasma.github.io/Logging_0883/artfynd/A 1763-2025 artfynd.xlsx", "A 1763-2025")</f>
        <v/>
      </c>
      <c r="T87">
        <f>HYPERLINK("https://klasma.github.io/Logging_0883/kartor/A 1763-2025 karta.png", "A 1763-2025")</f>
        <v/>
      </c>
      <c r="V87">
        <f>HYPERLINK("https://klasma.github.io/Logging_0883/klagomål/A 1763-2025 FSC-klagomål.docx", "A 1763-2025")</f>
        <v/>
      </c>
      <c r="W87">
        <f>HYPERLINK("https://klasma.github.io/Logging_0883/klagomålsmail/A 1763-2025 FSC-klagomål mail.docx", "A 1763-2025")</f>
        <v/>
      </c>
      <c r="X87">
        <f>HYPERLINK("https://klasma.github.io/Logging_0883/tillsyn/A 1763-2025 tillsynsbegäran.docx", "A 1763-2025")</f>
        <v/>
      </c>
      <c r="Y87">
        <f>HYPERLINK("https://klasma.github.io/Logging_0883/tillsynsmail/A 1763-2025 tillsynsbegäran mail.docx", "A 1763-2025")</f>
        <v/>
      </c>
      <c r="Z87">
        <f>HYPERLINK("https://klasma.github.io/Logging_0883/fåglar/A 1763-2025 prioriterade fågelarter.docx", "A 1763-2025")</f>
        <v/>
      </c>
    </row>
    <row r="88" ht="15" customHeight="1">
      <c r="A88" t="inlineStr">
        <is>
          <t>A 1764-2025</t>
        </is>
      </c>
      <c r="B88" s="1" t="n">
        <v>45671</v>
      </c>
      <c r="C88" s="1" t="n">
        <v>45901</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52992-2024</t>
        </is>
      </c>
      <c r="B89" s="1" t="n">
        <v>45611</v>
      </c>
      <c r="C89" s="1" t="n">
        <v>45901</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35705-2025</t>
        </is>
      </c>
      <c r="B90" s="1" t="n">
        <v>45860.36769675926</v>
      </c>
      <c r="C90" s="1" t="n">
        <v>45901</v>
      </c>
      <c r="D90" t="inlineStr">
        <is>
          <t>KALMAR LÄN</t>
        </is>
      </c>
      <c r="E90" t="inlineStr">
        <is>
          <t>VÄSTERVIK</t>
        </is>
      </c>
      <c r="G90" t="n">
        <v>2.5</v>
      </c>
      <c r="H90" t="n">
        <v>2</v>
      </c>
      <c r="I90" t="n">
        <v>1</v>
      </c>
      <c r="J90" t="n">
        <v>1</v>
      </c>
      <c r="K90" t="n">
        <v>0</v>
      </c>
      <c r="L90" t="n">
        <v>0</v>
      </c>
      <c r="M90" t="n">
        <v>0</v>
      </c>
      <c r="N90" t="n">
        <v>0</v>
      </c>
      <c r="O90" t="n">
        <v>1</v>
      </c>
      <c r="P90" t="n">
        <v>0</v>
      </c>
      <c r="Q90" t="n">
        <v>3</v>
      </c>
      <c r="R90" s="2" t="inlineStr">
        <is>
          <t>Talltita
Grovticka
Kungsfågel</t>
        </is>
      </c>
      <c r="S90">
        <f>HYPERLINK("https://klasma.github.io/Logging_0883/artfynd/A 35705-2025 artfynd.xlsx", "A 35705-2025")</f>
        <v/>
      </c>
      <c r="T90">
        <f>HYPERLINK("https://klasma.github.io/Logging_0883/kartor/A 35705-2025 karta.png", "A 35705-2025")</f>
        <v/>
      </c>
      <c r="U90">
        <f>HYPERLINK("https://klasma.github.io/Logging_0883/knärot/A 35705-2025 karta knärot.png", "A 35705-2025")</f>
        <v/>
      </c>
      <c r="V90">
        <f>HYPERLINK("https://klasma.github.io/Logging_0883/klagomål/A 35705-2025 FSC-klagomål.docx", "A 35705-2025")</f>
        <v/>
      </c>
      <c r="W90">
        <f>HYPERLINK("https://klasma.github.io/Logging_0883/klagomålsmail/A 35705-2025 FSC-klagomål mail.docx", "A 35705-2025")</f>
        <v/>
      </c>
      <c r="X90">
        <f>HYPERLINK("https://klasma.github.io/Logging_0883/tillsyn/A 35705-2025 tillsynsbegäran.docx", "A 35705-2025")</f>
        <v/>
      </c>
      <c r="Y90">
        <f>HYPERLINK("https://klasma.github.io/Logging_0883/tillsynsmail/A 35705-2025 tillsynsbegäran mail.docx", "A 35705-2025")</f>
        <v/>
      </c>
      <c r="Z90">
        <f>HYPERLINK("https://klasma.github.io/Logging_0883/fåglar/A 35705-2025 prioriterade fågelarter.docx", "A 35705-2025")</f>
        <v/>
      </c>
    </row>
    <row r="91" ht="15" customHeight="1">
      <c r="A91" t="inlineStr">
        <is>
          <t>A 39190-2024</t>
        </is>
      </c>
      <c r="B91" s="1" t="n">
        <v>45548</v>
      </c>
      <c r="C91" s="1" t="n">
        <v>45901</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36109-2025</t>
        </is>
      </c>
      <c r="B92" s="1" t="n">
        <v>45866.56780092593</v>
      </c>
      <c r="C92" s="1" t="n">
        <v>45901</v>
      </c>
      <c r="D92" t="inlineStr">
        <is>
          <t>KALMAR LÄN</t>
        </is>
      </c>
      <c r="E92" t="inlineStr">
        <is>
          <t>VÄSTERVIK</t>
        </is>
      </c>
      <c r="G92" t="n">
        <v>12.5</v>
      </c>
      <c r="H92" t="n">
        <v>1</v>
      </c>
      <c r="I92" t="n">
        <v>2</v>
      </c>
      <c r="J92" t="n">
        <v>0</v>
      </c>
      <c r="K92" t="n">
        <v>1</v>
      </c>
      <c r="L92" t="n">
        <v>0</v>
      </c>
      <c r="M92" t="n">
        <v>0</v>
      </c>
      <c r="N92" t="n">
        <v>0</v>
      </c>
      <c r="O92" t="n">
        <v>1</v>
      </c>
      <c r="P92" t="n">
        <v>1</v>
      </c>
      <c r="Q92" t="n">
        <v>3</v>
      </c>
      <c r="R92" s="2" t="inlineStr">
        <is>
          <t>Knärot
Blåmossa
Grönpyrola</t>
        </is>
      </c>
      <c r="S92">
        <f>HYPERLINK("https://klasma.github.io/Logging_0883/artfynd/A 36109-2025 artfynd.xlsx", "A 36109-2025")</f>
        <v/>
      </c>
      <c r="T92">
        <f>HYPERLINK("https://klasma.github.io/Logging_0883/kartor/A 36109-2025 karta.png", "A 36109-2025")</f>
        <v/>
      </c>
      <c r="U92">
        <f>HYPERLINK("https://klasma.github.io/Logging_0883/knärot/A 36109-2025 karta knärot.png", "A 36109-2025")</f>
        <v/>
      </c>
      <c r="V92">
        <f>HYPERLINK("https://klasma.github.io/Logging_0883/klagomål/A 36109-2025 FSC-klagomål.docx", "A 36109-2025")</f>
        <v/>
      </c>
      <c r="W92">
        <f>HYPERLINK("https://klasma.github.io/Logging_0883/klagomålsmail/A 36109-2025 FSC-klagomål mail.docx", "A 36109-2025")</f>
        <v/>
      </c>
      <c r="X92">
        <f>HYPERLINK("https://klasma.github.io/Logging_0883/tillsyn/A 36109-2025 tillsynsbegäran.docx", "A 36109-2025")</f>
        <v/>
      </c>
      <c r="Y92">
        <f>HYPERLINK("https://klasma.github.io/Logging_0883/tillsynsmail/A 36109-2025 tillsynsbegäran mail.docx", "A 36109-2025")</f>
        <v/>
      </c>
    </row>
    <row r="93" ht="15" customHeight="1">
      <c r="A93" t="inlineStr">
        <is>
          <t>A 16948-2024</t>
        </is>
      </c>
      <c r="B93" s="1" t="n">
        <v>45411</v>
      </c>
      <c r="C93" s="1" t="n">
        <v>45901</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2657-2024</t>
        </is>
      </c>
      <c r="B94" s="1" t="n">
        <v>45314</v>
      </c>
      <c r="C94" s="1" t="n">
        <v>45901</v>
      </c>
      <c r="D94" t="inlineStr">
        <is>
          <t>KALMAR LÄN</t>
        </is>
      </c>
      <c r="E94" t="inlineStr">
        <is>
          <t>VÄSTERVIK</t>
        </is>
      </c>
      <c r="G94" t="n">
        <v>5.9</v>
      </c>
      <c r="H94" t="n">
        <v>2</v>
      </c>
      <c r="I94" t="n">
        <v>1</v>
      </c>
      <c r="J94" t="n">
        <v>1</v>
      </c>
      <c r="K94" t="n">
        <v>1</v>
      </c>
      <c r="L94" t="n">
        <v>0</v>
      </c>
      <c r="M94" t="n">
        <v>0</v>
      </c>
      <c r="N94" t="n">
        <v>0</v>
      </c>
      <c r="O94" t="n">
        <v>2</v>
      </c>
      <c r="P94" t="n">
        <v>1</v>
      </c>
      <c r="Q94" t="n">
        <v>3</v>
      </c>
      <c r="R94" s="2" t="inlineStr">
        <is>
          <t>Knärot
Spillkråka
Grönpyrola</t>
        </is>
      </c>
      <c r="S94">
        <f>HYPERLINK("https://klasma.github.io/Logging_0883/artfynd/A 2657-2024 artfynd.xlsx", "A 2657-2024")</f>
        <v/>
      </c>
      <c r="T94">
        <f>HYPERLINK("https://klasma.github.io/Logging_0883/kartor/A 2657-2024 karta.png", "A 2657-2024")</f>
        <v/>
      </c>
      <c r="U94">
        <f>HYPERLINK("https://klasma.github.io/Logging_0883/knärot/A 2657-2024 karta knärot.png", "A 2657-2024")</f>
        <v/>
      </c>
      <c r="V94">
        <f>HYPERLINK("https://klasma.github.io/Logging_0883/klagomål/A 2657-2024 FSC-klagomål.docx", "A 2657-2024")</f>
        <v/>
      </c>
      <c r="W94">
        <f>HYPERLINK("https://klasma.github.io/Logging_0883/klagomålsmail/A 2657-2024 FSC-klagomål mail.docx", "A 2657-2024")</f>
        <v/>
      </c>
      <c r="X94">
        <f>HYPERLINK("https://klasma.github.io/Logging_0883/tillsyn/A 2657-2024 tillsynsbegäran.docx", "A 2657-2024")</f>
        <v/>
      </c>
      <c r="Y94">
        <f>HYPERLINK("https://klasma.github.io/Logging_0883/tillsynsmail/A 2657-2024 tillsynsbegäran mail.docx", "A 2657-2024")</f>
        <v/>
      </c>
      <c r="Z94">
        <f>HYPERLINK("https://klasma.github.io/Logging_0883/fåglar/A 2657-2024 prioriterade fågelarter.docx", "A 2657-2024")</f>
        <v/>
      </c>
    </row>
    <row r="95" ht="15" customHeight="1">
      <c r="A95" t="inlineStr">
        <is>
          <t>A 21658-2025</t>
        </is>
      </c>
      <c r="B95" s="1" t="n">
        <v>45783.45474537037</v>
      </c>
      <c r="C95" s="1" t="n">
        <v>45901</v>
      </c>
      <c r="D95" t="inlineStr">
        <is>
          <t>KALMAR LÄN</t>
        </is>
      </c>
      <c r="E95" t="inlineStr">
        <is>
          <t>VÄSTERVIK</t>
        </is>
      </c>
      <c r="F95" t="inlineStr">
        <is>
          <t>Sveaskog</t>
        </is>
      </c>
      <c r="G95" t="n">
        <v>4</v>
      </c>
      <c r="H95" t="n">
        <v>3</v>
      </c>
      <c r="I95" t="n">
        <v>0</v>
      </c>
      <c r="J95" t="n">
        <v>2</v>
      </c>
      <c r="K95" t="n">
        <v>0</v>
      </c>
      <c r="L95" t="n">
        <v>0</v>
      </c>
      <c r="M95" t="n">
        <v>0</v>
      </c>
      <c r="N95" t="n">
        <v>0</v>
      </c>
      <c r="O95" t="n">
        <v>2</v>
      </c>
      <c r="P95" t="n">
        <v>0</v>
      </c>
      <c r="Q95" t="n">
        <v>3</v>
      </c>
      <c r="R95" s="2" t="inlineStr">
        <is>
          <t>Mindre hackspett
Talltita
Kungsfågel</t>
        </is>
      </c>
      <c r="S95">
        <f>HYPERLINK("https://klasma.github.io/Logging_0883/artfynd/A 21658-2025 artfynd.xlsx", "A 21658-2025")</f>
        <v/>
      </c>
      <c r="T95">
        <f>HYPERLINK("https://klasma.github.io/Logging_0883/kartor/A 21658-2025 karta.png", "A 21658-2025")</f>
        <v/>
      </c>
      <c r="V95">
        <f>HYPERLINK("https://klasma.github.io/Logging_0883/klagomål/A 21658-2025 FSC-klagomål.docx", "A 21658-2025")</f>
        <v/>
      </c>
      <c r="W95">
        <f>HYPERLINK("https://klasma.github.io/Logging_0883/klagomålsmail/A 21658-2025 FSC-klagomål mail.docx", "A 21658-2025")</f>
        <v/>
      </c>
      <c r="X95">
        <f>HYPERLINK("https://klasma.github.io/Logging_0883/tillsyn/A 21658-2025 tillsynsbegäran.docx", "A 21658-2025")</f>
        <v/>
      </c>
      <c r="Y95">
        <f>HYPERLINK("https://klasma.github.io/Logging_0883/tillsynsmail/A 21658-2025 tillsynsbegäran mail.docx", "A 21658-2025")</f>
        <v/>
      </c>
      <c r="Z95">
        <f>HYPERLINK("https://klasma.github.io/Logging_0883/fåglar/A 21658-2025 prioriterade fågelarter.docx", "A 21658-2025")</f>
        <v/>
      </c>
    </row>
    <row r="96" ht="15" customHeight="1">
      <c r="A96" t="inlineStr">
        <is>
          <t>A 12708-2023</t>
        </is>
      </c>
      <c r="B96" s="1" t="n">
        <v>45000</v>
      </c>
      <c r="C96" s="1" t="n">
        <v>45901</v>
      </c>
      <c r="D96" t="inlineStr">
        <is>
          <t>KALMAR LÄN</t>
        </is>
      </c>
      <c r="E96" t="inlineStr">
        <is>
          <t>VÄSTERVIK</t>
        </is>
      </c>
      <c r="G96" t="n">
        <v>8.6</v>
      </c>
      <c r="H96" t="n">
        <v>2</v>
      </c>
      <c r="I96" t="n">
        <v>0</v>
      </c>
      <c r="J96" t="n">
        <v>2</v>
      </c>
      <c r="K96" t="n">
        <v>1</v>
      </c>
      <c r="L96" t="n">
        <v>0</v>
      </c>
      <c r="M96" t="n">
        <v>0</v>
      </c>
      <c r="N96" t="n">
        <v>0</v>
      </c>
      <c r="O96" t="n">
        <v>3</v>
      </c>
      <c r="P96" t="n">
        <v>1</v>
      </c>
      <c r="Q96" t="n">
        <v>3</v>
      </c>
      <c r="R96" s="2" t="inlineStr">
        <is>
          <t>Knärot
Tallticka
Talltita</t>
        </is>
      </c>
      <c r="S96">
        <f>HYPERLINK("https://klasma.github.io/Logging_0883/artfynd/A 12708-2023 artfynd.xlsx", "A 12708-2023")</f>
        <v/>
      </c>
      <c r="T96">
        <f>HYPERLINK("https://klasma.github.io/Logging_0883/kartor/A 12708-2023 karta.png", "A 12708-2023")</f>
        <v/>
      </c>
      <c r="U96">
        <f>HYPERLINK("https://klasma.github.io/Logging_0883/knärot/A 12708-2023 karta knärot.png", "A 12708-2023")</f>
        <v/>
      </c>
      <c r="V96">
        <f>HYPERLINK("https://klasma.github.io/Logging_0883/klagomål/A 12708-2023 FSC-klagomål.docx", "A 12708-2023")</f>
        <v/>
      </c>
      <c r="W96">
        <f>HYPERLINK("https://klasma.github.io/Logging_0883/klagomålsmail/A 12708-2023 FSC-klagomål mail.docx", "A 12708-2023")</f>
        <v/>
      </c>
      <c r="X96">
        <f>HYPERLINK("https://klasma.github.io/Logging_0883/tillsyn/A 12708-2023 tillsynsbegäran.docx", "A 12708-2023")</f>
        <v/>
      </c>
      <c r="Y96">
        <f>HYPERLINK("https://klasma.github.io/Logging_0883/tillsynsmail/A 12708-2023 tillsynsbegäran mail.docx", "A 12708-2023")</f>
        <v/>
      </c>
      <c r="Z96">
        <f>HYPERLINK("https://klasma.github.io/Logging_0883/fåglar/A 12708-2023 prioriterade fågelarter.docx", "A 12708-2023")</f>
        <v/>
      </c>
    </row>
    <row r="97" ht="15" customHeight="1">
      <c r="A97" t="inlineStr">
        <is>
          <t>A 13956-2025</t>
        </is>
      </c>
      <c r="B97" s="1" t="n">
        <v>45737</v>
      </c>
      <c r="C97" s="1" t="n">
        <v>45901</v>
      </c>
      <c r="D97" t="inlineStr">
        <is>
          <t>KALMAR LÄN</t>
        </is>
      </c>
      <c r="E97" t="inlineStr">
        <is>
          <t>VÄSTERVIK</t>
        </is>
      </c>
      <c r="G97" t="n">
        <v>2.5</v>
      </c>
      <c r="H97" t="n">
        <v>2</v>
      </c>
      <c r="I97" t="n">
        <v>1</v>
      </c>
      <c r="J97" t="n">
        <v>1</v>
      </c>
      <c r="K97" t="n">
        <v>1</v>
      </c>
      <c r="L97" t="n">
        <v>0</v>
      </c>
      <c r="M97" t="n">
        <v>0</v>
      </c>
      <c r="N97" t="n">
        <v>0</v>
      </c>
      <c r="O97" t="n">
        <v>2</v>
      </c>
      <c r="P97" t="n">
        <v>1</v>
      </c>
      <c r="Q97" t="n">
        <v>3</v>
      </c>
      <c r="R97" s="2" t="inlineStr">
        <is>
          <t>Knärot
Mindre hackspett
Grönpyrola</t>
        </is>
      </c>
      <c r="S97">
        <f>HYPERLINK("https://klasma.github.io/Logging_0883/artfynd/A 13956-2025 artfynd.xlsx", "A 13956-2025")</f>
        <v/>
      </c>
      <c r="T97">
        <f>HYPERLINK("https://klasma.github.io/Logging_0883/kartor/A 13956-2025 karta.png", "A 13956-2025")</f>
        <v/>
      </c>
      <c r="U97">
        <f>HYPERLINK("https://klasma.github.io/Logging_0883/knärot/A 13956-2025 karta knärot.png", "A 13956-2025")</f>
        <v/>
      </c>
      <c r="V97">
        <f>HYPERLINK("https://klasma.github.io/Logging_0883/klagomål/A 13956-2025 FSC-klagomål.docx", "A 13956-2025")</f>
        <v/>
      </c>
      <c r="W97">
        <f>HYPERLINK("https://klasma.github.io/Logging_0883/klagomålsmail/A 13956-2025 FSC-klagomål mail.docx", "A 13956-2025")</f>
        <v/>
      </c>
      <c r="X97">
        <f>HYPERLINK("https://klasma.github.io/Logging_0883/tillsyn/A 13956-2025 tillsynsbegäran.docx", "A 13956-2025")</f>
        <v/>
      </c>
      <c r="Y97">
        <f>HYPERLINK("https://klasma.github.io/Logging_0883/tillsynsmail/A 13956-2025 tillsynsbegäran mail.docx", "A 13956-2025")</f>
        <v/>
      </c>
      <c r="Z97">
        <f>HYPERLINK("https://klasma.github.io/Logging_0883/fåglar/A 13956-2025 prioriterade fågelarter.docx", "A 13956-2025")</f>
        <v/>
      </c>
    </row>
    <row r="98" ht="15" customHeight="1">
      <c r="A98" t="inlineStr">
        <is>
          <t>A 31854-2025</t>
        </is>
      </c>
      <c r="B98" s="1" t="n">
        <v>45834</v>
      </c>
      <c r="C98" s="1" t="n">
        <v>45901</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51590-2024</t>
        </is>
      </c>
      <c r="B99" s="1" t="n">
        <v>45604</v>
      </c>
      <c r="C99" s="1" t="n">
        <v>45901</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8620-2024</t>
        </is>
      </c>
      <c r="B100" s="1" t="n">
        <v>45355.74270833333</v>
      </c>
      <c r="C100" s="1" t="n">
        <v>45901</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804-2023</t>
        </is>
      </c>
      <c r="B101" s="1" t="n">
        <v>44931</v>
      </c>
      <c r="C101" s="1" t="n">
        <v>45901</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42353-2023</t>
        </is>
      </c>
      <c r="B102" s="1" t="n">
        <v>45180</v>
      </c>
      <c r="C102" s="1" t="n">
        <v>45901</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2340-2025</t>
        </is>
      </c>
      <c r="B103" s="1" t="n">
        <v>45673</v>
      </c>
      <c r="C103" s="1" t="n">
        <v>45901</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45901</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45901</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15595-2021</t>
        </is>
      </c>
      <c r="B106" s="1" t="n">
        <v>44285.66680555556</v>
      </c>
      <c r="C106" s="1" t="n">
        <v>45901</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12598-2024</t>
        </is>
      </c>
      <c r="B107" s="1" t="n">
        <v>45380</v>
      </c>
      <c r="C107" s="1" t="n">
        <v>45901</v>
      </c>
      <c r="D107" t="inlineStr">
        <is>
          <t>KALMAR LÄN</t>
        </is>
      </c>
      <c r="E107" t="inlineStr">
        <is>
          <t>VÄSTERVIK</t>
        </is>
      </c>
      <c r="F107" t="inlineStr">
        <is>
          <t>Holmen skog AB</t>
        </is>
      </c>
      <c r="G107" t="n">
        <v>5</v>
      </c>
      <c r="H107" t="n">
        <v>1</v>
      </c>
      <c r="I107" t="n">
        <v>1</v>
      </c>
      <c r="J107" t="n">
        <v>0</v>
      </c>
      <c r="K107" t="n">
        <v>1</v>
      </c>
      <c r="L107" t="n">
        <v>0</v>
      </c>
      <c r="M107" t="n">
        <v>0</v>
      </c>
      <c r="N107" t="n">
        <v>0</v>
      </c>
      <c r="O107" t="n">
        <v>1</v>
      </c>
      <c r="P107" t="n">
        <v>1</v>
      </c>
      <c r="Q107" t="n">
        <v>2</v>
      </c>
      <c r="R107" s="2" t="inlineStr">
        <is>
          <t>Knärot
Grönpyrola</t>
        </is>
      </c>
      <c r="S107">
        <f>HYPERLINK("https://klasma.github.io/Logging_0883/artfynd/A 12598-2024 artfynd.xlsx", "A 12598-2024")</f>
        <v/>
      </c>
      <c r="T107">
        <f>HYPERLINK("https://klasma.github.io/Logging_0883/kartor/A 12598-2024 karta.png", "A 12598-2024")</f>
        <v/>
      </c>
      <c r="U107">
        <f>HYPERLINK("https://klasma.github.io/Logging_0883/knärot/A 12598-2024 karta knärot.png", "A 12598-2024")</f>
        <v/>
      </c>
      <c r="V107">
        <f>HYPERLINK("https://klasma.github.io/Logging_0883/klagomål/A 12598-2024 FSC-klagomål.docx", "A 12598-2024")</f>
        <v/>
      </c>
      <c r="W107">
        <f>HYPERLINK("https://klasma.github.io/Logging_0883/klagomålsmail/A 12598-2024 FSC-klagomål mail.docx", "A 12598-2024")</f>
        <v/>
      </c>
      <c r="X107">
        <f>HYPERLINK("https://klasma.github.io/Logging_0883/tillsyn/A 12598-2024 tillsynsbegäran.docx", "A 12598-2024")</f>
        <v/>
      </c>
      <c r="Y107">
        <f>HYPERLINK("https://klasma.github.io/Logging_0883/tillsynsmail/A 12598-2024 tillsynsbegäran mail.docx", "A 12598-2024")</f>
        <v/>
      </c>
    </row>
    <row r="108" ht="15" customHeight="1">
      <c r="A108" t="inlineStr">
        <is>
          <t>A 11849-2024</t>
        </is>
      </c>
      <c r="B108" s="1" t="n">
        <v>45376.41797453703</v>
      </c>
      <c r="C108" s="1" t="n">
        <v>45901</v>
      </c>
      <c r="D108" t="inlineStr">
        <is>
          <t>KALMAR LÄN</t>
        </is>
      </c>
      <c r="E108" t="inlineStr">
        <is>
          <t>VÄSTERVIK</t>
        </is>
      </c>
      <c r="F108" t="inlineStr">
        <is>
          <t>Sveaskog</t>
        </is>
      </c>
      <c r="G108" t="n">
        <v>5.3</v>
      </c>
      <c r="H108" t="n">
        <v>2</v>
      </c>
      <c r="I108" t="n">
        <v>0</v>
      </c>
      <c r="J108" t="n">
        <v>0</v>
      </c>
      <c r="K108" t="n">
        <v>0</v>
      </c>
      <c r="L108" t="n">
        <v>0</v>
      </c>
      <c r="M108" t="n">
        <v>0</v>
      </c>
      <c r="N108" t="n">
        <v>0</v>
      </c>
      <c r="O108" t="n">
        <v>0</v>
      </c>
      <c r="P108" t="n">
        <v>0</v>
      </c>
      <c r="Q108" t="n">
        <v>2</v>
      </c>
      <c r="R108" s="2" t="inlineStr">
        <is>
          <t>Mattlummer
Revlummer</t>
        </is>
      </c>
      <c r="S108">
        <f>HYPERLINK("https://klasma.github.io/Logging_0883/artfynd/A 11849-2024 artfynd.xlsx", "A 11849-2024")</f>
        <v/>
      </c>
      <c r="T108">
        <f>HYPERLINK("https://klasma.github.io/Logging_0883/kartor/A 11849-2024 karta.png", "A 11849-2024")</f>
        <v/>
      </c>
      <c r="V108">
        <f>HYPERLINK("https://klasma.github.io/Logging_0883/klagomål/A 11849-2024 FSC-klagomål.docx", "A 11849-2024")</f>
        <v/>
      </c>
      <c r="W108">
        <f>HYPERLINK("https://klasma.github.io/Logging_0883/klagomålsmail/A 11849-2024 FSC-klagomål mail.docx", "A 11849-2024")</f>
        <v/>
      </c>
      <c r="X108">
        <f>HYPERLINK("https://klasma.github.io/Logging_0883/tillsyn/A 11849-2024 tillsynsbegäran.docx", "A 11849-2024")</f>
        <v/>
      </c>
      <c r="Y108">
        <f>HYPERLINK("https://klasma.github.io/Logging_0883/tillsynsmail/A 11849-2024 tillsynsbegäran mail.docx", "A 11849-2024")</f>
        <v/>
      </c>
    </row>
    <row r="109" ht="15" customHeight="1">
      <c r="A109" t="inlineStr">
        <is>
          <t>A 3658-2024</t>
        </is>
      </c>
      <c r="B109" s="1" t="n">
        <v>45321</v>
      </c>
      <c r="C109" s="1" t="n">
        <v>45901</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12212-2024</t>
        </is>
      </c>
      <c r="B110" s="1" t="n">
        <v>45378.31111111111</v>
      </c>
      <c r="C110" s="1" t="n">
        <v>45901</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8618-2024</t>
        </is>
      </c>
      <c r="B111" s="1" t="n">
        <v>45355.73453703704</v>
      </c>
      <c r="C111" s="1" t="n">
        <v>45901</v>
      </c>
      <c r="D111" t="inlineStr">
        <is>
          <t>KALMAR LÄN</t>
        </is>
      </c>
      <c r="E111" t="inlineStr">
        <is>
          <t>VÄSTERVIK</t>
        </is>
      </c>
      <c r="G111" t="n">
        <v>4.3</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8618-2024 artfynd.xlsx", "A 8618-2024")</f>
        <v/>
      </c>
      <c r="T111">
        <f>HYPERLINK("https://klasma.github.io/Logging_0883/kartor/A 8618-2024 karta.png", "A 8618-2024")</f>
        <v/>
      </c>
      <c r="U111">
        <f>HYPERLINK("https://klasma.github.io/Logging_0883/knärot/A 8618-2024 karta knärot.png", "A 8618-2024")</f>
        <v/>
      </c>
      <c r="V111">
        <f>HYPERLINK("https://klasma.github.io/Logging_0883/klagomål/A 8618-2024 FSC-klagomål.docx", "A 8618-2024")</f>
        <v/>
      </c>
      <c r="W111">
        <f>HYPERLINK("https://klasma.github.io/Logging_0883/klagomålsmail/A 8618-2024 FSC-klagomål mail.docx", "A 8618-2024")</f>
        <v/>
      </c>
      <c r="X111">
        <f>HYPERLINK("https://klasma.github.io/Logging_0883/tillsyn/A 8618-2024 tillsynsbegäran.docx", "A 8618-2024")</f>
        <v/>
      </c>
      <c r="Y111">
        <f>HYPERLINK("https://klasma.github.io/Logging_0883/tillsynsmail/A 8618-2024 tillsynsbegäran mail.docx", "A 8618-2024")</f>
        <v/>
      </c>
    </row>
    <row r="112" ht="15" customHeight="1">
      <c r="A112" t="inlineStr">
        <is>
          <t>A 52723-2024</t>
        </is>
      </c>
      <c r="B112" s="1" t="n">
        <v>45610.44008101852</v>
      </c>
      <c r="C112" s="1" t="n">
        <v>45901</v>
      </c>
      <c r="D112" t="inlineStr">
        <is>
          <t>KALMAR LÄN</t>
        </is>
      </c>
      <c r="E112" t="inlineStr">
        <is>
          <t>VÄSTERVIK</t>
        </is>
      </c>
      <c r="F112" t="inlineStr">
        <is>
          <t>Holmen skog AB</t>
        </is>
      </c>
      <c r="G112" t="n">
        <v>6.5</v>
      </c>
      <c r="H112" t="n">
        <v>2</v>
      </c>
      <c r="I112" t="n">
        <v>1</v>
      </c>
      <c r="J112" t="n">
        <v>1</v>
      </c>
      <c r="K112" t="n">
        <v>0</v>
      </c>
      <c r="L112" t="n">
        <v>0</v>
      </c>
      <c r="M112" t="n">
        <v>0</v>
      </c>
      <c r="N112" t="n">
        <v>0</v>
      </c>
      <c r="O112" t="n">
        <v>1</v>
      </c>
      <c r="P112" t="n">
        <v>0</v>
      </c>
      <c r="Q112" t="n">
        <v>2</v>
      </c>
      <c r="R112" s="2" t="inlineStr">
        <is>
          <t>Talltita
Ekoxe</t>
        </is>
      </c>
      <c r="S112">
        <f>HYPERLINK("https://klasma.github.io/Logging_0883/artfynd/A 52723-2024 artfynd.xlsx", "A 52723-2024")</f>
        <v/>
      </c>
      <c r="T112">
        <f>HYPERLINK("https://klasma.github.io/Logging_0883/kartor/A 52723-2024 karta.png", "A 52723-2024")</f>
        <v/>
      </c>
      <c r="V112">
        <f>HYPERLINK("https://klasma.github.io/Logging_0883/klagomål/A 52723-2024 FSC-klagomål.docx", "A 52723-2024")</f>
        <v/>
      </c>
      <c r="W112">
        <f>HYPERLINK("https://klasma.github.io/Logging_0883/klagomålsmail/A 52723-2024 FSC-klagomål mail.docx", "A 52723-2024")</f>
        <v/>
      </c>
      <c r="X112">
        <f>HYPERLINK("https://klasma.github.io/Logging_0883/tillsyn/A 52723-2024 tillsynsbegäran.docx", "A 52723-2024")</f>
        <v/>
      </c>
      <c r="Y112">
        <f>HYPERLINK("https://klasma.github.io/Logging_0883/tillsynsmail/A 52723-2024 tillsynsbegäran mail.docx", "A 52723-2024")</f>
        <v/>
      </c>
      <c r="Z112">
        <f>HYPERLINK("https://klasma.github.io/Logging_0883/fåglar/A 52723-2024 prioriterade fågelarter.docx", "A 52723-2024")</f>
        <v/>
      </c>
    </row>
    <row r="113" ht="15" customHeight="1">
      <c r="A113" t="inlineStr">
        <is>
          <t>A 35236-2024</t>
        </is>
      </c>
      <c r="B113" s="1" t="n">
        <v>45530.54184027778</v>
      </c>
      <c r="C113" s="1" t="n">
        <v>45901</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46552-2022</t>
        </is>
      </c>
      <c r="B114" s="1" t="n">
        <v>44848</v>
      </c>
      <c r="C114" s="1" t="n">
        <v>45901</v>
      </c>
      <c r="D114" t="inlineStr">
        <is>
          <t>KALMAR LÄN</t>
        </is>
      </c>
      <c r="E114" t="inlineStr">
        <is>
          <t>VÄSTERVIK</t>
        </is>
      </c>
      <c r="F114" t="inlineStr">
        <is>
          <t>Sveaskog</t>
        </is>
      </c>
      <c r="G114" t="n">
        <v>1.7</v>
      </c>
      <c r="H114" t="n">
        <v>0</v>
      </c>
      <c r="I114" t="n">
        <v>1</v>
      </c>
      <c r="J114" t="n">
        <v>1</v>
      </c>
      <c r="K114" t="n">
        <v>0</v>
      </c>
      <c r="L114" t="n">
        <v>0</v>
      </c>
      <c r="M114" t="n">
        <v>0</v>
      </c>
      <c r="N114" t="n">
        <v>0</v>
      </c>
      <c r="O114" t="n">
        <v>1</v>
      </c>
      <c r="P114" t="n">
        <v>0</v>
      </c>
      <c r="Q114" t="n">
        <v>2</v>
      </c>
      <c r="R114" s="2" t="inlineStr">
        <is>
          <t>Motaggsvamp
Sårläka</t>
        </is>
      </c>
      <c r="S114">
        <f>HYPERLINK("https://klasma.github.io/Logging_0883/artfynd/A 46552-2022 artfynd.xlsx", "A 46552-2022")</f>
        <v/>
      </c>
      <c r="T114">
        <f>HYPERLINK("https://klasma.github.io/Logging_0883/kartor/A 46552-2022 karta.png", "A 46552-2022")</f>
        <v/>
      </c>
      <c r="V114">
        <f>HYPERLINK("https://klasma.github.io/Logging_0883/klagomål/A 46552-2022 FSC-klagomål.docx", "A 46552-2022")</f>
        <v/>
      </c>
      <c r="W114">
        <f>HYPERLINK("https://klasma.github.io/Logging_0883/klagomålsmail/A 46552-2022 FSC-klagomål mail.docx", "A 46552-2022")</f>
        <v/>
      </c>
      <c r="X114">
        <f>HYPERLINK("https://klasma.github.io/Logging_0883/tillsyn/A 46552-2022 tillsynsbegäran.docx", "A 46552-2022")</f>
        <v/>
      </c>
      <c r="Y114">
        <f>HYPERLINK("https://klasma.github.io/Logging_0883/tillsynsmail/A 46552-2022 tillsynsbegäran mail.docx", "A 46552-2022")</f>
        <v/>
      </c>
    </row>
    <row r="115" ht="15" customHeight="1">
      <c r="A115" t="inlineStr">
        <is>
          <t>A 38373-2022</t>
        </is>
      </c>
      <c r="B115" s="1" t="n">
        <v>44812</v>
      </c>
      <c r="C115" s="1" t="n">
        <v>45901</v>
      </c>
      <c r="D115" t="inlineStr">
        <is>
          <t>KALMAR LÄN</t>
        </is>
      </c>
      <c r="E115" t="inlineStr">
        <is>
          <t>VÄSTERVIK</t>
        </is>
      </c>
      <c r="G115" t="n">
        <v>3.1</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row>
    <row r="116" ht="15" customHeight="1">
      <c r="A116" t="inlineStr">
        <is>
          <t>A 62008-2023</t>
        </is>
      </c>
      <c r="B116" s="1" t="n">
        <v>45266</v>
      </c>
      <c r="C116" s="1" t="n">
        <v>45901</v>
      </c>
      <c r="D116" t="inlineStr">
        <is>
          <t>KALMAR LÄN</t>
        </is>
      </c>
      <c r="E116" t="inlineStr">
        <is>
          <t>VÄSTERVIK</t>
        </is>
      </c>
      <c r="G116" t="n">
        <v>4</v>
      </c>
      <c r="H116" t="n">
        <v>2</v>
      </c>
      <c r="I116" t="n">
        <v>0</v>
      </c>
      <c r="J116" t="n">
        <v>1</v>
      </c>
      <c r="K116" t="n">
        <v>1</v>
      </c>
      <c r="L116" t="n">
        <v>0</v>
      </c>
      <c r="M116" t="n">
        <v>0</v>
      </c>
      <c r="N116" t="n">
        <v>0</v>
      </c>
      <c r="O116" t="n">
        <v>2</v>
      </c>
      <c r="P116" t="n">
        <v>1</v>
      </c>
      <c r="Q116" t="n">
        <v>2</v>
      </c>
      <c r="R116" s="2" t="inlineStr">
        <is>
          <t>Knärot
Talltita</t>
        </is>
      </c>
      <c r="S116">
        <f>HYPERLINK("https://klasma.github.io/Logging_0883/artfynd/A 62008-2023 artfynd.xlsx", "A 62008-2023")</f>
        <v/>
      </c>
      <c r="T116">
        <f>HYPERLINK("https://klasma.github.io/Logging_0883/kartor/A 62008-2023 karta.png", "A 62008-2023")</f>
        <v/>
      </c>
      <c r="U116">
        <f>HYPERLINK("https://klasma.github.io/Logging_0883/knärot/A 62008-2023 karta knärot.png", "A 62008-2023")</f>
        <v/>
      </c>
      <c r="V116">
        <f>HYPERLINK("https://klasma.github.io/Logging_0883/klagomål/A 62008-2023 FSC-klagomål.docx", "A 62008-2023")</f>
        <v/>
      </c>
      <c r="W116">
        <f>HYPERLINK("https://klasma.github.io/Logging_0883/klagomålsmail/A 62008-2023 FSC-klagomål mail.docx", "A 62008-2023")</f>
        <v/>
      </c>
      <c r="X116">
        <f>HYPERLINK("https://klasma.github.io/Logging_0883/tillsyn/A 62008-2023 tillsynsbegäran.docx", "A 62008-2023")</f>
        <v/>
      </c>
      <c r="Y116">
        <f>HYPERLINK("https://klasma.github.io/Logging_0883/tillsynsmail/A 62008-2023 tillsynsbegäran mail.docx", "A 62008-2023")</f>
        <v/>
      </c>
      <c r="Z116">
        <f>HYPERLINK("https://klasma.github.io/Logging_0883/fåglar/A 62008-2023 prioriterade fågelarter.docx", "A 62008-2023")</f>
        <v/>
      </c>
    </row>
    <row r="117" ht="15" customHeight="1">
      <c r="A117" t="inlineStr">
        <is>
          <t>A 32649-2023</t>
        </is>
      </c>
      <c r="B117" s="1" t="n">
        <v>45121</v>
      </c>
      <c r="C117" s="1" t="n">
        <v>45901</v>
      </c>
      <c r="D117" t="inlineStr">
        <is>
          <t>KALMAR LÄN</t>
        </is>
      </c>
      <c r="E117" t="inlineStr">
        <is>
          <t>VÄSTERVIK</t>
        </is>
      </c>
      <c r="G117" t="n">
        <v>1.7</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32649-2023 artfynd.xlsx", "A 32649-2023")</f>
        <v/>
      </c>
      <c r="T117">
        <f>HYPERLINK("https://klasma.github.io/Logging_0883/kartor/A 32649-2023 karta.png", "A 32649-2023")</f>
        <v/>
      </c>
      <c r="U117">
        <f>HYPERLINK("https://klasma.github.io/Logging_0883/knärot/A 32649-2023 karta knärot.png", "A 32649-2023")</f>
        <v/>
      </c>
      <c r="V117">
        <f>HYPERLINK("https://klasma.github.io/Logging_0883/klagomål/A 32649-2023 FSC-klagomål.docx", "A 32649-2023")</f>
        <v/>
      </c>
      <c r="W117">
        <f>HYPERLINK("https://klasma.github.io/Logging_0883/klagomålsmail/A 32649-2023 FSC-klagomål mail.docx", "A 32649-2023")</f>
        <v/>
      </c>
      <c r="X117">
        <f>HYPERLINK("https://klasma.github.io/Logging_0883/tillsyn/A 32649-2023 tillsynsbegäran.docx", "A 32649-2023")</f>
        <v/>
      </c>
      <c r="Y117">
        <f>HYPERLINK("https://klasma.github.io/Logging_0883/tillsynsmail/A 32649-2023 tillsynsbegäran mail.docx", "A 32649-2023")</f>
        <v/>
      </c>
    </row>
    <row r="118" ht="15" customHeight="1">
      <c r="A118" t="inlineStr">
        <is>
          <t>A 41573-2024</t>
        </is>
      </c>
      <c r="B118" s="1" t="n">
        <v>45560.54628472222</v>
      </c>
      <c r="C118" s="1" t="n">
        <v>45901</v>
      </c>
      <c r="D118" t="inlineStr">
        <is>
          <t>KALMAR LÄN</t>
        </is>
      </c>
      <c r="E118" t="inlineStr">
        <is>
          <t>VÄSTERVIK</t>
        </is>
      </c>
      <c r="G118" t="n">
        <v>1.6</v>
      </c>
      <c r="H118" t="n">
        <v>1</v>
      </c>
      <c r="I118" t="n">
        <v>1</v>
      </c>
      <c r="J118" t="n">
        <v>0</v>
      </c>
      <c r="K118" t="n">
        <v>1</v>
      </c>
      <c r="L118" t="n">
        <v>0</v>
      </c>
      <c r="M118" t="n">
        <v>0</v>
      </c>
      <c r="N118" t="n">
        <v>0</v>
      </c>
      <c r="O118" t="n">
        <v>1</v>
      </c>
      <c r="P118" t="n">
        <v>1</v>
      </c>
      <c r="Q118" t="n">
        <v>2</v>
      </c>
      <c r="R118" s="2" t="inlineStr">
        <is>
          <t>Knärot
Blåmossa</t>
        </is>
      </c>
      <c r="S118">
        <f>HYPERLINK("https://klasma.github.io/Logging_0883/artfynd/A 41573-2024 artfynd.xlsx", "A 41573-2024")</f>
        <v/>
      </c>
      <c r="T118">
        <f>HYPERLINK("https://klasma.github.io/Logging_0883/kartor/A 41573-2024 karta.png", "A 41573-2024")</f>
        <v/>
      </c>
      <c r="U118">
        <f>HYPERLINK("https://klasma.github.io/Logging_0883/knärot/A 41573-2024 karta knärot.png", "A 41573-2024")</f>
        <v/>
      </c>
      <c r="V118">
        <f>HYPERLINK("https://klasma.github.io/Logging_0883/klagomål/A 41573-2024 FSC-klagomål.docx", "A 41573-2024")</f>
        <v/>
      </c>
      <c r="W118">
        <f>HYPERLINK("https://klasma.github.io/Logging_0883/klagomålsmail/A 41573-2024 FSC-klagomål mail.docx", "A 41573-2024")</f>
        <v/>
      </c>
      <c r="X118">
        <f>HYPERLINK("https://klasma.github.io/Logging_0883/tillsyn/A 41573-2024 tillsynsbegäran.docx", "A 41573-2024")</f>
        <v/>
      </c>
      <c r="Y118">
        <f>HYPERLINK("https://klasma.github.io/Logging_0883/tillsynsmail/A 41573-2024 tillsynsbegäran mail.docx", "A 41573-2024")</f>
        <v/>
      </c>
    </row>
    <row r="119" ht="15" customHeight="1">
      <c r="A119" t="inlineStr">
        <is>
          <t>A 51833-2021</t>
        </is>
      </c>
      <c r="B119" s="1" t="n">
        <v>44462</v>
      </c>
      <c r="C119" s="1" t="n">
        <v>45901</v>
      </c>
      <c r="D119" t="inlineStr">
        <is>
          <t>KALMAR LÄN</t>
        </is>
      </c>
      <c r="E119" t="inlineStr">
        <is>
          <t>VÄSTERVIK</t>
        </is>
      </c>
      <c r="G119" t="n">
        <v>4</v>
      </c>
      <c r="H119" t="n">
        <v>1</v>
      </c>
      <c r="I119" t="n">
        <v>0</v>
      </c>
      <c r="J119" t="n">
        <v>1</v>
      </c>
      <c r="K119" t="n">
        <v>0</v>
      </c>
      <c r="L119" t="n">
        <v>0</v>
      </c>
      <c r="M119" t="n">
        <v>0</v>
      </c>
      <c r="N119" t="n">
        <v>0</v>
      </c>
      <c r="O119" t="n">
        <v>1</v>
      </c>
      <c r="P119" t="n">
        <v>0</v>
      </c>
      <c r="Q119" t="n">
        <v>2</v>
      </c>
      <c r="R119" s="2" t="inlineStr">
        <is>
          <t>Motaggsvamp
Fläcknycklar</t>
        </is>
      </c>
      <c r="S119">
        <f>HYPERLINK("https://klasma.github.io/Logging_0883/artfynd/A 51833-2021 artfynd.xlsx", "A 51833-2021")</f>
        <v/>
      </c>
      <c r="T119">
        <f>HYPERLINK("https://klasma.github.io/Logging_0883/kartor/A 51833-2021 karta.png", "A 51833-2021")</f>
        <v/>
      </c>
      <c r="V119">
        <f>HYPERLINK("https://klasma.github.io/Logging_0883/klagomål/A 51833-2021 FSC-klagomål.docx", "A 51833-2021")</f>
        <v/>
      </c>
      <c r="W119">
        <f>HYPERLINK("https://klasma.github.io/Logging_0883/klagomålsmail/A 51833-2021 FSC-klagomål mail.docx", "A 51833-2021")</f>
        <v/>
      </c>
      <c r="X119">
        <f>HYPERLINK("https://klasma.github.io/Logging_0883/tillsyn/A 51833-2021 tillsynsbegäran.docx", "A 51833-2021")</f>
        <v/>
      </c>
      <c r="Y119">
        <f>HYPERLINK("https://klasma.github.io/Logging_0883/tillsynsmail/A 51833-2021 tillsynsbegäran mail.docx", "A 51833-2021")</f>
        <v/>
      </c>
    </row>
    <row r="120" ht="15" customHeight="1">
      <c r="A120" t="inlineStr">
        <is>
          <t>A 3182-2025</t>
        </is>
      </c>
      <c r="B120" s="1" t="n">
        <v>45679</v>
      </c>
      <c r="C120" s="1" t="n">
        <v>45901</v>
      </c>
      <c r="D120" t="inlineStr">
        <is>
          <t>KALMAR LÄN</t>
        </is>
      </c>
      <c r="E120" t="inlineStr">
        <is>
          <t>VÄSTERVIK</t>
        </is>
      </c>
      <c r="G120" t="n">
        <v>1.2</v>
      </c>
      <c r="H120" t="n">
        <v>2</v>
      </c>
      <c r="I120" t="n">
        <v>0</v>
      </c>
      <c r="J120" t="n">
        <v>1</v>
      </c>
      <c r="K120" t="n">
        <v>1</v>
      </c>
      <c r="L120" t="n">
        <v>0</v>
      </c>
      <c r="M120" t="n">
        <v>0</v>
      </c>
      <c r="N120" t="n">
        <v>0</v>
      </c>
      <c r="O120" t="n">
        <v>2</v>
      </c>
      <c r="P120" t="n">
        <v>1</v>
      </c>
      <c r="Q120" t="n">
        <v>2</v>
      </c>
      <c r="R120" s="2" t="inlineStr">
        <is>
          <t>Knärot
Spillkråka</t>
        </is>
      </c>
      <c r="S120">
        <f>HYPERLINK("https://klasma.github.io/Logging_0883/artfynd/A 3182-2025 artfynd.xlsx", "A 3182-2025")</f>
        <v/>
      </c>
      <c r="T120">
        <f>HYPERLINK("https://klasma.github.io/Logging_0883/kartor/A 3182-2025 karta.png", "A 3182-2025")</f>
        <v/>
      </c>
      <c r="U120">
        <f>HYPERLINK("https://klasma.github.io/Logging_0883/knärot/A 3182-2025 karta knärot.png", "A 3182-2025")</f>
        <v/>
      </c>
      <c r="V120">
        <f>HYPERLINK("https://klasma.github.io/Logging_0883/klagomål/A 3182-2025 FSC-klagomål.docx", "A 3182-2025")</f>
        <v/>
      </c>
      <c r="W120">
        <f>HYPERLINK("https://klasma.github.io/Logging_0883/klagomålsmail/A 3182-2025 FSC-klagomål mail.docx", "A 3182-2025")</f>
        <v/>
      </c>
      <c r="X120">
        <f>HYPERLINK("https://klasma.github.io/Logging_0883/tillsyn/A 3182-2025 tillsynsbegäran.docx", "A 3182-2025")</f>
        <v/>
      </c>
      <c r="Y120">
        <f>HYPERLINK("https://klasma.github.io/Logging_0883/tillsynsmail/A 3182-2025 tillsynsbegäran mail.docx", "A 3182-2025")</f>
        <v/>
      </c>
      <c r="Z120">
        <f>HYPERLINK("https://klasma.github.io/Logging_0883/fåglar/A 3182-2025 prioriterade fågelarter.docx", "A 3182-2025")</f>
        <v/>
      </c>
    </row>
    <row r="121" ht="15" customHeight="1">
      <c r="A121" t="inlineStr">
        <is>
          <t>A 46787-2022</t>
        </is>
      </c>
      <c r="B121" s="1" t="n">
        <v>44851</v>
      </c>
      <c r="C121" s="1" t="n">
        <v>45901</v>
      </c>
      <c r="D121" t="inlineStr">
        <is>
          <t>KALMAR LÄN</t>
        </is>
      </c>
      <c r="E121" t="inlineStr">
        <is>
          <t>VÄSTERVIK</t>
        </is>
      </c>
      <c r="G121" t="n">
        <v>4.4</v>
      </c>
      <c r="H121" t="n">
        <v>0</v>
      </c>
      <c r="I121" t="n">
        <v>0</v>
      </c>
      <c r="J121" t="n">
        <v>2</v>
      </c>
      <c r="K121" t="n">
        <v>0</v>
      </c>
      <c r="L121" t="n">
        <v>0</v>
      </c>
      <c r="M121" t="n">
        <v>0</v>
      </c>
      <c r="N121" t="n">
        <v>0</v>
      </c>
      <c r="O121" t="n">
        <v>2</v>
      </c>
      <c r="P121" t="n">
        <v>0</v>
      </c>
      <c r="Q121" t="n">
        <v>2</v>
      </c>
      <c r="R121" s="2" t="inlineStr">
        <is>
          <t>Motaggsvamp
Tallticka</t>
        </is>
      </c>
      <c r="S121">
        <f>HYPERLINK("https://klasma.github.io/Logging_0883/artfynd/A 46787-2022 artfynd.xlsx", "A 46787-2022")</f>
        <v/>
      </c>
      <c r="T121">
        <f>HYPERLINK("https://klasma.github.io/Logging_0883/kartor/A 46787-2022 karta.png", "A 46787-2022")</f>
        <v/>
      </c>
      <c r="V121">
        <f>HYPERLINK("https://klasma.github.io/Logging_0883/klagomål/A 46787-2022 FSC-klagomål.docx", "A 46787-2022")</f>
        <v/>
      </c>
      <c r="W121">
        <f>HYPERLINK("https://klasma.github.io/Logging_0883/klagomålsmail/A 46787-2022 FSC-klagomål mail.docx", "A 46787-2022")</f>
        <v/>
      </c>
      <c r="X121">
        <f>HYPERLINK("https://klasma.github.io/Logging_0883/tillsyn/A 46787-2022 tillsynsbegäran.docx", "A 46787-2022")</f>
        <v/>
      </c>
      <c r="Y121">
        <f>HYPERLINK("https://klasma.github.io/Logging_0883/tillsynsmail/A 46787-2022 tillsynsbegäran mail.docx", "A 46787-2022")</f>
        <v/>
      </c>
    </row>
    <row r="122" ht="15" customHeight="1">
      <c r="A122" t="inlineStr">
        <is>
          <t>A 61804-2023</t>
        </is>
      </c>
      <c r="B122" s="1" t="n">
        <v>45266</v>
      </c>
      <c r="C122" s="1" t="n">
        <v>45901</v>
      </c>
      <c r="D122" t="inlineStr">
        <is>
          <t>KALMAR LÄN</t>
        </is>
      </c>
      <c r="E122" t="inlineStr">
        <is>
          <t>VÄSTERVIK</t>
        </is>
      </c>
      <c r="G122" t="n">
        <v>2.3</v>
      </c>
      <c r="H122" t="n">
        <v>0</v>
      </c>
      <c r="I122" t="n">
        <v>0</v>
      </c>
      <c r="J122" t="n">
        <v>2</v>
      </c>
      <c r="K122" t="n">
        <v>0</v>
      </c>
      <c r="L122" t="n">
        <v>0</v>
      </c>
      <c r="M122" t="n">
        <v>0</v>
      </c>
      <c r="N122" t="n">
        <v>0</v>
      </c>
      <c r="O122" t="n">
        <v>2</v>
      </c>
      <c r="P122" t="n">
        <v>0</v>
      </c>
      <c r="Q122" t="n">
        <v>2</v>
      </c>
      <c r="R122" s="2" t="inlineStr">
        <is>
          <t>Bredbrämad bastardsvärmare
Smalsprötad bastardsvärmare</t>
        </is>
      </c>
      <c r="S122">
        <f>HYPERLINK("https://klasma.github.io/Logging_0883/artfynd/A 61804-2023 artfynd.xlsx", "A 61804-2023")</f>
        <v/>
      </c>
      <c r="T122">
        <f>HYPERLINK("https://klasma.github.io/Logging_0883/kartor/A 61804-2023 karta.png", "A 61804-2023")</f>
        <v/>
      </c>
      <c r="V122">
        <f>HYPERLINK("https://klasma.github.io/Logging_0883/klagomål/A 61804-2023 FSC-klagomål.docx", "A 61804-2023")</f>
        <v/>
      </c>
      <c r="W122">
        <f>HYPERLINK("https://klasma.github.io/Logging_0883/klagomålsmail/A 61804-2023 FSC-klagomål mail.docx", "A 61804-2023")</f>
        <v/>
      </c>
      <c r="X122">
        <f>HYPERLINK("https://klasma.github.io/Logging_0883/tillsyn/A 61804-2023 tillsynsbegäran.docx", "A 61804-2023")</f>
        <v/>
      </c>
      <c r="Y122">
        <f>HYPERLINK("https://klasma.github.io/Logging_0883/tillsynsmail/A 61804-2023 tillsynsbegäran mail.docx", "A 61804-2023")</f>
        <v/>
      </c>
    </row>
    <row r="123" ht="15" customHeight="1">
      <c r="A123" t="inlineStr">
        <is>
          <t>A 3264-2024</t>
        </is>
      </c>
      <c r="B123" s="1" t="n">
        <v>45317</v>
      </c>
      <c r="C123" s="1" t="n">
        <v>45901</v>
      </c>
      <c r="D123" t="inlineStr">
        <is>
          <t>KALMAR LÄN</t>
        </is>
      </c>
      <c r="E123" t="inlineStr">
        <is>
          <t>VÄSTERVIK</t>
        </is>
      </c>
      <c r="G123" t="n">
        <v>6.5</v>
      </c>
      <c r="H123" t="n">
        <v>1</v>
      </c>
      <c r="I123" t="n">
        <v>1</v>
      </c>
      <c r="J123" t="n">
        <v>1</v>
      </c>
      <c r="K123" t="n">
        <v>0</v>
      </c>
      <c r="L123" t="n">
        <v>0</v>
      </c>
      <c r="M123" t="n">
        <v>0</v>
      </c>
      <c r="N123" t="n">
        <v>0</v>
      </c>
      <c r="O123" t="n">
        <v>1</v>
      </c>
      <c r="P123" t="n">
        <v>0</v>
      </c>
      <c r="Q123" t="n">
        <v>2</v>
      </c>
      <c r="R123" s="2" t="inlineStr">
        <is>
          <t>Spillkråka
Blåmossa</t>
        </is>
      </c>
      <c r="S123">
        <f>HYPERLINK("https://klasma.github.io/Logging_0883/artfynd/A 3264-2024 artfynd.xlsx", "A 3264-2024")</f>
        <v/>
      </c>
      <c r="T123">
        <f>HYPERLINK("https://klasma.github.io/Logging_0883/kartor/A 3264-2024 karta.png", "A 3264-2024")</f>
        <v/>
      </c>
      <c r="V123">
        <f>HYPERLINK("https://klasma.github.io/Logging_0883/klagomål/A 3264-2024 FSC-klagomål.docx", "A 3264-2024")</f>
        <v/>
      </c>
      <c r="W123">
        <f>HYPERLINK("https://klasma.github.io/Logging_0883/klagomålsmail/A 3264-2024 FSC-klagomål mail.docx", "A 3264-2024")</f>
        <v/>
      </c>
      <c r="X123">
        <f>HYPERLINK("https://klasma.github.io/Logging_0883/tillsyn/A 3264-2024 tillsynsbegäran.docx", "A 3264-2024")</f>
        <v/>
      </c>
      <c r="Y123">
        <f>HYPERLINK("https://klasma.github.io/Logging_0883/tillsynsmail/A 3264-2024 tillsynsbegäran mail.docx", "A 3264-2024")</f>
        <v/>
      </c>
      <c r="Z123">
        <f>HYPERLINK("https://klasma.github.io/Logging_0883/fåglar/A 3264-2024 prioriterade fågelarter.docx", "A 3264-2024")</f>
        <v/>
      </c>
    </row>
    <row r="124" ht="15" customHeight="1">
      <c r="A124" t="inlineStr">
        <is>
          <t>A 2126-2024</t>
        </is>
      </c>
      <c r="B124" s="1" t="n">
        <v>45309</v>
      </c>
      <c r="C124" s="1" t="n">
        <v>45901</v>
      </c>
      <c r="D124" t="inlineStr">
        <is>
          <t>KALMAR LÄN</t>
        </is>
      </c>
      <c r="E124" t="inlineStr">
        <is>
          <t>VÄSTERVIK</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2126-2024 artfynd.xlsx", "A 2126-2024")</f>
        <v/>
      </c>
      <c r="T124">
        <f>HYPERLINK("https://klasma.github.io/Logging_0883/kartor/A 2126-2024 karta.png", "A 2126-2024")</f>
        <v/>
      </c>
      <c r="U124">
        <f>HYPERLINK("https://klasma.github.io/Logging_0883/knärot/A 2126-2024 karta knärot.png", "A 2126-2024")</f>
        <v/>
      </c>
      <c r="V124">
        <f>HYPERLINK("https://klasma.github.io/Logging_0883/klagomål/A 2126-2024 FSC-klagomål.docx", "A 2126-2024")</f>
        <v/>
      </c>
      <c r="W124">
        <f>HYPERLINK("https://klasma.github.io/Logging_0883/klagomålsmail/A 2126-2024 FSC-klagomål mail.docx", "A 2126-2024")</f>
        <v/>
      </c>
      <c r="X124">
        <f>HYPERLINK("https://klasma.github.io/Logging_0883/tillsyn/A 2126-2024 tillsynsbegäran.docx", "A 2126-2024")</f>
        <v/>
      </c>
      <c r="Y124">
        <f>HYPERLINK("https://klasma.github.io/Logging_0883/tillsynsmail/A 2126-2024 tillsynsbegäran mail.docx", "A 2126-2024")</f>
        <v/>
      </c>
      <c r="Z124">
        <f>HYPERLINK("https://klasma.github.io/Logging_0883/fåglar/A 2126-2024 prioriterade fågelarter.docx", "A 2126-2024")</f>
        <v/>
      </c>
    </row>
    <row r="125" ht="15" customHeight="1">
      <c r="A125" t="inlineStr">
        <is>
          <t>A 26992-2024</t>
        </is>
      </c>
      <c r="B125" s="1" t="n">
        <v>45471</v>
      </c>
      <c r="C125" s="1" t="n">
        <v>45901</v>
      </c>
      <c r="D125" t="inlineStr">
        <is>
          <t>KALMAR LÄN</t>
        </is>
      </c>
      <c r="E125" t="inlineStr">
        <is>
          <t>VÄSTERVIK</t>
        </is>
      </c>
      <c r="F125" t="inlineStr">
        <is>
          <t>Holmen skog AB</t>
        </is>
      </c>
      <c r="G125" t="n">
        <v>4.6</v>
      </c>
      <c r="H125" t="n">
        <v>2</v>
      </c>
      <c r="I125" t="n">
        <v>0</v>
      </c>
      <c r="J125" t="n">
        <v>2</v>
      </c>
      <c r="K125" t="n">
        <v>0</v>
      </c>
      <c r="L125" t="n">
        <v>0</v>
      </c>
      <c r="M125" t="n">
        <v>0</v>
      </c>
      <c r="N125" t="n">
        <v>0</v>
      </c>
      <c r="O125" t="n">
        <v>2</v>
      </c>
      <c r="P125" t="n">
        <v>0</v>
      </c>
      <c r="Q125" t="n">
        <v>2</v>
      </c>
      <c r="R125" s="2" t="inlineStr">
        <is>
          <t>Mindre hackspett
Talltita</t>
        </is>
      </c>
      <c r="S125">
        <f>HYPERLINK("https://klasma.github.io/Logging_0883/artfynd/A 26992-2024 artfynd.xlsx", "A 26992-2024")</f>
        <v/>
      </c>
      <c r="T125">
        <f>HYPERLINK("https://klasma.github.io/Logging_0883/kartor/A 26992-2024 karta.png", "A 26992-2024")</f>
        <v/>
      </c>
      <c r="V125">
        <f>HYPERLINK("https://klasma.github.io/Logging_0883/klagomål/A 26992-2024 FSC-klagomål.docx", "A 26992-2024")</f>
        <v/>
      </c>
      <c r="W125">
        <f>HYPERLINK("https://klasma.github.io/Logging_0883/klagomålsmail/A 26992-2024 FSC-klagomål mail.docx", "A 26992-2024")</f>
        <v/>
      </c>
      <c r="X125">
        <f>HYPERLINK("https://klasma.github.io/Logging_0883/tillsyn/A 26992-2024 tillsynsbegäran.docx", "A 26992-2024")</f>
        <v/>
      </c>
      <c r="Y125">
        <f>HYPERLINK("https://klasma.github.io/Logging_0883/tillsynsmail/A 26992-2024 tillsynsbegäran mail.docx", "A 26992-2024")</f>
        <v/>
      </c>
      <c r="Z125">
        <f>HYPERLINK("https://klasma.github.io/Logging_0883/fåglar/A 26992-2024 prioriterade fågelarter.docx", "A 26992-2024")</f>
        <v/>
      </c>
    </row>
    <row r="126" ht="15" customHeight="1">
      <c r="A126" t="inlineStr">
        <is>
          <t>A 37106-2024</t>
        </is>
      </c>
      <c r="B126" s="1" t="n">
        <v>45539.51238425926</v>
      </c>
      <c r="C126" s="1" t="n">
        <v>45901</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3173-2023</t>
        </is>
      </c>
      <c r="B127" s="1" t="n">
        <v>44946</v>
      </c>
      <c r="C127" s="1" t="n">
        <v>45901</v>
      </c>
      <c r="D127" t="inlineStr">
        <is>
          <t>KALMAR LÄN</t>
        </is>
      </c>
      <c r="E127" t="inlineStr">
        <is>
          <t>VÄSTERVIK</t>
        </is>
      </c>
      <c r="G127" t="n">
        <v>4</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3173-2023 artfynd.xlsx", "A 3173-2023")</f>
        <v/>
      </c>
      <c r="T127">
        <f>HYPERLINK("https://klasma.github.io/Logging_0883/kartor/A 3173-2023 karta.png", "A 3173-2023")</f>
        <v/>
      </c>
      <c r="U127">
        <f>HYPERLINK("https://klasma.github.io/Logging_0883/knärot/A 3173-2023 karta knärot.png", "A 3173-2023")</f>
        <v/>
      </c>
      <c r="V127">
        <f>HYPERLINK("https://klasma.github.io/Logging_0883/klagomål/A 3173-2023 FSC-klagomål.docx", "A 3173-2023")</f>
        <v/>
      </c>
      <c r="W127">
        <f>HYPERLINK("https://klasma.github.io/Logging_0883/klagomålsmail/A 3173-2023 FSC-klagomål mail.docx", "A 3173-2023")</f>
        <v/>
      </c>
      <c r="X127">
        <f>HYPERLINK("https://klasma.github.io/Logging_0883/tillsyn/A 3173-2023 tillsynsbegäran.docx", "A 3173-2023")</f>
        <v/>
      </c>
      <c r="Y127">
        <f>HYPERLINK("https://klasma.github.io/Logging_0883/tillsynsmail/A 3173-2023 tillsynsbegäran mail.docx", "A 3173-2023")</f>
        <v/>
      </c>
    </row>
    <row r="128" ht="15" customHeight="1">
      <c r="A128" t="inlineStr">
        <is>
          <t>A 28401-2024</t>
        </is>
      </c>
      <c r="B128" s="1" t="n">
        <v>45477</v>
      </c>
      <c r="C128" s="1" t="n">
        <v>45901</v>
      </c>
      <c r="D128" t="inlineStr">
        <is>
          <t>KALMAR LÄN</t>
        </is>
      </c>
      <c r="E128" t="inlineStr">
        <is>
          <t>VÄSTERVIK</t>
        </is>
      </c>
      <c r="F128" t="inlineStr">
        <is>
          <t>Holmen skog AB</t>
        </is>
      </c>
      <c r="G128" t="n">
        <v>2.4</v>
      </c>
      <c r="H128" t="n">
        <v>2</v>
      </c>
      <c r="I128" t="n">
        <v>0</v>
      </c>
      <c r="J128" t="n">
        <v>1</v>
      </c>
      <c r="K128" t="n">
        <v>0</v>
      </c>
      <c r="L128" t="n">
        <v>0</v>
      </c>
      <c r="M128" t="n">
        <v>0</v>
      </c>
      <c r="N128" t="n">
        <v>0</v>
      </c>
      <c r="O128" t="n">
        <v>1</v>
      </c>
      <c r="P128" t="n">
        <v>0</v>
      </c>
      <c r="Q128" t="n">
        <v>2</v>
      </c>
      <c r="R128" s="2" t="inlineStr">
        <is>
          <t>Talltita
Revlummer</t>
        </is>
      </c>
      <c r="S128">
        <f>HYPERLINK("https://klasma.github.io/Logging_0883/artfynd/A 28401-2024 artfynd.xlsx", "A 28401-2024")</f>
        <v/>
      </c>
      <c r="T128">
        <f>HYPERLINK("https://klasma.github.io/Logging_0883/kartor/A 28401-2024 karta.png", "A 28401-2024")</f>
        <v/>
      </c>
      <c r="V128">
        <f>HYPERLINK("https://klasma.github.io/Logging_0883/klagomål/A 28401-2024 FSC-klagomål.docx", "A 28401-2024")</f>
        <v/>
      </c>
      <c r="W128">
        <f>HYPERLINK("https://klasma.github.io/Logging_0883/klagomålsmail/A 28401-2024 FSC-klagomål mail.docx", "A 28401-2024")</f>
        <v/>
      </c>
      <c r="X128">
        <f>HYPERLINK("https://klasma.github.io/Logging_0883/tillsyn/A 28401-2024 tillsynsbegäran.docx", "A 28401-2024")</f>
        <v/>
      </c>
      <c r="Y128">
        <f>HYPERLINK("https://klasma.github.io/Logging_0883/tillsynsmail/A 28401-2024 tillsynsbegäran mail.docx", "A 28401-2024")</f>
        <v/>
      </c>
      <c r="Z128">
        <f>HYPERLINK("https://klasma.github.io/Logging_0883/fåglar/A 28401-2024 prioriterade fågelarter.docx", "A 28401-2024")</f>
        <v/>
      </c>
    </row>
    <row r="129" ht="15" customHeight="1">
      <c r="A129" t="inlineStr">
        <is>
          <t>A 9040-2023</t>
        </is>
      </c>
      <c r="B129" s="1" t="n">
        <v>44979</v>
      </c>
      <c r="C129" s="1" t="n">
        <v>45901</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2950-2025</t>
        </is>
      </c>
      <c r="B130" s="1" t="n">
        <v>45678</v>
      </c>
      <c r="C130" s="1" t="n">
        <v>45901</v>
      </c>
      <c r="D130" t="inlineStr">
        <is>
          <t>KALMAR LÄN</t>
        </is>
      </c>
      <c r="E130" t="inlineStr">
        <is>
          <t>VÄSTERVIK</t>
        </is>
      </c>
      <c r="G130" t="n">
        <v>6.1</v>
      </c>
      <c r="H130" t="n">
        <v>1</v>
      </c>
      <c r="I130" t="n">
        <v>1</v>
      </c>
      <c r="J130" t="n">
        <v>0</v>
      </c>
      <c r="K130" t="n">
        <v>1</v>
      </c>
      <c r="L130" t="n">
        <v>0</v>
      </c>
      <c r="M130" t="n">
        <v>0</v>
      </c>
      <c r="N130" t="n">
        <v>0</v>
      </c>
      <c r="O130" t="n">
        <v>1</v>
      </c>
      <c r="P130" t="n">
        <v>1</v>
      </c>
      <c r="Q130" t="n">
        <v>2</v>
      </c>
      <c r="R130" s="2" t="inlineStr">
        <is>
          <t>Knärot
Grovticka</t>
        </is>
      </c>
      <c r="S130">
        <f>HYPERLINK("https://klasma.github.io/Logging_0883/artfynd/A 2950-2025 artfynd.xlsx", "A 2950-2025")</f>
        <v/>
      </c>
      <c r="T130">
        <f>HYPERLINK("https://klasma.github.io/Logging_0883/kartor/A 2950-2025 karta.png", "A 2950-2025")</f>
        <v/>
      </c>
      <c r="U130">
        <f>HYPERLINK("https://klasma.github.io/Logging_0883/knärot/A 2950-2025 karta knärot.png", "A 2950-2025")</f>
        <v/>
      </c>
      <c r="V130">
        <f>HYPERLINK("https://klasma.github.io/Logging_0883/klagomål/A 2950-2025 FSC-klagomål.docx", "A 2950-2025")</f>
        <v/>
      </c>
      <c r="W130">
        <f>HYPERLINK("https://klasma.github.io/Logging_0883/klagomålsmail/A 2950-2025 FSC-klagomål mail.docx", "A 2950-2025")</f>
        <v/>
      </c>
      <c r="X130">
        <f>HYPERLINK("https://klasma.github.io/Logging_0883/tillsyn/A 2950-2025 tillsynsbegäran.docx", "A 2950-2025")</f>
        <v/>
      </c>
      <c r="Y130">
        <f>HYPERLINK("https://klasma.github.io/Logging_0883/tillsynsmail/A 2950-2025 tillsynsbegäran mail.docx", "A 2950-2025")</f>
        <v/>
      </c>
    </row>
    <row r="131" ht="15" customHeight="1">
      <c r="A131" t="inlineStr">
        <is>
          <t>A 72945-2021</t>
        </is>
      </c>
      <c r="B131" s="1" t="n">
        <v>44547.90868055556</v>
      </c>
      <c r="C131" s="1" t="n">
        <v>45901</v>
      </c>
      <c r="D131" t="inlineStr">
        <is>
          <t>KALMAR LÄN</t>
        </is>
      </c>
      <c r="E131" t="inlineStr">
        <is>
          <t>VÄSTERVIK</t>
        </is>
      </c>
      <c r="G131" t="n">
        <v>1.6</v>
      </c>
      <c r="H131" t="n">
        <v>0</v>
      </c>
      <c r="I131" t="n">
        <v>1</v>
      </c>
      <c r="J131" t="n">
        <v>1</v>
      </c>
      <c r="K131" t="n">
        <v>0</v>
      </c>
      <c r="L131" t="n">
        <v>0</v>
      </c>
      <c r="M131" t="n">
        <v>0</v>
      </c>
      <c r="N131" t="n">
        <v>0</v>
      </c>
      <c r="O131" t="n">
        <v>1</v>
      </c>
      <c r="P131" t="n">
        <v>0</v>
      </c>
      <c r="Q131" t="n">
        <v>2</v>
      </c>
      <c r="R131" s="2" t="inlineStr">
        <is>
          <t>Veckticka
Rävticka</t>
        </is>
      </c>
      <c r="S131">
        <f>HYPERLINK("https://klasma.github.io/Logging_0883/artfynd/A 72945-2021 artfynd.xlsx", "A 72945-2021")</f>
        <v/>
      </c>
      <c r="T131">
        <f>HYPERLINK("https://klasma.github.io/Logging_0883/kartor/A 72945-2021 karta.png", "A 72945-2021")</f>
        <v/>
      </c>
      <c r="V131">
        <f>HYPERLINK("https://klasma.github.io/Logging_0883/klagomål/A 72945-2021 FSC-klagomål.docx", "A 72945-2021")</f>
        <v/>
      </c>
      <c r="W131">
        <f>HYPERLINK("https://klasma.github.io/Logging_0883/klagomålsmail/A 72945-2021 FSC-klagomål mail.docx", "A 72945-2021")</f>
        <v/>
      </c>
      <c r="X131">
        <f>HYPERLINK("https://klasma.github.io/Logging_0883/tillsyn/A 72945-2021 tillsynsbegäran.docx", "A 72945-2021")</f>
        <v/>
      </c>
      <c r="Y131">
        <f>HYPERLINK("https://klasma.github.io/Logging_0883/tillsynsmail/A 72945-2021 tillsynsbegäran mail.docx", "A 72945-2021")</f>
        <v/>
      </c>
    </row>
    <row r="132" ht="15" customHeight="1">
      <c r="A132" t="inlineStr">
        <is>
          <t>A 62003-2022</t>
        </is>
      </c>
      <c r="B132" s="1" t="n">
        <v>44918</v>
      </c>
      <c r="C132" s="1" t="n">
        <v>45901</v>
      </c>
      <c r="D132" t="inlineStr">
        <is>
          <t>KALMAR LÄN</t>
        </is>
      </c>
      <c r="E132" t="inlineStr">
        <is>
          <t>VÄSTERVIK</t>
        </is>
      </c>
      <c r="G132" t="n">
        <v>6.2</v>
      </c>
      <c r="H132" t="n">
        <v>1</v>
      </c>
      <c r="I132" t="n">
        <v>0</v>
      </c>
      <c r="J132" t="n">
        <v>1</v>
      </c>
      <c r="K132" t="n">
        <v>1</v>
      </c>
      <c r="L132" t="n">
        <v>0</v>
      </c>
      <c r="M132" t="n">
        <v>0</v>
      </c>
      <c r="N132" t="n">
        <v>0</v>
      </c>
      <c r="O132" t="n">
        <v>2</v>
      </c>
      <c r="P132" t="n">
        <v>1</v>
      </c>
      <c r="Q132" t="n">
        <v>2</v>
      </c>
      <c r="R132" s="2" t="inlineStr">
        <is>
          <t>Knärot
Linmåra/småsnärjmåra</t>
        </is>
      </c>
      <c r="S132">
        <f>HYPERLINK("https://klasma.github.io/Logging_0883/artfynd/A 62003-2022 artfynd.xlsx", "A 62003-2022")</f>
        <v/>
      </c>
      <c r="T132">
        <f>HYPERLINK("https://klasma.github.io/Logging_0883/kartor/A 62003-2022 karta.png", "A 62003-2022")</f>
        <v/>
      </c>
      <c r="U132">
        <f>HYPERLINK("https://klasma.github.io/Logging_0883/knärot/A 62003-2022 karta knärot.png", "A 62003-2022")</f>
        <v/>
      </c>
      <c r="V132">
        <f>HYPERLINK("https://klasma.github.io/Logging_0883/klagomål/A 62003-2022 FSC-klagomål.docx", "A 62003-2022")</f>
        <v/>
      </c>
      <c r="W132">
        <f>HYPERLINK("https://klasma.github.io/Logging_0883/klagomålsmail/A 62003-2022 FSC-klagomål mail.docx", "A 62003-2022")</f>
        <v/>
      </c>
      <c r="X132">
        <f>HYPERLINK("https://klasma.github.io/Logging_0883/tillsyn/A 62003-2022 tillsynsbegäran.docx", "A 62003-2022")</f>
        <v/>
      </c>
      <c r="Y132">
        <f>HYPERLINK("https://klasma.github.io/Logging_0883/tillsynsmail/A 62003-2022 tillsynsbegäran mail.docx", "A 62003-2022")</f>
        <v/>
      </c>
    </row>
    <row r="133" ht="15" customHeight="1">
      <c r="A133" t="inlineStr">
        <is>
          <t>A 40331-2024</t>
        </is>
      </c>
      <c r="B133" s="1" t="n">
        <v>45555.31039351852</v>
      </c>
      <c r="C133" s="1" t="n">
        <v>45901</v>
      </c>
      <c r="D133" t="inlineStr">
        <is>
          <t>KALMAR LÄN</t>
        </is>
      </c>
      <c r="E133" t="inlineStr">
        <is>
          <t>VÄSTERVIK</t>
        </is>
      </c>
      <c r="G133" t="n">
        <v>1.5</v>
      </c>
      <c r="H133" t="n">
        <v>1</v>
      </c>
      <c r="I133" t="n">
        <v>1</v>
      </c>
      <c r="J133" t="n">
        <v>0</v>
      </c>
      <c r="K133" t="n">
        <v>0</v>
      </c>
      <c r="L133" t="n">
        <v>0</v>
      </c>
      <c r="M133" t="n">
        <v>0</v>
      </c>
      <c r="N133" t="n">
        <v>0</v>
      </c>
      <c r="O133" t="n">
        <v>0</v>
      </c>
      <c r="P133" t="n">
        <v>0</v>
      </c>
      <c r="Q133" t="n">
        <v>2</v>
      </c>
      <c r="R133" s="2" t="inlineStr">
        <is>
          <t>Murgröna
Blåsippa</t>
        </is>
      </c>
      <c r="S133">
        <f>HYPERLINK("https://klasma.github.io/Logging_0883/artfynd/A 40331-2024 artfynd.xlsx", "A 40331-2024")</f>
        <v/>
      </c>
      <c r="T133">
        <f>HYPERLINK("https://klasma.github.io/Logging_0883/kartor/A 40331-2024 karta.png", "A 40331-2024")</f>
        <v/>
      </c>
      <c r="V133">
        <f>HYPERLINK("https://klasma.github.io/Logging_0883/klagomål/A 40331-2024 FSC-klagomål.docx", "A 40331-2024")</f>
        <v/>
      </c>
      <c r="W133">
        <f>HYPERLINK("https://klasma.github.io/Logging_0883/klagomålsmail/A 40331-2024 FSC-klagomål mail.docx", "A 40331-2024")</f>
        <v/>
      </c>
      <c r="X133">
        <f>HYPERLINK("https://klasma.github.io/Logging_0883/tillsyn/A 40331-2024 tillsynsbegäran.docx", "A 40331-2024")</f>
        <v/>
      </c>
      <c r="Y133">
        <f>HYPERLINK("https://klasma.github.io/Logging_0883/tillsynsmail/A 40331-2024 tillsynsbegäran mail.docx", "A 40331-2024")</f>
        <v/>
      </c>
    </row>
    <row r="134" ht="15" customHeight="1">
      <c r="A134" t="inlineStr">
        <is>
          <t>A 1767-2025</t>
        </is>
      </c>
      <c r="B134" s="1" t="n">
        <v>45671</v>
      </c>
      <c r="C134" s="1" t="n">
        <v>45901</v>
      </c>
      <c r="D134" t="inlineStr">
        <is>
          <t>KALMAR LÄN</t>
        </is>
      </c>
      <c r="E134" t="inlineStr">
        <is>
          <t>VÄSTERVIK</t>
        </is>
      </c>
      <c r="G134" t="n">
        <v>1.4</v>
      </c>
      <c r="H134" t="n">
        <v>1</v>
      </c>
      <c r="I134" t="n">
        <v>0</v>
      </c>
      <c r="J134" t="n">
        <v>2</v>
      </c>
      <c r="K134" t="n">
        <v>0</v>
      </c>
      <c r="L134" t="n">
        <v>0</v>
      </c>
      <c r="M134" t="n">
        <v>0</v>
      </c>
      <c r="N134" t="n">
        <v>0</v>
      </c>
      <c r="O134" t="n">
        <v>2</v>
      </c>
      <c r="P134" t="n">
        <v>0</v>
      </c>
      <c r="Q134" t="n">
        <v>2</v>
      </c>
      <c r="R134" s="2" t="inlineStr">
        <is>
          <t>Garnlav
Spillkråka</t>
        </is>
      </c>
      <c r="S134">
        <f>HYPERLINK("https://klasma.github.io/Logging_0883/artfynd/A 1767-2025 artfynd.xlsx", "A 1767-2025")</f>
        <v/>
      </c>
      <c r="T134">
        <f>HYPERLINK("https://klasma.github.io/Logging_0883/kartor/A 1767-2025 karta.png", "A 1767-2025")</f>
        <v/>
      </c>
      <c r="U134">
        <f>HYPERLINK("https://klasma.github.io/Logging_0883/knärot/A 1767-2025 karta knärot.png", "A 1767-2025")</f>
        <v/>
      </c>
      <c r="V134">
        <f>HYPERLINK("https://klasma.github.io/Logging_0883/klagomål/A 1767-2025 FSC-klagomål.docx", "A 1767-2025")</f>
        <v/>
      </c>
      <c r="W134">
        <f>HYPERLINK("https://klasma.github.io/Logging_0883/klagomålsmail/A 1767-2025 FSC-klagomål mail.docx", "A 1767-2025")</f>
        <v/>
      </c>
      <c r="X134">
        <f>HYPERLINK("https://klasma.github.io/Logging_0883/tillsyn/A 1767-2025 tillsynsbegäran.docx", "A 1767-2025")</f>
        <v/>
      </c>
      <c r="Y134">
        <f>HYPERLINK("https://klasma.github.io/Logging_0883/tillsynsmail/A 1767-2025 tillsynsbegäran mail.docx", "A 1767-2025")</f>
        <v/>
      </c>
      <c r="Z134">
        <f>HYPERLINK("https://klasma.github.io/Logging_0883/fåglar/A 1767-2025 prioriterade fågelarter.docx", "A 1767-2025")</f>
        <v/>
      </c>
    </row>
    <row r="135" ht="15" customHeight="1">
      <c r="A135" t="inlineStr">
        <is>
          <t>A 9770-2024</t>
        </is>
      </c>
      <c r="B135" s="1" t="n">
        <v>45362.63960648148</v>
      </c>
      <c r="C135" s="1" t="n">
        <v>45901</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21081-2025</t>
        </is>
      </c>
      <c r="B136" s="1" t="n">
        <v>45777.60479166666</v>
      </c>
      <c r="C136" s="1" t="n">
        <v>45901</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17438-2024</t>
        </is>
      </c>
      <c r="B137" s="1" t="n">
        <v>45415</v>
      </c>
      <c r="C137" s="1" t="n">
        <v>45901</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45901</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25439-2021</t>
        </is>
      </c>
      <c r="B139" s="1" t="n">
        <v>44342</v>
      </c>
      <c r="C139" s="1" t="n">
        <v>45901</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16419-2024</t>
        </is>
      </c>
      <c r="B140" s="1" t="n">
        <v>45407</v>
      </c>
      <c r="C140" s="1" t="n">
        <v>45901</v>
      </c>
      <c r="D140" t="inlineStr">
        <is>
          <t>KALMAR LÄN</t>
        </is>
      </c>
      <c r="E140" t="inlineStr">
        <is>
          <t>VÄSTERVIK</t>
        </is>
      </c>
      <c r="F140" t="inlineStr">
        <is>
          <t>Holmen skog AB</t>
        </is>
      </c>
      <c r="G140" t="n">
        <v>1.8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16419-2024 artfynd.xlsx", "A 16419-2024")</f>
        <v/>
      </c>
      <c r="T140">
        <f>HYPERLINK("https://klasma.github.io/Logging_0883/kartor/A 16419-2024 karta.png", "A 16419-2024")</f>
        <v/>
      </c>
      <c r="U140">
        <f>HYPERLINK("https://klasma.github.io/Logging_0883/knärot/A 16419-2024 karta knärot.png", "A 16419-2024")</f>
        <v/>
      </c>
      <c r="V140">
        <f>HYPERLINK("https://klasma.github.io/Logging_0883/klagomål/A 16419-2024 FSC-klagomål.docx", "A 16419-2024")</f>
        <v/>
      </c>
      <c r="W140">
        <f>HYPERLINK("https://klasma.github.io/Logging_0883/klagomålsmail/A 16419-2024 FSC-klagomål mail.docx", "A 16419-2024")</f>
        <v/>
      </c>
      <c r="X140">
        <f>HYPERLINK("https://klasma.github.io/Logging_0883/tillsyn/A 16419-2024 tillsynsbegäran.docx", "A 16419-2024")</f>
        <v/>
      </c>
      <c r="Y140">
        <f>HYPERLINK("https://klasma.github.io/Logging_0883/tillsynsmail/A 16419-2024 tillsynsbegäran mail.docx", "A 16419-2024")</f>
        <v/>
      </c>
      <c r="Z140">
        <f>HYPERLINK("https://klasma.github.io/Logging_0883/fåglar/A 16419-2024 prioriterade fågelarter.docx", "A 16419-2024")</f>
        <v/>
      </c>
    </row>
    <row r="141" ht="15" customHeight="1">
      <c r="A141" t="inlineStr">
        <is>
          <t>A 1373-2024</t>
        </is>
      </c>
      <c r="B141" s="1" t="n">
        <v>45303</v>
      </c>
      <c r="C141" s="1" t="n">
        <v>45901</v>
      </c>
      <c r="D141" t="inlineStr">
        <is>
          <t>KALMAR LÄN</t>
        </is>
      </c>
      <c r="E141" t="inlineStr">
        <is>
          <t>VÄSTERVIK</t>
        </is>
      </c>
      <c r="G141" t="n">
        <v>3.7</v>
      </c>
      <c r="H141" t="n">
        <v>1</v>
      </c>
      <c r="I141" t="n">
        <v>0</v>
      </c>
      <c r="J141" t="n">
        <v>2</v>
      </c>
      <c r="K141" t="n">
        <v>0</v>
      </c>
      <c r="L141" t="n">
        <v>0</v>
      </c>
      <c r="M141" t="n">
        <v>0</v>
      </c>
      <c r="N141" t="n">
        <v>0</v>
      </c>
      <c r="O141" t="n">
        <v>2</v>
      </c>
      <c r="P141" t="n">
        <v>0</v>
      </c>
      <c r="Q141" t="n">
        <v>2</v>
      </c>
      <c r="R141" s="2" t="inlineStr">
        <is>
          <t>Tallticka
Talltita</t>
        </is>
      </c>
      <c r="S141">
        <f>HYPERLINK("https://klasma.github.io/Logging_0883/artfynd/A 1373-2024 artfynd.xlsx", "A 1373-2024")</f>
        <v/>
      </c>
      <c r="T141">
        <f>HYPERLINK("https://klasma.github.io/Logging_0883/kartor/A 1373-2024 karta.png", "A 1373-2024")</f>
        <v/>
      </c>
      <c r="U141">
        <f>HYPERLINK("https://klasma.github.io/Logging_0883/knärot/A 1373-2024 karta knärot.png", "A 1373-2024")</f>
        <v/>
      </c>
      <c r="V141">
        <f>HYPERLINK("https://klasma.github.io/Logging_0883/klagomål/A 1373-2024 FSC-klagomål.docx", "A 1373-2024")</f>
        <v/>
      </c>
      <c r="W141">
        <f>HYPERLINK("https://klasma.github.io/Logging_0883/klagomålsmail/A 1373-2024 FSC-klagomål mail.docx", "A 1373-2024")</f>
        <v/>
      </c>
      <c r="X141">
        <f>HYPERLINK("https://klasma.github.io/Logging_0883/tillsyn/A 1373-2024 tillsynsbegäran.docx", "A 1373-2024")</f>
        <v/>
      </c>
      <c r="Y141">
        <f>HYPERLINK("https://klasma.github.io/Logging_0883/tillsynsmail/A 1373-2024 tillsynsbegäran mail.docx", "A 1373-2024")</f>
        <v/>
      </c>
      <c r="Z141">
        <f>HYPERLINK("https://klasma.github.io/Logging_0883/fåglar/A 1373-2024 prioriterade fågelarter.docx", "A 1373-2024")</f>
        <v/>
      </c>
    </row>
    <row r="142" ht="15" customHeight="1">
      <c r="A142" t="inlineStr">
        <is>
          <t>A 958-2025</t>
        </is>
      </c>
      <c r="B142" s="1" t="n">
        <v>45666</v>
      </c>
      <c r="C142" s="1" t="n">
        <v>45901</v>
      </c>
      <c r="D142" t="inlineStr">
        <is>
          <t>KALMAR LÄN</t>
        </is>
      </c>
      <c r="E142" t="inlineStr">
        <is>
          <t>VÄSTERVIK</t>
        </is>
      </c>
      <c r="G142" t="n">
        <v>2.8</v>
      </c>
      <c r="H142" t="n">
        <v>1</v>
      </c>
      <c r="I142" t="n">
        <v>0</v>
      </c>
      <c r="J142" t="n">
        <v>2</v>
      </c>
      <c r="K142" t="n">
        <v>0</v>
      </c>
      <c r="L142" t="n">
        <v>0</v>
      </c>
      <c r="M142" t="n">
        <v>0</v>
      </c>
      <c r="N142" t="n">
        <v>0</v>
      </c>
      <c r="O142" t="n">
        <v>2</v>
      </c>
      <c r="P142" t="n">
        <v>0</v>
      </c>
      <c r="Q142" t="n">
        <v>2</v>
      </c>
      <c r="R142" s="2" t="inlineStr">
        <is>
          <t>Orange taggsvamp
Spillkråka</t>
        </is>
      </c>
      <c r="S142">
        <f>HYPERLINK("https://klasma.github.io/Logging_0883/artfynd/A 958-2025 artfynd.xlsx", "A 958-2025")</f>
        <v/>
      </c>
      <c r="T142">
        <f>HYPERLINK("https://klasma.github.io/Logging_0883/kartor/A 958-2025 karta.png", "A 958-2025")</f>
        <v/>
      </c>
      <c r="V142">
        <f>HYPERLINK("https://klasma.github.io/Logging_0883/klagomål/A 958-2025 FSC-klagomål.docx", "A 958-2025")</f>
        <v/>
      </c>
      <c r="W142">
        <f>HYPERLINK("https://klasma.github.io/Logging_0883/klagomålsmail/A 958-2025 FSC-klagomål mail.docx", "A 958-2025")</f>
        <v/>
      </c>
      <c r="X142">
        <f>HYPERLINK("https://klasma.github.io/Logging_0883/tillsyn/A 958-2025 tillsynsbegäran.docx", "A 958-2025")</f>
        <v/>
      </c>
      <c r="Y142">
        <f>HYPERLINK("https://klasma.github.io/Logging_0883/tillsynsmail/A 958-2025 tillsynsbegäran mail.docx", "A 958-2025")</f>
        <v/>
      </c>
      <c r="Z142">
        <f>HYPERLINK("https://klasma.github.io/Logging_0883/fåglar/A 958-2025 prioriterade fågelarter.docx", "A 958-2025")</f>
        <v/>
      </c>
    </row>
    <row r="143" ht="15" customHeight="1">
      <c r="A143" t="inlineStr">
        <is>
          <t>A 2515-2023</t>
        </is>
      </c>
      <c r="B143" s="1" t="n">
        <v>44943</v>
      </c>
      <c r="C143" s="1" t="n">
        <v>45901</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14090-2025</t>
        </is>
      </c>
      <c r="B144" s="1" t="n">
        <v>45740.44487268518</v>
      </c>
      <c r="C144" s="1" t="n">
        <v>45901</v>
      </c>
      <c r="D144" t="inlineStr">
        <is>
          <t>KALMAR LÄN</t>
        </is>
      </c>
      <c r="E144" t="inlineStr">
        <is>
          <t>VÄSTERVIK</t>
        </is>
      </c>
      <c r="F144" t="inlineStr">
        <is>
          <t>Sveaskog</t>
        </is>
      </c>
      <c r="G144" t="n">
        <v>1</v>
      </c>
      <c r="H144" t="n">
        <v>2</v>
      </c>
      <c r="I144" t="n">
        <v>0</v>
      </c>
      <c r="J144" t="n">
        <v>1</v>
      </c>
      <c r="K144" t="n">
        <v>0</v>
      </c>
      <c r="L144" t="n">
        <v>0</v>
      </c>
      <c r="M144" t="n">
        <v>0</v>
      </c>
      <c r="N144" t="n">
        <v>0</v>
      </c>
      <c r="O144" t="n">
        <v>1</v>
      </c>
      <c r="P144" t="n">
        <v>0</v>
      </c>
      <c r="Q144" t="n">
        <v>2</v>
      </c>
      <c r="R144" s="2" t="inlineStr">
        <is>
          <t>Grönsångare
Åkergroda</t>
        </is>
      </c>
      <c r="S144">
        <f>HYPERLINK("https://klasma.github.io/Logging_0883/artfynd/A 14090-2025 artfynd.xlsx", "A 14090-2025")</f>
        <v/>
      </c>
      <c r="T144">
        <f>HYPERLINK("https://klasma.github.io/Logging_0883/kartor/A 14090-2025 karta.png", "A 14090-2025")</f>
        <v/>
      </c>
      <c r="V144">
        <f>HYPERLINK("https://klasma.github.io/Logging_0883/klagomål/A 14090-2025 FSC-klagomål.docx", "A 14090-2025")</f>
        <v/>
      </c>
      <c r="W144">
        <f>HYPERLINK("https://klasma.github.io/Logging_0883/klagomålsmail/A 14090-2025 FSC-klagomål mail.docx", "A 14090-2025")</f>
        <v/>
      </c>
      <c r="X144">
        <f>HYPERLINK("https://klasma.github.io/Logging_0883/tillsyn/A 14090-2025 tillsynsbegäran.docx", "A 14090-2025")</f>
        <v/>
      </c>
      <c r="Y144">
        <f>HYPERLINK("https://klasma.github.io/Logging_0883/tillsynsmail/A 14090-2025 tillsynsbegäran mail.docx", "A 14090-2025")</f>
        <v/>
      </c>
      <c r="Z144">
        <f>HYPERLINK("https://klasma.github.io/Logging_0883/fåglar/A 14090-2025 prioriterade fågelarter.docx", "A 14090-2025")</f>
        <v/>
      </c>
    </row>
    <row r="145" ht="15" customHeight="1">
      <c r="A145" t="inlineStr">
        <is>
          <t>A 25145-2022</t>
        </is>
      </c>
      <c r="B145" s="1" t="n">
        <v>44729</v>
      </c>
      <c r="C145" s="1" t="n">
        <v>45901</v>
      </c>
      <c r="D145" t="inlineStr">
        <is>
          <t>KALMAR LÄN</t>
        </is>
      </c>
      <c r="E145" t="inlineStr">
        <is>
          <t>VÄSTERVIK</t>
        </is>
      </c>
      <c r="G145" t="n">
        <v>1.3</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25145-2022 artfynd.xlsx", "A 25145-2022")</f>
        <v/>
      </c>
      <c r="T145">
        <f>HYPERLINK("https://klasma.github.io/Logging_0883/kartor/A 25145-2022 karta.png", "A 25145-2022")</f>
        <v/>
      </c>
      <c r="U145">
        <f>HYPERLINK("https://klasma.github.io/Logging_0883/knärot/A 25145-2022 karta knärot.png", "A 25145-2022")</f>
        <v/>
      </c>
      <c r="V145">
        <f>HYPERLINK("https://klasma.github.io/Logging_0883/klagomål/A 25145-2022 FSC-klagomål.docx", "A 25145-2022")</f>
        <v/>
      </c>
      <c r="W145">
        <f>HYPERLINK("https://klasma.github.io/Logging_0883/klagomålsmail/A 25145-2022 FSC-klagomål mail.docx", "A 25145-2022")</f>
        <v/>
      </c>
      <c r="X145">
        <f>HYPERLINK("https://klasma.github.io/Logging_0883/tillsyn/A 25145-2022 tillsynsbegäran.docx", "A 25145-2022")</f>
        <v/>
      </c>
      <c r="Y145">
        <f>HYPERLINK("https://klasma.github.io/Logging_0883/tillsynsmail/A 25145-2022 tillsynsbegäran mail.docx", "A 25145-2022")</f>
        <v/>
      </c>
    </row>
    <row r="146" ht="15" customHeight="1">
      <c r="A146" t="inlineStr">
        <is>
          <t>A 16700-2025</t>
        </is>
      </c>
      <c r="B146" s="1" t="n">
        <v>45754.46833333333</v>
      </c>
      <c r="C146" s="1" t="n">
        <v>45901</v>
      </c>
      <c r="D146" t="inlineStr">
        <is>
          <t>KALMAR LÄN</t>
        </is>
      </c>
      <c r="E146" t="inlineStr">
        <is>
          <t>VÄSTERVIK</t>
        </is>
      </c>
      <c r="F146" t="inlineStr">
        <is>
          <t>Sveaskog</t>
        </is>
      </c>
      <c r="G146" t="n">
        <v>1.7</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16700-2025 artfynd.xlsx", "A 16700-2025")</f>
        <v/>
      </c>
      <c r="T146">
        <f>HYPERLINK("https://klasma.github.io/Logging_0883/kartor/A 16700-2025 karta.png", "A 16700-2025")</f>
        <v/>
      </c>
      <c r="V146">
        <f>HYPERLINK("https://klasma.github.io/Logging_0883/klagomål/A 16700-2025 FSC-klagomål.docx", "A 16700-2025")</f>
        <v/>
      </c>
      <c r="W146">
        <f>HYPERLINK("https://klasma.github.io/Logging_0883/klagomålsmail/A 16700-2025 FSC-klagomål mail.docx", "A 16700-2025")</f>
        <v/>
      </c>
      <c r="X146">
        <f>HYPERLINK("https://klasma.github.io/Logging_0883/tillsyn/A 16700-2025 tillsynsbegäran.docx", "A 16700-2025")</f>
        <v/>
      </c>
      <c r="Y146">
        <f>HYPERLINK("https://klasma.github.io/Logging_0883/tillsynsmail/A 16700-2025 tillsynsbegäran mail.docx", "A 16700-2025")</f>
        <v/>
      </c>
      <c r="Z146">
        <f>HYPERLINK("https://klasma.github.io/Logging_0883/fåglar/A 16700-2025 prioriterade fågelarter.docx", "A 16700-2025")</f>
        <v/>
      </c>
    </row>
    <row r="147" ht="15" customHeight="1">
      <c r="A147" t="inlineStr">
        <is>
          <t>A 47935-2023</t>
        </is>
      </c>
      <c r="B147" s="1" t="n">
        <v>45204</v>
      </c>
      <c r="C147" s="1" t="n">
        <v>45901</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25435-2023</t>
        </is>
      </c>
      <c r="B148" s="1" t="n">
        <v>45089</v>
      </c>
      <c r="C148" s="1" t="n">
        <v>45901</v>
      </c>
      <c r="D148" t="inlineStr">
        <is>
          <t>KALMAR LÄN</t>
        </is>
      </c>
      <c r="E148" t="inlineStr">
        <is>
          <t>VÄSTERVIK</t>
        </is>
      </c>
      <c r="G148" t="n">
        <v>1.6</v>
      </c>
      <c r="H148" t="n">
        <v>2</v>
      </c>
      <c r="I148" t="n">
        <v>0</v>
      </c>
      <c r="J148" t="n">
        <v>0</v>
      </c>
      <c r="K148" t="n">
        <v>1</v>
      </c>
      <c r="L148" t="n">
        <v>0</v>
      </c>
      <c r="M148" t="n">
        <v>0</v>
      </c>
      <c r="N148" t="n">
        <v>0</v>
      </c>
      <c r="O148" t="n">
        <v>1</v>
      </c>
      <c r="P148" t="n">
        <v>1</v>
      </c>
      <c r="Q148" t="n">
        <v>2</v>
      </c>
      <c r="R148" s="2" t="inlineStr">
        <is>
          <t>Knärot
Tjäder</t>
        </is>
      </c>
      <c r="S148">
        <f>HYPERLINK("https://klasma.github.io/Logging_0883/artfynd/A 25435-2023 artfynd.xlsx", "A 25435-2023")</f>
        <v/>
      </c>
      <c r="T148">
        <f>HYPERLINK("https://klasma.github.io/Logging_0883/kartor/A 25435-2023 karta.png", "A 25435-2023")</f>
        <v/>
      </c>
      <c r="U148">
        <f>HYPERLINK("https://klasma.github.io/Logging_0883/knärot/A 25435-2023 karta knärot.png", "A 25435-2023")</f>
        <v/>
      </c>
      <c r="V148">
        <f>HYPERLINK("https://klasma.github.io/Logging_0883/klagomål/A 25435-2023 FSC-klagomål.docx", "A 25435-2023")</f>
        <v/>
      </c>
      <c r="W148">
        <f>HYPERLINK("https://klasma.github.io/Logging_0883/klagomålsmail/A 25435-2023 FSC-klagomål mail.docx", "A 25435-2023")</f>
        <v/>
      </c>
      <c r="X148">
        <f>HYPERLINK("https://klasma.github.io/Logging_0883/tillsyn/A 25435-2023 tillsynsbegäran.docx", "A 25435-2023")</f>
        <v/>
      </c>
      <c r="Y148">
        <f>HYPERLINK("https://klasma.github.io/Logging_0883/tillsynsmail/A 25435-2023 tillsynsbegäran mail.docx", "A 25435-2023")</f>
        <v/>
      </c>
      <c r="Z148">
        <f>HYPERLINK("https://klasma.github.io/Logging_0883/fåglar/A 25435-2023 prioriterade fågelarter.docx", "A 25435-2023")</f>
        <v/>
      </c>
    </row>
    <row r="149" ht="15" customHeight="1">
      <c r="A149" t="inlineStr">
        <is>
          <t>A 56036-2024</t>
        </is>
      </c>
      <c r="B149" s="1" t="n">
        <v>45624</v>
      </c>
      <c r="C149" s="1" t="n">
        <v>45901</v>
      </c>
      <c r="D149" t="inlineStr">
        <is>
          <t>KALMAR LÄN</t>
        </is>
      </c>
      <c r="E149" t="inlineStr">
        <is>
          <t>VÄSTERVIK</t>
        </is>
      </c>
      <c r="F149" t="inlineStr">
        <is>
          <t>Kyrkan</t>
        </is>
      </c>
      <c r="G149" t="n">
        <v>5.5</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56036-2024 artfynd.xlsx", "A 56036-2024")</f>
        <v/>
      </c>
      <c r="T149">
        <f>HYPERLINK("https://klasma.github.io/Logging_0883/kartor/A 56036-2024 karta.png", "A 56036-2024")</f>
        <v/>
      </c>
      <c r="U149">
        <f>HYPERLINK("https://klasma.github.io/Logging_0883/knärot/A 56036-2024 karta knärot.png", "A 56036-2024")</f>
        <v/>
      </c>
      <c r="V149">
        <f>HYPERLINK("https://klasma.github.io/Logging_0883/klagomål/A 56036-2024 FSC-klagomål.docx", "A 56036-2024")</f>
        <v/>
      </c>
      <c r="W149">
        <f>HYPERLINK("https://klasma.github.io/Logging_0883/klagomålsmail/A 56036-2024 FSC-klagomål mail.docx", "A 56036-2024")</f>
        <v/>
      </c>
      <c r="X149">
        <f>HYPERLINK("https://klasma.github.io/Logging_0883/tillsyn/A 56036-2024 tillsynsbegäran.docx", "A 56036-2024")</f>
        <v/>
      </c>
      <c r="Y149">
        <f>HYPERLINK("https://klasma.github.io/Logging_0883/tillsynsmail/A 56036-2024 tillsynsbegäran mail.docx", "A 56036-2024")</f>
        <v/>
      </c>
      <c r="Z149">
        <f>HYPERLINK("https://klasma.github.io/Logging_0883/fåglar/A 56036-2024 prioriterade fågelarter.docx", "A 56036-2024")</f>
        <v/>
      </c>
    </row>
    <row r="150" ht="15" customHeight="1">
      <c r="A150" t="inlineStr">
        <is>
          <t>A 33184-2025</t>
        </is>
      </c>
      <c r="B150" s="1" t="n">
        <v>45840.59291666667</v>
      </c>
      <c r="C150" s="1" t="n">
        <v>45901</v>
      </c>
      <c r="D150" t="inlineStr">
        <is>
          <t>KALMAR LÄN</t>
        </is>
      </c>
      <c r="E150" t="inlineStr">
        <is>
          <t>VÄSTERVIK</t>
        </is>
      </c>
      <c r="G150" t="n">
        <v>3.5</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33184-2025 artfynd.xlsx", "A 33184-2025")</f>
        <v/>
      </c>
      <c r="T150">
        <f>HYPERLINK("https://klasma.github.io/Logging_0883/kartor/A 33184-2025 karta.png", "A 33184-2025")</f>
        <v/>
      </c>
      <c r="V150">
        <f>HYPERLINK("https://klasma.github.io/Logging_0883/klagomål/A 33184-2025 FSC-klagomål.docx", "A 33184-2025")</f>
        <v/>
      </c>
      <c r="W150">
        <f>HYPERLINK("https://klasma.github.io/Logging_0883/klagomålsmail/A 33184-2025 FSC-klagomål mail.docx", "A 33184-2025")</f>
        <v/>
      </c>
      <c r="X150">
        <f>HYPERLINK("https://klasma.github.io/Logging_0883/tillsyn/A 33184-2025 tillsynsbegäran.docx", "A 33184-2025")</f>
        <v/>
      </c>
      <c r="Y150">
        <f>HYPERLINK("https://klasma.github.io/Logging_0883/tillsynsmail/A 33184-2025 tillsynsbegäran mail.docx", "A 33184-2025")</f>
        <v/>
      </c>
      <c r="Z150">
        <f>HYPERLINK("https://klasma.github.io/Logging_0883/fåglar/A 33184-2025 prioriterade fågelarter.docx", "A 33184-2025")</f>
        <v/>
      </c>
    </row>
    <row r="151" ht="15" customHeight="1">
      <c r="A151" t="inlineStr">
        <is>
          <t>A 33687-2025</t>
        </is>
      </c>
      <c r="B151" s="1" t="n">
        <v>45841.69072916666</v>
      </c>
      <c r="C151" s="1" t="n">
        <v>45901</v>
      </c>
      <c r="D151" t="inlineStr">
        <is>
          <t>KALMAR LÄN</t>
        </is>
      </c>
      <c r="E151" t="inlineStr">
        <is>
          <t>VÄSTERVIK</t>
        </is>
      </c>
      <c r="G151" t="n">
        <v>1.7</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33687-2025 artfynd.xlsx", "A 33687-2025")</f>
        <v/>
      </c>
      <c r="T151">
        <f>HYPERLINK("https://klasma.github.io/Logging_0883/kartor/A 33687-2025 karta.png", "A 33687-2025")</f>
        <v/>
      </c>
      <c r="U151">
        <f>HYPERLINK("https://klasma.github.io/Logging_0883/knärot/A 33687-2025 karta knärot.png", "A 33687-2025")</f>
        <v/>
      </c>
      <c r="V151">
        <f>HYPERLINK("https://klasma.github.io/Logging_0883/klagomål/A 33687-2025 FSC-klagomål.docx", "A 33687-2025")</f>
        <v/>
      </c>
      <c r="W151">
        <f>HYPERLINK("https://klasma.github.io/Logging_0883/klagomålsmail/A 33687-2025 FSC-klagomål mail.docx", "A 33687-2025")</f>
        <v/>
      </c>
      <c r="X151">
        <f>HYPERLINK("https://klasma.github.io/Logging_0883/tillsyn/A 33687-2025 tillsynsbegäran.docx", "A 33687-2025")</f>
        <v/>
      </c>
      <c r="Y151">
        <f>HYPERLINK("https://klasma.github.io/Logging_0883/tillsynsmail/A 33687-2025 tillsynsbegäran mail.docx", "A 33687-2025")</f>
        <v/>
      </c>
      <c r="Z151">
        <f>HYPERLINK("https://klasma.github.io/Logging_0883/fåglar/A 33687-2025 prioriterade fågelarter.docx", "A 33687-2025")</f>
        <v/>
      </c>
    </row>
    <row r="152" ht="15" customHeight="1">
      <c r="A152" t="inlineStr">
        <is>
          <t>A 4778-2025</t>
        </is>
      </c>
      <c r="B152" s="1" t="n">
        <v>45688</v>
      </c>
      <c r="C152" s="1" t="n">
        <v>45901</v>
      </c>
      <c r="D152" t="inlineStr">
        <is>
          <t>KALMAR LÄN</t>
        </is>
      </c>
      <c r="E152" t="inlineStr">
        <is>
          <t>VÄSTERVIK</t>
        </is>
      </c>
      <c r="F152" t="inlineStr">
        <is>
          <t>Holmen skog AB</t>
        </is>
      </c>
      <c r="G152" t="n">
        <v>3.8</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4778-2025 artfynd.xlsx", "A 4778-2025")</f>
        <v/>
      </c>
      <c r="T152">
        <f>HYPERLINK("https://klasma.github.io/Logging_0883/kartor/A 4778-2025 karta.png", "A 4778-2025")</f>
        <v/>
      </c>
      <c r="U152">
        <f>HYPERLINK("https://klasma.github.io/Logging_0883/knärot/A 4778-2025 karta knärot.png", "A 4778-2025")</f>
        <v/>
      </c>
      <c r="V152">
        <f>HYPERLINK("https://klasma.github.io/Logging_0883/klagomål/A 4778-2025 FSC-klagomål.docx", "A 4778-2025")</f>
        <v/>
      </c>
      <c r="W152">
        <f>HYPERLINK("https://klasma.github.io/Logging_0883/klagomålsmail/A 4778-2025 FSC-klagomål mail.docx", "A 4778-2025")</f>
        <v/>
      </c>
      <c r="X152">
        <f>HYPERLINK("https://klasma.github.io/Logging_0883/tillsyn/A 4778-2025 tillsynsbegäran.docx", "A 4778-2025")</f>
        <v/>
      </c>
      <c r="Y152">
        <f>HYPERLINK("https://klasma.github.io/Logging_0883/tillsynsmail/A 4778-2025 tillsynsbegäran mail.docx", "A 4778-2025")</f>
        <v/>
      </c>
      <c r="Z152">
        <f>HYPERLINK("https://klasma.github.io/Logging_0883/fåglar/A 4778-2025 prioriterade fågelarter.docx", "A 4778-2025")</f>
        <v/>
      </c>
    </row>
    <row r="153" ht="15" customHeight="1">
      <c r="A153" t="inlineStr">
        <is>
          <t>A 932-2024</t>
        </is>
      </c>
      <c r="B153" s="1" t="n">
        <v>45301</v>
      </c>
      <c r="C153" s="1" t="n">
        <v>45901</v>
      </c>
      <c r="D153" t="inlineStr">
        <is>
          <t>KALMAR LÄN</t>
        </is>
      </c>
      <c r="E153" t="inlineStr">
        <is>
          <t>VÄSTERVIK</t>
        </is>
      </c>
      <c r="G153" t="n">
        <v>3.7</v>
      </c>
      <c r="H153" t="n">
        <v>1</v>
      </c>
      <c r="I153" t="n">
        <v>1</v>
      </c>
      <c r="J153" t="n">
        <v>1</v>
      </c>
      <c r="K153" t="n">
        <v>0</v>
      </c>
      <c r="L153" t="n">
        <v>0</v>
      </c>
      <c r="M153" t="n">
        <v>0</v>
      </c>
      <c r="N153" t="n">
        <v>0</v>
      </c>
      <c r="O153" t="n">
        <v>1</v>
      </c>
      <c r="P153" t="n">
        <v>0</v>
      </c>
      <c r="Q153" t="n">
        <v>2</v>
      </c>
      <c r="R153" s="2" t="inlineStr">
        <is>
          <t>Spillkråka
Grovticka</t>
        </is>
      </c>
      <c r="S153">
        <f>HYPERLINK("https://klasma.github.io/Logging_0883/artfynd/A 932-2024 artfynd.xlsx", "A 932-2024")</f>
        <v/>
      </c>
      <c r="T153">
        <f>HYPERLINK("https://klasma.github.io/Logging_0883/kartor/A 932-2024 karta.png", "A 932-2024")</f>
        <v/>
      </c>
      <c r="V153">
        <f>HYPERLINK("https://klasma.github.io/Logging_0883/klagomål/A 932-2024 FSC-klagomål.docx", "A 932-2024")</f>
        <v/>
      </c>
      <c r="W153">
        <f>HYPERLINK("https://klasma.github.io/Logging_0883/klagomålsmail/A 932-2024 FSC-klagomål mail.docx", "A 932-2024")</f>
        <v/>
      </c>
      <c r="X153">
        <f>HYPERLINK("https://klasma.github.io/Logging_0883/tillsyn/A 932-2024 tillsynsbegäran.docx", "A 932-2024")</f>
        <v/>
      </c>
      <c r="Y153">
        <f>HYPERLINK("https://klasma.github.io/Logging_0883/tillsynsmail/A 932-2024 tillsynsbegäran mail.docx", "A 932-2024")</f>
        <v/>
      </c>
      <c r="Z153">
        <f>HYPERLINK("https://klasma.github.io/Logging_0883/fåglar/A 932-2024 prioriterade fågelarter.docx", "A 932-2024")</f>
        <v/>
      </c>
    </row>
    <row r="154" ht="15" customHeight="1">
      <c r="A154" t="inlineStr">
        <is>
          <t>A 941-2024</t>
        </is>
      </c>
      <c r="B154" s="1" t="n">
        <v>45301</v>
      </c>
      <c r="C154" s="1" t="n">
        <v>45901</v>
      </c>
      <c r="D154" t="inlineStr">
        <is>
          <t>KALMAR LÄN</t>
        </is>
      </c>
      <c r="E154" t="inlineStr">
        <is>
          <t>VÄSTERVIK</t>
        </is>
      </c>
      <c r="G154" t="n">
        <v>2.7</v>
      </c>
      <c r="H154" t="n">
        <v>1</v>
      </c>
      <c r="I154" t="n">
        <v>0</v>
      </c>
      <c r="J154" t="n">
        <v>1</v>
      </c>
      <c r="K154" t="n">
        <v>1</v>
      </c>
      <c r="L154" t="n">
        <v>0</v>
      </c>
      <c r="M154" t="n">
        <v>0</v>
      </c>
      <c r="N154" t="n">
        <v>0</v>
      </c>
      <c r="O154" t="n">
        <v>2</v>
      </c>
      <c r="P154" t="n">
        <v>1</v>
      </c>
      <c r="Q154" t="n">
        <v>2</v>
      </c>
      <c r="R154" s="2" t="inlineStr">
        <is>
          <t>Knärot
Svinrot</t>
        </is>
      </c>
      <c r="S154">
        <f>HYPERLINK("https://klasma.github.io/Logging_0883/artfynd/A 941-2024 artfynd.xlsx", "A 941-2024")</f>
        <v/>
      </c>
      <c r="T154">
        <f>HYPERLINK("https://klasma.github.io/Logging_0883/kartor/A 941-2024 karta.png", "A 941-2024")</f>
        <v/>
      </c>
      <c r="U154">
        <f>HYPERLINK("https://klasma.github.io/Logging_0883/knärot/A 941-2024 karta knärot.png", "A 941-2024")</f>
        <v/>
      </c>
      <c r="V154">
        <f>HYPERLINK("https://klasma.github.io/Logging_0883/klagomål/A 941-2024 FSC-klagomål.docx", "A 941-2024")</f>
        <v/>
      </c>
      <c r="W154">
        <f>HYPERLINK("https://klasma.github.io/Logging_0883/klagomålsmail/A 941-2024 FSC-klagomål mail.docx", "A 941-2024")</f>
        <v/>
      </c>
      <c r="X154">
        <f>HYPERLINK("https://klasma.github.io/Logging_0883/tillsyn/A 941-2024 tillsynsbegäran.docx", "A 941-2024")</f>
        <v/>
      </c>
      <c r="Y154">
        <f>HYPERLINK("https://klasma.github.io/Logging_0883/tillsynsmail/A 941-2024 tillsynsbegäran mail.docx", "A 941-2024")</f>
        <v/>
      </c>
    </row>
    <row r="155" ht="15" customHeight="1">
      <c r="A155" t="inlineStr">
        <is>
          <t>A 911-2024</t>
        </is>
      </c>
      <c r="B155" s="1" t="n">
        <v>45301</v>
      </c>
      <c r="C155" s="1" t="n">
        <v>45901</v>
      </c>
      <c r="D155" t="inlineStr">
        <is>
          <t>KALMAR LÄN</t>
        </is>
      </c>
      <c r="E155" t="inlineStr">
        <is>
          <t>VÄSTERVIK</t>
        </is>
      </c>
      <c r="G155" t="n">
        <v>5.6</v>
      </c>
      <c r="H155" t="n">
        <v>1</v>
      </c>
      <c r="I155" t="n">
        <v>1</v>
      </c>
      <c r="J155" t="n">
        <v>1</v>
      </c>
      <c r="K155" t="n">
        <v>0</v>
      </c>
      <c r="L155" t="n">
        <v>0</v>
      </c>
      <c r="M155" t="n">
        <v>0</v>
      </c>
      <c r="N155" t="n">
        <v>0</v>
      </c>
      <c r="O155" t="n">
        <v>1</v>
      </c>
      <c r="P155" t="n">
        <v>0</v>
      </c>
      <c r="Q155" t="n">
        <v>2</v>
      </c>
      <c r="R155" s="2" t="inlineStr">
        <is>
          <t>Talltita
Blodticka</t>
        </is>
      </c>
      <c r="S155">
        <f>HYPERLINK("https://klasma.github.io/Logging_0883/artfynd/A 911-2024 artfynd.xlsx", "A 911-2024")</f>
        <v/>
      </c>
      <c r="T155">
        <f>HYPERLINK("https://klasma.github.io/Logging_0883/kartor/A 911-2024 karta.png", "A 911-2024")</f>
        <v/>
      </c>
      <c r="V155">
        <f>HYPERLINK("https://klasma.github.io/Logging_0883/klagomål/A 911-2024 FSC-klagomål.docx", "A 911-2024")</f>
        <v/>
      </c>
      <c r="W155">
        <f>HYPERLINK("https://klasma.github.io/Logging_0883/klagomålsmail/A 911-2024 FSC-klagomål mail.docx", "A 911-2024")</f>
        <v/>
      </c>
      <c r="X155">
        <f>HYPERLINK("https://klasma.github.io/Logging_0883/tillsyn/A 911-2024 tillsynsbegäran.docx", "A 911-2024")</f>
        <v/>
      </c>
      <c r="Y155">
        <f>HYPERLINK("https://klasma.github.io/Logging_0883/tillsynsmail/A 911-2024 tillsynsbegäran mail.docx", "A 911-2024")</f>
        <v/>
      </c>
      <c r="Z155">
        <f>HYPERLINK("https://klasma.github.io/Logging_0883/fåglar/A 911-2024 prioriterade fågelarter.docx", "A 911-2024")</f>
        <v/>
      </c>
    </row>
    <row r="156" ht="15" customHeight="1">
      <c r="A156" t="inlineStr">
        <is>
          <t>A 53769-2021</t>
        </is>
      </c>
      <c r="B156" s="1" t="n">
        <v>44467</v>
      </c>
      <c r="C156" s="1" t="n">
        <v>45901</v>
      </c>
      <c r="D156" t="inlineStr">
        <is>
          <t>KALMAR LÄN</t>
        </is>
      </c>
      <c r="E156" t="inlineStr">
        <is>
          <t>VÄSTERVIK</t>
        </is>
      </c>
      <c r="G156" t="n">
        <v>2.2</v>
      </c>
      <c r="H156" t="n">
        <v>1</v>
      </c>
      <c r="I156" t="n">
        <v>2</v>
      </c>
      <c r="J156" t="n">
        <v>0</v>
      </c>
      <c r="K156" t="n">
        <v>0</v>
      </c>
      <c r="L156" t="n">
        <v>0</v>
      </c>
      <c r="M156" t="n">
        <v>0</v>
      </c>
      <c r="N156" t="n">
        <v>0</v>
      </c>
      <c r="O156" t="n">
        <v>0</v>
      </c>
      <c r="P156" t="n">
        <v>0</v>
      </c>
      <c r="Q156" t="n">
        <v>2</v>
      </c>
      <c r="R156" s="2" t="inlineStr">
        <is>
          <t>Grön sköldmossa
Stubbspretmossa</t>
        </is>
      </c>
      <c r="S156">
        <f>HYPERLINK("https://klasma.github.io/Logging_0883/artfynd/A 53769-2021 artfynd.xlsx", "A 53769-2021")</f>
        <v/>
      </c>
      <c r="T156">
        <f>HYPERLINK("https://klasma.github.io/Logging_0883/kartor/A 53769-2021 karta.png", "A 53769-2021")</f>
        <v/>
      </c>
      <c r="V156">
        <f>HYPERLINK("https://klasma.github.io/Logging_0883/klagomål/A 53769-2021 FSC-klagomål.docx", "A 53769-2021")</f>
        <v/>
      </c>
      <c r="W156">
        <f>HYPERLINK("https://klasma.github.io/Logging_0883/klagomålsmail/A 53769-2021 FSC-klagomål mail.docx", "A 53769-2021")</f>
        <v/>
      </c>
      <c r="X156">
        <f>HYPERLINK("https://klasma.github.io/Logging_0883/tillsyn/A 53769-2021 tillsynsbegäran.docx", "A 53769-2021")</f>
        <v/>
      </c>
      <c r="Y156">
        <f>HYPERLINK("https://klasma.github.io/Logging_0883/tillsynsmail/A 53769-2021 tillsynsbegäran mail.docx", "A 53769-2021")</f>
        <v/>
      </c>
    </row>
    <row r="157" ht="15" customHeight="1">
      <c r="A157" t="inlineStr">
        <is>
          <t>A 14086-2025</t>
        </is>
      </c>
      <c r="B157" s="1" t="n">
        <v>45740.44130787037</v>
      </c>
      <c r="C157" s="1" t="n">
        <v>45901</v>
      </c>
      <c r="D157" t="inlineStr">
        <is>
          <t>KALMAR LÄN</t>
        </is>
      </c>
      <c r="E157" t="inlineStr">
        <is>
          <t>VÄSTERVIK</t>
        </is>
      </c>
      <c r="F157" t="inlineStr">
        <is>
          <t>Sveaskog</t>
        </is>
      </c>
      <c r="G157" t="n">
        <v>3.2</v>
      </c>
      <c r="H157" t="n">
        <v>1</v>
      </c>
      <c r="I157" t="n">
        <v>1</v>
      </c>
      <c r="J157" t="n">
        <v>0</v>
      </c>
      <c r="K157" t="n">
        <v>0</v>
      </c>
      <c r="L157" t="n">
        <v>0</v>
      </c>
      <c r="M157" t="n">
        <v>0</v>
      </c>
      <c r="N157" t="n">
        <v>0</v>
      </c>
      <c r="O157" t="n">
        <v>0</v>
      </c>
      <c r="P157" t="n">
        <v>0</v>
      </c>
      <c r="Q157" t="n">
        <v>2</v>
      </c>
      <c r="R157" s="2" t="inlineStr">
        <is>
          <t>Skogsbräsma
Åkergroda</t>
        </is>
      </c>
      <c r="S157">
        <f>HYPERLINK("https://klasma.github.io/Logging_0883/artfynd/A 14086-2025 artfynd.xlsx", "A 14086-2025")</f>
        <v/>
      </c>
      <c r="T157">
        <f>HYPERLINK("https://klasma.github.io/Logging_0883/kartor/A 14086-2025 karta.png", "A 14086-2025")</f>
        <v/>
      </c>
      <c r="V157">
        <f>HYPERLINK("https://klasma.github.io/Logging_0883/klagomål/A 14086-2025 FSC-klagomål.docx", "A 14086-2025")</f>
        <v/>
      </c>
      <c r="W157">
        <f>HYPERLINK("https://klasma.github.io/Logging_0883/klagomålsmail/A 14086-2025 FSC-klagomål mail.docx", "A 14086-2025")</f>
        <v/>
      </c>
      <c r="X157">
        <f>HYPERLINK("https://klasma.github.io/Logging_0883/tillsyn/A 14086-2025 tillsynsbegäran.docx", "A 14086-2025")</f>
        <v/>
      </c>
      <c r="Y157">
        <f>HYPERLINK("https://klasma.github.io/Logging_0883/tillsynsmail/A 14086-2025 tillsynsbegäran mail.docx", "A 14086-2025")</f>
        <v/>
      </c>
    </row>
    <row r="158" ht="15" customHeight="1">
      <c r="A158" t="inlineStr">
        <is>
          <t>A 15534-2024</t>
        </is>
      </c>
      <c r="B158" s="1" t="n">
        <v>45401</v>
      </c>
      <c r="C158" s="1" t="n">
        <v>45901</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59940-2021</t>
        </is>
      </c>
      <c r="B159" s="1" t="n">
        <v>44494</v>
      </c>
      <c r="C159" s="1" t="n">
        <v>45901</v>
      </c>
      <c r="D159" t="inlineStr">
        <is>
          <t>KALMAR LÄN</t>
        </is>
      </c>
      <c r="E159" t="inlineStr">
        <is>
          <t>VÄSTERVIK</t>
        </is>
      </c>
      <c r="G159" t="n">
        <v>4.3</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59940-2021 artfynd.xlsx", "A 59940-2021")</f>
        <v/>
      </c>
      <c r="T159">
        <f>HYPERLINK("https://klasma.github.io/Logging_0883/kartor/A 59940-2021 karta.png", "A 59940-2021")</f>
        <v/>
      </c>
      <c r="U159">
        <f>HYPERLINK("https://klasma.github.io/Logging_0883/knärot/A 59940-2021 karta knärot.png", "A 59940-2021")</f>
        <v/>
      </c>
      <c r="V159">
        <f>HYPERLINK("https://klasma.github.io/Logging_0883/klagomål/A 59940-2021 FSC-klagomål.docx", "A 59940-2021")</f>
        <v/>
      </c>
      <c r="W159">
        <f>HYPERLINK("https://klasma.github.io/Logging_0883/klagomålsmail/A 59940-2021 FSC-klagomål mail.docx", "A 59940-2021")</f>
        <v/>
      </c>
      <c r="X159">
        <f>HYPERLINK("https://klasma.github.io/Logging_0883/tillsyn/A 59940-2021 tillsynsbegäran.docx", "A 59940-2021")</f>
        <v/>
      </c>
      <c r="Y159">
        <f>HYPERLINK("https://klasma.github.io/Logging_0883/tillsynsmail/A 59940-2021 tillsynsbegäran mail.docx", "A 59940-2021")</f>
        <v/>
      </c>
    </row>
    <row r="160" ht="15" customHeight="1">
      <c r="A160" t="inlineStr">
        <is>
          <t>A 55408-2023</t>
        </is>
      </c>
      <c r="B160" s="1" t="n">
        <v>45238</v>
      </c>
      <c r="C160" s="1" t="n">
        <v>45901</v>
      </c>
      <c r="D160" t="inlineStr">
        <is>
          <t>KALMAR LÄN</t>
        </is>
      </c>
      <c r="E160" t="inlineStr">
        <is>
          <t>VÄSTERVIK</t>
        </is>
      </c>
      <c r="G160" t="n">
        <v>2.8</v>
      </c>
      <c r="H160" t="n">
        <v>0</v>
      </c>
      <c r="I160" t="n">
        <v>0</v>
      </c>
      <c r="J160" t="n">
        <v>2</v>
      </c>
      <c r="K160" t="n">
        <v>0</v>
      </c>
      <c r="L160" t="n">
        <v>0</v>
      </c>
      <c r="M160" t="n">
        <v>0</v>
      </c>
      <c r="N160" t="n">
        <v>0</v>
      </c>
      <c r="O160" t="n">
        <v>2</v>
      </c>
      <c r="P160" t="n">
        <v>0</v>
      </c>
      <c r="Q160" t="n">
        <v>2</v>
      </c>
      <c r="R160" s="2" t="inlineStr">
        <is>
          <t>Ekticka
Tallticka</t>
        </is>
      </c>
      <c r="S160">
        <f>HYPERLINK("https://klasma.github.io/Logging_0883/artfynd/A 55408-2023 artfynd.xlsx", "A 55408-2023")</f>
        <v/>
      </c>
      <c r="T160">
        <f>HYPERLINK("https://klasma.github.io/Logging_0883/kartor/A 55408-2023 karta.png", "A 55408-2023")</f>
        <v/>
      </c>
      <c r="V160">
        <f>HYPERLINK("https://klasma.github.io/Logging_0883/klagomål/A 55408-2023 FSC-klagomål.docx", "A 55408-2023")</f>
        <v/>
      </c>
      <c r="W160">
        <f>HYPERLINK("https://klasma.github.io/Logging_0883/klagomålsmail/A 55408-2023 FSC-klagomål mail.docx", "A 55408-2023")</f>
        <v/>
      </c>
      <c r="X160">
        <f>HYPERLINK("https://klasma.github.io/Logging_0883/tillsyn/A 55408-2023 tillsynsbegäran.docx", "A 55408-2023")</f>
        <v/>
      </c>
      <c r="Y160">
        <f>HYPERLINK("https://klasma.github.io/Logging_0883/tillsynsmail/A 55408-2023 tillsynsbegäran mail.docx", "A 55408-2023")</f>
        <v/>
      </c>
    </row>
    <row r="161" ht="15" customHeight="1">
      <c r="A161" t="inlineStr">
        <is>
          <t>A 59231-2022</t>
        </is>
      </c>
      <c r="B161" s="1" t="n">
        <v>44904.55646990741</v>
      </c>
      <c r="C161" s="1" t="n">
        <v>45901</v>
      </c>
      <c r="D161" t="inlineStr">
        <is>
          <t>KALMAR LÄN</t>
        </is>
      </c>
      <c r="E161" t="inlineStr">
        <is>
          <t>VÄSTERVIK</t>
        </is>
      </c>
      <c r="G161" t="n">
        <v>1.8</v>
      </c>
      <c r="H161" t="n">
        <v>0</v>
      </c>
      <c r="I161" t="n">
        <v>1</v>
      </c>
      <c r="J161" t="n">
        <v>1</v>
      </c>
      <c r="K161" t="n">
        <v>0</v>
      </c>
      <c r="L161" t="n">
        <v>0</v>
      </c>
      <c r="M161" t="n">
        <v>0</v>
      </c>
      <c r="N161" t="n">
        <v>0</v>
      </c>
      <c r="O161" t="n">
        <v>1</v>
      </c>
      <c r="P161" t="n">
        <v>0</v>
      </c>
      <c r="Q161" t="n">
        <v>2</v>
      </c>
      <c r="R161" s="2" t="inlineStr">
        <is>
          <t>Tallticka
Grönpyrola</t>
        </is>
      </c>
      <c r="S161">
        <f>HYPERLINK("https://klasma.github.io/Logging_0883/artfynd/A 59231-2022 artfynd.xlsx", "A 59231-2022")</f>
        <v/>
      </c>
      <c r="T161">
        <f>HYPERLINK("https://klasma.github.io/Logging_0883/kartor/A 59231-2022 karta.png", "A 59231-2022")</f>
        <v/>
      </c>
      <c r="V161">
        <f>HYPERLINK("https://klasma.github.io/Logging_0883/klagomål/A 59231-2022 FSC-klagomål.docx", "A 59231-2022")</f>
        <v/>
      </c>
      <c r="W161">
        <f>HYPERLINK("https://klasma.github.io/Logging_0883/klagomålsmail/A 59231-2022 FSC-klagomål mail.docx", "A 59231-2022")</f>
        <v/>
      </c>
      <c r="X161">
        <f>HYPERLINK("https://klasma.github.io/Logging_0883/tillsyn/A 59231-2022 tillsynsbegäran.docx", "A 59231-2022")</f>
        <v/>
      </c>
      <c r="Y161">
        <f>HYPERLINK("https://klasma.github.io/Logging_0883/tillsynsmail/A 59231-2022 tillsynsbegäran mail.docx", "A 59231-2022")</f>
        <v/>
      </c>
    </row>
    <row r="162" ht="15" customHeight="1">
      <c r="A162" t="inlineStr">
        <is>
          <t>A 948-2024</t>
        </is>
      </c>
      <c r="B162" s="1" t="n">
        <v>45301</v>
      </c>
      <c r="C162" s="1" t="n">
        <v>45901</v>
      </c>
      <c r="D162" t="inlineStr">
        <is>
          <t>KALMAR LÄN</t>
        </is>
      </c>
      <c r="E162" t="inlineStr">
        <is>
          <t>VÄSTERVIK</t>
        </is>
      </c>
      <c r="G162" t="n">
        <v>4.5</v>
      </c>
      <c r="H162" t="n">
        <v>1</v>
      </c>
      <c r="I162" t="n">
        <v>1</v>
      </c>
      <c r="J162" t="n">
        <v>0</v>
      </c>
      <c r="K162" t="n">
        <v>0</v>
      </c>
      <c r="L162" t="n">
        <v>0</v>
      </c>
      <c r="M162" t="n">
        <v>0</v>
      </c>
      <c r="N162" t="n">
        <v>0</v>
      </c>
      <c r="O162" t="n">
        <v>0</v>
      </c>
      <c r="P162" t="n">
        <v>0</v>
      </c>
      <c r="Q162" t="n">
        <v>2</v>
      </c>
      <c r="R162" s="2" t="inlineStr">
        <is>
          <t>Dropptaggsvamp
Tjäder</t>
        </is>
      </c>
      <c r="S162">
        <f>HYPERLINK("https://klasma.github.io/Logging_0883/artfynd/A 948-2024 artfynd.xlsx", "A 948-2024")</f>
        <v/>
      </c>
      <c r="T162">
        <f>HYPERLINK("https://klasma.github.io/Logging_0883/kartor/A 948-2024 karta.png", "A 948-2024")</f>
        <v/>
      </c>
      <c r="V162">
        <f>HYPERLINK("https://klasma.github.io/Logging_0883/klagomål/A 948-2024 FSC-klagomål.docx", "A 948-2024")</f>
        <v/>
      </c>
      <c r="W162">
        <f>HYPERLINK("https://klasma.github.io/Logging_0883/klagomålsmail/A 948-2024 FSC-klagomål mail.docx", "A 948-2024")</f>
        <v/>
      </c>
      <c r="X162">
        <f>HYPERLINK("https://klasma.github.io/Logging_0883/tillsyn/A 948-2024 tillsynsbegäran.docx", "A 948-2024")</f>
        <v/>
      </c>
      <c r="Y162">
        <f>HYPERLINK("https://klasma.github.io/Logging_0883/tillsynsmail/A 948-2024 tillsynsbegäran mail.docx", "A 948-2024")</f>
        <v/>
      </c>
      <c r="Z162">
        <f>HYPERLINK("https://klasma.github.io/Logging_0883/fåglar/A 948-2024 prioriterade fågelarter.docx", "A 948-2024")</f>
        <v/>
      </c>
    </row>
    <row r="163" ht="15" customHeight="1">
      <c r="A163" t="inlineStr">
        <is>
          <t>A 1955-2021</t>
        </is>
      </c>
      <c r="B163" s="1" t="n">
        <v>44210</v>
      </c>
      <c r="C163" s="1" t="n">
        <v>45901</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56180-2020</t>
        </is>
      </c>
      <c r="B164" s="1" t="n">
        <v>44133</v>
      </c>
      <c r="C164" s="1" t="n">
        <v>45901</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14126-2025</t>
        </is>
      </c>
      <c r="B165" s="1" t="n">
        <v>45740.47012731482</v>
      </c>
      <c r="C165" s="1" t="n">
        <v>45901</v>
      </c>
      <c r="D165" t="inlineStr">
        <is>
          <t>KALMAR LÄN</t>
        </is>
      </c>
      <c r="E165" t="inlineStr">
        <is>
          <t>VÄSTERVIK</t>
        </is>
      </c>
      <c r="F165" t="inlineStr">
        <is>
          <t>Sveaskog</t>
        </is>
      </c>
      <c r="G165" t="n">
        <v>1.3</v>
      </c>
      <c r="H165" t="n">
        <v>2</v>
      </c>
      <c r="I165" t="n">
        <v>0</v>
      </c>
      <c r="J165" t="n">
        <v>1</v>
      </c>
      <c r="K165" t="n">
        <v>0</v>
      </c>
      <c r="L165" t="n">
        <v>0</v>
      </c>
      <c r="M165" t="n">
        <v>0</v>
      </c>
      <c r="N165" t="n">
        <v>0</v>
      </c>
      <c r="O165" t="n">
        <v>1</v>
      </c>
      <c r="P165" t="n">
        <v>0</v>
      </c>
      <c r="Q165" t="n">
        <v>2</v>
      </c>
      <c r="R165" s="2" t="inlineStr">
        <is>
          <t>Grönsångare
Blåsippa</t>
        </is>
      </c>
      <c r="S165">
        <f>HYPERLINK("https://klasma.github.io/Logging_0883/artfynd/A 14126-2025 artfynd.xlsx", "A 14126-2025")</f>
        <v/>
      </c>
      <c r="T165">
        <f>HYPERLINK("https://klasma.github.io/Logging_0883/kartor/A 14126-2025 karta.png", "A 14126-2025")</f>
        <v/>
      </c>
      <c r="V165">
        <f>HYPERLINK("https://klasma.github.io/Logging_0883/klagomål/A 14126-2025 FSC-klagomål.docx", "A 14126-2025")</f>
        <v/>
      </c>
      <c r="W165">
        <f>HYPERLINK("https://klasma.github.io/Logging_0883/klagomålsmail/A 14126-2025 FSC-klagomål mail.docx", "A 14126-2025")</f>
        <v/>
      </c>
      <c r="X165">
        <f>HYPERLINK("https://klasma.github.io/Logging_0883/tillsyn/A 14126-2025 tillsynsbegäran.docx", "A 14126-2025")</f>
        <v/>
      </c>
      <c r="Y165">
        <f>HYPERLINK("https://klasma.github.io/Logging_0883/tillsynsmail/A 14126-2025 tillsynsbegäran mail.docx", "A 14126-2025")</f>
        <v/>
      </c>
      <c r="Z165">
        <f>HYPERLINK("https://klasma.github.io/Logging_0883/fåglar/A 14126-2025 prioriterade fågelarter.docx", "A 14126-2025")</f>
        <v/>
      </c>
    </row>
    <row r="166" ht="15" customHeight="1">
      <c r="A166" t="inlineStr">
        <is>
          <t>A 14301-2023</t>
        </is>
      </c>
      <c r="B166" s="1" t="n">
        <v>45011</v>
      </c>
      <c r="C166" s="1" t="n">
        <v>45901</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34119-2023</t>
        </is>
      </c>
      <c r="B167" s="1" t="n">
        <v>45135</v>
      </c>
      <c r="C167" s="1" t="n">
        <v>45901</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Blomkålssvamp</t>
        </is>
      </c>
      <c r="S167">
        <f>HYPERLINK("https://klasma.github.io/Logging_0883/artfynd/A 34119-2023 artfynd.xlsx", "A 34119-2023")</f>
        <v/>
      </c>
      <c r="T167">
        <f>HYPERLINK("https://klasma.github.io/Logging_0883/kartor/A 34119-2023 karta.png", "A 34119-2023")</f>
        <v/>
      </c>
      <c r="U167">
        <f>HYPERLINK("https://klasma.github.io/Logging_0883/knärot/A 34119-2023 karta knärot.png", "A 34119-2023")</f>
        <v/>
      </c>
      <c r="V167">
        <f>HYPERLINK("https://klasma.github.io/Logging_0883/klagomål/A 34119-2023 FSC-klagomål.docx", "A 34119-2023")</f>
        <v/>
      </c>
      <c r="W167">
        <f>HYPERLINK("https://klasma.github.io/Logging_0883/klagomålsmail/A 34119-2023 FSC-klagomål mail.docx", "A 34119-2023")</f>
        <v/>
      </c>
      <c r="X167">
        <f>HYPERLINK("https://klasma.github.io/Logging_0883/tillsyn/A 34119-2023 tillsynsbegäran.docx", "A 34119-2023")</f>
        <v/>
      </c>
      <c r="Y167">
        <f>HYPERLINK("https://klasma.github.io/Logging_0883/tillsynsmail/A 34119-2023 tillsynsbegäran mail.docx", "A 34119-2023")</f>
        <v/>
      </c>
    </row>
    <row r="168" ht="15" customHeight="1">
      <c r="A168" t="inlineStr">
        <is>
          <t>A 56857-2023</t>
        </is>
      </c>
      <c r="B168" s="1" t="n">
        <v>45244</v>
      </c>
      <c r="C168" s="1" t="n">
        <v>45901</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52831-2021</t>
        </is>
      </c>
      <c r="B169" s="1" t="n">
        <v>44467</v>
      </c>
      <c r="C169" s="1" t="n">
        <v>45901</v>
      </c>
      <c r="D169" t="inlineStr">
        <is>
          <t>KALMAR LÄN</t>
        </is>
      </c>
      <c r="E169" t="inlineStr">
        <is>
          <t>VÄSTERVIK</t>
        </is>
      </c>
      <c r="G169" t="n">
        <v>0.8</v>
      </c>
      <c r="H169" t="n">
        <v>0</v>
      </c>
      <c r="I169" t="n">
        <v>0</v>
      </c>
      <c r="J169" t="n">
        <v>1</v>
      </c>
      <c r="K169" t="n">
        <v>0</v>
      </c>
      <c r="L169" t="n">
        <v>0</v>
      </c>
      <c r="M169" t="n">
        <v>0</v>
      </c>
      <c r="N169" t="n">
        <v>0</v>
      </c>
      <c r="O169" t="n">
        <v>1</v>
      </c>
      <c r="P169" t="n">
        <v>0</v>
      </c>
      <c r="Q169" t="n">
        <v>1</v>
      </c>
      <c r="R169" s="2" t="inlineStr">
        <is>
          <t>Tallticka</t>
        </is>
      </c>
      <c r="S169">
        <f>HYPERLINK("https://klasma.github.io/Logging_0883/artfynd/A 52831-2021 artfynd.xlsx", "A 52831-2021")</f>
        <v/>
      </c>
      <c r="T169">
        <f>HYPERLINK("https://klasma.github.io/Logging_0883/kartor/A 52831-2021 karta.png", "A 52831-2021")</f>
        <v/>
      </c>
      <c r="V169">
        <f>HYPERLINK("https://klasma.github.io/Logging_0883/klagomål/A 52831-2021 FSC-klagomål.docx", "A 52831-2021")</f>
        <v/>
      </c>
      <c r="W169">
        <f>HYPERLINK("https://klasma.github.io/Logging_0883/klagomålsmail/A 52831-2021 FSC-klagomål mail.docx", "A 52831-2021")</f>
        <v/>
      </c>
      <c r="X169">
        <f>HYPERLINK("https://klasma.github.io/Logging_0883/tillsyn/A 52831-2021 tillsynsbegäran.docx", "A 52831-2021")</f>
        <v/>
      </c>
      <c r="Y169">
        <f>HYPERLINK("https://klasma.github.io/Logging_0883/tillsynsmail/A 52831-2021 tillsynsbegäran mail.docx", "A 52831-2021")</f>
        <v/>
      </c>
    </row>
    <row r="170" ht="15" customHeight="1">
      <c r="A170" t="inlineStr">
        <is>
          <t>A 69632-2020</t>
        </is>
      </c>
      <c r="B170" s="1" t="n">
        <v>44195</v>
      </c>
      <c r="C170" s="1" t="n">
        <v>45901</v>
      </c>
      <c r="D170" t="inlineStr">
        <is>
          <t>KALMAR LÄN</t>
        </is>
      </c>
      <c r="E170" t="inlineStr">
        <is>
          <t>VÄSTERVIK</t>
        </is>
      </c>
      <c r="G170" t="n">
        <v>2.5</v>
      </c>
      <c r="H170" t="n">
        <v>0</v>
      </c>
      <c r="I170" t="n">
        <v>0</v>
      </c>
      <c r="J170" t="n">
        <v>1</v>
      </c>
      <c r="K170" t="n">
        <v>0</v>
      </c>
      <c r="L170" t="n">
        <v>0</v>
      </c>
      <c r="M170" t="n">
        <v>0</v>
      </c>
      <c r="N170" t="n">
        <v>0</v>
      </c>
      <c r="O170" t="n">
        <v>1</v>
      </c>
      <c r="P170" t="n">
        <v>0</v>
      </c>
      <c r="Q170" t="n">
        <v>1</v>
      </c>
      <c r="R170" s="2" t="inlineStr">
        <is>
          <t>Tallticka</t>
        </is>
      </c>
      <c r="S170">
        <f>HYPERLINK("https://klasma.github.io/Logging_0883/artfynd/A 69632-2020 artfynd.xlsx", "A 69632-2020")</f>
        <v/>
      </c>
      <c r="T170">
        <f>HYPERLINK("https://klasma.github.io/Logging_0883/kartor/A 69632-2020 karta.png", "A 69632-2020")</f>
        <v/>
      </c>
      <c r="V170">
        <f>HYPERLINK("https://klasma.github.io/Logging_0883/klagomål/A 69632-2020 FSC-klagomål.docx", "A 69632-2020")</f>
        <v/>
      </c>
      <c r="W170">
        <f>HYPERLINK("https://klasma.github.io/Logging_0883/klagomålsmail/A 69632-2020 FSC-klagomål mail.docx", "A 69632-2020")</f>
        <v/>
      </c>
      <c r="X170">
        <f>HYPERLINK("https://klasma.github.io/Logging_0883/tillsyn/A 69632-2020 tillsynsbegäran.docx", "A 69632-2020")</f>
        <v/>
      </c>
      <c r="Y170">
        <f>HYPERLINK("https://klasma.github.io/Logging_0883/tillsynsmail/A 69632-2020 tillsynsbegäran mail.docx", "A 69632-2020")</f>
        <v/>
      </c>
    </row>
    <row r="171" ht="15" customHeight="1">
      <c r="A171" t="inlineStr">
        <is>
          <t>A 6025-2024</t>
        </is>
      </c>
      <c r="B171" s="1" t="n">
        <v>45336</v>
      </c>
      <c r="C171" s="1" t="n">
        <v>45901</v>
      </c>
      <c r="D171" t="inlineStr">
        <is>
          <t>KALMAR LÄN</t>
        </is>
      </c>
      <c r="E171" t="inlineStr">
        <is>
          <t>VÄSTERVIK</t>
        </is>
      </c>
      <c r="G171" t="n">
        <v>2.8</v>
      </c>
      <c r="H171" t="n">
        <v>0</v>
      </c>
      <c r="I171" t="n">
        <v>0</v>
      </c>
      <c r="J171" t="n">
        <v>1</v>
      </c>
      <c r="K171" t="n">
        <v>0</v>
      </c>
      <c r="L171" t="n">
        <v>0</v>
      </c>
      <c r="M171" t="n">
        <v>0</v>
      </c>
      <c r="N171" t="n">
        <v>0</v>
      </c>
      <c r="O171" t="n">
        <v>1</v>
      </c>
      <c r="P171" t="n">
        <v>0</v>
      </c>
      <c r="Q171" t="n">
        <v>1</v>
      </c>
      <c r="R171" s="2" t="inlineStr">
        <is>
          <t>Tallticka</t>
        </is>
      </c>
      <c r="S171">
        <f>HYPERLINK("https://klasma.github.io/Logging_0883/artfynd/A 6025-2024 artfynd.xlsx", "A 6025-2024")</f>
        <v/>
      </c>
      <c r="T171">
        <f>HYPERLINK("https://klasma.github.io/Logging_0883/kartor/A 6025-2024 karta.png", "A 6025-2024")</f>
        <v/>
      </c>
      <c r="V171">
        <f>HYPERLINK("https://klasma.github.io/Logging_0883/klagomål/A 6025-2024 FSC-klagomål.docx", "A 6025-2024")</f>
        <v/>
      </c>
      <c r="W171">
        <f>HYPERLINK("https://klasma.github.io/Logging_0883/klagomålsmail/A 6025-2024 FSC-klagomål mail.docx", "A 6025-2024")</f>
        <v/>
      </c>
      <c r="X171">
        <f>HYPERLINK("https://klasma.github.io/Logging_0883/tillsyn/A 6025-2024 tillsynsbegäran.docx", "A 6025-2024")</f>
        <v/>
      </c>
      <c r="Y171">
        <f>HYPERLINK("https://klasma.github.io/Logging_0883/tillsynsmail/A 6025-2024 tillsynsbegäran mail.docx", "A 6025-2024")</f>
        <v/>
      </c>
    </row>
    <row r="172" ht="15" customHeight="1">
      <c r="A172" t="inlineStr">
        <is>
          <t>A 59368-2023</t>
        </is>
      </c>
      <c r="B172" s="1" t="n">
        <v>45253</v>
      </c>
      <c r="C172" s="1" t="n">
        <v>45901</v>
      </c>
      <c r="D172" t="inlineStr">
        <is>
          <t>KALMAR LÄN</t>
        </is>
      </c>
      <c r="E172" t="inlineStr">
        <is>
          <t>VÄSTERVIK</t>
        </is>
      </c>
      <c r="G172" t="n">
        <v>2.4</v>
      </c>
      <c r="H172" t="n">
        <v>1</v>
      </c>
      <c r="I172" t="n">
        <v>0</v>
      </c>
      <c r="J172" t="n">
        <v>0</v>
      </c>
      <c r="K172" t="n">
        <v>1</v>
      </c>
      <c r="L172" t="n">
        <v>0</v>
      </c>
      <c r="M172" t="n">
        <v>0</v>
      </c>
      <c r="N172" t="n">
        <v>0</v>
      </c>
      <c r="O172" t="n">
        <v>1</v>
      </c>
      <c r="P172" t="n">
        <v>1</v>
      </c>
      <c r="Q172" t="n">
        <v>1</v>
      </c>
      <c r="R172" s="2" t="inlineStr">
        <is>
          <t>Knärot</t>
        </is>
      </c>
      <c r="S172">
        <f>HYPERLINK("https://klasma.github.io/Logging_0883/artfynd/A 59368-2023 artfynd.xlsx", "A 59368-2023")</f>
        <v/>
      </c>
      <c r="T172">
        <f>HYPERLINK("https://klasma.github.io/Logging_0883/kartor/A 59368-2023 karta.png", "A 59368-2023")</f>
        <v/>
      </c>
      <c r="U172">
        <f>HYPERLINK("https://klasma.github.io/Logging_0883/knärot/A 59368-2023 karta knärot.png", "A 59368-2023")</f>
        <v/>
      </c>
      <c r="V172">
        <f>HYPERLINK("https://klasma.github.io/Logging_0883/klagomål/A 59368-2023 FSC-klagomål.docx", "A 59368-2023")</f>
        <v/>
      </c>
      <c r="W172">
        <f>HYPERLINK("https://klasma.github.io/Logging_0883/klagomålsmail/A 59368-2023 FSC-klagomål mail.docx", "A 59368-2023")</f>
        <v/>
      </c>
      <c r="X172">
        <f>HYPERLINK("https://klasma.github.io/Logging_0883/tillsyn/A 59368-2023 tillsynsbegäran.docx", "A 59368-2023")</f>
        <v/>
      </c>
      <c r="Y172">
        <f>HYPERLINK("https://klasma.github.io/Logging_0883/tillsynsmail/A 59368-2023 tillsynsbegäran mail.docx", "A 59368-2023")</f>
        <v/>
      </c>
    </row>
    <row r="173" ht="15" customHeight="1">
      <c r="A173" t="inlineStr">
        <is>
          <t>A 46556-2022</t>
        </is>
      </c>
      <c r="B173" s="1" t="n">
        <v>44848</v>
      </c>
      <c r="C173" s="1" t="n">
        <v>45901</v>
      </c>
      <c r="D173" t="inlineStr">
        <is>
          <t>KALMAR LÄN</t>
        </is>
      </c>
      <c r="E173" t="inlineStr">
        <is>
          <t>VÄSTERVIK</t>
        </is>
      </c>
      <c r="F173" t="inlineStr">
        <is>
          <t>Sveaskog</t>
        </is>
      </c>
      <c r="G173" t="n">
        <v>1.5</v>
      </c>
      <c r="H173" t="n">
        <v>0</v>
      </c>
      <c r="I173" t="n">
        <v>1</v>
      </c>
      <c r="J173" t="n">
        <v>0</v>
      </c>
      <c r="K173" t="n">
        <v>0</v>
      </c>
      <c r="L173" t="n">
        <v>0</v>
      </c>
      <c r="M173" t="n">
        <v>0</v>
      </c>
      <c r="N173" t="n">
        <v>0</v>
      </c>
      <c r="O173" t="n">
        <v>0</v>
      </c>
      <c r="P173" t="n">
        <v>0</v>
      </c>
      <c r="Q173" t="n">
        <v>1</v>
      </c>
      <c r="R173" s="2" t="inlineStr">
        <is>
          <t>Fjällig taggsvamp s.str.</t>
        </is>
      </c>
      <c r="S173">
        <f>HYPERLINK("https://klasma.github.io/Logging_0883/artfynd/A 46556-2022 artfynd.xlsx", "A 46556-2022")</f>
        <v/>
      </c>
      <c r="T173">
        <f>HYPERLINK("https://klasma.github.io/Logging_0883/kartor/A 46556-2022 karta.png", "A 46556-2022")</f>
        <v/>
      </c>
      <c r="V173">
        <f>HYPERLINK("https://klasma.github.io/Logging_0883/klagomål/A 46556-2022 FSC-klagomål.docx", "A 46556-2022")</f>
        <v/>
      </c>
      <c r="W173">
        <f>HYPERLINK("https://klasma.github.io/Logging_0883/klagomålsmail/A 46556-2022 FSC-klagomål mail.docx", "A 46556-2022")</f>
        <v/>
      </c>
      <c r="X173">
        <f>HYPERLINK("https://klasma.github.io/Logging_0883/tillsyn/A 46556-2022 tillsynsbegäran.docx", "A 46556-2022")</f>
        <v/>
      </c>
      <c r="Y173">
        <f>HYPERLINK("https://klasma.github.io/Logging_0883/tillsynsmail/A 46556-2022 tillsynsbegäran mail.docx", "A 46556-2022")</f>
        <v/>
      </c>
    </row>
    <row r="174" ht="15" customHeight="1">
      <c r="A174" t="inlineStr">
        <is>
          <t>A 32653-2023</t>
        </is>
      </c>
      <c r="B174" s="1" t="n">
        <v>45121</v>
      </c>
      <c r="C174" s="1" t="n">
        <v>45901</v>
      </c>
      <c r="D174" t="inlineStr">
        <is>
          <t>KALMAR LÄN</t>
        </is>
      </c>
      <c r="E174" t="inlineStr">
        <is>
          <t>VÄSTERVIK</t>
        </is>
      </c>
      <c r="G174" t="n">
        <v>1.4</v>
      </c>
      <c r="H174" t="n">
        <v>1</v>
      </c>
      <c r="I174" t="n">
        <v>0</v>
      </c>
      <c r="J174" t="n">
        <v>0</v>
      </c>
      <c r="K174" t="n">
        <v>1</v>
      </c>
      <c r="L174" t="n">
        <v>0</v>
      </c>
      <c r="M174" t="n">
        <v>0</v>
      </c>
      <c r="N174" t="n">
        <v>0</v>
      </c>
      <c r="O174" t="n">
        <v>1</v>
      </c>
      <c r="P174" t="n">
        <v>1</v>
      </c>
      <c r="Q174" t="n">
        <v>1</v>
      </c>
      <c r="R174" s="2" t="inlineStr">
        <is>
          <t>Knärot</t>
        </is>
      </c>
      <c r="S174">
        <f>HYPERLINK("https://klasma.github.io/Logging_0883/artfynd/A 32653-2023 artfynd.xlsx", "A 32653-2023")</f>
        <v/>
      </c>
      <c r="T174">
        <f>HYPERLINK("https://klasma.github.io/Logging_0883/kartor/A 32653-2023 karta.png", "A 32653-2023")</f>
        <v/>
      </c>
      <c r="U174">
        <f>HYPERLINK("https://klasma.github.io/Logging_0883/knärot/A 32653-2023 karta knärot.png", "A 32653-2023")</f>
        <v/>
      </c>
      <c r="V174">
        <f>HYPERLINK("https://klasma.github.io/Logging_0883/klagomål/A 32653-2023 FSC-klagomål.docx", "A 32653-2023")</f>
        <v/>
      </c>
      <c r="W174">
        <f>HYPERLINK("https://klasma.github.io/Logging_0883/klagomålsmail/A 32653-2023 FSC-klagomål mail.docx", "A 32653-2023")</f>
        <v/>
      </c>
      <c r="X174">
        <f>HYPERLINK("https://klasma.github.io/Logging_0883/tillsyn/A 32653-2023 tillsynsbegäran.docx", "A 32653-2023")</f>
        <v/>
      </c>
      <c r="Y174">
        <f>HYPERLINK("https://klasma.github.io/Logging_0883/tillsynsmail/A 32653-2023 tillsynsbegäran mail.docx", "A 32653-2023")</f>
        <v/>
      </c>
    </row>
    <row r="175" ht="15" customHeight="1">
      <c r="A175" t="inlineStr">
        <is>
          <t>A 21409-2025</t>
        </is>
      </c>
      <c r="B175" s="1" t="n">
        <v>45782</v>
      </c>
      <c r="C175" s="1" t="n">
        <v>45901</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45901</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3057-2025</t>
        </is>
      </c>
      <c r="B177" s="1" t="n">
        <v>45678</v>
      </c>
      <c r="C177" s="1" t="n">
        <v>45901</v>
      </c>
      <c r="D177" t="inlineStr">
        <is>
          <t>KALMAR LÄN</t>
        </is>
      </c>
      <c r="E177" t="inlineStr">
        <is>
          <t>VÄSTERVIK</t>
        </is>
      </c>
      <c r="G177" t="n">
        <v>1</v>
      </c>
      <c r="H177" t="n">
        <v>1</v>
      </c>
      <c r="I177" t="n">
        <v>0</v>
      </c>
      <c r="J177" t="n">
        <v>0</v>
      </c>
      <c r="K177" t="n">
        <v>1</v>
      </c>
      <c r="L177" t="n">
        <v>0</v>
      </c>
      <c r="M177" t="n">
        <v>0</v>
      </c>
      <c r="N177" t="n">
        <v>0</v>
      </c>
      <c r="O177" t="n">
        <v>1</v>
      </c>
      <c r="P177" t="n">
        <v>1</v>
      </c>
      <c r="Q177" t="n">
        <v>1</v>
      </c>
      <c r="R177" s="2" t="inlineStr">
        <is>
          <t>Knärot</t>
        </is>
      </c>
      <c r="S177">
        <f>HYPERLINK("https://klasma.github.io/Logging_0883/artfynd/A 3057-2025 artfynd.xlsx", "A 3057-2025")</f>
        <v/>
      </c>
      <c r="T177">
        <f>HYPERLINK("https://klasma.github.io/Logging_0883/kartor/A 3057-2025 karta.png", "A 3057-2025")</f>
        <v/>
      </c>
      <c r="U177">
        <f>HYPERLINK("https://klasma.github.io/Logging_0883/knärot/A 3057-2025 karta knärot.png", "A 3057-2025")</f>
        <v/>
      </c>
      <c r="V177">
        <f>HYPERLINK("https://klasma.github.io/Logging_0883/klagomål/A 3057-2025 FSC-klagomål.docx", "A 3057-2025")</f>
        <v/>
      </c>
      <c r="W177">
        <f>HYPERLINK("https://klasma.github.io/Logging_0883/klagomålsmail/A 3057-2025 FSC-klagomål mail.docx", "A 3057-2025")</f>
        <v/>
      </c>
      <c r="X177">
        <f>HYPERLINK("https://klasma.github.io/Logging_0883/tillsyn/A 3057-2025 tillsynsbegäran.docx", "A 3057-2025")</f>
        <v/>
      </c>
      <c r="Y177">
        <f>HYPERLINK("https://klasma.github.io/Logging_0883/tillsynsmail/A 3057-2025 tillsynsbegäran mail.docx", "A 3057-2025")</f>
        <v/>
      </c>
    </row>
    <row r="178" ht="15" customHeight="1">
      <c r="A178" t="inlineStr">
        <is>
          <t>A 66752-2020</t>
        </is>
      </c>
      <c r="B178" s="1" t="n">
        <v>44175</v>
      </c>
      <c r="C178" s="1" t="n">
        <v>45901</v>
      </c>
      <c r="D178" t="inlineStr">
        <is>
          <t>KALMAR LÄN</t>
        </is>
      </c>
      <c r="E178" t="inlineStr">
        <is>
          <t>VÄSTERVIK</t>
        </is>
      </c>
      <c r="G178" t="n">
        <v>0.7</v>
      </c>
      <c r="H178" t="n">
        <v>0</v>
      </c>
      <c r="I178" t="n">
        <v>0</v>
      </c>
      <c r="J178" t="n">
        <v>1</v>
      </c>
      <c r="K178" t="n">
        <v>0</v>
      </c>
      <c r="L178" t="n">
        <v>0</v>
      </c>
      <c r="M178" t="n">
        <v>0</v>
      </c>
      <c r="N178" t="n">
        <v>0</v>
      </c>
      <c r="O178" t="n">
        <v>1</v>
      </c>
      <c r="P178" t="n">
        <v>0</v>
      </c>
      <c r="Q178" t="n">
        <v>1</v>
      </c>
      <c r="R178" s="2" t="inlineStr">
        <is>
          <t>Tallticka</t>
        </is>
      </c>
      <c r="S178">
        <f>HYPERLINK("https://klasma.github.io/Logging_0883/artfynd/A 66752-2020 artfynd.xlsx", "A 66752-2020")</f>
        <v/>
      </c>
      <c r="T178">
        <f>HYPERLINK("https://klasma.github.io/Logging_0883/kartor/A 66752-2020 karta.png", "A 66752-2020")</f>
        <v/>
      </c>
      <c r="V178">
        <f>HYPERLINK("https://klasma.github.io/Logging_0883/klagomål/A 66752-2020 FSC-klagomål.docx", "A 66752-2020")</f>
        <v/>
      </c>
      <c r="W178">
        <f>HYPERLINK("https://klasma.github.io/Logging_0883/klagomålsmail/A 66752-2020 FSC-klagomål mail.docx", "A 66752-2020")</f>
        <v/>
      </c>
      <c r="X178">
        <f>HYPERLINK("https://klasma.github.io/Logging_0883/tillsyn/A 66752-2020 tillsynsbegäran.docx", "A 66752-2020")</f>
        <v/>
      </c>
      <c r="Y178">
        <f>HYPERLINK("https://klasma.github.io/Logging_0883/tillsynsmail/A 66752-2020 tillsynsbegäran mail.docx", "A 66752-2020")</f>
        <v/>
      </c>
    </row>
    <row r="179" ht="15" customHeight="1">
      <c r="A179" t="inlineStr">
        <is>
          <t>A 11729-2023</t>
        </is>
      </c>
      <c r="B179" s="1" t="n">
        <v>44994</v>
      </c>
      <c r="C179" s="1" t="n">
        <v>45901</v>
      </c>
      <c r="D179" t="inlineStr">
        <is>
          <t>KALMAR LÄN</t>
        </is>
      </c>
      <c r="E179" t="inlineStr">
        <is>
          <t>VÄSTERVIK</t>
        </is>
      </c>
      <c r="F179" t="inlineStr">
        <is>
          <t>Sveaskog</t>
        </is>
      </c>
      <c r="G179" t="n">
        <v>4.1</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HYPERLINK("https://klasma.github.io/Logging_0883/artfynd/A 11729-2023 artfynd.xlsx", "A 11729-2023")</f>
        <v/>
      </c>
      <c r="T179">
        <f>HYPERLINK("https://klasma.github.io/Logging_0883/kartor/A 11729-2023 karta.png", "A 11729-2023")</f>
        <v/>
      </c>
      <c r="V179">
        <f>HYPERLINK("https://klasma.github.io/Logging_0883/klagomål/A 11729-2023 FSC-klagomål.docx", "A 11729-2023")</f>
        <v/>
      </c>
      <c r="W179">
        <f>HYPERLINK("https://klasma.github.io/Logging_0883/klagomålsmail/A 11729-2023 FSC-klagomål mail.docx", "A 11729-2023")</f>
        <v/>
      </c>
      <c r="X179">
        <f>HYPERLINK("https://klasma.github.io/Logging_0883/tillsyn/A 11729-2023 tillsynsbegäran.docx", "A 11729-2023")</f>
        <v/>
      </c>
      <c r="Y179">
        <f>HYPERLINK("https://klasma.github.io/Logging_0883/tillsynsmail/A 11729-2023 tillsynsbegäran mail.docx", "A 11729-2023")</f>
        <v/>
      </c>
    </row>
    <row r="180" ht="15" customHeight="1">
      <c r="A180" t="inlineStr">
        <is>
          <t>A 23186-2025</t>
        </is>
      </c>
      <c r="B180" s="1" t="n">
        <v>45791.44415509259</v>
      </c>
      <c r="C180" s="1" t="n">
        <v>45901</v>
      </c>
      <c r="D180" t="inlineStr">
        <is>
          <t>KALMAR LÄN</t>
        </is>
      </c>
      <c r="E180" t="inlineStr">
        <is>
          <t>VÄSTERVIK</t>
        </is>
      </c>
      <c r="G180" t="n">
        <v>1.4</v>
      </c>
      <c r="H180" t="n">
        <v>0</v>
      </c>
      <c r="I180" t="n">
        <v>0</v>
      </c>
      <c r="J180" t="n">
        <v>1</v>
      </c>
      <c r="K180" t="n">
        <v>0</v>
      </c>
      <c r="L180" t="n">
        <v>0</v>
      </c>
      <c r="M180" t="n">
        <v>0</v>
      </c>
      <c r="N180" t="n">
        <v>0</v>
      </c>
      <c r="O180" t="n">
        <v>1</v>
      </c>
      <c r="P180" t="n">
        <v>0</v>
      </c>
      <c r="Q180" t="n">
        <v>1</v>
      </c>
      <c r="R180" s="2" t="inlineStr">
        <is>
          <t>Krusfrö</t>
        </is>
      </c>
      <c r="S180">
        <f>HYPERLINK("https://klasma.github.io/Logging_0883/artfynd/A 23186-2025 artfynd.xlsx", "A 23186-2025")</f>
        <v/>
      </c>
      <c r="T180">
        <f>HYPERLINK("https://klasma.github.io/Logging_0883/kartor/A 23186-2025 karta.png", "A 23186-2025")</f>
        <v/>
      </c>
      <c r="V180">
        <f>HYPERLINK("https://klasma.github.io/Logging_0883/klagomål/A 23186-2025 FSC-klagomål.docx", "A 23186-2025")</f>
        <v/>
      </c>
      <c r="W180">
        <f>HYPERLINK("https://klasma.github.io/Logging_0883/klagomålsmail/A 23186-2025 FSC-klagomål mail.docx", "A 23186-2025")</f>
        <v/>
      </c>
      <c r="X180">
        <f>HYPERLINK("https://klasma.github.io/Logging_0883/tillsyn/A 23186-2025 tillsynsbegäran.docx", "A 23186-2025")</f>
        <v/>
      </c>
      <c r="Y180">
        <f>HYPERLINK("https://klasma.github.io/Logging_0883/tillsynsmail/A 23186-2025 tillsynsbegäran mail.docx", "A 23186-2025")</f>
        <v/>
      </c>
    </row>
    <row r="181" ht="15" customHeight="1">
      <c r="A181" t="inlineStr">
        <is>
          <t>A 23192-2025</t>
        </is>
      </c>
      <c r="B181" s="1" t="n">
        <v>45791.45371527778</v>
      </c>
      <c r="C181" s="1" t="n">
        <v>45901</v>
      </c>
      <c r="D181" t="inlineStr">
        <is>
          <t>KALMAR LÄN</t>
        </is>
      </c>
      <c r="E181" t="inlineStr">
        <is>
          <t>VÄSTERVIK</t>
        </is>
      </c>
      <c r="G181" t="n">
        <v>1.5</v>
      </c>
      <c r="H181" t="n">
        <v>1</v>
      </c>
      <c r="I181" t="n">
        <v>0</v>
      </c>
      <c r="J181" t="n">
        <v>1</v>
      </c>
      <c r="K181" t="n">
        <v>0</v>
      </c>
      <c r="L181" t="n">
        <v>0</v>
      </c>
      <c r="M181" t="n">
        <v>0</v>
      </c>
      <c r="N181" t="n">
        <v>0</v>
      </c>
      <c r="O181" t="n">
        <v>1</v>
      </c>
      <c r="P181" t="n">
        <v>0</v>
      </c>
      <c r="Q181" t="n">
        <v>1</v>
      </c>
      <c r="R181" s="2" t="inlineStr">
        <is>
          <t>Talltita</t>
        </is>
      </c>
      <c r="S181">
        <f>HYPERLINK("https://klasma.github.io/Logging_0883/artfynd/A 23192-2025 artfynd.xlsx", "A 23192-2025")</f>
        <v/>
      </c>
      <c r="T181">
        <f>HYPERLINK("https://klasma.github.io/Logging_0883/kartor/A 23192-2025 karta.png", "A 23192-2025")</f>
        <v/>
      </c>
      <c r="V181">
        <f>HYPERLINK("https://klasma.github.io/Logging_0883/klagomål/A 23192-2025 FSC-klagomål.docx", "A 23192-2025")</f>
        <v/>
      </c>
      <c r="W181">
        <f>HYPERLINK("https://klasma.github.io/Logging_0883/klagomålsmail/A 23192-2025 FSC-klagomål mail.docx", "A 23192-2025")</f>
        <v/>
      </c>
      <c r="X181">
        <f>HYPERLINK("https://klasma.github.io/Logging_0883/tillsyn/A 23192-2025 tillsynsbegäran.docx", "A 23192-2025")</f>
        <v/>
      </c>
      <c r="Y181">
        <f>HYPERLINK("https://klasma.github.io/Logging_0883/tillsynsmail/A 23192-2025 tillsynsbegäran mail.docx", "A 23192-2025")</f>
        <v/>
      </c>
      <c r="Z181">
        <f>HYPERLINK("https://klasma.github.io/Logging_0883/fåglar/A 23192-2025 prioriterade fågelarter.docx", "A 23192-2025")</f>
        <v/>
      </c>
    </row>
    <row r="182" ht="15" customHeight="1">
      <c r="A182" t="inlineStr">
        <is>
          <t>A 33815-2023</t>
        </is>
      </c>
      <c r="B182" s="1" t="n">
        <v>45133.59306712963</v>
      </c>
      <c r="C182" s="1" t="n">
        <v>45901</v>
      </c>
      <c r="D182" t="inlineStr">
        <is>
          <t>KALMAR LÄN</t>
        </is>
      </c>
      <c r="E182" t="inlineStr">
        <is>
          <t>VÄSTERVIK</t>
        </is>
      </c>
      <c r="G182" t="n">
        <v>3.4</v>
      </c>
      <c r="H182" t="n">
        <v>0</v>
      </c>
      <c r="I182" t="n">
        <v>1</v>
      </c>
      <c r="J182" t="n">
        <v>0</v>
      </c>
      <c r="K182" t="n">
        <v>0</v>
      </c>
      <c r="L182" t="n">
        <v>0</v>
      </c>
      <c r="M182" t="n">
        <v>0</v>
      </c>
      <c r="N182" t="n">
        <v>0</v>
      </c>
      <c r="O182" t="n">
        <v>0</v>
      </c>
      <c r="P182" t="n">
        <v>0</v>
      </c>
      <c r="Q182" t="n">
        <v>1</v>
      </c>
      <c r="R182" s="2" t="inlineStr">
        <is>
          <t>Grönpyrola</t>
        </is>
      </c>
      <c r="S182">
        <f>HYPERLINK("https://klasma.github.io/Logging_0883/artfynd/A 33815-2023 artfynd.xlsx", "A 33815-2023")</f>
        <v/>
      </c>
      <c r="T182">
        <f>HYPERLINK("https://klasma.github.io/Logging_0883/kartor/A 33815-2023 karta.png", "A 33815-2023")</f>
        <v/>
      </c>
      <c r="V182">
        <f>HYPERLINK("https://klasma.github.io/Logging_0883/klagomål/A 33815-2023 FSC-klagomål.docx", "A 33815-2023")</f>
        <v/>
      </c>
      <c r="W182">
        <f>HYPERLINK("https://klasma.github.io/Logging_0883/klagomålsmail/A 33815-2023 FSC-klagomål mail.docx", "A 33815-2023")</f>
        <v/>
      </c>
      <c r="X182">
        <f>HYPERLINK("https://klasma.github.io/Logging_0883/tillsyn/A 33815-2023 tillsynsbegäran.docx", "A 33815-2023")</f>
        <v/>
      </c>
      <c r="Y182">
        <f>HYPERLINK("https://klasma.github.io/Logging_0883/tillsynsmail/A 33815-2023 tillsynsbegäran mail.docx", "A 33815-2023")</f>
        <v/>
      </c>
    </row>
    <row r="183" ht="15" customHeight="1">
      <c r="A183" t="inlineStr">
        <is>
          <t>A 33816-2023</t>
        </is>
      </c>
      <c r="B183" s="1" t="n">
        <v>45133.59490740741</v>
      </c>
      <c r="C183" s="1" t="n">
        <v>45901</v>
      </c>
      <c r="D183" t="inlineStr">
        <is>
          <t>KALMAR LÄN</t>
        </is>
      </c>
      <c r="E183" t="inlineStr">
        <is>
          <t>VÄSTERVIK</t>
        </is>
      </c>
      <c r="G183" t="n">
        <v>4.9</v>
      </c>
      <c r="H183" t="n">
        <v>0</v>
      </c>
      <c r="I183" t="n">
        <v>0</v>
      </c>
      <c r="J183" t="n">
        <v>1</v>
      </c>
      <c r="K183" t="n">
        <v>0</v>
      </c>
      <c r="L183" t="n">
        <v>0</v>
      </c>
      <c r="M183" t="n">
        <v>0</v>
      </c>
      <c r="N183" t="n">
        <v>0</v>
      </c>
      <c r="O183" t="n">
        <v>1</v>
      </c>
      <c r="P183" t="n">
        <v>0</v>
      </c>
      <c r="Q183" t="n">
        <v>1</v>
      </c>
      <c r="R183" s="2" t="inlineStr">
        <is>
          <t>Tallticka</t>
        </is>
      </c>
      <c r="S183">
        <f>HYPERLINK("https://klasma.github.io/Logging_0883/artfynd/A 33816-2023 artfynd.xlsx", "A 33816-2023")</f>
        <v/>
      </c>
      <c r="T183">
        <f>HYPERLINK("https://klasma.github.io/Logging_0883/kartor/A 33816-2023 karta.png", "A 33816-2023")</f>
        <v/>
      </c>
      <c r="V183">
        <f>HYPERLINK("https://klasma.github.io/Logging_0883/klagomål/A 33816-2023 FSC-klagomål.docx", "A 33816-2023")</f>
        <v/>
      </c>
      <c r="W183">
        <f>HYPERLINK("https://klasma.github.io/Logging_0883/klagomålsmail/A 33816-2023 FSC-klagomål mail.docx", "A 33816-2023")</f>
        <v/>
      </c>
      <c r="X183">
        <f>HYPERLINK("https://klasma.github.io/Logging_0883/tillsyn/A 33816-2023 tillsynsbegäran.docx", "A 33816-2023")</f>
        <v/>
      </c>
      <c r="Y183">
        <f>HYPERLINK("https://klasma.github.io/Logging_0883/tillsynsmail/A 33816-2023 tillsynsbegäran mail.docx", "A 33816-2023")</f>
        <v/>
      </c>
    </row>
    <row r="184" ht="15" customHeight="1">
      <c r="A184" t="inlineStr">
        <is>
          <t>A 1775-2025</t>
        </is>
      </c>
      <c r="B184" s="1" t="n">
        <v>45671.44059027778</v>
      </c>
      <c r="C184" s="1" t="n">
        <v>45901</v>
      </c>
      <c r="D184" t="inlineStr">
        <is>
          <t>KALMAR LÄN</t>
        </is>
      </c>
      <c r="E184" t="inlineStr">
        <is>
          <t>VÄSTERVIK</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HYPERLINK("https://klasma.github.io/Logging_0883/artfynd/A 1775-2025 artfynd.xlsx", "A 1775-2025")</f>
        <v/>
      </c>
      <c r="T184">
        <f>HYPERLINK("https://klasma.github.io/Logging_0883/kartor/A 1775-2025 karta.png", "A 1775-2025")</f>
        <v/>
      </c>
      <c r="V184">
        <f>HYPERLINK("https://klasma.github.io/Logging_0883/klagomål/A 1775-2025 FSC-klagomål.docx", "A 1775-2025")</f>
        <v/>
      </c>
      <c r="W184">
        <f>HYPERLINK("https://klasma.github.io/Logging_0883/klagomålsmail/A 1775-2025 FSC-klagomål mail.docx", "A 1775-2025")</f>
        <v/>
      </c>
      <c r="X184">
        <f>HYPERLINK("https://klasma.github.io/Logging_0883/tillsyn/A 1775-2025 tillsynsbegäran.docx", "A 1775-2025")</f>
        <v/>
      </c>
      <c r="Y184">
        <f>HYPERLINK("https://klasma.github.io/Logging_0883/tillsynsmail/A 1775-2025 tillsynsbegäran mail.docx", "A 1775-2025")</f>
        <v/>
      </c>
      <c r="Z184">
        <f>HYPERLINK("https://klasma.github.io/Logging_0883/fåglar/A 1775-2025 prioriterade fågelarter.docx", "A 1775-2025")</f>
        <v/>
      </c>
    </row>
    <row r="185" ht="15" customHeight="1">
      <c r="A185" t="inlineStr">
        <is>
          <t>A 43788-2023</t>
        </is>
      </c>
      <c r="B185" s="1" t="n">
        <v>45187.53707175926</v>
      </c>
      <c r="C185" s="1" t="n">
        <v>45901</v>
      </c>
      <c r="D185" t="inlineStr">
        <is>
          <t>KALMAR LÄN</t>
        </is>
      </c>
      <c r="E185" t="inlineStr">
        <is>
          <t>VÄSTERVIK</t>
        </is>
      </c>
      <c r="G185" t="n">
        <v>4.5</v>
      </c>
      <c r="H185" t="n">
        <v>0</v>
      </c>
      <c r="I185" t="n">
        <v>0</v>
      </c>
      <c r="J185" t="n">
        <v>1</v>
      </c>
      <c r="K185" t="n">
        <v>0</v>
      </c>
      <c r="L185" t="n">
        <v>0</v>
      </c>
      <c r="M185" t="n">
        <v>0</v>
      </c>
      <c r="N185" t="n">
        <v>0</v>
      </c>
      <c r="O185" t="n">
        <v>1</v>
      </c>
      <c r="P185" t="n">
        <v>0</v>
      </c>
      <c r="Q185" t="n">
        <v>1</v>
      </c>
      <c r="R185" s="2" t="inlineStr">
        <is>
          <t>Motaggsvamp</t>
        </is>
      </c>
      <c r="S185">
        <f>HYPERLINK("https://klasma.github.io/Logging_0883/artfynd/A 43788-2023 artfynd.xlsx", "A 43788-2023")</f>
        <v/>
      </c>
      <c r="T185">
        <f>HYPERLINK("https://klasma.github.io/Logging_0883/kartor/A 43788-2023 karta.png", "A 43788-2023")</f>
        <v/>
      </c>
      <c r="V185">
        <f>HYPERLINK("https://klasma.github.io/Logging_0883/klagomål/A 43788-2023 FSC-klagomål.docx", "A 43788-2023")</f>
        <v/>
      </c>
      <c r="W185">
        <f>HYPERLINK("https://klasma.github.io/Logging_0883/klagomålsmail/A 43788-2023 FSC-klagomål mail.docx", "A 43788-2023")</f>
        <v/>
      </c>
      <c r="X185">
        <f>HYPERLINK("https://klasma.github.io/Logging_0883/tillsyn/A 43788-2023 tillsynsbegäran.docx", "A 43788-2023")</f>
        <v/>
      </c>
      <c r="Y185">
        <f>HYPERLINK("https://klasma.github.io/Logging_0883/tillsynsmail/A 43788-2023 tillsynsbegäran mail.docx", "A 43788-2023")</f>
        <v/>
      </c>
    </row>
    <row r="186" ht="15" customHeight="1">
      <c r="A186" t="inlineStr">
        <is>
          <t>A 23199-2025</t>
        </is>
      </c>
      <c r="B186" s="1" t="n">
        <v>45791.45887731481</v>
      </c>
      <c r="C186" s="1" t="n">
        <v>45901</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23199-2025 artfynd.xlsx", "A 23199-2025")</f>
        <v/>
      </c>
      <c r="T186">
        <f>HYPERLINK("https://klasma.github.io/Logging_0883/kartor/A 23199-2025 karta.png", "A 23199-2025")</f>
        <v/>
      </c>
      <c r="V186">
        <f>HYPERLINK("https://klasma.github.io/Logging_0883/klagomål/A 23199-2025 FSC-klagomål.docx", "A 23199-2025")</f>
        <v/>
      </c>
      <c r="W186">
        <f>HYPERLINK("https://klasma.github.io/Logging_0883/klagomålsmail/A 23199-2025 FSC-klagomål mail.docx", "A 23199-2025")</f>
        <v/>
      </c>
      <c r="X186">
        <f>HYPERLINK("https://klasma.github.io/Logging_0883/tillsyn/A 23199-2025 tillsynsbegäran.docx", "A 23199-2025")</f>
        <v/>
      </c>
      <c r="Y186">
        <f>HYPERLINK("https://klasma.github.io/Logging_0883/tillsynsmail/A 23199-2025 tillsynsbegäran mail.docx", "A 23199-2025")</f>
        <v/>
      </c>
    </row>
    <row r="187" ht="15" customHeight="1">
      <c r="A187" t="inlineStr">
        <is>
          <t>A 27708-2024</t>
        </is>
      </c>
      <c r="B187" s="1" t="n">
        <v>45475</v>
      </c>
      <c r="C187" s="1" t="n">
        <v>45901</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46559-2022</t>
        </is>
      </c>
      <c r="B188" s="1" t="n">
        <v>44848</v>
      </c>
      <c r="C188" s="1" t="n">
        <v>45901</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25594-2021</t>
        </is>
      </c>
      <c r="B189" s="1" t="n">
        <v>44343</v>
      </c>
      <c r="C189" s="1" t="n">
        <v>45901</v>
      </c>
      <c r="D189" t="inlineStr">
        <is>
          <t>KALMAR LÄN</t>
        </is>
      </c>
      <c r="E189" t="inlineStr">
        <is>
          <t>VÄSTERVIK</t>
        </is>
      </c>
      <c r="F189" t="inlineStr">
        <is>
          <t>Holmen skog AB</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HYPERLINK("https://klasma.github.io/Logging_0883/artfynd/A 25594-2021 artfynd.xlsx", "A 25594-2021")</f>
        <v/>
      </c>
      <c r="T189">
        <f>HYPERLINK("https://klasma.github.io/Logging_0883/kartor/A 25594-2021 karta.png", "A 25594-2021")</f>
        <v/>
      </c>
      <c r="U189">
        <f>HYPERLINK("https://klasma.github.io/Logging_0883/knärot/A 25594-2021 karta knärot.png", "A 25594-2021")</f>
        <v/>
      </c>
      <c r="V189">
        <f>HYPERLINK("https://klasma.github.io/Logging_0883/klagomål/A 25594-2021 FSC-klagomål.docx", "A 25594-2021")</f>
        <v/>
      </c>
      <c r="W189">
        <f>HYPERLINK("https://klasma.github.io/Logging_0883/klagomålsmail/A 25594-2021 FSC-klagomål mail.docx", "A 25594-2021")</f>
        <v/>
      </c>
      <c r="X189">
        <f>HYPERLINK("https://klasma.github.io/Logging_0883/tillsyn/A 25594-2021 tillsynsbegäran.docx", "A 25594-2021")</f>
        <v/>
      </c>
      <c r="Y189">
        <f>HYPERLINK("https://klasma.github.io/Logging_0883/tillsynsmail/A 25594-2021 tillsynsbegäran mail.docx", "A 25594-2021")</f>
        <v/>
      </c>
    </row>
    <row r="190" ht="15" customHeight="1">
      <c r="A190" t="inlineStr">
        <is>
          <t>A 24884-2025</t>
        </is>
      </c>
      <c r="B190" s="1" t="n">
        <v>45799.50620370371</v>
      </c>
      <c r="C190" s="1" t="n">
        <v>45901</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25501-2025</t>
        </is>
      </c>
      <c r="B191" s="1" t="n">
        <v>45803.34567129629</v>
      </c>
      <c r="C191" s="1" t="n">
        <v>45901</v>
      </c>
      <c r="D191" t="inlineStr">
        <is>
          <t>KALMAR LÄN</t>
        </is>
      </c>
      <c r="E191" t="inlineStr">
        <is>
          <t>VÄSTERVIK</t>
        </is>
      </c>
      <c r="G191" t="n">
        <v>1.8</v>
      </c>
      <c r="H191" t="n">
        <v>1</v>
      </c>
      <c r="I191" t="n">
        <v>0</v>
      </c>
      <c r="J191" t="n">
        <v>0</v>
      </c>
      <c r="K191" t="n">
        <v>0</v>
      </c>
      <c r="L191" t="n">
        <v>0</v>
      </c>
      <c r="M191" t="n">
        <v>0</v>
      </c>
      <c r="N191" t="n">
        <v>0</v>
      </c>
      <c r="O191" t="n">
        <v>0</v>
      </c>
      <c r="P191" t="n">
        <v>0</v>
      </c>
      <c r="Q191" t="n">
        <v>1</v>
      </c>
      <c r="R191" s="2" t="inlineStr">
        <is>
          <t>Kungsfågel</t>
        </is>
      </c>
      <c r="S191">
        <f>HYPERLINK("https://klasma.github.io/Logging_0883/artfynd/A 25501-2025 artfynd.xlsx", "A 25501-2025")</f>
        <v/>
      </c>
      <c r="T191">
        <f>HYPERLINK("https://klasma.github.io/Logging_0883/kartor/A 25501-2025 karta.png", "A 25501-2025")</f>
        <v/>
      </c>
      <c r="U191">
        <f>HYPERLINK("https://klasma.github.io/Logging_0883/knärot/A 25501-2025 karta knärot.png", "A 25501-2025")</f>
        <v/>
      </c>
      <c r="V191">
        <f>HYPERLINK("https://klasma.github.io/Logging_0883/klagomål/A 25501-2025 FSC-klagomål.docx", "A 25501-2025")</f>
        <v/>
      </c>
      <c r="W191">
        <f>HYPERLINK("https://klasma.github.io/Logging_0883/klagomålsmail/A 25501-2025 FSC-klagomål mail.docx", "A 25501-2025")</f>
        <v/>
      </c>
      <c r="X191">
        <f>HYPERLINK("https://klasma.github.io/Logging_0883/tillsyn/A 25501-2025 tillsynsbegäran.docx", "A 25501-2025")</f>
        <v/>
      </c>
      <c r="Y191">
        <f>HYPERLINK("https://klasma.github.io/Logging_0883/tillsynsmail/A 25501-2025 tillsynsbegäran mail.docx", "A 25501-2025")</f>
        <v/>
      </c>
      <c r="Z191">
        <f>HYPERLINK("https://klasma.github.io/Logging_0883/fåglar/A 25501-2025 prioriterade fågelarter.docx", "A 25501-2025")</f>
        <v/>
      </c>
    </row>
    <row r="192" ht="15" customHeight="1">
      <c r="A192" t="inlineStr">
        <is>
          <t>A 14082-2025</t>
        </is>
      </c>
      <c r="B192" s="1" t="n">
        <v>45740.43934027778</v>
      </c>
      <c r="C192" s="1" t="n">
        <v>45901</v>
      </c>
      <c r="D192" t="inlineStr">
        <is>
          <t>KALMAR LÄN</t>
        </is>
      </c>
      <c r="E192" t="inlineStr">
        <is>
          <t>VÄSTERVIK</t>
        </is>
      </c>
      <c r="F192" t="inlineStr">
        <is>
          <t>Sveaskog</t>
        </is>
      </c>
      <c r="G192" t="n">
        <v>1.2</v>
      </c>
      <c r="H192" t="n">
        <v>0</v>
      </c>
      <c r="I192" t="n">
        <v>0</v>
      </c>
      <c r="J192" t="n">
        <v>1</v>
      </c>
      <c r="K192" t="n">
        <v>0</v>
      </c>
      <c r="L192" t="n">
        <v>0</v>
      </c>
      <c r="M192" t="n">
        <v>0</v>
      </c>
      <c r="N192" t="n">
        <v>0</v>
      </c>
      <c r="O192" t="n">
        <v>1</v>
      </c>
      <c r="P192" t="n">
        <v>0</v>
      </c>
      <c r="Q192" t="n">
        <v>1</v>
      </c>
      <c r="R192" s="2" t="inlineStr">
        <is>
          <t>Bredbrämad bastardsvärmare</t>
        </is>
      </c>
      <c r="S192">
        <f>HYPERLINK("https://klasma.github.io/Logging_0883/artfynd/A 14082-2025 artfynd.xlsx", "A 14082-2025")</f>
        <v/>
      </c>
      <c r="T192">
        <f>HYPERLINK("https://klasma.github.io/Logging_0883/kartor/A 14082-2025 karta.png", "A 14082-2025")</f>
        <v/>
      </c>
      <c r="V192">
        <f>HYPERLINK("https://klasma.github.io/Logging_0883/klagomål/A 14082-2025 FSC-klagomål.docx", "A 14082-2025")</f>
        <v/>
      </c>
      <c r="W192">
        <f>HYPERLINK("https://klasma.github.io/Logging_0883/klagomålsmail/A 14082-2025 FSC-klagomål mail.docx", "A 14082-2025")</f>
        <v/>
      </c>
      <c r="X192">
        <f>HYPERLINK("https://klasma.github.io/Logging_0883/tillsyn/A 14082-2025 tillsynsbegäran.docx", "A 14082-2025")</f>
        <v/>
      </c>
      <c r="Y192">
        <f>HYPERLINK("https://klasma.github.io/Logging_0883/tillsynsmail/A 14082-2025 tillsynsbegäran mail.docx", "A 14082-2025")</f>
        <v/>
      </c>
    </row>
    <row r="193" ht="15" customHeight="1">
      <c r="A193" t="inlineStr">
        <is>
          <t>A 6657-2025</t>
        </is>
      </c>
      <c r="B193" s="1" t="n">
        <v>45700</v>
      </c>
      <c r="C193" s="1" t="n">
        <v>45901</v>
      </c>
      <c r="D193" t="inlineStr">
        <is>
          <t>KALMAR LÄN</t>
        </is>
      </c>
      <c r="E193" t="inlineStr">
        <is>
          <t>VÄSTERVIK</t>
        </is>
      </c>
      <c r="F193" t="inlineStr">
        <is>
          <t>Holmen skog AB</t>
        </is>
      </c>
      <c r="G193" t="n">
        <v>3</v>
      </c>
      <c r="H193" t="n">
        <v>1</v>
      </c>
      <c r="I193" t="n">
        <v>0</v>
      </c>
      <c r="J193" t="n">
        <v>0</v>
      </c>
      <c r="K193" t="n">
        <v>1</v>
      </c>
      <c r="L193" t="n">
        <v>0</v>
      </c>
      <c r="M193" t="n">
        <v>0</v>
      </c>
      <c r="N193" t="n">
        <v>0</v>
      </c>
      <c r="O193" t="n">
        <v>1</v>
      </c>
      <c r="P193" t="n">
        <v>1</v>
      </c>
      <c r="Q193" t="n">
        <v>1</v>
      </c>
      <c r="R193" s="2" t="inlineStr">
        <is>
          <t>Knärot</t>
        </is>
      </c>
      <c r="S193">
        <f>HYPERLINK("https://klasma.github.io/Logging_0883/artfynd/A 6657-2025 artfynd.xlsx", "A 6657-2025")</f>
        <v/>
      </c>
      <c r="T193">
        <f>HYPERLINK("https://klasma.github.io/Logging_0883/kartor/A 6657-2025 karta.png", "A 6657-2025")</f>
        <v/>
      </c>
      <c r="U193">
        <f>HYPERLINK("https://klasma.github.io/Logging_0883/knärot/A 6657-2025 karta knärot.png", "A 6657-2025")</f>
        <v/>
      </c>
      <c r="V193">
        <f>HYPERLINK("https://klasma.github.io/Logging_0883/klagomål/A 6657-2025 FSC-klagomål.docx", "A 6657-2025")</f>
        <v/>
      </c>
      <c r="W193">
        <f>HYPERLINK("https://klasma.github.io/Logging_0883/klagomålsmail/A 6657-2025 FSC-klagomål mail.docx", "A 6657-2025")</f>
        <v/>
      </c>
      <c r="X193">
        <f>HYPERLINK("https://klasma.github.io/Logging_0883/tillsyn/A 6657-2025 tillsynsbegäran.docx", "A 6657-2025")</f>
        <v/>
      </c>
      <c r="Y193">
        <f>HYPERLINK("https://klasma.github.io/Logging_0883/tillsynsmail/A 6657-2025 tillsynsbegäran mail.docx", "A 6657-2025")</f>
        <v/>
      </c>
    </row>
    <row r="194" ht="15" customHeight="1">
      <c r="A194" t="inlineStr">
        <is>
          <t>A 26516-2025</t>
        </is>
      </c>
      <c r="B194" s="1" t="n">
        <v>45807.55402777778</v>
      </c>
      <c r="C194" s="1" t="n">
        <v>45901</v>
      </c>
      <c r="D194" t="inlineStr">
        <is>
          <t>KALMAR LÄN</t>
        </is>
      </c>
      <c r="E194" t="inlineStr">
        <is>
          <t>VÄSTERVIK</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HYPERLINK("https://klasma.github.io/Logging_0883/artfynd/A 26516-2025 artfynd.xlsx", "A 26516-2025")</f>
        <v/>
      </c>
      <c r="T194">
        <f>HYPERLINK("https://klasma.github.io/Logging_0883/kartor/A 26516-2025 karta.png", "A 26516-2025")</f>
        <v/>
      </c>
      <c r="V194">
        <f>HYPERLINK("https://klasma.github.io/Logging_0883/klagomål/A 26516-2025 FSC-klagomål.docx", "A 26516-2025")</f>
        <v/>
      </c>
      <c r="W194">
        <f>HYPERLINK("https://klasma.github.io/Logging_0883/klagomålsmail/A 26516-2025 FSC-klagomål mail.docx", "A 26516-2025")</f>
        <v/>
      </c>
      <c r="X194">
        <f>HYPERLINK("https://klasma.github.io/Logging_0883/tillsyn/A 26516-2025 tillsynsbegäran.docx", "A 26516-2025")</f>
        <v/>
      </c>
      <c r="Y194">
        <f>HYPERLINK("https://klasma.github.io/Logging_0883/tillsynsmail/A 26516-2025 tillsynsbegäran mail.docx", "A 26516-2025")</f>
        <v/>
      </c>
      <c r="Z194">
        <f>HYPERLINK("https://klasma.github.io/Logging_0883/fåglar/A 26516-2025 prioriterade fågelarter.docx", "A 26516-2025")</f>
        <v/>
      </c>
    </row>
    <row r="195" ht="15" customHeight="1">
      <c r="A195" t="inlineStr">
        <is>
          <t>A 40924-2022</t>
        </is>
      </c>
      <c r="B195" s="1" t="n">
        <v>44825</v>
      </c>
      <c r="C195" s="1" t="n">
        <v>45901</v>
      </c>
      <c r="D195" t="inlineStr">
        <is>
          <t>KALMAR LÄN</t>
        </is>
      </c>
      <c r="E195" t="inlineStr">
        <is>
          <t>VÄSTERVIK</t>
        </is>
      </c>
      <c r="F195" t="inlineStr">
        <is>
          <t>Sveaskog</t>
        </is>
      </c>
      <c r="G195" t="n">
        <v>0.5</v>
      </c>
      <c r="H195" t="n">
        <v>1</v>
      </c>
      <c r="I195" t="n">
        <v>0</v>
      </c>
      <c r="J195" t="n">
        <v>1</v>
      </c>
      <c r="K195" t="n">
        <v>0</v>
      </c>
      <c r="L195" t="n">
        <v>0</v>
      </c>
      <c r="M195" t="n">
        <v>0</v>
      </c>
      <c r="N195" t="n">
        <v>0</v>
      </c>
      <c r="O195" t="n">
        <v>1</v>
      </c>
      <c r="P195" t="n">
        <v>0</v>
      </c>
      <c r="Q195" t="n">
        <v>1</v>
      </c>
      <c r="R195" s="2" t="inlineStr">
        <is>
          <t>Barbastell</t>
        </is>
      </c>
      <c r="S195">
        <f>HYPERLINK("https://klasma.github.io/Logging_0883/artfynd/A 40924-2022 artfynd.xlsx", "A 40924-2022")</f>
        <v/>
      </c>
      <c r="T195">
        <f>HYPERLINK("https://klasma.github.io/Logging_0883/kartor/A 40924-2022 karta.png", "A 40924-2022")</f>
        <v/>
      </c>
      <c r="V195">
        <f>HYPERLINK("https://klasma.github.io/Logging_0883/klagomål/A 40924-2022 FSC-klagomål.docx", "A 40924-2022")</f>
        <v/>
      </c>
      <c r="W195">
        <f>HYPERLINK("https://klasma.github.io/Logging_0883/klagomålsmail/A 40924-2022 FSC-klagomål mail.docx", "A 40924-2022")</f>
        <v/>
      </c>
      <c r="X195">
        <f>HYPERLINK("https://klasma.github.io/Logging_0883/tillsyn/A 40924-2022 tillsynsbegäran.docx", "A 40924-2022")</f>
        <v/>
      </c>
      <c r="Y195">
        <f>HYPERLINK("https://klasma.github.io/Logging_0883/tillsynsmail/A 40924-2022 tillsynsbegäran mail.docx", "A 40924-2022")</f>
        <v/>
      </c>
    </row>
    <row r="196" ht="15" customHeight="1">
      <c r="A196" t="inlineStr">
        <is>
          <t>A 53075-2024</t>
        </is>
      </c>
      <c r="B196" s="1" t="n">
        <v>45611</v>
      </c>
      <c r="C196" s="1" t="n">
        <v>45901</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55360-2024</t>
        </is>
      </c>
      <c r="B197" s="1" t="n">
        <v>45621.8252199074</v>
      </c>
      <c r="C197" s="1" t="n">
        <v>45901</v>
      </c>
      <c r="D197" t="inlineStr">
        <is>
          <t>KALMAR LÄN</t>
        </is>
      </c>
      <c r="E197" t="inlineStr">
        <is>
          <t>VÄSTERVIK</t>
        </is>
      </c>
      <c r="F197" t="inlineStr">
        <is>
          <t>Sveaskog</t>
        </is>
      </c>
      <c r="G197" t="n">
        <v>11.1</v>
      </c>
      <c r="H197" t="n">
        <v>0</v>
      </c>
      <c r="I197" t="n">
        <v>0</v>
      </c>
      <c r="J197" t="n">
        <v>1</v>
      </c>
      <c r="K197" t="n">
        <v>0</v>
      </c>
      <c r="L197" t="n">
        <v>0</v>
      </c>
      <c r="M197" t="n">
        <v>0</v>
      </c>
      <c r="N197" t="n">
        <v>0</v>
      </c>
      <c r="O197" t="n">
        <v>1</v>
      </c>
      <c r="P197" t="n">
        <v>0</v>
      </c>
      <c r="Q197" t="n">
        <v>1</v>
      </c>
      <c r="R197" s="2" t="inlineStr">
        <is>
          <t>Vårstarr</t>
        </is>
      </c>
      <c r="S197">
        <f>HYPERLINK("https://klasma.github.io/Logging_0883/artfynd/A 55360-2024 artfynd.xlsx", "A 55360-2024")</f>
        <v/>
      </c>
      <c r="T197">
        <f>HYPERLINK("https://klasma.github.io/Logging_0883/kartor/A 55360-2024 karta.png", "A 55360-2024")</f>
        <v/>
      </c>
      <c r="V197">
        <f>HYPERLINK("https://klasma.github.io/Logging_0883/klagomål/A 55360-2024 FSC-klagomål.docx", "A 55360-2024")</f>
        <v/>
      </c>
      <c r="W197">
        <f>HYPERLINK("https://klasma.github.io/Logging_0883/klagomålsmail/A 55360-2024 FSC-klagomål mail.docx", "A 55360-2024")</f>
        <v/>
      </c>
      <c r="X197">
        <f>HYPERLINK("https://klasma.github.io/Logging_0883/tillsyn/A 55360-2024 tillsynsbegäran.docx", "A 55360-2024")</f>
        <v/>
      </c>
      <c r="Y197">
        <f>HYPERLINK("https://klasma.github.io/Logging_0883/tillsynsmail/A 55360-2024 tillsynsbegäran mail.docx", "A 55360-2024")</f>
        <v/>
      </c>
    </row>
    <row r="198" ht="15" customHeight="1">
      <c r="A198" t="inlineStr">
        <is>
          <t>A 27426-2025</t>
        </is>
      </c>
      <c r="B198" s="1" t="n">
        <v>45813</v>
      </c>
      <c r="C198" s="1" t="n">
        <v>45901</v>
      </c>
      <c r="D198" t="inlineStr">
        <is>
          <t>KALMAR LÄN</t>
        </is>
      </c>
      <c r="E198" t="inlineStr">
        <is>
          <t>VÄSTERVIK</t>
        </is>
      </c>
      <c r="G198" t="n">
        <v>2</v>
      </c>
      <c r="H198" t="n">
        <v>0</v>
      </c>
      <c r="I198" t="n">
        <v>1</v>
      </c>
      <c r="J198" t="n">
        <v>0</v>
      </c>
      <c r="K198" t="n">
        <v>0</v>
      </c>
      <c r="L198" t="n">
        <v>0</v>
      </c>
      <c r="M198" t="n">
        <v>0</v>
      </c>
      <c r="N198" t="n">
        <v>0</v>
      </c>
      <c r="O198" t="n">
        <v>0</v>
      </c>
      <c r="P198" t="n">
        <v>0</v>
      </c>
      <c r="Q198" t="n">
        <v>1</v>
      </c>
      <c r="R198" s="2" t="inlineStr">
        <is>
          <t>Vätteros</t>
        </is>
      </c>
      <c r="S198">
        <f>HYPERLINK("https://klasma.github.io/Logging_0883/artfynd/A 27426-2025 artfynd.xlsx", "A 27426-2025")</f>
        <v/>
      </c>
      <c r="T198">
        <f>HYPERLINK("https://klasma.github.io/Logging_0883/kartor/A 27426-2025 karta.png", "A 27426-2025")</f>
        <v/>
      </c>
      <c r="V198">
        <f>HYPERLINK("https://klasma.github.io/Logging_0883/klagomål/A 27426-2025 FSC-klagomål.docx", "A 27426-2025")</f>
        <v/>
      </c>
      <c r="W198">
        <f>HYPERLINK("https://klasma.github.io/Logging_0883/klagomålsmail/A 27426-2025 FSC-klagomål mail.docx", "A 27426-2025")</f>
        <v/>
      </c>
      <c r="X198">
        <f>HYPERLINK("https://klasma.github.io/Logging_0883/tillsyn/A 27426-2025 tillsynsbegäran.docx", "A 27426-2025")</f>
        <v/>
      </c>
      <c r="Y198">
        <f>HYPERLINK("https://klasma.github.io/Logging_0883/tillsynsmail/A 27426-2025 tillsynsbegäran mail.docx", "A 27426-2025")</f>
        <v/>
      </c>
    </row>
    <row r="199" ht="15" customHeight="1">
      <c r="A199" t="inlineStr">
        <is>
          <t>A 9571-2025</t>
        </is>
      </c>
      <c r="B199" s="1" t="n">
        <v>45715.61996527778</v>
      </c>
      <c r="C199" s="1" t="n">
        <v>45901</v>
      </c>
      <c r="D199" t="inlineStr">
        <is>
          <t>KALMAR LÄN</t>
        </is>
      </c>
      <c r="E199" t="inlineStr">
        <is>
          <t>VÄSTERVIK</t>
        </is>
      </c>
      <c r="G199" t="n">
        <v>12</v>
      </c>
      <c r="H199" t="n">
        <v>1</v>
      </c>
      <c r="I199" t="n">
        <v>0</v>
      </c>
      <c r="J199" t="n">
        <v>0</v>
      </c>
      <c r="K199" t="n">
        <v>0</v>
      </c>
      <c r="L199" t="n">
        <v>0</v>
      </c>
      <c r="M199" t="n">
        <v>0</v>
      </c>
      <c r="N199" t="n">
        <v>0</v>
      </c>
      <c r="O199" t="n">
        <v>0</v>
      </c>
      <c r="P199" t="n">
        <v>0</v>
      </c>
      <c r="Q199" t="n">
        <v>1</v>
      </c>
      <c r="R199" s="2" t="inlineStr">
        <is>
          <t>Revlummer</t>
        </is>
      </c>
      <c r="S199">
        <f>HYPERLINK("https://klasma.github.io/Logging_0883/artfynd/A 9571-2025 artfynd.xlsx", "A 9571-2025")</f>
        <v/>
      </c>
      <c r="T199">
        <f>HYPERLINK("https://klasma.github.io/Logging_0883/kartor/A 9571-2025 karta.png", "A 9571-2025")</f>
        <v/>
      </c>
      <c r="V199">
        <f>HYPERLINK("https://klasma.github.io/Logging_0883/klagomål/A 9571-2025 FSC-klagomål.docx", "A 9571-2025")</f>
        <v/>
      </c>
      <c r="W199">
        <f>HYPERLINK("https://klasma.github.io/Logging_0883/klagomålsmail/A 9571-2025 FSC-klagomål mail.docx", "A 9571-2025")</f>
        <v/>
      </c>
      <c r="X199">
        <f>HYPERLINK("https://klasma.github.io/Logging_0883/tillsyn/A 9571-2025 tillsynsbegäran.docx", "A 9571-2025")</f>
        <v/>
      </c>
      <c r="Y199">
        <f>HYPERLINK("https://klasma.github.io/Logging_0883/tillsynsmail/A 9571-2025 tillsynsbegäran mail.docx", "A 9571-2025")</f>
        <v/>
      </c>
    </row>
    <row r="200" ht="15" customHeight="1">
      <c r="A200" t="inlineStr">
        <is>
          <t>A 47112-2023</t>
        </is>
      </c>
      <c r="B200" s="1" t="n">
        <v>45201</v>
      </c>
      <c r="C200" s="1" t="n">
        <v>45901</v>
      </c>
      <c r="D200" t="inlineStr">
        <is>
          <t>KALMAR LÄN</t>
        </is>
      </c>
      <c r="E200" t="inlineStr">
        <is>
          <t>VÄSTERVIK</t>
        </is>
      </c>
      <c r="G200" t="n">
        <v>1</v>
      </c>
      <c r="H200" t="n">
        <v>0</v>
      </c>
      <c r="I200" t="n">
        <v>0</v>
      </c>
      <c r="J200" t="n">
        <v>1</v>
      </c>
      <c r="K200" t="n">
        <v>0</v>
      </c>
      <c r="L200" t="n">
        <v>0</v>
      </c>
      <c r="M200" t="n">
        <v>0</v>
      </c>
      <c r="N200" t="n">
        <v>0</v>
      </c>
      <c r="O200" t="n">
        <v>1</v>
      </c>
      <c r="P200" t="n">
        <v>0</v>
      </c>
      <c r="Q200" t="n">
        <v>1</v>
      </c>
      <c r="R200" s="2" t="inlineStr">
        <is>
          <t>Tallticka</t>
        </is>
      </c>
      <c r="S200">
        <f>HYPERLINK("https://klasma.github.io/Logging_0883/artfynd/A 47112-2023 artfynd.xlsx", "A 47112-2023")</f>
        <v/>
      </c>
      <c r="T200">
        <f>HYPERLINK("https://klasma.github.io/Logging_0883/kartor/A 47112-2023 karta.png", "A 47112-2023")</f>
        <v/>
      </c>
      <c r="V200">
        <f>HYPERLINK("https://klasma.github.io/Logging_0883/klagomål/A 47112-2023 FSC-klagomål.docx", "A 47112-2023")</f>
        <v/>
      </c>
      <c r="W200">
        <f>HYPERLINK("https://klasma.github.io/Logging_0883/klagomålsmail/A 47112-2023 FSC-klagomål mail.docx", "A 47112-2023")</f>
        <v/>
      </c>
      <c r="X200">
        <f>HYPERLINK("https://klasma.github.io/Logging_0883/tillsyn/A 47112-2023 tillsynsbegäran.docx", "A 47112-2023")</f>
        <v/>
      </c>
      <c r="Y200">
        <f>HYPERLINK("https://klasma.github.io/Logging_0883/tillsynsmail/A 47112-2023 tillsynsbegäran mail.docx", "A 47112-2023")</f>
        <v/>
      </c>
    </row>
    <row r="201" ht="15" customHeight="1">
      <c r="A201" t="inlineStr">
        <is>
          <t>A 51488-2024</t>
        </is>
      </c>
      <c r="B201" s="1" t="n">
        <v>45604</v>
      </c>
      <c r="C201" s="1" t="n">
        <v>45901</v>
      </c>
      <c r="D201" t="inlineStr">
        <is>
          <t>KALMAR LÄN</t>
        </is>
      </c>
      <c r="E201" t="inlineStr">
        <is>
          <t>VÄSTERVIK</t>
        </is>
      </c>
      <c r="F201" t="inlineStr">
        <is>
          <t>Övriga Aktiebolag</t>
        </is>
      </c>
      <c r="G201" t="n">
        <v>2.9</v>
      </c>
      <c r="H201" t="n">
        <v>1</v>
      </c>
      <c r="I201" t="n">
        <v>0</v>
      </c>
      <c r="J201" t="n">
        <v>1</v>
      </c>
      <c r="K201" t="n">
        <v>0</v>
      </c>
      <c r="L201" t="n">
        <v>0</v>
      </c>
      <c r="M201" t="n">
        <v>0</v>
      </c>
      <c r="N201" t="n">
        <v>0</v>
      </c>
      <c r="O201" t="n">
        <v>1</v>
      </c>
      <c r="P201" t="n">
        <v>0</v>
      </c>
      <c r="Q201" t="n">
        <v>1</v>
      </c>
      <c r="R201" s="2" t="inlineStr">
        <is>
          <t>Entita</t>
        </is>
      </c>
      <c r="S201">
        <f>HYPERLINK("https://klasma.github.io/Logging_0883/artfynd/A 51488-2024 artfynd.xlsx", "A 51488-2024")</f>
        <v/>
      </c>
      <c r="T201">
        <f>HYPERLINK("https://klasma.github.io/Logging_0883/kartor/A 51488-2024 karta.png", "A 51488-2024")</f>
        <v/>
      </c>
      <c r="V201">
        <f>HYPERLINK("https://klasma.github.io/Logging_0883/klagomål/A 51488-2024 FSC-klagomål.docx", "A 51488-2024")</f>
        <v/>
      </c>
      <c r="W201">
        <f>HYPERLINK("https://klasma.github.io/Logging_0883/klagomålsmail/A 51488-2024 FSC-klagomål mail.docx", "A 51488-2024")</f>
        <v/>
      </c>
      <c r="X201">
        <f>HYPERLINK("https://klasma.github.io/Logging_0883/tillsyn/A 51488-2024 tillsynsbegäran.docx", "A 51488-2024")</f>
        <v/>
      </c>
      <c r="Y201">
        <f>HYPERLINK("https://klasma.github.io/Logging_0883/tillsynsmail/A 51488-2024 tillsynsbegäran mail.docx", "A 51488-2024")</f>
        <v/>
      </c>
      <c r="Z201">
        <f>HYPERLINK("https://klasma.github.io/Logging_0883/fåglar/A 51488-2024 prioriterade fågelarter.docx", "A 51488-2024")</f>
        <v/>
      </c>
    </row>
    <row r="202" ht="15" customHeight="1">
      <c r="A202" t="inlineStr">
        <is>
          <t>A 36595-2025</t>
        </is>
      </c>
      <c r="B202" s="1" t="n">
        <v>45870.513125</v>
      </c>
      <c r="C202" s="1" t="n">
        <v>45901</v>
      </c>
      <c r="D202" t="inlineStr">
        <is>
          <t>KALMAR LÄN</t>
        </is>
      </c>
      <c r="E202" t="inlineStr">
        <is>
          <t>VÄSTERVIK</t>
        </is>
      </c>
      <c r="G202" t="n">
        <v>1.5</v>
      </c>
      <c r="H202" t="n">
        <v>1</v>
      </c>
      <c r="I202" t="n">
        <v>0</v>
      </c>
      <c r="J202" t="n">
        <v>1</v>
      </c>
      <c r="K202" t="n">
        <v>0</v>
      </c>
      <c r="L202" t="n">
        <v>0</v>
      </c>
      <c r="M202" t="n">
        <v>0</v>
      </c>
      <c r="N202" t="n">
        <v>0</v>
      </c>
      <c r="O202" t="n">
        <v>1</v>
      </c>
      <c r="P202" t="n">
        <v>0</v>
      </c>
      <c r="Q202" t="n">
        <v>1</v>
      </c>
      <c r="R202" s="2" t="inlineStr">
        <is>
          <t>Talltita</t>
        </is>
      </c>
      <c r="S202">
        <f>HYPERLINK("https://klasma.github.io/Logging_0883/artfynd/A 36595-2025 artfynd.xlsx", "A 36595-2025")</f>
        <v/>
      </c>
      <c r="T202">
        <f>HYPERLINK("https://klasma.github.io/Logging_0883/kartor/A 36595-2025 karta.png", "A 36595-2025")</f>
        <v/>
      </c>
      <c r="V202">
        <f>HYPERLINK("https://klasma.github.io/Logging_0883/klagomål/A 36595-2025 FSC-klagomål.docx", "A 36595-2025")</f>
        <v/>
      </c>
      <c r="W202">
        <f>HYPERLINK("https://klasma.github.io/Logging_0883/klagomålsmail/A 36595-2025 FSC-klagomål mail.docx", "A 36595-2025")</f>
        <v/>
      </c>
      <c r="X202">
        <f>HYPERLINK("https://klasma.github.io/Logging_0883/tillsyn/A 36595-2025 tillsynsbegäran.docx", "A 36595-2025")</f>
        <v/>
      </c>
      <c r="Y202">
        <f>HYPERLINK("https://klasma.github.io/Logging_0883/tillsynsmail/A 36595-2025 tillsynsbegäran mail.docx", "A 36595-2025")</f>
        <v/>
      </c>
      <c r="Z202">
        <f>HYPERLINK("https://klasma.github.io/Logging_0883/fåglar/A 36595-2025 prioriterade fågelarter.docx", "A 36595-2025")</f>
        <v/>
      </c>
    </row>
    <row r="203" ht="15" customHeight="1">
      <c r="A203" t="inlineStr">
        <is>
          <t>A 30794-2025</t>
        </is>
      </c>
      <c r="B203" s="1" t="n">
        <v>45831.63834490741</v>
      </c>
      <c r="C203" s="1" t="n">
        <v>45901</v>
      </c>
      <c r="D203" t="inlineStr">
        <is>
          <t>KALMAR LÄN</t>
        </is>
      </c>
      <c r="E203" t="inlineStr">
        <is>
          <t>VÄSTERVIK</t>
        </is>
      </c>
      <c r="G203" t="n">
        <v>4.8</v>
      </c>
      <c r="H203" t="n">
        <v>0</v>
      </c>
      <c r="I203" t="n">
        <v>0</v>
      </c>
      <c r="J203" t="n">
        <v>1</v>
      </c>
      <c r="K203" t="n">
        <v>0</v>
      </c>
      <c r="L203" t="n">
        <v>0</v>
      </c>
      <c r="M203" t="n">
        <v>0</v>
      </c>
      <c r="N203" t="n">
        <v>0</v>
      </c>
      <c r="O203" t="n">
        <v>1</v>
      </c>
      <c r="P203" t="n">
        <v>0</v>
      </c>
      <c r="Q203" t="n">
        <v>1</v>
      </c>
      <c r="R203" s="2" t="inlineStr">
        <is>
          <t>Tallticka</t>
        </is>
      </c>
      <c r="S203">
        <f>HYPERLINK("https://klasma.github.io/Logging_0883/artfynd/A 30794-2025 artfynd.xlsx", "A 30794-2025")</f>
        <v/>
      </c>
      <c r="T203">
        <f>HYPERLINK("https://klasma.github.io/Logging_0883/kartor/A 30794-2025 karta.png", "A 30794-2025")</f>
        <v/>
      </c>
      <c r="V203">
        <f>HYPERLINK("https://klasma.github.io/Logging_0883/klagomål/A 30794-2025 FSC-klagomål.docx", "A 30794-2025")</f>
        <v/>
      </c>
      <c r="W203">
        <f>HYPERLINK("https://klasma.github.io/Logging_0883/klagomålsmail/A 30794-2025 FSC-klagomål mail.docx", "A 30794-2025")</f>
        <v/>
      </c>
      <c r="X203">
        <f>HYPERLINK("https://klasma.github.io/Logging_0883/tillsyn/A 30794-2025 tillsynsbegäran.docx", "A 30794-2025")</f>
        <v/>
      </c>
      <c r="Y203">
        <f>HYPERLINK("https://klasma.github.io/Logging_0883/tillsynsmail/A 30794-2025 tillsynsbegäran mail.docx", "A 30794-2025")</f>
        <v/>
      </c>
    </row>
    <row r="204" ht="15" customHeight="1">
      <c r="A204" t="inlineStr">
        <is>
          <t>A 26056-2022</t>
        </is>
      </c>
      <c r="B204" s="1" t="n">
        <v>44734</v>
      </c>
      <c r="C204" s="1" t="n">
        <v>45901</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Slåtterfibbla</t>
        </is>
      </c>
      <c r="S204">
        <f>HYPERLINK("https://klasma.github.io/Logging_0883/artfynd/A 26056-2022 artfynd.xlsx", "A 26056-2022")</f>
        <v/>
      </c>
      <c r="T204">
        <f>HYPERLINK("https://klasma.github.io/Logging_0883/kartor/A 26056-2022 karta.png", "A 26056-2022")</f>
        <v/>
      </c>
      <c r="V204">
        <f>HYPERLINK("https://klasma.github.io/Logging_0883/klagomål/A 26056-2022 FSC-klagomål.docx", "A 26056-2022")</f>
        <v/>
      </c>
      <c r="W204">
        <f>HYPERLINK("https://klasma.github.io/Logging_0883/klagomålsmail/A 26056-2022 FSC-klagomål mail.docx", "A 26056-2022")</f>
        <v/>
      </c>
      <c r="X204">
        <f>HYPERLINK("https://klasma.github.io/Logging_0883/tillsyn/A 26056-2022 tillsynsbegäran.docx", "A 26056-2022")</f>
        <v/>
      </c>
      <c r="Y204">
        <f>HYPERLINK("https://klasma.github.io/Logging_0883/tillsynsmail/A 26056-2022 tillsynsbegäran mail.docx", "A 26056-2022")</f>
        <v/>
      </c>
    </row>
    <row r="205" ht="15" customHeight="1">
      <c r="A205" t="inlineStr">
        <is>
          <t>A 6634-2025</t>
        </is>
      </c>
      <c r="B205" s="1" t="n">
        <v>45700.38141203704</v>
      </c>
      <c r="C205" s="1" t="n">
        <v>45901</v>
      </c>
      <c r="D205" t="inlineStr">
        <is>
          <t>KALMAR LÄN</t>
        </is>
      </c>
      <c r="E205" t="inlineStr">
        <is>
          <t>VÄSTERVIK</t>
        </is>
      </c>
      <c r="G205" t="n">
        <v>2.2</v>
      </c>
      <c r="H205" t="n">
        <v>0</v>
      </c>
      <c r="I205" t="n">
        <v>1</v>
      </c>
      <c r="J205" t="n">
        <v>0</v>
      </c>
      <c r="K205" t="n">
        <v>0</v>
      </c>
      <c r="L205" t="n">
        <v>0</v>
      </c>
      <c r="M205" t="n">
        <v>0</v>
      </c>
      <c r="N205" t="n">
        <v>0</v>
      </c>
      <c r="O205" t="n">
        <v>0</v>
      </c>
      <c r="P205" t="n">
        <v>0</v>
      </c>
      <c r="Q205" t="n">
        <v>1</v>
      </c>
      <c r="R205" s="2" t="inlineStr">
        <is>
          <t>Ögonpyrola</t>
        </is>
      </c>
      <c r="S205">
        <f>HYPERLINK("https://klasma.github.io/Logging_0883/artfynd/A 6634-2025 artfynd.xlsx", "A 6634-2025")</f>
        <v/>
      </c>
      <c r="T205">
        <f>HYPERLINK("https://klasma.github.io/Logging_0883/kartor/A 6634-2025 karta.png", "A 6634-2025")</f>
        <v/>
      </c>
      <c r="V205">
        <f>HYPERLINK("https://klasma.github.io/Logging_0883/klagomål/A 6634-2025 FSC-klagomål.docx", "A 6634-2025")</f>
        <v/>
      </c>
      <c r="W205">
        <f>HYPERLINK("https://klasma.github.io/Logging_0883/klagomålsmail/A 6634-2025 FSC-klagomål mail.docx", "A 6634-2025")</f>
        <v/>
      </c>
      <c r="X205">
        <f>HYPERLINK("https://klasma.github.io/Logging_0883/tillsyn/A 6634-2025 tillsynsbegäran.docx", "A 6634-2025")</f>
        <v/>
      </c>
      <c r="Y205">
        <f>HYPERLINK("https://klasma.github.io/Logging_0883/tillsynsmail/A 6634-2025 tillsynsbegäran mail.docx", "A 6634-2025")</f>
        <v/>
      </c>
    </row>
    <row r="206" ht="15" customHeight="1">
      <c r="A206" t="inlineStr">
        <is>
          <t>A 46722-2023</t>
        </is>
      </c>
      <c r="B206" s="1" t="n">
        <v>45194</v>
      </c>
      <c r="C206" s="1" t="n">
        <v>45901</v>
      </c>
      <c r="D206" t="inlineStr">
        <is>
          <t>KALMAR LÄN</t>
        </is>
      </c>
      <c r="E206" t="inlineStr">
        <is>
          <t>VÄSTERVIK</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HYPERLINK("https://klasma.github.io/Logging_0883/artfynd/A 46722-2023 artfynd.xlsx", "A 46722-2023")</f>
        <v/>
      </c>
      <c r="T206">
        <f>HYPERLINK("https://klasma.github.io/Logging_0883/kartor/A 46722-2023 karta.png", "A 46722-2023")</f>
        <v/>
      </c>
      <c r="U206">
        <f>HYPERLINK("https://klasma.github.io/Logging_0883/knärot/A 46722-2023 karta knärot.png", "A 46722-2023")</f>
        <v/>
      </c>
      <c r="V206">
        <f>HYPERLINK("https://klasma.github.io/Logging_0883/klagomål/A 46722-2023 FSC-klagomål.docx", "A 46722-2023")</f>
        <v/>
      </c>
      <c r="W206">
        <f>HYPERLINK("https://klasma.github.io/Logging_0883/klagomålsmail/A 46722-2023 FSC-klagomål mail.docx", "A 46722-2023")</f>
        <v/>
      </c>
      <c r="X206">
        <f>HYPERLINK("https://klasma.github.io/Logging_0883/tillsyn/A 46722-2023 tillsynsbegäran.docx", "A 46722-2023")</f>
        <v/>
      </c>
      <c r="Y206">
        <f>HYPERLINK("https://klasma.github.io/Logging_0883/tillsynsmail/A 46722-2023 tillsynsbegäran mail.docx", "A 46722-2023")</f>
        <v/>
      </c>
    </row>
    <row r="207" ht="15" customHeight="1">
      <c r="A207" t="inlineStr">
        <is>
          <t>A 3600-2025</t>
        </is>
      </c>
      <c r="B207" s="1" t="n">
        <v>45681.34420138889</v>
      </c>
      <c r="C207" s="1" t="n">
        <v>45901</v>
      </c>
      <c r="D207" t="inlineStr">
        <is>
          <t>KALMAR LÄN</t>
        </is>
      </c>
      <c r="E207" t="inlineStr">
        <is>
          <t>VÄSTERVIK</t>
        </is>
      </c>
      <c r="G207" t="n">
        <v>1</v>
      </c>
      <c r="H207" t="n">
        <v>1</v>
      </c>
      <c r="I207" t="n">
        <v>0</v>
      </c>
      <c r="J207" t="n">
        <v>1</v>
      </c>
      <c r="K207" t="n">
        <v>0</v>
      </c>
      <c r="L207" t="n">
        <v>0</v>
      </c>
      <c r="M207" t="n">
        <v>0</v>
      </c>
      <c r="N207" t="n">
        <v>0</v>
      </c>
      <c r="O207" t="n">
        <v>1</v>
      </c>
      <c r="P207" t="n">
        <v>0</v>
      </c>
      <c r="Q207" t="n">
        <v>1</v>
      </c>
      <c r="R207" s="2" t="inlineStr">
        <is>
          <t>Spillkråka</t>
        </is>
      </c>
      <c r="S207">
        <f>HYPERLINK("https://klasma.github.io/Logging_0883/artfynd/A 3600-2025 artfynd.xlsx", "A 3600-2025")</f>
        <v/>
      </c>
      <c r="T207">
        <f>HYPERLINK("https://klasma.github.io/Logging_0883/kartor/A 3600-2025 karta.png", "A 3600-2025")</f>
        <v/>
      </c>
      <c r="V207">
        <f>HYPERLINK("https://klasma.github.io/Logging_0883/klagomål/A 3600-2025 FSC-klagomål.docx", "A 3600-2025")</f>
        <v/>
      </c>
      <c r="W207">
        <f>HYPERLINK("https://klasma.github.io/Logging_0883/klagomålsmail/A 3600-2025 FSC-klagomål mail.docx", "A 3600-2025")</f>
        <v/>
      </c>
      <c r="X207">
        <f>HYPERLINK("https://klasma.github.io/Logging_0883/tillsyn/A 3600-2025 tillsynsbegäran.docx", "A 3600-2025")</f>
        <v/>
      </c>
      <c r="Y207">
        <f>HYPERLINK("https://klasma.github.io/Logging_0883/tillsynsmail/A 3600-2025 tillsynsbegäran mail.docx", "A 3600-2025")</f>
        <v/>
      </c>
      <c r="Z207">
        <f>HYPERLINK("https://klasma.github.io/Logging_0883/fåglar/A 3600-2025 prioriterade fågelarter.docx", "A 3600-2025")</f>
        <v/>
      </c>
    </row>
    <row r="208" ht="15" customHeight="1">
      <c r="A208" t="inlineStr">
        <is>
          <t>A 20233-2021</t>
        </is>
      </c>
      <c r="B208" s="1" t="n">
        <v>44314</v>
      </c>
      <c r="C208" s="1" t="n">
        <v>45901</v>
      </c>
      <c r="D208" t="inlineStr">
        <is>
          <t>KALMAR LÄN</t>
        </is>
      </c>
      <c r="E208" t="inlineStr">
        <is>
          <t>VÄSTERVIK</t>
        </is>
      </c>
      <c r="F208" t="inlineStr">
        <is>
          <t>Holmen skog AB</t>
        </is>
      </c>
      <c r="G208" t="n">
        <v>11.8</v>
      </c>
      <c r="H208" t="n">
        <v>0</v>
      </c>
      <c r="I208" t="n">
        <v>0</v>
      </c>
      <c r="J208" t="n">
        <v>1</v>
      </c>
      <c r="K208" t="n">
        <v>0</v>
      </c>
      <c r="L208" t="n">
        <v>0</v>
      </c>
      <c r="M208" t="n">
        <v>0</v>
      </c>
      <c r="N208" t="n">
        <v>0</v>
      </c>
      <c r="O208" t="n">
        <v>1</v>
      </c>
      <c r="P208" t="n">
        <v>0</v>
      </c>
      <c r="Q208" t="n">
        <v>1</v>
      </c>
      <c r="R208" s="2" t="inlineStr">
        <is>
          <t>Skogsklocka</t>
        </is>
      </c>
      <c r="S208">
        <f>HYPERLINK("https://klasma.github.io/Logging_0883/artfynd/A 20233-2021 artfynd.xlsx", "A 20233-2021")</f>
        <v/>
      </c>
      <c r="T208">
        <f>HYPERLINK("https://klasma.github.io/Logging_0883/kartor/A 20233-2021 karta.png", "A 20233-2021")</f>
        <v/>
      </c>
      <c r="V208">
        <f>HYPERLINK("https://klasma.github.io/Logging_0883/klagomål/A 20233-2021 FSC-klagomål.docx", "A 20233-2021")</f>
        <v/>
      </c>
      <c r="W208">
        <f>HYPERLINK("https://klasma.github.io/Logging_0883/klagomålsmail/A 20233-2021 FSC-klagomål mail.docx", "A 20233-2021")</f>
        <v/>
      </c>
      <c r="X208">
        <f>HYPERLINK("https://klasma.github.io/Logging_0883/tillsyn/A 20233-2021 tillsynsbegäran.docx", "A 20233-2021")</f>
        <v/>
      </c>
      <c r="Y208">
        <f>HYPERLINK("https://klasma.github.io/Logging_0883/tillsynsmail/A 20233-2021 tillsynsbegäran mail.docx", "A 20233-2021")</f>
        <v/>
      </c>
    </row>
    <row r="209" ht="15" customHeight="1">
      <c r="A209" t="inlineStr">
        <is>
          <t>A 3673-2025</t>
        </is>
      </c>
      <c r="B209" s="1" t="n">
        <v>45681.43706018518</v>
      </c>
      <c r="C209" s="1" t="n">
        <v>45901</v>
      </c>
      <c r="D209" t="inlineStr">
        <is>
          <t>KALMAR LÄN</t>
        </is>
      </c>
      <c r="E209" t="inlineStr">
        <is>
          <t>VÄSTERVIK</t>
        </is>
      </c>
      <c r="G209" t="n">
        <v>1.1</v>
      </c>
      <c r="H209" t="n">
        <v>0</v>
      </c>
      <c r="I209" t="n">
        <v>1</v>
      </c>
      <c r="J209" t="n">
        <v>0</v>
      </c>
      <c r="K209" t="n">
        <v>0</v>
      </c>
      <c r="L209" t="n">
        <v>0</v>
      </c>
      <c r="M209" t="n">
        <v>0</v>
      </c>
      <c r="N209" t="n">
        <v>0</v>
      </c>
      <c r="O209" t="n">
        <v>0</v>
      </c>
      <c r="P209" t="n">
        <v>0</v>
      </c>
      <c r="Q209" t="n">
        <v>1</v>
      </c>
      <c r="R209" s="2" t="inlineStr">
        <is>
          <t>Blodticka</t>
        </is>
      </c>
      <c r="S209">
        <f>HYPERLINK("https://klasma.github.io/Logging_0883/artfynd/A 3673-2025 artfynd.xlsx", "A 3673-2025")</f>
        <v/>
      </c>
      <c r="T209">
        <f>HYPERLINK("https://klasma.github.io/Logging_0883/kartor/A 3673-2025 karta.png", "A 3673-2025")</f>
        <v/>
      </c>
      <c r="V209">
        <f>HYPERLINK("https://klasma.github.io/Logging_0883/klagomål/A 3673-2025 FSC-klagomål.docx", "A 3673-2025")</f>
        <v/>
      </c>
      <c r="W209">
        <f>HYPERLINK("https://klasma.github.io/Logging_0883/klagomålsmail/A 3673-2025 FSC-klagomål mail.docx", "A 3673-2025")</f>
        <v/>
      </c>
      <c r="X209">
        <f>HYPERLINK("https://klasma.github.io/Logging_0883/tillsyn/A 3673-2025 tillsynsbegäran.docx", "A 3673-2025")</f>
        <v/>
      </c>
      <c r="Y209">
        <f>HYPERLINK("https://klasma.github.io/Logging_0883/tillsynsmail/A 3673-2025 tillsynsbegäran mail.docx", "A 3673-2025")</f>
        <v/>
      </c>
    </row>
    <row r="210" ht="15" customHeight="1">
      <c r="A210" t="inlineStr">
        <is>
          <t>A 61806-2023</t>
        </is>
      </c>
      <c r="B210" s="1" t="n">
        <v>45266.27928240741</v>
      </c>
      <c r="C210" s="1" t="n">
        <v>45901</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Veckticka</t>
        </is>
      </c>
      <c r="S210">
        <f>HYPERLINK("https://klasma.github.io/Logging_0883/artfynd/A 61806-2023 artfynd.xlsx", "A 61806-2023")</f>
        <v/>
      </c>
      <c r="T210">
        <f>HYPERLINK("https://klasma.github.io/Logging_0883/kartor/A 61806-2023 karta.png", "A 61806-2023")</f>
        <v/>
      </c>
      <c r="V210">
        <f>HYPERLINK("https://klasma.github.io/Logging_0883/klagomål/A 61806-2023 FSC-klagomål.docx", "A 61806-2023")</f>
        <v/>
      </c>
      <c r="W210">
        <f>HYPERLINK("https://klasma.github.io/Logging_0883/klagomålsmail/A 61806-2023 FSC-klagomål mail.docx", "A 61806-2023")</f>
        <v/>
      </c>
      <c r="X210">
        <f>HYPERLINK("https://klasma.github.io/Logging_0883/tillsyn/A 61806-2023 tillsynsbegäran.docx", "A 61806-2023")</f>
        <v/>
      </c>
      <c r="Y210">
        <f>HYPERLINK("https://klasma.github.io/Logging_0883/tillsynsmail/A 61806-2023 tillsynsbegäran mail.docx", "A 61806-2023")</f>
        <v/>
      </c>
    </row>
    <row r="211" ht="15" customHeight="1">
      <c r="A211" t="inlineStr">
        <is>
          <t>A 9261-2025</t>
        </is>
      </c>
      <c r="B211" s="1" t="n">
        <v>45714.60472222222</v>
      </c>
      <c r="C211" s="1" t="n">
        <v>45901</v>
      </c>
      <c r="D211" t="inlineStr">
        <is>
          <t>KALMAR LÄN</t>
        </is>
      </c>
      <c r="E211" t="inlineStr">
        <is>
          <t>VÄSTERVIK</t>
        </is>
      </c>
      <c r="F211" t="inlineStr">
        <is>
          <t>Sveaskog</t>
        </is>
      </c>
      <c r="G211" t="n">
        <v>4.9</v>
      </c>
      <c r="H211" t="n">
        <v>1</v>
      </c>
      <c r="I211" t="n">
        <v>0</v>
      </c>
      <c r="J211" t="n">
        <v>1</v>
      </c>
      <c r="K211" t="n">
        <v>0</v>
      </c>
      <c r="L211" t="n">
        <v>0</v>
      </c>
      <c r="M211" t="n">
        <v>0</v>
      </c>
      <c r="N211" t="n">
        <v>0</v>
      </c>
      <c r="O211" t="n">
        <v>1</v>
      </c>
      <c r="P211" t="n">
        <v>0</v>
      </c>
      <c r="Q211" t="n">
        <v>1</v>
      </c>
      <c r="R211" s="2" t="inlineStr">
        <is>
          <t>Havsörn</t>
        </is>
      </c>
      <c r="S211">
        <f>HYPERLINK("https://klasma.github.io/Logging_0883/artfynd/A 9261-2025 artfynd.xlsx", "A 9261-2025")</f>
        <v/>
      </c>
      <c r="T211">
        <f>HYPERLINK("https://klasma.github.io/Logging_0883/kartor/A 9261-2025 karta.png", "A 9261-2025")</f>
        <v/>
      </c>
      <c r="V211">
        <f>HYPERLINK("https://klasma.github.io/Logging_0883/klagomål/A 9261-2025 FSC-klagomål.docx", "A 9261-2025")</f>
        <v/>
      </c>
      <c r="W211">
        <f>HYPERLINK("https://klasma.github.io/Logging_0883/klagomålsmail/A 9261-2025 FSC-klagomål mail.docx", "A 9261-2025")</f>
        <v/>
      </c>
      <c r="X211">
        <f>HYPERLINK("https://klasma.github.io/Logging_0883/tillsyn/A 9261-2025 tillsynsbegäran.docx", "A 9261-2025")</f>
        <v/>
      </c>
      <c r="Y211">
        <f>HYPERLINK("https://klasma.github.io/Logging_0883/tillsynsmail/A 9261-2025 tillsynsbegäran mail.docx", "A 9261-2025")</f>
        <v/>
      </c>
      <c r="Z211">
        <f>HYPERLINK("https://klasma.github.io/Logging_0883/fåglar/A 9261-2025 prioriterade fågelarter.docx", "A 9261-2025")</f>
        <v/>
      </c>
    </row>
    <row r="212" ht="15" customHeight="1">
      <c r="A212" t="inlineStr">
        <is>
          <t>A 55616-2024</t>
        </is>
      </c>
      <c r="B212" s="1" t="n">
        <v>45622.5916087963</v>
      </c>
      <c r="C212" s="1" t="n">
        <v>45901</v>
      </c>
      <c r="D212" t="inlineStr">
        <is>
          <t>KALMAR LÄN</t>
        </is>
      </c>
      <c r="E212" t="inlineStr">
        <is>
          <t>VÄSTERVIK</t>
        </is>
      </c>
      <c r="G212" t="n">
        <v>0.5</v>
      </c>
      <c r="H212" t="n">
        <v>1</v>
      </c>
      <c r="I212" t="n">
        <v>0</v>
      </c>
      <c r="J212" t="n">
        <v>1</v>
      </c>
      <c r="K212" t="n">
        <v>0</v>
      </c>
      <c r="L212" t="n">
        <v>0</v>
      </c>
      <c r="M212" t="n">
        <v>0</v>
      </c>
      <c r="N212" t="n">
        <v>0</v>
      </c>
      <c r="O212" t="n">
        <v>1</v>
      </c>
      <c r="P212" t="n">
        <v>0</v>
      </c>
      <c r="Q212" t="n">
        <v>1</v>
      </c>
      <c r="R212" s="2" t="inlineStr">
        <is>
          <t>Entita</t>
        </is>
      </c>
      <c r="S212">
        <f>HYPERLINK("https://klasma.github.io/Logging_0883/artfynd/A 55616-2024 artfynd.xlsx", "A 55616-2024")</f>
        <v/>
      </c>
      <c r="T212">
        <f>HYPERLINK("https://klasma.github.io/Logging_0883/kartor/A 55616-2024 karta.png", "A 55616-2024")</f>
        <v/>
      </c>
      <c r="V212">
        <f>HYPERLINK("https://klasma.github.io/Logging_0883/klagomål/A 55616-2024 FSC-klagomål.docx", "A 55616-2024")</f>
        <v/>
      </c>
      <c r="W212">
        <f>HYPERLINK("https://klasma.github.io/Logging_0883/klagomålsmail/A 55616-2024 FSC-klagomål mail.docx", "A 55616-2024")</f>
        <v/>
      </c>
      <c r="X212">
        <f>HYPERLINK("https://klasma.github.io/Logging_0883/tillsyn/A 55616-2024 tillsynsbegäran.docx", "A 55616-2024")</f>
        <v/>
      </c>
      <c r="Y212">
        <f>HYPERLINK("https://klasma.github.io/Logging_0883/tillsynsmail/A 55616-2024 tillsynsbegäran mail.docx", "A 55616-2024")</f>
        <v/>
      </c>
      <c r="Z212">
        <f>HYPERLINK("https://klasma.github.io/Logging_0883/fåglar/A 55616-2024 prioriterade fågelarter.docx", "A 55616-2024")</f>
        <v/>
      </c>
    </row>
    <row r="213" ht="15" customHeight="1">
      <c r="A213" t="inlineStr">
        <is>
          <t>A 25436-2023</t>
        </is>
      </c>
      <c r="B213" s="1" t="n">
        <v>45089</v>
      </c>
      <c r="C213" s="1" t="n">
        <v>45901</v>
      </c>
      <c r="D213" t="inlineStr">
        <is>
          <t>KALMAR LÄN</t>
        </is>
      </c>
      <c r="E213" t="inlineStr">
        <is>
          <t>VÄSTERVIK</t>
        </is>
      </c>
      <c r="G213" t="n">
        <v>1.6</v>
      </c>
      <c r="H213" t="n">
        <v>1</v>
      </c>
      <c r="I213" t="n">
        <v>0</v>
      </c>
      <c r="J213" t="n">
        <v>0</v>
      </c>
      <c r="K213" t="n">
        <v>1</v>
      </c>
      <c r="L213" t="n">
        <v>0</v>
      </c>
      <c r="M213" t="n">
        <v>0</v>
      </c>
      <c r="N213" t="n">
        <v>0</v>
      </c>
      <c r="O213" t="n">
        <v>1</v>
      </c>
      <c r="P213" t="n">
        <v>1</v>
      </c>
      <c r="Q213" t="n">
        <v>1</v>
      </c>
      <c r="R213" s="2" t="inlineStr">
        <is>
          <t>Knärot</t>
        </is>
      </c>
      <c r="S213">
        <f>HYPERLINK("https://klasma.github.io/Logging_0883/artfynd/A 25436-2023 artfynd.xlsx", "A 25436-2023")</f>
        <v/>
      </c>
      <c r="T213">
        <f>HYPERLINK("https://klasma.github.io/Logging_0883/kartor/A 25436-2023 karta.png", "A 25436-2023")</f>
        <v/>
      </c>
      <c r="U213">
        <f>HYPERLINK("https://klasma.github.io/Logging_0883/knärot/A 25436-2023 karta knärot.png", "A 25436-2023")</f>
        <v/>
      </c>
      <c r="V213">
        <f>HYPERLINK("https://klasma.github.io/Logging_0883/klagomål/A 25436-2023 FSC-klagomål.docx", "A 25436-2023")</f>
        <v/>
      </c>
      <c r="W213">
        <f>HYPERLINK("https://klasma.github.io/Logging_0883/klagomålsmail/A 25436-2023 FSC-klagomål mail.docx", "A 25436-2023")</f>
        <v/>
      </c>
      <c r="X213">
        <f>HYPERLINK("https://klasma.github.io/Logging_0883/tillsyn/A 25436-2023 tillsynsbegäran.docx", "A 25436-2023")</f>
        <v/>
      </c>
      <c r="Y213">
        <f>HYPERLINK("https://klasma.github.io/Logging_0883/tillsynsmail/A 25436-2023 tillsynsbegäran mail.docx", "A 25436-2023")</f>
        <v/>
      </c>
    </row>
    <row r="214" ht="15" customHeight="1">
      <c r="A214" t="inlineStr">
        <is>
          <t>A 11609-2022</t>
        </is>
      </c>
      <c r="B214" s="1" t="n">
        <v>44631</v>
      </c>
      <c r="C214" s="1" t="n">
        <v>45901</v>
      </c>
      <c r="D214" t="inlineStr">
        <is>
          <t>KALMAR LÄN</t>
        </is>
      </c>
      <c r="E214" t="inlineStr">
        <is>
          <t>VÄSTERVIK</t>
        </is>
      </c>
      <c r="F214" t="inlineStr">
        <is>
          <t>Holmen skog AB</t>
        </is>
      </c>
      <c r="G214" t="n">
        <v>3.2</v>
      </c>
      <c r="H214" t="n">
        <v>0</v>
      </c>
      <c r="I214" t="n">
        <v>0</v>
      </c>
      <c r="J214" t="n">
        <v>1</v>
      </c>
      <c r="K214" t="n">
        <v>0</v>
      </c>
      <c r="L214" t="n">
        <v>0</v>
      </c>
      <c r="M214" t="n">
        <v>0</v>
      </c>
      <c r="N214" t="n">
        <v>0</v>
      </c>
      <c r="O214" t="n">
        <v>1</v>
      </c>
      <c r="P214" t="n">
        <v>0</v>
      </c>
      <c r="Q214" t="n">
        <v>1</v>
      </c>
      <c r="R214" s="2" t="inlineStr">
        <is>
          <t>Tallticka</t>
        </is>
      </c>
      <c r="S214">
        <f>HYPERLINK("https://klasma.github.io/Logging_0883/artfynd/A 11609-2022 artfynd.xlsx", "A 11609-2022")</f>
        <v/>
      </c>
      <c r="T214">
        <f>HYPERLINK("https://klasma.github.io/Logging_0883/kartor/A 11609-2022 karta.png", "A 11609-2022")</f>
        <v/>
      </c>
      <c r="U214">
        <f>HYPERLINK("https://klasma.github.io/Logging_0883/knärot/A 11609-2022 karta knärot.png", "A 11609-2022")</f>
        <v/>
      </c>
      <c r="V214">
        <f>HYPERLINK("https://klasma.github.io/Logging_0883/klagomål/A 11609-2022 FSC-klagomål.docx", "A 11609-2022")</f>
        <v/>
      </c>
      <c r="W214">
        <f>HYPERLINK("https://klasma.github.io/Logging_0883/klagomålsmail/A 11609-2022 FSC-klagomål mail.docx", "A 11609-2022")</f>
        <v/>
      </c>
      <c r="X214">
        <f>HYPERLINK("https://klasma.github.io/Logging_0883/tillsyn/A 11609-2022 tillsynsbegäran.docx", "A 11609-2022")</f>
        <v/>
      </c>
      <c r="Y214">
        <f>HYPERLINK("https://klasma.github.io/Logging_0883/tillsynsmail/A 11609-2022 tillsynsbegäran mail.docx", "A 11609-2022")</f>
        <v/>
      </c>
    </row>
    <row r="215" ht="15" customHeight="1">
      <c r="A215" t="inlineStr">
        <is>
          <t>A 33916-2025</t>
        </is>
      </c>
      <c r="B215" s="1" t="n">
        <v>45842.61306712963</v>
      </c>
      <c r="C215" s="1" t="n">
        <v>45901</v>
      </c>
      <c r="D215" t="inlineStr">
        <is>
          <t>KALMAR LÄN</t>
        </is>
      </c>
      <c r="E215" t="inlineStr">
        <is>
          <t>VÄSTERVIK</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HYPERLINK("https://klasma.github.io/Logging_0883/artfynd/A 33916-2025 artfynd.xlsx", "A 33916-2025")</f>
        <v/>
      </c>
      <c r="T215">
        <f>HYPERLINK("https://klasma.github.io/Logging_0883/kartor/A 33916-2025 karta.png", "A 33916-2025")</f>
        <v/>
      </c>
      <c r="V215">
        <f>HYPERLINK("https://klasma.github.io/Logging_0883/klagomål/A 33916-2025 FSC-klagomål.docx", "A 33916-2025")</f>
        <v/>
      </c>
      <c r="W215">
        <f>HYPERLINK("https://klasma.github.io/Logging_0883/klagomålsmail/A 33916-2025 FSC-klagomål mail.docx", "A 33916-2025")</f>
        <v/>
      </c>
      <c r="X215">
        <f>HYPERLINK("https://klasma.github.io/Logging_0883/tillsyn/A 33916-2025 tillsynsbegäran.docx", "A 33916-2025")</f>
        <v/>
      </c>
      <c r="Y215">
        <f>HYPERLINK("https://klasma.github.io/Logging_0883/tillsynsmail/A 33916-2025 tillsynsbegäran mail.docx", "A 33916-2025")</f>
        <v/>
      </c>
      <c r="Z215">
        <f>HYPERLINK("https://klasma.github.io/Logging_0883/fåglar/A 33916-2025 prioriterade fågelarter.docx", "A 33916-2025")</f>
        <v/>
      </c>
    </row>
    <row r="216" ht="15" customHeight="1">
      <c r="A216" t="inlineStr">
        <is>
          <t>A 11165-2024</t>
        </is>
      </c>
      <c r="B216" s="1" t="n">
        <v>45371</v>
      </c>
      <c r="C216" s="1" t="n">
        <v>45901</v>
      </c>
      <c r="D216" t="inlineStr">
        <is>
          <t>KALMAR LÄN</t>
        </is>
      </c>
      <c r="E216" t="inlineStr">
        <is>
          <t>VÄSTERVIK</t>
        </is>
      </c>
      <c r="G216" t="n">
        <v>3.7</v>
      </c>
      <c r="H216" t="n">
        <v>1</v>
      </c>
      <c r="I216" t="n">
        <v>0</v>
      </c>
      <c r="J216" t="n">
        <v>1</v>
      </c>
      <c r="K216" t="n">
        <v>0</v>
      </c>
      <c r="L216" t="n">
        <v>0</v>
      </c>
      <c r="M216" t="n">
        <v>0</v>
      </c>
      <c r="N216" t="n">
        <v>0</v>
      </c>
      <c r="O216" t="n">
        <v>1</v>
      </c>
      <c r="P216" t="n">
        <v>0</v>
      </c>
      <c r="Q216" t="n">
        <v>1</v>
      </c>
      <c r="R216" s="2" t="inlineStr">
        <is>
          <t>Spillkråka</t>
        </is>
      </c>
      <c r="S216">
        <f>HYPERLINK("https://klasma.github.io/Logging_0883/artfynd/A 11165-2024 artfynd.xlsx", "A 11165-2024")</f>
        <v/>
      </c>
      <c r="T216">
        <f>HYPERLINK("https://klasma.github.io/Logging_0883/kartor/A 11165-2024 karta.png", "A 11165-2024")</f>
        <v/>
      </c>
      <c r="V216">
        <f>HYPERLINK("https://klasma.github.io/Logging_0883/klagomål/A 11165-2024 FSC-klagomål.docx", "A 11165-2024")</f>
        <v/>
      </c>
      <c r="W216">
        <f>HYPERLINK("https://klasma.github.io/Logging_0883/klagomålsmail/A 11165-2024 FSC-klagomål mail.docx", "A 11165-2024")</f>
        <v/>
      </c>
      <c r="X216">
        <f>HYPERLINK("https://klasma.github.io/Logging_0883/tillsyn/A 11165-2024 tillsynsbegäran.docx", "A 11165-2024")</f>
        <v/>
      </c>
      <c r="Y216">
        <f>HYPERLINK("https://klasma.github.io/Logging_0883/tillsynsmail/A 11165-2024 tillsynsbegäran mail.docx", "A 11165-2024")</f>
        <v/>
      </c>
      <c r="Z216">
        <f>HYPERLINK("https://klasma.github.io/Logging_0883/fåglar/A 11165-2024 prioriterade fågelarter.docx", "A 11165-2024")</f>
        <v/>
      </c>
    </row>
    <row r="217" ht="15" customHeight="1">
      <c r="A217" t="inlineStr">
        <is>
          <t>A 1176-2024</t>
        </is>
      </c>
      <c r="B217" s="1" t="n">
        <v>45302</v>
      </c>
      <c r="C217" s="1" t="n">
        <v>45901</v>
      </c>
      <c r="D217" t="inlineStr">
        <is>
          <t>KALMAR LÄN</t>
        </is>
      </c>
      <c r="E217" t="inlineStr">
        <is>
          <t>VÄSTERVIK</t>
        </is>
      </c>
      <c r="G217" t="n">
        <v>2.5</v>
      </c>
      <c r="H217" t="n">
        <v>0</v>
      </c>
      <c r="I217" t="n">
        <v>0</v>
      </c>
      <c r="J217" t="n">
        <v>1</v>
      </c>
      <c r="K217" t="n">
        <v>0</v>
      </c>
      <c r="L217" t="n">
        <v>0</v>
      </c>
      <c r="M217" t="n">
        <v>0</v>
      </c>
      <c r="N217" t="n">
        <v>0</v>
      </c>
      <c r="O217" t="n">
        <v>1</v>
      </c>
      <c r="P217" t="n">
        <v>0</v>
      </c>
      <c r="Q217" t="n">
        <v>1</v>
      </c>
      <c r="R217" s="2" t="inlineStr">
        <is>
          <t>Tallticka</t>
        </is>
      </c>
      <c r="S217">
        <f>HYPERLINK("https://klasma.github.io/Logging_0883/artfynd/A 1176-2024 artfynd.xlsx", "A 1176-2024")</f>
        <v/>
      </c>
      <c r="T217">
        <f>HYPERLINK("https://klasma.github.io/Logging_0883/kartor/A 1176-2024 karta.png", "A 1176-2024")</f>
        <v/>
      </c>
      <c r="V217">
        <f>HYPERLINK("https://klasma.github.io/Logging_0883/klagomål/A 1176-2024 FSC-klagomål.docx", "A 1176-2024")</f>
        <v/>
      </c>
      <c r="W217">
        <f>HYPERLINK("https://klasma.github.io/Logging_0883/klagomålsmail/A 1176-2024 FSC-klagomål mail.docx", "A 1176-2024")</f>
        <v/>
      </c>
      <c r="X217">
        <f>HYPERLINK("https://klasma.github.io/Logging_0883/tillsyn/A 1176-2024 tillsynsbegäran.docx", "A 1176-2024")</f>
        <v/>
      </c>
      <c r="Y217">
        <f>HYPERLINK("https://klasma.github.io/Logging_0883/tillsynsmail/A 1176-2024 tillsynsbegäran mail.docx", "A 1176-2024")</f>
        <v/>
      </c>
    </row>
    <row r="218" ht="15" customHeight="1">
      <c r="A218" t="inlineStr">
        <is>
          <t>A 4750-2025</t>
        </is>
      </c>
      <c r="B218" s="1" t="n">
        <v>45688</v>
      </c>
      <c r="C218" s="1" t="n">
        <v>45901</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34168-2025</t>
        </is>
      </c>
      <c r="B219" s="1" t="n">
        <v>45845.58349537037</v>
      </c>
      <c r="C219" s="1" t="n">
        <v>45901</v>
      </c>
      <c r="D219" t="inlineStr">
        <is>
          <t>KALMAR LÄN</t>
        </is>
      </c>
      <c r="E219" t="inlineStr">
        <is>
          <t>VÄSTERVIK</t>
        </is>
      </c>
      <c r="G219" t="n">
        <v>2.7</v>
      </c>
      <c r="H219" t="n">
        <v>1</v>
      </c>
      <c r="I219" t="n">
        <v>0</v>
      </c>
      <c r="J219" t="n">
        <v>1</v>
      </c>
      <c r="K219" t="n">
        <v>0</v>
      </c>
      <c r="L219" t="n">
        <v>0</v>
      </c>
      <c r="M219" t="n">
        <v>0</v>
      </c>
      <c r="N219" t="n">
        <v>0</v>
      </c>
      <c r="O219" t="n">
        <v>1</v>
      </c>
      <c r="P219" t="n">
        <v>0</v>
      </c>
      <c r="Q219" t="n">
        <v>1</v>
      </c>
      <c r="R219" s="2" t="inlineStr">
        <is>
          <t>Grönsångare</t>
        </is>
      </c>
      <c r="S219">
        <f>HYPERLINK("https://klasma.github.io/Logging_0883/artfynd/A 34168-2025 artfynd.xlsx", "A 34168-2025")</f>
        <v/>
      </c>
      <c r="T219">
        <f>HYPERLINK("https://klasma.github.io/Logging_0883/kartor/A 34168-2025 karta.png", "A 34168-2025")</f>
        <v/>
      </c>
      <c r="V219">
        <f>HYPERLINK("https://klasma.github.io/Logging_0883/klagomål/A 34168-2025 FSC-klagomål.docx", "A 34168-2025")</f>
        <v/>
      </c>
      <c r="W219">
        <f>HYPERLINK("https://klasma.github.io/Logging_0883/klagomålsmail/A 34168-2025 FSC-klagomål mail.docx", "A 34168-2025")</f>
        <v/>
      </c>
      <c r="X219">
        <f>HYPERLINK("https://klasma.github.io/Logging_0883/tillsyn/A 34168-2025 tillsynsbegäran.docx", "A 34168-2025")</f>
        <v/>
      </c>
      <c r="Y219">
        <f>HYPERLINK("https://klasma.github.io/Logging_0883/tillsynsmail/A 34168-2025 tillsynsbegäran mail.docx", "A 34168-2025")</f>
        <v/>
      </c>
      <c r="Z219">
        <f>HYPERLINK("https://klasma.github.io/Logging_0883/fåglar/A 34168-2025 prioriterade fågelarter.docx", "A 34168-2025")</f>
        <v/>
      </c>
    </row>
    <row r="220" ht="15" customHeight="1">
      <c r="A220" t="inlineStr">
        <is>
          <t>A 34166-2025</t>
        </is>
      </c>
      <c r="B220" s="1" t="n">
        <v>45845.5819675926</v>
      </c>
      <c r="C220" s="1" t="n">
        <v>45901</v>
      </c>
      <c r="D220" t="inlineStr">
        <is>
          <t>KALMAR LÄN</t>
        </is>
      </c>
      <c r="E220" t="inlineStr">
        <is>
          <t>VÄSTERVIK</t>
        </is>
      </c>
      <c r="G220" t="n">
        <v>3.5</v>
      </c>
      <c r="H220" t="n">
        <v>0</v>
      </c>
      <c r="I220" t="n">
        <v>0</v>
      </c>
      <c r="J220" t="n">
        <v>0</v>
      </c>
      <c r="K220" t="n">
        <v>0</v>
      </c>
      <c r="L220" t="n">
        <v>0</v>
      </c>
      <c r="M220" t="n">
        <v>1</v>
      </c>
      <c r="N220" t="n">
        <v>0</v>
      </c>
      <c r="O220" t="n">
        <v>1</v>
      </c>
      <c r="P220" t="n">
        <v>1</v>
      </c>
      <c r="Q220" t="n">
        <v>1</v>
      </c>
      <c r="R220" s="2" t="inlineStr">
        <is>
          <t>Skogsalm</t>
        </is>
      </c>
      <c r="S220">
        <f>HYPERLINK("https://klasma.github.io/Logging_0883/artfynd/A 34166-2025 artfynd.xlsx", "A 34166-2025")</f>
        <v/>
      </c>
      <c r="T220">
        <f>HYPERLINK("https://klasma.github.io/Logging_0883/kartor/A 34166-2025 karta.png", "A 34166-2025")</f>
        <v/>
      </c>
      <c r="V220">
        <f>HYPERLINK("https://klasma.github.io/Logging_0883/klagomål/A 34166-2025 FSC-klagomål.docx", "A 34166-2025")</f>
        <v/>
      </c>
      <c r="W220">
        <f>HYPERLINK("https://klasma.github.io/Logging_0883/klagomålsmail/A 34166-2025 FSC-klagomål mail.docx", "A 34166-2025")</f>
        <v/>
      </c>
      <c r="X220">
        <f>HYPERLINK("https://klasma.github.io/Logging_0883/tillsyn/A 34166-2025 tillsynsbegäran.docx", "A 34166-2025")</f>
        <v/>
      </c>
      <c r="Y220">
        <f>HYPERLINK("https://klasma.github.io/Logging_0883/tillsynsmail/A 34166-2025 tillsynsbegäran mail.docx", "A 34166-2025")</f>
        <v/>
      </c>
    </row>
    <row r="221" ht="15" customHeight="1">
      <c r="A221" t="inlineStr">
        <is>
          <t>A 34212-2025</t>
        </is>
      </c>
      <c r="B221" s="1" t="n">
        <v>45845.64383101852</v>
      </c>
      <c r="C221" s="1" t="n">
        <v>45901</v>
      </c>
      <c r="D221" t="inlineStr">
        <is>
          <t>KALMAR LÄN</t>
        </is>
      </c>
      <c r="E221" t="inlineStr">
        <is>
          <t>VÄSTERVIK</t>
        </is>
      </c>
      <c r="G221" t="n">
        <v>6.4</v>
      </c>
      <c r="H221" t="n">
        <v>0</v>
      </c>
      <c r="I221" t="n">
        <v>1</v>
      </c>
      <c r="J221" t="n">
        <v>0</v>
      </c>
      <c r="K221" t="n">
        <v>0</v>
      </c>
      <c r="L221" t="n">
        <v>0</v>
      </c>
      <c r="M221" t="n">
        <v>0</v>
      </c>
      <c r="N221" t="n">
        <v>0</v>
      </c>
      <c r="O221" t="n">
        <v>0</v>
      </c>
      <c r="P221" t="n">
        <v>0</v>
      </c>
      <c r="Q221" t="n">
        <v>1</v>
      </c>
      <c r="R221" s="2" t="inlineStr">
        <is>
          <t>Blåmossa</t>
        </is>
      </c>
      <c r="S221">
        <f>HYPERLINK("https://klasma.github.io/Logging_0883/artfynd/A 34212-2025 artfynd.xlsx", "A 34212-2025")</f>
        <v/>
      </c>
      <c r="T221">
        <f>HYPERLINK("https://klasma.github.io/Logging_0883/kartor/A 34212-2025 karta.png", "A 34212-2025")</f>
        <v/>
      </c>
      <c r="V221">
        <f>HYPERLINK("https://klasma.github.io/Logging_0883/klagomål/A 34212-2025 FSC-klagomål.docx", "A 34212-2025")</f>
        <v/>
      </c>
      <c r="W221">
        <f>HYPERLINK("https://klasma.github.io/Logging_0883/klagomålsmail/A 34212-2025 FSC-klagomål mail.docx", "A 34212-2025")</f>
        <v/>
      </c>
      <c r="X221">
        <f>HYPERLINK("https://klasma.github.io/Logging_0883/tillsyn/A 34212-2025 tillsynsbegäran.docx", "A 34212-2025")</f>
        <v/>
      </c>
      <c r="Y221">
        <f>HYPERLINK("https://klasma.github.io/Logging_0883/tillsynsmail/A 34212-2025 tillsynsbegäran mail.docx", "A 34212-2025")</f>
        <v/>
      </c>
    </row>
    <row r="222" ht="15" customHeight="1">
      <c r="A222" t="inlineStr">
        <is>
          <t>A 34563-2023</t>
        </is>
      </c>
      <c r="B222" s="1" t="n">
        <v>45140.52086805556</v>
      </c>
      <c r="C222" s="1" t="n">
        <v>45901</v>
      </c>
      <c r="D222" t="inlineStr">
        <is>
          <t>KALMAR LÄN</t>
        </is>
      </c>
      <c r="E222" t="inlineStr">
        <is>
          <t>VÄSTERVIK</t>
        </is>
      </c>
      <c r="G222" t="n">
        <v>1.4</v>
      </c>
      <c r="H222" t="n">
        <v>0</v>
      </c>
      <c r="I222" t="n">
        <v>1</v>
      </c>
      <c r="J222" t="n">
        <v>0</v>
      </c>
      <c r="K222" t="n">
        <v>0</v>
      </c>
      <c r="L222" t="n">
        <v>0</v>
      </c>
      <c r="M222" t="n">
        <v>0</v>
      </c>
      <c r="N222" t="n">
        <v>0</v>
      </c>
      <c r="O222" t="n">
        <v>0</v>
      </c>
      <c r="P222" t="n">
        <v>0</v>
      </c>
      <c r="Q222" t="n">
        <v>1</v>
      </c>
      <c r="R222" s="2" t="inlineStr">
        <is>
          <t>Fjällig taggsvamp s.str.</t>
        </is>
      </c>
      <c r="S222">
        <f>HYPERLINK("https://klasma.github.io/Logging_0883/artfynd/A 34563-2023 artfynd.xlsx", "A 34563-2023")</f>
        <v/>
      </c>
      <c r="T222">
        <f>HYPERLINK("https://klasma.github.io/Logging_0883/kartor/A 34563-2023 karta.png", "A 34563-2023")</f>
        <v/>
      </c>
      <c r="U222">
        <f>HYPERLINK("https://klasma.github.io/Logging_0883/knärot/A 34563-2023 karta knärot.png", "A 34563-2023")</f>
        <v/>
      </c>
      <c r="V222">
        <f>HYPERLINK("https://klasma.github.io/Logging_0883/klagomål/A 34563-2023 FSC-klagomål.docx", "A 34563-2023")</f>
        <v/>
      </c>
      <c r="W222">
        <f>HYPERLINK("https://klasma.github.io/Logging_0883/klagomålsmail/A 34563-2023 FSC-klagomål mail.docx", "A 34563-2023")</f>
        <v/>
      </c>
      <c r="X222">
        <f>HYPERLINK("https://klasma.github.io/Logging_0883/tillsyn/A 34563-2023 tillsynsbegäran.docx", "A 34563-2023")</f>
        <v/>
      </c>
      <c r="Y222">
        <f>HYPERLINK("https://klasma.github.io/Logging_0883/tillsynsmail/A 34563-2023 tillsynsbegäran mail.docx", "A 34563-2023")</f>
        <v/>
      </c>
    </row>
    <row r="223" ht="15" customHeight="1">
      <c r="A223" t="inlineStr">
        <is>
          <t>A 11195-2024</t>
        </is>
      </c>
      <c r="B223" s="1" t="n">
        <v>45371</v>
      </c>
      <c r="C223" s="1" t="n">
        <v>45901</v>
      </c>
      <c r="D223" t="inlineStr">
        <is>
          <t>KALMAR LÄN</t>
        </is>
      </c>
      <c r="E223" t="inlineStr">
        <is>
          <t>VÄSTERVIK</t>
        </is>
      </c>
      <c r="G223" t="n">
        <v>1.9</v>
      </c>
      <c r="H223" t="n">
        <v>1</v>
      </c>
      <c r="I223" t="n">
        <v>0</v>
      </c>
      <c r="J223" t="n">
        <v>0</v>
      </c>
      <c r="K223" t="n">
        <v>1</v>
      </c>
      <c r="L223" t="n">
        <v>0</v>
      </c>
      <c r="M223" t="n">
        <v>0</v>
      </c>
      <c r="N223" t="n">
        <v>0</v>
      </c>
      <c r="O223" t="n">
        <v>1</v>
      </c>
      <c r="P223" t="n">
        <v>1</v>
      </c>
      <c r="Q223" t="n">
        <v>1</v>
      </c>
      <c r="R223" s="2" t="inlineStr">
        <is>
          <t>Knärot</t>
        </is>
      </c>
      <c r="S223">
        <f>HYPERLINK("https://klasma.github.io/Logging_0883/artfynd/A 11195-2024 artfynd.xlsx", "A 11195-2024")</f>
        <v/>
      </c>
      <c r="T223">
        <f>HYPERLINK("https://klasma.github.io/Logging_0883/kartor/A 11195-2024 karta.png", "A 11195-2024")</f>
        <v/>
      </c>
      <c r="U223">
        <f>HYPERLINK("https://klasma.github.io/Logging_0883/knärot/A 11195-2024 karta knärot.png", "A 11195-2024")</f>
        <v/>
      </c>
      <c r="V223">
        <f>HYPERLINK("https://klasma.github.io/Logging_0883/klagomål/A 11195-2024 FSC-klagomål.docx", "A 11195-2024")</f>
        <v/>
      </c>
      <c r="W223">
        <f>HYPERLINK("https://klasma.github.io/Logging_0883/klagomålsmail/A 11195-2024 FSC-klagomål mail.docx", "A 11195-2024")</f>
        <v/>
      </c>
      <c r="X223">
        <f>HYPERLINK("https://klasma.github.io/Logging_0883/tillsyn/A 11195-2024 tillsynsbegäran.docx", "A 11195-2024")</f>
        <v/>
      </c>
      <c r="Y223">
        <f>HYPERLINK("https://klasma.github.io/Logging_0883/tillsynsmail/A 11195-2024 tillsynsbegäran mail.docx", "A 11195-2024")</f>
        <v/>
      </c>
    </row>
    <row r="224" ht="15" customHeight="1">
      <c r="A224" t="inlineStr">
        <is>
          <t>A 25447-2021</t>
        </is>
      </c>
      <c r="B224" s="1" t="n">
        <v>44342</v>
      </c>
      <c r="C224" s="1" t="n">
        <v>45901</v>
      </c>
      <c r="D224" t="inlineStr">
        <is>
          <t>KALMAR LÄN</t>
        </is>
      </c>
      <c r="E224" t="inlineStr">
        <is>
          <t>VÄSTERVIK</t>
        </is>
      </c>
      <c r="F224" t="inlineStr">
        <is>
          <t>Holmen skog AB</t>
        </is>
      </c>
      <c r="G224" t="n">
        <v>9</v>
      </c>
      <c r="H224" t="n">
        <v>1</v>
      </c>
      <c r="I224" t="n">
        <v>0</v>
      </c>
      <c r="J224" t="n">
        <v>0</v>
      </c>
      <c r="K224" t="n">
        <v>1</v>
      </c>
      <c r="L224" t="n">
        <v>0</v>
      </c>
      <c r="M224" t="n">
        <v>0</v>
      </c>
      <c r="N224" t="n">
        <v>0</v>
      </c>
      <c r="O224" t="n">
        <v>1</v>
      </c>
      <c r="P224" t="n">
        <v>1</v>
      </c>
      <c r="Q224" t="n">
        <v>1</v>
      </c>
      <c r="R224" s="2" t="inlineStr">
        <is>
          <t>Knärot</t>
        </is>
      </c>
      <c r="S224">
        <f>HYPERLINK("https://klasma.github.io/Logging_0883/artfynd/A 25447-2021 artfynd.xlsx", "A 25447-2021")</f>
        <v/>
      </c>
      <c r="T224">
        <f>HYPERLINK("https://klasma.github.io/Logging_0883/kartor/A 25447-2021 karta.png", "A 25447-2021")</f>
        <v/>
      </c>
      <c r="U224">
        <f>HYPERLINK("https://klasma.github.io/Logging_0883/knärot/A 25447-2021 karta knärot.png", "A 25447-2021")</f>
        <v/>
      </c>
      <c r="V224">
        <f>HYPERLINK("https://klasma.github.io/Logging_0883/klagomål/A 25447-2021 FSC-klagomål.docx", "A 25447-2021")</f>
        <v/>
      </c>
      <c r="W224">
        <f>HYPERLINK("https://klasma.github.io/Logging_0883/klagomålsmail/A 25447-2021 FSC-klagomål mail.docx", "A 25447-2021")</f>
        <v/>
      </c>
      <c r="X224">
        <f>HYPERLINK("https://klasma.github.io/Logging_0883/tillsyn/A 25447-2021 tillsynsbegäran.docx", "A 25447-2021")</f>
        <v/>
      </c>
      <c r="Y224">
        <f>HYPERLINK("https://klasma.github.io/Logging_0883/tillsynsmail/A 25447-2021 tillsynsbegäran mail.docx", "A 25447-2021")</f>
        <v/>
      </c>
    </row>
    <row r="225" ht="15" customHeight="1">
      <c r="A225" t="inlineStr">
        <is>
          <t>A 35028-2024</t>
        </is>
      </c>
      <c r="B225" s="1" t="n">
        <v>45527.60524305556</v>
      </c>
      <c r="C225" s="1" t="n">
        <v>45901</v>
      </c>
      <c r="D225" t="inlineStr">
        <is>
          <t>KALMAR LÄN</t>
        </is>
      </c>
      <c r="E225" t="inlineStr">
        <is>
          <t>VÄSTERVIK</t>
        </is>
      </c>
      <c r="G225" t="n">
        <v>1.3</v>
      </c>
      <c r="H225" t="n">
        <v>0</v>
      </c>
      <c r="I225" t="n">
        <v>1</v>
      </c>
      <c r="J225" t="n">
        <v>0</v>
      </c>
      <c r="K225" t="n">
        <v>0</v>
      </c>
      <c r="L225" t="n">
        <v>0</v>
      </c>
      <c r="M225" t="n">
        <v>0</v>
      </c>
      <c r="N225" t="n">
        <v>0</v>
      </c>
      <c r="O225" t="n">
        <v>0</v>
      </c>
      <c r="P225" t="n">
        <v>0</v>
      </c>
      <c r="Q225" t="n">
        <v>1</v>
      </c>
      <c r="R225" s="2" t="inlineStr">
        <is>
          <t>Blomkålssvamp</t>
        </is>
      </c>
      <c r="S225">
        <f>HYPERLINK("https://klasma.github.io/Logging_0883/artfynd/A 35028-2024 artfynd.xlsx", "A 35028-2024")</f>
        <v/>
      </c>
      <c r="T225">
        <f>HYPERLINK("https://klasma.github.io/Logging_0883/kartor/A 35028-2024 karta.png", "A 35028-2024")</f>
        <v/>
      </c>
      <c r="V225">
        <f>HYPERLINK("https://klasma.github.io/Logging_0883/klagomål/A 35028-2024 FSC-klagomål.docx", "A 35028-2024")</f>
        <v/>
      </c>
      <c r="W225">
        <f>HYPERLINK("https://klasma.github.io/Logging_0883/klagomålsmail/A 35028-2024 FSC-klagomål mail.docx", "A 35028-2024")</f>
        <v/>
      </c>
      <c r="X225">
        <f>HYPERLINK("https://klasma.github.io/Logging_0883/tillsyn/A 35028-2024 tillsynsbegäran.docx", "A 35028-2024")</f>
        <v/>
      </c>
      <c r="Y225">
        <f>HYPERLINK("https://klasma.github.io/Logging_0883/tillsynsmail/A 35028-2024 tillsynsbegäran mail.docx", "A 35028-2024")</f>
        <v/>
      </c>
    </row>
    <row r="226" ht="15" customHeight="1">
      <c r="A226" t="inlineStr">
        <is>
          <t>A 10768-2025</t>
        </is>
      </c>
      <c r="B226" s="1" t="n">
        <v>45722.46649305556</v>
      </c>
      <c r="C226" s="1" t="n">
        <v>45901</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24048-2021</t>
        </is>
      </c>
      <c r="B227" s="1" t="n">
        <v>44336</v>
      </c>
      <c r="C227" s="1" t="n">
        <v>45901</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14089-2025</t>
        </is>
      </c>
      <c r="B228" s="1" t="n">
        <v>45740.44363425926</v>
      </c>
      <c r="C228" s="1" t="n">
        <v>45901</v>
      </c>
      <c r="D228" t="inlineStr">
        <is>
          <t>KALMAR LÄN</t>
        </is>
      </c>
      <c r="E228" t="inlineStr">
        <is>
          <t>VÄSTERVIK</t>
        </is>
      </c>
      <c r="F228" t="inlineStr">
        <is>
          <t>Sveaskog</t>
        </is>
      </c>
      <c r="G228" t="n">
        <v>1.3</v>
      </c>
      <c r="H228" t="n">
        <v>1</v>
      </c>
      <c r="I228" t="n">
        <v>0</v>
      </c>
      <c r="J228" t="n">
        <v>1</v>
      </c>
      <c r="K228" t="n">
        <v>0</v>
      </c>
      <c r="L228" t="n">
        <v>0</v>
      </c>
      <c r="M228" t="n">
        <v>0</v>
      </c>
      <c r="N228" t="n">
        <v>0</v>
      </c>
      <c r="O228" t="n">
        <v>1</v>
      </c>
      <c r="P228" t="n">
        <v>0</v>
      </c>
      <c r="Q228" t="n">
        <v>1</v>
      </c>
      <c r="R228" s="2" t="inlineStr">
        <is>
          <t>Spillkråka</t>
        </is>
      </c>
      <c r="S228">
        <f>HYPERLINK("https://klasma.github.io/Logging_0883/artfynd/A 14089-2025 artfynd.xlsx", "A 14089-2025")</f>
        <v/>
      </c>
      <c r="T228">
        <f>HYPERLINK("https://klasma.github.io/Logging_0883/kartor/A 14089-2025 karta.png", "A 14089-2025")</f>
        <v/>
      </c>
      <c r="V228">
        <f>HYPERLINK("https://klasma.github.io/Logging_0883/klagomål/A 14089-2025 FSC-klagomål.docx", "A 14089-2025")</f>
        <v/>
      </c>
      <c r="W228">
        <f>HYPERLINK("https://klasma.github.io/Logging_0883/klagomålsmail/A 14089-2025 FSC-klagomål mail.docx", "A 14089-2025")</f>
        <v/>
      </c>
      <c r="X228">
        <f>HYPERLINK("https://klasma.github.io/Logging_0883/tillsyn/A 14089-2025 tillsynsbegäran.docx", "A 14089-2025")</f>
        <v/>
      </c>
      <c r="Y228">
        <f>HYPERLINK("https://klasma.github.io/Logging_0883/tillsynsmail/A 14089-2025 tillsynsbegäran mail.docx", "A 14089-2025")</f>
        <v/>
      </c>
      <c r="Z228">
        <f>HYPERLINK("https://klasma.github.io/Logging_0883/fåglar/A 14089-2025 prioriterade fågelarter.docx", "A 14089-2025")</f>
        <v/>
      </c>
    </row>
    <row r="229" ht="15" customHeight="1">
      <c r="A229" t="inlineStr">
        <is>
          <t>A 31315-2021</t>
        </is>
      </c>
      <c r="B229" s="1" t="n">
        <v>44368</v>
      </c>
      <c r="C229" s="1" t="n">
        <v>45901</v>
      </c>
      <c r="D229" t="inlineStr">
        <is>
          <t>KALMAR LÄN</t>
        </is>
      </c>
      <c r="E229" t="inlineStr">
        <is>
          <t>VÄSTERVIK</t>
        </is>
      </c>
      <c r="G229" t="n">
        <v>3.3</v>
      </c>
      <c r="H229" t="n">
        <v>1</v>
      </c>
      <c r="I229" t="n">
        <v>0</v>
      </c>
      <c r="J229" t="n">
        <v>0</v>
      </c>
      <c r="K229" t="n">
        <v>1</v>
      </c>
      <c r="L229" t="n">
        <v>0</v>
      </c>
      <c r="M229" t="n">
        <v>0</v>
      </c>
      <c r="N229" t="n">
        <v>0</v>
      </c>
      <c r="O229" t="n">
        <v>1</v>
      </c>
      <c r="P229" t="n">
        <v>1</v>
      </c>
      <c r="Q229" t="n">
        <v>1</v>
      </c>
      <c r="R229" s="2" t="inlineStr">
        <is>
          <t>Knärot</t>
        </is>
      </c>
      <c r="S229">
        <f>HYPERLINK("https://klasma.github.io/Logging_0883/artfynd/A 31315-2021 artfynd.xlsx", "A 31315-2021")</f>
        <v/>
      </c>
      <c r="T229">
        <f>HYPERLINK("https://klasma.github.io/Logging_0883/kartor/A 31315-2021 karta.png", "A 31315-2021")</f>
        <v/>
      </c>
      <c r="U229">
        <f>HYPERLINK("https://klasma.github.io/Logging_0883/knärot/A 31315-2021 karta knärot.png", "A 31315-2021")</f>
        <v/>
      </c>
      <c r="V229">
        <f>HYPERLINK("https://klasma.github.io/Logging_0883/klagomål/A 31315-2021 FSC-klagomål.docx", "A 31315-2021")</f>
        <v/>
      </c>
      <c r="W229">
        <f>HYPERLINK("https://klasma.github.io/Logging_0883/klagomålsmail/A 31315-2021 FSC-klagomål mail.docx", "A 31315-2021")</f>
        <v/>
      </c>
      <c r="X229">
        <f>HYPERLINK("https://klasma.github.io/Logging_0883/tillsyn/A 31315-2021 tillsynsbegäran.docx", "A 31315-2021")</f>
        <v/>
      </c>
      <c r="Y229">
        <f>HYPERLINK("https://klasma.github.io/Logging_0883/tillsynsmail/A 31315-2021 tillsynsbegäran mail.docx", "A 31315-2021")</f>
        <v/>
      </c>
    </row>
    <row r="230" ht="15" customHeight="1">
      <c r="A230" t="inlineStr">
        <is>
          <t>A 14131-2025</t>
        </is>
      </c>
      <c r="B230" s="1" t="n">
        <v>45740.47480324074</v>
      </c>
      <c r="C230" s="1" t="n">
        <v>45901</v>
      </c>
      <c r="D230" t="inlineStr">
        <is>
          <t>KALMAR LÄN</t>
        </is>
      </c>
      <c r="E230" t="inlineStr">
        <is>
          <t>VÄSTERVIK</t>
        </is>
      </c>
      <c r="F230" t="inlineStr">
        <is>
          <t>Sveaskog</t>
        </is>
      </c>
      <c r="G230" t="n">
        <v>0.7</v>
      </c>
      <c r="H230" t="n">
        <v>1</v>
      </c>
      <c r="I230" t="n">
        <v>0</v>
      </c>
      <c r="J230" t="n">
        <v>0</v>
      </c>
      <c r="K230" t="n">
        <v>0</v>
      </c>
      <c r="L230" t="n">
        <v>0</v>
      </c>
      <c r="M230" t="n">
        <v>0</v>
      </c>
      <c r="N230" t="n">
        <v>0</v>
      </c>
      <c r="O230" t="n">
        <v>0</v>
      </c>
      <c r="P230" t="n">
        <v>0</v>
      </c>
      <c r="Q230" t="n">
        <v>1</v>
      </c>
      <c r="R230" s="2" t="inlineStr">
        <is>
          <t>Blåsippa</t>
        </is>
      </c>
      <c r="S230">
        <f>HYPERLINK("https://klasma.github.io/Logging_0883/artfynd/A 14131-2025 artfynd.xlsx", "A 14131-2025")</f>
        <v/>
      </c>
      <c r="T230">
        <f>HYPERLINK("https://klasma.github.io/Logging_0883/kartor/A 14131-2025 karta.png", "A 14131-2025")</f>
        <v/>
      </c>
      <c r="V230">
        <f>HYPERLINK("https://klasma.github.io/Logging_0883/klagomål/A 14131-2025 FSC-klagomål.docx", "A 14131-2025")</f>
        <v/>
      </c>
      <c r="W230">
        <f>HYPERLINK("https://klasma.github.io/Logging_0883/klagomålsmail/A 14131-2025 FSC-klagomål mail.docx", "A 14131-2025")</f>
        <v/>
      </c>
      <c r="X230">
        <f>HYPERLINK("https://klasma.github.io/Logging_0883/tillsyn/A 14131-2025 tillsynsbegäran.docx", "A 14131-2025")</f>
        <v/>
      </c>
      <c r="Y230">
        <f>HYPERLINK("https://klasma.github.io/Logging_0883/tillsynsmail/A 14131-2025 tillsynsbegäran mail.docx", "A 14131-2025")</f>
        <v/>
      </c>
    </row>
    <row r="231" ht="15" customHeight="1">
      <c r="A231" t="inlineStr">
        <is>
          <t>A 51024-2022</t>
        </is>
      </c>
      <c r="B231" s="1" t="n">
        <v>44867</v>
      </c>
      <c r="C231" s="1" t="n">
        <v>45901</v>
      </c>
      <c r="D231" t="inlineStr">
        <is>
          <t>KALMAR LÄN</t>
        </is>
      </c>
      <c r="E231" t="inlineStr">
        <is>
          <t>VÄSTERVIK</t>
        </is>
      </c>
      <c r="F231" t="inlineStr">
        <is>
          <t>Holmen skog AB</t>
        </is>
      </c>
      <c r="G231" t="n">
        <v>7.6</v>
      </c>
      <c r="H231" t="n">
        <v>1</v>
      </c>
      <c r="I231" t="n">
        <v>0</v>
      </c>
      <c r="J231" t="n">
        <v>1</v>
      </c>
      <c r="K231" t="n">
        <v>0</v>
      </c>
      <c r="L231" t="n">
        <v>0</v>
      </c>
      <c r="M231" t="n">
        <v>0</v>
      </c>
      <c r="N231" t="n">
        <v>0</v>
      </c>
      <c r="O231" t="n">
        <v>1</v>
      </c>
      <c r="P231" t="n">
        <v>0</v>
      </c>
      <c r="Q231" t="n">
        <v>1</v>
      </c>
      <c r="R231" s="2" t="inlineStr">
        <is>
          <t>Talltita</t>
        </is>
      </c>
      <c r="S231">
        <f>HYPERLINK("https://klasma.github.io/Logging_0883/artfynd/A 51024-2022 artfynd.xlsx", "A 51024-2022")</f>
        <v/>
      </c>
      <c r="T231">
        <f>HYPERLINK("https://klasma.github.io/Logging_0883/kartor/A 51024-2022 karta.png", "A 51024-2022")</f>
        <v/>
      </c>
      <c r="V231">
        <f>HYPERLINK("https://klasma.github.io/Logging_0883/klagomål/A 51024-2022 FSC-klagomål.docx", "A 51024-2022")</f>
        <v/>
      </c>
      <c r="W231">
        <f>HYPERLINK("https://klasma.github.io/Logging_0883/klagomålsmail/A 51024-2022 FSC-klagomål mail.docx", "A 51024-2022")</f>
        <v/>
      </c>
      <c r="X231">
        <f>HYPERLINK("https://klasma.github.io/Logging_0883/tillsyn/A 51024-2022 tillsynsbegäran.docx", "A 51024-2022")</f>
        <v/>
      </c>
      <c r="Y231">
        <f>HYPERLINK("https://klasma.github.io/Logging_0883/tillsynsmail/A 51024-2022 tillsynsbegäran mail.docx", "A 51024-2022")</f>
        <v/>
      </c>
      <c r="Z231">
        <f>HYPERLINK("https://klasma.github.io/Logging_0883/fåglar/A 51024-2022 prioriterade fågelarter.docx", "A 51024-2022")</f>
        <v/>
      </c>
    </row>
    <row r="232" ht="15" customHeight="1">
      <c r="A232" t="inlineStr">
        <is>
          <t>A 16695-2025</t>
        </is>
      </c>
      <c r="B232" s="1" t="n">
        <v>45754.46579861111</v>
      </c>
      <c r="C232" s="1" t="n">
        <v>45901</v>
      </c>
      <c r="D232" t="inlineStr">
        <is>
          <t>KALMAR LÄN</t>
        </is>
      </c>
      <c r="E232" t="inlineStr">
        <is>
          <t>VÄSTERVIK</t>
        </is>
      </c>
      <c r="F232" t="inlineStr">
        <is>
          <t>Sveaskog</t>
        </is>
      </c>
      <c r="G232" t="n">
        <v>1.8</v>
      </c>
      <c r="H232" t="n">
        <v>1</v>
      </c>
      <c r="I232" t="n">
        <v>0</v>
      </c>
      <c r="J232" t="n">
        <v>0</v>
      </c>
      <c r="K232" t="n">
        <v>0</v>
      </c>
      <c r="L232" t="n">
        <v>0</v>
      </c>
      <c r="M232" t="n">
        <v>0</v>
      </c>
      <c r="N232" t="n">
        <v>0</v>
      </c>
      <c r="O232" t="n">
        <v>0</v>
      </c>
      <c r="P232" t="n">
        <v>0</v>
      </c>
      <c r="Q232" t="n">
        <v>1</v>
      </c>
      <c r="R232" s="2" t="inlineStr">
        <is>
          <t>Kungsfågel</t>
        </is>
      </c>
      <c r="S232">
        <f>HYPERLINK("https://klasma.github.io/Logging_0883/artfynd/A 16695-2025 artfynd.xlsx", "A 16695-2025")</f>
        <v/>
      </c>
      <c r="T232">
        <f>HYPERLINK("https://klasma.github.io/Logging_0883/kartor/A 16695-2025 karta.png", "A 16695-2025")</f>
        <v/>
      </c>
      <c r="V232">
        <f>HYPERLINK("https://klasma.github.io/Logging_0883/klagomål/A 16695-2025 FSC-klagomål.docx", "A 16695-2025")</f>
        <v/>
      </c>
      <c r="W232">
        <f>HYPERLINK("https://klasma.github.io/Logging_0883/klagomålsmail/A 16695-2025 FSC-klagomål mail.docx", "A 16695-2025")</f>
        <v/>
      </c>
      <c r="X232">
        <f>HYPERLINK("https://klasma.github.io/Logging_0883/tillsyn/A 16695-2025 tillsynsbegäran.docx", "A 16695-2025")</f>
        <v/>
      </c>
      <c r="Y232">
        <f>HYPERLINK("https://klasma.github.io/Logging_0883/tillsynsmail/A 16695-2025 tillsynsbegäran mail.docx", "A 16695-2025")</f>
        <v/>
      </c>
      <c r="Z232">
        <f>HYPERLINK("https://klasma.github.io/Logging_0883/fåglar/A 16695-2025 prioriterade fågelarter.docx", "A 16695-2025")</f>
        <v/>
      </c>
    </row>
    <row r="233" ht="15" customHeight="1">
      <c r="A233" t="inlineStr">
        <is>
          <t>A 16697-2025</t>
        </is>
      </c>
      <c r="B233" s="1" t="n">
        <v>45754.46709490741</v>
      </c>
      <c r="C233" s="1" t="n">
        <v>45901</v>
      </c>
      <c r="D233" t="inlineStr">
        <is>
          <t>KALMAR LÄN</t>
        </is>
      </c>
      <c r="E233" t="inlineStr">
        <is>
          <t>VÄSTERVIK</t>
        </is>
      </c>
      <c r="F233" t="inlineStr">
        <is>
          <t>Sveaskog</t>
        </is>
      </c>
      <c r="G233" t="n">
        <v>1.3</v>
      </c>
      <c r="H233" t="n">
        <v>1</v>
      </c>
      <c r="I233" t="n">
        <v>0</v>
      </c>
      <c r="J233" t="n">
        <v>1</v>
      </c>
      <c r="K233" t="n">
        <v>0</v>
      </c>
      <c r="L233" t="n">
        <v>0</v>
      </c>
      <c r="M233" t="n">
        <v>0</v>
      </c>
      <c r="N233" t="n">
        <v>0</v>
      </c>
      <c r="O233" t="n">
        <v>1</v>
      </c>
      <c r="P233" t="n">
        <v>0</v>
      </c>
      <c r="Q233" t="n">
        <v>1</v>
      </c>
      <c r="R233" s="2" t="inlineStr">
        <is>
          <t>Spillkråka</t>
        </is>
      </c>
      <c r="S233">
        <f>HYPERLINK("https://klasma.github.io/Logging_0883/artfynd/A 16697-2025 artfynd.xlsx", "A 16697-2025")</f>
        <v/>
      </c>
      <c r="T233">
        <f>HYPERLINK("https://klasma.github.io/Logging_0883/kartor/A 16697-2025 karta.png", "A 16697-2025")</f>
        <v/>
      </c>
      <c r="V233">
        <f>HYPERLINK("https://klasma.github.io/Logging_0883/klagomål/A 16697-2025 FSC-klagomål.docx", "A 16697-2025")</f>
        <v/>
      </c>
      <c r="W233">
        <f>HYPERLINK("https://klasma.github.io/Logging_0883/klagomålsmail/A 16697-2025 FSC-klagomål mail.docx", "A 16697-2025")</f>
        <v/>
      </c>
      <c r="X233">
        <f>HYPERLINK("https://klasma.github.io/Logging_0883/tillsyn/A 16697-2025 tillsynsbegäran.docx", "A 16697-2025")</f>
        <v/>
      </c>
      <c r="Y233">
        <f>HYPERLINK("https://klasma.github.io/Logging_0883/tillsynsmail/A 16697-2025 tillsynsbegäran mail.docx", "A 16697-2025")</f>
        <v/>
      </c>
      <c r="Z233">
        <f>HYPERLINK("https://klasma.github.io/Logging_0883/fåglar/A 16697-2025 prioriterade fågelarter.docx", "A 16697-2025")</f>
        <v/>
      </c>
    </row>
    <row r="234" ht="15" customHeight="1">
      <c r="A234" t="inlineStr">
        <is>
          <t>A 29455-2021</t>
        </is>
      </c>
      <c r="B234" s="1" t="n">
        <v>44361</v>
      </c>
      <c r="C234" s="1" t="n">
        <v>45901</v>
      </c>
      <c r="D234" t="inlineStr">
        <is>
          <t>KALMAR LÄN</t>
        </is>
      </c>
      <c r="E234" t="inlineStr">
        <is>
          <t>VÄSTERVIK</t>
        </is>
      </c>
      <c r="F234" t="inlineStr">
        <is>
          <t>Övriga Aktiebolag</t>
        </is>
      </c>
      <c r="G234" t="n">
        <v>3.1</v>
      </c>
      <c r="H234" t="n">
        <v>1</v>
      </c>
      <c r="I234" t="n">
        <v>0</v>
      </c>
      <c r="J234" t="n">
        <v>0</v>
      </c>
      <c r="K234" t="n">
        <v>1</v>
      </c>
      <c r="L234" t="n">
        <v>0</v>
      </c>
      <c r="M234" t="n">
        <v>0</v>
      </c>
      <c r="N234" t="n">
        <v>0</v>
      </c>
      <c r="O234" t="n">
        <v>1</v>
      </c>
      <c r="P234" t="n">
        <v>1</v>
      </c>
      <c r="Q234" t="n">
        <v>1</v>
      </c>
      <c r="R234" s="2" t="inlineStr">
        <is>
          <t>Knärot</t>
        </is>
      </c>
      <c r="S234">
        <f>HYPERLINK("https://klasma.github.io/Logging_0883/artfynd/A 29455-2021 artfynd.xlsx", "A 29455-2021")</f>
        <v/>
      </c>
      <c r="T234">
        <f>HYPERLINK("https://klasma.github.io/Logging_0883/kartor/A 29455-2021 karta.png", "A 29455-2021")</f>
        <v/>
      </c>
      <c r="U234">
        <f>HYPERLINK("https://klasma.github.io/Logging_0883/knärot/A 29455-2021 karta knärot.png", "A 29455-2021")</f>
        <v/>
      </c>
      <c r="V234">
        <f>HYPERLINK("https://klasma.github.io/Logging_0883/klagomål/A 29455-2021 FSC-klagomål.docx", "A 29455-2021")</f>
        <v/>
      </c>
      <c r="W234">
        <f>HYPERLINK("https://klasma.github.io/Logging_0883/klagomålsmail/A 29455-2021 FSC-klagomål mail.docx", "A 29455-2021")</f>
        <v/>
      </c>
      <c r="X234">
        <f>HYPERLINK("https://klasma.github.io/Logging_0883/tillsyn/A 29455-2021 tillsynsbegäran.docx", "A 29455-2021")</f>
        <v/>
      </c>
      <c r="Y234">
        <f>HYPERLINK("https://klasma.github.io/Logging_0883/tillsynsmail/A 29455-2021 tillsynsbegäran mail.docx", "A 29455-2021")</f>
        <v/>
      </c>
    </row>
    <row r="235" ht="15" customHeight="1">
      <c r="A235" t="inlineStr">
        <is>
          <t>A 19900-2022</t>
        </is>
      </c>
      <c r="B235" s="1" t="n">
        <v>44697</v>
      </c>
      <c r="C235" s="1" t="n">
        <v>45901</v>
      </c>
      <c r="D235" t="inlineStr">
        <is>
          <t>KALMAR LÄN</t>
        </is>
      </c>
      <c r="E235" t="inlineStr">
        <is>
          <t>VÄSTERVIK</t>
        </is>
      </c>
      <c r="G235" t="n">
        <v>2.4</v>
      </c>
      <c r="H235" t="n">
        <v>1</v>
      </c>
      <c r="I235" t="n">
        <v>0</v>
      </c>
      <c r="J235" t="n">
        <v>0</v>
      </c>
      <c r="K235" t="n">
        <v>1</v>
      </c>
      <c r="L235" t="n">
        <v>0</v>
      </c>
      <c r="M235" t="n">
        <v>0</v>
      </c>
      <c r="N235" t="n">
        <v>0</v>
      </c>
      <c r="O235" t="n">
        <v>1</v>
      </c>
      <c r="P235" t="n">
        <v>1</v>
      </c>
      <c r="Q235" t="n">
        <v>1</v>
      </c>
      <c r="R235" s="2" t="inlineStr">
        <is>
          <t>Knärot</t>
        </is>
      </c>
      <c r="S235">
        <f>HYPERLINK("https://klasma.github.io/Logging_0883/artfynd/A 19900-2022 artfynd.xlsx", "A 19900-2022")</f>
        <v/>
      </c>
      <c r="T235">
        <f>HYPERLINK("https://klasma.github.io/Logging_0883/kartor/A 19900-2022 karta.png", "A 19900-2022")</f>
        <v/>
      </c>
      <c r="U235">
        <f>HYPERLINK("https://klasma.github.io/Logging_0883/knärot/A 19900-2022 karta knärot.png", "A 19900-2022")</f>
        <v/>
      </c>
      <c r="V235">
        <f>HYPERLINK("https://klasma.github.io/Logging_0883/klagomål/A 19900-2022 FSC-klagomål.docx", "A 19900-2022")</f>
        <v/>
      </c>
      <c r="W235">
        <f>HYPERLINK("https://klasma.github.io/Logging_0883/klagomålsmail/A 19900-2022 FSC-klagomål mail.docx", "A 19900-2022")</f>
        <v/>
      </c>
      <c r="X235">
        <f>HYPERLINK("https://klasma.github.io/Logging_0883/tillsyn/A 19900-2022 tillsynsbegäran.docx", "A 19900-2022")</f>
        <v/>
      </c>
      <c r="Y235">
        <f>HYPERLINK("https://klasma.github.io/Logging_0883/tillsynsmail/A 19900-2022 tillsynsbegäran mail.docx", "A 19900-2022")</f>
        <v/>
      </c>
    </row>
    <row r="236" ht="15" customHeight="1">
      <c r="A236" t="inlineStr">
        <is>
          <t>A 17952-2025</t>
        </is>
      </c>
      <c r="B236" s="1" t="n">
        <v>45760.85842592592</v>
      </c>
      <c r="C236" s="1" t="n">
        <v>45901</v>
      </c>
      <c r="D236" t="inlineStr">
        <is>
          <t>KALMAR LÄN</t>
        </is>
      </c>
      <c r="E236" t="inlineStr">
        <is>
          <t>VÄSTERVIK</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HYPERLINK("https://klasma.github.io/Logging_0883/artfynd/A 17952-2025 artfynd.xlsx", "A 17952-2025")</f>
        <v/>
      </c>
      <c r="T236">
        <f>HYPERLINK("https://klasma.github.io/Logging_0883/kartor/A 17952-2025 karta.png", "A 17952-2025")</f>
        <v/>
      </c>
      <c r="V236">
        <f>HYPERLINK("https://klasma.github.io/Logging_0883/klagomål/A 17952-2025 FSC-klagomål.docx", "A 17952-2025")</f>
        <v/>
      </c>
      <c r="W236">
        <f>HYPERLINK("https://klasma.github.io/Logging_0883/klagomålsmail/A 17952-2025 FSC-klagomål mail.docx", "A 17952-2025")</f>
        <v/>
      </c>
      <c r="X236">
        <f>HYPERLINK("https://klasma.github.io/Logging_0883/tillsyn/A 17952-2025 tillsynsbegäran.docx", "A 17952-2025")</f>
        <v/>
      </c>
      <c r="Y236">
        <f>HYPERLINK("https://klasma.github.io/Logging_0883/tillsynsmail/A 17952-2025 tillsynsbegäran mail.docx", "A 17952-2025")</f>
        <v/>
      </c>
    </row>
    <row r="237" ht="15" customHeight="1">
      <c r="A237" t="inlineStr">
        <is>
          <t>A 1024-2023</t>
        </is>
      </c>
      <c r="B237" s="1" t="n">
        <v>44935</v>
      </c>
      <c r="C237" s="1" t="n">
        <v>45901</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44635-2021</t>
        </is>
      </c>
      <c r="B238" s="1" t="n">
        <v>44437</v>
      </c>
      <c r="C238" s="1" t="n">
        <v>45901</v>
      </c>
      <c r="D238" t="inlineStr">
        <is>
          <t>KALMAR LÄN</t>
        </is>
      </c>
      <c r="E238" t="inlineStr">
        <is>
          <t>VÄSTERVIK</t>
        </is>
      </c>
      <c r="G238" t="n">
        <v>0.9</v>
      </c>
      <c r="H238" t="n">
        <v>0</v>
      </c>
      <c r="I238" t="n">
        <v>1</v>
      </c>
      <c r="J238" t="n">
        <v>0</v>
      </c>
      <c r="K238" t="n">
        <v>0</v>
      </c>
      <c r="L238" t="n">
        <v>0</v>
      </c>
      <c r="M238" t="n">
        <v>0</v>
      </c>
      <c r="N238" t="n">
        <v>0</v>
      </c>
      <c r="O238" t="n">
        <v>0</v>
      </c>
      <c r="P238" t="n">
        <v>0</v>
      </c>
      <c r="Q238" t="n">
        <v>1</v>
      </c>
      <c r="R238" s="2" t="inlineStr">
        <is>
          <t>Brandticka</t>
        </is>
      </c>
      <c r="S238">
        <f>HYPERLINK("https://klasma.github.io/Logging_0883/artfynd/A 44635-2021 artfynd.xlsx", "A 44635-2021")</f>
        <v/>
      </c>
      <c r="T238">
        <f>HYPERLINK("https://klasma.github.io/Logging_0883/kartor/A 44635-2021 karta.png", "A 44635-2021")</f>
        <v/>
      </c>
      <c r="V238">
        <f>HYPERLINK("https://klasma.github.io/Logging_0883/klagomål/A 44635-2021 FSC-klagomål.docx", "A 44635-2021")</f>
        <v/>
      </c>
      <c r="W238">
        <f>HYPERLINK("https://klasma.github.io/Logging_0883/klagomålsmail/A 44635-2021 FSC-klagomål mail.docx", "A 44635-2021")</f>
        <v/>
      </c>
      <c r="X238">
        <f>HYPERLINK("https://klasma.github.io/Logging_0883/tillsyn/A 44635-2021 tillsynsbegäran.docx", "A 44635-2021")</f>
        <v/>
      </c>
      <c r="Y238">
        <f>HYPERLINK("https://klasma.github.io/Logging_0883/tillsynsmail/A 44635-2021 tillsynsbegäran mail.docx", "A 44635-2021")</f>
        <v/>
      </c>
    </row>
    <row r="239" ht="15" customHeight="1">
      <c r="A239" t="inlineStr">
        <is>
          <t>A 12292-2025</t>
        </is>
      </c>
      <c r="B239" s="1" t="n">
        <v>45729.68322916667</v>
      </c>
      <c r="C239" s="1" t="n">
        <v>45901</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54272-2023</t>
        </is>
      </c>
      <c r="B240" s="1" t="n">
        <v>45232</v>
      </c>
      <c r="C240" s="1" t="n">
        <v>45901</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59178-2022</t>
        </is>
      </c>
      <c r="B241" s="1" t="n">
        <v>44904</v>
      </c>
      <c r="C241" s="1" t="n">
        <v>45901</v>
      </c>
      <c r="D241" t="inlineStr">
        <is>
          <t>KALMAR LÄN</t>
        </is>
      </c>
      <c r="E241" t="inlineStr">
        <is>
          <t>VÄSTERVIK</t>
        </is>
      </c>
      <c r="G241" t="n">
        <v>3.3</v>
      </c>
      <c r="H241" t="n">
        <v>0</v>
      </c>
      <c r="I241" t="n">
        <v>0</v>
      </c>
      <c r="J241" t="n">
        <v>1</v>
      </c>
      <c r="K241" t="n">
        <v>0</v>
      </c>
      <c r="L241" t="n">
        <v>0</v>
      </c>
      <c r="M241" t="n">
        <v>0</v>
      </c>
      <c r="N241" t="n">
        <v>0</v>
      </c>
      <c r="O241" t="n">
        <v>1</v>
      </c>
      <c r="P241" t="n">
        <v>0</v>
      </c>
      <c r="Q241" t="n">
        <v>1</v>
      </c>
      <c r="R241" s="2" t="inlineStr">
        <is>
          <t>Tallticka</t>
        </is>
      </c>
      <c r="S241">
        <f>HYPERLINK("https://klasma.github.io/Logging_0883/artfynd/A 59178-2022 artfynd.xlsx", "A 59178-2022")</f>
        <v/>
      </c>
      <c r="T241">
        <f>HYPERLINK("https://klasma.github.io/Logging_0883/kartor/A 59178-2022 karta.png", "A 59178-2022")</f>
        <v/>
      </c>
      <c r="V241">
        <f>HYPERLINK("https://klasma.github.io/Logging_0883/klagomål/A 59178-2022 FSC-klagomål.docx", "A 59178-2022")</f>
        <v/>
      </c>
      <c r="W241">
        <f>HYPERLINK("https://klasma.github.io/Logging_0883/klagomålsmail/A 59178-2022 FSC-klagomål mail.docx", "A 59178-2022")</f>
        <v/>
      </c>
      <c r="X241">
        <f>HYPERLINK("https://klasma.github.io/Logging_0883/tillsyn/A 59178-2022 tillsynsbegäran.docx", "A 59178-2022")</f>
        <v/>
      </c>
      <c r="Y241">
        <f>HYPERLINK("https://klasma.github.io/Logging_0883/tillsynsmail/A 59178-2022 tillsynsbegäran mail.docx", "A 59178-2022")</f>
        <v/>
      </c>
    </row>
    <row r="242" ht="15" customHeight="1">
      <c r="A242" t="inlineStr">
        <is>
          <t>A 12662-2022</t>
        </is>
      </c>
      <c r="B242" s="1" t="n">
        <v>44641</v>
      </c>
      <c r="C242" s="1" t="n">
        <v>45901</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12662-2022 artfynd.xlsx", "A 12662-2022")</f>
        <v/>
      </c>
      <c r="T242">
        <f>HYPERLINK("https://klasma.github.io/Logging_0883/kartor/A 12662-2022 karta.png", "A 12662-2022")</f>
        <v/>
      </c>
      <c r="V242">
        <f>HYPERLINK("https://klasma.github.io/Logging_0883/klagomål/A 12662-2022 FSC-klagomål.docx", "A 12662-2022")</f>
        <v/>
      </c>
      <c r="W242">
        <f>HYPERLINK("https://klasma.github.io/Logging_0883/klagomålsmail/A 12662-2022 FSC-klagomål mail.docx", "A 12662-2022")</f>
        <v/>
      </c>
      <c r="X242">
        <f>HYPERLINK("https://klasma.github.io/Logging_0883/tillsyn/A 12662-2022 tillsynsbegäran.docx", "A 12662-2022")</f>
        <v/>
      </c>
      <c r="Y242">
        <f>HYPERLINK("https://klasma.github.io/Logging_0883/tillsynsmail/A 12662-2022 tillsynsbegäran mail.docx", "A 12662-2022")</f>
        <v/>
      </c>
    </row>
    <row r="243" ht="15" customHeight="1">
      <c r="A243" t="inlineStr">
        <is>
          <t>A 5575-2021</t>
        </is>
      </c>
      <c r="B243" s="1" t="n">
        <v>44230</v>
      </c>
      <c r="C243" s="1" t="n">
        <v>45901</v>
      </c>
      <c r="D243" t="inlineStr">
        <is>
          <t>KALMAR LÄN</t>
        </is>
      </c>
      <c r="E243" t="inlineStr">
        <is>
          <t>VÄSTERVIK</t>
        </is>
      </c>
      <c r="G243" t="n">
        <v>2.6</v>
      </c>
      <c r="H243" t="n">
        <v>1</v>
      </c>
      <c r="I243" t="n">
        <v>1</v>
      </c>
      <c r="J243" t="n">
        <v>0</v>
      </c>
      <c r="K243" t="n">
        <v>0</v>
      </c>
      <c r="L243" t="n">
        <v>0</v>
      </c>
      <c r="M243" t="n">
        <v>0</v>
      </c>
      <c r="N243" t="n">
        <v>0</v>
      </c>
      <c r="O243" t="n">
        <v>0</v>
      </c>
      <c r="P243" t="n">
        <v>0</v>
      </c>
      <c r="Q243" t="n">
        <v>1</v>
      </c>
      <c r="R243" s="2" t="inlineStr">
        <is>
          <t>Ekoxe</t>
        </is>
      </c>
      <c r="S243">
        <f>HYPERLINK("https://klasma.github.io/Logging_0883/artfynd/A 5575-2021 artfynd.xlsx", "A 5575-2021")</f>
        <v/>
      </c>
      <c r="T243">
        <f>HYPERLINK("https://klasma.github.io/Logging_0883/kartor/A 5575-2021 karta.png", "A 5575-2021")</f>
        <v/>
      </c>
      <c r="V243">
        <f>HYPERLINK("https://klasma.github.io/Logging_0883/klagomål/A 5575-2021 FSC-klagomål.docx", "A 5575-2021")</f>
        <v/>
      </c>
      <c r="W243">
        <f>HYPERLINK("https://klasma.github.io/Logging_0883/klagomålsmail/A 5575-2021 FSC-klagomål mail.docx", "A 5575-2021")</f>
        <v/>
      </c>
      <c r="X243">
        <f>HYPERLINK("https://klasma.github.io/Logging_0883/tillsyn/A 5575-2021 tillsynsbegäran.docx", "A 5575-2021")</f>
        <v/>
      </c>
      <c r="Y243">
        <f>HYPERLINK("https://klasma.github.io/Logging_0883/tillsynsmail/A 5575-2021 tillsynsbegäran mail.docx", "A 5575-2021")</f>
        <v/>
      </c>
    </row>
    <row r="244" ht="15" customHeight="1">
      <c r="A244" t="inlineStr">
        <is>
          <t>A 51514-2024</t>
        </is>
      </c>
      <c r="B244" s="1" t="n">
        <v>45604.5640625</v>
      </c>
      <c r="C244" s="1" t="n">
        <v>45901</v>
      </c>
      <c r="D244" t="inlineStr">
        <is>
          <t>KALMAR LÄN</t>
        </is>
      </c>
      <c r="E244" t="inlineStr">
        <is>
          <t>VÄSTERVIK</t>
        </is>
      </c>
      <c r="F244" t="inlineStr">
        <is>
          <t>Övriga Aktiebolag</t>
        </is>
      </c>
      <c r="G244" t="n">
        <v>2.4</v>
      </c>
      <c r="H244" t="n">
        <v>1</v>
      </c>
      <c r="I244" t="n">
        <v>0</v>
      </c>
      <c r="J244" t="n">
        <v>1</v>
      </c>
      <c r="K244" t="n">
        <v>0</v>
      </c>
      <c r="L244" t="n">
        <v>0</v>
      </c>
      <c r="M244" t="n">
        <v>0</v>
      </c>
      <c r="N244" t="n">
        <v>0</v>
      </c>
      <c r="O244" t="n">
        <v>1</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975-2023</t>
        </is>
      </c>
      <c r="B245" s="1" t="n">
        <v>44935</v>
      </c>
      <c r="C245" s="1" t="n">
        <v>45901</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Läderbagge</t>
        </is>
      </c>
      <c r="S245">
        <f>HYPERLINK("https://klasma.github.io/Logging_0883/artfynd/A 975-2023 artfynd.xlsx", "A 975-2023")</f>
        <v/>
      </c>
      <c r="T245">
        <f>HYPERLINK("https://klasma.github.io/Logging_0883/kartor/A 975-2023 karta.png", "A 975-2023")</f>
        <v/>
      </c>
      <c r="V245">
        <f>HYPERLINK("https://klasma.github.io/Logging_0883/klagomål/A 975-2023 FSC-klagomål.docx", "A 975-2023")</f>
        <v/>
      </c>
      <c r="W245">
        <f>HYPERLINK("https://klasma.github.io/Logging_0883/klagomålsmail/A 975-2023 FSC-klagomål mail.docx", "A 975-2023")</f>
        <v/>
      </c>
      <c r="X245">
        <f>HYPERLINK("https://klasma.github.io/Logging_0883/tillsyn/A 975-2023 tillsynsbegäran.docx", "A 975-2023")</f>
        <v/>
      </c>
      <c r="Y245">
        <f>HYPERLINK("https://klasma.github.io/Logging_0883/tillsynsmail/A 975-2023 tillsynsbegäran mail.docx", "A 975-2023")</f>
        <v/>
      </c>
    </row>
    <row r="246" ht="15" customHeight="1">
      <c r="A246" t="inlineStr">
        <is>
          <t>A 61319-2021</t>
        </is>
      </c>
      <c r="B246" s="1" t="n">
        <v>44498</v>
      </c>
      <c r="C246" s="1" t="n">
        <v>45901</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Ekoxe</t>
        </is>
      </c>
      <c r="S246">
        <f>HYPERLINK("https://klasma.github.io/Logging_0883/artfynd/A 61319-2021 artfynd.xlsx", "A 61319-2021")</f>
        <v/>
      </c>
      <c r="T246">
        <f>HYPERLINK("https://klasma.github.io/Logging_0883/kartor/A 61319-2021 karta.png", "A 61319-2021")</f>
        <v/>
      </c>
      <c r="V246">
        <f>HYPERLINK("https://klasma.github.io/Logging_0883/klagomål/A 61319-2021 FSC-klagomål.docx", "A 61319-2021")</f>
        <v/>
      </c>
      <c r="W246">
        <f>HYPERLINK("https://klasma.github.io/Logging_0883/klagomålsmail/A 61319-2021 FSC-klagomål mail.docx", "A 61319-2021")</f>
        <v/>
      </c>
      <c r="X246">
        <f>HYPERLINK("https://klasma.github.io/Logging_0883/tillsyn/A 61319-2021 tillsynsbegäran.docx", "A 61319-2021")</f>
        <v/>
      </c>
      <c r="Y246">
        <f>HYPERLINK("https://klasma.github.io/Logging_0883/tillsynsmail/A 61319-2021 tillsynsbegäran mail.docx", "A 61319-2021")</f>
        <v/>
      </c>
    </row>
    <row r="247" ht="15" customHeight="1">
      <c r="A247" t="inlineStr">
        <is>
          <t>A 9265-2025</t>
        </is>
      </c>
      <c r="B247" s="1" t="n">
        <v>45714.61153935185</v>
      </c>
      <c r="C247" s="1" t="n">
        <v>45901</v>
      </c>
      <c r="D247" t="inlineStr">
        <is>
          <t>KALMAR LÄN</t>
        </is>
      </c>
      <c r="E247" t="inlineStr">
        <is>
          <t>VÄSTERVIK</t>
        </is>
      </c>
      <c r="F247" t="inlineStr">
        <is>
          <t>Sveaskog</t>
        </is>
      </c>
      <c r="G247" t="n">
        <v>2.2</v>
      </c>
      <c r="H247" t="n">
        <v>1</v>
      </c>
      <c r="I247" t="n">
        <v>0</v>
      </c>
      <c r="J247" t="n">
        <v>1</v>
      </c>
      <c r="K247" t="n">
        <v>0</v>
      </c>
      <c r="L247" t="n">
        <v>0</v>
      </c>
      <c r="M247" t="n">
        <v>0</v>
      </c>
      <c r="N247" t="n">
        <v>0</v>
      </c>
      <c r="O247" t="n">
        <v>1</v>
      </c>
      <c r="P247" t="n">
        <v>0</v>
      </c>
      <c r="Q247" t="n">
        <v>1</v>
      </c>
      <c r="R247" s="2" t="inlineStr">
        <is>
          <t>Havsörn</t>
        </is>
      </c>
      <c r="S247">
        <f>HYPERLINK("https://klasma.github.io/Logging_0883/artfynd/A 9265-2025 artfynd.xlsx", "A 9265-2025")</f>
        <v/>
      </c>
      <c r="T247">
        <f>HYPERLINK("https://klasma.github.io/Logging_0883/kartor/A 9265-2025 karta.png", "A 9265-2025")</f>
        <v/>
      </c>
      <c r="V247">
        <f>HYPERLINK("https://klasma.github.io/Logging_0883/klagomål/A 9265-2025 FSC-klagomål.docx", "A 9265-2025")</f>
        <v/>
      </c>
      <c r="W247">
        <f>HYPERLINK("https://klasma.github.io/Logging_0883/klagomålsmail/A 9265-2025 FSC-klagomål mail.docx", "A 9265-2025")</f>
        <v/>
      </c>
      <c r="X247">
        <f>HYPERLINK("https://klasma.github.io/Logging_0883/tillsyn/A 9265-2025 tillsynsbegäran.docx", "A 9265-2025")</f>
        <v/>
      </c>
      <c r="Y247">
        <f>HYPERLINK("https://klasma.github.io/Logging_0883/tillsynsmail/A 9265-2025 tillsynsbegäran mail.docx", "A 9265-2025")</f>
        <v/>
      </c>
      <c r="Z247">
        <f>HYPERLINK("https://klasma.github.io/Logging_0883/fåglar/A 9265-2025 prioriterade fågelarter.docx", "A 9265-2025")</f>
        <v/>
      </c>
    </row>
    <row r="248" ht="15" customHeight="1">
      <c r="A248" t="inlineStr">
        <is>
          <t>A 56439-2024</t>
        </is>
      </c>
      <c r="B248" s="1" t="n">
        <v>45625.4175</v>
      </c>
      <c r="C248" s="1" t="n">
        <v>45901</v>
      </c>
      <c r="D248" t="inlineStr">
        <is>
          <t>KALMAR LÄN</t>
        </is>
      </c>
      <c r="E248" t="inlineStr">
        <is>
          <t>VÄSTERVIK</t>
        </is>
      </c>
      <c r="F248" t="inlineStr">
        <is>
          <t>Övriga Aktiebolag</t>
        </is>
      </c>
      <c r="G248" t="n">
        <v>3.3</v>
      </c>
      <c r="H248" t="n">
        <v>0</v>
      </c>
      <c r="I248" t="n">
        <v>1</v>
      </c>
      <c r="J248" t="n">
        <v>0</v>
      </c>
      <c r="K248" t="n">
        <v>0</v>
      </c>
      <c r="L248" t="n">
        <v>0</v>
      </c>
      <c r="M248" t="n">
        <v>0</v>
      </c>
      <c r="N248" t="n">
        <v>0</v>
      </c>
      <c r="O248" t="n">
        <v>0</v>
      </c>
      <c r="P248" t="n">
        <v>0</v>
      </c>
      <c r="Q248" t="n">
        <v>1</v>
      </c>
      <c r="R248" s="2" t="inlineStr">
        <is>
          <t>Hasselticka</t>
        </is>
      </c>
      <c r="S248">
        <f>HYPERLINK("https://klasma.github.io/Logging_0883/artfynd/A 56439-2024 artfynd.xlsx", "A 56439-2024")</f>
        <v/>
      </c>
      <c r="T248">
        <f>HYPERLINK("https://klasma.github.io/Logging_0883/kartor/A 56439-2024 karta.png", "A 56439-2024")</f>
        <v/>
      </c>
      <c r="V248">
        <f>HYPERLINK("https://klasma.github.io/Logging_0883/klagomål/A 56439-2024 FSC-klagomål.docx", "A 56439-2024")</f>
        <v/>
      </c>
      <c r="W248">
        <f>HYPERLINK("https://klasma.github.io/Logging_0883/klagomålsmail/A 56439-2024 FSC-klagomål mail.docx", "A 56439-2024")</f>
        <v/>
      </c>
      <c r="X248">
        <f>HYPERLINK("https://klasma.github.io/Logging_0883/tillsyn/A 56439-2024 tillsynsbegäran.docx", "A 56439-2024")</f>
        <v/>
      </c>
      <c r="Y248">
        <f>HYPERLINK("https://klasma.github.io/Logging_0883/tillsynsmail/A 56439-2024 tillsynsbegäran mail.docx", "A 56439-2024")</f>
        <v/>
      </c>
    </row>
    <row r="249" ht="15" customHeight="1">
      <c r="A249" t="inlineStr">
        <is>
          <t>A 28495-2023</t>
        </is>
      </c>
      <c r="B249" s="1" t="n">
        <v>45103</v>
      </c>
      <c r="C249" s="1" t="n">
        <v>45901</v>
      </c>
      <c r="D249" t="inlineStr">
        <is>
          <t>KALMAR LÄN</t>
        </is>
      </c>
      <c r="E249" t="inlineStr">
        <is>
          <t>VÄSTERVIK</t>
        </is>
      </c>
      <c r="G249" t="n">
        <v>3.1</v>
      </c>
      <c r="H249" t="n">
        <v>1</v>
      </c>
      <c r="I249" t="n">
        <v>0</v>
      </c>
      <c r="J249" t="n">
        <v>0</v>
      </c>
      <c r="K249" t="n">
        <v>1</v>
      </c>
      <c r="L249" t="n">
        <v>0</v>
      </c>
      <c r="M249" t="n">
        <v>0</v>
      </c>
      <c r="N249" t="n">
        <v>0</v>
      </c>
      <c r="O249" t="n">
        <v>1</v>
      </c>
      <c r="P249" t="n">
        <v>1</v>
      </c>
      <c r="Q249" t="n">
        <v>1</v>
      </c>
      <c r="R249" s="2" t="inlineStr">
        <is>
          <t>Knärot</t>
        </is>
      </c>
      <c r="S249">
        <f>HYPERLINK("https://klasma.github.io/Logging_0883/artfynd/A 28495-2023 artfynd.xlsx", "A 28495-2023")</f>
        <v/>
      </c>
      <c r="T249">
        <f>HYPERLINK("https://klasma.github.io/Logging_0883/kartor/A 28495-2023 karta.png", "A 28495-2023")</f>
        <v/>
      </c>
      <c r="U249">
        <f>HYPERLINK("https://klasma.github.io/Logging_0883/knärot/A 28495-2023 karta knärot.png", "A 28495-2023")</f>
        <v/>
      </c>
      <c r="V249">
        <f>HYPERLINK("https://klasma.github.io/Logging_0883/klagomål/A 28495-2023 FSC-klagomål.docx", "A 28495-2023")</f>
        <v/>
      </c>
      <c r="W249">
        <f>HYPERLINK("https://klasma.github.io/Logging_0883/klagomålsmail/A 28495-2023 FSC-klagomål mail.docx", "A 28495-2023")</f>
        <v/>
      </c>
      <c r="X249">
        <f>HYPERLINK("https://klasma.github.io/Logging_0883/tillsyn/A 28495-2023 tillsynsbegäran.docx", "A 28495-2023")</f>
        <v/>
      </c>
      <c r="Y249">
        <f>HYPERLINK("https://klasma.github.io/Logging_0883/tillsynsmail/A 28495-2023 tillsynsbegäran mail.docx", "A 28495-2023")</f>
        <v/>
      </c>
    </row>
    <row r="250" ht="15" customHeight="1">
      <c r="A250" t="inlineStr">
        <is>
          <t>A 14103-2025</t>
        </is>
      </c>
      <c r="B250" s="1" t="n">
        <v>45740.45232638889</v>
      </c>
      <c r="C250" s="1" t="n">
        <v>45901</v>
      </c>
      <c r="D250" t="inlineStr">
        <is>
          <t>KALMAR LÄN</t>
        </is>
      </c>
      <c r="E250" t="inlineStr">
        <is>
          <t>VÄSTERVIK</t>
        </is>
      </c>
      <c r="F250" t="inlineStr">
        <is>
          <t>Sveaskog</t>
        </is>
      </c>
      <c r="G250" t="n">
        <v>0.8</v>
      </c>
      <c r="H250" t="n">
        <v>1</v>
      </c>
      <c r="I250" t="n">
        <v>0</v>
      </c>
      <c r="J250" t="n">
        <v>0</v>
      </c>
      <c r="K250" t="n">
        <v>0</v>
      </c>
      <c r="L250" t="n">
        <v>0</v>
      </c>
      <c r="M250" t="n">
        <v>0</v>
      </c>
      <c r="N250" t="n">
        <v>0</v>
      </c>
      <c r="O250" t="n">
        <v>0</v>
      </c>
      <c r="P250" t="n">
        <v>0</v>
      </c>
      <c r="Q250" t="n">
        <v>1</v>
      </c>
      <c r="R250" s="2" t="inlineStr">
        <is>
          <t>Grönvit nattviol</t>
        </is>
      </c>
      <c r="S250">
        <f>HYPERLINK("https://klasma.github.io/Logging_0883/artfynd/A 14103-2025 artfynd.xlsx", "A 14103-2025")</f>
        <v/>
      </c>
      <c r="T250">
        <f>HYPERLINK("https://klasma.github.io/Logging_0883/kartor/A 14103-2025 karta.png", "A 14103-2025")</f>
        <v/>
      </c>
      <c r="V250">
        <f>HYPERLINK("https://klasma.github.io/Logging_0883/klagomål/A 14103-2025 FSC-klagomål.docx", "A 14103-2025")</f>
        <v/>
      </c>
      <c r="W250">
        <f>HYPERLINK("https://klasma.github.io/Logging_0883/klagomålsmail/A 14103-2025 FSC-klagomål mail.docx", "A 14103-2025")</f>
        <v/>
      </c>
      <c r="X250">
        <f>HYPERLINK("https://klasma.github.io/Logging_0883/tillsyn/A 14103-2025 tillsynsbegäran.docx", "A 14103-2025")</f>
        <v/>
      </c>
      <c r="Y250">
        <f>HYPERLINK("https://klasma.github.io/Logging_0883/tillsynsmail/A 14103-2025 tillsynsbegäran mail.docx", "A 14103-2025")</f>
        <v/>
      </c>
    </row>
    <row r="251" ht="15" customHeight="1">
      <c r="A251" t="inlineStr">
        <is>
          <t>A 1959-2021</t>
        </is>
      </c>
      <c r="B251" s="1" t="n">
        <v>44210.65167824074</v>
      </c>
      <c r="C251" s="1" t="n">
        <v>45901</v>
      </c>
      <c r="D251" t="inlineStr">
        <is>
          <t>KALMAR LÄN</t>
        </is>
      </c>
      <c r="E251" t="inlineStr">
        <is>
          <t>VÄSTERVIK</t>
        </is>
      </c>
      <c r="G251" t="n">
        <v>0.8</v>
      </c>
      <c r="H251" t="n">
        <v>0</v>
      </c>
      <c r="I251" t="n">
        <v>0</v>
      </c>
      <c r="J251" t="n">
        <v>0</v>
      </c>
      <c r="K251" t="n">
        <v>0</v>
      </c>
      <c r="L251" t="n">
        <v>0</v>
      </c>
      <c r="M251" t="n">
        <v>0</v>
      </c>
      <c r="N251" t="n">
        <v>0</v>
      </c>
      <c r="O251" t="n">
        <v>0</v>
      </c>
      <c r="P251" t="n">
        <v>0</v>
      </c>
      <c r="Q251" t="n">
        <v>0</v>
      </c>
      <c r="R251" s="2" t="inlineStr"/>
    </row>
    <row r="252" ht="15" customHeight="1">
      <c r="A252" t="inlineStr">
        <is>
          <t>A 8074-2021</t>
        </is>
      </c>
      <c r="B252" s="1" t="n">
        <v>44243.6503125</v>
      </c>
      <c r="C252" s="1" t="n">
        <v>45901</v>
      </c>
      <c r="D252" t="inlineStr">
        <is>
          <t>KALMAR LÄN</t>
        </is>
      </c>
      <c r="E252" t="inlineStr">
        <is>
          <t>VÄSTERVIK</t>
        </is>
      </c>
      <c r="G252" t="n">
        <v>0.7</v>
      </c>
      <c r="H252" t="n">
        <v>0</v>
      </c>
      <c r="I252" t="n">
        <v>0</v>
      </c>
      <c r="J252" t="n">
        <v>0</v>
      </c>
      <c r="K252" t="n">
        <v>0</v>
      </c>
      <c r="L252" t="n">
        <v>0</v>
      </c>
      <c r="M252" t="n">
        <v>0</v>
      </c>
      <c r="N252" t="n">
        <v>0</v>
      </c>
      <c r="O252" t="n">
        <v>0</v>
      </c>
      <c r="P252" t="n">
        <v>0</v>
      </c>
      <c r="Q252" t="n">
        <v>0</v>
      </c>
      <c r="R252" s="2" t="inlineStr"/>
    </row>
    <row r="253" ht="15" customHeight="1">
      <c r="A253" t="inlineStr">
        <is>
          <t>A 46214-2020</t>
        </is>
      </c>
      <c r="B253" s="1" t="n">
        <v>44092</v>
      </c>
      <c r="C253" s="1" t="n">
        <v>45901</v>
      </c>
      <c r="D253" t="inlineStr">
        <is>
          <t>KALMAR LÄN</t>
        </is>
      </c>
      <c r="E253" t="inlineStr">
        <is>
          <t>VÄSTERVIK</t>
        </is>
      </c>
      <c r="G253" t="n">
        <v>2.7</v>
      </c>
      <c r="H253" t="n">
        <v>0</v>
      </c>
      <c r="I253" t="n">
        <v>0</v>
      </c>
      <c r="J253" t="n">
        <v>0</v>
      </c>
      <c r="K253" t="n">
        <v>0</v>
      </c>
      <c r="L253" t="n">
        <v>0</v>
      </c>
      <c r="M253" t="n">
        <v>0</v>
      </c>
      <c r="N253" t="n">
        <v>0</v>
      </c>
      <c r="O253" t="n">
        <v>0</v>
      </c>
      <c r="P253" t="n">
        <v>0</v>
      </c>
      <c r="Q253" t="n">
        <v>0</v>
      </c>
      <c r="R253" s="2" t="inlineStr"/>
    </row>
    <row r="254" ht="15" customHeight="1">
      <c r="A254" t="inlineStr">
        <is>
          <t>A 57065-2020</t>
        </is>
      </c>
      <c r="B254" s="1" t="n">
        <v>44138</v>
      </c>
      <c r="C254" s="1" t="n">
        <v>45901</v>
      </c>
      <c r="D254" t="inlineStr">
        <is>
          <t>KALMAR LÄN</t>
        </is>
      </c>
      <c r="E254" t="inlineStr">
        <is>
          <t>VÄSTERVIK</t>
        </is>
      </c>
      <c r="G254" t="n">
        <v>3.7</v>
      </c>
      <c r="H254" t="n">
        <v>0</v>
      </c>
      <c r="I254" t="n">
        <v>0</v>
      </c>
      <c r="J254" t="n">
        <v>0</v>
      </c>
      <c r="K254" t="n">
        <v>0</v>
      </c>
      <c r="L254" t="n">
        <v>0</v>
      </c>
      <c r="M254" t="n">
        <v>0</v>
      </c>
      <c r="N254" t="n">
        <v>0</v>
      </c>
      <c r="O254" t="n">
        <v>0</v>
      </c>
      <c r="P254" t="n">
        <v>0</v>
      </c>
      <c r="Q254" t="n">
        <v>0</v>
      </c>
      <c r="R254" s="2" t="inlineStr"/>
    </row>
    <row r="255" ht="15" customHeight="1">
      <c r="A255" t="inlineStr">
        <is>
          <t>A 16697-2021</t>
        </is>
      </c>
      <c r="B255" s="1" t="n">
        <v>44294</v>
      </c>
      <c r="C255" s="1" t="n">
        <v>45901</v>
      </c>
      <c r="D255" t="inlineStr">
        <is>
          <t>KALMAR LÄN</t>
        </is>
      </c>
      <c r="E255" t="inlineStr">
        <is>
          <t>VÄSTERVIK</t>
        </is>
      </c>
      <c r="G255" t="n">
        <v>1.5</v>
      </c>
      <c r="H255" t="n">
        <v>0</v>
      </c>
      <c r="I255" t="n">
        <v>0</v>
      </c>
      <c r="J255" t="n">
        <v>0</v>
      </c>
      <c r="K255" t="n">
        <v>0</v>
      </c>
      <c r="L255" t="n">
        <v>0</v>
      </c>
      <c r="M255" t="n">
        <v>0</v>
      </c>
      <c r="N255" t="n">
        <v>0</v>
      </c>
      <c r="O255" t="n">
        <v>0</v>
      </c>
      <c r="P255" t="n">
        <v>0</v>
      </c>
      <c r="Q255" t="n">
        <v>0</v>
      </c>
      <c r="R255" s="2" t="inlineStr"/>
    </row>
    <row r="256" ht="15" customHeight="1">
      <c r="A256" t="inlineStr">
        <is>
          <t>A 23626-2021</t>
        </is>
      </c>
      <c r="B256" s="1" t="n">
        <v>44334</v>
      </c>
      <c r="C256" s="1" t="n">
        <v>45901</v>
      </c>
      <c r="D256" t="inlineStr">
        <is>
          <t>KALMAR LÄN</t>
        </is>
      </c>
      <c r="E256" t="inlineStr">
        <is>
          <t>VÄSTERVIK</t>
        </is>
      </c>
      <c r="G256" t="n">
        <v>9</v>
      </c>
      <c r="H256" t="n">
        <v>0</v>
      </c>
      <c r="I256" t="n">
        <v>0</v>
      </c>
      <c r="J256" t="n">
        <v>0</v>
      </c>
      <c r="K256" t="n">
        <v>0</v>
      </c>
      <c r="L256" t="n">
        <v>0</v>
      </c>
      <c r="M256" t="n">
        <v>0</v>
      </c>
      <c r="N256" t="n">
        <v>0</v>
      </c>
      <c r="O256" t="n">
        <v>0</v>
      </c>
      <c r="P256" t="n">
        <v>0</v>
      </c>
      <c r="Q256" t="n">
        <v>0</v>
      </c>
      <c r="R256" s="2" t="inlineStr"/>
    </row>
    <row r="257" ht="15" customHeight="1">
      <c r="A257" t="inlineStr">
        <is>
          <t>A 14317-2021</t>
        </is>
      </c>
      <c r="B257" s="1" t="n">
        <v>44278</v>
      </c>
      <c r="C257" s="1" t="n">
        <v>45901</v>
      </c>
      <c r="D257" t="inlineStr">
        <is>
          <t>KALMAR LÄN</t>
        </is>
      </c>
      <c r="E257" t="inlineStr">
        <is>
          <t>VÄSTERVIK</t>
        </is>
      </c>
      <c r="G257" t="n">
        <v>2.1</v>
      </c>
      <c r="H257" t="n">
        <v>0</v>
      </c>
      <c r="I257" t="n">
        <v>0</v>
      </c>
      <c r="J257" t="n">
        <v>0</v>
      </c>
      <c r="K257" t="n">
        <v>0</v>
      </c>
      <c r="L257" t="n">
        <v>0</v>
      </c>
      <c r="M257" t="n">
        <v>0</v>
      </c>
      <c r="N257" t="n">
        <v>0</v>
      </c>
      <c r="O257" t="n">
        <v>0</v>
      </c>
      <c r="P257" t="n">
        <v>0</v>
      </c>
      <c r="Q257" t="n">
        <v>0</v>
      </c>
      <c r="R257" s="2" t="inlineStr"/>
    </row>
    <row r="258" ht="15" customHeight="1">
      <c r="A258" t="inlineStr">
        <is>
          <t>A 19219-2021</t>
        </is>
      </c>
      <c r="B258" s="1" t="n">
        <v>44309</v>
      </c>
      <c r="C258" s="1" t="n">
        <v>45901</v>
      </c>
      <c r="D258" t="inlineStr">
        <is>
          <t>KALMAR LÄN</t>
        </is>
      </c>
      <c r="E258" t="inlineStr">
        <is>
          <t>VÄSTERVIK</t>
        </is>
      </c>
      <c r="G258" t="n">
        <v>0.9</v>
      </c>
      <c r="H258" t="n">
        <v>0</v>
      </c>
      <c r="I258" t="n">
        <v>0</v>
      </c>
      <c r="J258" t="n">
        <v>0</v>
      </c>
      <c r="K258" t="n">
        <v>0</v>
      </c>
      <c r="L258" t="n">
        <v>0</v>
      </c>
      <c r="M258" t="n">
        <v>0</v>
      </c>
      <c r="N258" t="n">
        <v>0</v>
      </c>
      <c r="O258" t="n">
        <v>0</v>
      </c>
      <c r="P258" t="n">
        <v>0</v>
      </c>
      <c r="Q258" t="n">
        <v>0</v>
      </c>
      <c r="R258" s="2" t="inlineStr"/>
    </row>
    <row r="259" ht="15" customHeight="1">
      <c r="A259" t="inlineStr">
        <is>
          <t>A 61696-2020</t>
        </is>
      </c>
      <c r="B259" s="1" t="n">
        <v>44158</v>
      </c>
      <c r="C259" s="1" t="n">
        <v>45901</v>
      </c>
      <c r="D259" t="inlineStr">
        <is>
          <t>KALMAR LÄN</t>
        </is>
      </c>
      <c r="E259" t="inlineStr">
        <is>
          <t>VÄSTERVIK</t>
        </is>
      </c>
      <c r="G259" t="n">
        <v>1.7</v>
      </c>
      <c r="H259" t="n">
        <v>0</v>
      </c>
      <c r="I259" t="n">
        <v>0</v>
      </c>
      <c r="J259" t="n">
        <v>0</v>
      </c>
      <c r="K259" t="n">
        <v>0</v>
      </c>
      <c r="L259" t="n">
        <v>0</v>
      </c>
      <c r="M259" t="n">
        <v>0</v>
      </c>
      <c r="N259" t="n">
        <v>0</v>
      </c>
      <c r="O259" t="n">
        <v>0</v>
      </c>
      <c r="P259" t="n">
        <v>0</v>
      </c>
      <c r="Q259" t="n">
        <v>0</v>
      </c>
      <c r="R259" s="2" t="inlineStr"/>
    </row>
    <row r="260" ht="15" customHeight="1">
      <c r="A260" t="inlineStr">
        <is>
          <t>A 16728-2021</t>
        </is>
      </c>
      <c r="B260" s="1" t="n">
        <v>44294.68079861111</v>
      </c>
      <c r="C260" s="1" t="n">
        <v>45901</v>
      </c>
      <c r="D260" t="inlineStr">
        <is>
          <t>KALMAR LÄN</t>
        </is>
      </c>
      <c r="E260" t="inlineStr">
        <is>
          <t>VÄSTERVIK</t>
        </is>
      </c>
      <c r="G260" t="n">
        <v>3.1</v>
      </c>
      <c r="H260" t="n">
        <v>0</v>
      </c>
      <c r="I260" t="n">
        <v>0</v>
      </c>
      <c r="J260" t="n">
        <v>0</v>
      </c>
      <c r="K260" t="n">
        <v>0</v>
      </c>
      <c r="L260" t="n">
        <v>0</v>
      </c>
      <c r="M260" t="n">
        <v>0</v>
      </c>
      <c r="N260" t="n">
        <v>0</v>
      </c>
      <c r="O260" t="n">
        <v>0</v>
      </c>
      <c r="P260" t="n">
        <v>0</v>
      </c>
      <c r="Q260" t="n">
        <v>0</v>
      </c>
      <c r="R260" s="2" t="inlineStr"/>
    </row>
    <row r="261" ht="15" customHeight="1">
      <c r="A261" t="inlineStr">
        <is>
          <t>A 42164-2021</t>
        </is>
      </c>
      <c r="B261" s="1" t="n">
        <v>44426</v>
      </c>
      <c r="C261" s="1" t="n">
        <v>45901</v>
      </c>
      <c r="D261" t="inlineStr">
        <is>
          <t>KALMAR LÄN</t>
        </is>
      </c>
      <c r="E261" t="inlineStr">
        <is>
          <t>VÄSTERVIK</t>
        </is>
      </c>
      <c r="G261" t="n">
        <v>5.5</v>
      </c>
      <c r="H261" t="n">
        <v>0</v>
      </c>
      <c r="I261" t="n">
        <v>0</v>
      </c>
      <c r="J261" t="n">
        <v>0</v>
      </c>
      <c r="K261" t="n">
        <v>0</v>
      </c>
      <c r="L261" t="n">
        <v>0</v>
      </c>
      <c r="M261" t="n">
        <v>0</v>
      </c>
      <c r="N261" t="n">
        <v>0</v>
      </c>
      <c r="O261" t="n">
        <v>0</v>
      </c>
      <c r="P261" t="n">
        <v>0</v>
      </c>
      <c r="Q261" t="n">
        <v>0</v>
      </c>
      <c r="R261" s="2" t="inlineStr"/>
      <c r="U261">
        <f>HYPERLINK("https://klasma.github.io/Logging_0883/knärot/A 42164-2021 karta knärot.png", "A 42164-2021")</f>
        <v/>
      </c>
      <c r="V261">
        <f>HYPERLINK("https://klasma.github.io/Logging_0883/klagomål/A 42164-2021 FSC-klagomål.docx", "A 42164-2021")</f>
        <v/>
      </c>
      <c r="W261">
        <f>HYPERLINK("https://klasma.github.io/Logging_0883/klagomålsmail/A 42164-2021 FSC-klagomål mail.docx", "A 42164-2021")</f>
        <v/>
      </c>
      <c r="X261">
        <f>HYPERLINK("https://klasma.github.io/Logging_0883/tillsyn/A 42164-2021 tillsynsbegäran.docx", "A 42164-2021")</f>
        <v/>
      </c>
      <c r="Y261">
        <f>HYPERLINK("https://klasma.github.io/Logging_0883/tillsynsmail/A 42164-2021 tillsynsbegäran mail.docx", "A 42164-2021")</f>
        <v/>
      </c>
    </row>
    <row r="262" ht="15" customHeight="1">
      <c r="A262" t="inlineStr">
        <is>
          <t>A 8196-2021</t>
        </is>
      </c>
      <c r="B262" s="1" t="n">
        <v>44244</v>
      </c>
      <c r="C262" s="1" t="n">
        <v>45901</v>
      </c>
      <c r="D262" t="inlineStr">
        <is>
          <t>KALMAR LÄN</t>
        </is>
      </c>
      <c r="E262" t="inlineStr">
        <is>
          <t>VÄSTERVIK</t>
        </is>
      </c>
      <c r="G262" t="n">
        <v>3.5</v>
      </c>
      <c r="H262" t="n">
        <v>0</v>
      </c>
      <c r="I262" t="n">
        <v>0</v>
      </c>
      <c r="J262" t="n">
        <v>0</v>
      </c>
      <c r="K262" t="n">
        <v>0</v>
      </c>
      <c r="L262" t="n">
        <v>0</v>
      </c>
      <c r="M262" t="n">
        <v>0</v>
      </c>
      <c r="N262" t="n">
        <v>0</v>
      </c>
      <c r="O262" t="n">
        <v>0</v>
      </c>
      <c r="P262" t="n">
        <v>0</v>
      </c>
      <c r="Q262" t="n">
        <v>0</v>
      </c>
      <c r="R262" s="2" t="inlineStr"/>
    </row>
    <row r="263" ht="15" customHeight="1">
      <c r="A263" t="inlineStr">
        <is>
          <t>A 3145-2022</t>
        </is>
      </c>
      <c r="B263" s="1" t="n">
        <v>44582.5518287037</v>
      </c>
      <c r="C263" s="1" t="n">
        <v>45901</v>
      </c>
      <c r="D263" t="inlineStr">
        <is>
          <t>KALMAR LÄN</t>
        </is>
      </c>
      <c r="E263" t="inlineStr">
        <is>
          <t>VÄSTERVIK</t>
        </is>
      </c>
      <c r="G263" t="n">
        <v>0.8</v>
      </c>
      <c r="H263" t="n">
        <v>0</v>
      </c>
      <c r="I263" t="n">
        <v>0</v>
      </c>
      <c r="J263" t="n">
        <v>0</v>
      </c>
      <c r="K263" t="n">
        <v>0</v>
      </c>
      <c r="L263" t="n">
        <v>0</v>
      </c>
      <c r="M263" t="n">
        <v>0</v>
      </c>
      <c r="N263" t="n">
        <v>0</v>
      </c>
      <c r="O263" t="n">
        <v>0</v>
      </c>
      <c r="P263" t="n">
        <v>0</v>
      </c>
      <c r="Q263" t="n">
        <v>0</v>
      </c>
      <c r="R263" s="2" t="inlineStr"/>
    </row>
    <row r="264" ht="15" customHeight="1">
      <c r="A264" t="inlineStr">
        <is>
          <t>A 37748-2021</t>
        </is>
      </c>
      <c r="B264" s="1" t="n">
        <v>44400.63459490741</v>
      </c>
      <c r="C264" s="1" t="n">
        <v>45901</v>
      </c>
      <c r="D264" t="inlineStr">
        <is>
          <t>KALMAR LÄN</t>
        </is>
      </c>
      <c r="E264" t="inlineStr">
        <is>
          <t>VÄSTERVIK</t>
        </is>
      </c>
      <c r="G264" t="n">
        <v>0.5</v>
      </c>
      <c r="H264" t="n">
        <v>0</v>
      </c>
      <c r="I264" t="n">
        <v>0</v>
      </c>
      <c r="J264" t="n">
        <v>0</v>
      </c>
      <c r="K264" t="n">
        <v>0</v>
      </c>
      <c r="L264" t="n">
        <v>0</v>
      </c>
      <c r="M264" t="n">
        <v>0</v>
      </c>
      <c r="N264" t="n">
        <v>0</v>
      </c>
      <c r="O264" t="n">
        <v>0</v>
      </c>
      <c r="P264" t="n">
        <v>0</v>
      </c>
      <c r="Q264" t="n">
        <v>0</v>
      </c>
      <c r="R264" s="2" t="inlineStr"/>
    </row>
    <row r="265" ht="15" customHeight="1">
      <c r="A265" t="inlineStr">
        <is>
          <t>A 14149-2021</t>
        </is>
      </c>
      <c r="B265" s="1" t="n">
        <v>44278</v>
      </c>
      <c r="C265" s="1" t="n">
        <v>45901</v>
      </c>
      <c r="D265" t="inlineStr">
        <is>
          <t>KALMAR LÄN</t>
        </is>
      </c>
      <c r="E265" t="inlineStr">
        <is>
          <t>VÄSTERVIK</t>
        </is>
      </c>
      <c r="G265" t="n">
        <v>4.1</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45901</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42131-2021</t>
        </is>
      </c>
      <c r="B267" s="1" t="n">
        <v>44426</v>
      </c>
      <c r="C267" s="1" t="n">
        <v>45901</v>
      </c>
      <c r="D267" t="inlineStr">
        <is>
          <t>KALMAR LÄN</t>
        </is>
      </c>
      <c r="E267" t="inlineStr">
        <is>
          <t>VÄSTERVIK</t>
        </is>
      </c>
      <c r="G267" t="n">
        <v>2.3</v>
      </c>
      <c r="H267" t="n">
        <v>0</v>
      </c>
      <c r="I267" t="n">
        <v>0</v>
      </c>
      <c r="J267" t="n">
        <v>0</v>
      </c>
      <c r="K267" t="n">
        <v>0</v>
      </c>
      <c r="L267" t="n">
        <v>0</v>
      </c>
      <c r="M267" t="n">
        <v>0</v>
      </c>
      <c r="N267" t="n">
        <v>0</v>
      </c>
      <c r="O267" t="n">
        <v>0</v>
      </c>
      <c r="P267" t="n">
        <v>0</v>
      </c>
      <c r="Q267" t="n">
        <v>0</v>
      </c>
      <c r="R267" s="2" t="inlineStr"/>
    </row>
    <row r="268" ht="15" customHeight="1">
      <c r="A268" t="inlineStr">
        <is>
          <t>A 40062-2022</t>
        </is>
      </c>
      <c r="B268" s="1" t="n">
        <v>44820</v>
      </c>
      <c r="C268" s="1" t="n">
        <v>45901</v>
      </c>
      <c r="D268" t="inlineStr">
        <is>
          <t>KALMAR LÄN</t>
        </is>
      </c>
      <c r="E268" t="inlineStr">
        <is>
          <t>VÄSTERVIK</t>
        </is>
      </c>
      <c r="G268" t="n">
        <v>0.7</v>
      </c>
      <c r="H268" t="n">
        <v>0</v>
      </c>
      <c r="I268" t="n">
        <v>0</v>
      </c>
      <c r="J268" t="n">
        <v>0</v>
      </c>
      <c r="K268" t="n">
        <v>0</v>
      </c>
      <c r="L268" t="n">
        <v>0</v>
      </c>
      <c r="M268" t="n">
        <v>0</v>
      </c>
      <c r="N268" t="n">
        <v>0</v>
      </c>
      <c r="O268" t="n">
        <v>0</v>
      </c>
      <c r="P268" t="n">
        <v>0</v>
      </c>
      <c r="Q268" t="n">
        <v>0</v>
      </c>
      <c r="R268" s="2" t="inlineStr"/>
    </row>
    <row r="269" ht="15" customHeight="1">
      <c r="A269" t="inlineStr">
        <is>
          <t>A 52289-2022</t>
        </is>
      </c>
      <c r="B269" s="1" t="n">
        <v>44873.67061342593</v>
      </c>
      <c r="C269" s="1" t="n">
        <v>45901</v>
      </c>
      <c r="D269" t="inlineStr">
        <is>
          <t>KALMAR LÄN</t>
        </is>
      </c>
      <c r="E269" t="inlineStr">
        <is>
          <t>VÄSTERVIK</t>
        </is>
      </c>
      <c r="G269" t="n">
        <v>0.6</v>
      </c>
      <c r="H269" t="n">
        <v>0</v>
      </c>
      <c r="I269" t="n">
        <v>0</v>
      </c>
      <c r="J269" t="n">
        <v>0</v>
      </c>
      <c r="K269" t="n">
        <v>0</v>
      </c>
      <c r="L269" t="n">
        <v>0</v>
      </c>
      <c r="M269" t="n">
        <v>0</v>
      </c>
      <c r="N269" t="n">
        <v>0</v>
      </c>
      <c r="O269" t="n">
        <v>0</v>
      </c>
      <c r="P269" t="n">
        <v>0</v>
      </c>
      <c r="Q269" t="n">
        <v>0</v>
      </c>
      <c r="R269" s="2" t="inlineStr"/>
    </row>
    <row r="270" ht="15" customHeight="1">
      <c r="A270" t="inlineStr">
        <is>
          <t>A 37036-2021</t>
        </is>
      </c>
      <c r="B270" s="1" t="n">
        <v>44393</v>
      </c>
      <c r="C270" s="1" t="n">
        <v>45901</v>
      </c>
      <c r="D270" t="inlineStr">
        <is>
          <t>KALMAR LÄN</t>
        </is>
      </c>
      <c r="E270" t="inlineStr">
        <is>
          <t>VÄSTERVIK</t>
        </is>
      </c>
      <c r="G270" t="n">
        <v>16.1</v>
      </c>
      <c r="H270" t="n">
        <v>0</v>
      </c>
      <c r="I270" t="n">
        <v>0</v>
      </c>
      <c r="J270" t="n">
        <v>0</v>
      </c>
      <c r="K270" t="n">
        <v>0</v>
      </c>
      <c r="L270" t="n">
        <v>0</v>
      </c>
      <c r="M270" t="n">
        <v>0</v>
      </c>
      <c r="N270" t="n">
        <v>0</v>
      </c>
      <c r="O270" t="n">
        <v>0</v>
      </c>
      <c r="P270" t="n">
        <v>0</v>
      </c>
      <c r="Q270" t="n">
        <v>0</v>
      </c>
      <c r="R270" s="2" t="inlineStr"/>
    </row>
    <row r="271" ht="15" customHeight="1">
      <c r="A271" t="inlineStr">
        <is>
          <t>A 14038-2022</t>
        </is>
      </c>
      <c r="B271" s="1" t="n">
        <v>44650</v>
      </c>
      <c r="C271" s="1" t="n">
        <v>45901</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64822-2021</t>
        </is>
      </c>
      <c r="B272" s="1" t="n">
        <v>44512</v>
      </c>
      <c r="C272" s="1" t="n">
        <v>45901</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64399-2020</t>
        </is>
      </c>
      <c r="B273" s="1" t="n">
        <v>44168.64150462963</v>
      </c>
      <c r="C273" s="1" t="n">
        <v>45901</v>
      </c>
      <c r="D273" t="inlineStr">
        <is>
          <t>KALMAR LÄN</t>
        </is>
      </c>
      <c r="E273" t="inlineStr">
        <is>
          <t>VÄSTERVIK</t>
        </is>
      </c>
      <c r="G273" t="n">
        <v>1.1</v>
      </c>
      <c r="H273" t="n">
        <v>0</v>
      </c>
      <c r="I273" t="n">
        <v>0</v>
      </c>
      <c r="J273" t="n">
        <v>0</v>
      </c>
      <c r="K273" t="n">
        <v>0</v>
      </c>
      <c r="L273" t="n">
        <v>0</v>
      </c>
      <c r="M273" t="n">
        <v>0</v>
      </c>
      <c r="N273" t="n">
        <v>0</v>
      </c>
      <c r="O273" t="n">
        <v>0</v>
      </c>
      <c r="P273" t="n">
        <v>0</v>
      </c>
      <c r="Q273" t="n">
        <v>0</v>
      </c>
      <c r="R273" s="2" t="inlineStr"/>
    </row>
    <row r="274" ht="15" customHeight="1">
      <c r="A274" t="inlineStr">
        <is>
          <t>A 57808-2021</t>
        </is>
      </c>
      <c r="B274" s="1" t="n">
        <v>44484</v>
      </c>
      <c r="C274" s="1" t="n">
        <v>45901</v>
      </c>
      <c r="D274" t="inlineStr">
        <is>
          <t>KALMAR LÄN</t>
        </is>
      </c>
      <c r="E274" t="inlineStr">
        <is>
          <t>VÄSTERVIK</t>
        </is>
      </c>
      <c r="G274" t="n">
        <v>1</v>
      </c>
      <c r="H274" t="n">
        <v>0</v>
      </c>
      <c r="I274" t="n">
        <v>0</v>
      </c>
      <c r="J274" t="n">
        <v>0</v>
      </c>
      <c r="K274" t="n">
        <v>0</v>
      </c>
      <c r="L274" t="n">
        <v>0</v>
      </c>
      <c r="M274" t="n">
        <v>0</v>
      </c>
      <c r="N274" t="n">
        <v>0</v>
      </c>
      <c r="O274" t="n">
        <v>0</v>
      </c>
      <c r="P274" t="n">
        <v>0</v>
      </c>
      <c r="Q274" t="n">
        <v>0</v>
      </c>
      <c r="R274" s="2" t="inlineStr"/>
    </row>
    <row r="275" ht="15" customHeight="1">
      <c r="A275" t="inlineStr">
        <is>
          <t>A 48018-2021</t>
        </is>
      </c>
      <c r="B275" s="1" t="n">
        <v>44449.37518518518</v>
      </c>
      <c r="C275" s="1" t="n">
        <v>45901</v>
      </c>
      <c r="D275" t="inlineStr">
        <is>
          <t>KALMAR LÄN</t>
        </is>
      </c>
      <c r="E275" t="inlineStr">
        <is>
          <t>VÄSTERVIK</t>
        </is>
      </c>
      <c r="G275" t="n">
        <v>1.3</v>
      </c>
      <c r="H275" t="n">
        <v>0</v>
      </c>
      <c r="I275" t="n">
        <v>0</v>
      </c>
      <c r="J275" t="n">
        <v>0</v>
      </c>
      <c r="K275" t="n">
        <v>0</v>
      </c>
      <c r="L275" t="n">
        <v>0</v>
      </c>
      <c r="M275" t="n">
        <v>0</v>
      </c>
      <c r="N275" t="n">
        <v>0</v>
      </c>
      <c r="O275" t="n">
        <v>0</v>
      </c>
      <c r="P275" t="n">
        <v>0</v>
      </c>
      <c r="Q275" t="n">
        <v>0</v>
      </c>
      <c r="R275" s="2" t="inlineStr"/>
    </row>
    <row r="276" ht="15" customHeight="1">
      <c r="A276" t="inlineStr">
        <is>
          <t>A 13626-2021</t>
        </is>
      </c>
      <c r="B276" s="1" t="n">
        <v>44274.39513888889</v>
      </c>
      <c r="C276" s="1" t="n">
        <v>45901</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43730-2020</t>
        </is>
      </c>
      <c r="B277" s="1" t="n">
        <v>44082.63233796296</v>
      </c>
      <c r="C277" s="1" t="n">
        <v>45901</v>
      </c>
      <c r="D277" t="inlineStr">
        <is>
          <t>KALMAR LÄN</t>
        </is>
      </c>
      <c r="E277" t="inlineStr">
        <is>
          <t>VÄSTERVIK</t>
        </is>
      </c>
      <c r="G277" t="n">
        <v>0.1</v>
      </c>
      <c r="H277" t="n">
        <v>0</v>
      </c>
      <c r="I277" t="n">
        <v>0</v>
      </c>
      <c r="J277" t="n">
        <v>0</v>
      </c>
      <c r="K277" t="n">
        <v>0</v>
      </c>
      <c r="L277" t="n">
        <v>0</v>
      </c>
      <c r="M277" t="n">
        <v>0</v>
      </c>
      <c r="N277" t="n">
        <v>0</v>
      </c>
      <c r="O277" t="n">
        <v>0</v>
      </c>
      <c r="P277" t="n">
        <v>0</v>
      </c>
      <c r="Q277" t="n">
        <v>0</v>
      </c>
      <c r="R277" s="2" t="inlineStr"/>
    </row>
    <row r="278" ht="15" customHeight="1">
      <c r="A278" t="inlineStr">
        <is>
          <t>A 7754-2021</t>
        </is>
      </c>
      <c r="B278" s="1" t="n">
        <v>44239</v>
      </c>
      <c r="C278" s="1" t="n">
        <v>45901</v>
      </c>
      <c r="D278" t="inlineStr">
        <is>
          <t>KALMAR LÄN</t>
        </is>
      </c>
      <c r="E278" t="inlineStr">
        <is>
          <t>VÄSTERVIK</t>
        </is>
      </c>
      <c r="G278" t="n">
        <v>3.6</v>
      </c>
      <c r="H278" t="n">
        <v>0</v>
      </c>
      <c r="I278" t="n">
        <v>0</v>
      </c>
      <c r="J278" t="n">
        <v>0</v>
      </c>
      <c r="K278" t="n">
        <v>0</v>
      </c>
      <c r="L278" t="n">
        <v>0</v>
      </c>
      <c r="M278" t="n">
        <v>0</v>
      </c>
      <c r="N278" t="n">
        <v>0</v>
      </c>
      <c r="O278" t="n">
        <v>0</v>
      </c>
      <c r="P278" t="n">
        <v>0</v>
      </c>
      <c r="Q278" t="n">
        <v>0</v>
      </c>
      <c r="R278" s="2" t="inlineStr"/>
    </row>
    <row r="279" ht="15" customHeight="1">
      <c r="A279" t="inlineStr">
        <is>
          <t>A 401-2021</t>
        </is>
      </c>
      <c r="B279" s="1" t="n">
        <v>44201.62629629629</v>
      </c>
      <c r="C279" s="1" t="n">
        <v>45901</v>
      </c>
      <c r="D279" t="inlineStr">
        <is>
          <t>KALMAR LÄN</t>
        </is>
      </c>
      <c r="E279" t="inlineStr">
        <is>
          <t>VÄSTERVIK</t>
        </is>
      </c>
      <c r="G279" t="n">
        <v>0.8</v>
      </c>
      <c r="H279" t="n">
        <v>0</v>
      </c>
      <c r="I279" t="n">
        <v>0</v>
      </c>
      <c r="J279" t="n">
        <v>0</v>
      </c>
      <c r="K279" t="n">
        <v>0</v>
      </c>
      <c r="L279" t="n">
        <v>0</v>
      </c>
      <c r="M279" t="n">
        <v>0</v>
      </c>
      <c r="N279" t="n">
        <v>0</v>
      </c>
      <c r="O279" t="n">
        <v>0</v>
      </c>
      <c r="P279" t="n">
        <v>0</v>
      </c>
      <c r="Q279" t="n">
        <v>0</v>
      </c>
      <c r="R279" s="2" t="inlineStr"/>
    </row>
    <row r="280" ht="15" customHeight="1">
      <c r="A280" t="inlineStr">
        <is>
          <t>A 23097-2021</t>
        </is>
      </c>
      <c r="B280" s="1" t="n">
        <v>44330</v>
      </c>
      <c r="C280" s="1" t="n">
        <v>45901</v>
      </c>
      <c r="D280" t="inlineStr">
        <is>
          <t>KALMAR LÄN</t>
        </is>
      </c>
      <c r="E280" t="inlineStr">
        <is>
          <t>VÄSTERVIK</t>
        </is>
      </c>
      <c r="F280" t="inlineStr">
        <is>
          <t>Holmen skog AB</t>
        </is>
      </c>
      <c r="G280" t="n">
        <v>0.4</v>
      </c>
      <c r="H280" t="n">
        <v>0</v>
      </c>
      <c r="I280" t="n">
        <v>0</v>
      </c>
      <c r="J280" t="n">
        <v>0</v>
      </c>
      <c r="K280" t="n">
        <v>0</v>
      </c>
      <c r="L280" t="n">
        <v>0</v>
      </c>
      <c r="M280" t="n">
        <v>0</v>
      </c>
      <c r="N280" t="n">
        <v>0</v>
      </c>
      <c r="O280" t="n">
        <v>0</v>
      </c>
      <c r="P280" t="n">
        <v>0</v>
      </c>
      <c r="Q280" t="n">
        <v>0</v>
      </c>
      <c r="R280" s="2" t="inlineStr"/>
    </row>
    <row r="281" ht="15" customHeight="1">
      <c r="A281" t="inlineStr">
        <is>
          <t>A 23995-2021</t>
        </is>
      </c>
      <c r="B281" s="1" t="n">
        <v>44335.88846064815</v>
      </c>
      <c r="C281" s="1" t="n">
        <v>45901</v>
      </c>
      <c r="D281" t="inlineStr">
        <is>
          <t>KALMAR LÄN</t>
        </is>
      </c>
      <c r="E281" t="inlineStr">
        <is>
          <t>VÄSTERVIK</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37550-2021</t>
        </is>
      </c>
      <c r="B282" s="1" t="n">
        <v>44399.49815972222</v>
      </c>
      <c r="C282" s="1" t="n">
        <v>45901</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48661-2021</t>
        </is>
      </c>
      <c r="B283" s="1" t="n">
        <v>44449</v>
      </c>
      <c r="C283" s="1" t="n">
        <v>45901</v>
      </c>
      <c r="D283" t="inlineStr">
        <is>
          <t>KALMAR LÄN</t>
        </is>
      </c>
      <c r="E283" t="inlineStr">
        <is>
          <t>VÄSTERVIK</t>
        </is>
      </c>
      <c r="G283" t="n">
        <v>0.7</v>
      </c>
      <c r="H283" t="n">
        <v>0</v>
      </c>
      <c r="I283" t="n">
        <v>0</v>
      </c>
      <c r="J283" t="n">
        <v>0</v>
      </c>
      <c r="K283" t="n">
        <v>0</v>
      </c>
      <c r="L283" t="n">
        <v>0</v>
      </c>
      <c r="M283" t="n">
        <v>0</v>
      </c>
      <c r="N283" t="n">
        <v>0</v>
      </c>
      <c r="O283" t="n">
        <v>0</v>
      </c>
      <c r="P283" t="n">
        <v>0</v>
      </c>
      <c r="Q283" t="n">
        <v>0</v>
      </c>
      <c r="R283" s="2" t="inlineStr"/>
    </row>
    <row r="284" ht="15" customHeight="1">
      <c r="A284" t="inlineStr">
        <is>
          <t>A 29816-2022</t>
        </is>
      </c>
      <c r="B284" s="1" t="n">
        <v>44755</v>
      </c>
      <c r="C284" s="1" t="n">
        <v>45901</v>
      </c>
      <c r="D284" t="inlineStr">
        <is>
          <t>KALMAR LÄN</t>
        </is>
      </c>
      <c r="E284" t="inlineStr">
        <is>
          <t>VÄSTERVIK</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3553-2021</t>
        </is>
      </c>
      <c r="B285" s="1" t="n">
        <v>44218</v>
      </c>
      <c r="C285" s="1" t="n">
        <v>45901</v>
      </c>
      <c r="D285" t="inlineStr">
        <is>
          <t>KALMAR LÄN</t>
        </is>
      </c>
      <c r="E285" t="inlineStr">
        <is>
          <t>VÄSTERVIK</t>
        </is>
      </c>
      <c r="G285" t="n">
        <v>1.6</v>
      </c>
      <c r="H285" t="n">
        <v>0</v>
      </c>
      <c r="I285" t="n">
        <v>0</v>
      </c>
      <c r="J285" t="n">
        <v>0</v>
      </c>
      <c r="K285" t="n">
        <v>0</v>
      </c>
      <c r="L285" t="n">
        <v>0</v>
      </c>
      <c r="M285" t="n">
        <v>0</v>
      </c>
      <c r="N285" t="n">
        <v>0</v>
      </c>
      <c r="O285" t="n">
        <v>0</v>
      </c>
      <c r="P285" t="n">
        <v>0</v>
      </c>
      <c r="Q285" t="n">
        <v>0</v>
      </c>
      <c r="R285" s="2" t="inlineStr"/>
    </row>
    <row r="286" ht="15" customHeight="1">
      <c r="A286" t="inlineStr">
        <is>
          <t>A 8355-2022</t>
        </is>
      </c>
      <c r="B286" s="1" t="n">
        <v>44610</v>
      </c>
      <c r="C286" s="1" t="n">
        <v>45901</v>
      </c>
      <c r="D286" t="inlineStr">
        <is>
          <t>KALMAR LÄN</t>
        </is>
      </c>
      <c r="E286" t="inlineStr">
        <is>
          <t>VÄSTERVIK</t>
        </is>
      </c>
      <c r="F286" t="inlineStr">
        <is>
          <t>Holmen skog AB</t>
        </is>
      </c>
      <c r="G286" t="n">
        <v>2.3</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45901</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45901</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45901</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45901</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45901</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45901</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50977-2021</t>
        </is>
      </c>
      <c r="B293" s="1" t="n">
        <v>44460.68069444445</v>
      </c>
      <c r="C293" s="1" t="n">
        <v>45901</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43805-2021</t>
        </is>
      </c>
      <c r="B294" s="1" t="n">
        <v>44433</v>
      </c>
      <c r="C294" s="1" t="n">
        <v>45901</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43810-2021</t>
        </is>
      </c>
      <c r="B295" s="1" t="n">
        <v>44433</v>
      </c>
      <c r="C295" s="1" t="n">
        <v>45901</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8788-2021</t>
        </is>
      </c>
      <c r="B296" s="1" t="n">
        <v>44246</v>
      </c>
      <c r="C296" s="1" t="n">
        <v>45901</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42150-2021</t>
        </is>
      </c>
      <c r="B297" s="1" t="n">
        <v>44426</v>
      </c>
      <c r="C297" s="1" t="n">
        <v>45901</v>
      </c>
      <c r="D297" t="inlineStr">
        <is>
          <t>KALMAR LÄN</t>
        </is>
      </c>
      <c r="E297" t="inlineStr">
        <is>
          <t>VÄSTERVIK</t>
        </is>
      </c>
      <c r="G297" t="n">
        <v>0.3</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45901</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45901</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45901</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45901</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45901</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15834-2021</t>
        </is>
      </c>
      <c r="B303" s="1" t="n">
        <v>44286</v>
      </c>
      <c r="C303" s="1" t="n">
        <v>45901</v>
      </c>
      <c r="D303" t="inlineStr">
        <is>
          <t>KALMAR LÄN</t>
        </is>
      </c>
      <c r="E303" t="inlineStr">
        <is>
          <t>VÄSTERVIK</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66292-2020</t>
        </is>
      </c>
      <c r="B304" s="1" t="n">
        <v>44176</v>
      </c>
      <c r="C304" s="1" t="n">
        <v>45901</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45537-2020</t>
        </is>
      </c>
      <c r="B305" s="1" t="n">
        <v>44089</v>
      </c>
      <c r="C305" s="1" t="n">
        <v>45901</v>
      </c>
      <c r="D305" t="inlineStr">
        <is>
          <t>KALMAR LÄN</t>
        </is>
      </c>
      <c r="E305" t="inlineStr">
        <is>
          <t>VÄSTERVIK</t>
        </is>
      </c>
      <c r="G305" t="n">
        <v>2.1</v>
      </c>
      <c r="H305" t="n">
        <v>0</v>
      </c>
      <c r="I305" t="n">
        <v>0</v>
      </c>
      <c r="J305" t="n">
        <v>0</v>
      </c>
      <c r="K305" t="n">
        <v>0</v>
      </c>
      <c r="L305" t="n">
        <v>0</v>
      </c>
      <c r="M305" t="n">
        <v>0</v>
      </c>
      <c r="N305" t="n">
        <v>0</v>
      </c>
      <c r="O305" t="n">
        <v>0</v>
      </c>
      <c r="P305" t="n">
        <v>0</v>
      </c>
      <c r="Q305" t="n">
        <v>0</v>
      </c>
      <c r="R305" s="2" t="inlineStr"/>
    </row>
    <row r="306" ht="15" customHeight="1">
      <c r="A306" t="inlineStr">
        <is>
          <t>A 23997-2021</t>
        </is>
      </c>
      <c r="B306" s="1" t="n">
        <v>44335</v>
      </c>
      <c r="C306" s="1" t="n">
        <v>45901</v>
      </c>
      <c r="D306" t="inlineStr">
        <is>
          <t>KALMAR LÄN</t>
        </is>
      </c>
      <c r="E306" t="inlineStr">
        <is>
          <t>VÄSTERVIK</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45901</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45901</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45901</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45901</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58041-2020</t>
        </is>
      </c>
      <c r="B311" s="1" t="n">
        <v>44140</v>
      </c>
      <c r="C311" s="1" t="n">
        <v>45901</v>
      </c>
      <c r="D311" t="inlineStr">
        <is>
          <t>KALMAR LÄN</t>
        </is>
      </c>
      <c r="E311" t="inlineStr">
        <is>
          <t>VÄSTERVIK</t>
        </is>
      </c>
      <c r="F311" t="inlineStr">
        <is>
          <t>Övriga Aktiebolag</t>
        </is>
      </c>
      <c r="G311" t="n">
        <v>1.9</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45901</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45901</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45901</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45901</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45901</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45901</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45901</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45901</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45901</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55382-2022</t>
        </is>
      </c>
      <c r="B321" s="1" t="n">
        <v>44887</v>
      </c>
      <c r="C321" s="1" t="n">
        <v>45901</v>
      </c>
      <c r="D321" t="inlineStr">
        <is>
          <t>KALMAR LÄN</t>
        </is>
      </c>
      <c r="E321" t="inlineStr">
        <is>
          <t>VÄSTERVIK</t>
        </is>
      </c>
      <c r="G321" t="n">
        <v>3.2</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45901</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45901</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45901</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45901</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45901</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45901</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45901</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45901</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45901</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45901</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45901</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45901</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17124-2021</t>
        </is>
      </c>
      <c r="B334" s="1" t="n">
        <v>44298</v>
      </c>
      <c r="C334" s="1" t="n">
        <v>45901</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47525-2021</t>
        </is>
      </c>
      <c r="B335" s="1" t="n">
        <v>44447</v>
      </c>
      <c r="C335" s="1" t="n">
        <v>45901</v>
      </c>
      <c r="D335" t="inlineStr">
        <is>
          <t>KALMAR LÄN</t>
        </is>
      </c>
      <c r="E335" t="inlineStr">
        <is>
          <t>VÄSTERVIK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45901</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45901</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61584-2021</t>
        </is>
      </c>
      <c r="B338" s="1" t="n">
        <v>44501.45256944445</v>
      </c>
      <c r="C338" s="1" t="n">
        <v>45901</v>
      </c>
      <c r="D338" t="inlineStr">
        <is>
          <t>KALMAR LÄN</t>
        </is>
      </c>
      <c r="E338" t="inlineStr">
        <is>
          <t>VÄSTERVIK</t>
        </is>
      </c>
      <c r="G338" t="n">
        <v>3.3</v>
      </c>
      <c r="H338" t="n">
        <v>0</v>
      </c>
      <c r="I338" t="n">
        <v>0</v>
      </c>
      <c r="J338" t="n">
        <v>0</v>
      </c>
      <c r="K338" t="n">
        <v>0</v>
      </c>
      <c r="L338" t="n">
        <v>0</v>
      </c>
      <c r="M338" t="n">
        <v>0</v>
      </c>
      <c r="N338" t="n">
        <v>0</v>
      </c>
      <c r="O338" t="n">
        <v>0</v>
      </c>
      <c r="P338" t="n">
        <v>0</v>
      </c>
      <c r="Q338" t="n">
        <v>0</v>
      </c>
      <c r="R338" s="2" t="inlineStr"/>
    </row>
    <row r="339" ht="15" customHeight="1">
      <c r="A339" t="inlineStr">
        <is>
          <t>A 72378-2021</t>
        </is>
      </c>
      <c r="B339" s="1" t="n">
        <v>44545.56285879629</v>
      </c>
      <c r="C339" s="1" t="n">
        <v>45901</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47530-2021</t>
        </is>
      </c>
      <c r="B340" s="1" t="n">
        <v>44447</v>
      </c>
      <c r="C340" s="1" t="n">
        <v>45901</v>
      </c>
      <c r="D340" t="inlineStr">
        <is>
          <t>KALMAR LÄN</t>
        </is>
      </c>
      <c r="E340" t="inlineStr">
        <is>
          <t>VÄSTERVIK</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31558-2021</t>
        </is>
      </c>
      <c r="B341" s="1" t="n">
        <v>44369</v>
      </c>
      <c r="C341" s="1" t="n">
        <v>45901</v>
      </c>
      <c r="D341" t="inlineStr">
        <is>
          <t>KALMAR LÄN</t>
        </is>
      </c>
      <c r="E341" t="inlineStr">
        <is>
          <t>VÄSTERVIK</t>
        </is>
      </c>
      <c r="G341" t="n">
        <v>22.9</v>
      </c>
      <c r="H341" t="n">
        <v>0</v>
      </c>
      <c r="I341" t="n">
        <v>0</v>
      </c>
      <c r="J341" t="n">
        <v>0</v>
      </c>
      <c r="K341" t="n">
        <v>0</v>
      </c>
      <c r="L341" t="n">
        <v>0</v>
      </c>
      <c r="M341" t="n">
        <v>0</v>
      </c>
      <c r="N341" t="n">
        <v>0</v>
      </c>
      <c r="O341" t="n">
        <v>0</v>
      </c>
      <c r="P341" t="n">
        <v>0</v>
      </c>
      <c r="Q341" t="n">
        <v>0</v>
      </c>
      <c r="R341" s="2" t="inlineStr"/>
    </row>
    <row r="342" ht="15" customHeight="1">
      <c r="A342" t="inlineStr">
        <is>
          <t>A 47404-2021</t>
        </is>
      </c>
      <c r="B342" s="1" t="n">
        <v>44447</v>
      </c>
      <c r="C342" s="1" t="n">
        <v>45901</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23090-2021</t>
        </is>
      </c>
      <c r="B343" s="1" t="n">
        <v>44330</v>
      </c>
      <c r="C343" s="1" t="n">
        <v>45901</v>
      </c>
      <c r="D343" t="inlineStr">
        <is>
          <t>KALMAR LÄN</t>
        </is>
      </c>
      <c r="E343" t="inlineStr">
        <is>
          <t>VÄSTERVIK</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46822-2020</t>
        </is>
      </c>
      <c r="B344" s="1" t="n">
        <v>44096</v>
      </c>
      <c r="C344" s="1" t="n">
        <v>45901</v>
      </c>
      <c r="D344" t="inlineStr">
        <is>
          <t>KALMAR LÄN</t>
        </is>
      </c>
      <c r="E344" t="inlineStr">
        <is>
          <t>VÄSTERVIK</t>
        </is>
      </c>
      <c r="G344" t="n">
        <v>0.2</v>
      </c>
      <c r="H344" t="n">
        <v>0</v>
      </c>
      <c r="I344" t="n">
        <v>0</v>
      </c>
      <c r="J344" t="n">
        <v>0</v>
      </c>
      <c r="K344" t="n">
        <v>0</v>
      </c>
      <c r="L344" t="n">
        <v>0</v>
      </c>
      <c r="M344" t="n">
        <v>0</v>
      </c>
      <c r="N344" t="n">
        <v>0</v>
      </c>
      <c r="O344" t="n">
        <v>0</v>
      </c>
      <c r="P344" t="n">
        <v>0</v>
      </c>
      <c r="Q344" t="n">
        <v>0</v>
      </c>
      <c r="R344" s="2" t="inlineStr"/>
    </row>
    <row r="345" ht="15" customHeight="1">
      <c r="A345" t="inlineStr">
        <is>
          <t>A 50691-2022</t>
        </is>
      </c>
      <c r="B345" s="1" t="n">
        <v>44867</v>
      </c>
      <c r="C345" s="1" t="n">
        <v>45901</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40925-2022</t>
        </is>
      </c>
      <c r="B346" s="1" t="n">
        <v>44825.41880787037</v>
      </c>
      <c r="C346" s="1" t="n">
        <v>45901</v>
      </c>
      <c r="D346" t="inlineStr">
        <is>
          <t>KALMAR LÄN</t>
        </is>
      </c>
      <c r="E346" t="inlineStr">
        <is>
          <t>VÄSTERVIK</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57922-2020</t>
        </is>
      </c>
      <c r="B347" s="1" t="n">
        <v>44141</v>
      </c>
      <c r="C347" s="1" t="n">
        <v>45901</v>
      </c>
      <c r="D347" t="inlineStr">
        <is>
          <t>KALMAR LÄN</t>
        </is>
      </c>
      <c r="E347" t="inlineStr">
        <is>
          <t>VÄSTERVIK</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2106-2021</t>
        </is>
      </c>
      <c r="B348" s="1" t="n">
        <v>44211</v>
      </c>
      <c r="C348" s="1" t="n">
        <v>45901</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19644-2021</t>
        </is>
      </c>
      <c r="B349" s="1" t="n">
        <v>44312</v>
      </c>
      <c r="C349" s="1" t="n">
        <v>45901</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34644-2022</t>
        </is>
      </c>
      <c r="B350" s="1" t="n">
        <v>44795</v>
      </c>
      <c r="C350" s="1" t="n">
        <v>45901</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18837-2021</t>
        </is>
      </c>
      <c r="B351" s="1" t="n">
        <v>44307</v>
      </c>
      <c r="C351" s="1" t="n">
        <v>45901</v>
      </c>
      <c r="D351" t="inlineStr">
        <is>
          <t>KALMAR LÄN</t>
        </is>
      </c>
      <c r="E351" t="inlineStr">
        <is>
          <t>VÄSTERVIK</t>
        </is>
      </c>
      <c r="G351" t="n">
        <v>1.6</v>
      </c>
      <c r="H351" t="n">
        <v>0</v>
      </c>
      <c r="I351" t="n">
        <v>0</v>
      </c>
      <c r="J351" t="n">
        <v>0</v>
      </c>
      <c r="K351" t="n">
        <v>0</v>
      </c>
      <c r="L351" t="n">
        <v>0</v>
      </c>
      <c r="M351" t="n">
        <v>0</v>
      </c>
      <c r="N351" t="n">
        <v>0</v>
      </c>
      <c r="O351" t="n">
        <v>0</v>
      </c>
      <c r="P351" t="n">
        <v>0</v>
      </c>
      <c r="Q351" t="n">
        <v>0</v>
      </c>
      <c r="R351" s="2" t="inlineStr"/>
    </row>
    <row r="352" ht="15" customHeight="1">
      <c r="A352" t="inlineStr">
        <is>
          <t>A 18470-2021</t>
        </is>
      </c>
      <c r="B352" s="1" t="n">
        <v>44306.31681712963</v>
      </c>
      <c r="C352" s="1" t="n">
        <v>45901</v>
      </c>
      <c r="D352" t="inlineStr">
        <is>
          <t>KALMAR LÄN</t>
        </is>
      </c>
      <c r="E352" t="inlineStr">
        <is>
          <t>VÄSTERVIK</t>
        </is>
      </c>
      <c r="G352" t="n">
        <v>0.7</v>
      </c>
      <c r="H352" t="n">
        <v>0</v>
      </c>
      <c r="I352" t="n">
        <v>0</v>
      </c>
      <c r="J352" t="n">
        <v>0</v>
      </c>
      <c r="K352" t="n">
        <v>0</v>
      </c>
      <c r="L352" t="n">
        <v>0</v>
      </c>
      <c r="M352" t="n">
        <v>0</v>
      </c>
      <c r="N352" t="n">
        <v>0</v>
      </c>
      <c r="O352" t="n">
        <v>0</v>
      </c>
      <c r="P352" t="n">
        <v>0</v>
      </c>
      <c r="Q352" t="n">
        <v>0</v>
      </c>
      <c r="R352" s="2" t="inlineStr"/>
    </row>
    <row r="353" ht="15" customHeight="1">
      <c r="A353" t="inlineStr">
        <is>
          <t>A 15591-2021</t>
        </is>
      </c>
      <c r="B353" s="1" t="n">
        <v>44285.66303240741</v>
      </c>
      <c r="C353" s="1" t="n">
        <v>45901</v>
      </c>
      <c r="D353" t="inlineStr">
        <is>
          <t>KALMAR LÄN</t>
        </is>
      </c>
      <c r="E353" t="inlineStr">
        <is>
          <t>VÄSTERVIK</t>
        </is>
      </c>
      <c r="G353" t="n">
        <v>2.1</v>
      </c>
      <c r="H353" t="n">
        <v>0</v>
      </c>
      <c r="I353" t="n">
        <v>0</v>
      </c>
      <c r="J353" t="n">
        <v>0</v>
      </c>
      <c r="K353" t="n">
        <v>0</v>
      </c>
      <c r="L353" t="n">
        <v>0</v>
      </c>
      <c r="M353" t="n">
        <v>0</v>
      </c>
      <c r="N353" t="n">
        <v>0</v>
      </c>
      <c r="O353" t="n">
        <v>0</v>
      </c>
      <c r="P353" t="n">
        <v>0</v>
      </c>
      <c r="Q353" t="n">
        <v>0</v>
      </c>
      <c r="R353" s="2" t="inlineStr"/>
    </row>
    <row r="354" ht="15" customHeight="1">
      <c r="A354" t="inlineStr">
        <is>
          <t>A 31317-2021</t>
        </is>
      </c>
      <c r="B354" s="1" t="n">
        <v>44368.90879629629</v>
      </c>
      <c r="C354" s="1" t="n">
        <v>45901</v>
      </c>
      <c r="D354" t="inlineStr">
        <is>
          <t>KALMAR LÄN</t>
        </is>
      </c>
      <c r="E354" t="inlineStr">
        <is>
          <t>VÄSTERVIK</t>
        </is>
      </c>
      <c r="G354" t="n">
        <v>2.3</v>
      </c>
      <c r="H354" t="n">
        <v>0</v>
      </c>
      <c r="I354" t="n">
        <v>0</v>
      </c>
      <c r="J354" t="n">
        <v>0</v>
      </c>
      <c r="K354" t="n">
        <v>0</v>
      </c>
      <c r="L354" t="n">
        <v>0</v>
      </c>
      <c r="M354" t="n">
        <v>0</v>
      </c>
      <c r="N354" t="n">
        <v>0</v>
      </c>
      <c r="O354" t="n">
        <v>0</v>
      </c>
      <c r="P354" t="n">
        <v>0</v>
      </c>
      <c r="Q354" t="n">
        <v>0</v>
      </c>
      <c r="R354" s="2" t="inlineStr"/>
    </row>
    <row r="355" ht="15" customHeight="1">
      <c r="A355" t="inlineStr">
        <is>
          <t>A 23996-2021</t>
        </is>
      </c>
      <c r="B355" s="1" t="n">
        <v>44335.88916666667</v>
      </c>
      <c r="C355" s="1" t="n">
        <v>45901</v>
      </c>
      <c r="D355" t="inlineStr">
        <is>
          <t>KALMAR LÄN</t>
        </is>
      </c>
      <c r="E355" t="inlineStr">
        <is>
          <t>VÄSTERVIK</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56619-2021</t>
        </is>
      </c>
      <c r="B356" s="1" t="n">
        <v>44480.82696759259</v>
      </c>
      <c r="C356" s="1" t="n">
        <v>45901</v>
      </c>
      <c r="D356" t="inlineStr">
        <is>
          <t>KALMAR LÄN</t>
        </is>
      </c>
      <c r="E356" t="inlineStr">
        <is>
          <t>VÄSTERVIK</t>
        </is>
      </c>
      <c r="G356" t="n">
        <v>1.8</v>
      </c>
      <c r="H356" t="n">
        <v>0</v>
      </c>
      <c r="I356" t="n">
        <v>0</v>
      </c>
      <c r="J356" t="n">
        <v>0</v>
      </c>
      <c r="K356" t="n">
        <v>0</v>
      </c>
      <c r="L356" t="n">
        <v>0</v>
      </c>
      <c r="M356" t="n">
        <v>0</v>
      </c>
      <c r="N356" t="n">
        <v>0</v>
      </c>
      <c r="O356" t="n">
        <v>0</v>
      </c>
      <c r="P356" t="n">
        <v>0</v>
      </c>
      <c r="Q356" t="n">
        <v>0</v>
      </c>
      <c r="R356" s="2" t="inlineStr"/>
    </row>
    <row r="357" ht="15" customHeight="1">
      <c r="A357" t="inlineStr">
        <is>
          <t>A 49398-2021</t>
        </is>
      </c>
      <c r="B357" s="1" t="n">
        <v>44454.63141203704</v>
      </c>
      <c r="C357" s="1" t="n">
        <v>45901</v>
      </c>
      <c r="D357" t="inlineStr">
        <is>
          <t>KALMAR LÄN</t>
        </is>
      </c>
      <c r="E357" t="inlineStr">
        <is>
          <t>VÄSTERVIK</t>
        </is>
      </c>
      <c r="G357" t="n">
        <v>0.5</v>
      </c>
      <c r="H357" t="n">
        <v>0</v>
      </c>
      <c r="I357" t="n">
        <v>0</v>
      </c>
      <c r="J357" t="n">
        <v>0</v>
      </c>
      <c r="K357" t="n">
        <v>0</v>
      </c>
      <c r="L357" t="n">
        <v>0</v>
      </c>
      <c r="M357" t="n">
        <v>0</v>
      </c>
      <c r="N357" t="n">
        <v>0</v>
      </c>
      <c r="O357" t="n">
        <v>0</v>
      </c>
      <c r="P357" t="n">
        <v>0</v>
      </c>
      <c r="Q357" t="n">
        <v>0</v>
      </c>
      <c r="R357" s="2" t="inlineStr"/>
    </row>
    <row r="358" ht="15" customHeight="1">
      <c r="A358" t="inlineStr">
        <is>
          <t>A 66888-2020</t>
        </is>
      </c>
      <c r="B358" s="1" t="n">
        <v>44179</v>
      </c>
      <c r="C358" s="1" t="n">
        <v>45901</v>
      </c>
      <c r="D358" t="inlineStr">
        <is>
          <t>KALMAR LÄN</t>
        </is>
      </c>
      <c r="E358" t="inlineStr">
        <is>
          <t>VÄSTERVIK</t>
        </is>
      </c>
      <c r="G358" t="n">
        <v>0.3</v>
      </c>
      <c r="H358" t="n">
        <v>0</v>
      </c>
      <c r="I358" t="n">
        <v>0</v>
      </c>
      <c r="J358" t="n">
        <v>0</v>
      </c>
      <c r="K358" t="n">
        <v>0</v>
      </c>
      <c r="L358" t="n">
        <v>0</v>
      </c>
      <c r="M358" t="n">
        <v>0</v>
      </c>
      <c r="N358" t="n">
        <v>0</v>
      </c>
      <c r="O358" t="n">
        <v>0</v>
      </c>
      <c r="P358" t="n">
        <v>0</v>
      </c>
      <c r="Q358" t="n">
        <v>0</v>
      </c>
      <c r="R358" s="2" t="inlineStr"/>
    </row>
    <row r="359" ht="15" customHeight="1">
      <c r="A359" t="inlineStr">
        <is>
          <t>A 410-2021</t>
        </is>
      </c>
      <c r="B359" s="1" t="n">
        <v>44201.63928240741</v>
      </c>
      <c r="C359" s="1" t="n">
        <v>45901</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789-2021</t>
        </is>
      </c>
      <c r="B360" s="1" t="n">
        <v>44204</v>
      </c>
      <c r="C360" s="1" t="n">
        <v>45901</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63635-2020</t>
        </is>
      </c>
      <c r="B361" s="1" t="n">
        <v>44162</v>
      </c>
      <c r="C361" s="1" t="n">
        <v>45901</v>
      </c>
      <c r="D361" t="inlineStr">
        <is>
          <t>KALMAR LÄN</t>
        </is>
      </c>
      <c r="E361" t="inlineStr">
        <is>
          <t>VÄSTERVIK</t>
        </is>
      </c>
      <c r="G361" t="n">
        <v>1</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45901</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43807-2021</t>
        </is>
      </c>
      <c r="B363" s="1" t="n">
        <v>44433</v>
      </c>
      <c r="C363" s="1" t="n">
        <v>45901</v>
      </c>
      <c r="D363" t="inlineStr">
        <is>
          <t>KALMAR LÄN</t>
        </is>
      </c>
      <c r="E363" t="inlineStr">
        <is>
          <t>VÄSTERVIK</t>
        </is>
      </c>
      <c r="G363" t="n">
        <v>3.2</v>
      </c>
      <c r="H363" t="n">
        <v>0</v>
      </c>
      <c r="I363" t="n">
        <v>0</v>
      </c>
      <c r="J363" t="n">
        <v>0</v>
      </c>
      <c r="K363" t="n">
        <v>0</v>
      </c>
      <c r="L363" t="n">
        <v>0</v>
      </c>
      <c r="M363" t="n">
        <v>0</v>
      </c>
      <c r="N363" t="n">
        <v>0</v>
      </c>
      <c r="O363" t="n">
        <v>0</v>
      </c>
      <c r="P363" t="n">
        <v>0</v>
      </c>
      <c r="Q363" t="n">
        <v>0</v>
      </c>
      <c r="R363" s="2" t="inlineStr"/>
    </row>
    <row r="364" ht="15" customHeight="1">
      <c r="A364" t="inlineStr">
        <is>
          <t>A 40920-2022</t>
        </is>
      </c>
      <c r="B364" s="1" t="n">
        <v>44825.40943287037</v>
      </c>
      <c r="C364" s="1" t="n">
        <v>45901</v>
      </c>
      <c r="D364" t="inlineStr">
        <is>
          <t>KALMAR LÄN</t>
        </is>
      </c>
      <c r="E364" t="inlineStr">
        <is>
          <t>VÄSTERVIK</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61799-2020</t>
        </is>
      </c>
      <c r="B365" s="1" t="n">
        <v>44158</v>
      </c>
      <c r="C365" s="1" t="n">
        <v>45901</v>
      </c>
      <c r="D365" t="inlineStr">
        <is>
          <t>KALMAR LÄN</t>
        </is>
      </c>
      <c r="E365" t="inlineStr">
        <is>
          <t>VÄSTERVIK</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45901</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10517-2021</t>
        </is>
      </c>
      <c r="B367" s="1" t="n">
        <v>44258</v>
      </c>
      <c r="C367" s="1" t="n">
        <v>45901</v>
      </c>
      <c r="D367" t="inlineStr">
        <is>
          <t>KALMAR LÄN</t>
        </is>
      </c>
      <c r="E367" t="inlineStr">
        <is>
          <t>VÄSTERVIK</t>
        </is>
      </c>
      <c r="G367" t="n">
        <v>3.6</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45901</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45901</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45901</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13230-2021</t>
        </is>
      </c>
      <c r="B371" s="1" t="n">
        <v>44272</v>
      </c>
      <c r="C371" s="1" t="n">
        <v>45901</v>
      </c>
      <c r="D371" t="inlineStr">
        <is>
          <t>KALMAR LÄN</t>
        </is>
      </c>
      <c r="E371" t="inlineStr">
        <is>
          <t>VÄSTERVIK</t>
        </is>
      </c>
      <c r="G371" t="n">
        <v>7.2</v>
      </c>
      <c r="H371" t="n">
        <v>0</v>
      </c>
      <c r="I371" t="n">
        <v>0</v>
      </c>
      <c r="J371" t="n">
        <v>0</v>
      </c>
      <c r="K371" t="n">
        <v>0</v>
      </c>
      <c r="L371" t="n">
        <v>0</v>
      </c>
      <c r="M371" t="n">
        <v>0</v>
      </c>
      <c r="N371" t="n">
        <v>0</v>
      </c>
      <c r="O371" t="n">
        <v>0</v>
      </c>
      <c r="P371" t="n">
        <v>0</v>
      </c>
      <c r="Q371" t="n">
        <v>0</v>
      </c>
      <c r="R371" s="2" t="inlineStr"/>
    </row>
    <row r="372" ht="15" customHeight="1">
      <c r="A372" t="inlineStr">
        <is>
          <t>A 55240-2020</t>
        </is>
      </c>
      <c r="B372" s="1" t="n">
        <v>44130.63965277778</v>
      </c>
      <c r="C372" s="1" t="n">
        <v>45901</v>
      </c>
      <c r="D372" t="inlineStr">
        <is>
          <t>KALMAR LÄN</t>
        </is>
      </c>
      <c r="E372" t="inlineStr">
        <is>
          <t>VÄSTERVIK</t>
        </is>
      </c>
      <c r="G372" t="n">
        <v>1.2</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45901</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10119-2022</t>
        </is>
      </c>
      <c r="B374" s="1" t="n">
        <v>44621.91652777778</v>
      </c>
      <c r="C374" s="1" t="n">
        <v>45901</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45901</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56620-2021</t>
        </is>
      </c>
      <c r="B376" s="1" t="n">
        <v>44480.82778935185</v>
      </c>
      <c r="C376" s="1" t="n">
        <v>45901</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49404-2021</t>
        </is>
      </c>
      <c r="B377" s="1" t="n">
        <v>44454.63494212963</v>
      </c>
      <c r="C377" s="1" t="n">
        <v>45901</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49407-2021</t>
        </is>
      </c>
      <c r="B378" s="1" t="n">
        <v>44454.63644675926</v>
      </c>
      <c r="C378" s="1" t="n">
        <v>45901</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61317-2021</t>
        </is>
      </c>
      <c r="B379" s="1" t="n">
        <v>44498.65975694444</v>
      </c>
      <c r="C379" s="1" t="n">
        <v>45901</v>
      </c>
      <c r="D379" t="inlineStr">
        <is>
          <t>KALMAR LÄN</t>
        </is>
      </c>
      <c r="E379" t="inlineStr">
        <is>
          <t>VÄSTERVIK</t>
        </is>
      </c>
      <c r="G379" t="n">
        <v>0.6</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45901</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19660-2021</t>
        </is>
      </c>
      <c r="B381" s="1" t="n">
        <v>44312</v>
      </c>
      <c r="C381" s="1" t="n">
        <v>45901</v>
      </c>
      <c r="D381" t="inlineStr">
        <is>
          <t>KALMAR LÄN</t>
        </is>
      </c>
      <c r="E381" t="inlineStr">
        <is>
          <t>VÄSTERVIK</t>
        </is>
      </c>
      <c r="G381" t="n">
        <v>2.3</v>
      </c>
      <c r="H381" t="n">
        <v>0</v>
      </c>
      <c r="I381" t="n">
        <v>0</v>
      </c>
      <c r="J381" t="n">
        <v>0</v>
      </c>
      <c r="K381" t="n">
        <v>0</v>
      </c>
      <c r="L381" t="n">
        <v>0</v>
      </c>
      <c r="M381" t="n">
        <v>0</v>
      </c>
      <c r="N381" t="n">
        <v>0</v>
      </c>
      <c r="O381" t="n">
        <v>0</v>
      </c>
      <c r="P381" t="n">
        <v>0</v>
      </c>
      <c r="Q381" t="n">
        <v>0</v>
      </c>
      <c r="R381" s="2" t="inlineStr"/>
    </row>
    <row r="382" ht="15" customHeight="1">
      <c r="A382" t="inlineStr">
        <is>
          <t>A 56127-2020</t>
        </is>
      </c>
      <c r="B382" s="1" t="n">
        <v>44132</v>
      </c>
      <c r="C382" s="1" t="n">
        <v>45901</v>
      </c>
      <c r="D382" t="inlineStr">
        <is>
          <t>KALMAR LÄN</t>
        </is>
      </c>
      <c r="E382" t="inlineStr">
        <is>
          <t>VÄSTERVIK</t>
        </is>
      </c>
      <c r="G382" t="n">
        <v>1.6</v>
      </c>
      <c r="H382" t="n">
        <v>0</v>
      </c>
      <c r="I382" t="n">
        <v>0</v>
      </c>
      <c r="J382" t="n">
        <v>0</v>
      </c>
      <c r="K382" t="n">
        <v>0</v>
      </c>
      <c r="L382" t="n">
        <v>0</v>
      </c>
      <c r="M382" t="n">
        <v>0</v>
      </c>
      <c r="N382" t="n">
        <v>0</v>
      </c>
      <c r="O382" t="n">
        <v>0</v>
      </c>
      <c r="P382" t="n">
        <v>0</v>
      </c>
      <c r="Q382" t="n">
        <v>0</v>
      </c>
      <c r="R382" s="2" t="inlineStr"/>
    </row>
    <row r="383" ht="15" customHeight="1">
      <c r="A383" t="inlineStr">
        <is>
          <t>A 43803-2021</t>
        </is>
      </c>
      <c r="B383" s="1" t="n">
        <v>44433</v>
      </c>
      <c r="C383" s="1" t="n">
        <v>45901</v>
      </c>
      <c r="D383" t="inlineStr">
        <is>
          <t>KALMAR LÄN</t>
        </is>
      </c>
      <c r="E383" t="inlineStr">
        <is>
          <t>VÄSTERVIK</t>
        </is>
      </c>
      <c r="G383" t="n">
        <v>4.2</v>
      </c>
      <c r="H383" t="n">
        <v>0</v>
      </c>
      <c r="I383" t="n">
        <v>0</v>
      </c>
      <c r="J383" t="n">
        <v>0</v>
      </c>
      <c r="K383" t="n">
        <v>0</v>
      </c>
      <c r="L383" t="n">
        <v>0</v>
      </c>
      <c r="M383" t="n">
        <v>0</v>
      </c>
      <c r="N383" t="n">
        <v>0</v>
      </c>
      <c r="O383" t="n">
        <v>0</v>
      </c>
      <c r="P383" t="n">
        <v>0</v>
      </c>
      <c r="Q383" t="n">
        <v>0</v>
      </c>
      <c r="R383" s="2" t="inlineStr"/>
    </row>
    <row r="384" ht="15" customHeight="1">
      <c r="A384" t="inlineStr">
        <is>
          <t>A 57937-2021</t>
        </is>
      </c>
      <c r="B384" s="1" t="n">
        <v>44487</v>
      </c>
      <c r="C384" s="1" t="n">
        <v>45901</v>
      </c>
      <c r="D384" t="inlineStr">
        <is>
          <t>KALMAR LÄN</t>
        </is>
      </c>
      <c r="E384" t="inlineStr">
        <is>
          <t>VÄSTERVIK</t>
        </is>
      </c>
      <c r="G384" t="n">
        <v>1.8</v>
      </c>
      <c r="H384" t="n">
        <v>0</v>
      </c>
      <c r="I384" t="n">
        <v>0</v>
      </c>
      <c r="J384" t="n">
        <v>0</v>
      </c>
      <c r="K384" t="n">
        <v>0</v>
      </c>
      <c r="L384" t="n">
        <v>0</v>
      </c>
      <c r="M384" t="n">
        <v>0</v>
      </c>
      <c r="N384" t="n">
        <v>0</v>
      </c>
      <c r="O384" t="n">
        <v>0</v>
      </c>
      <c r="P384" t="n">
        <v>0</v>
      </c>
      <c r="Q384" t="n">
        <v>0</v>
      </c>
      <c r="R384" s="2" t="inlineStr"/>
    </row>
    <row r="385" ht="15" customHeight="1">
      <c r="A385" t="inlineStr">
        <is>
          <t>A 66757-2020</t>
        </is>
      </c>
      <c r="B385" s="1" t="n">
        <v>44175</v>
      </c>
      <c r="C385" s="1" t="n">
        <v>45901</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63212-2020</t>
        </is>
      </c>
      <c r="B386" s="1" t="n">
        <v>44163</v>
      </c>
      <c r="C386" s="1" t="n">
        <v>45901</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61682-2020</t>
        </is>
      </c>
      <c r="B387" s="1" t="n">
        <v>44154</v>
      </c>
      <c r="C387" s="1" t="n">
        <v>45901</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45901</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45901</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45901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68811-2020</t>
        </is>
      </c>
      <c r="B391" s="1" t="n">
        <v>44187</v>
      </c>
      <c r="C391" s="1" t="n">
        <v>45901</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34118-2021</t>
        </is>
      </c>
      <c r="B392" s="1" t="n">
        <v>44379.45400462963</v>
      </c>
      <c r="C392" s="1" t="n">
        <v>45901</v>
      </c>
      <c r="D392" t="inlineStr">
        <is>
          <t>KALMAR LÄN</t>
        </is>
      </c>
      <c r="E392" t="inlineStr">
        <is>
          <t>VÄSTERVIK</t>
        </is>
      </c>
      <c r="G392" t="n">
        <v>0.4</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45901</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6974-2021</t>
        </is>
      </c>
      <c r="B394" s="1" t="n">
        <v>44237</v>
      </c>
      <c r="C394" s="1" t="n">
        <v>45901</v>
      </c>
      <c r="D394" t="inlineStr">
        <is>
          <t>KALMAR LÄN</t>
        </is>
      </c>
      <c r="E394" t="inlineStr">
        <is>
          <t>VÄSTERVIK</t>
        </is>
      </c>
      <c r="G394" t="n">
        <v>2.2</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45901</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37753-2021</t>
        </is>
      </c>
      <c r="B396" s="1" t="n">
        <v>44400.63810185185</v>
      </c>
      <c r="C396" s="1" t="n">
        <v>45901</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38399-2022</t>
        </is>
      </c>
      <c r="B397" s="1" t="n">
        <v>44812</v>
      </c>
      <c r="C397" s="1" t="n">
        <v>45901</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57009-2020</t>
        </is>
      </c>
      <c r="B398" s="1" t="n">
        <v>44138</v>
      </c>
      <c r="C398" s="1" t="n">
        <v>45901</v>
      </c>
      <c r="D398" t="inlineStr">
        <is>
          <t>KALMAR LÄN</t>
        </is>
      </c>
      <c r="E398" t="inlineStr">
        <is>
          <t>VÄSTERVIK</t>
        </is>
      </c>
      <c r="F398" t="inlineStr">
        <is>
          <t>Holmen skog AB</t>
        </is>
      </c>
      <c r="G398" t="n">
        <v>1.7</v>
      </c>
      <c r="H398" t="n">
        <v>0</v>
      </c>
      <c r="I398" t="n">
        <v>0</v>
      </c>
      <c r="J398" t="n">
        <v>0</v>
      </c>
      <c r="K398" t="n">
        <v>0</v>
      </c>
      <c r="L398" t="n">
        <v>0</v>
      </c>
      <c r="M398" t="n">
        <v>0</v>
      </c>
      <c r="N398" t="n">
        <v>0</v>
      </c>
      <c r="O398" t="n">
        <v>0</v>
      </c>
      <c r="P398" t="n">
        <v>0</v>
      </c>
      <c r="Q398" t="n">
        <v>0</v>
      </c>
      <c r="R398" s="2" t="inlineStr"/>
      <c r="U398">
        <f>HYPERLINK("https://klasma.github.io/Logging_0883/knärot/A 57009-2020 karta knärot.png", "A 57009-2020")</f>
        <v/>
      </c>
      <c r="V398">
        <f>HYPERLINK("https://klasma.github.io/Logging_0883/klagomål/A 57009-2020 FSC-klagomål.docx", "A 57009-2020")</f>
        <v/>
      </c>
      <c r="W398">
        <f>HYPERLINK("https://klasma.github.io/Logging_0883/klagomålsmail/A 57009-2020 FSC-klagomål mail.docx", "A 57009-2020")</f>
        <v/>
      </c>
      <c r="X398">
        <f>HYPERLINK("https://klasma.github.io/Logging_0883/tillsyn/A 57009-2020 tillsynsbegäran.docx", "A 57009-2020")</f>
        <v/>
      </c>
      <c r="Y398">
        <f>HYPERLINK("https://klasma.github.io/Logging_0883/tillsynsmail/A 57009-2020 tillsynsbegäran mail.docx", "A 57009-2020")</f>
        <v/>
      </c>
    </row>
    <row r="399" ht="15" customHeight="1">
      <c r="A399" t="inlineStr">
        <is>
          <t>A 29909-2022</t>
        </is>
      </c>
      <c r="B399" s="1" t="n">
        <v>44756</v>
      </c>
      <c r="C399" s="1" t="n">
        <v>45901</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66149-2020</t>
        </is>
      </c>
      <c r="B400" s="1" t="n">
        <v>44173</v>
      </c>
      <c r="C400" s="1" t="n">
        <v>45901</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45901</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17216-2021</t>
        </is>
      </c>
      <c r="B402" s="1" t="n">
        <v>44298.49047453704</v>
      </c>
      <c r="C402" s="1" t="n">
        <v>45901</v>
      </c>
      <c r="D402" t="inlineStr">
        <is>
          <t>KALMAR LÄN</t>
        </is>
      </c>
      <c r="E402" t="inlineStr">
        <is>
          <t>VÄSTERVIK</t>
        </is>
      </c>
      <c r="G402" t="n">
        <v>1.4</v>
      </c>
      <c r="H402" t="n">
        <v>0</v>
      </c>
      <c r="I402" t="n">
        <v>0</v>
      </c>
      <c r="J402" t="n">
        <v>0</v>
      </c>
      <c r="K402" t="n">
        <v>0</v>
      </c>
      <c r="L402" t="n">
        <v>0</v>
      </c>
      <c r="M402" t="n">
        <v>0</v>
      </c>
      <c r="N402" t="n">
        <v>0</v>
      </c>
      <c r="O402" t="n">
        <v>0</v>
      </c>
      <c r="P402" t="n">
        <v>0</v>
      </c>
      <c r="Q402" t="n">
        <v>0</v>
      </c>
      <c r="R402" s="2" t="inlineStr"/>
    </row>
    <row r="403" ht="15" customHeight="1">
      <c r="A403" t="inlineStr">
        <is>
          <t>A 46018-2022</t>
        </is>
      </c>
      <c r="B403" s="1" t="n">
        <v>44846</v>
      </c>
      <c r="C403" s="1" t="n">
        <v>45901</v>
      </c>
      <c r="D403" t="inlineStr">
        <is>
          <t>KALMAR LÄN</t>
        </is>
      </c>
      <c r="E403" t="inlineStr">
        <is>
          <t>VÄSTERVIK</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47363-2023</t>
        </is>
      </c>
      <c r="B404" s="1" t="n">
        <v>45202.59584490741</v>
      </c>
      <c r="C404" s="1" t="n">
        <v>45901</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5355-2024</t>
        </is>
      </c>
      <c r="B405" s="1" t="n">
        <v>45331</v>
      </c>
      <c r="C405" s="1" t="n">
        <v>45901</v>
      </c>
      <c r="D405" t="inlineStr">
        <is>
          <t>KALMAR LÄN</t>
        </is>
      </c>
      <c r="E405" t="inlineStr">
        <is>
          <t>VÄSTERVIK</t>
        </is>
      </c>
      <c r="F405" t="inlineStr">
        <is>
          <t>Övriga Aktiebolag</t>
        </is>
      </c>
      <c r="G405" t="n">
        <v>1.8</v>
      </c>
      <c r="H405" t="n">
        <v>0</v>
      </c>
      <c r="I405" t="n">
        <v>0</v>
      </c>
      <c r="J405" t="n">
        <v>0</v>
      </c>
      <c r="K405" t="n">
        <v>0</v>
      </c>
      <c r="L405" t="n">
        <v>0</v>
      </c>
      <c r="M405" t="n">
        <v>0</v>
      </c>
      <c r="N405" t="n">
        <v>0</v>
      </c>
      <c r="O405" t="n">
        <v>0</v>
      </c>
      <c r="P405" t="n">
        <v>0</v>
      </c>
      <c r="Q405" t="n">
        <v>0</v>
      </c>
      <c r="R405" s="2" t="inlineStr"/>
    </row>
    <row r="406" ht="15" customHeight="1">
      <c r="A406" t="inlineStr">
        <is>
          <t>A 69064-2020</t>
        </is>
      </c>
      <c r="B406" s="1" t="n">
        <v>44188.47537037037</v>
      </c>
      <c r="C406" s="1" t="n">
        <v>45901</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46070-2023</t>
        </is>
      </c>
      <c r="B407" s="1" t="n">
        <v>45196</v>
      </c>
      <c r="C407" s="1" t="n">
        <v>45901</v>
      </c>
      <c r="D407" t="inlineStr">
        <is>
          <t>KALMAR LÄN</t>
        </is>
      </c>
      <c r="E407" t="inlineStr">
        <is>
          <t>VÄSTERVIK</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55053-2024</t>
        </is>
      </c>
      <c r="B408" s="1" t="n">
        <v>45621.39938657408</v>
      </c>
      <c r="C408" s="1" t="n">
        <v>45901</v>
      </c>
      <c r="D408" t="inlineStr">
        <is>
          <t>KALMAR LÄN</t>
        </is>
      </c>
      <c r="E408" t="inlineStr">
        <is>
          <t>VÄSTERVIK</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38174-2023</t>
        </is>
      </c>
      <c r="B409" s="1" t="n">
        <v>45161</v>
      </c>
      <c r="C409" s="1" t="n">
        <v>45901</v>
      </c>
      <c r="D409" t="inlineStr">
        <is>
          <t>KALMAR LÄN</t>
        </is>
      </c>
      <c r="E409" t="inlineStr">
        <is>
          <t>VÄSTERVIK</t>
        </is>
      </c>
      <c r="G409" t="n">
        <v>3.4</v>
      </c>
      <c r="H409" t="n">
        <v>0</v>
      </c>
      <c r="I409" t="n">
        <v>0</v>
      </c>
      <c r="J409" t="n">
        <v>0</v>
      </c>
      <c r="K409" t="n">
        <v>0</v>
      </c>
      <c r="L409" t="n">
        <v>0</v>
      </c>
      <c r="M409" t="n">
        <v>0</v>
      </c>
      <c r="N409" t="n">
        <v>0</v>
      </c>
      <c r="O409" t="n">
        <v>0</v>
      </c>
      <c r="P409" t="n">
        <v>0</v>
      </c>
      <c r="Q409" t="n">
        <v>0</v>
      </c>
      <c r="R409" s="2" t="inlineStr"/>
    </row>
    <row r="410" ht="15" customHeight="1">
      <c r="A410" t="inlineStr">
        <is>
          <t>A 18728-2025</t>
        </is>
      </c>
      <c r="B410" s="1" t="n">
        <v>45763.67365740741</v>
      </c>
      <c r="C410" s="1" t="n">
        <v>45901</v>
      </c>
      <c r="D410" t="inlineStr">
        <is>
          <t>KALMAR LÄN</t>
        </is>
      </c>
      <c r="E410" t="inlineStr">
        <is>
          <t>VÄSTERVIK</t>
        </is>
      </c>
      <c r="G410" t="n">
        <v>6.6</v>
      </c>
      <c r="H410" t="n">
        <v>0</v>
      </c>
      <c r="I410" t="n">
        <v>0</v>
      </c>
      <c r="J410" t="n">
        <v>0</v>
      </c>
      <c r="K410" t="n">
        <v>0</v>
      </c>
      <c r="L410" t="n">
        <v>0</v>
      </c>
      <c r="M410" t="n">
        <v>0</v>
      </c>
      <c r="N410" t="n">
        <v>0</v>
      </c>
      <c r="O410" t="n">
        <v>0</v>
      </c>
      <c r="P410" t="n">
        <v>0</v>
      </c>
      <c r="Q410" t="n">
        <v>0</v>
      </c>
      <c r="R410" s="2" t="inlineStr"/>
    </row>
    <row r="411" ht="15" customHeight="1">
      <c r="A411" t="inlineStr">
        <is>
          <t>A 9760-2024</t>
        </is>
      </c>
      <c r="B411" s="1" t="n">
        <v>45362</v>
      </c>
      <c r="C411" s="1" t="n">
        <v>45901</v>
      </c>
      <c r="D411" t="inlineStr">
        <is>
          <t>KALMAR LÄN</t>
        </is>
      </c>
      <c r="E411" t="inlineStr">
        <is>
          <t>VÄSTERVIK</t>
        </is>
      </c>
      <c r="G411" t="n">
        <v>2.1</v>
      </c>
      <c r="H411" t="n">
        <v>0</v>
      </c>
      <c r="I411" t="n">
        <v>0</v>
      </c>
      <c r="J411" t="n">
        <v>0</v>
      </c>
      <c r="K411" t="n">
        <v>0</v>
      </c>
      <c r="L411" t="n">
        <v>0</v>
      </c>
      <c r="M411" t="n">
        <v>0</v>
      </c>
      <c r="N411" t="n">
        <v>0</v>
      </c>
      <c r="O411" t="n">
        <v>0</v>
      </c>
      <c r="P411" t="n">
        <v>0</v>
      </c>
      <c r="Q411" t="n">
        <v>0</v>
      </c>
      <c r="R411" s="2" t="inlineStr"/>
    </row>
    <row r="412" ht="15" customHeight="1">
      <c r="A412" t="inlineStr">
        <is>
          <t>A 43759-2023</t>
        </is>
      </c>
      <c r="B412" s="1" t="n">
        <v>45187</v>
      </c>
      <c r="C412" s="1" t="n">
        <v>45901</v>
      </c>
      <c r="D412" t="inlineStr">
        <is>
          <t>KALMAR LÄN</t>
        </is>
      </c>
      <c r="E412" t="inlineStr">
        <is>
          <t>VÄSTERVIK</t>
        </is>
      </c>
      <c r="G412" t="n">
        <v>3.3</v>
      </c>
      <c r="H412" t="n">
        <v>0</v>
      </c>
      <c r="I412" t="n">
        <v>0</v>
      </c>
      <c r="J412" t="n">
        <v>0</v>
      </c>
      <c r="K412" t="n">
        <v>0</v>
      </c>
      <c r="L412" t="n">
        <v>0</v>
      </c>
      <c r="M412" t="n">
        <v>0</v>
      </c>
      <c r="N412" t="n">
        <v>0</v>
      </c>
      <c r="O412" t="n">
        <v>0</v>
      </c>
      <c r="P412" t="n">
        <v>0</v>
      </c>
      <c r="Q412" t="n">
        <v>0</v>
      </c>
      <c r="R412" s="2" t="inlineStr"/>
    </row>
    <row r="413" ht="15" customHeight="1">
      <c r="A413" t="inlineStr">
        <is>
          <t>A 44705-2023</t>
        </is>
      </c>
      <c r="B413" s="1" t="n">
        <v>45190</v>
      </c>
      <c r="C413" s="1" t="n">
        <v>45901</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21255-2021</t>
        </is>
      </c>
      <c r="B414" s="1" t="n">
        <v>44320.5672337963</v>
      </c>
      <c r="C414" s="1" t="n">
        <v>45901</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37716-2023</t>
        </is>
      </c>
      <c r="B415" s="1" t="n">
        <v>45159</v>
      </c>
      <c r="C415" s="1" t="n">
        <v>45901</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58216-2022</t>
        </is>
      </c>
      <c r="B416" s="1" t="n">
        <v>44901.36292824074</v>
      </c>
      <c r="C416" s="1" t="n">
        <v>45901</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12333-2025</t>
        </is>
      </c>
      <c r="B417" s="1" t="n">
        <v>45730</v>
      </c>
      <c r="C417" s="1" t="n">
        <v>45901</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8619-2024</t>
        </is>
      </c>
      <c r="B418" s="1" t="n">
        <v>45355.73599537037</v>
      </c>
      <c r="C418" s="1" t="n">
        <v>45901</v>
      </c>
      <c r="D418" t="inlineStr">
        <is>
          <t>KALMAR LÄN</t>
        </is>
      </c>
      <c r="E418" t="inlineStr">
        <is>
          <t>VÄSTERVIK</t>
        </is>
      </c>
      <c r="G418" t="n">
        <v>1.6</v>
      </c>
      <c r="H418" t="n">
        <v>0</v>
      </c>
      <c r="I418" t="n">
        <v>0</v>
      </c>
      <c r="J418" t="n">
        <v>0</v>
      </c>
      <c r="K418" t="n">
        <v>0</v>
      </c>
      <c r="L418" t="n">
        <v>0</v>
      </c>
      <c r="M418" t="n">
        <v>0</v>
      </c>
      <c r="N418" t="n">
        <v>0</v>
      </c>
      <c r="O418" t="n">
        <v>0</v>
      </c>
      <c r="P418" t="n">
        <v>0</v>
      </c>
      <c r="Q418" t="n">
        <v>0</v>
      </c>
      <c r="R418" s="2" t="inlineStr"/>
    </row>
    <row r="419" ht="15" customHeight="1">
      <c r="A419" t="inlineStr">
        <is>
          <t>A 5234-2024</t>
        </is>
      </c>
      <c r="B419" s="1" t="n">
        <v>45330.80729166666</v>
      </c>
      <c r="C419" s="1" t="n">
        <v>45901</v>
      </c>
      <c r="D419" t="inlineStr">
        <is>
          <t>KALMAR LÄN</t>
        </is>
      </c>
      <c r="E419" t="inlineStr">
        <is>
          <t>VÄSTERVIK</t>
        </is>
      </c>
      <c r="G419" t="n">
        <v>1.3</v>
      </c>
      <c r="H419" t="n">
        <v>0</v>
      </c>
      <c r="I419" t="n">
        <v>0</v>
      </c>
      <c r="J419" t="n">
        <v>0</v>
      </c>
      <c r="K419" t="n">
        <v>0</v>
      </c>
      <c r="L419" t="n">
        <v>0</v>
      </c>
      <c r="M419" t="n">
        <v>0</v>
      </c>
      <c r="N419" t="n">
        <v>0</v>
      </c>
      <c r="O419" t="n">
        <v>0</v>
      </c>
      <c r="P419" t="n">
        <v>0</v>
      </c>
      <c r="Q419" t="n">
        <v>0</v>
      </c>
      <c r="R419" s="2" t="inlineStr"/>
    </row>
    <row r="420" ht="15" customHeight="1">
      <c r="A420" t="inlineStr">
        <is>
          <t>A 562-2023</t>
        </is>
      </c>
      <c r="B420" s="1" t="n">
        <v>44930</v>
      </c>
      <c r="C420" s="1" t="n">
        <v>45901</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45901</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45901</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37858-2023</t>
        </is>
      </c>
      <c r="B423" s="1" t="n">
        <v>45160.40577546296</v>
      </c>
      <c r="C423" s="1" t="n">
        <v>45901</v>
      </c>
      <c r="D423" t="inlineStr">
        <is>
          <t>KALMAR LÄN</t>
        </is>
      </c>
      <c r="E423" t="inlineStr">
        <is>
          <t>VÄSTERVIK</t>
        </is>
      </c>
      <c r="G423" t="n">
        <v>3</v>
      </c>
      <c r="H423" t="n">
        <v>0</v>
      </c>
      <c r="I423" t="n">
        <v>0</v>
      </c>
      <c r="J423" t="n">
        <v>0</v>
      </c>
      <c r="K423" t="n">
        <v>0</v>
      </c>
      <c r="L423" t="n">
        <v>0</v>
      </c>
      <c r="M423" t="n">
        <v>0</v>
      </c>
      <c r="N423" t="n">
        <v>0</v>
      </c>
      <c r="O423" t="n">
        <v>0</v>
      </c>
      <c r="P423" t="n">
        <v>0</v>
      </c>
      <c r="Q423" t="n">
        <v>0</v>
      </c>
      <c r="R423" s="2" t="inlineStr"/>
    </row>
    <row r="424" ht="15" customHeight="1">
      <c r="A424" t="inlineStr">
        <is>
          <t>A 4520-2024</t>
        </is>
      </c>
      <c r="B424" s="1" t="n">
        <v>45327</v>
      </c>
      <c r="C424" s="1" t="n">
        <v>45901</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13748-2024</t>
        </is>
      </c>
      <c r="B425" s="1" t="n">
        <v>45390</v>
      </c>
      <c r="C425" s="1" t="n">
        <v>45901</v>
      </c>
      <c r="D425" t="inlineStr">
        <is>
          <t>KALMAR LÄN</t>
        </is>
      </c>
      <c r="E425" t="inlineStr">
        <is>
          <t>VÄSTERVIK</t>
        </is>
      </c>
      <c r="G425" t="n">
        <v>2.2</v>
      </c>
      <c r="H425" t="n">
        <v>0</v>
      </c>
      <c r="I425" t="n">
        <v>0</v>
      </c>
      <c r="J425" t="n">
        <v>0</v>
      </c>
      <c r="K425" t="n">
        <v>0</v>
      </c>
      <c r="L425" t="n">
        <v>0</v>
      </c>
      <c r="M425" t="n">
        <v>0</v>
      </c>
      <c r="N425" t="n">
        <v>0</v>
      </c>
      <c r="O425" t="n">
        <v>0</v>
      </c>
      <c r="P425" t="n">
        <v>0</v>
      </c>
      <c r="Q425" t="n">
        <v>0</v>
      </c>
      <c r="R425" s="2" t="inlineStr"/>
    </row>
    <row r="426" ht="15" customHeight="1">
      <c r="A426" t="inlineStr">
        <is>
          <t>A 36888-2024</t>
        </is>
      </c>
      <c r="B426" s="1" t="n">
        <v>45538</v>
      </c>
      <c r="C426" s="1" t="n">
        <v>45901</v>
      </c>
      <c r="D426" t="inlineStr">
        <is>
          <t>KALMAR LÄN</t>
        </is>
      </c>
      <c r="E426" t="inlineStr">
        <is>
          <t>VÄSTERVIK</t>
        </is>
      </c>
      <c r="G426" t="n">
        <v>1.5</v>
      </c>
      <c r="H426" t="n">
        <v>0</v>
      </c>
      <c r="I426" t="n">
        <v>0</v>
      </c>
      <c r="J426" t="n">
        <v>0</v>
      </c>
      <c r="K426" t="n">
        <v>0</v>
      </c>
      <c r="L426" t="n">
        <v>0</v>
      </c>
      <c r="M426" t="n">
        <v>0</v>
      </c>
      <c r="N426" t="n">
        <v>0</v>
      </c>
      <c r="O426" t="n">
        <v>0</v>
      </c>
      <c r="P426" t="n">
        <v>0</v>
      </c>
      <c r="Q426" t="n">
        <v>0</v>
      </c>
      <c r="R426" s="2" t="inlineStr"/>
    </row>
    <row r="427" ht="15" customHeight="1">
      <c r="A427" t="inlineStr">
        <is>
          <t>A 2746-2023</t>
        </is>
      </c>
      <c r="B427" s="1" t="n">
        <v>44944</v>
      </c>
      <c r="C427" s="1" t="n">
        <v>45901</v>
      </c>
      <c r="D427" t="inlineStr">
        <is>
          <t>KALMAR LÄN</t>
        </is>
      </c>
      <c r="E427" t="inlineStr">
        <is>
          <t>VÄSTERVIK</t>
        </is>
      </c>
      <c r="G427" t="n">
        <v>5.5</v>
      </c>
      <c r="H427" t="n">
        <v>0</v>
      </c>
      <c r="I427" t="n">
        <v>0</v>
      </c>
      <c r="J427" t="n">
        <v>0</v>
      </c>
      <c r="K427" t="n">
        <v>0</v>
      </c>
      <c r="L427" t="n">
        <v>0</v>
      </c>
      <c r="M427" t="n">
        <v>0</v>
      </c>
      <c r="N427" t="n">
        <v>0</v>
      </c>
      <c r="O427" t="n">
        <v>0</v>
      </c>
      <c r="P427" t="n">
        <v>0</v>
      </c>
      <c r="Q427" t="n">
        <v>0</v>
      </c>
      <c r="R427" s="2" t="inlineStr"/>
    </row>
    <row r="428" ht="15" customHeight="1">
      <c r="A428" t="inlineStr">
        <is>
          <t>A 12433-2024</t>
        </is>
      </c>
      <c r="B428" s="1" t="n">
        <v>45379.44450231481</v>
      </c>
      <c r="C428" s="1" t="n">
        <v>45901</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14092-2025</t>
        </is>
      </c>
      <c r="B429" s="1" t="n">
        <v>45740.44686342592</v>
      </c>
      <c r="C429" s="1" t="n">
        <v>45901</v>
      </c>
      <c r="D429" t="inlineStr">
        <is>
          <t>KALMAR LÄN</t>
        </is>
      </c>
      <c r="E429" t="inlineStr">
        <is>
          <t>VÄSTERVIK</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45901</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58209-2022</t>
        </is>
      </c>
      <c r="B431" s="1" t="n">
        <v>44901</v>
      </c>
      <c r="C431" s="1" t="n">
        <v>45901</v>
      </c>
      <c r="D431" t="inlineStr">
        <is>
          <t>KALMAR LÄN</t>
        </is>
      </c>
      <c r="E431" t="inlineStr">
        <is>
          <t>VÄSTERVIK</t>
        </is>
      </c>
      <c r="G431" t="n">
        <v>1.5</v>
      </c>
      <c r="H431" t="n">
        <v>0</v>
      </c>
      <c r="I431" t="n">
        <v>0</v>
      </c>
      <c r="J431" t="n">
        <v>0</v>
      </c>
      <c r="K431" t="n">
        <v>0</v>
      </c>
      <c r="L431" t="n">
        <v>0</v>
      </c>
      <c r="M431" t="n">
        <v>0</v>
      </c>
      <c r="N431" t="n">
        <v>0</v>
      </c>
      <c r="O431" t="n">
        <v>0</v>
      </c>
      <c r="P431" t="n">
        <v>0</v>
      </c>
      <c r="Q431" t="n">
        <v>0</v>
      </c>
      <c r="R431" s="2" t="inlineStr"/>
    </row>
    <row r="432" ht="15" customHeight="1">
      <c r="A432" t="inlineStr">
        <is>
          <t>A 52155-2021</t>
        </is>
      </c>
      <c r="B432" s="1" t="n">
        <v>44463</v>
      </c>
      <c r="C432" s="1" t="n">
        <v>45901</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46267-2022</t>
        </is>
      </c>
      <c r="B433" s="1" t="n">
        <v>44847</v>
      </c>
      <c r="C433" s="1" t="n">
        <v>45901</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1877-2025</t>
        </is>
      </c>
      <c r="B434" s="1" t="n">
        <v>45671.62141203704</v>
      </c>
      <c r="C434" s="1" t="n">
        <v>45901</v>
      </c>
      <c r="D434" t="inlineStr">
        <is>
          <t>KALMAR LÄN</t>
        </is>
      </c>
      <c r="E434" t="inlineStr">
        <is>
          <t>VÄSTERVIK</t>
        </is>
      </c>
      <c r="G434" t="n">
        <v>1.7</v>
      </c>
      <c r="H434" t="n">
        <v>0</v>
      </c>
      <c r="I434" t="n">
        <v>0</v>
      </c>
      <c r="J434" t="n">
        <v>0</v>
      </c>
      <c r="K434" t="n">
        <v>0</v>
      </c>
      <c r="L434" t="n">
        <v>0</v>
      </c>
      <c r="M434" t="n">
        <v>0</v>
      </c>
      <c r="N434" t="n">
        <v>0</v>
      </c>
      <c r="O434" t="n">
        <v>0</v>
      </c>
      <c r="P434" t="n">
        <v>0</v>
      </c>
      <c r="Q434" t="n">
        <v>0</v>
      </c>
      <c r="R434" s="2" t="inlineStr"/>
    </row>
    <row r="435" ht="15" customHeight="1">
      <c r="A435" t="inlineStr">
        <is>
          <t>A 14072-2025</t>
        </is>
      </c>
      <c r="B435" s="1" t="n">
        <v>45740.42978009259</v>
      </c>
      <c r="C435" s="1" t="n">
        <v>45901</v>
      </c>
      <c r="D435" t="inlineStr">
        <is>
          <t>KALMAR LÄN</t>
        </is>
      </c>
      <c r="E435" t="inlineStr">
        <is>
          <t>VÄSTERVIK</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14075-2025</t>
        </is>
      </c>
      <c r="B436" s="1" t="n">
        <v>45740.43222222223</v>
      </c>
      <c r="C436" s="1" t="n">
        <v>45901</v>
      </c>
      <c r="D436" t="inlineStr">
        <is>
          <t>KALMAR LÄN</t>
        </is>
      </c>
      <c r="E436" t="inlineStr">
        <is>
          <t>VÄSTERVIK</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31952-2021</t>
        </is>
      </c>
      <c r="B437" s="1" t="n">
        <v>44370</v>
      </c>
      <c r="C437" s="1" t="n">
        <v>45901</v>
      </c>
      <c r="D437" t="inlineStr">
        <is>
          <t>KALMAR LÄN</t>
        </is>
      </c>
      <c r="E437" t="inlineStr">
        <is>
          <t>VÄSTERVIK</t>
        </is>
      </c>
      <c r="G437" t="n">
        <v>1.7</v>
      </c>
      <c r="H437" t="n">
        <v>0</v>
      </c>
      <c r="I437" t="n">
        <v>0</v>
      </c>
      <c r="J437" t="n">
        <v>0</v>
      </c>
      <c r="K437" t="n">
        <v>0</v>
      </c>
      <c r="L437" t="n">
        <v>0</v>
      </c>
      <c r="M437" t="n">
        <v>0</v>
      </c>
      <c r="N437" t="n">
        <v>0</v>
      </c>
      <c r="O437" t="n">
        <v>0</v>
      </c>
      <c r="P437" t="n">
        <v>0</v>
      </c>
      <c r="Q437" t="n">
        <v>0</v>
      </c>
      <c r="R437" s="2" t="inlineStr"/>
    </row>
    <row r="438" ht="15" customHeight="1">
      <c r="A438" t="inlineStr">
        <is>
          <t>A 46560-2022</t>
        </is>
      </c>
      <c r="B438" s="1" t="n">
        <v>44848</v>
      </c>
      <c r="C438" s="1" t="n">
        <v>45901</v>
      </c>
      <c r="D438" t="inlineStr">
        <is>
          <t>KALMAR LÄN</t>
        </is>
      </c>
      <c r="E438" t="inlineStr">
        <is>
          <t>VÄSTERVIK</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949-2024</t>
        </is>
      </c>
      <c r="B439" s="1" t="n">
        <v>45301</v>
      </c>
      <c r="C439" s="1" t="n">
        <v>45901</v>
      </c>
      <c r="D439" t="inlineStr">
        <is>
          <t>KALMAR LÄN</t>
        </is>
      </c>
      <c r="E439" t="inlineStr">
        <is>
          <t>VÄSTERVIK</t>
        </is>
      </c>
      <c r="G439" t="n">
        <v>2.3</v>
      </c>
      <c r="H439" t="n">
        <v>0</v>
      </c>
      <c r="I439" t="n">
        <v>0</v>
      </c>
      <c r="J439" t="n">
        <v>0</v>
      </c>
      <c r="K439" t="n">
        <v>0</v>
      </c>
      <c r="L439" t="n">
        <v>0</v>
      </c>
      <c r="M439" t="n">
        <v>0</v>
      </c>
      <c r="N439" t="n">
        <v>0</v>
      </c>
      <c r="O439" t="n">
        <v>0</v>
      </c>
      <c r="P439" t="n">
        <v>0</v>
      </c>
      <c r="Q439" t="n">
        <v>0</v>
      </c>
      <c r="R439" s="2" t="inlineStr"/>
    </row>
    <row r="440" ht="15" customHeight="1">
      <c r="A440" t="inlineStr">
        <is>
          <t>A 13836-2024</t>
        </is>
      </c>
      <c r="B440" s="1" t="n">
        <v>45391.44385416667</v>
      </c>
      <c r="C440" s="1" t="n">
        <v>45901</v>
      </c>
      <c r="D440" t="inlineStr">
        <is>
          <t>KALMAR LÄN</t>
        </is>
      </c>
      <c r="E440" t="inlineStr">
        <is>
          <t>VÄSTERVIK</t>
        </is>
      </c>
      <c r="F440" t="inlineStr">
        <is>
          <t>Sveaskog</t>
        </is>
      </c>
      <c r="G440" t="n">
        <v>2.6</v>
      </c>
      <c r="H440" t="n">
        <v>0</v>
      </c>
      <c r="I440" t="n">
        <v>0</v>
      </c>
      <c r="J440" t="n">
        <v>0</v>
      </c>
      <c r="K440" t="n">
        <v>0</v>
      </c>
      <c r="L440" t="n">
        <v>0</v>
      </c>
      <c r="M440" t="n">
        <v>0</v>
      </c>
      <c r="N440" t="n">
        <v>0</v>
      </c>
      <c r="O440" t="n">
        <v>0</v>
      </c>
      <c r="P440" t="n">
        <v>0</v>
      </c>
      <c r="Q440" t="n">
        <v>0</v>
      </c>
      <c r="R440" s="2" t="inlineStr"/>
    </row>
    <row r="441" ht="15" customHeight="1">
      <c r="A441" t="inlineStr">
        <is>
          <t>A 64920-2021</t>
        </is>
      </c>
      <c r="B441" s="1" t="n">
        <v>44512</v>
      </c>
      <c r="C441" s="1" t="n">
        <v>45901</v>
      </c>
      <c r="D441" t="inlineStr">
        <is>
          <t>KALMAR LÄN</t>
        </is>
      </c>
      <c r="E441" t="inlineStr">
        <is>
          <t>VÄSTERVIK</t>
        </is>
      </c>
      <c r="G441" t="n">
        <v>1.2</v>
      </c>
      <c r="H441" t="n">
        <v>0</v>
      </c>
      <c r="I441" t="n">
        <v>0</v>
      </c>
      <c r="J441" t="n">
        <v>0</v>
      </c>
      <c r="K441" t="n">
        <v>0</v>
      </c>
      <c r="L441" t="n">
        <v>0</v>
      </c>
      <c r="M441" t="n">
        <v>0</v>
      </c>
      <c r="N441" t="n">
        <v>0</v>
      </c>
      <c r="O441" t="n">
        <v>0</v>
      </c>
      <c r="P441" t="n">
        <v>0</v>
      </c>
      <c r="Q441" t="n">
        <v>0</v>
      </c>
      <c r="R441" s="2" t="inlineStr"/>
      <c r="U441">
        <f>HYPERLINK("https://klasma.github.io/Logging_0883/knärot/A 64920-2021 karta knärot.png", "A 64920-2021")</f>
        <v/>
      </c>
      <c r="V441">
        <f>HYPERLINK("https://klasma.github.io/Logging_0883/klagomål/A 64920-2021 FSC-klagomål.docx", "A 64920-2021")</f>
        <v/>
      </c>
      <c r="W441">
        <f>HYPERLINK("https://klasma.github.io/Logging_0883/klagomålsmail/A 64920-2021 FSC-klagomål mail.docx", "A 64920-2021")</f>
        <v/>
      </c>
      <c r="X441">
        <f>HYPERLINK("https://klasma.github.io/Logging_0883/tillsyn/A 64920-2021 tillsynsbegäran.docx", "A 64920-2021")</f>
        <v/>
      </c>
      <c r="Y441">
        <f>HYPERLINK("https://klasma.github.io/Logging_0883/tillsynsmail/A 64920-2021 tillsynsbegäran mail.docx", "A 64920-2021")</f>
        <v/>
      </c>
    </row>
    <row r="442" ht="15" customHeight="1">
      <c r="A442" t="inlineStr">
        <is>
          <t>A 29786-2024</t>
        </is>
      </c>
      <c r="B442" s="1" t="n">
        <v>45485.46388888889</v>
      </c>
      <c r="C442" s="1" t="n">
        <v>45901</v>
      </c>
      <c r="D442" t="inlineStr">
        <is>
          <t>KALMAR LÄN</t>
        </is>
      </c>
      <c r="E442" t="inlineStr">
        <is>
          <t>VÄSTERVIK</t>
        </is>
      </c>
      <c r="G442" t="n">
        <v>2.1</v>
      </c>
      <c r="H442" t="n">
        <v>0</v>
      </c>
      <c r="I442" t="n">
        <v>0</v>
      </c>
      <c r="J442" t="n">
        <v>0</v>
      </c>
      <c r="K442" t="n">
        <v>0</v>
      </c>
      <c r="L442" t="n">
        <v>0</v>
      </c>
      <c r="M442" t="n">
        <v>0</v>
      </c>
      <c r="N442" t="n">
        <v>0</v>
      </c>
      <c r="O442" t="n">
        <v>0</v>
      </c>
      <c r="P442" t="n">
        <v>0</v>
      </c>
      <c r="Q442" t="n">
        <v>0</v>
      </c>
      <c r="R442" s="2" t="inlineStr"/>
    </row>
    <row r="443" ht="15" customHeight="1">
      <c r="A443" t="inlineStr">
        <is>
          <t>A 51264-2020</t>
        </is>
      </c>
      <c r="B443" s="1" t="n">
        <v>44112</v>
      </c>
      <c r="C443" s="1" t="n">
        <v>45901</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4583-2023</t>
        </is>
      </c>
      <c r="B444" s="1" t="n">
        <v>44956</v>
      </c>
      <c r="C444" s="1" t="n">
        <v>45901</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11848-2024</t>
        </is>
      </c>
      <c r="B445" s="1" t="n">
        <v>45376.41653935185</v>
      </c>
      <c r="C445" s="1" t="n">
        <v>45901</v>
      </c>
      <c r="D445" t="inlineStr">
        <is>
          <t>KALMAR LÄN</t>
        </is>
      </c>
      <c r="E445" t="inlineStr">
        <is>
          <t>VÄSTERVIK</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12643-2024</t>
        </is>
      </c>
      <c r="B446" s="1" t="n">
        <v>45379</v>
      </c>
      <c r="C446" s="1" t="n">
        <v>45901</v>
      </c>
      <c r="D446" t="inlineStr">
        <is>
          <t>KALMAR LÄN</t>
        </is>
      </c>
      <c r="E446" t="inlineStr">
        <is>
          <t>VÄSTERVIK</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39278-2024</t>
        </is>
      </c>
      <c r="B447" s="1" t="n">
        <v>45551.35216435185</v>
      </c>
      <c r="C447" s="1" t="n">
        <v>45901</v>
      </c>
      <c r="D447" t="inlineStr">
        <is>
          <t>KALMAR LÄN</t>
        </is>
      </c>
      <c r="E447" t="inlineStr">
        <is>
          <t>VÄSTERVIK</t>
        </is>
      </c>
      <c r="G447" t="n">
        <v>2.9</v>
      </c>
      <c r="H447" t="n">
        <v>0</v>
      </c>
      <c r="I447" t="n">
        <v>0</v>
      </c>
      <c r="J447" t="n">
        <v>0</v>
      </c>
      <c r="K447" t="n">
        <v>0</v>
      </c>
      <c r="L447" t="n">
        <v>0</v>
      </c>
      <c r="M447" t="n">
        <v>0</v>
      </c>
      <c r="N447" t="n">
        <v>0</v>
      </c>
      <c r="O447" t="n">
        <v>0</v>
      </c>
      <c r="P447" t="n">
        <v>0</v>
      </c>
      <c r="Q447" t="n">
        <v>0</v>
      </c>
      <c r="R447" s="2" t="inlineStr"/>
    </row>
    <row r="448" ht="15" customHeight="1">
      <c r="A448" t="inlineStr">
        <is>
          <t>A 21015-2025</t>
        </is>
      </c>
      <c r="B448" s="1" t="n">
        <v>45777.50200231482</v>
      </c>
      <c r="C448" s="1" t="n">
        <v>45901</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47120-2023</t>
        </is>
      </c>
      <c r="B449" s="1" t="n">
        <v>45201</v>
      </c>
      <c r="C449" s="1" t="n">
        <v>45901</v>
      </c>
      <c r="D449" t="inlineStr">
        <is>
          <t>KALMAR LÄN</t>
        </is>
      </c>
      <c r="E449" t="inlineStr">
        <is>
          <t>VÄSTERVIK</t>
        </is>
      </c>
      <c r="G449" t="n">
        <v>1.1</v>
      </c>
      <c r="H449" t="n">
        <v>0</v>
      </c>
      <c r="I449" t="n">
        <v>0</v>
      </c>
      <c r="J449" t="n">
        <v>0</v>
      </c>
      <c r="K449" t="n">
        <v>0</v>
      </c>
      <c r="L449" t="n">
        <v>0</v>
      </c>
      <c r="M449" t="n">
        <v>0</v>
      </c>
      <c r="N449" t="n">
        <v>0</v>
      </c>
      <c r="O449" t="n">
        <v>0</v>
      </c>
      <c r="P449" t="n">
        <v>0</v>
      </c>
      <c r="Q449" t="n">
        <v>0</v>
      </c>
      <c r="R449" s="2" t="inlineStr"/>
    </row>
    <row r="450" ht="15" customHeight="1">
      <c r="A450" t="inlineStr">
        <is>
          <t>A 47123-2023</t>
        </is>
      </c>
      <c r="B450" s="1" t="n">
        <v>45201.68075231482</v>
      </c>
      <c r="C450" s="1" t="n">
        <v>45901</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46718-2023</t>
        </is>
      </c>
      <c r="B451" s="1" t="n">
        <v>45198</v>
      </c>
      <c r="C451" s="1" t="n">
        <v>45901</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1096-2024</t>
        </is>
      </c>
      <c r="B452" s="1" t="n">
        <v>45302</v>
      </c>
      <c r="C452" s="1" t="n">
        <v>45901</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24567-2024</t>
        </is>
      </c>
      <c r="B453" s="1" t="n">
        <v>45460.44732638889</v>
      </c>
      <c r="C453" s="1" t="n">
        <v>45901</v>
      </c>
      <c r="D453" t="inlineStr">
        <is>
          <t>KALMAR LÄN</t>
        </is>
      </c>
      <c r="E453" t="inlineStr">
        <is>
          <t>VÄSTERVIK</t>
        </is>
      </c>
      <c r="G453" t="n">
        <v>5.1</v>
      </c>
      <c r="H453" t="n">
        <v>0</v>
      </c>
      <c r="I453" t="n">
        <v>0</v>
      </c>
      <c r="J453" t="n">
        <v>0</v>
      </c>
      <c r="K453" t="n">
        <v>0</v>
      </c>
      <c r="L453" t="n">
        <v>0</v>
      </c>
      <c r="M453" t="n">
        <v>0</v>
      </c>
      <c r="N453" t="n">
        <v>0</v>
      </c>
      <c r="O453" t="n">
        <v>0</v>
      </c>
      <c r="P453" t="n">
        <v>0</v>
      </c>
      <c r="Q453" t="n">
        <v>0</v>
      </c>
      <c r="R453" s="2" t="inlineStr"/>
    </row>
    <row r="454" ht="15" customHeight="1">
      <c r="A454" t="inlineStr">
        <is>
          <t>A 21503-2025</t>
        </is>
      </c>
      <c r="B454" s="1" t="n">
        <v>45782.61456018518</v>
      </c>
      <c r="C454" s="1" t="n">
        <v>45901</v>
      </c>
      <c r="D454" t="inlineStr">
        <is>
          <t>KALMAR LÄN</t>
        </is>
      </c>
      <c r="E454" t="inlineStr">
        <is>
          <t>VÄSTERVIK</t>
        </is>
      </c>
      <c r="G454" t="n">
        <v>0.8</v>
      </c>
      <c r="H454" t="n">
        <v>0</v>
      </c>
      <c r="I454" t="n">
        <v>0</v>
      </c>
      <c r="J454" t="n">
        <v>0</v>
      </c>
      <c r="K454" t="n">
        <v>0</v>
      </c>
      <c r="L454" t="n">
        <v>0</v>
      </c>
      <c r="M454" t="n">
        <v>0</v>
      </c>
      <c r="N454" t="n">
        <v>0</v>
      </c>
      <c r="O454" t="n">
        <v>0</v>
      </c>
      <c r="P454" t="n">
        <v>0</v>
      </c>
      <c r="Q454" t="n">
        <v>0</v>
      </c>
      <c r="R454" s="2" t="inlineStr"/>
    </row>
    <row r="455" ht="15" customHeight="1">
      <c r="A455" t="inlineStr">
        <is>
          <t>A 25561-2024</t>
        </is>
      </c>
      <c r="B455" s="1" t="n">
        <v>45463.58467592593</v>
      </c>
      <c r="C455" s="1" t="n">
        <v>45901</v>
      </c>
      <c r="D455" t="inlineStr">
        <is>
          <t>KALMAR LÄN</t>
        </is>
      </c>
      <c r="E455" t="inlineStr">
        <is>
          <t>VÄSTERVIK</t>
        </is>
      </c>
      <c r="F455" t="inlineStr">
        <is>
          <t>Holmen skog AB</t>
        </is>
      </c>
      <c r="G455" t="n">
        <v>7.2</v>
      </c>
      <c r="H455" t="n">
        <v>0</v>
      </c>
      <c r="I455" t="n">
        <v>0</v>
      </c>
      <c r="J455" t="n">
        <v>0</v>
      </c>
      <c r="K455" t="n">
        <v>0</v>
      </c>
      <c r="L455" t="n">
        <v>0</v>
      </c>
      <c r="M455" t="n">
        <v>0</v>
      </c>
      <c r="N455" t="n">
        <v>0</v>
      </c>
      <c r="O455" t="n">
        <v>0</v>
      </c>
      <c r="P455" t="n">
        <v>0</v>
      </c>
      <c r="Q455" t="n">
        <v>0</v>
      </c>
      <c r="R455" s="2" t="inlineStr"/>
    </row>
    <row r="456" ht="15" customHeight="1">
      <c r="A456" t="inlineStr">
        <is>
          <t>A 60263-2022</t>
        </is>
      </c>
      <c r="B456" s="1" t="n">
        <v>44910.48520833333</v>
      </c>
      <c r="C456" s="1" t="n">
        <v>45901</v>
      </c>
      <c r="D456" t="inlineStr">
        <is>
          <t>KALMAR LÄN</t>
        </is>
      </c>
      <c r="E456" t="inlineStr">
        <is>
          <t>VÄSTERVIK</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1798-2023</t>
        </is>
      </c>
      <c r="B457" s="1" t="n">
        <v>44938</v>
      </c>
      <c r="C457" s="1" t="n">
        <v>45901</v>
      </c>
      <c r="D457" t="inlineStr">
        <is>
          <t>KALMAR LÄN</t>
        </is>
      </c>
      <c r="E457" t="inlineStr">
        <is>
          <t>VÄSTERVIK</t>
        </is>
      </c>
      <c r="G457" t="n">
        <v>3.9</v>
      </c>
      <c r="H457" t="n">
        <v>0</v>
      </c>
      <c r="I457" t="n">
        <v>0</v>
      </c>
      <c r="J457" t="n">
        <v>0</v>
      </c>
      <c r="K457" t="n">
        <v>0</v>
      </c>
      <c r="L457" t="n">
        <v>0</v>
      </c>
      <c r="M457" t="n">
        <v>0</v>
      </c>
      <c r="N457" t="n">
        <v>0</v>
      </c>
      <c r="O457" t="n">
        <v>0</v>
      </c>
      <c r="P457" t="n">
        <v>0</v>
      </c>
      <c r="Q457" t="n">
        <v>0</v>
      </c>
      <c r="R457" s="2" t="inlineStr"/>
    </row>
    <row r="458" ht="15" customHeight="1">
      <c r="A458" t="inlineStr">
        <is>
          <t>A 18143-2024</t>
        </is>
      </c>
      <c r="B458" s="1" t="n">
        <v>45420</v>
      </c>
      <c r="C458" s="1" t="n">
        <v>45901</v>
      </c>
      <c r="D458" t="inlineStr">
        <is>
          <t>KALMAR LÄN</t>
        </is>
      </c>
      <c r="E458" t="inlineStr">
        <is>
          <t>VÄSTERVIK</t>
        </is>
      </c>
      <c r="G458" t="n">
        <v>3</v>
      </c>
      <c r="H458" t="n">
        <v>0</v>
      </c>
      <c r="I458" t="n">
        <v>0</v>
      </c>
      <c r="J458" t="n">
        <v>0</v>
      </c>
      <c r="K458" t="n">
        <v>0</v>
      </c>
      <c r="L458" t="n">
        <v>0</v>
      </c>
      <c r="M458" t="n">
        <v>0</v>
      </c>
      <c r="N458" t="n">
        <v>0</v>
      </c>
      <c r="O458" t="n">
        <v>0</v>
      </c>
      <c r="P458" t="n">
        <v>0</v>
      </c>
      <c r="Q458" t="n">
        <v>0</v>
      </c>
      <c r="R458" s="2" t="inlineStr"/>
    </row>
    <row r="459" ht="15" customHeight="1">
      <c r="A459" t="inlineStr">
        <is>
          <t>A 26776-2023</t>
        </is>
      </c>
      <c r="B459" s="1" t="n">
        <v>45093</v>
      </c>
      <c r="C459" s="1" t="n">
        <v>45901</v>
      </c>
      <c r="D459" t="inlineStr">
        <is>
          <t>KALMAR LÄN</t>
        </is>
      </c>
      <c r="E459" t="inlineStr">
        <is>
          <t>VÄSTERVIK</t>
        </is>
      </c>
      <c r="G459" t="n">
        <v>1.3</v>
      </c>
      <c r="H459" t="n">
        <v>0</v>
      </c>
      <c r="I459" t="n">
        <v>0</v>
      </c>
      <c r="J459" t="n">
        <v>0</v>
      </c>
      <c r="K459" t="n">
        <v>0</v>
      </c>
      <c r="L459" t="n">
        <v>0</v>
      </c>
      <c r="M459" t="n">
        <v>0</v>
      </c>
      <c r="N459" t="n">
        <v>0</v>
      </c>
      <c r="O459" t="n">
        <v>0</v>
      </c>
      <c r="P459" t="n">
        <v>0</v>
      </c>
      <c r="Q459" t="n">
        <v>0</v>
      </c>
      <c r="R459" s="2" t="inlineStr"/>
    </row>
    <row r="460" ht="15" customHeight="1">
      <c r="A460" t="inlineStr">
        <is>
          <t>A 31592-2021</t>
        </is>
      </c>
      <c r="B460" s="1" t="n">
        <v>44369.56576388889</v>
      </c>
      <c r="C460" s="1" t="n">
        <v>45901</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4461-2025</t>
        </is>
      </c>
      <c r="B461" s="1" t="n">
        <v>45686</v>
      </c>
      <c r="C461" s="1" t="n">
        <v>45901</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c r="U461">
        <f>HYPERLINK("https://klasma.github.io/Logging_0883/knärot/A 4461-2025 karta knärot.png", "A 4461-2025")</f>
        <v/>
      </c>
      <c r="V461">
        <f>HYPERLINK("https://klasma.github.io/Logging_0883/klagomål/A 4461-2025 FSC-klagomål.docx", "A 4461-2025")</f>
        <v/>
      </c>
      <c r="W461">
        <f>HYPERLINK("https://klasma.github.io/Logging_0883/klagomålsmail/A 4461-2025 FSC-klagomål mail.docx", "A 4461-2025")</f>
        <v/>
      </c>
      <c r="X461">
        <f>HYPERLINK("https://klasma.github.io/Logging_0883/tillsyn/A 4461-2025 tillsynsbegäran.docx", "A 4461-2025")</f>
        <v/>
      </c>
      <c r="Y461">
        <f>HYPERLINK("https://klasma.github.io/Logging_0883/tillsynsmail/A 4461-2025 tillsynsbegäran mail.docx", "A 4461-2025")</f>
        <v/>
      </c>
    </row>
    <row r="462" ht="15" customHeight="1">
      <c r="A462" t="inlineStr">
        <is>
          <t>A 21657-2025</t>
        </is>
      </c>
      <c r="B462" s="1" t="n">
        <v>45783.45325231482</v>
      </c>
      <c r="C462" s="1" t="n">
        <v>45901</v>
      </c>
      <c r="D462" t="inlineStr">
        <is>
          <t>KALMAR LÄN</t>
        </is>
      </c>
      <c r="E462" t="inlineStr">
        <is>
          <t>VÄSTERVIK</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944-2024</t>
        </is>
      </c>
      <c r="B463" s="1" t="n">
        <v>45301.54230324074</v>
      </c>
      <c r="C463" s="1" t="n">
        <v>45901</v>
      </c>
      <c r="D463" t="inlineStr">
        <is>
          <t>KALMAR LÄN</t>
        </is>
      </c>
      <c r="E463" t="inlineStr">
        <is>
          <t>VÄSTERVIK</t>
        </is>
      </c>
      <c r="G463" t="n">
        <v>2.2</v>
      </c>
      <c r="H463" t="n">
        <v>0</v>
      </c>
      <c r="I463" t="n">
        <v>0</v>
      </c>
      <c r="J463" t="n">
        <v>0</v>
      </c>
      <c r="K463" t="n">
        <v>0</v>
      </c>
      <c r="L463" t="n">
        <v>0</v>
      </c>
      <c r="M463" t="n">
        <v>0</v>
      </c>
      <c r="N463" t="n">
        <v>0</v>
      </c>
      <c r="O463" t="n">
        <v>0</v>
      </c>
      <c r="P463" t="n">
        <v>0</v>
      </c>
      <c r="Q463" t="n">
        <v>0</v>
      </c>
      <c r="R463" s="2" t="inlineStr"/>
    </row>
    <row r="464" ht="15" customHeight="1">
      <c r="A464" t="inlineStr">
        <is>
          <t>A 946-2024</t>
        </is>
      </c>
      <c r="B464" s="1" t="n">
        <v>45301.54412037037</v>
      </c>
      <c r="C464" s="1" t="n">
        <v>45901</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16841-2025</t>
        </is>
      </c>
      <c r="B465" s="1" t="n">
        <v>45754.6719212963</v>
      </c>
      <c r="C465" s="1" t="n">
        <v>45901</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21991-2025</t>
        </is>
      </c>
      <c r="B466" s="1" t="n">
        <v>45784.6615625</v>
      </c>
      <c r="C466" s="1" t="n">
        <v>45901</v>
      </c>
      <c r="D466" t="inlineStr">
        <is>
          <t>KALMAR LÄN</t>
        </is>
      </c>
      <c r="E466" t="inlineStr">
        <is>
          <t>VÄSTERVIK</t>
        </is>
      </c>
      <c r="G466" t="n">
        <v>0.8</v>
      </c>
      <c r="H466" t="n">
        <v>0</v>
      </c>
      <c r="I466" t="n">
        <v>0</v>
      </c>
      <c r="J466" t="n">
        <v>0</v>
      </c>
      <c r="K466" t="n">
        <v>0</v>
      </c>
      <c r="L466" t="n">
        <v>0</v>
      </c>
      <c r="M466" t="n">
        <v>0</v>
      </c>
      <c r="N466" t="n">
        <v>0</v>
      </c>
      <c r="O466" t="n">
        <v>0</v>
      </c>
      <c r="P466" t="n">
        <v>0</v>
      </c>
      <c r="Q466" t="n">
        <v>0</v>
      </c>
      <c r="R466" s="2" t="inlineStr"/>
    </row>
    <row r="467" ht="15" customHeight="1">
      <c r="A467" t="inlineStr">
        <is>
          <t>A 21660-2025</t>
        </is>
      </c>
      <c r="B467" s="1" t="n">
        <v>45783.45542824074</v>
      </c>
      <c r="C467" s="1" t="n">
        <v>45901</v>
      </c>
      <c r="D467" t="inlineStr">
        <is>
          <t>KALMAR LÄN</t>
        </is>
      </c>
      <c r="E467" t="inlineStr">
        <is>
          <t>VÄSTERVIK</t>
        </is>
      </c>
      <c r="G467" t="n">
        <v>1.7</v>
      </c>
      <c r="H467" t="n">
        <v>0</v>
      </c>
      <c r="I467" t="n">
        <v>0</v>
      </c>
      <c r="J467" t="n">
        <v>0</v>
      </c>
      <c r="K467" t="n">
        <v>0</v>
      </c>
      <c r="L467" t="n">
        <v>0</v>
      </c>
      <c r="M467" t="n">
        <v>0</v>
      </c>
      <c r="N467" t="n">
        <v>0</v>
      </c>
      <c r="O467" t="n">
        <v>0</v>
      </c>
      <c r="P467" t="n">
        <v>0</v>
      </c>
      <c r="Q467" t="n">
        <v>0</v>
      </c>
      <c r="R467" s="2" t="inlineStr"/>
    </row>
    <row r="468" ht="15" customHeight="1">
      <c r="A468" t="inlineStr">
        <is>
          <t>A 21661-2025</t>
        </is>
      </c>
      <c r="B468" s="1" t="n">
        <v>45783.45644675926</v>
      </c>
      <c r="C468" s="1" t="n">
        <v>45901</v>
      </c>
      <c r="D468" t="inlineStr">
        <is>
          <t>KALMAR LÄN</t>
        </is>
      </c>
      <c r="E468" t="inlineStr">
        <is>
          <t>VÄSTERVIK</t>
        </is>
      </c>
      <c r="G468" t="n">
        <v>3.5</v>
      </c>
      <c r="H468" t="n">
        <v>0</v>
      </c>
      <c r="I468" t="n">
        <v>0</v>
      </c>
      <c r="J468" t="n">
        <v>0</v>
      </c>
      <c r="K468" t="n">
        <v>0</v>
      </c>
      <c r="L468" t="n">
        <v>0</v>
      </c>
      <c r="M468" t="n">
        <v>0</v>
      </c>
      <c r="N468" t="n">
        <v>0</v>
      </c>
      <c r="O468" t="n">
        <v>0</v>
      </c>
      <c r="P468" t="n">
        <v>0</v>
      </c>
      <c r="Q468" t="n">
        <v>0</v>
      </c>
      <c r="R468" s="2" t="inlineStr"/>
    </row>
    <row r="469" ht="15" customHeight="1">
      <c r="A469" t="inlineStr">
        <is>
          <t>A 21752-2024</t>
        </is>
      </c>
      <c r="B469" s="1" t="n">
        <v>45442.58048611111</v>
      </c>
      <c r="C469" s="1" t="n">
        <v>45901</v>
      </c>
      <c r="D469" t="inlineStr">
        <is>
          <t>KALMAR LÄN</t>
        </is>
      </c>
      <c r="E469" t="inlineStr">
        <is>
          <t>VÄSTERVIK</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8402-2025</t>
        </is>
      </c>
      <c r="B470" s="1" t="n">
        <v>45709.38065972222</v>
      </c>
      <c r="C470" s="1" t="n">
        <v>45901</v>
      </c>
      <c r="D470" t="inlineStr">
        <is>
          <t>KALMAR LÄN</t>
        </is>
      </c>
      <c r="E470" t="inlineStr">
        <is>
          <t>VÄSTERVIK</t>
        </is>
      </c>
      <c r="G470" t="n">
        <v>4.3</v>
      </c>
      <c r="H470" t="n">
        <v>0</v>
      </c>
      <c r="I470" t="n">
        <v>0</v>
      </c>
      <c r="J470" t="n">
        <v>0</v>
      </c>
      <c r="K470" t="n">
        <v>0</v>
      </c>
      <c r="L470" t="n">
        <v>0</v>
      </c>
      <c r="M470" t="n">
        <v>0</v>
      </c>
      <c r="N470" t="n">
        <v>0</v>
      </c>
      <c r="O470" t="n">
        <v>0</v>
      </c>
      <c r="P470" t="n">
        <v>0</v>
      </c>
      <c r="Q470" t="n">
        <v>0</v>
      </c>
      <c r="R470" s="2" t="inlineStr"/>
    </row>
    <row r="471" ht="15" customHeight="1">
      <c r="A471" t="inlineStr">
        <is>
          <t>A 13837-2024</t>
        </is>
      </c>
      <c r="B471" s="1" t="n">
        <v>45391.4450462963</v>
      </c>
      <c r="C471" s="1" t="n">
        <v>45901</v>
      </c>
      <c r="D471" t="inlineStr">
        <is>
          <t>KALMAR LÄN</t>
        </is>
      </c>
      <c r="E471" t="inlineStr">
        <is>
          <t>VÄSTERVIK</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13839-2024</t>
        </is>
      </c>
      <c r="B472" s="1" t="n">
        <v>45391.44789351852</v>
      </c>
      <c r="C472" s="1" t="n">
        <v>45901</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31686-2023</t>
        </is>
      </c>
      <c r="B473" s="1" t="n">
        <v>45117</v>
      </c>
      <c r="C473" s="1" t="n">
        <v>45901</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25180-2023</t>
        </is>
      </c>
      <c r="B474" s="1" t="n">
        <v>45086</v>
      </c>
      <c r="C474" s="1" t="n">
        <v>45901</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28037-2024</t>
        </is>
      </c>
      <c r="B475" s="1" t="n">
        <v>45476</v>
      </c>
      <c r="C475" s="1" t="n">
        <v>45901</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6731-2024</t>
        </is>
      </c>
      <c r="B476" s="1" t="n">
        <v>45342.38787037037</v>
      </c>
      <c r="C476" s="1" t="n">
        <v>45901</v>
      </c>
      <c r="D476" t="inlineStr">
        <is>
          <t>KALMAR LÄN</t>
        </is>
      </c>
      <c r="E476" t="inlineStr">
        <is>
          <t>VÄSTERVIK</t>
        </is>
      </c>
      <c r="F476" t="inlineStr">
        <is>
          <t>Holmen skog AB</t>
        </is>
      </c>
      <c r="G476" t="n">
        <v>6.7</v>
      </c>
      <c r="H476" t="n">
        <v>0</v>
      </c>
      <c r="I476" t="n">
        <v>0</v>
      </c>
      <c r="J476" t="n">
        <v>0</v>
      </c>
      <c r="K476" t="n">
        <v>0</v>
      </c>
      <c r="L476" t="n">
        <v>0</v>
      </c>
      <c r="M476" t="n">
        <v>0</v>
      </c>
      <c r="N476" t="n">
        <v>0</v>
      </c>
      <c r="O476" t="n">
        <v>0</v>
      </c>
      <c r="P476" t="n">
        <v>0</v>
      </c>
      <c r="Q476" t="n">
        <v>0</v>
      </c>
      <c r="R476" s="2" t="inlineStr"/>
    </row>
    <row r="477" ht="15" customHeight="1">
      <c r="A477" t="inlineStr">
        <is>
          <t>A 73640-2021</t>
        </is>
      </c>
      <c r="B477" s="1" t="n">
        <v>44552.43644675926</v>
      </c>
      <c r="C477" s="1" t="n">
        <v>45901</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23626-2024</t>
        </is>
      </c>
      <c r="B478" s="1" t="n">
        <v>45454</v>
      </c>
      <c r="C478" s="1" t="n">
        <v>45901</v>
      </c>
      <c r="D478" t="inlineStr">
        <is>
          <t>KALMAR LÄN</t>
        </is>
      </c>
      <c r="E478" t="inlineStr">
        <is>
          <t>VÄSTERVIK</t>
        </is>
      </c>
      <c r="G478" t="n">
        <v>2.1</v>
      </c>
      <c r="H478" t="n">
        <v>0</v>
      </c>
      <c r="I478" t="n">
        <v>0</v>
      </c>
      <c r="J478" t="n">
        <v>0</v>
      </c>
      <c r="K478" t="n">
        <v>0</v>
      </c>
      <c r="L478" t="n">
        <v>0</v>
      </c>
      <c r="M478" t="n">
        <v>0</v>
      </c>
      <c r="N478" t="n">
        <v>0</v>
      </c>
      <c r="O478" t="n">
        <v>0</v>
      </c>
      <c r="P478" t="n">
        <v>0</v>
      </c>
      <c r="Q478" t="n">
        <v>0</v>
      </c>
      <c r="R478" s="2" t="inlineStr"/>
    </row>
    <row r="479" ht="15" customHeight="1">
      <c r="A479" t="inlineStr">
        <is>
          <t>A 26140-2024</t>
        </is>
      </c>
      <c r="B479" s="1" t="n">
        <v>45468</v>
      </c>
      <c r="C479" s="1" t="n">
        <v>45901</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40050-2022</t>
        </is>
      </c>
      <c r="B480" s="1" t="n">
        <v>44820.44106481481</v>
      </c>
      <c r="C480" s="1" t="n">
        <v>45901</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60634-2023</t>
        </is>
      </c>
      <c r="B481" s="1" t="n">
        <v>45260.40186342593</v>
      </c>
      <c r="C481" s="1" t="n">
        <v>45901</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39980-2024</t>
        </is>
      </c>
      <c r="B482" s="1" t="n">
        <v>45553.61098379629</v>
      </c>
      <c r="C482" s="1" t="n">
        <v>45901</v>
      </c>
      <c r="D482" t="inlineStr">
        <is>
          <t>KALMAR LÄN</t>
        </is>
      </c>
      <c r="E482" t="inlineStr">
        <is>
          <t>VÄSTERVIK</t>
        </is>
      </c>
      <c r="G482" t="n">
        <v>2.3</v>
      </c>
      <c r="H482" t="n">
        <v>0</v>
      </c>
      <c r="I482" t="n">
        <v>0</v>
      </c>
      <c r="J482" t="n">
        <v>0</v>
      </c>
      <c r="K482" t="n">
        <v>0</v>
      </c>
      <c r="L482" t="n">
        <v>0</v>
      </c>
      <c r="M482" t="n">
        <v>0</v>
      </c>
      <c r="N482" t="n">
        <v>0</v>
      </c>
      <c r="O482" t="n">
        <v>0</v>
      </c>
      <c r="P482" t="n">
        <v>0</v>
      </c>
      <c r="Q482" t="n">
        <v>0</v>
      </c>
      <c r="R482" s="2" t="inlineStr"/>
    </row>
    <row r="483" ht="15" customHeight="1">
      <c r="A483" t="inlineStr">
        <is>
          <t>A 39982-2024</t>
        </is>
      </c>
      <c r="B483" s="1" t="n">
        <v>45553.61355324074</v>
      </c>
      <c r="C483" s="1" t="n">
        <v>45901</v>
      </c>
      <c r="D483" t="inlineStr">
        <is>
          <t>KALMAR LÄN</t>
        </is>
      </c>
      <c r="E483" t="inlineStr">
        <is>
          <t>VÄSTERVIK</t>
        </is>
      </c>
      <c r="G483" t="n">
        <v>2.1</v>
      </c>
      <c r="H483" t="n">
        <v>0</v>
      </c>
      <c r="I483" t="n">
        <v>0</v>
      </c>
      <c r="J483" t="n">
        <v>0</v>
      </c>
      <c r="K483" t="n">
        <v>0</v>
      </c>
      <c r="L483" t="n">
        <v>0</v>
      </c>
      <c r="M483" t="n">
        <v>0</v>
      </c>
      <c r="N483" t="n">
        <v>0</v>
      </c>
      <c r="O483" t="n">
        <v>0</v>
      </c>
      <c r="P483" t="n">
        <v>0</v>
      </c>
      <c r="Q483" t="n">
        <v>0</v>
      </c>
      <c r="R483" s="2" t="inlineStr"/>
    </row>
    <row r="484" ht="15" customHeight="1">
      <c r="A484" t="inlineStr">
        <is>
          <t>A 56188-2023</t>
        </is>
      </c>
      <c r="B484" s="1" t="n">
        <v>45240.65173611111</v>
      </c>
      <c r="C484" s="1" t="n">
        <v>45901</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1568-2024</t>
        </is>
      </c>
      <c r="B485" s="1" t="n">
        <v>45306.53221064815</v>
      </c>
      <c r="C485" s="1" t="n">
        <v>45901</v>
      </c>
      <c r="D485" t="inlineStr">
        <is>
          <t>KALMAR LÄN</t>
        </is>
      </c>
      <c r="E485" t="inlineStr">
        <is>
          <t>VÄSTERVIK</t>
        </is>
      </c>
      <c r="G485" t="n">
        <v>3.4</v>
      </c>
      <c r="H485" t="n">
        <v>0</v>
      </c>
      <c r="I485" t="n">
        <v>0</v>
      </c>
      <c r="J485" t="n">
        <v>0</v>
      </c>
      <c r="K485" t="n">
        <v>0</v>
      </c>
      <c r="L485" t="n">
        <v>0</v>
      </c>
      <c r="M485" t="n">
        <v>0</v>
      </c>
      <c r="N485" t="n">
        <v>0</v>
      </c>
      <c r="O485" t="n">
        <v>0</v>
      </c>
      <c r="P485" t="n">
        <v>0</v>
      </c>
      <c r="Q485" t="n">
        <v>0</v>
      </c>
      <c r="R485" s="2" t="inlineStr"/>
    </row>
    <row r="486" ht="15" customHeight="1">
      <c r="A486" t="inlineStr">
        <is>
          <t>A 1572-2024</t>
        </is>
      </c>
      <c r="B486" s="1" t="n">
        <v>45306</v>
      </c>
      <c r="C486" s="1" t="n">
        <v>45901</v>
      </c>
      <c r="D486" t="inlineStr">
        <is>
          <t>KALMAR LÄN</t>
        </is>
      </c>
      <c r="E486" t="inlineStr">
        <is>
          <t>VÄSTERVIK</t>
        </is>
      </c>
      <c r="G486" t="n">
        <v>4.4</v>
      </c>
      <c r="H486" t="n">
        <v>0</v>
      </c>
      <c r="I486" t="n">
        <v>0</v>
      </c>
      <c r="J486" t="n">
        <v>0</v>
      </c>
      <c r="K486" t="n">
        <v>0</v>
      </c>
      <c r="L486" t="n">
        <v>0</v>
      </c>
      <c r="M486" t="n">
        <v>0</v>
      </c>
      <c r="N486" t="n">
        <v>0</v>
      </c>
      <c r="O486" t="n">
        <v>0</v>
      </c>
      <c r="P486" t="n">
        <v>0</v>
      </c>
      <c r="Q486" t="n">
        <v>0</v>
      </c>
      <c r="R486" s="2" t="inlineStr"/>
    </row>
    <row r="487" ht="15" customHeight="1">
      <c r="A487" t="inlineStr">
        <is>
          <t>A 49286-2022</t>
        </is>
      </c>
      <c r="B487" s="1" t="n">
        <v>44861.45876157407</v>
      </c>
      <c r="C487" s="1" t="n">
        <v>45901</v>
      </c>
      <c r="D487" t="inlineStr">
        <is>
          <t>KALMAR LÄN</t>
        </is>
      </c>
      <c r="E487" t="inlineStr">
        <is>
          <t>VÄSTERVIK</t>
        </is>
      </c>
      <c r="G487" t="n">
        <v>2.6</v>
      </c>
      <c r="H487" t="n">
        <v>0</v>
      </c>
      <c r="I487" t="n">
        <v>0</v>
      </c>
      <c r="J487" t="n">
        <v>0</v>
      </c>
      <c r="K487" t="n">
        <v>0</v>
      </c>
      <c r="L487" t="n">
        <v>0</v>
      </c>
      <c r="M487" t="n">
        <v>0</v>
      </c>
      <c r="N487" t="n">
        <v>0</v>
      </c>
      <c r="O487" t="n">
        <v>0</v>
      </c>
      <c r="P487" t="n">
        <v>0</v>
      </c>
      <c r="Q487" t="n">
        <v>0</v>
      </c>
      <c r="R487" s="2" t="inlineStr"/>
    </row>
    <row r="488" ht="15" customHeight="1">
      <c r="A488" t="inlineStr">
        <is>
          <t>A 56377-2024</t>
        </is>
      </c>
      <c r="B488" s="1" t="n">
        <v>45625.33342592593</v>
      </c>
      <c r="C488" s="1" t="n">
        <v>45901</v>
      </c>
      <c r="D488" t="inlineStr">
        <is>
          <t>KALMAR LÄN</t>
        </is>
      </c>
      <c r="E488" t="inlineStr">
        <is>
          <t>VÄSTERVIK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7934-2023</t>
        </is>
      </c>
      <c r="B489" s="1" t="n">
        <v>44973.65422453704</v>
      </c>
      <c r="C489" s="1" t="n">
        <v>45901</v>
      </c>
      <c r="D489" t="inlineStr">
        <is>
          <t>KALMAR LÄN</t>
        </is>
      </c>
      <c r="E489" t="inlineStr">
        <is>
          <t>VÄSTERVIK</t>
        </is>
      </c>
      <c r="G489" t="n">
        <v>4.1</v>
      </c>
      <c r="H489" t="n">
        <v>0</v>
      </c>
      <c r="I489" t="n">
        <v>0</v>
      </c>
      <c r="J489" t="n">
        <v>0</v>
      </c>
      <c r="K489" t="n">
        <v>0</v>
      </c>
      <c r="L489" t="n">
        <v>0</v>
      </c>
      <c r="M489" t="n">
        <v>0</v>
      </c>
      <c r="N489" t="n">
        <v>0</v>
      </c>
      <c r="O489" t="n">
        <v>0</v>
      </c>
      <c r="P489" t="n">
        <v>0</v>
      </c>
      <c r="Q489" t="n">
        <v>0</v>
      </c>
      <c r="R489" s="2" t="inlineStr"/>
    </row>
    <row r="490" ht="15" customHeight="1">
      <c r="A490" t="inlineStr">
        <is>
          <t>A 8005-2023</t>
        </is>
      </c>
      <c r="B490" s="1" t="n">
        <v>44973.88452546296</v>
      </c>
      <c r="C490" s="1" t="n">
        <v>45901</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51496-2024</t>
        </is>
      </c>
      <c r="B491" s="1" t="n">
        <v>45604.54060185186</v>
      </c>
      <c r="C491" s="1" t="n">
        <v>45901</v>
      </c>
      <c r="D491" t="inlineStr">
        <is>
          <t>KALMAR LÄN</t>
        </is>
      </c>
      <c r="E491" t="inlineStr">
        <is>
          <t>VÄSTERVIK</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59696-2023</t>
        </is>
      </c>
      <c r="B492" s="1" t="n">
        <v>45256.85211805555</v>
      </c>
      <c r="C492" s="1" t="n">
        <v>45901</v>
      </c>
      <c r="D492" t="inlineStr">
        <is>
          <t>KALMAR LÄN</t>
        </is>
      </c>
      <c r="E492" t="inlineStr">
        <is>
          <t>VÄSTERVIK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60056-2023</t>
        </is>
      </c>
      <c r="B493" s="1" t="n">
        <v>45258</v>
      </c>
      <c r="C493" s="1" t="n">
        <v>45901</v>
      </c>
      <c r="D493" t="inlineStr">
        <is>
          <t>KALMAR LÄN</t>
        </is>
      </c>
      <c r="E493" t="inlineStr">
        <is>
          <t>VÄSTERVIK</t>
        </is>
      </c>
      <c r="G493" t="n">
        <v>0.4</v>
      </c>
      <c r="H493" t="n">
        <v>0</v>
      </c>
      <c r="I493" t="n">
        <v>0</v>
      </c>
      <c r="J493" t="n">
        <v>0</v>
      </c>
      <c r="K493" t="n">
        <v>0</v>
      </c>
      <c r="L493" t="n">
        <v>0</v>
      </c>
      <c r="M493" t="n">
        <v>0</v>
      </c>
      <c r="N493" t="n">
        <v>0</v>
      </c>
      <c r="O493" t="n">
        <v>0</v>
      </c>
      <c r="P493" t="n">
        <v>0</v>
      </c>
      <c r="Q493" t="n">
        <v>0</v>
      </c>
      <c r="R493" s="2" t="inlineStr"/>
    </row>
    <row r="494" ht="15" customHeight="1">
      <c r="A494" t="inlineStr">
        <is>
          <t>A 17314-2023</t>
        </is>
      </c>
      <c r="B494" s="1" t="n">
        <v>45035</v>
      </c>
      <c r="C494" s="1" t="n">
        <v>45901</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8594-2023</t>
        </is>
      </c>
      <c r="B495" s="1" t="n">
        <v>44977</v>
      </c>
      <c r="C495" s="1" t="n">
        <v>45901</v>
      </c>
      <c r="D495" t="inlineStr">
        <is>
          <t>KALMAR LÄN</t>
        </is>
      </c>
      <c r="E495" t="inlineStr">
        <is>
          <t>VÄSTERVIK</t>
        </is>
      </c>
      <c r="G495" t="n">
        <v>0.7</v>
      </c>
      <c r="H495" t="n">
        <v>0</v>
      </c>
      <c r="I495" t="n">
        <v>0</v>
      </c>
      <c r="J495" t="n">
        <v>0</v>
      </c>
      <c r="K495" t="n">
        <v>0</v>
      </c>
      <c r="L495" t="n">
        <v>0</v>
      </c>
      <c r="M495" t="n">
        <v>0</v>
      </c>
      <c r="N495" t="n">
        <v>0</v>
      </c>
      <c r="O495" t="n">
        <v>0</v>
      </c>
      <c r="P495" t="n">
        <v>0</v>
      </c>
      <c r="Q495" t="n">
        <v>0</v>
      </c>
      <c r="R495" s="2" t="inlineStr"/>
    </row>
    <row r="496" ht="15" customHeight="1">
      <c r="A496" t="inlineStr">
        <is>
          <t>A 27568-2024</t>
        </is>
      </c>
      <c r="B496" s="1" t="n">
        <v>45474</v>
      </c>
      <c r="C496" s="1" t="n">
        <v>45901</v>
      </c>
      <c r="D496" t="inlineStr">
        <is>
          <t>KALMAR LÄN</t>
        </is>
      </c>
      <c r="E496" t="inlineStr">
        <is>
          <t>VÄSTERVIK</t>
        </is>
      </c>
      <c r="G496" t="n">
        <v>7.7</v>
      </c>
      <c r="H496" t="n">
        <v>0</v>
      </c>
      <c r="I496" t="n">
        <v>0</v>
      </c>
      <c r="J496" t="n">
        <v>0</v>
      </c>
      <c r="K496" t="n">
        <v>0</v>
      </c>
      <c r="L496" t="n">
        <v>0</v>
      </c>
      <c r="M496" t="n">
        <v>0</v>
      </c>
      <c r="N496" t="n">
        <v>0</v>
      </c>
      <c r="O496" t="n">
        <v>0</v>
      </c>
      <c r="P496" t="n">
        <v>0</v>
      </c>
      <c r="Q496" t="n">
        <v>0</v>
      </c>
      <c r="R496" s="2" t="inlineStr"/>
    </row>
    <row r="497" ht="15" customHeight="1">
      <c r="A497" t="inlineStr">
        <is>
          <t>A 6406-2024</t>
        </is>
      </c>
      <c r="B497" s="1" t="n">
        <v>45338</v>
      </c>
      <c r="C497" s="1" t="n">
        <v>45901</v>
      </c>
      <c r="D497" t="inlineStr">
        <is>
          <t>KALMAR LÄN</t>
        </is>
      </c>
      <c r="E497" t="inlineStr">
        <is>
          <t>VÄSTERVIK</t>
        </is>
      </c>
      <c r="G497" t="n">
        <v>5.5</v>
      </c>
      <c r="H497" t="n">
        <v>0</v>
      </c>
      <c r="I497" t="n">
        <v>0</v>
      </c>
      <c r="J497" t="n">
        <v>0</v>
      </c>
      <c r="K497" t="n">
        <v>0</v>
      </c>
      <c r="L497" t="n">
        <v>0</v>
      </c>
      <c r="M497" t="n">
        <v>0</v>
      </c>
      <c r="N497" t="n">
        <v>0</v>
      </c>
      <c r="O497" t="n">
        <v>0</v>
      </c>
      <c r="P497" t="n">
        <v>0</v>
      </c>
      <c r="Q497" t="n">
        <v>0</v>
      </c>
      <c r="R497" s="2" t="inlineStr"/>
      <c r="U497">
        <f>HYPERLINK("https://klasma.github.io/Logging_0883/knärot/A 6406-2024 karta knärot.png", "A 6406-2024")</f>
        <v/>
      </c>
      <c r="V497">
        <f>HYPERLINK("https://klasma.github.io/Logging_0883/klagomål/A 6406-2024 FSC-klagomål.docx", "A 6406-2024")</f>
        <v/>
      </c>
      <c r="W497">
        <f>HYPERLINK("https://klasma.github.io/Logging_0883/klagomålsmail/A 6406-2024 FSC-klagomål mail.docx", "A 6406-2024")</f>
        <v/>
      </c>
      <c r="X497">
        <f>HYPERLINK("https://klasma.github.io/Logging_0883/tillsyn/A 6406-2024 tillsynsbegäran.docx", "A 6406-2024")</f>
        <v/>
      </c>
      <c r="Y497">
        <f>HYPERLINK("https://klasma.github.io/Logging_0883/tillsynsmail/A 6406-2024 tillsynsbegäran mail.docx", "A 6406-2024")</f>
        <v/>
      </c>
    </row>
    <row r="498" ht="15" customHeight="1">
      <c r="A498" t="inlineStr">
        <is>
          <t>A 22891-2025</t>
        </is>
      </c>
      <c r="B498" s="1" t="n">
        <v>45790.39267361111</v>
      </c>
      <c r="C498" s="1" t="n">
        <v>45901</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22893-2025</t>
        </is>
      </c>
      <c r="B499" s="1" t="n">
        <v>45790.39622685185</v>
      </c>
      <c r="C499" s="1" t="n">
        <v>45901</v>
      </c>
      <c r="D499" t="inlineStr">
        <is>
          <t>KALMAR LÄN</t>
        </is>
      </c>
      <c r="E499" t="inlineStr">
        <is>
          <t>VÄSTERVIK</t>
        </is>
      </c>
      <c r="G499" t="n">
        <v>2.1</v>
      </c>
      <c r="H499" t="n">
        <v>0</v>
      </c>
      <c r="I499" t="n">
        <v>0</v>
      </c>
      <c r="J499" t="n">
        <v>0</v>
      </c>
      <c r="K499" t="n">
        <v>0</v>
      </c>
      <c r="L499" t="n">
        <v>0</v>
      </c>
      <c r="M499" t="n">
        <v>0</v>
      </c>
      <c r="N499" t="n">
        <v>0</v>
      </c>
      <c r="O499" t="n">
        <v>0</v>
      </c>
      <c r="P499" t="n">
        <v>0</v>
      </c>
      <c r="Q499" t="n">
        <v>0</v>
      </c>
      <c r="R499" s="2" t="inlineStr"/>
    </row>
    <row r="500" ht="15" customHeight="1">
      <c r="A500" t="inlineStr">
        <is>
          <t>A 28344-2024</t>
        </is>
      </c>
      <c r="B500" s="1" t="n">
        <v>45477.55280092593</v>
      </c>
      <c r="C500" s="1" t="n">
        <v>45901</v>
      </c>
      <c r="D500" t="inlineStr">
        <is>
          <t>KALMAR LÄN</t>
        </is>
      </c>
      <c r="E500" t="inlineStr">
        <is>
          <t>VÄSTERVIK</t>
        </is>
      </c>
      <c r="G500" t="n">
        <v>1.4</v>
      </c>
      <c r="H500" t="n">
        <v>0</v>
      </c>
      <c r="I500" t="n">
        <v>0</v>
      </c>
      <c r="J500" t="n">
        <v>0</v>
      </c>
      <c r="K500" t="n">
        <v>0</v>
      </c>
      <c r="L500" t="n">
        <v>0</v>
      </c>
      <c r="M500" t="n">
        <v>0</v>
      </c>
      <c r="N500" t="n">
        <v>0</v>
      </c>
      <c r="O500" t="n">
        <v>0</v>
      </c>
      <c r="P500" t="n">
        <v>0</v>
      </c>
      <c r="Q500" t="n">
        <v>0</v>
      </c>
      <c r="R500" s="2" t="inlineStr"/>
    </row>
    <row r="501" ht="15" customHeight="1">
      <c r="A501" t="inlineStr">
        <is>
          <t>A 27094-2024</t>
        </is>
      </c>
      <c r="B501" s="1" t="n">
        <v>45471</v>
      </c>
      <c r="C501" s="1" t="n">
        <v>45901</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c r="U501">
        <f>HYPERLINK("https://klasma.github.io/Logging_0883/knärot/A 27094-2024 karta knärot.png", "A 27094-2024")</f>
        <v/>
      </c>
      <c r="V501">
        <f>HYPERLINK("https://klasma.github.io/Logging_0883/klagomål/A 27094-2024 FSC-klagomål.docx", "A 27094-2024")</f>
        <v/>
      </c>
      <c r="W501">
        <f>HYPERLINK("https://klasma.github.io/Logging_0883/klagomålsmail/A 27094-2024 FSC-klagomål mail.docx", "A 27094-2024")</f>
        <v/>
      </c>
      <c r="X501">
        <f>HYPERLINK("https://klasma.github.io/Logging_0883/tillsyn/A 27094-2024 tillsynsbegäran.docx", "A 27094-2024")</f>
        <v/>
      </c>
      <c r="Y501">
        <f>HYPERLINK("https://klasma.github.io/Logging_0883/tillsynsmail/A 27094-2024 tillsynsbegäran mail.docx", "A 27094-2024")</f>
        <v/>
      </c>
    </row>
    <row r="502" ht="15" customHeight="1">
      <c r="A502" t="inlineStr">
        <is>
          <t>A 23042-2025</t>
        </is>
      </c>
      <c r="B502" s="1" t="n">
        <v>45790.67273148148</v>
      </c>
      <c r="C502" s="1" t="n">
        <v>45901</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42746-2024</t>
        </is>
      </c>
      <c r="B503" s="1" t="n">
        <v>45566.48361111111</v>
      </c>
      <c r="C503" s="1" t="n">
        <v>45901</v>
      </c>
      <c r="D503" t="inlineStr">
        <is>
          <t>KALMAR LÄN</t>
        </is>
      </c>
      <c r="E503" t="inlineStr">
        <is>
          <t>VÄSTERVIK</t>
        </is>
      </c>
      <c r="G503" t="n">
        <v>2</v>
      </c>
      <c r="H503" t="n">
        <v>0</v>
      </c>
      <c r="I503" t="n">
        <v>0</v>
      </c>
      <c r="J503" t="n">
        <v>0</v>
      </c>
      <c r="K503" t="n">
        <v>0</v>
      </c>
      <c r="L503" t="n">
        <v>0</v>
      </c>
      <c r="M503" t="n">
        <v>0</v>
      </c>
      <c r="N503" t="n">
        <v>0</v>
      </c>
      <c r="O503" t="n">
        <v>0</v>
      </c>
      <c r="P503" t="n">
        <v>0</v>
      </c>
      <c r="Q503" t="n">
        <v>0</v>
      </c>
      <c r="R503" s="2" t="inlineStr"/>
    </row>
    <row r="504" ht="15" customHeight="1">
      <c r="A504" t="inlineStr">
        <is>
          <t>A 32388-2024</t>
        </is>
      </c>
      <c r="B504" s="1" t="n">
        <v>45512.63465277778</v>
      </c>
      <c r="C504" s="1" t="n">
        <v>45901</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32389-2024</t>
        </is>
      </c>
      <c r="B505" s="1" t="n">
        <v>45512.63642361111</v>
      </c>
      <c r="C505" s="1" t="n">
        <v>45901</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row>
    <row r="506" ht="15" customHeight="1">
      <c r="A506" t="inlineStr">
        <is>
          <t>A 23033-2025</t>
        </is>
      </c>
      <c r="B506" s="1" t="n">
        <v>45790.65793981482</v>
      </c>
      <c r="C506" s="1" t="n">
        <v>45901</v>
      </c>
      <c r="D506" t="inlineStr">
        <is>
          <t>KALMAR LÄN</t>
        </is>
      </c>
      <c r="E506" t="inlineStr">
        <is>
          <t>VÄSTERVIK</t>
        </is>
      </c>
      <c r="G506" t="n">
        <v>1.1</v>
      </c>
      <c r="H506" t="n">
        <v>0</v>
      </c>
      <c r="I506" t="n">
        <v>0</v>
      </c>
      <c r="J506" t="n">
        <v>0</v>
      </c>
      <c r="K506" t="n">
        <v>0</v>
      </c>
      <c r="L506" t="n">
        <v>0</v>
      </c>
      <c r="M506" t="n">
        <v>0</v>
      </c>
      <c r="N506" t="n">
        <v>0</v>
      </c>
      <c r="O506" t="n">
        <v>0</v>
      </c>
      <c r="P506" t="n">
        <v>0</v>
      </c>
      <c r="Q506" t="n">
        <v>0</v>
      </c>
      <c r="R506" s="2" t="inlineStr"/>
    </row>
    <row r="507" ht="15" customHeight="1">
      <c r="A507" t="inlineStr">
        <is>
          <t>A 61529-2022</t>
        </is>
      </c>
      <c r="B507" s="1" t="n">
        <v>44910</v>
      </c>
      <c r="C507" s="1" t="n">
        <v>45901</v>
      </c>
      <c r="D507" t="inlineStr">
        <is>
          <t>KALMAR LÄN</t>
        </is>
      </c>
      <c r="E507" t="inlineStr">
        <is>
          <t>VÄSTERVIK</t>
        </is>
      </c>
      <c r="G507" t="n">
        <v>6.5</v>
      </c>
      <c r="H507" t="n">
        <v>0</v>
      </c>
      <c r="I507" t="n">
        <v>0</v>
      </c>
      <c r="J507" t="n">
        <v>0</v>
      </c>
      <c r="K507" t="n">
        <v>0</v>
      </c>
      <c r="L507" t="n">
        <v>0</v>
      </c>
      <c r="M507" t="n">
        <v>0</v>
      </c>
      <c r="N507" t="n">
        <v>0</v>
      </c>
      <c r="O507" t="n">
        <v>0</v>
      </c>
      <c r="P507" t="n">
        <v>0</v>
      </c>
      <c r="Q507" t="n">
        <v>0</v>
      </c>
      <c r="R507" s="2" t="inlineStr"/>
    </row>
    <row r="508" ht="15" customHeight="1">
      <c r="A508" t="inlineStr">
        <is>
          <t>A 34463-2024</t>
        </is>
      </c>
      <c r="B508" s="1" t="n">
        <v>45525.57712962963</v>
      </c>
      <c r="C508" s="1" t="n">
        <v>45901</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53259-2021</t>
        </is>
      </c>
      <c r="B509" s="1" t="n">
        <v>44468.47153935185</v>
      </c>
      <c r="C509" s="1" t="n">
        <v>45901</v>
      </c>
      <c r="D509" t="inlineStr">
        <is>
          <t>KALMAR LÄN</t>
        </is>
      </c>
      <c r="E509" t="inlineStr">
        <is>
          <t>VÄSTERVIK</t>
        </is>
      </c>
      <c r="G509" t="n">
        <v>2.8</v>
      </c>
      <c r="H509" t="n">
        <v>0</v>
      </c>
      <c r="I509" t="n">
        <v>0</v>
      </c>
      <c r="J509" t="n">
        <v>0</v>
      </c>
      <c r="K509" t="n">
        <v>0</v>
      </c>
      <c r="L509" t="n">
        <v>0</v>
      </c>
      <c r="M509" t="n">
        <v>0</v>
      </c>
      <c r="N509" t="n">
        <v>0</v>
      </c>
      <c r="O509" t="n">
        <v>0</v>
      </c>
      <c r="P509" t="n">
        <v>0</v>
      </c>
      <c r="Q509" t="n">
        <v>0</v>
      </c>
      <c r="R509" s="2" t="inlineStr"/>
    </row>
    <row r="510" ht="15" customHeight="1">
      <c r="A510" t="inlineStr">
        <is>
          <t>A 54190-2022</t>
        </is>
      </c>
      <c r="B510" s="1" t="n">
        <v>44881.68282407407</v>
      </c>
      <c r="C510" s="1" t="n">
        <v>45901</v>
      </c>
      <c r="D510" t="inlineStr">
        <is>
          <t>KALMAR LÄN</t>
        </is>
      </c>
      <c r="E510" t="inlineStr">
        <is>
          <t>VÄSTERVIK</t>
        </is>
      </c>
      <c r="G510" t="n">
        <v>7.4</v>
      </c>
      <c r="H510" t="n">
        <v>0</v>
      </c>
      <c r="I510" t="n">
        <v>0</v>
      </c>
      <c r="J510" t="n">
        <v>0</v>
      </c>
      <c r="K510" t="n">
        <v>0</v>
      </c>
      <c r="L510" t="n">
        <v>0</v>
      </c>
      <c r="M510" t="n">
        <v>0</v>
      </c>
      <c r="N510" t="n">
        <v>0</v>
      </c>
      <c r="O510" t="n">
        <v>0</v>
      </c>
      <c r="P510" t="n">
        <v>0</v>
      </c>
      <c r="Q510" t="n">
        <v>0</v>
      </c>
      <c r="R510" s="2" t="inlineStr"/>
    </row>
    <row r="511" ht="15" customHeight="1">
      <c r="A511" t="inlineStr">
        <is>
          <t>A 10116-2022</t>
        </is>
      </c>
      <c r="B511" s="1" t="n">
        <v>44621</v>
      </c>
      <c r="C511" s="1" t="n">
        <v>45901</v>
      </c>
      <c r="D511" t="inlineStr">
        <is>
          <t>KALMAR LÄN</t>
        </is>
      </c>
      <c r="E511" t="inlineStr">
        <is>
          <t>VÄSTERVIK</t>
        </is>
      </c>
      <c r="G511" t="n">
        <v>1.6</v>
      </c>
      <c r="H511" t="n">
        <v>0</v>
      </c>
      <c r="I511" t="n">
        <v>0</v>
      </c>
      <c r="J511" t="n">
        <v>0</v>
      </c>
      <c r="K511" t="n">
        <v>0</v>
      </c>
      <c r="L511" t="n">
        <v>0</v>
      </c>
      <c r="M511" t="n">
        <v>0</v>
      </c>
      <c r="N511" t="n">
        <v>0</v>
      </c>
      <c r="O511" t="n">
        <v>0</v>
      </c>
      <c r="P511" t="n">
        <v>0</v>
      </c>
      <c r="Q511" t="n">
        <v>0</v>
      </c>
      <c r="R511" s="2" t="inlineStr"/>
    </row>
    <row r="512" ht="15" customHeight="1">
      <c r="A512" t="inlineStr">
        <is>
          <t>A 36725-2024</t>
        </is>
      </c>
      <c r="B512" s="1" t="n">
        <v>45537.90300925926</v>
      </c>
      <c r="C512" s="1" t="n">
        <v>45901</v>
      </c>
      <c r="D512" t="inlineStr">
        <is>
          <t>KALMAR LÄN</t>
        </is>
      </c>
      <c r="E512" t="inlineStr">
        <is>
          <t>VÄSTERVIK</t>
        </is>
      </c>
      <c r="G512" t="n">
        <v>10.1</v>
      </c>
      <c r="H512" t="n">
        <v>0</v>
      </c>
      <c r="I512" t="n">
        <v>0</v>
      </c>
      <c r="J512" t="n">
        <v>0</v>
      </c>
      <c r="K512" t="n">
        <v>0</v>
      </c>
      <c r="L512" t="n">
        <v>0</v>
      </c>
      <c r="M512" t="n">
        <v>0</v>
      </c>
      <c r="N512" t="n">
        <v>0</v>
      </c>
      <c r="O512" t="n">
        <v>0</v>
      </c>
      <c r="P512" t="n">
        <v>0</v>
      </c>
      <c r="Q512" t="n">
        <v>0</v>
      </c>
      <c r="R512" s="2" t="inlineStr"/>
    </row>
    <row r="513" ht="15" customHeight="1">
      <c r="A513" t="inlineStr">
        <is>
          <t>A 9973-2025</t>
        </is>
      </c>
      <c r="B513" s="1" t="n">
        <v>45719.38739583334</v>
      </c>
      <c r="C513" s="1" t="n">
        <v>45901</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54629-2024</t>
        </is>
      </c>
      <c r="B514" s="1" t="n">
        <v>45617.85399305556</v>
      </c>
      <c r="C514" s="1" t="n">
        <v>45901</v>
      </c>
      <c r="D514" t="inlineStr">
        <is>
          <t>KALMAR LÄN</t>
        </is>
      </c>
      <c r="E514" t="inlineStr">
        <is>
          <t>VÄSTERVIK</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29557-2024</t>
        </is>
      </c>
      <c r="B515" s="1" t="n">
        <v>45484.52023148148</v>
      </c>
      <c r="C515" s="1" t="n">
        <v>45901</v>
      </c>
      <c r="D515" t="inlineStr">
        <is>
          <t>KALMAR LÄN</t>
        </is>
      </c>
      <c r="E515" t="inlineStr">
        <is>
          <t>VÄSTERVIK</t>
        </is>
      </c>
      <c r="G515" t="n">
        <v>5.9</v>
      </c>
      <c r="H515" t="n">
        <v>0</v>
      </c>
      <c r="I515" t="n">
        <v>0</v>
      </c>
      <c r="J515" t="n">
        <v>0</v>
      </c>
      <c r="K515" t="n">
        <v>0</v>
      </c>
      <c r="L515" t="n">
        <v>0</v>
      </c>
      <c r="M515" t="n">
        <v>0</v>
      </c>
      <c r="N515" t="n">
        <v>0</v>
      </c>
      <c r="O515" t="n">
        <v>0</v>
      </c>
      <c r="P515" t="n">
        <v>0</v>
      </c>
      <c r="Q515" t="n">
        <v>0</v>
      </c>
      <c r="R515" s="2" t="inlineStr"/>
    </row>
    <row r="516" ht="15" customHeight="1">
      <c r="A516" t="inlineStr">
        <is>
          <t>A 8382-2023</t>
        </is>
      </c>
      <c r="B516" s="1" t="n">
        <v>44977.40112268519</v>
      </c>
      <c r="C516" s="1" t="n">
        <v>45901</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35959-2023</t>
        </is>
      </c>
      <c r="B517" s="1" t="n">
        <v>45148.84875</v>
      </c>
      <c r="C517" s="1" t="n">
        <v>45901</v>
      </c>
      <c r="D517" t="inlineStr">
        <is>
          <t>KALMAR LÄN</t>
        </is>
      </c>
      <c r="E517" t="inlineStr">
        <is>
          <t>VÄSTERVIK</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60685-2024</t>
        </is>
      </c>
      <c r="B518" s="1" t="n">
        <v>45644.46804398148</v>
      </c>
      <c r="C518" s="1" t="n">
        <v>45901</v>
      </c>
      <c r="D518" t="inlineStr">
        <is>
          <t>KALMAR LÄN</t>
        </is>
      </c>
      <c r="E518" t="inlineStr">
        <is>
          <t>VÄSTERVIK</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33814-2023</t>
        </is>
      </c>
      <c r="B519" s="1" t="n">
        <v>45133.59230324074</v>
      </c>
      <c r="C519" s="1" t="n">
        <v>45901</v>
      </c>
      <c r="D519" t="inlineStr">
        <is>
          <t>KALMAR LÄN</t>
        </is>
      </c>
      <c r="E519" t="inlineStr">
        <is>
          <t>VÄSTERVIK</t>
        </is>
      </c>
      <c r="G519" t="n">
        <v>3.9</v>
      </c>
      <c r="H519" t="n">
        <v>0</v>
      </c>
      <c r="I519" t="n">
        <v>0</v>
      </c>
      <c r="J519" t="n">
        <v>0</v>
      </c>
      <c r="K519" t="n">
        <v>0</v>
      </c>
      <c r="L519" t="n">
        <v>0</v>
      </c>
      <c r="M519" t="n">
        <v>0</v>
      </c>
      <c r="N519" t="n">
        <v>0</v>
      </c>
      <c r="O519" t="n">
        <v>0</v>
      </c>
      <c r="P519" t="n">
        <v>0</v>
      </c>
      <c r="Q519" t="n">
        <v>0</v>
      </c>
      <c r="R519" s="2" t="inlineStr"/>
    </row>
    <row r="520" ht="15" customHeight="1">
      <c r="A520" t="inlineStr">
        <is>
          <t>A 1787-2025</t>
        </is>
      </c>
      <c r="B520" s="1" t="n">
        <v>45671.45357638889</v>
      </c>
      <c r="C520" s="1" t="n">
        <v>45901</v>
      </c>
      <c r="D520" t="inlineStr">
        <is>
          <t>KALMAR LÄN</t>
        </is>
      </c>
      <c r="E520" t="inlineStr">
        <is>
          <t>VÄSTERVIK</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40674-2023</t>
        </is>
      </c>
      <c r="B521" s="1" t="n">
        <v>45170.59288194445</v>
      </c>
      <c r="C521" s="1" t="n">
        <v>45901</v>
      </c>
      <c r="D521" t="inlineStr">
        <is>
          <t>KALMAR LÄN</t>
        </is>
      </c>
      <c r="E521" t="inlineStr">
        <is>
          <t>VÄSTERVIK</t>
        </is>
      </c>
      <c r="G521" t="n">
        <v>4.2</v>
      </c>
      <c r="H521" t="n">
        <v>0</v>
      </c>
      <c r="I521" t="n">
        <v>0</v>
      </c>
      <c r="J521" t="n">
        <v>0</v>
      </c>
      <c r="K521" t="n">
        <v>0</v>
      </c>
      <c r="L521" t="n">
        <v>0</v>
      </c>
      <c r="M521" t="n">
        <v>0</v>
      </c>
      <c r="N521" t="n">
        <v>0</v>
      </c>
      <c r="O521" t="n">
        <v>0</v>
      </c>
      <c r="P521" t="n">
        <v>0</v>
      </c>
      <c r="Q521" t="n">
        <v>0</v>
      </c>
      <c r="R521" s="2" t="inlineStr"/>
    </row>
    <row r="522" ht="15" customHeight="1">
      <c r="A522" t="inlineStr">
        <is>
          <t>A 40677-2023</t>
        </is>
      </c>
      <c r="B522" s="1" t="n">
        <v>45170.59443287037</v>
      </c>
      <c r="C522" s="1" t="n">
        <v>45901</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57688-2024</t>
        </is>
      </c>
      <c r="B523" s="1" t="n">
        <v>45630.65180555556</v>
      </c>
      <c r="C523" s="1" t="n">
        <v>45901</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5923-2024</t>
        </is>
      </c>
      <c r="B524" s="1" t="n">
        <v>45335</v>
      </c>
      <c r="C524" s="1" t="n">
        <v>45901</v>
      </c>
      <c r="D524" t="inlineStr">
        <is>
          <t>KALMAR LÄN</t>
        </is>
      </c>
      <c r="E524" t="inlineStr">
        <is>
          <t>VÄSTERVIK</t>
        </is>
      </c>
      <c r="F524" t="inlineStr">
        <is>
          <t>Holmen skog AB</t>
        </is>
      </c>
      <c r="G524" t="n">
        <v>2.7</v>
      </c>
      <c r="H524" t="n">
        <v>0</v>
      </c>
      <c r="I524" t="n">
        <v>0</v>
      </c>
      <c r="J524" t="n">
        <v>0</v>
      </c>
      <c r="K524" t="n">
        <v>0</v>
      </c>
      <c r="L524" t="n">
        <v>0</v>
      </c>
      <c r="M524" t="n">
        <v>0</v>
      </c>
      <c r="N524" t="n">
        <v>0</v>
      </c>
      <c r="O524" t="n">
        <v>0</v>
      </c>
      <c r="P524" t="n">
        <v>0</v>
      </c>
      <c r="Q524" t="n">
        <v>0</v>
      </c>
      <c r="R524" s="2" t="inlineStr"/>
    </row>
    <row r="525" ht="15" customHeight="1">
      <c r="A525" t="inlineStr">
        <is>
          <t>A 55359-2024</t>
        </is>
      </c>
      <c r="B525" s="1" t="n">
        <v>45621.82230324074</v>
      </c>
      <c r="C525" s="1" t="n">
        <v>45901</v>
      </c>
      <c r="D525" t="inlineStr">
        <is>
          <t>KALMAR LÄN</t>
        </is>
      </c>
      <c r="E525" t="inlineStr">
        <is>
          <t>VÄSTERVIK</t>
        </is>
      </c>
      <c r="F525" t="inlineStr">
        <is>
          <t>Sveaskog</t>
        </is>
      </c>
      <c r="G525" t="n">
        <v>6.8</v>
      </c>
      <c r="H525" t="n">
        <v>0</v>
      </c>
      <c r="I525" t="n">
        <v>0</v>
      </c>
      <c r="J525" t="n">
        <v>0</v>
      </c>
      <c r="K525" t="n">
        <v>0</v>
      </c>
      <c r="L525" t="n">
        <v>0</v>
      </c>
      <c r="M525" t="n">
        <v>0</v>
      </c>
      <c r="N525" t="n">
        <v>0</v>
      </c>
      <c r="O525" t="n">
        <v>0</v>
      </c>
      <c r="P525" t="n">
        <v>0</v>
      </c>
      <c r="Q525" t="n">
        <v>0</v>
      </c>
      <c r="R525" s="2" t="inlineStr"/>
    </row>
    <row r="526" ht="15" customHeight="1">
      <c r="A526" t="inlineStr">
        <is>
          <t>A 23148-2025</t>
        </is>
      </c>
      <c r="B526" s="1" t="n">
        <v>45791.40225694444</v>
      </c>
      <c r="C526" s="1" t="n">
        <v>45901</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9263-2025</t>
        </is>
      </c>
      <c r="B527" s="1" t="n">
        <v>45714.60927083333</v>
      </c>
      <c r="C527" s="1" t="n">
        <v>45901</v>
      </c>
      <c r="D527" t="inlineStr">
        <is>
          <t>KALMAR LÄN</t>
        </is>
      </c>
      <c r="E527" t="inlineStr">
        <is>
          <t>VÄSTERVIK</t>
        </is>
      </c>
      <c r="F527" t="inlineStr">
        <is>
          <t>Sveaskog</t>
        </is>
      </c>
      <c r="G527" t="n">
        <v>5.2</v>
      </c>
      <c r="H527" t="n">
        <v>0</v>
      </c>
      <c r="I527" t="n">
        <v>0</v>
      </c>
      <c r="J527" t="n">
        <v>0</v>
      </c>
      <c r="K527" t="n">
        <v>0</v>
      </c>
      <c r="L527" t="n">
        <v>0</v>
      </c>
      <c r="M527" t="n">
        <v>0</v>
      </c>
      <c r="N527" t="n">
        <v>0</v>
      </c>
      <c r="O527" t="n">
        <v>0</v>
      </c>
      <c r="P527" t="n">
        <v>0</v>
      </c>
      <c r="Q527" t="n">
        <v>0</v>
      </c>
      <c r="R527" s="2" t="inlineStr"/>
    </row>
    <row r="528" ht="15" customHeight="1">
      <c r="A528" t="inlineStr">
        <is>
          <t>A 29405-2024</t>
        </is>
      </c>
      <c r="B528" s="1" t="n">
        <v>45483</v>
      </c>
      <c r="C528" s="1" t="n">
        <v>45901</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55023-2021</t>
        </is>
      </c>
      <c r="B529" s="1" t="n">
        <v>44474</v>
      </c>
      <c r="C529" s="1" t="n">
        <v>45901</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3190-2023</t>
        </is>
      </c>
      <c r="B530" s="1" t="n">
        <v>44946.61086805556</v>
      </c>
      <c r="C530" s="1" t="n">
        <v>45901</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38045-2023</t>
        </is>
      </c>
      <c r="B531" s="1" t="n">
        <v>45160.67251157408</v>
      </c>
      <c r="C531" s="1" t="n">
        <v>45901</v>
      </c>
      <c r="D531" t="inlineStr">
        <is>
          <t>KALMAR LÄN</t>
        </is>
      </c>
      <c r="E531" t="inlineStr">
        <is>
          <t>VÄSTERVIK</t>
        </is>
      </c>
      <c r="F531" t="inlineStr">
        <is>
          <t>Sveaskog</t>
        </is>
      </c>
      <c r="G531" t="n">
        <v>7.9</v>
      </c>
      <c r="H531" t="n">
        <v>0</v>
      </c>
      <c r="I531" t="n">
        <v>0</v>
      </c>
      <c r="J531" t="n">
        <v>0</v>
      </c>
      <c r="K531" t="n">
        <v>0</v>
      </c>
      <c r="L531" t="n">
        <v>0</v>
      </c>
      <c r="M531" t="n">
        <v>0</v>
      </c>
      <c r="N531" t="n">
        <v>0</v>
      </c>
      <c r="O531" t="n">
        <v>0</v>
      </c>
      <c r="P531" t="n">
        <v>0</v>
      </c>
      <c r="Q531" t="n">
        <v>0</v>
      </c>
      <c r="R531" s="2" t="inlineStr"/>
    </row>
    <row r="532" ht="15" customHeight="1">
      <c r="A532" t="inlineStr">
        <is>
          <t>A 36555-2024</t>
        </is>
      </c>
      <c r="B532" s="1" t="n">
        <v>45537</v>
      </c>
      <c r="C532" s="1" t="n">
        <v>45901</v>
      </c>
      <c r="D532" t="inlineStr">
        <is>
          <t>KALMAR LÄN</t>
        </is>
      </c>
      <c r="E532" t="inlineStr">
        <is>
          <t>VÄSTERVIK</t>
        </is>
      </c>
      <c r="F532" t="inlineStr">
        <is>
          <t>Kommuner</t>
        </is>
      </c>
      <c r="G532" t="n">
        <v>0.8</v>
      </c>
      <c r="H532" t="n">
        <v>0</v>
      </c>
      <c r="I532" t="n">
        <v>0</v>
      </c>
      <c r="J532" t="n">
        <v>0</v>
      </c>
      <c r="K532" t="n">
        <v>0</v>
      </c>
      <c r="L532" t="n">
        <v>0</v>
      </c>
      <c r="M532" t="n">
        <v>0</v>
      </c>
      <c r="N532" t="n">
        <v>0</v>
      </c>
      <c r="O532" t="n">
        <v>0</v>
      </c>
      <c r="P532" t="n">
        <v>0</v>
      </c>
      <c r="Q532" t="n">
        <v>0</v>
      </c>
      <c r="R532" s="2" t="inlineStr"/>
    </row>
    <row r="533" ht="15" customHeight="1">
      <c r="A533" t="inlineStr">
        <is>
          <t>A 55047-2024</t>
        </is>
      </c>
      <c r="B533" s="1" t="n">
        <v>45621.39516203704</v>
      </c>
      <c r="C533" s="1" t="n">
        <v>45901</v>
      </c>
      <c r="D533" t="inlineStr">
        <is>
          <t>KALMAR LÄN</t>
        </is>
      </c>
      <c r="E533" t="inlineStr">
        <is>
          <t>VÄSTERVIK</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35162-2024</t>
        </is>
      </c>
      <c r="B534" s="1" t="n">
        <v>45530.40025462963</v>
      </c>
      <c r="C534" s="1" t="n">
        <v>45901</v>
      </c>
      <c r="D534" t="inlineStr">
        <is>
          <t>KALMAR LÄN</t>
        </is>
      </c>
      <c r="E534" t="inlineStr">
        <is>
          <t>VÄSTERVIK</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23745-2025</t>
        </is>
      </c>
      <c r="B535" s="1" t="n">
        <v>45793.44484953704</v>
      </c>
      <c r="C535" s="1" t="n">
        <v>45901</v>
      </c>
      <c r="D535" t="inlineStr">
        <is>
          <t>KALMAR LÄN</t>
        </is>
      </c>
      <c r="E535" t="inlineStr">
        <is>
          <t>VÄSTERVIK</t>
        </is>
      </c>
      <c r="F535" t="inlineStr">
        <is>
          <t>Holmen skog AB</t>
        </is>
      </c>
      <c r="G535" t="n">
        <v>3.7</v>
      </c>
      <c r="H535" t="n">
        <v>0</v>
      </c>
      <c r="I535" t="n">
        <v>0</v>
      </c>
      <c r="J535" t="n">
        <v>0</v>
      </c>
      <c r="K535" t="n">
        <v>0</v>
      </c>
      <c r="L535" t="n">
        <v>0</v>
      </c>
      <c r="M535" t="n">
        <v>0</v>
      </c>
      <c r="N535" t="n">
        <v>0</v>
      </c>
      <c r="O535" t="n">
        <v>0</v>
      </c>
      <c r="P535" t="n">
        <v>0</v>
      </c>
      <c r="Q535" t="n">
        <v>0</v>
      </c>
      <c r="R535" s="2" t="inlineStr"/>
    </row>
    <row r="536" ht="15" customHeight="1">
      <c r="A536" t="inlineStr">
        <is>
          <t>A 52645-2021</t>
        </is>
      </c>
      <c r="B536" s="1" t="n">
        <v>44466</v>
      </c>
      <c r="C536" s="1" t="n">
        <v>45901</v>
      </c>
      <c r="D536" t="inlineStr">
        <is>
          <t>KALMAR LÄN</t>
        </is>
      </c>
      <c r="E536" t="inlineStr">
        <is>
          <t>VÄSTERVIK</t>
        </is>
      </c>
      <c r="G536" t="n">
        <v>5</v>
      </c>
      <c r="H536" t="n">
        <v>0</v>
      </c>
      <c r="I536" t="n">
        <v>0</v>
      </c>
      <c r="J536" t="n">
        <v>0</v>
      </c>
      <c r="K536" t="n">
        <v>0</v>
      </c>
      <c r="L536" t="n">
        <v>0</v>
      </c>
      <c r="M536" t="n">
        <v>0</v>
      </c>
      <c r="N536" t="n">
        <v>0</v>
      </c>
      <c r="O536" t="n">
        <v>0</v>
      </c>
      <c r="P536" t="n">
        <v>0</v>
      </c>
      <c r="Q536" t="n">
        <v>0</v>
      </c>
      <c r="R536" s="2" t="inlineStr"/>
    </row>
    <row r="537" ht="15" customHeight="1">
      <c r="A537" t="inlineStr">
        <is>
          <t>A 23739-2025</t>
        </is>
      </c>
      <c r="B537" s="1" t="n">
        <v>45793.42939814815</v>
      </c>
      <c r="C537" s="1" t="n">
        <v>45901</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23859-2025</t>
        </is>
      </c>
      <c r="B538" s="1" t="n">
        <v>45793.65996527778</v>
      </c>
      <c r="C538" s="1" t="n">
        <v>45901</v>
      </c>
      <c r="D538" t="inlineStr">
        <is>
          <t>KALMAR LÄN</t>
        </is>
      </c>
      <c r="E538" t="inlineStr">
        <is>
          <t>VÄSTERVIK</t>
        </is>
      </c>
      <c r="F538" t="inlineStr">
        <is>
          <t>Holmen skog AB</t>
        </is>
      </c>
      <c r="G538" t="n">
        <v>17.7</v>
      </c>
      <c r="H538" t="n">
        <v>0</v>
      </c>
      <c r="I538" t="n">
        <v>0</v>
      </c>
      <c r="J538" t="n">
        <v>0</v>
      </c>
      <c r="K538" t="n">
        <v>0</v>
      </c>
      <c r="L538" t="n">
        <v>0</v>
      </c>
      <c r="M538" t="n">
        <v>0</v>
      </c>
      <c r="N538" t="n">
        <v>0</v>
      </c>
      <c r="O538" t="n">
        <v>0</v>
      </c>
      <c r="P538" t="n">
        <v>0</v>
      </c>
      <c r="Q538" t="n">
        <v>0</v>
      </c>
      <c r="R538" s="2" t="inlineStr"/>
    </row>
    <row r="539" ht="15" customHeight="1">
      <c r="A539" t="inlineStr">
        <is>
          <t>A 1568-2023</t>
        </is>
      </c>
      <c r="B539" s="1" t="n">
        <v>44937</v>
      </c>
      <c r="C539" s="1" t="n">
        <v>45901</v>
      </c>
      <c r="D539" t="inlineStr">
        <is>
          <t>KALMAR LÄN</t>
        </is>
      </c>
      <c r="E539" t="inlineStr">
        <is>
          <t>VÄSTERVIK</t>
        </is>
      </c>
      <c r="G539" t="n">
        <v>0.8</v>
      </c>
      <c r="H539" t="n">
        <v>0</v>
      </c>
      <c r="I539" t="n">
        <v>0</v>
      </c>
      <c r="J539" t="n">
        <v>0</v>
      </c>
      <c r="K539" t="n">
        <v>0</v>
      </c>
      <c r="L539" t="n">
        <v>0</v>
      </c>
      <c r="M539" t="n">
        <v>0</v>
      </c>
      <c r="N539" t="n">
        <v>0</v>
      </c>
      <c r="O539" t="n">
        <v>0</v>
      </c>
      <c r="P539" t="n">
        <v>0</v>
      </c>
      <c r="Q539" t="n">
        <v>0</v>
      </c>
      <c r="R539" s="2" t="inlineStr"/>
    </row>
    <row r="540" ht="15" customHeight="1">
      <c r="A540" t="inlineStr">
        <is>
          <t>A 45721-2022</t>
        </is>
      </c>
      <c r="B540" s="1" t="n">
        <v>44845</v>
      </c>
      <c r="C540" s="1" t="n">
        <v>45901</v>
      </c>
      <c r="D540" t="inlineStr">
        <is>
          <t>KALMAR LÄN</t>
        </is>
      </c>
      <c r="E540" t="inlineStr">
        <is>
          <t>VÄSTERVIK</t>
        </is>
      </c>
      <c r="F540" t="inlineStr">
        <is>
          <t>Holmen skog AB</t>
        </is>
      </c>
      <c r="G540" t="n">
        <v>3.3</v>
      </c>
      <c r="H540" t="n">
        <v>0</v>
      </c>
      <c r="I540" t="n">
        <v>0</v>
      </c>
      <c r="J540" t="n">
        <v>0</v>
      </c>
      <c r="K540" t="n">
        <v>0</v>
      </c>
      <c r="L540" t="n">
        <v>0</v>
      </c>
      <c r="M540" t="n">
        <v>0</v>
      </c>
      <c r="N540" t="n">
        <v>0</v>
      </c>
      <c r="O540" t="n">
        <v>0</v>
      </c>
      <c r="P540" t="n">
        <v>0</v>
      </c>
      <c r="Q540" t="n">
        <v>0</v>
      </c>
      <c r="R540" s="2" t="inlineStr"/>
      <c r="U540">
        <f>HYPERLINK("https://klasma.github.io/Logging_0883/knärot/A 45721-2022 karta knärot.png", "A 45721-2022")</f>
        <v/>
      </c>
      <c r="V540">
        <f>HYPERLINK("https://klasma.github.io/Logging_0883/klagomål/A 45721-2022 FSC-klagomål.docx", "A 45721-2022")</f>
        <v/>
      </c>
      <c r="W540">
        <f>HYPERLINK("https://klasma.github.io/Logging_0883/klagomålsmail/A 45721-2022 FSC-klagomål mail.docx", "A 45721-2022")</f>
        <v/>
      </c>
      <c r="X540">
        <f>HYPERLINK("https://klasma.github.io/Logging_0883/tillsyn/A 45721-2022 tillsynsbegäran.docx", "A 45721-2022")</f>
        <v/>
      </c>
      <c r="Y540">
        <f>HYPERLINK("https://klasma.github.io/Logging_0883/tillsynsmail/A 45721-2022 tillsynsbegäran mail.docx", "A 45721-2022")</f>
        <v/>
      </c>
    </row>
    <row r="541" ht="15" customHeight="1">
      <c r="A541" t="inlineStr">
        <is>
          <t>A 23022-2025</t>
        </is>
      </c>
      <c r="B541" s="1" t="n">
        <v>45790.65489583334</v>
      </c>
      <c r="C541" s="1" t="n">
        <v>45901</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24212-2025</t>
        </is>
      </c>
      <c r="B542" s="1" t="n">
        <v>45797.34990740741</v>
      </c>
      <c r="C542" s="1" t="n">
        <v>45901</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45877-2020</t>
        </is>
      </c>
      <c r="B543" s="1" t="n">
        <v>44091</v>
      </c>
      <c r="C543" s="1" t="n">
        <v>45901</v>
      </c>
      <c r="D543" t="inlineStr">
        <is>
          <t>KALMAR LÄN</t>
        </is>
      </c>
      <c r="E543" t="inlineStr">
        <is>
          <t>VÄSTERVIK</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55361-2024</t>
        </is>
      </c>
      <c r="B544" s="1" t="n">
        <v>45621.83300925926</v>
      </c>
      <c r="C544" s="1" t="n">
        <v>45901</v>
      </c>
      <c r="D544" t="inlineStr">
        <is>
          <t>KALMAR LÄN</t>
        </is>
      </c>
      <c r="E544" t="inlineStr">
        <is>
          <t>VÄSTERVIK</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55362-2024</t>
        </is>
      </c>
      <c r="B545" s="1" t="n">
        <v>45621.83461805555</v>
      </c>
      <c r="C545" s="1" t="n">
        <v>45901</v>
      </c>
      <c r="D545" t="inlineStr">
        <is>
          <t>KALMAR LÄN</t>
        </is>
      </c>
      <c r="E545" t="inlineStr">
        <is>
          <t>VÄSTERVIK</t>
        </is>
      </c>
      <c r="F545" t="inlineStr">
        <is>
          <t>Sveaskog</t>
        </is>
      </c>
      <c r="G545" t="n">
        <v>2.8</v>
      </c>
      <c r="H545" t="n">
        <v>0</v>
      </c>
      <c r="I545" t="n">
        <v>0</v>
      </c>
      <c r="J545" t="n">
        <v>0</v>
      </c>
      <c r="K545" t="n">
        <v>0</v>
      </c>
      <c r="L545" t="n">
        <v>0</v>
      </c>
      <c r="M545" t="n">
        <v>0</v>
      </c>
      <c r="N545" t="n">
        <v>0</v>
      </c>
      <c r="O545" t="n">
        <v>0</v>
      </c>
      <c r="P545" t="n">
        <v>0</v>
      </c>
      <c r="Q545" t="n">
        <v>0</v>
      </c>
      <c r="R545" s="2" t="inlineStr"/>
    </row>
    <row r="546" ht="15" customHeight="1">
      <c r="A546" t="inlineStr">
        <is>
          <t>A 3041-2025</t>
        </is>
      </c>
      <c r="B546" s="1" t="n">
        <v>45678.60493055556</v>
      </c>
      <c r="C546" s="1" t="n">
        <v>45901</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c r="U546">
        <f>HYPERLINK("https://klasma.github.io/Logging_0883/knärot/A 3041-2025 karta knärot.png", "A 3041-2025")</f>
        <v/>
      </c>
      <c r="V546">
        <f>HYPERLINK("https://klasma.github.io/Logging_0883/klagomål/A 3041-2025 FSC-klagomål.docx", "A 3041-2025")</f>
        <v/>
      </c>
      <c r="W546">
        <f>HYPERLINK("https://klasma.github.io/Logging_0883/klagomålsmail/A 3041-2025 FSC-klagomål mail.docx", "A 3041-2025")</f>
        <v/>
      </c>
      <c r="X546">
        <f>HYPERLINK("https://klasma.github.io/Logging_0883/tillsyn/A 3041-2025 tillsynsbegäran.docx", "A 3041-2025")</f>
        <v/>
      </c>
      <c r="Y546">
        <f>HYPERLINK("https://klasma.github.io/Logging_0883/tillsynsmail/A 3041-2025 tillsynsbegäran mail.docx", "A 3041-2025")</f>
        <v/>
      </c>
    </row>
    <row r="547" ht="15" customHeight="1">
      <c r="A547" t="inlineStr">
        <is>
          <t>A 2360-2025</t>
        </is>
      </c>
      <c r="B547" s="1" t="n">
        <v>45673.69037037037</v>
      </c>
      <c r="C547" s="1" t="n">
        <v>45901</v>
      </c>
      <c r="D547" t="inlineStr">
        <is>
          <t>KALMAR LÄN</t>
        </is>
      </c>
      <c r="E547" t="inlineStr">
        <is>
          <t>VÄSTERVIK</t>
        </is>
      </c>
      <c r="G547" t="n">
        <v>3</v>
      </c>
      <c r="H547" t="n">
        <v>0</v>
      </c>
      <c r="I547" t="n">
        <v>0</v>
      </c>
      <c r="J547" t="n">
        <v>0</v>
      </c>
      <c r="K547" t="n">
        <v>0</v>
      </c>
      <c r="L547" t="n">
        <v>0</v>
      </c>
      <c r="M547" t="n">
        <v>0</v>
      </c>
      <c r="N547" t="n">
        <v>0</v>
      </c>
      <c r="O547" t="n">
        <v>0</v>
      </c>
      <c r="P547" t="n">
        <v>0</v>
      </c>
      <c r="Q547" t="n">
        <v>0</v>
      </c>
      <c r="R547" s="2" t="inlineStr"/>
    </row>
    <row r="548" ht="15" customHeight="1">
      <c r="A548" t="inlineStr">
        <is>
          <t>A 2738-2023</t>
        </is>
      </c>
      <c r="B548" s="1" t="n">
        <v>44944</v>
      </c>
      <c r="C548" s="1" t="n">
        <v>45901</v>
      </c>
      <c r="D548" t="inlineStr">
        <is>
          <t>KALMAR LÄN</t>
        </is>
      </c>
      <c r="E548" t="inlineStr">
        <is>
          <t>VÄSTERVIK</t>
        </is>
      </c>
      <c r="G548" t="n">
        <v>3</v>
      </c>
      <c r="H548" t="n">
        <v>0</v>
      </c>
      <c r="I548" t="n">
        <v>0</v>
      </c>
      <c r="J548" t="n">
        <v>0</v>
      </c>
      <c r="K548" t="n">
        <v>0</v>
      </c>
      <c r="L548" t="n">
        <v>0</v>
      </c>
      <c r="M548" t="n">
        <v>0</v>
      </c>
      <c r="N548" t="n">
        <v>0</v>
      </c>
      <c r="O548" t="n">
        <v>0</v>
      </c>
      <c r="P548" t="n">
        <v>0</v>
      </c>
      <c r="Q548" t="n">
        <v>0</v>
      </c>
      <c r="R548" s="2" t="inlineStr"/>
    </row>
    <row r="549" ht="15" customHeight="1">
      <c r="A549" t="inlineStr">
        <is>
          <t>A 42816-2024</t>
        </is>
      </c>
      <c r="B549" s="1" t="n">
        <v>45566</v>
      </c>
      <c r="C549" s="1" t="n">
        <v>45901</v>
      </c>
      <c r="D549" t="inlineStr">
        <is>
          <t>KALMAR LÄN</t>
        </is>
      </c>
      <c r="E549" t="inlineStr">
        <is>
          <t>VÄSTERVIK</t>
        </is>
      </c>
      <c r="G549" t="n">
        <v>0.1</v>
      </c>
      <c r="H549" t="n">
        <v>0</v>
      </c>
      <c r="I549" t="n">
        <v>0</v>
      </c>
      <c r="J549" t="n">
        <v>0</v>
      </c>
      <c r="K549" t="n">
        <v>0</v>
      </c>
      <c r="L549" t="n">
        <v>0</v>
      </c>
      <c r="M549" t="n">
        <v>0</v>
      </c>
      <c r="N549" t="n">
        <v>0</v>
      </c>
      <c r="O549" t="n">
        <v>0</v>
      </c>
      <c r="P549" t="n">
        <v>0</v>
      </c>
      <c r="Q549" t="n">
        <v>0</v>
      </c>
      <c r="R549" s="2" t="inlineStr"/>
    </row>
    <row r="550" ht="15" customHeight="1">
      <c r="A550" t="inlineStr">
        <is>
          <t>A 7840-2025</t>
        </is>
      </c>
      <c r="B550" s="1" t="n">
        <v>45706.65895833333</v>
      </c>
      <c r="C550" s="1" t="n">
        <v>45901</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57178-2024</t>
        </is>
      </c>
      <c r="B551" s="1" t="n">
        <v>45629.43973379629</v>
      </c>
      <c r="C551" s="1" t="n">
        <v>45901</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170-2022</t>
        </is>
      </c>
      <c r="B552" s="1" t="n">
        <v>44564.62540509259</v>
      </c>
      <c r="C552" s="1" t="n">
        <v>45901</v>
      </c>
      <c r="D552" t="inlineStr">
        <is>
          <t>KALMAR LÄN</t>
        </is>
      </c>
      <c r="E552" t="inlineStr">
        <is>
          <t>VÄSTERVIK</t>
        </is>
      </c>
      <c r="G552" t="n">
        <v>0.8</v>
      </c>
      <c r="H552" t="n">
        <v>0</v>
      </c>
      <c r="I552" t="n">
        <v>0</v>
      </c>
      <c r="J552" t="n">
        <v>0</v>
      </c>
      <c r="K552" t="n">
        <v>0</v>
      </c>
      <c r="L552" t="n">
        <v>0</v>
      </c>
      <c r="M552" t="n">
        <v>0</v>
      </c>
      <c r="N552" t="n">
        <v>0</v>
      </c>
      <c r="O552" t="n">
        <v>0</v>
      </c>
      <c r="P552" t="n">
        <v>0</v>
      </c>
      <c r="Q552" t="n">
        <v>0</v>
      </c>
      <c r="R552" s="2" t="inlineStr"/>
    </row>
    <row r="553" ht="15" customHeight="1">
      <c r="A553" t="inlineStr">
        <is>
          <t>A 174-2022</t>
        </is>
      </c>
      <c r="B553" s="1" t="n">
        <v>44564.62763888889</v>
      </c>
      <c r="C553" s="1" t="n">
        <v>45901</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24819-2025</t>
        </is>
      </c>
      <c r="B554" s="1" t="n">
        <v>45799.45109953704</v>
      </c>
      <c r="C554" s="1" t="n">
        <v>45901</v>
      </c>
      <c r="D554" t="inlineStr">
        <is>
          <t>KALMAR LÄN</t>
        </is>
      </c>
      <c r="E554" t="inlineStr">
        <is>
          <t>VÄSTERVIK</t>
        </is>
      </c>
      <c r="G554" t="n">
        <v>1.2</v>
      </c>
      <c r="H554" t="n">
        <v>0</v>
      </c>
      <c r="I554" t="n">
        <v>0</v>
      </c>
      <c r="J554" t="n">
        <v>0</v>
      </c>
      <c r="K554" t="n">
        <v>0</v>
      </c>
      <c r="L554" t="n">
        <v>0</v>
      </c>
      <c r="M554" t="n">
        <v>0</v>
      </c>
      <c r="N554" t="n">
        <v>0</v>
      </c>
      <c r="O554" t="n">
        <v>0</v>
      </c>
      <c r="P554" t="n">
        <v>0</v>
      </c>
      <c r="Q554" t="n">
        <v>0</v>
      </c>
      <c r="R554" s="2" t="inlineStr"/>
    </row>
    <row r="555" ht="15" customHeight="1">
      <c r="A555" t="inlineStr">
        <is>
          <t>A 58731-2024</t>
        </is>
      </c>
      <c r="B555" s="1" t="n">
        <v>45635.67120370371</v>
      </c>
      <c r="C555" s="1" t="n">
        <v>45901</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4463-2022</t>
        </is>
      </c>
      <c r="B556" s="1" t="n">
        <v>44589</v>
      </c>
      <c r="C556" s="1" t="n">
        <v>45901</v>
      </c>
      <c r="D556" t="inlineStr">
        <is>
          <t>KALMAR LÄN</t>
        </is>
      </c>
      <c r="E556" t="inlineStr">
        <is>
          <t>VÄSTERVIK</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16080-2025</t>
        </is>
      </c>
      <c r="B557" s="1" t="n">
        <v>45749.72953703703</v>
      </c>
      <c r="C557" s="1" t="n">
        <v>45901</v>
      </c>
      <c r="D557" t="inlineStr">
        <is>
          <t>KALMAR LÄN</t>
        </is>
      </c>
      <c r="E557" t="inlineStr">
        <is>
          <t>VÄSTERVIK</t>
        </is>
      </c>
      <c r="G557" t="n">
        <v>1.9</v>
      </c>
      <c r="H557" t="n">
        <v>0</v>
      </c>
      <c r="I557" t="n">
        <v>0</v>
      </c>
      <c r="J557" t="n">
        <v>0</v>
      </c>
      <c r="K557" t="n">
        <v>0</v>
      </c>
      <c r="L557" t="n">
        <v>0</v>
      </c>
      <c r="M557" t="n">
        <v>0</v>
      </c>
      <c r="N557" t="n">
        <v>0</v>
      </c>
      <c r="O557" t="n">
        <v>0</v>
      </c>
      <c r="P557" t="n">
        <v>0</v>
      </c>
      <c r="Q557" t="n">
        <v>0</v>
      </c>
      <c r="R557" s="2" t="inlineStr"/>
    </row>
    <row r="558" ht="15" customHeight="1">
      <c r="A558" t="inlineStr">
        <is>
          <t>A 41926-2024</t>
        </is>
      </c>
      <c r="B558" s="1" t="n">
        <v>45561</v>
      </c>
      <c r="C558" s="1" t="n">
        <v>45901</v>
      </c>
      <c r="D558" t="inlineStr">
        <is>
          <t>KALMAR LÄN</t>
        </is>
      </c>
      <c r="E558" t="inlineStr">
        <is>
          <t>VÄSTERVIK</t>
        </is>
      </c>
      <c r="F558" t="inlineStr">
        <is>
          <t>Kyrkan</t>
        </is>
      </c>
      <c r="G558" t="n">
        <v>10</v>
      </c>
      <c r="H558" t="n">
        <v>0</v>
      </c>
      <c r="I558" t="n">
        <v>0</v>
      </c>
      <c r="J558" t="n">
        <v>0</v>
      </c>
      <c r="K558" t="n">
        <v>0</v>
      </c>
      <c r="L558" t="n">
        <v>0</v>
      </c>
      <c r="M558" t="n">
        <v>0</v>
      </c>
      <c r="N558" t="n">
        <v>0</v>
      </c>
      <c r="O558" t="n">
        <v>0</v>
      </c>
      <c r="P558" t="n">
        <v>0</v>
      </c>
      <c r="Q558" t="n">
        <v>0</v>
      </c>
      <c r="R558" s="2" t="inlineStr"/>
    </row>
    <row r="559" ht="15" customHeight="1">
      <c r="A559" t="inlineStr">
        <is>
          <t>A 14237-2024</t>
        </is>
      </c>
      <c r="B559" s="1" t="n">
        <v>45393.47158564815</v>
      </c>
      <c r="C559" s="1" t="n">
        <v>45901</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4579-2023</t>
        </is>
      </c>
      <c r="B560" s="1" t="n">
        <v>44956.72383101852</v>
      </c>
      <c r="C560" s="1" t="n">
        <v>45901</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65059-2023</t>
        </is>
      </c>
      <c r="B561" s="1" t="n">
        <v>45287</v>
      </c>
      <c r="C561" s="1" t="n">
        <v>45901</v>
      </c>
      <c r="D561" t="inlineStr">
        <is>
          <t>KALMAR LÄN</t>
        </is>
      </c>
      <c r="E561" t="inlineStr">
        <is>
          <t>VÄSTERVIK</t>
        </is>
      </c>
      <c r="F561" t="inlineStr">
        <is>
          <t>Holmen skog AB</t>
        </is>
      </c>
      <c r="G561" t="n">
        <v>4.9</v>
      </c>
      <c r="H561" t="n">
        <v>0</v>
      </c>
      <c r="I561" t="n">
        <v>0</v>
      </c>
      <c r="J561" t="n">
        <v>0</v>
      </c>
      <c r="K561" t="n">
        <v>0</v>
      </c>
      <c r="L561" t="n">
        <v>0</v>
      </c>
      <c r="M561" t="n">
        <v>0</v>
      </c>
      <c r="N561" t="n">
        <v>0</v>
      </c>
      <c r="O561" t="n">
        <v>0</v>
      </c>
      <c r="P561" t="n">
        <v>0</v>
      </c>
      <c r="Q561" t="n">
        <v>0</v>
      </c>
      <c r="R561" s="2" t="inlineStr"/>
    </row>
    <row r="562" ht="15" customHeight="1">
      <c r="A562" t="inlineStr">
        <is>
          <t>A 21824-2023</t>
        </is>
      </c>
      <c r="B562" s="1" t="n">
        <v>45068</v>
      </c>
      <c r="C562" s="1" t="n">
        <v>45901</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14068-2025</t>
        </is>
      </c>
      <c r="B563" s="1" t="n">
        <v>45740.42127314815</v>
      </c>
      <c r="C563" s="1" t="n">
        <v>45901</v>
      </c>
      <c r="D563" t="inlineStr">
        <is>
          <t>KALMAR LÄN</t>
        </is>
      </c>
      <c r="E563" t="inlineStr">
        <is>
          <t>VÄSTERVIK</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14071-2025</t>
        </is>
      </c>
      <c r="B564" s="1" t="n">
        <v>45740.42738425926</v>
      </c>
      <c r="C564" s="1" t="n">
        <v>45901</v>
      </c>
      <c r="D564" t="inlineStr">
        <is>
          <t>KALMAR LÄN</t>
        </is>
      </c>
      <c r="E564" t="inlineStr">
        <is>
          <t>VÄSTERVIK</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25819-2025</t>
        </is>
      </c>
      <c r="B565" s="1" t="n">
        <v>45804.43547453704</v>
      </c>
      <c r="C565" s="1" t="n">
        <v>45901</v>
      </c>
      <c r="D565" t="inlineStr">
        <is>
          <t>KALMAR LÄN</t>
        </is>
      </c>
      <c r="E565" t="inlineStr">
        <is>
          <t>VÄSTERVIK</t>
        </is>
      </c>
      <c r="G565" t="n">
        <v>1.1</v>
      </c>
      <c r="H565" t="n">
        <v>0</v>
      </c>
      <c r="I565" t="n">
        <v>0</v>
      </c>
      <c r="J565" t="n">
        <v>0</v>
      </c>
      <c r="K565" t="n">
        <v>0</v>
      </c>
      <c r="L565" t="n">
        <v>0</v>
      </c>
      <c r="M565" t="n">
        <v>0</v>
      </c>
      <c r="N565" t="n">
        <v>0</v>
      </c>
      <c r="O565" t="n">
        <v>0</v>
      </c>
      <c r="P565" t="n">
        <v>0</v>
      </c>
      <c r="Q565" t="n">
        <v>0</v>
      </c>
      <c r="R565" s="2" t="inlineStr"/>
    </row>
    <row r="566" ht="15" customHeight="1">
      <c r="A566" t="inlineStr">
        <is>
          <t>A 25827-2025</t>
        </is>
      </c>
      <c r="B566" s="1" t="n">
        <v>45804.443125</v>
      </c>
      <c r="C566" s="1" t="n">
        <v>45901</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24578-2024</t>
        </is>
      </c>
      <c r="B567" s="1" t="n">
        <v>45460</v>
      </c>
      <c r="C567" s="1" t="n">
        <v>45901</v>
      </c>
      <c r="D567" t="inlineStr">
        <is>
          <t>KALMAR LÄN</t>
        </is>
      </c>
      <c r="E567" t="inlineStr">
        <is>
          <t>VÄSTERVIK</t>
        </is>
      </c>
      <c r="G567" t="n">
        <v>1.2</v>
      </c>
      <c r="H567" t="n">
        <v>0</v>
      </c>
      <c r="I567" t="n">
        <v>0</v>
      </c>
      <c r="J567" t="n">
        <v>0</v>
      </c>
      <c r="K567" t="n">
        <v>0</v>
      </c>
      <c r="L567" t="n">
        <v>0</v>
      </c>
      <c r="M567" t="n">
        <v>0</v>
      </c>
      <c r="N567" t="n">
        <v>0</v>
      </c>
      <c r="O567" t="n">
        <v>0</v>
      </c>
      <c r="P567" t="n">
        <v>0</v>
      </c>
      <c r="Q567" t="n">
        <v>0</v>
      </c>
      <c r="R567" s="2" t="inlineStr"/>
    </row>
    <row r="568" ht="15" customHeight="1">
      <c r="A568" t="inlineStr">
        <is>
          <t>A 36400-2024</t>
        </is>
      </c>
      <c r="B568" s="1" t="n">
        <v>45535.67180555555</v>
      </c>
      <c r="C568" s="1" t="n">
        <v>45901</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3776-2024</t>
        </is>
      </c>
      <c r="B569" s="1" t="n">
        <v>45321.58569444445</v>
      </c>
      <c r="C569" s="1" t="n">
        <v>45901</v>
      </c>
      <c r="D569" t="inlineStr">
        <is>
          <t>KALMAR LÄN</t>
        </is>
      </c>
      <c r="E569" t="inlineStr">
        <is>
          <t>VÄSTERVIK</t>
        </is>
      </c>
      <c r="G569" t="n">
        <v>4.8</v>
      </c>
      <c r="H569" t="n">
        <v>0</v>
      </c>
      <c r="I569" t="n">
        <v>0</v>
      </c>
      <c r="J569" t="n">
        <v>0</v>
      </c>
      <c r="K569" t="n">
        <v>0</v>
      </c>
      <c r="L569" t="n">
        <v>0</v>
      </c>
      <c r="M569" t="n">
        <v>0</v>
      </c>
      <c r="N569" t="n">
        <v>0</v>
      </c>
      <c r="O569" t="n">
        <v>0</v>
      </c>
      <c r="P569" t="n">
        <v>0</v>
      </c>
      <c r="Q569" t="n">
        <v>0</v>
      </c>
      <c r="R569" s="2" t="inlineStr"/>
    </row>
    <row r="570" ht="15" customHeight="1">
      <c r="A570" t="inlineStr">
        <is>
          <t>A 60710-2022</t>
        </is>
      </c>
      <c r="B570" s="1" t="n">
        <v>44912</v>
      </c>
      <c r="C570" s="1" t="n">
        <v>45901</v>
      </c>
      <c r="D570" t="inlineStr">
        <is>
          <t>KALMAR LÄN</t>
        </is>
      </c>
      <c r="E570" t="inlineStr">
        <is>
          <t>VÄSTERVIK</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60713-2022</t>
        </is>
      </c>
      <c r="B571" s="1" t="n">
        <v>44912</v>
      </c>
      <c r="C571" s="1" t="n">
        <v>45901</v>
      </c>
      <c r="D571" t="inlineStr">
        <is>
          <t>KALMAR LÄN</t>
        </is>
      </c>
      <c r="E571" t="inlineStr">
        <is>
          <t>VÄSTERVIK</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1788-2025</t>
        </is>
      </c>
      <c r="B572" s="1" t="n">
        <v>45671.45521990741</v>
      </c>
      <c r="C572" s="1" t="n">
        <v>45901</v>
      </c>
      <c r="D572" t="inlineStr">
        <is>
          <t>KALMAR LÄN</t>
        </is>
      </c>
      <c r="E572" t="inlineStr">
        <is>
          <t>VÄSTERVIK</t>
        </is>
      </c>
      <c r="F572" t="inlineStr">
        <is>
          <t>Sveaskog</t>
        </is>
      </c>
      <c r="G572" t="n">
        <v>2.7</v>
      </c>
      <c r="H572" t="n">
        <v>0</v>
      </c>
      <c r="I572" t="n">
        <v>0</v>
      </c>
      <c r="J572" t="n">
        <v>0</v>
      </c>
      <c r="K572" t="n">
        <v>0</v>
      </c>
      <c r="L572" t="n">
        <v>0</v>
      </c>
      <c r="M572" t="n">
        <v>0</v>
      </c>
      <c r="N572" t="n">
        <v>0</v>
      </c>
      <c r="O572" t="n">
        <v>0</v>
      </c>
      <c r="P572" t="n">
        <v>0</v>
      </c>
      <c r="Q572" t="n">
        <v>0</v>
      </c>
      <c r="R572" s="2" t="inlineStr"/>
    </row>
    <row r="573" ht="15" customHeight="1">
      <c r="A573" t="inlineStr">
        <is>
          <t>A 55565-2024</t>
        </is>
      </c>
      <c r="B573" s="1" t="n">
        <v>45622.54515046296</v>
      </c>
      <c r="C573" s="1" t="n">
        <v>45901</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56440-2024</t>
        </is>
      </c>
      <c r="B574" s="1" t="n">
        <v>45625.41949074074</v>
      </c>
      <c r="C574" s="1" t="n">
        <v>45901</v>
      </c>
      <c r="D574" t="inlineStr">
        <is>
          <t>KALMAR LÄN</t>
        </is>
      </c>
      <c r="E574" t="inlineStr">
        <is>
          <t>VÄSTERVIK</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10771-2025</t>
        </is>
      </c>
      <c r="B575" s="1" t="n">
        <v>45722.46953703704</v>
      </c>
      <c r="C575" s="1" t="n">
        <v>45901</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28657-2024</t>
        </is>
      </c>
      <c r="B576" s="1" t="n">
        <v>45478</v>
      </c>
      <c r="C576" s="1" t="n">
        <v>45901</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50911-2022</t>
        </is>
      </c>
      <c r="B577" s="1" t="n">
        <v>44867.62262731481</v>
      </c>
      <c r="C577" s="1" t="n">
        <v>45901</v>
      </c>
      <c r="D577" t="inlineStr">
        <is>
          <t>KALMAR LÄN</t>
        </is>
      </c>
      <c r="E577" t="inlineStr">
        <is>
          <t>VÄSTERVIK</t>
        </is>
      </c>
      <c r="F577" t="inlineStr">
        <is>
          <t>Sveaskog</t>
        </is>
      </c>
      <c r="G577" t="n">
        <v>3</v>
      </c>
      <c r="H577" t="n">
        <v>0</v>
      </c>
      <c r="I577" t="n">
        <v>0</v>
      </c>
      <c r="J577" t="n">
        <v>0</v>
      </c>
      <c r="K577" t="n">
        <v>0</v>
      </c>
      <c r="L577" t="n">
        <v>0</v>
      </c>
      <c r="M577" t="n">
        <v>0</v>
      </c>
      <c r="N577" t="n">
        <v>0</v>
      </c>
      <c r="O577" t="n">
        <v>0</v>
      </c>
      <c r="P577" t="n">
        <v>0</v>
      </c>
      <c r="Q577" t="n">
        <v>0</v>
      </c>
      <c r="R577" s="2" t="inlineStr"/>
    </row>
    <row r="578" ht="15" customHeight="1">
      <c r="A578" t="inlineStr">
        <is>
          <t>A 36906-2024</t>
        </is>
      </c>
      <c r="B578" s="1" t="n">
        <v>45538</v>
      </c>
      <c r="C578" s="1" t="n">
        <v>45901</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26061-2024</t>
        </is>
      </c>
      <c r="B579" s="1" t="n">
        <v>45468.35030092593</v>
      </c>
      <c r="C579" s="1" t="n">
        <v>45901</v>
      </c>
      <c r="D579" t="inlineStr">
        <is>
          <t>KALMAR LÄN</t>
        </is>
      </c>
      <c r="E579" t="inlineStr">
        <is>
          <t>VÄSTERVIK</t>
        </is>
      </c>
      <c r="G579" t="n">
        <v>0.5</v>
      </c>
      <c r="H579" t="n">
        <v>0</v>
      </c>
      <c r="I579" t="n">
        <v>0</v>
      </c>
      <c r="J579" t="n">
        <v>0</v>
      </c>
      <c r="K579" t="n">
        <v>0</v>
      </c>
      <c r="L579" t="n">
        <v>0</v>
      </c>
      <c r="M579" t="n">
        <v>0</v>
      </c>
      <c r="N579" t="n">
        <v>0</v>
      </c>
      <c r="O579" t="n">
        <v>0</v>
      </c>
      <c r="P579" t="n">
        <v>0</v>
      </c>
      <c r="Q579" t="n">
        <v>0</v>
      </c>
      <c r="R579" s="2" t="inlineStr"/>
    </row>
    <row r="580" ht="15" customHeight="1">
      <c r="A580" t="inlineStr">
        <is>
          <t>A 26066-2024</t>
        </is>
      </c>
      <c r="B580" s="1" t="n">
        <v>45468.35390046296</v>
      </c>
      <c r="C580" s="1" t="n">
        <v>45901</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58764-2024</t>
        </is>
      </c>
      <c r="B581" s="1" t="n">
        <v>45635.72293981481</v>
      </c>
      <c r="C581" s="1" t="n">
        <v>45901</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10778-2025</t>
        </is>
      </c>
      <c r="B582" s="1" t="n">
        <v>45722</v>
      </c>
      <c r="C582" s="1" t="n">
        <v>45901</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13489-2022</t>
        </is>
      </c>
      <c r="B583" s="1" t="n">
        <v>44646</v>
      </c>
      <c r="C583" s="1" t="n">
        <v>45901</v>
      </c>
      <c r="D583" t="inlineStr">
        <is>
          <t>KALMAR LÄN</t>
        </is>
      </c>
      <c r="E583" t="inlineStr">
        <is>
          <t>VÄSTERVIK</t>
        </is>
      </c>
      <c r="G583" t="n">
        <v>2.5</v>
      </c>
      <c r="H583" t="n">
        <v>0</v>
      </c>
      <c r="I583" t="n">
        <v>0</v>
      </c>
      <c r="J583" t="n">
        <v>0</v>
      </c>
      <c r="K583" t="n">
        <v>0</v>
      </c>
      <c r="L583" t="n">
        <v>0</v>
      </c>
      <c r="M583" t="n">
        <v>0</v>
      </c>
      <c r="N583" t="n">
        <v>0</v>
      </c>
      <c r="O583" t="n">
        <v>0</v>
      </c>
      <c r="P583" t="n">
        <v>0</v>
      </c>
      <c r="Q583" t="n">
        <v>0</v>
      </c>
      <c r="R583" s="2" t="inlineStr"/>
    </row>
    <row r="584" ht="15" customHeight="1">
      <c r="A584" t="inlineStr">
        <is>
          <t>A 7883-2025</t>
        </is>
      </c>
      <c r="B584" s="1" t="n">
        <v>45706.8156712963</v>
      </c>
      <c r="C584" s="1" t="n">
        <v>45901</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62921-2023</t>
        </is>
      </c>
      <c r="B585" s="1" t="n">
        <v>45272</v>
      </c>
      <c r="C585" s="1" t="n">
        <v>45901</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2872-2025</t>
        </is>
      </c>
      <c r="B586" s="1" t="n">
        <v>45677.68357638889</v>
      </c>
      <c r="C586" s="1" t="n">
        <v>45901</v>
      </c>
      <c r="D586" t="inlineStr">
        <is>
          <t>KALMAR LÄN</t>
        </is>
      </c>
      <c r="E586" t="inlineStr">
        <is>
          <t>VÄSTERVIK</t>
        </is>
      </c>
      <c r="G586" t="n">
        <v>0.9</v>
      </c>
      <c r="H586" t="n">
        <v>0</v>
      </c>
      <c r="I586" t="n">
        <v>0</v>
      </c>
      <c r="J586" t="n">
        <v>0</v>
      </c>
      <c r="K586" t="n">
        <v>0</v>
      </c>
      <c r="L586" t="n">
        <v>0</v>
      </c>
      <c r="M586" t="n">
        <v>0</v>
      </c>
      <c r="N586" t="n">
        <v>0</v>
      </c>
      <c r="O586" t="n">
        <v>0</v>
      </c>
      <c r="P586" t="n">
        <v>0</v>
      </c>
      <c r="Q586" t="n">
        <v>0</v>
      </c>
      <c r="R586" s="2" t="inlineStr"/>
    </row>
    <row r="587" ht="15" customHeight="1">
      <c r="A587" t="inlineStr">
        <is>
          <t>A 5982-2023</t>
        </is>
      </c>
      <c r="B587" s="1" t="n">
        <v>44964.35730324074</v>
      </c>
      <c r="C587" s="1" t="n">
        <v>45901</v>
      </c>
      <c r="D587" t="inlineStr">
        <is>
          <t>KALMAR LÄN</t>
        </is>
      </c>
      <c r="E587" t="inlineStr">
        <is>
          <t>VÄSTERVIK</t>
        </is>
      </c>
      <c r="G587" t="n">
        <v>2.8</v>
      </c>
      <c r="H587" t="n">
        <v>0</v>
      </c>
      <c r="I587" t="n">
        <v>0</v>
      </c>
      <c r="J587" t="n">
        <v>0</v>
      </c>
      <c r="K587" t="n">
        <v>0</v>
      </c>
      <c r="L587" t="n">
        <v>0</v>
      </c>
      <c r="M587" t="n">
        <v>0</v>
      </c>
      <c r="N587" t="n">
        <v>0</v>
      </c>
      <c r="O587" t="n">
        <v>0</v>
      </c>
      <c r="P587" t="n">
        <v>0</v>
      </c>
      <c r="Q587" t="n">
        <v>0</v>
      </c>
      <c r="R587" s="2" t="inlineStr"/>
    </row>
    <row r="588" ht="15" customHeight="1">
      <c r="A588" t="inlineStr">
        <is>
          <t>A 11198-2024</t>
        </is>
      </c>
      <c r="B588" s="1" t="n">
        <v>45371</v>
      </c>
      <c r="C588" s="1" t="n">
        <v>45901</v>
      </c>
      <c r="D588" t="inlineStr">
        <is>
          <t>KALMAR LÄN</t>
        </is>
      </c>
      <c r="E588" t="inlineStr">
        <is>
          <t>VÄSTERVIK</t>
        </is>
      </c>
      <c r="G588" t="n">
        <v>4.1</v>
      </c>
      <c r="H588" t="n">
        <v>0</v>
      </c>
      <c r="I588" t="n">
        <v>0</v>
      </c>
      <c r="J588" t="n">
        <v>0</v>
      </c>
      <c r="K588" t="n">
        <v>0</v>
      </c>
      <c r="L588" t="n">
        <v>0</v>
      </c>
      <c r="M588" t="n">
        <v>0</v>
      </c>
      <c r="N588" t="n">
        <v>0</v>
      </c>
      <c r="O588" t="n">
        <v>0</v>
      </c>
      <c r="P588" t="n">
        <v>0</v>
      </c>
      <c r="Q588" t="n">
        <v>0</v>
      </c>
      <c r="R588" s="2" t="inlineStr"/>
    </row>
    <row r="589" ht="15" customHeight="1">
      <c r="A589" t="inlineStr">
        <is>
          <t>A 16381-2024</t>
        </is>
      </c>
      <c r="B589" s="1" t="n">
        <v>45407.61327546297</v>
      </c>
      <c r="C589" s="1" t="n">
        <v>45901</v>
      </c>
      <c r="D589" t="inlineStr">
        <is>
          <t>KALMAR LÄN</t>
        </is>
      </c>
      <c r="E589" t="inlineStr">
        <is>
          <t>VÄSTERVIK</t>
        </is>
      </c>
      <c r="F589" t="inlineStr">
        <is>
          <t>Holmen skog AB</t>
        </is>
      </c>
      <c r="G589" t="n">
        <v>6.5</v>
      </c>
      <c r="H589" t="n">
        <v>0</v>
      </c>
      <c r="I589" t="n">
        <v>0</v>
      </c>
      <c r="J589" t="n">
        <v>0</v>
      </c>
      <c r="K589" t="n">
        <v>0</v>
      </c>
      <c r="L589" t="n">
        <v>0</v>
      </c>
      <c r="M589" t="n">
        <v>0</v>
      </c>
      <c r="N589" t="n">
        <v>0</v>
      </c>
      <c r="O589" t="n">
        <v>0</v>
      </c>
      <c r="P589" t="n">
        <v>0</v>
      </c>
      <c r="Q589" t="n">
        <v>0</v>
      </c>
      <c r="R589" s="2" t="inlineStr"/>
    </row>
    <row r="590" ht="15" customHeight="1">
      <c r="A590" t="inlineStr">
        <is>
          <t>A 26633-2025</t>
        </is>
      </c>
      <c r="B590" s="1" t="n">
        <v>45810.35262731482</v>
      </c>
      <c r="C590" s="1" t="n">
        <v>45901</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26566-2025</t>
        </is>
      </c>
      <c r="B591" s="1" t="n">
        <v>45807.66685185185</v>
      </c>
      <c r="C591" s="1" t="n">
        <v>45901</v>
      </c>
      <c r="D591" t="inlineStr">
        <is>
          <t>KALMAR LÄN</t>
        </is>
      </c>
      <c r="E591" t="inlineStr">
        <is>
          <t>VÄSTERVIK</t>
        </is>
      </c>
      <c r="G591" t="n">
        <v>2.5</v>
      </c>
      <c r="H591" t="n">
        <v>0</v>
      </c>
      <c r="I591" t="n">
        <v>0</v>
      </c>
      <c r="J591" t="n">
        <v>0</v>
      </c>
      <c r="K591" t="n">
        <v>0</v>
      </c>
      <c r="L591" t="n">
        <v>0</v>
      </c>
      <c r="M591" t="n">
        <v>0</v>
      </c>
      <c r="N591" t="n">
        <v>0</v>
      </c>
      <c r="O591" t="n">
        <v>0</v>
      </c>
      <c r="P591" t="n">
        <v>0</v>
      </c>
      <c r="Q591" t="n">
        <v>0</v>
      </c>
      <c r="R591" s="2" t="inlineStr"/>
    </row>
    <row r="592" ht="15" customHeight="1">
      <c r="A592" t="inlineStr">
        <is>
          <t>A 26569-2025</t>
        </is>
      </c>
      <c r="B592" s="1" t="n">
        <v>45807.67638888889</v>
      </c>
      <c r="C592" s="1" t="n">
        <v>45901</v>
      </c>
      <c r="D592" t="inlineStr">
        <is>
          <t>KALMAR LÄN</t>
        </is>
      </c>
      <c r="E592" t="inlineStr">
        <is>
          <t>VÄSTERVIK</t>
        </is>
      </c>
      <c r="G592" t="n">
        <v>0.6</v>
      </c>
      <c r="H592" t="n">
        <v>0</v>
      </c>
      <c r="I592" t="n">
        <v>0</v>
      </c>
      <c r="J592" t="n">
        <v>0</v>
      </c>
      <c r="K592" t="n">
        <v>0</v>
      </c>
      <c r="L592" t="n">
        <v>0</v>
      </c>
      <c r="M592" t="n">
        <v>0</v>
      </c>
      <c r="N592" t="n">
        <v>0</v>
      </c>
      <c r="O592" t="n">
        <v>0</v>
      </c>
      <c r="P592" t="n">
        <v>0</v>
      </c>
      <c r="Q592" t="n">
        <v>0</v>
      </c>
      <c r="R592" s="2" t="inlineStr"/>
    </row>
    <row r="593" ht="15" customHeight="1">
      <c r="A593" t="inlineStr">
        <is>
          <t>A 26572-2025</t>
        </is>
      </c>
      <c r="B593" s="1" t="n">
        <v>45807.68232638889</v>
      </c>
      <c r="C593" s="1" t="n">
        <v>45901</v>
      </c>
      <c r="D593" t="inlineStr">
        <is>
          <t>KALMAR LÄN</t>
        </is>
      </c>
      <c r="E593" t="inlineStr">
        <is>
          <t>VÄSTERVIK</t>
        </is>
      </c>
      <c r="G593" t="n">
        <v>2.9</v>
      </c>
      <c r="H593" t="n">
        <v>0</v>
      </c>
      <c r="I593" t="n">
        <v>0</v>
      </c>
      <c r="J593" t="n">
        <v>0</v>
      </c>
      <c r="K593" t="n">
        <v>0</v>
      </c>
      <c r="L593" t="n">
        <v>0</v>
      </c>
      <c r="M593" t="n">
        <v>0</v>
      </c>
      <c r="N593" t="n">
        <v>0</v>
      </c>
      <c r="O593" t="n">
        <v>0</v>
      </c>
      <c r="P593" t="n">
        <v>0</v>
      </c>
      <c r="Q593" t="n">
        <v>0</v>
      </c>
      <c r="R593" s="2" t="inlineStr"/>
    </row>
    <row r="594" ht="15" customHeight="1">
      <c r="A594" t="inlineStr">
        <is>
          <t>A 2859-2025</t>
        </is>
      </c>
      <c r="B594" s="1" t="n">
        <v>45677.67003472222</v>
      </c>
      <c r="C594" s="1" t="n">
        <v>45901</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2870-2025</t>
        </is>
      </c>
      <c r="B595" s="1" t="n">
        <v>45677.68149305556</v>
      </c>
      <c r="C595" s="1" t="n">
        <v>45901</v>
      </c>
      <c r="D595" t="inlineStr">
        <is>
          <t>KALMAR LÄN</t>
        </is>
      </c>
      <c r="E595" t="inlineStr">
        <is>
          <t>VÄSTERVIK</t>
        </is>
      </c>
      <c r="G595" t="n">
        <v>1.2</v>
      </c>
      <c r="H595" t="n">
        <v>0</v>
      </c>
      <c r="I595" t="n">
        <v>0</v>
      </c>
      <c r="J595" t="n">
        <v>0</v>
      </c>
      <c r="K595" t="n">
        <v>0</v>
      </c>
      <c r="L595" t="n">
        <v>0</v>
      </c>
      <c r="M595" t="n">
        <v>0</v>
      </c>
      <c r="N595" t="n">
        <v>0</v>
      </c>
      <c r="O595" t="n">
        <v>0</v>
      </c>
      <c r="P595" t="n">
        <v>0</v>
      </c>
      <c r="Q595" t="n">
        <v>0</v>
      </c>
      <c r="R595" s="2" t="inlineStr"/>
    </row>
    <row r="596" ht="15" customHeight="1">
      <c r="A596" t="inlineStr">
        <is>
          <t>A 26568-2025</t>
        </is>
      </c>
      <c r="B596" s="1" t="n">
        <v>45807.67447916666</v>
      </c>
      <c r="C596" s="1" t="n">
        <v>45901</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26571-2025</t>
        </is>
      </c>
      <c r="B597" s="1" t="n">
        <v>45807.6794212963</v>
      </c>
      <c r="C597" s="1" t="n">
        <v>45901</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60453-2024</t>
        </is>
      </c>
      <c r="B598" s="1" t="n">
        <v>45643.60487268519</v>
      </c>
      <c r="C598" s="1" t="n">
        <v>45901</v>
      </c>
      <c r="D598" t="inlineStr">
        <is>
          <t>KALMAR LÄN</t>
        </is>
      </c>
      <c r="E598" t="inlineStr">
        <is>
          <t>VÄSTERVIK</t>
        </is>
      </c>
      <c r="G598" t="n">
        <v>7.1</v>
      </c>
      <c r="H598" t="n">
        <v>0</v>
      </c>
      <c r="I598" t="n">
        <v>0</v>
      </c>
      <c r="J598" t="n">
        <v>0</v>
      </c>
      <c r="K598" t="n">
        <v>0</v>
      </c>
      <c r="L598" t="n">
        <v>0</v>
      </c>
      <c r="M598" t="n">
        <v>0</v>
      </c>
      <c r="N598" t="n">
        <v>0</v>
      </c>
      <c r="O598" t="n">
        <v>0</v>
      </c>
      <c r="P598" t="n">
        <v>0</v>
      </c>
      <c r="Q598" t="n">
        <v>0</v>
      </c>
      <c r="R598" s="2" t="inlineStr"/>
    </row>
    <row r="599" ht="15" customHeight="1">
      <c r="A599" t="inlineStr">
        <is>
          <t>A 5079-2025</t>
        </is>
      </c>
      <c r="B599" s="1" t="n">
        <v>45691.50069444445</v>
      </c>
      <c r="C599" s="1" t="n">
        <v>45901</v>
      </c>
      <c r="D599" t="inlineStr">
        <is>
          <t>KALMAR LÄN</t>
        </is>
      </c>
      <c r="E599" t="inlineStr">
        <is>
          <t>VÄSTERVIK</t>
        </is>
      </c>
      <c r="F599" t="inlineStr">
        <is>
          <t>Holmen skog AB</t>
        </is>
      </c>
      <c r="G599" t="n">
        <v>3.3</v>
      </c>
      <c r="H599" t="n">
        <v>0</v>
      </c>
      <c r="I599" t="n">
        <v>0</v>
      </c>
      <c r="J599" t="n">
        <v>0</v>
      </c>
      <c r="K599" t="n">
        <v>0</v>
      </c>
      <c r="L599" t="n">
        <v>0</v>
      </c>
      <c r="M599" t="n">
        <v>0</v>
      </c>
      <c r="N599" t="n">
        <v>0</v>
      </c>
      <c r="O599" t="n">
        <v>0</v>
      </c>
      <c r="P599" t="n">
        <v>0</v>
      </c>
      <c r="Q599" t="n">
        <v>0</v>
      </c>
      <c r="R599" s="2" t="inlineStr"/>
    </row>
    <row r="600" ht="15" customHeight="1">
      <c r="A600" t="inlineStr">
        <is>
          <t>A 32137-2024</t>
        </is>
      </c>
      <c r="B600" s="1" t="n">
        <v>45511</v>
      </c>
      <c r="C600" s="1" t="n">
        <v>45901</v>
      </c>
      <c r="D600" t="inlineStr">
        <is>
          <t>KALMAR LÄN</t>
        </is>
      </c>
      <c r="E600" t="inlineStr">
        <is>
          <t>VÄSTERVIK</t>
        </is>
      </c>
      <c r="F600" t="inlineStr">
        <is>
          <t>Övriga Aktiebolag</t>
        </is>
      </c>
      <c r="G600" t="n">
        <v>1.4</v>
      </c>
      <c r="H600" t="n">
        <v>0</v>
      </c>
      <c r="I600" t="n">
        <v>0</v>
      </c>
      <c r="J600" t="n">
        <v>0</v>
      </c>
      <c r="K600" t="n">
        <v>0</v>
      </c>
      <c r="L600" t="n">
        <v>0</v>
      </c>
      <c r="M600" t="n">
        <v>0</v>
      </c>
      <c r="N600" t="n">
        <v>0</v>
      </c>
      <c r="O600" t="n">
        <v>0</v>
      </c>
      <c r="P600" t="n">
        <v>0</v>
      </c>
      <c r="Q600" t="n">
        <v>0</v>
      </c>
      <c r="R600" s="2" t="inlineStr"/>
    </row>
    <row r="601" ht="15" customHeight="1">
      <c r="A601" t="inlineStr">
        <is>
          <t>A 55032-2024</t>
        </is>
      </c>
      <c r="B601" s="1" t="n">
        <v>45621.38190972222</v>
      </c>
      <c r="C601" s="1" t="n">
        <v>45901</v>
      </c>
      <c r="D601" t="inlineStr">
        <is>
          <t>KALMAR LÄN</t>
        </is>
      </c>
      <c r="E601" t="inlineStr">
        <is>
          <t>VÄSTERVIK</t>
        </is>
      </c>
      <c r="F601" t="inlineStr">
        <is>
          <t>Sveaskog</t>
        </is>
      </c>
      <c r="G601" t="n">
        <v>2.9</v>
      </c>
      <c r="H601" t="n">
        <v>0</v>
      </c>
      <c r="I601" t="n">
        <v>0</v>
      </c>
      <c r="J601" t="n">
        <v>0</v>
      </c>
      <c r="K601" t="n">
        <v>0</v>
      </c>
      <c r="L601" t="n">
        <v>0</v>
      </c>
      <c r="M601" t="n">
        <v>0</v>
      </c>
      <c r="N601" t="n">
        <v>0</v>
      </c>
      <c r="O601" t="n">
        <v>0</v>
      </c>
      <c r="P601" t="n">
        <v>0</v>
      </c>
      <c r="Q601" t="n">
        <v>0</v>
      </c>
      <c r="R601" s="2" t="inlineStr"/>
    </row>
    <row r="602" ht="15" customHeight="1">
      <c r="A602" t="inlineStr">
        <is>
          <t>A 55037-2024</t>
        </is>
      </c>
      <c r="B602" s="1" t="n">
        <v>45621.38459490741</v>
      </c>
      <c r="C602" s="1" t="n">
        <v>45901</v>
      </c>
      <c r="D602" t="inlineStr">
        <is>
          <t>KALMAR LÄN</t>
        </is>
      </c>
      <c r="E602" t="inlineStr">
        <is>
          <t>VÄSTERVIK</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55358-2024</t>
        </is>
      </c>
      <c r="B603" s="1" t="n">
        <v>45621.82039351852</v>
      </c>
      <c r="C603" s="1" t="n">
        <v>45901</v>
      </c>
      <c r="D603" t="inlineStr">
        <is>
          <t>KALMAR LÄN</t>
        </is>
      </c>
      <c r="E603" t="inlineStr">
        <is>
          <t>VÄSTERVIK</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5450-2022</t>
        </is>
      </c>
      <c r="B604" s="1" t="n">
        <v>44595</v>
      </c>
      <c r="C604" s="1" t="n">
        <v>45901</v>
      </c>
      <c r="D604" t="inlineStr">
        <is>
          <t>KALMAR LÄN</t>
        </is>
      </c>
      <c r="E604" t="inlineStr">
        <is>
          <t>VÄSTERVIK</t>
        </is>
      </c>
      <c r="G604" t="n">
        <v>0.7</v>
      </c>
      <c r="H604" t="n">
        <v>0</v>
      </c>
      <c r="I604" t="n">
        <v>0</v>
      </c>
      <c r="J604" t="n">
        <v>0</v>
      </c>
      <c r="K604" t="n">
        <v>0</v>
      </c>
      <c r="L604" t="n">
        <v>0</v>
      </c>
      <c r="M604" t="n">
        <v>0</v>
      </c>
      <c r="N604" t="n">
        <v>0</v>
      </c>
      <c r="O604" t="n">
        <v>0</v>
      </c>
      <c r="P604" t="n">
        <v>0</v>
      </c>
      <c r="Q604" t="n">
        <v>0</v>
      </c>
      <c r="R604" s="2" t="inlineStr"/>
    </row>
    <row r="605" ht="15" customHeight="1">
      <c r="A605" t="inlineStr">
        <is>
          <t>A 19551-2023</t>
        </is>
      </c>
      <c r="B605" s="1" t="n">
        <v>45049</v>
      </c>
      <c r="C605" s="1" t="n">
        <v>45901</v>
      </c>
      <c r="D605" t="inlineStr">
        <is>
          <t>KALMAR LÄN</t>
        </is>
      </c>
      <c r="E605" t="inlineStr">
        <is>
          <t>VÄSTERVIK</t>
        </is>
      </c>
      <c r="G605" t="n">
        <v>3.2</v>
      </c>
      <c r="H605" t="n">
        <v>0</v>
      </c>
      <c r="I605" t="n">
        <v>0</v>
      </c>
      <c r="J605" t="n">
        <v>0</v>
      </c>
      <c r="K605" t="n">
        <v>0</v>
      </c>
      <c r="L605" t="n">
        <v>0</v>
      </c>
      <c r="M605" t="n">
        <v>0</v>
      </c>
      <c r="N605" t="n">
        <v>0</v>
      </c>
      <c r="O605" t="n">
        <v>0</v>
      </c>
      <c r="P605" t="n">
        <v>0</v>
      </c>
      <c r="Q605" t="n">
        <v>0</v>
      </c>
      <c r="R605" s="2" t="inlineStr"/>
    </row>
    <row r="606" ht="15" customHeight="1">
      <c r="A606" t="inlineStr">
        <is>
          <t>A 32394-2021</t>
        </is>
      </c>
      <c r="B606" s="1" t="n">
        <v>44371.63414351852</v>
      </c>
      <c r="C606" s="1" t="n">
        <v>45901</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27446-2025</t>
        </is>
      </c>
      <c r="B607" s="1" t="n">
        <v>45813.32667824074</v>
      </c>
      <c r="C607" s="1" t="n">
        <v>45901</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27980-2025</t>
        </is>
      </c>
      <c r="B608" s="1" t="n">
        <v>45817.57395833333</v>
      </c>
      <c r="C608" s="1" t="n">
        <v>45901</v>
      </c>
      <c r="D608" t="inlineStr">
        <is>
          <t>KALMAR LÄN</t>
        </is>
      </c>
      <c r="E608" t="inlineStr">
        <is>
          <t>VÄSTERVIK</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17052-2025</t>
        </is>
      </c>
      <c r="B609" s="1" t="n">
        <v>45755.60236111111</v>
      </c>
      <c r="C609" s="1" t="n">
        <v>45901</v>
      </c>
      <c r="D609" t="inlineStr">
        <is>
          <t>KALMAR LÄN</t>
        </is>
      </c>
      <c r="E609" t="inlineStr">
        <is>
          <t>VÄSTERVIK</t>
        </is>
      </c>
      <c r="G609" t="n">
        <v>2.3</v>
      </c>
      <c r="H609" t="n">
        <v>0</v>
      </c>
      <c r="I609" t="n">
        <v>0</v>
      </c>
      <c r="J609" t="n">
        <v>0</v>
      </c>
      <c r="K609" t="n">
        <v>0</v>
      </c>
      <c r="L609" t="n">
        <v>0</v>
      </c>
      <c r="M609" t="n">
        <v>0</v>
      </c>
      <c r="N609" t="n">
        <v>0</v>
      </c>
      <c r="O609" t="n">
        <v>0</v>
      </c>
      <c r="P609" t="n">
        <v>0</v>
      </c>
      <c r="Q609" t="n">
        <v>0</v>
      </c>
      <c r="R609" s="2" t="inlineStr"/>
    </row>
    <row r="610" ht="15" customHeight="1">
      <c r="A610" t="inlineStr">
        <is>
          <t>A 17054-2025</t>
        </is>
      </c>
      <c r="B610" s="1" t="n">
        <v>45755.60278935185</v>
      </c>
      <c r="C610" s="1" t="n">
        <v>45901</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26770-2023</t>
        </is>
      </c>
      <c r="B611" s="1" t="n">
        <v>45093</v>
      </c>
      <c r="C611" s="1" t="n">
        <v>45901</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26772-2023</t>
        </is>
      </c>
      <c r="B612" s="1" t="n">
        <v>45093</v>
      </c>
      <c r="C612" s="1" t="n">
        <v>45901</v>
      </c>
      <c r="D612" t="inlineStr">
        <is>
          <t>KALMAR LÄN</t>
        </is>
      </c>
      <c r="E612" t="inlineStr">
        <is>
          <t>VÄSTERVIK</t>
        </is>
      </c>
      <c r="G612" t="n">
        <v>2</v>
      </c>
      <c r="H612" t="n">
        <v>0</v>
      </c>
      <c r="I612" t="n">
        <v>0</v>
      </c>
      <c r="J612" t="n">
        <v>0</v>
      </c>
      <c r="K612" t="n">
        <v>0</v>
      </c>
      <c r="L612" t="n">
        <v>0</v>
      </c>
      <c r="M612" t="n">
        <v>0</v>
      </c>
      <c r="N612" t="n">
        <v>0</v>
      </c>
      <c r="O612" t="n">
        <v>0</v>
      </c>
      <c r="P612" t="n">
        <v>0</v>
      </c>
      <c r="Q612" t="n">
        <v>0</v>
      </c>
      <c r="R612" s="2" t="inlineStr"/>
    </row>
    <row r="613" ht="15" customHeight="1">
      <c r="A613" t="inlineStr">
        <is>
          <t>A 26773-2023</t>
        </is>
      </c>
      <c r="B613" s="1" t="n">
        <v>45093</v>
      </c>
      <c r="C613" s="1" t="n">
        <v>45901</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16586-2022</t>
        </is>
      </c>
      <c r="B614" s="1" t="n">
        <v>44672.47105324074</v>
      </c>
      <c r="C614" s="1" t="n">
        <v>45901</v>
      </c>
      <c r="D614" t="inlineStr">
        <is>
          <t>KALMAR LÄN</t>
        </is>
      </c>
      <c r="E614" t="inlineStr">
        <is>
          <t>VÄSTERVIK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46130-2023</t>
        </is>
      </c>
      <c r="B615" s="1" t="n">
        <v>45196.55849537037</v>
      </c>
      <c r="C615" s="1" t="n">
        <v>45901</v>
      </c>
      <c r="D615" t="inlineStr">
        <is>
          <t>KALMAR LÄN</t>
        </is>
      </c>
      <c r="E615" t="inlineStr">
        <is>
          <t>VÄSTERVIK</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16207-2022</t>
        </is>
      </c>
      <c r="B616" s="1" t="n">
        <v>44669</v>
      </c>
      <c r="C616" s="1" t="n">
        <v>45901</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16839-2025</t>
        </is>
      </c>
      <c r="B617" s="1" t="n">
        <v>45754.66733796296</v>
      </c>
      <c r="C617" s="1" t="n">
        <v>45901</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27978-2025</t>
        </is>
      </c>
      <c r="B618" s="1" t="n">
        <v>45817.57153935185</v>
      </c>
      <c r="C618" s="1" t="n">
        <v>45901</v>
      </c>
      <c r="D618" t="inlineStr">
        <is>
          <t>KALMAR LÄN</t>
        </is>
      </c>
      <c r="E618" t="inlineStr">
        <is>
          <t>VÄSTERVIK</t>
        </is>
      </c>
      <c r="F618" t="inlineStr">
        <is>
          <t>Sveaskog</t>
        </is>
      </c>
      <c r="G618" t="n">
        <v>10.8</v>
      </c>
      <c r="H618" t="n">
        <v>0</v>
      </c>
      <c r="I618" t="n">
        <v>0</v>
      </c>
      <c r="J618" t="n">
        <v>0</v>
      </c>
      <c r="K618" t="n">
        <v>0</v>
      </c>
      <c r="L618" t="n">
        <v>0</v>
      </c>
      <c r="M618" t="n">
        <v>0</v>
      </c>
      <c r="N618" t="n">
        <v>0</v>
      </c>
      <c r="O618" t="n">
        <v>0</v>
      </c>
      <c r="P618" t="n">
        <v>0</v>
      </c>
      <c r="Q618" t="n">
        <v>0</v>
      </c>
      <c r="R618" s="2" t="inlineStr"/>
    </row>
    <row r="619" ht="15" customHeight="1">
      <c r="A619" t="inlineStr">
        <is>
          <t>A 1867-2025</t>
        </is>
      </c>
      <c r="B619" s="1" t="n">
        <v>45671.61569444444</v>
      </c>
      <c r="C619" s="1" t="n">
        <v>45901</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28203-2025</t>
        </is>
      </c>
      <c r="B620" s="1" t="n">
        <v>45818.44662037037</v>
      </c>
      <c r="C620" s="1" t="n">
        <v>45901</v>
      </c>
      <c r="D620" t="inlineStr">
        <is>
          <t>KALMAR LÄN</t>
        </is>
      </c>
      <c r="E620" t="inlineStr">
        <is>
          <t>VÄSTERVIK</t>
        </is>
      </c>
      <c r="G620" t="n">
        <v>1.7</v>
      </c>
      <c r="H620" t="n">
        <v>0</v>
      </c>
      <c r="I620" t="n">
        <v>0</v>
      </c>
      <c r="J620" t="n">
        <v>0</v>
      </c>
      <c r="K620" t="n">
        <v>0</v>
      </c>
      <c r="L620" t="n">
        <v>0</v>
      </c>
      <c r="M620" t="n">
        <v>0</v>
      </c>
      <c r="N620" t="n">
        <v>0</v>
      </c>
      <c r="O620" t="n">
        <v>0</v>
      </c>
      <c r="P620" t="n">
        <v>0</v>
      </c>
      <c r="Q620" t="n">
        <v>0</v>
      </c>
      <c r="R620" s="2" t="inlineStr"/>
    </row>
    <row r="621" ht="15" customHeight="1">
      <c r="A621" t="inlineStr">
        <is>
          <t>A 54164-2020</t>
        </is>
      </c>
      <c r="B621" s="1" t="n">
        <v>44125</v>
      </c>
      <c r="C621" s="1" t="n">
        <v>45901</v>
      </c>
      <c r="D621" t="inlineStr">
        <is>
          <t>KALMAR LÄN</t>
        </is>
      </c>
      <c r="E621" t="inlineStr">
        <is>
          <t>VÄSTERVIK</t>
        </is>
      </c>
      <c r="F621" t="inlineStr">
        <is>
          <t>Sveaskog</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19694-2025</t>
        </is>
      </c>
      <c r="B622" s="1" t="n">
        <v>45771.30550925926</v>
      </c>
      <c r="C622" s="1" t="n">
        <v>45901</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27974-2025</t>
        </is>
      </c>
      <c r="B623" s="1" t="n">
        <v>45817.56891203704</v>
      </c>
      <c r="C623" s="1" t="n">
        <v>45901</v>
      </c>
      <c r="D623" t="inlineStr">
        <is>
          <t>KALMAR LÄN</t>
        </is>
      </c>
      <c r="E623" t="inlineStr">
        <is>
          <t>VÄSTERVIK</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35108-2024</t>
        </is>
      </c>
      <c r="B624" s="1" t="n">
        <v>45529.64638888889</v>
      </c>
      <c r="C624" s="1" t="n">
        <v>45901</v>
      </c>
      <c r="D624" t="inlineStr">
        <is>
          <t>KALMAR LÄN</t>
        </is>
      </c>
      <c r="E624" t="inlineStr">
        <is>
          <t>VÄSTERVIK</t>
        </is>
      </c>
      <c r="G624" t="n">
        <v>10.5</v>
      </c>
      <c r="H624" t="n">
        <v>0</v>
      </c>
      <c r="I624" t="n">
        <v>0</v>
      </c>
      <c r="J624" t="n">
        <v>0</v>
      </c>
      <c r="K624" t="n">
        <v>0</v>
      </c>
      <c r="L624" t="n">
        <v>0</v>
      </c>
      <c r="M624" t="n">
        <v>0</v>
      </c>
      <c r="N624" t="n">
        <v>0</v>
      </c>
      <c r="O624" t="n">
        <v>0</v>
      </c>
      <c r="P624" t="n">
        <v>0</v>
      </c>
      <c r="Q624" t="n">
        <v>0</v>
      </c>
      <c r="R624" s="2" t="inlineStr"/>
    </row>
    <row r="625" ht="15" customHeight="1">
      <c r="A625" t="inlineStr">
        <is>
          <t>A 47527-2021</t>
        </is>
      </c>
      <c r="B625" s="1" t="n">
        <v>44447</v>
      </c>
      <c r="C625" s="1" t="n">
        <v>45901</v>
      </c>
      <c r="D625" t="inlineStr">
        <is>
          <t>KALMAR LÄN</t>
        </is>
      </c>
      <c r="E625" t="inlineStr">
        <is>
          <t>VÄSTERVIK</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28096-2025</t>
        </is>
      </c>
      <c r="B626" s="1" t="n">
        <v>45817.81831018518</v>
      </c>
      <c r="C626" s="1" t="n">
        <v>45901</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35456-2024</t>
        </is>
      </c>
      <c r="B627" s="1" t="n">
        <v>45531</v>
      </c>
      <c r="C627" s="1" t="n">
        <v>45901</v>
      </c>
      <c r="D627" t="inlineStr">
        <is>
          <t>KALMAR LÄN</t>
        </is>
      </c>
      <c r="E627" t="inlineStr">
        <is>
          <t>VÄSTERVIK</t>
        </is>
      </c>
      <c r="G627" t="n">
        <v>5.8</v>
      </c>
      <c r="H627" t="n">
        <v>0</v>
      </c>
      <c r="I627" t="n">
        <v>0</v>
      </c>
      <c r="J627" t="n">
        <v>0</v>
      </c>
      <c r="K627" t="n">
        <v>0</v>
      </c>
      <c r="L627" t="n">
        <v>0</v>
      </c>
      <c r="M627" t="n">
        <v>0</v>
      </c>
      <c r="N627" t="n">
        <v>0</v>
      </c>
      <c r="O627" t="n">
        <v>0</v>
      </c>
      <c r="P627" t="n">
        <v>0</v>
      </c>
      <c r="Q627" t="n">
        <v>0</v>
      </c>
      <c r="R627" s="2" t="inlineStr"/>
    </row>
    <row r="628" ht="15" customHeight="1">
      <c r="A628" t="inlineStr">
        <is>
          <t>A 31691-2023</t>
        </is>
      </c>
      <c r="B628" s="1" t="n">
        <v>45117.72543981481</v>
      </c>
      <c r="C628" s="1" t="n">
        <v>45901</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52035-2023</t>
        </is>
      </c>
      <c r="B629" s="1" t="n">
        <v>45216</v>
      </c>
      <c r="C629" s="1" t="n">
        <v>45901</v>
      </c>
      <c r="D629" t="inlineStr">
        <is>
          <t>KALMAR LÄN</t>
        </is>
      </c>
      <c r="E629" t="inlineStr">
        <is>
          <t>VÄSTERVIK</t>
        </is>
      </c>
      <c r="G629" t="n">
        <v>3.4</v>
      </c>
      <c r="H629" t="n">
        <v>0</v>
      </c>
      <c r="I629" t="n">
        <v>0</v>
      </c>
      <c r="J629" t="n">
        <v>0</v>
      </c>
      <c r="K629" t="n">
        <v>0</v>
      </c>
      <c r="L629" t="n">
        <v>0</v>
      </c>
      <c r="M629" t="n">
        <v>0</v>
      </c>
      <c r="N629" t="n">
        <v>0</v>
      </c>
      <c r="O629" t="n">
        <v>0</v>
      </c>
      <c r="P629" t="n">
        <v>0</v>
      </c>
      <c r="Q629" t="n">
        <v>0</v>
      </c>
      <c r="R629" s="2" t="inlineStr"/>
    </row>
    <row r="630" ht="15" customHeight="1">
      <c r="A630" t="inlineStr">
        <is>
          <t>A 9249-2024</t>
        </is>
      </c>
      <c r="B630" s="1" t="n">
        <v>45358.59056712963</v>
      </c>
      <c r="C630" s="1" t="n">
        <v>45901</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28696-2025</t>
        </is>
      </c>
      <c r="B631" s="1" t="n">
        <v>45819.91342592592</v>
      </c>
      <c r="C631" s="1" t="n">
        <v>45901</v>
      </c>
      <c r="D631" t="inlineStr">
        <is>
          <t>KALMAR LÄN</t>
        </is>
      </c>
      <c r="E631" t="inlineStr">
        <is>
          <t>VÄSTERVIK</t>
        </is>
      </c>
      <c r="G631" t="n">
        <v>2.8</v>
      </c>
      <c r="H631" t="n">
        <v>0</v>
      </c>
      <c r="I631" t="n">
        <v>0</v>
      </c>
      <c r="J631" t="n">
        <v>0</v>
      </c>
      <c r="K631" t="n">
        <v>0</v>
      </c>
      <c r="L631" t="n">
        <v>0</v>
      </c>
      <c r="M631" t="n">
        <v>0</v>
      </c>
      <c r="N631" t="n">
        <v>0</v>
      </c>
      <c r="O631" t="n">
        <v>0</v>
      </c>
      <c r="P631" t="n">
        <v>0</v>
      </c>
      <c r="Q631" t="n">
        <v>0</v>
      </c>
      <c r="R631" s="2" t="inlineStr"/>
    </row>
    <row r="632" ht="15" customHeight="1">
      <c r="A632" t="inlineStr">
        <is>
          <t>A 12435-2024</t>
        </is>
      </c>
      <c r="B632" s="1" t="n">
        <v>45379.4459375</v>
      </c>
      <c r="C632" s="1" t="n">
        <v>45901</v>
      </c>
      <c r="D632" t="inlineStr">
        <is>
          <t>KALMAR LÄN</t>
        </is>
      </c>
      <c r="E632" t="inlineStr">
        <is>
          <t>VÄSTERVIK</t>
        </is>
      </c>
      <c r="G632" t="n">
        <v>0.4</v>
      </c>
      <c r="H632" t="n">
        <v>0</v>
      </c>
      <c r="I632" t="n">
        <v>0</v>
      </c>
      <c r="J632" t="n">
        <v>0</v>
      </c>
      <c r="K632" t="n">
        <v>0</v>
      </c>
      <c r="L632" t="n">
        <v>0</v>
      </c>
      <c r="M632" t="n">
        <v>0</v>
      </c>
      <c r="N632" t="n">
        <v>0</v>
      </c>
      <c r="O632" t="n">
        <v>0</v>
      </c>
      <c r="P632" t="n">
        <v>0</v>
      </c>
      <c r="Q632" t="n">
        <v>0</v>
      </c>
      <c r="R632" s="2" t="inlineStr"/>
    </row>
    <row r="633" ht="15" customHeight="1">
      <c r="A633" t="inlineStr">
        <is>
          <t>A 3828-2024</t>
        </is>
      </c>
      <c r="B633" s="1" t="n">
        <v>45321</v>
      </c>
      <c r="C633" s="1" t="n">
        <v>45901</v>
      </c>
      <c r="D633" t="inlineStr">
        <is>
          <t>KALMAR LÄN</t>
        </is>
      </c>
      <c r="E633" t="inlineStr">
        <is>
          <t>VÄSTERVIK</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56042-2023</t>
        </is>
      </c>
      <c r="B634" s="1" t="n">
        <v>45240.44670138889</v>
      </c>
      <c r="C634" s="1" t="n">
        <v>45901</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64741-2020</t>
        </is>
      </c>
      <c r="B635" s="1" t="n">
        <v>44169</v>
      </c>
      <c r="C635" s="1" t="n">
        <v>45901</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39193-2024</t>
        </is>
      </c>
      <c r="B636" s="1" t="n">
        <v>45548.68</v>
      </c>
      <c r="C636" s="1" t="n">
        <v>45901</v>
      </c>
      <c r="D636" t="inlineStr">
        <is>
          <t>KALMAR LÄN</t>
        </is>
      </c>
      <c r="E636" t="inlineStr">
        <is>
          <t>VÄSTERVIK</t>
        </is>
      </c>
      <c r="G636" t="n">
        <v>1.2</v>
      </c>
      <c r="H636" t="n">
        <v>0</v>
      </c>
      <c r="I636" t="n">
        <v>0</v>
      </c>
      <c r="J636" t="n">
        <v>0</v>
      </c>
      <c r="K636" t="n">
        <v>0</v>
      </c>
      <c r="L636" t="n">
        <v>0</v>
      </c>
      <c r="M636" t="n">
        <v>0</v>
      </c>
      <c r="N636" t="n">
        <v>0</v>
      </c>
      <c r="O636" t="n">
        <v>0</v>
      </c>
      <c r="P636" t="n">
        <v>0</v>
      </c>
      <c r="Q636" t="n">
        <v>0</v>
      </c>
      <c r="R636" s="2" t="inlineStr"/>
    </row>
    <row r="637" ht="15" customHeight="1">
      <c r="A637" t="inlineStr">
        <is>
          <t>A 35662-2023</t>
        </is>
      </c>
      <c r="B637" s="1" t="n">
        <v>45147</v>
      </c>
      <c r="C637" s="1" t="n">
        <v>45901</v>
      </c>
      <c r="D637" t="inlineStr">
        <is>
          <t>KALMAR LÄN</t>
        </is>
      </c>
      <c r="E637" t="inlineStr">
        <is>
          <t>VÄSTERVIK</t>
        </is>
      </c>
      <c r="G637" t="n">
        <v>0.4</v>
      </c>
      <c r="H637" t="n">
        <v>0</v>
      </c>
      <c r="I637" t="n">
        <v>0</v>
      </c>
      <c r="J637" t="n">
        <v>0</v>
      </c>
      <c r="K637" t="n">
        <v>0</v>
      </c>
      <c r="L637" t="n">
        <v>0</v>
      </c>
      <c r="M637" t="n">
        <v>0</v>
      </c>
      <c r="N637" t="n">
        <v>0</v>
      </c>
      <c r="O637" t="n">
        <v>0</v>
      </c>
      <c r="P637" t="n">
        <v>0</v>
      </c>
      <c r="Q637" t="n">
        <v>0</v>
      </c>
      <c r="R637" s="2" t="inlineStr"/>
    </row>
    <row r="638" ht="15" customHeight="1">
      <c r="A638" t="inlineStr">
        <is>
          <t>A 16689-2025</t>
        </is>
      </c>
      <c r="B638" s="1" t="n">
        <v>45754.45739583333</v>
      </c>
      <c r="C638" s="1" t="n">
        <v>45901</v>
      </c>
      <c r="D638" t="inlineStr">
        <is>
          <t>KALMAR LÄN</t>
        </is>
      </c>
      <c r="E638" t="inlineStr">
        <is>
          <t>VÄSTERVIK</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16693-2025</t>
        </is>
      </c>
      <c r="B639" s="1" t="n">
        <v>45754.4644675926</v>
      </c>
      <c r="C639" s="1" t="n">
        <v>45901</v>
      </c>
      <c r="D639" t="inlineStr">
        <is>
          <t>KALMAR LÄN</t>
        </is>
      </c>
      <c r="E639" t="inlineStr">
        <is>
          <t>VÄSTERVIK</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7925-2023</t>
        </is>
      </c>
      <c r="B640" s="1" t="n">
        <v>44973.64606481481</v>
      </c>
      <c r="C640" s="1" t="n">
        <v>45901</v>
      </c>
      <c r="D640" t="inlineStr">
        <is>
          <t>KALMAR LÄN</t>
        </is>
      </c>
      <c r="E640" t="inlineStr">
        <is>
          <t>VÄSTERVIK</t>
        </is>
      </c>
      <c r="G640" t="n">
        <v>4.9</v>
      </c>
      <c r="H640" t="n">
        <v>0</v>
      </c>
      <c r="I640" t="n">
        <v>0</v>
      </c>
      <c r="J640" t="n">
        <v>0</v>
      </c>
      <c r="K640" t="n">
        <v>0</v>
      </c>
      <c r="L640" t="n">
        <v>0</v>
      </c>
      <c r="M640" t="n">
        <v>0</v>
      </c>
      <c r="N640" t="n">
        <v>0</v>
      </c>
      <c r="O640" t="n">
        <v>0</v>
      </c>
      <c r="P640" t="n">
        <v>0</v>
      </c>
      <c r="Q640" t="n">
        <v>0</v>
      </c>
      <c r="R640" s="2" t="inlineStr"/>
    </row>
    <row r="641" ht="15" customHeight="1">
      <c r="A641" t="inlineStr">
        <is>
          <t>A 51510-2024</t>
        </is>
      </c>
      <c r="B641" s="1" t="n">
        <v>45604.55837962963</v>
      </c>
      <c r="C641" s="1" t="n">
        <v>45901</v>
      </c>
      <c r="D641" t="inlineStr">
        <is>
          <t>KALMAR LÄN</t>
        </is>
      </c>
      <c r="E641" t="inlineStr">
        <is>
          <t>VÄSTERVIK</t>
        </is>
      </c>
      <c r="F641" t="inlineStr">
        <is>
          <t>Övriga Aktiebolag</t>
        </is>
      </c>
      <c r="G641" t="n">
        <v>1.5</v>
      </c>
      <c r="H641" t="n">
        <v>0</v>
      </c>
      <c r="I641" t="n">
        <v>0</v>
      </c>
      <c r="J641" t="n">
        <v>0</v>
      </c>
      <c r="K641" t="n">
        <v>0</v>
      </c>
      <c r="L641" t="n">
        <v>0</v>
      </c>
      <c r="M641" t="n">
        <v>0</v>
      </c>
      <c r="N641" t="n">
        <v>0</v>
      </c>
      <c r="O641" t="n">
        <v>0</v>
      </c>
      <c r="P641" t="n">
        <v>0</v>
      </c>
      <c r="Q641" t="n">
        <v>0</v>
      </c>
      <c r="R641" s="2" t="inlineStr"/>
    </row>
    <row r="642" ht="15" customHeight="1">
      <c r="A642" t="inlineStr">
        <is>
          <t>A 8007-2023</t>
        </is>
      </c>
      <c r="B642" s="1" t="n">
        <v>44973.88759259259</v>
      </c>
      <c r="C642" s="1" t="n">
        <v>45901</v>
      </c>
      <c r="D642" t="inlineStr">
        <is>
          <t>KALMAR LÄN</t>
        </is>
      </c>
      <c r="E642" t="inlineStr">
        <is>
          <t>VÄSTERVIK</t>
        </is>
      </c>
      <c r="G642" t="n">
        <v>4.5</v>
      </c>
      <c r="H642" t="n">
        <v>0</v>
      </c>
      <c r="I642" t="n">
        <v>0</v>
      </c>
      <c r="J642" t="n">
        <v>0</v>
      </c>
      <c r="K642" t="n">
        <v>0</v>
      </c>
      <c r="L642" t="n">
        <v>0</v>
      </c>
      <c r="M642" t="n">
        <v>0</v>
      </c>
      <c r="N642" t="n">
        <v>0</v>
      </c>
      <c r="O642" t="n">
        <v>0</v>
      </c>
      <c r="P642" t="n">
        <v>0</v>
      </c>
      <c r="Q642" t="n">
        <v>0</v>
      </c>
      <c r="R642" s="2" t="inlineStr"/>
    </row>
    <row r="643" ht="15" customHeight="1">
      <c r="A643" t="inlineStr">
        <is>
          <t>A 7164-2025</t>
        </is>
      </c>
      <c r="B643" s="1" t="n">
        <v>45702.39331018519</v>
      </c>
      <c r="C643" s="1" t="n">
        <v>45901</v>
      </c>
      <c r="D643" t="inlineStr">
        <is>
          <t>KALMAR LÄN</t>
        </is>
      </c>
      <c r="E643" t="inlineStr">
        <is>
          <t>VÄSTERVIK</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1585-2022</t>
        </is>
      </c>
      <c r="B644" s="1" t="n">
        <v>44573</v>
      </c>
      <c r="C644" s="1" t="n">
        <v>45901</v>
      </c>
      <c r="D644" t="inlineStr">
        <is>
          <t>KALMAR LÄN</t>
        </is>
      </c>
      <c r="E644" t="inlineStr">
        <is>
          <t>VÄSTERVIK</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48035-2024</t>
        </is>
      </c>
      <c r="B645" s="1" t="n">
        <v>45589.49168981481</v>
      </c>
      <c r="C645" s="1" t="n">
        <v>45901</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56077-2024</t>
        </is>
      </c>
      <c r="B646" s="1" t="n">
        <v>45624.38690972222</v>
      </c>
      <c r="C646" s="1" t="n">
        <v>45901</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29722-2025</t>
        </is>
      </c>
      <c r="B647" s="1" t="n">
        <v>45825.57524305556</v>
      </c>
      <c r="C647" s="1" t="n">
        <v>45901</v>
      </c>
      <c r="D647" t="inlineStr">
        <is>
          <t>KALMAR LÄN</t>
        </is>
      </c>
      <c r="E647" t="inlineStr">
        <is>
          <t>VÄSTERVIK</t>
        </is>
      </c>
      <c r="G647" t="n">
        <v>2.9</v>
      </c>
      <c r="H647" t="n">
        <v>0</v>
      </c>
      <c r="I647" t="n">
        <v>0</v>
      </c>
      <c r="J647" t="n">
        <v>0</v>
      </c>
      <c r="K647" t="n">
        <v>0</v>
      </c>
      <c r="L647" t="n">
        <v>0</v>
      </c>
      <c r="M647" t="n">
        <v>0</v>
      </c>
      <c r="N647" t="n">
        <v>0</v>
      </c>
      <c r="O647" t="n">
        <v>0</v>
      </c>
      <c r="P647" t="n">
        <v>0</v>
      </c>
      <c r="Q647" t="n">
        <v>0</v>
      </c>
      <c r="R647" s="2" t="inlineStr"/>
    </row>
    <row r="648" ht="15" customHeight="1">
      <c r="A648" t="inlineStr">
        <is>
          <t>A 11856-2024</t>
        </is>
      </c>
      <c r="B648" s="1" t="n">
        <v>45376.43302083333</v>
      </c>
      <c r="C648" s="1" t="n">
        <v>45901</v>
      </c>
      <c r="D648" t="inlineStr">
        <is>
          <t>KALMAR LÄN</t>
        </is>
      </c>
      <c r="E648" t="inlineStr">
        <is>
          <t>VÄSTERVIK</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29678-2025</t>
        </is>
      </c>
      <c r="B649" s="1" t="n">
        <v>45825.50804398148</v>
      </c>
      <c r="C649" s="1" t="n">
        <v>45901</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49452-2023</t>
        </is>
      </c>
      <c r="B650" s="1" t="n">
        <v>45211.49424768519</v>
      </c>
      <c r="C650" s="1" t="n">
        <v>45901</v>
      </c>
      <c r="D650" t="inlineStr">
        <is>
          <t>KALMAR LÄN</t>
        </is>
      </c>
      <c r="E650" t="inlineStr">
        <is>
          <t>VÄSTERVIK</t>
        </is>
      </c>
      <c r="F650" t="inlineStr">
        <is>
          <t>Övriga Aktiebolag</t>
        </is>
      </c>
      <c r="G650" t="n">
        <v>2.2</v>
      </c>
      <c r="H650" t="n">
        <v>0</v>
      </c>
      <c r="I650" t="n">
        <v>0</v>
      </c>
      <c r="J650" t="n">
        <v>0</v>
      </c>
      <c r="K650" t="n">
        <v>0</v>
      </c>
      <c r="L650" t="n">
        <v>0</v>
      </c>
      <c r="M650" t="n">
        <v>0</v>
      </c>
      <c r="N650" t="n">
        <v>0</v>
      </c>
      <c r="O650" t="n">
        <v>0</v>
      </c>
      <c r="P650" t="n">
        <v>0</v>
      </c>
      <c r="Q650" t="n">
        <v>0</v>
      </c>
      <c r="R650" s="2" t="inlineStr"/>
    </row>
    <row r="651" ht="15" customHeight="1">
      <c r="A651" t="inlineStr">
        <is>
          <t>A 57367-2023</t>
        </is>
      </c>
      <c r="B651" s="1" t="n">
        <v>45245</v>
      </c>
      <c r="C651" s="1" t="n">
        <v>45901</v>
      </c>
      <c r="D651" t="inlineStr">
        <is>
          <t>KALMAR LÄN</t>
        </is>
      </c>
      <c r="E651" t="inlineStr">
        <is>
          <t>VÄSTERVIK</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59170-2022</t>
        </is>
      </c>
      <c r="B652" s="1" t="n">
        <v>44904.48152777777</v>
      </c>
      <c r="C652" s="1" t="n">
        <v>45901</v>
      </c>
      <c r="D652" t="inlineStr">
        <is>
          <t>KALMAR LÄN</t>
        </is>
      </c>
      <c r="E652" t="inlineStr">
        <is>
          <t>VÄSTERVIK</t>
        </is>
      </c>
      <c r="G652" t="n">
        <v>1.3</v>
      </c>
      <c r="H652" t="n">
        <v>0</v>
      </c>
      <c r="I652" t="n">
        <v>0</v>
      </c>
      <c r="J652" t="n">
        <v>0</v>
      </c>
      <c r="K652" t="n">
        <v>0</v>
      </c>
      <c r="L652" t="n">
        <v>0</v>
      </c>
      <c r="M652" t="n">
        <v>0</v>
      </c>
      <c r="N652" t="n">
        <v>0</v>
      </c>
      <c r="O652" t="n">
        <v>0</v>
      </c>
      <c r="P652" t="n">
        <v>0</v>
      </c>
      <c r="Q652" t="n">
        <v>0</v>
      </c>
      <c r="R652" s="2" t="inlineStr"/>
    </row>
    <row r="653" ht="15" customHeight="1">
      <c r="A653" t="inlineStr">
        <is>
          <t>A 59212-2022</t>
        </is>
      </c>
      <c r="B653" s="1" t="n">
        <v>44904.52560185185</v>
      </c>
      <c r="C653" s="1" t="n">
        <v>45901</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59227-2022</t>
        </is>
      </c>
      <c r="B654" s="1" t="n">
        <v>44904</v>
      </c>
      <c r="C654" s="1" t="n">
        <v>45901</v>
      </c>
      <c r="D654" t="inlineStr">
        <is>
          <t>KALMAR LÄN</t>
        </is>
      </c>
      <c r="E654" t="inlineStr">
        <is>
          <t>VÄSTERVIK</t>
        </is>
      </c>
      <c r="G654" t="n">
        <v>6</v>
      </c>
      <c r="H654" t="n">
        <v>0</v>
      </c>
      <c r="I654" t="n">
        <v>0</v>
      </c>
      <c r="J654" t="n">
        <v>0</v>
      </c>
      <c r="K654" t="n">
        <v>0</v>
      </c>
      <c r="L654" t="n">
        <v>0</v>
      </c>
      <c r="M654" t="n">
        <v>0</v>
      </c>
      <c r="N654" t="n">
        <v>0</v>
      </c>
      <c r="O654" t="n">
        <v>0</v>
      </c>
      <c r="P654" t="n">
        <v>0</v>
      </c>
      <c r="Q654" t="n">
        <v>0</v>
      </c>
      <c r="R654" s="2" t="inlineStr"/>
    </row>
    <row r="655" ht="15" customHeight="1">
      <c r="A655" t="inlineStr">
        <is>
          <t>A 30644-2025</t>
        </is>
      </c>
      <c r="B655" s="1" t="n">
        <v>45831</v>
      </c>
      <c r="C655" s="1" t="n">
        <v>45901</v>
      </c>
      <c r="D655" t="inlineStr">
        <is>
          <t>KALMAR LÄN</t>
        </is>
      </c>
      <c r="E655" t="inlineStr">
        <is>
          <t>VÄSTERVIK</t>
        </is>
      </c>
      <c r="G655" t="n">
        <v>0.8</v>
      </c>
      <c r="H655" t="n">
        <v>0</v>
      </c>
      <c r="I655" t="n">
        <v>0</v>
      </c>
      <c r="J655" t="n">
        <v>0</v>
      </c>
      <c r="K655" t="n">
        <v>0</v>
      </c>
      <c r="L655" t="n">
        <v>0</v>
      </c>
      <c r="M655" t="n">
        <v>0</v>
      </c>
      <c r="N655" t="n">
        <v>0</v>
      </c>
      <c r="O655" t="n">
        <v>0</v>
      </c>
      <c r="P655" t="n">
        <v>0</v>
      </c>
      <c r="Q655" t="n">
        <v>0</v>
      </c>
      <c r="R655" s="2" t="inlineStr"/>
    </row>
    <row r="656" ht="15" customHeight="1">
      <c r="A656" t="inlineStr">
        <is>
          <t>A 30811-2025</t>
        </is>
      </c>
      <c r="B656" s="1" t="n">
        <v>45831.65712962963</v>
      </c>
      <c r="C656" s="1" t="n">
        <v>45901</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30800-2025</t>
        </is>
      </c>
      <c r="B657" s="1" t="n">
        <v>45831.65177083333</v>
      </c>
      <c r="C657" s="1" t="n">
        <v>45901</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7255-2023</t>
        </is>
      </c>
      <c r="B658" s="1" t="n">
        <v>44970</v>
      </c>
      <c r="C658" s="1" t="n">
        <v>45901</v>
      </c>
      <c r="D658" t="inlineStr">
        <is>
          <t>KALMAR LÄN</t>
        </is>
      </c>
      <c r="E658" t="inlineStr">
        <is>
          <t>VÄSTERVIK</t>
        </is>
      </c>
      <c r="F658" t="inlineStr">
        <is>
          <t>Naturvårdsverket</t>
        </is>
      </c>
      <c r="G658" t="n">
        <v>0.6</v>
      </c>
      <c r="H658" t="n">
        <v>0</v>
      </c>
      <c r="I658" t="n">
        <v>0</v>
      </c>
      <c r="J658" t="n">
        <v>0</v>
      </c>
      <c r="K658" t="n">
        <v>0</v>
      </c>
      <c r="L658" t="n">
        <v>0</v>
      </c>
      <c r="M658" t="n">
        <v>0</v>
      </c>
      <c r="N658" t="n">
        <v>0</v>
      </c>
      <c r="O658" t="n">
        <v>0</v>
      </c>
      <c r="P658" t="n">
        <v>0</v>
      </c>
      <c r="Q658" t="n">
        <v>0</v>
      </c>
      <c r="R658" s="2" t="inlineStr"/>
      <c r="U658">
        <f>HYPERLINK("https://klasma.github.io/Logging_0883/knärot/A 7255-2023 karta knärot.png", "A 7255-2023")</f>
        <v/>
      </c>
      <c r="V658">
        <f>HYPERLINK("https://klasma.github.io/Logging_0883/klagomål/A 7255-2023 FSC-klagomål.docx", "A 7255-2023")</f>
        <v/>
      </c>
      <c r="W658">
        <f>HYPERLINK("https://klasma.github.io/Logging_0883/klagomålsmail/A 7255-2023 FSC-klagomål mail.docx", "A 7255-2023")</f>
        <v/>
      </c>
      <c r="X658">
        <f>HYPERLINK("https://klasma.github.io/Logging_0883/tillsyn/A 7255-2023 tillsynsbegäran.docx", "A 7255-2023")</f>
        <v/>
      </c>
      <c r="Y658">
        <f>HYPERLINK("https://klasma.github.io/Logging_0883/tillsynsmail/A 7255-2023 tillsynsbegäran mail.docx", "A 7255-2023")</f>
        <v/>
      </c>
    </row>
    <row r="659" ht="15" customHeight="1">
      <c r="A659" t="inlineStr">
        <is>
          <t>A 36050-2024</t>
        </is>
      </c>
      <c r="B659" s="1" t="n">
        <v>45533.620625</v>
      </c>
      <c r="C659" s="1" t="n">
        <v>45901</v>
      </c>
      <c r="D659" t="inlineStr">
        <is>
          <t>KALMAR LÄN</t>
        </is>
      </c>
      <c r="E659" t="inlineStr">
        <is>
          <t>VÄSTERVIK</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35960-2023</t>
        </is>
      </c>
      <c r="B660" s="1" t="n">
        <v>45148.84990740741</v>
      </c>
      <c r="C660" s="1" t="n">
        <v>45901</v>
      </c>
      <c r="D660" t="inlineStr">
        <is>
          <t>KALMAR LÄN</t>
        </is>
      </c>
      <c r="E660" t="inlineStr">
        <is>
          <t>VÄSTERVIK</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35962-2023</t>
        </is>
      </c>
      <c r="B661" s="1" t="n">
        <v>45148</v>
      </c>
      <c r="C661" s="1" t="n">
        <v>45901</v>
      </c>
      <c r="D661" t="inlineStr">
        <is>
          <t>KALMAR LÄN</t>
        </is>
      </c>
      <c r="E661" t="inlineStr">
        <is>
          <t>VÄSTERVIK</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10441-2022</t>
        </is>
      </c>
      <c r="B662" s="1" t="n">
        <v>44623</v>
      </c>
      <c r="C662" s="1" t="n">
        <v>45901</v>
      </c>
      <c r="D662" t="inlineStr">
        <is>
          <t>KALMAR LÄN</t>
        </is>
      </c>
      <c r="E662" t="inlineStr">
        <is>
          <t>VÄSTERVIK</t>
        </is>
      </c>
      <c r="F662" t="inlineStr">
        <is>
          <t>Holmen skog AB</t>
        </is>
      </c>
      <c r="G662" t="n">
        <v>1.4</v>
      </c>
      <c r="H662" t="n">
        <v>0</v>
      </c>
      <c r="I662" t="n">
        <v>0</v>
      </c>
      <c r="J662" t="n">
        <v>0</v>
      </c>
      <c r="K662" t="n">
        <v>0</v>
      </c>
      <c r="L662" t="n">
        <v>0</v>
      </c>
      <c r="M662" t="n">
        <v>0</v>
      </c>
      <c r="N662" t="n">
        <v>0</v>
      </c>
      <c r="O662" t="n">
        <v>0</v>
      </c>
      <c r="P662" t="n">
        <v>0</v>
      </c>
      <c r="Q662" t="n">
        <v>0</v>
      </c>
      <c r="R662" s="2" t="inlineStr"/>
    </row>
    <row r="663" ht="15" customHeight="1">
      <c r="A663" t="inlineStr">
        <is>
          <t>A 45463-2024</t>
        </is>
      </c>
      <c r="B663" s="1" t="n">
        <v>45576.69753472223</v>
      </c>
      <c r="C663" s="1" t="n">
        <v>45901</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9025-2022</t>
        </is>
      </c>
      <c r="B664" s="1" t="n">
        <v>44615</v>
      </c>
      <c r="C664" s="1" t="n">
        <v>45901</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11988-2022</t>
        </is>
      </c>
      <c r="B665" s="1" t="n">
        <v>44635.68771990741</v>
      </c>
      <c r="C665" s="1" t="n">
        <v>45901</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30789-2025</t>
        </is>
      </c>
      <c r="B666" s="1" t="n">
        <v>45831.63174768518</v>
      </c>
      <c r="C666" s="1" t="n">
        <v>45901</v>
      </c>
      <c r="D666" t="inlineStr">
        <is>
          <t>KALMAR LÄN</t>
        </is>
      </c>
      <c r="E666" t="inlineStr">
        <is>
          <t>VÄSTERVIK</t>
        </is>
      </c>
      <c r="G666" t="n">
        <v>7</v>
      </c>
      <c r="H666" t="n">
        <v>0</v>
      </c>
      <c r="I666" t="n">
        <v>0</v>
      </c>
      <c r="J666" t="n">
        <v>0</v>
      </c>
      <c r="K666" t="n">
        <v>0</v>
      </c>
      <c r="L666" t="n">
        <v>0</v>
      </c>
      <c r="M666" t="n">
        <v>0</v>
      </c>
      <c r="N666" t="n">
        <v>0</v>
      </c>
      <c r="O666" t="n">
        <v>0</v>
      </c>
      <c r="P666" t="n">
        <v>0</v>
      </c>
      <c r="Q666" t="n">
        <v>0</v>
      </c>
      <c r="R666" s="2" t="inlineStr"/>
    </row>
    <row r="667" ht="15" customHeight="1">
      <c r="A667" t="inlineStr">
        <is>
          <t>A 55866-2023</t>
        </is>
      </c>
      <c r="B667" s="1" t="n">
        <v>45239</v>
      </c>
      <c r="C667" s="1" t="n">
        <v>45901</v>
      </c>
      <c r="D667" t="inlineStr">
        <is>
          <t>KALMAR LÄN</t>
        </is>
      </c>
      <c r="E667" t="inlineStr">
        <is>
          <t>VÄSTERVIK</t>
        </is>
      </c>
      <c r="G667" t="n">
        <v>1.3</v>
      </c>
      <c r="H667" t="n">
        <v>0</v>
      </c>
      <c r="I667" t="n">
        <v>0</v>
      </c>
      <c r="J667" t="n">
        <v>0</v>
      </c>
      <c r="K667" t="n">
        <v>0</v>
      </c>
      <c r="L667" t="n">
        <v>0</v>
      </c>
      <c r="M667" t="n">
        <v>0</v>
      </c>
      <c r="N667" t="n">
        <v>0</v>
      </c>
      <c r="O667" t="n">
        <v>0</v>
      </c>
      <c r="P667" t="n">
        <v>0</v>
      </c>
      <c r="Q667" t="n">
        <v>0</v>
      </c>
      <c r="R667" s="2" t="inlineStr"/>
    </row>
    <row r="668" ht="15" customHeight="1">
      <c r="A668" t="inlineStr">
        <is>
          <t>A 15106-2023</t>
        </is>
      </c>
      <c r="B668" s="1" t="n">
        <v>45016.41767361111</v>
      </c>
      <c r="C668" s="1" t="n">
        <v>45901</v>
      </c>
      <c r="D668" t="inlineStr">
        <is>
          <t>KALMAR LÄN</t>
        </is>
      </c>
      <c r="E668" t="inlineStr">
        <is>
          <t>VÄSTERVIK</t>
        </is>
      </c>
      <c r="G668" t="n">
        <v>0.4</v>
      </c>
      <c r="H668" t="n">
        <v>0</v>
      </c>
      <c r="I668" t="n">
        <v>0</v>
      </c>
      <c r="J668" t="n">
        <v>0</v>
      </c>
      <c r="K668" t="n">
        <v>0</v>
      </c>
      <c r="L668" t="n">
        <v>0</v>
      </c>
      <c r="M668" t="n">
        <v>0</v>
      </c>
      <c r="N668" t="n">
        <v>0</v>
      </c>
      <c r="O668" t="n">
        <v>0</v>
      </c>
      <c r="P668" t="n">
        <v>0</v>
      </c>
      <c r="Q668" t="n">
        <v>0</v>
      </c>
      <c r="R668" s="2" t="inlineStr"/>
    </row>
    <row r="669" ht="15" customHeight="1">
      <c r="A669" t="inlineStr">
        <is>
          <t>A 28588-2022</t>
        </is>
      </c>
      <c r="B669" s="1" t="n">
        <v>44748</v>
      </c>
      <c r="C669" s="1" t="n">
        <v>45901</v>
      </c>
      <c r="D669" t="inlineStr">
        <is>
          <t>KALMAR LÄN</t>
        </is>
      </c>
      <c r="E669" t="inlineStr">
        <is>
          <t>VÄSTERVIK</t>
        </is>
      </c>
      <c r="F669" t="inlineStr">
        <is>
          <t>Övriga Aktiebolag</t>
        </is>
      </c>
      <c r="G669" t="n">
        <v>1.7</v>
      </c>
      <c r="H669" t="n">
        <v>0</v>
      </c>
      <c r="I669" t="n">
        <v>0</v>
      </c>
      <c r="J669" t="n">
        <v>0</v>
      </c>
      <c r="K669" t="n">
        <v>0</v>
      </c>
      <c r="L669" t="n">
        <v>0</v>
      </c>
      <c r="M669" t="n">
        <v>0</v>
      </c>
      <c r="N669" t="n">
        <v>0</v>
      </c>
      <c r="O669" t="n">
        <v>0</v>
      </c>
      <c r="P669" t="n">
        <v>0</v>
      </c>
      <c r="Q669" t="n">
        <v>0</v>
      </c>
      <c r="R669" s="2" t="inlineStr"/>
    </row>
    <row r="670" ht="15" customHeight="1">
      <c r="A670" t="inlineStr">
        <is>
          <t>A 30690-2025</t>
        </is>
      </c>
      <c r="B670" s="1" t="n">
        <v>45831.53775462963</v>
      </c>
      <c r="C670" s="1" t="n">
        <v>45901</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36757-2025</t>
        </is>
      </c>
      <c r="B671" s="1" t="n">
        <v>45873.56483796296</v>
      </c>
      <c r="C671" s="1" t="n">
        <v>45901</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35770-2023</t>
        </is>
      </c>
      <c r="B672" s="1" t="n">
        <v>45147</v>
      </c>
      <c r="C672" s="1" t="n">
        <v>45901</v>
      </c>
      <c r="D672" t="inlineStr">
        <is>
          <t>KALMAR LÄN</t>
        </is>
      </c>
      <c r="E672" t="inlineStr">
        <is>
          <t>VÄSTERVIK</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36754-2025</t>
        </is>
      </c>
      <c r="B673" s="1" t="n">
        <v>45873.5591087963</v>
      </c>
      <c r="C673" s="1" t="n">
        <v>45901</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30648-2025</t>
        </is>
      </c>
      <c r="B674" s="1" t="n">
        <v>45831</v>
      </c>
      <c r="C674" s="1" t="n">
        <v>45901</v>
      </c>
      <c r="D674" t="inlineStr">
        <is>
          <t>KALMAR LÄN</t>
        </is>
      </c>
      <c r="E674" t="inlineStr">
        <is>
          <t>VÄSTERVIK</t>
        </is>
      </c>
      <c r="G674" t="n">
        <v>3</v>
      </c>
      <c r="H674" t="n">
        <v>0</v>
      </c>
      <c r="I674" t="n">
        <v>0</v>
      </c>
      <c r="J674" t="n">
        <v>0</v>
      </c>
      <c r="K674" t="n">
        <v>0</v>
      </c>
      <c r="L674" t="n">
        <v>0</v>
      </c>
      <c r="M674" t="n">
        <v>0</v>
      </c>
      <c r="N674" t="n">
        <v>0</v>
      </c>
      <c r="O674" t="n">
        <v>0</v>
      </c>
      <c r="P674" t="n">
        <v>0</v>
      </c>
      <c r="Q674" t="n">
        <v>0</v>
      </c>
      <c r="R674" s="2" t="inlineStr"/>
    </row>
    <row r="675" ht="15" customHeight="1">
      <c r="A675" t="inlineStr">
        <is>
          <t>A 15553-2024</t>
        </is>
      </c>
      <c r="B675" s="1" t="n">
        <v>45401.63736111111</v>
      </c>
      <c r="C675" s="1" t="n">
        <v>45901</v>
      </c>
      <c r="D675" t="inlineStr">
        <is>
          <t>KALMAR LÄN</t>
        </is>
      </c>
      <c r="E675" t="inlineStr">
        <is>
          <t>VÄSTERVIK</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36643-2023</t>
        </is>
      </c>
      <c r="B676" s="1" t="n">
        <v>45153</v>
      </c>
      <c r="C676" s="1" t="n">
        <v>45901</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19608-2025</t>
        </is>
      </c>
      <c r="B677" s="1" t="n">
        <v>45770.60177083333</v>
      </c>
      <c r="C677" s="1" t="n">
        <v>45901</v>
      </c>
      <c r="D677" t="inlineStr">
        <is>
          <t>KALMAR LÄN</t>
        </is>
      </c>
      <c r="E677" t="inlineStr">
        <is>
          <t>VÄSTERVIK</t>
        </is>
      </c>
      <c r="G677" t="n">
        <v>3.5</v>
      </c>
      <c r="H677" t="n">
        <v>0</v>
      </c>
      <c r="I677" t="n">
        <v>0</v>
      </c>
      <c r="J677" t="n">
        <v>0</v>
      </c>
      <c r="K677" t="n">
        <v>0</v>
      </c>
      <c r="L677" t="n">
        <v>0</v>
      </c>
      <c r="M677" t="n">
        <v>0</v>
      </c>
      <c r="N677" t="n">
        <v>0</v>
      </c>
      <c r="O677" t="n">
        <v>0</v>
      </c>
      <c r="P677" t="n">
        <v>0</v>
      </c>
      <c r="Q677" t="n">
        <v>0</v>
      </c>
      <c r="R677" s="2" t="inlineStr"/>
    </row>
    <row r="678" ht="15" customHeight="1">
      <c r="A678" t="inlineStr">
        <is>
          <t>A 31576-2025</t>
        </is>
      </c>
      <c r="B678" s="1" t="n">
        <v>45833.67266203704</v>
      </c>
      <c r="C678" s="1" t="n">
        <v>45901</v>
      </c>
      <c r="D678" t="inlineStr">
        <is>
          <t>KALMAR LÄN</t>
        </is>
      </c>
      <c r="E678" t="inlineStr">
        <is>
          <t>VÄSTERVIK</t>
        </is>
      </c>
      <c r="F678" t="inlineStr">
        <is>
          <t>Holmen skog AB</t>
        </is>
      </c>
      <c r="G678" t="n">
        <v>3.5</v>
      </c>
      <c r="H678" t="n">
        <v>0</v>
      </c>
      <c r="I678" t="n">
        <v>0</v>
      </c>
      <c r="J678" t="n">
        <v>0</v>
      </c>
      <c r="K678" t="n">
        <v>0</v>
      </c>
      <c r="L678" t="n">
        <v>0</v>
      </c>
      <c r="M678" t="n">
        <v>0</v>
      </c>
      <c r="N678" t="n">
        <v>0</v>
      </c>
      <c r="O678" t="n">
        <v>0</v>
      </c>
      <c r="P678" t="n">
        <v>0</v>
      </c>
      <c r="Q678" t="n">
        <v>0</v>
      </c>
      <c r="R678" s="2" t="inlineStr"/>
    </row>
    <row r="679" ht="15" customHeight="1">
      <c r="A679" t="inlineStr">
        <is>
          <t>A 31826-2025</t>
        </is>
      </c>
      <c r="B679" s="1" t="n">
        <v>45834.58306712963</v>
      </c>
      <c r="C679" s="1" t="n">
        <v>45901</v>
      </c>
      <c r="D679" t="inlineStr">
        <is>
          <t>KALMAR LÄN</t>
        </is>
      </c>
      <c r="E679" t="inlineStr">
        <is>
          <t>VÄSTERVIK</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54784-2023</t>
        </is>
      </c>
      <c r="B680" s="1" t="n">
        <v>45236.4803587963</v>
      </c>
      <c r="C680" s="1" t="n">
        <v>45901</v>
      </c>
      <c r="D680" t="inlineStr">
        <is>
          <t>KALMAR LÄN</t>
        </is>
      </c>
      <c r="E680" t="inlineStr">
        <is>
          <t>VÄSTERVIK</t>
        </is>
      </c>
      <c r="G680" t="n">
        <v>1.3</v>
      </c>
      <c r="H680" t="n">
        <v>0</v>
      </c>
      <c r="I680" t="n">
        <v>0</v>
      </c>
      <c r="J680" t="n">
        <v>0</v>
      </c>
      <c r="K680" t="n">
        <v>0</v>
      </c>
      <c r="L680" t="n">
        <v>0</v>
      </c>
      <c r="M680" t="n">
        <v>0</v>
      </c>
      <c r="N680" t="n">
        <v>0</v>
      </c>
      <c r="O680" t="n">
        <v>0</v>
      </c>
      <c r="P680" t="n">
        <v>0</v>
      </c>
      <c r="Q680" t="n">
        <v>0</v>
      </c>
      <c r="R680" s="2" t="inlineStr"/>
    </row>
    <row r="681" ht="15" customHeight="1">
      <c r="A681" t="inlineStr">
        <is>
          <t>A 13957-2025</t>
        </is>
      </c>
      <c r="B681" s="1" t="n">
        <v>45737.85231481482</v>
      </c>
      <c r="C681" s="1" t="n">
        <v>45901</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67133-2020</t>
        </is>
      </c>
      <c r="B682" s="1" t="n">
        <v>44180</v>
      </c>
      <c r="C682" s="1" t="n">
        <v>45901</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23580-2023</t>
        </is>
      </c>
      <c r="B683" s="1" t="n">
        <v>45077</v>
      </c>
      <c r="C683" s="1" t="n">
        <v>45901</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31843-2025</t>
        </is>
      </c>
      <c r="B684" s="1" t="n">
        <v>45834.5984375</v>
      </c>
      <c r="C684" s="1" t="n">
        <v>45901</v>
      </c>
      <c r="D684" t="inlineStr">
        <is>
          <t>KALMAR LÄN</t>
        </is>
      </c>
      <c r="E684" t="inlineStr">
        <is>
          <t>VÄSTERVIK</t>
        </is>
      </c>
      <c r="F684" t="inlineStr">
        <is>
          <t>Holmen skog AB</t>
        </is>
      </c>
      <c r="G684" t="n">
        <v>4.5</v>
      </c>
      <c r="H684" t="n">
        <v>0</v>
      </c>
      <c r="I684" t="n">
        <v>0</v>
      </c>
      <c r="J684" t="n">
        <v>0</v>
      </c>
      <c r="K684" t="n">
        <v>0</v>
      </c>
      <c r="L684" t="n">
        <v>0</v>
      </c>
      <c r="M684" t="n">
        <v>0</v>
      </c>
      <c r="N684" t="n">
        <v>0</v>
      </c>
      <c r="O684" t="n">
        <v>0</v>
      </c>
      <c r="P684" t="n">
        <v>0</v>
      </c>
      <c r="Q684" t="n">
        <v>0</v>
      </c>
      <c r="R684" s="2" t="inlineStr"/>
    </row>
    <row r="685" ht="15" customHeight="1">
      <c r="A685" t="inlineStr">
        <is>
          <t>A 49507-2023</t>
        </is>
      </c>
      <c r="B685" s="1" t="n">
        <v>45211.5790625</v>
      </c>
      <c r="C685" s="1" t="n">
        <v>45901</v>
      </c>
      <c r="D685" t="inlineStr">
        <is>
          <t>KALMAR LÄN</t>
        </is>
      </c>
      <c r="E685" t="inlineStr">
        <is>
          <t>VÄSTERVIK</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31857-2025</t>
        </is>
      </c>
      <c r="B686" s="1" t="n">
        <v>45834.62629629629</v>
      </c>
      <c r="C686" s="1" t="n">
        <v>45901</v>
      </c>
      <c r="D686" t="inlineStr">
        <is>
          <t>KALMAR LÄN</t>
        </is>
      </c>
      <c r="E686" t="inlineStr">
        <is>
          <t>VÄSTERVIK</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11584-2023</t>
        </is>
      </c>
      <c r="B687" s="1" t="n">
        <v>44994.35707175926</v>
      </c>
      <c r="C687" s="1" t="n">
        <v>45901</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58703-2023</t>
        </is>
      </c>
      <c r="B688" s="1" t="n">
        <v>45251</v>
      </c>
      <c r="C688" s="1" t="n">
        <v>45901</v>
      </c>
      <c r="D688" t="inlineStr">
        <is>
          <t>KALMAR LÄN</t>
        </is>
      </c>
      <c r="E688" t="inlineStr">
        <is>
          <t>VÄSTERVIK</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16395-2024</t>
        </is>
      </c>
      <c r="B689" s="1" t="n">
        <v>45407.62733796296</v>
      </c>
      <c r="C689" s="1" t="n">
        <v>45901</v>
      </c>
      <c r="D689" t="inlineStr">
        <is>
          <t>KALMAR LÄN</t>
        </is>
      </c>
      <c r="E689" t="inlineStr">
        <is>
          <t>VÄSTERVIK</t>
        </is>
      </c>
      <c r="G689" t="n">
        <v>1.3</v>
      </c>
      <c r="H689" t="n">
        <v>0</v>
      </c>
      <c r="I689" t="n">
        <v>0</v>
      </c>
      <c r="J689" t="n">
        <v>0</v>
      </c>
      <c r="K689" t="n">
        <v>0</v>
      </c>
      <c r="L689" t="n">
        <v>0</v>
      </c>
      <c r="M689" t="n">
        <v>0</v>
      </c>
      <c r="N689" t="n">
        <v>0</v>
      </c>
      <c r="O689" t="n">
        <v>0</v>
      </c>
      <c r="P689" t="n">
        <v>0</v>
      </c>
      <c r="Q689" t="n">
        <v>0</v>
      </c>
      <c r="R689" s="2" t="inlineStr"/>
      <c r="U689">
        <f>HYPERLINK("https://klasma.github.io/Logging_0883/knärot/A 16395-2024 karta knärot.png", "A 16395-2024")</f>
        <v/>
      </c>
      <c r="V689">
        <f>HYPERLINK("https://klasma.github.io/Logging_0883/klagomål/A 16395-2024 FSC-klagomål.docx", "A 16395-2024")</f>
        <v/>
      </c>
      <c r="W689">
        <f>HYPERLINK("https://klasma.github.io/Logging_0883/klagomålsmail/A 16395-2024 FSC-klagomål mail.docx", "A 16395-2024")</f>
        <v/>
      </c>
      <c r="X689">
        <f>HYPERLINK("https://klasma.github.io/Logging_0883/tillsyn/A 16395-2024 tillsynsbegäran.docx", "A 16395-2024")</f>
        <v/>
      </c>
      <c r="Y689">
        <f>HYPERLINK("https://klasma.github.io/Logging_0883/tillsynsmail/A 16395-2024 tillsynsbegäran mail.docx", "A 16395-2024")</f>
        <v/>
      </c>
    </row>
    <row r="690" ht="15" customHeight="1">
      <c r="A690" t="inlineStr">
        <is>
          <t>A 55958-2023</t>
        </is>
      </c>
      <c r="B690" s="1" t="n">
        <v>45240.34900462963</v>
      </c>
      <c r="C690" s="1" t="n">
        <v>45901</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row>
    <row r="691" ht="15" customHeight="1">
      <c r="A691" t="inlineStr">
        <is>
          <t>A 7100-2023</t>
        </is>
      </c>
      <c r="B691" s="1" t="n">
        <v>44970.37244212963</v>
      </c>
      <c r="C691" s="1" t="n">
        <v>45901</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31419-2025</t>
        </is>
      </c>
      <c r="B692" s="1" t="n">
        <v>45833.48370370371</v>
      </c>
      <c r="C692" s="1" t="n">
        <v>45901</v>
      </c>
      <c r="D692" t="inlineStr">
        <is>
          <t>KALMAR LÄN</t>
        </is>
      </c>
      <c r="E692" t="inlineStr">
        <is>
          <t>VÄSTERVIK</t>
        </is>
      </c>
      <c r="F692" t="inlineStr">
        <is>
          <t>Kommuner</t>
        </is>
      </c>
      <c r="G692" t="n">
        <v>1.1</v>
      </c>
      <c r="H692" t="n">
        <v>0</v>
      </c>
      <c r="I692" t="n">
        <v>0</v>
      </c>
      <c r="J692" t="n">
        <v>0</v>
      </c>
      <c r="K692" t="n">
        <v>0</v>
      </c>
      <c r="L692" t="n">
        <v>0</v>
      </c>
      <c r="M692" t="n">
        <v>0</v>
      </c>
      <c r="N692" t="n">
        <v>0</v>
      </c>
      <c r="O692" t="n">
        <v>0</v>
      </c>
      <c r="P692" t="n">
        <v>0</v>
      </c>
      <c r="Q692" t="n">
        <v>0</v>
      </c>
      <c r="R692" s="2" t="inlineStr"/>
    </row>
    <row r="693" ht="15" customHeight="1">
      <c r="A693" t="inlineStr">
        <is>
          <t>A 24881-2023</t>
        </is>
      </c>
      <c r="B693" s="1" t="n">
        <v>45085</v>
      </c>
      <c r="C693" s="1" t="n">
        <v>45901</v>
      </c>
      <c r="D693" t="inlineStr">
        <is>
          <t>KALMAR LÄN</t>
        </is>
      </c>
      <c r="E693" t="inlineStr">
        <is>
          <t>VÄSTERVIK</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6616-2021</t>
        </is>
      </c>
      <c r="B694" s="1" t="n">
        <v>44236</v>
      </c>
      <c r="C694" s="1" t="n">
        <v>45901</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23706-2025</t>
        </is>
      </c>
      <c r="B695" s="1" t="n">
        <v>45793.36922453704</v>
      </c>
      <c r="C695" s="1" t="n">
        <v>45901</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31886-2025</t>
        </is>
      </c>
      <c r="B696" s="1" t="n">
        <v>45834.65864583333</v>
      </c>
      <c r="C696" s="1" t="n">
        <v>45901</v>
      </c>
      <c r="D696" t="inlineStr">
        <is>
          <t>KALMAR LÄN</t>
        </is>
      </c>
      <c r="E696" t="inlineStr">
        <is>
          <t>VÄSTERVIK</t>
        </is>
      </c>
      <c r="F696" t="inlineStr">
        <is>
          <t>Holmen skog AB</t>
        </is>
      </c>
      <c r="G696" t="n">
        <v>4.1</v>
      </c>
      <c r="H696" t="n">
        <v>0</v>
      </c>
      <c r="I696" t="n">
        <v>0</v>
      </c>
      <c r="J696" t="n">
        <v>0</v>
      </c>
      <c r="K696" t="n">
        <v>0</v>
      </c>
      <c r="L696" t="n">
        <v>0</v>
      </c>
      <c r="M696" t="n">
        <v>0</v>
      </c>
      <c r="N696" t="n">
        <v>0</v>
      </c>
      <c r="O696" t="n">
        <v>0</v>
      </c>
      <c r="P696" t="n">
        <v>0</v>
      </c>
      <c r="Q696" t="n">
        <v>0</v>
      </c>
      <c r="R696" s="2" t="inlineStr"/>
    </row>
    <row r="697" ht="15" customHeight="1">
      <c r="A697" t="inlineStr">
        <is>
          <t>A 31600-2025</t>
        </is>
      </c>
      <c r="B697" s="1" t="n">
        <v>45833.72505787037</v>
      </c>
      <c r="C697" s="1" t="n">
        <v>45901</v>
      </c>
      <c r="D697" t="inlineStr">
        <is>
          <t>KALMAR LÄN</t>
        </is>
      </c>
      <c r="E697" t="inlineStr">
        <is>
          <t>VÄSTERVIK</t>
        </is>
      </c>
      <c r="F697" t="inlineStr">
        <is>
          <t>Holmen skog AB</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32647-2023</t>
        </is>
      </c>
      <c r="B698" s="1" t="n">
        <v>45121</v>
      </c>
      <c r="C698" s="1" t="n">
        <v>45901</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1785-2025</t>
        </is>
      </c>
      <c r="B699" s="1" t="n">
        <v>45671.45061342593</v>
      </c>
      <c r="C699" s="1" t="n">
        <v>45901</v>
      </c>
      <c r="D699" t="inlineStr">
        <is>
          <t>KALMAR LÄN</t>
        </is>
      </c>
      <c r="E699" t="inlineStr">
        <is>
          <t>VÄSTERVIK</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10774-2025</t>
        </is>
      </c>
      <c r="B700" s="1" t="n">
        <v>45722.47424768518</v>
      </c>
      <c r="C700" s="1" t="n">
        <v>45901</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40977-2023</t>
        </is>
      </c>
      <c r="B701" s="1" t="n">
        <v>45173</v>
      </c>
      <c r="C701" s="1" t="n">
        <v>45901</v>
      </c>
      <c r="D701" t="inlineStr">
        <is>
          <t>KALMAR LÄN</t>
        </is>
      </c>
      <c r="E701" t="inlineStr">
        <is>
          <t>VÄSTERVIK</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23743-2022</t>
        </is>
      </c>
      <c r="B702" s="1" t="n">
        <v>44722.35611111111</v>
      </c>
      <c r="C702" s="1" t="n">
        <v>45901</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24584-2024</t>
        </is>
      </c>
      <c r="B703" s="1" t="n">
        <v>45460</v>
      </c>
      <c r="C703" s="1" t="n">
        <v>45901</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37523-2025</t>
        </is>
      </c>
      <c r="B704" s="1" t="n">
        <v>45877</v>
      </c>
      <c r="C704" s="1" t="n">
        <v>45901</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37524-2025</t>
        </is>
      </c>
      <c r="B705" s="1" t="n">
        <v>45877</v>
      </c>
      <c r="C705" s="1" t="n">
        <v>45901</v>
      </c>
      <c r="D705" t="inlineStr">
        <is>
          <t>KALMAR LÄN</t>
        </is>
      </c>
      <c r="E705" t="inlineStr">
        <is>
          <t>VÄSTERVIK</t>
        </is>
      </c>
      <c r="G705" t="n">
        <v>3.3</v>
      </c>
      <c r="H705" t="n">
        <v>0</v>
      </c>
      <c r="I705" t="n">
        <v>0</v>
      </c>
      <c r="J705" t="n">
        <v>0</v>
      </c>
      <c r="K705" t="n">
        <v>0</v>
      </c>
      <c r="L705" t="n">
        <v>0</v>
      </c>
      <c r="M705" t="n">
        <v>0</v>
      </c>
      <c r="N705" t="n">
        <v>0</v>
      </c>
      <c r="O705" t="n">
        <v>0</v>
      </c>
      <c r="P705" t="n">
        <v>0</v>
      </c>
      <c r="Q705" t="n">
        <v>0</v>
      </c>
      <c r="R705" s="2" t="inlineStr"/>
    </row>
    <row r="706" ht="15" customHeight="1">
      <c r="A706" t="inlineStr">
        <is>
          <t>A 37525-2025</t>
        </is>
      </c>
      <c r="B706" s="1" t="n">
        <v>45877</v>
      </c>
      <c r="C706" s="1" t="n">
        <v>45901</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32018-2025</t>
        </is>
      </c>
      <c r="B707" s="1" t="n">
        <v>45835.40452546296</v>
      </c>
      <c r="C707" s="1" t="n">
        <v>45901</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32764-2022</t>
        </is>
      </c>
      <c r="B708" s="1" t="n">
        <v>44783</v>
      </c>
      <c r="C708" s="1" t="n">
        <v>45901</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4624-2023</t>
        </is>
      </c>
      <c r="B709" s="1" t="n">
        <v>44956</v>
      </c>
      <c r="C709" s="1" t="n">
        <v>45901</v>
      </c>
      <c r="D709" t="inlineStr">
        <is>
          <t>KALMAR LÄN</t>
        </is>
      </c>
      <c r="E709" t="inlineStr">
        <is>
          <t>VÄSTERVIK</t>
        </is>
      </c>
      <c r="F709" t="inlineStr">
        <is>
          <t>Holmen skog AB</t>
        </is>
      </c>
      <c r="G709" t="n">
        <v>7.1</v>
      </c>
      <c r="H709" t="n">
        <v>0</v>
      </c>
      <c r="I709" t="n">
        <v>0</v>
      </c>
      <c r="J709" t="n">
        <v>0</v>
      </c>
      <c r="K709" t="n">
        <v>0</v>
      </c>
      <c r="L709" t="n">
        <v>0</v>
      </c>
      <c r="M709" t="n">
        <v>0</v>
      </c>
      <c r="N709" t="n">
        <v>0</v>
      </c>
      <c r="O709" t="n">
        <v>0</v>
      </c>
      <c r="P709" t="n">
        <v>0</v>
      </c>
      <c r="Q709" t="n">
        <v>0</v>
      </c>
      <c r="R709" s="2" t="inlineStr"/>
    </row>
    <row r="710" ht="15" customHeight="1">
      <c r="A710" t="inlineStr">
        <is>
          <t>A 37526-2025</t>
        </is>
      </c>
      <c r="B710" s="1" t="n">
        <v>45877</v>
      </c>
      <c r="C710" s="1" t="n">
        <v>45901</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9549-2024</t>
        </is>
      </c>
      <c r="B711" s="1" t="n">
        <v>45359.87989583334</v>
      </c>
      <c r="C711" s="1" t="n">
        <v>45901</v>
      </c>
      <c r="D711" t="inlineStr">
        <is>
          <t>KALMAR LÄN</t>
        </is>
      </c>
      <c r="E711" t="inlineStr">
        <is>
          <t>VÄSTERVIK</t>
        </is>
      </c>
      <c r="F711" t="inlineStr">
        <is>
          <t>Holmen skog AB</t>
        </is>
      </c>
      <c r="G711" t="n">
        <v>2.6</v>
      </c>
      <c r="H711" t="n">
        <v>0</v>
      </c>
      <c r="I711" t="n">
        <v>0</v>
      </c>
      <c r="J711" t="n">
        <v>0</v>
      </c>
      <c r="K711" t="n">
        <v>0</v>
      </c>
      <c r="L711" t="n">
        <v>0</v>
      </c>
      <c r="M711" t="n">
        <v>0</v>
      </c>
      <c r="N711" t="n">
        <v>0</v>
      </c>
      <c r="O711" t="n">
        <v>0</v>
      </c>
      <c r="P711" t="n">
        <v>0</v>
      </c>
      <c r="Q711" t="n">
        <v>0</v>
      </c>
      <c r="R711" s="2" t="inlineStr"/>
    </row>
    <row r="712" ht="15" customHeight="1">
      <c r="A712" t="inlineStr">
        <is>
          <t>A 32495-2025</t>
        </is>
      </c>
      <c r="B712" s="1" t="n">
        <v>45838.4546875</v>
      </c>
      <c r="C712" s="1" t="n">
        <v>45901</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37642-2023</t>
        </is>
      </c>
      <c r="B713" s="1" t="n">
        <v>45159.47940972223</v>
      </c>
      <c r="C713" s="1" t="n">
        <v>45901</v>
      </c>
      <c r="D713" t="inlineStr">
        <is>
          <t>KALMAR LÄN</t>
        </is>
      </c>
      <c r="E713" t="inlineStr">
        <is>
          <t>VÄSTERVIK</t>
        </is>
      </c>
      <c r="G713" t="n">
        <v>0.6</v>
      </c>
      <c r="H713" t="n">
        <v>0</v>
      </c>
      <c r="I713" t="n">
        <v>0</v>
      </c>
      <c r="J713" t="n">
        <v>0</v>
      </c>
      <c r="K713" t="n">
        <v>0</v>
      </c>
      <c r="L713" t="n">
        <v>0</v>
      </c>
      <c r="M713" t="n">
        <v>0</v>
      </c>
      <c r="N713" t="n">
        <v>0</v>
      </c>
      <c r="O713" t="n">
        <v>0</v>
      </c>
      <c r="P713" t="n">
        <v>0</v>
      </c>
      <c r="Q713" t="n">
        <v>0</v>
      </c>
      <c r="R713" s="2" t="inlineStr"/>
    </row>
    <row r="714" ht="15" customHeight="1">
      <c r="A714" t="inlineStr">
        <is>
          <t>A 32778-2025</t>
        </is>
      </c>
      <c r="B714" s="1" t="n">
        <v>45839.46924768519</v>
      </c>
      <c r="C714" s="1" t="n">
        <v>45901</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54951-2023</t>
        </is>
      </c>
      <c r="B715" s="1" t="n">
        <v>45236.82902777778</v>
      </c>
      <c r="C715" s="1" t="n">
        <v>45901</v>
      </c>
      <c r="D715" t="inlineStr">
        <is>
          <t>KALMAR LÄN</t>
        </is>
      </c>
      <c r="E715" t="inlineStr">
        <is>
          <t>VÄSTERVIK</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3185-2023</t>
        </is>
      </c>
      <c r="B716" s="1" t="n">
        <v>44946.60753472222</v>
      </c>
      <c r="C716" s="1" t="n">
        <v>45901</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52049-2023</t>
        </is>
      </c>
      <c r="B717" s="1" t="n">
        <v>45216</v>
      </c>
      <c r="C717" s="1" t="n">
        <v>45901</v>
      </c>
      <c r="D717" t="inlineStr">
        <is>
          <t>KALMAR LÄN</t>
        </is>
      </c>
      <c r="E717" t="inlineStr">
        <is>
          <t>VÄSTERVIK</t>
        </is>
      </c>
      <c r="G717" t="n">
        <v>4.4</v>
      </c>
      <c r="H717" t="n">
        <v>0</v>
      </c>
      <c r="I717" t="n">
        <v>0</v>
      </c>
      <c r="J717" t="n">
        <v>0</v>
      </c>
      <c r="K717" t="n">
        <v>0</v>
      </c>
      <c r="L717" t="n">
        <v>0</v>
      </c>
      <c r="M717" t="n">
        <v>0</v>
      </c>
      <c r="N717" t="n">
        <v>0</v>
      </c>
      <c r="O717" t="n">
        <v>0</v>
      </c>
      <c r="P717" t="n">
        <v>0</v>
      </c>
      <c r="Q717" t="n">
        <v>0</v>
      </c>
      <c r="R717" s="2" t="inlineStr"/>
    </row>
    <row r="718" ht="15" customHeight="1">
      <c r="A718" t="inlineStr">
        <is>
          <t>A 2098-2023</t>
        </is>
      </c>
      <c r="B718" s="1" t="n">
        <v>44939</v>
      </c>
      <c r="C718" s="1" t="n">
        <v>45901</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30035-2023</t>
        </is>
      </c>
      <c r="B719" s="1" t="n">
        <v>45110</v>
      </c>
      <c r="C719" s="1" t="n">
        <v>45901</v>
      </c>
      <c r="D719" t="inlineStr">
        <is>
          <t>KALMAR LÄN</t>
        </is>
      </c>
      <c r="E719" t="inlineStr">
        <is>
          <t>VÄSTERVIK</t>
        </is>
      </c>
      <c r="F719" t="inlineStr">
        <is>
          <t>Holmen skog AB</t>
        </is>
      </c>
      <c r="G719" t="n">
        <v>1.1</v>
      </c>
      <c r="H719" t="n">
        <v>0</v>
      </c>
      <c r="I719" t="n">
        <v>0</v>
      </c>
      <c r="J719" t="n">
        <v>0</v>
      </c>
      <c r="K719" t="n">
        <v>0</v>
      </c>
      <c r="L719" t="n">
        <v>0</v>
      </c>
      <c r="M719" t="n">
        <v>0</v>
      </c>
      <c r="N719" t="n">
        <v>0</v>
      </c>
      <c r="O719" t="n">
        <v>0</v>
      </c>
      <c r="P719" t="n">
        <v>0</v>
      </c>
      <c r="Q719" t="n">
        <v>0</v>
      </c>
      <c r="R719" s="2" t="inlineStr"/>
    </row>
    <row r="720" ht="15" customHeight="1">
      <c r="A720" t="inlineStr">
        <is>
          <t>A 32400-2025</t>
        </is>
      </c>
      <c r="B720" s="1" t="n">
        <v>45838.25818287037</v>
      </c>
      <c r="C720" s="1" t="n">
        <v>45901</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61556-2023</t>
        </is>
      </c>
      <c r="B721" s="1" t="n">
        <v>45261</v>
      </c>
      <c r="C721" s="1" t="n">
        <v>45901</v>
      </c>
      <c r="D721" t="inlineStr">
        <is>
          <t>KALMAR LÄN</t>
        </is>
      </c>
      <c r="E721" t="inlineStr">
        <is>
          <t>VÄSTERVIK</t>
        </is>
      </c>
      <c r="F721" t="inlineStr">
        <is>
          <t>Övriga Aktiebolag</t>
        </is>
      </c>
      <c r="G721" t="n">
        <v>13.9</v>
      </c>
      <c r="H721" t="n">
        <v>0</v>
      </c>
      <c r="I721" t="n">
        <v>0</v>
      </c>
      <c r="J721" t="n">
        <v>0</v>
      </c>
      <c r="K721" t="n">
        <v>0</v>
      </c>
      <c r="L721" t="n">
        <v>0</v>
      </c>
      <c r="M721" t="n">
        <v>0</v>
      </c>
      <c r="N721" t="n">
        <v>0</v>
      </c>
      <c r="O721" t="n">
        <v>0</v>
      </c>
      <c r="P721" t="n">
        <v>0</v>
      </c>
      <c r="Q721" t="n">
        <v>0</v>
      </c>
      <c r="R721" s="2" t="inlineStr"/>
    </row>
    <row r="722" ht="15" customHeight="1">
      <c r="A722" t="inlineStr">
        <is>
          <t>A 37774-2025</t>
        </is>
      </c>
      <c r="B722" s="1" t="n">
        <v>45880</v>
      </c>
      <c r="C722" s="1" t="n">
        <v>45901</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34420-2024</t>
        </is>
      </c>
      <c r="B723" s="1" t="n">
        <v>45525.49710648148</v>
      </c>
      <c r="C723" s="1" t="n">
        <v>45901</v>
      </c>
      <c r="D723" t="inlineStr">
        <is>
          <t>KALMAR LÄN</t>
        </is>
      </c>
      <c r="E723" t="inlineStr">
        <is>
          <t>VÄSTERVIK</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63018-2023</t>
        </is>
      </c>
      <c r="B724" s="1" t="n">
        <v>45272</v>
      </c>
      <c r="C724" s="1" t="n">
        <v>45901</v>
      </c>
      <c r="D724" t="inlineStr">
        <is>
          <t>KALMAR LÄN</t>
        </is>
      </c>
      <c r="E724" t="inlineStr">
        <is>
          <t>VÄSTERVIK</t>
        </is>
      </c>
      <c r="G724" t="n">
        <v>1.7</v>
      </c>
      <c r="H724" t="n">
        <v>0</v>
      </c>
      <c r="I724" t="n">
        <v>0</v>
      </c>
      <c r="J724" t="n">
        <v>0</v>
      </c>
      <c r="K724" t="n">
        <v>0</v>
      </c>
      <c r="L724" t="n">
        <v>0</v>
      </c>
      <c r="M724" t="n">
        <v>0</v>
      </c>
      <c r="N724" t="n">
        <v>0</v>
      </c>
      <c r="O724" t="n">
        <v>0</v>
      </c>
      <c r="P724" t="n">
        <v>0</v>
      </c>
      <c r="Q724" t="n">
        <v>0</v>
      </c>
      <c r="R724" s="2" t="inlineStr"/>
    </row>
    <row r="725" ht="15" customHeight="1">
      <c r="A725" t="inlineStr">
        <is>
          <t>A 3467-2025</t>
        </is>
      </c>
      <c r="B725" s="1" t="n">
        <v>45680.50885416667</v>
      </c>
      <c r="C725" s="1" t="n">
        <v>45901</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6021-2024</t>
        </is>
      </c>
      <c r="B726" s="1" t="n">
        <v>45336.62131944444</v>
      </c>
      <c r="C726" s="1" t="n">
        <v>45901</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33922-2025</t>
        </is>
      </c>
      <c r="B727" s="1" t="n">
        <v>45842.61993055556</v>
      </c>
      <c r="C727" s="1" t="n">
        <v>45901</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33928-2025</t>
        </is>
      </c>
      <c r="B728" s="1" t="n">
        <v>45842.62488425926</v>
      </c>
      <c r="C728" s="1" t="n">
        <v>45901</v>
      </c>
      <c r="D728" t="inlineStr">
        <is>
          <t>KALMAR LÄN</t>
        </is>
      </c>
      <c r="E728" t="inlineStr">
        <is>
          <t>VÄSTERVIK</t>
        </is>
      </c>
      <c r="G728" t="n">
        <v>2.4</v>
      </c>
      <c r="H728" t="n">
        <v>0</v>
      </c>
      <c r="I728" t="n">
        <v>0</v>
      </c>
      <c r="J728" t="n">
        <v>0</v>
      </c>
      <c r="K728" t="n">
        <v>0</v>
      </c>
      <c r="L728" t="n">
        <v>0</v>
      </c>
      <c r="M728" t="n">
        <v>0</v>
      </c>
      <c r="N728" t="n">
        <v>0</v>
      </c>
      <c r="O728" t="n">
        <v>0</v>
      </c>
      <c r="P728" t="n">
        <v>0</v>
      </c>
      <c r="Q728" t="n">
        <v>0</v>
      </c>
      <c r="R728" s="2" t="inlineStr"/>
    </row>
    <row r="729" ht="15" customHeight="1">
      <c r="A729" t="inlineStr">
        <is>
          <t>A 55287-2023</t>
        </is>
      </c>
      <c r="B729" s="1" t="n">
        <v>45237.75578703704</v>
      </c>
      <c r="C729" s="1" t="n">
        <v>45901</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51883-2021</t>
        </is>
      </c>
      <c r="B730" s="1" t="n">
        <v>44462.80449074074</v>
      </c>
      <c r="C730" s="1" t="n">
        <v>45901</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51884-2021</t>
        </is>
      </c>
      <c r="B731" s="1" t="n">
        <v>44462.806875</v>
      </c>
      <c r="C731" s="1" t="n">
        <v>45901</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61728-2023</t>
        </is>
      </c>
      <c r="B732" s="1" t="n">
        <v>45265</v>
      </c>
      <c r="C732" s="1" t="n">
        <v>45901</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35655-2023</t>
        </is>
      </c>
      <c r="B733" s="1" t="n">
        <v>45147.59408564815</v>
      </c>
      <c r="C733" s="1" t="n">
        <v>45901</v>
      </c>
      <c r="D733" t="inlineStr">
        <is>
          <t>KALMAR LÄN</t>
        </is>
      </c>
      <c r="E733" t="inlineStr">
        <is>
          <t>VÄSTERVIK</t>
        </is>
      </c>
      <c r="G733" t="n">
        <v>3.3</v>
      </c>
      <c r="H733" t="n">
        <v>0</v>
      </c>
      <c r="I733" t="n">
        <v>0</v>
      </c>
      <c r="J733" t="n">
        <v>0</v>
      </c>
      <c r="K733" t="n">
        <v>0</v>
      </c>
      <c r="L733" t="n">
        <v>0</v>
      </c>
      <c r="M733" t="n">
        <v>0</v>
      </c>
      <c r="N733" t="n">
        <v>0</v>
      </c>
      <c r="O733" t="n">
        <v>0</v>
      </c>
      <c r="P733" t="n">
        <v>0</v>
      </c>
      <c r="Q733" t="n">
        <v>0</v>
      </c>
      <c r="R733" s="2" t="inlineStr"/>
    </row>
    <row r="734" ht="15" customHeight="1">
      <c r="A734" t="inlineStr">
        <is>
          <t>A 33903-2025</t>
        </is>
      </c>
      <c r="B734" s="1" t="n">
        <v>45842.59581018519</v>
      </c>
      <c r="C734" s="1" t="n">
        <v>45901</v>
      </c>
      <c r="D734" t="inlineStr">
        <is>
          <t>KALMAR LÄN</t>
        </is>
      </c>
      <c r="E734" t="inlineStr">
        <is>
          <t>VÄSTERVIK</t>
        </is>
      </c>
      <c r="G734" t="n">
        <v>3.7</v>
      </c>
      <c r="H734" t="n">
        <v>0</v>
      </c>
      <c r="I734" t="n">
        <v>0</v>
      </c>
      <c r="J734" t="n">
        <v>0</v>
      </c>
      <c r="K734" t="n">
        <v>0</v>
      </c>
      <c r="L734" t="n">
        <v>0</v>
      </c>
      <c r="M734" t="n">
        <v>0</v>
      </c>
      <c r="N734" t="n">
        <v>0</v>
      </c>
      <c r="O734" t="n">
        <v>0</v>
      </c>
      <c r="P734" t="n">
        <v>0</v>
      </c>
      <c r="Q734" t="n">
        <v>0</v>
      </c>
      <c r="R734" s="2" t="inlineStr"/>
    </row>
    <row r="735" ht="15" customHeight="1">
      <c r="A735" t="inlineStr">
        <is>
          <t>A 33924-2025</t>
        </is>
      </c>
      <c r="B735" s="1" t="n">
        <v>45842.62152777778</v>
      </c>
      <c r="C735" s="1" t="n">
        <v>45901</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33836-2025</t>
        </is>
      </c>
      <c r="B736" s="1" t="n">
        <v>45842.47616898148</v>
      </c>
      <c r="C736" s="1" t="n">
        <v>45901</v>
      </c>
      <c r="D736" t="inlineStr">
        <is>
          <t>KALMAR LÄN</t>
        </is>
      </c>
      <c r="E736" t="inlineStr">
        <is>
          <t>VÄSTERVIK</t>
        </is>
      </c>
      <c r="G736" t="n">
        <v>4.2</v>
      </c>
      <c r="H736" t="n">
        <v>0</v>
      </c>
      <c r="I736" t="n">
        <v>0</v>
      </c>
      <c r="J736" t="n">
        <v>0</v>
      </c>
      <c r="K736" t="n">
        <v>0</v>
      </c>
      <c r="L736" t="n">
        <v>0</v>
      </c>
      <c r="M736" t="n">
        <v>0</v>
      </c>
      <c r="N736" t="n">
        <v>0</v>
      </c>
      <c r="O736" t="n">
        <v>0</v>
      </c>
      <c r="P736" t="n">
        <v>0</v>
      </c>
      <c r="Q736" t="n">
        <v>0</v>
      </c>
      <c r="R736" s="2" t="inlineStr"/>
    </row>
    <row r="737" ht="15" customHeight="1">
      <c r="A737" t="inlineStr">
        <is>
          <t>A 33921-2025</t>
        </is>
      </c>
      <c r="B737" s="1" t="n">
        <v>45842.61626157408</v>
      </c>
      <c r="C737" s="1" t="n">
        <v>45901</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2168-2024</t>
        </is>
      </c>
      <c r="B738" s="1" t="n">
        <v>45309.61756944445</v>
      </c>
      <c r="C738" s="1" t="n">
        <v>45901</v>
      </c>
      <c r="D738" t="inlineStr">
        <is>
          <t>KALMAR LÄN</t>
        </is>
      </c>
      <c r="E738" t="inlineStr">
        <is>
          <t>VÄSTERVIK</t>
        </is>
      </c>
      <c r="G738" t="n">
        <v>2</v>
      </c>
      <c r="H738" t="n">
        <v>0</v>
      </c>
      <c r="I738" t="n">
        <v>0</v>
      </c>
      <c r="J738" t="n">
        <v>0</v>
      </c>
      <c r="K738" t="n">
        <v>0</v>
      </c>
      <c r="L738" t="n">
        <v>0</v>
      </c>
      <c r="M738" t="n">
        <v>0</v>
      </c>
      <c r="N738" t="n">
        <v>0</v>
      </c>
      <c r="O738" t="n">
        <v>0</v>
      </c>
      <c r="P738" t="n">
        <v>0</v>
      </c>
      <c r="Q738" t="n">
        <v>0</v>
      </c>
      <c r="R738" s="2" t="inlineStr"/>
    </row>
    <row r="739" ht="15" customHeight="1">
      <c r="A739" t="inlineStr">
        <is>
          <t>A 33842-2025</t>
        </is>
      </c>
      <c r="B739" s="1" t="n">
        <v>45842.48217592593</v>
      </c>
      <c r="C739" s="1" t="n">
        <v>45901</v>
      </c>
      <c r="D739" t="inlineStr">
        <is>
          <t>KALMAR LÄN</t>
        </is>
      </c>
      <c r="E739" t="inlineStr">
        <is>
          <t>VÄSTERVIK</t>
        </is>
      </c>
      <c r="G739" t="n">
        <v>2</v>
      </c>
      <c r="H739" t="n">
        <v>0</v>
      </c>
      <c r="I739" t="n">
        <v>0</v>
      </c>
      <c r="J739" t="n">
        <v>0</v>
      </c>
      <c r="K739" t="n">
        <v>0</v>
      </c>
      <c r="L739" t="n">
        <v>0</v>
      </c>
      <c r="M739" t="n">
        <v>0</v>
      </c>
      <c r="N739" t="n">
        <v>0</v>
      </c>
      <c r="O739" t="n">
        <v>0</v>
      </c>
      <c r="P739" t="n">
        <v>0</v>
      </c>
      <c r="Q739" t="n">
        <v>0</v>
      </c>
      <c r="R739" s="2" t="inlineStr"/>
    </row>
    <row r="740" ht="15" customHeight="1">
      <c r="A740" t="inlineStr">
        <is>
          <t>A 10688-2024</t>
        </is>
      </c>
      <c r="B740" s="1" t="n">
        <v>45369.39894675926</v>
      </c>
      <c r="C740" s="1" t="n">
        <v>45901</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58090-2021</t>
        </is>
      </c>
      <c r="B741" s="1" t="n">
        <v>44487.50277777778</v>
      </c>
      <c r="C741" s="1" t="n">
        <v>45901</v>
      </c>
      <c r="D741" t="inlineStr">
        <is>
          <t>KALMAR LÄN</t>
        </is>
      </c>
      <c r="E741" t="inlineStr">
        <is>
          <t>VÄSTERVIK</t>
        </is>
      </c>
      <c r="G741" t="n">
        <v>2.9</v>
      </c>
      <c r="H741" t="n">
        <v>0</v>
      </c>
      <c r="I741" t="n">
        <v>0</v>
      </c>
      <c r="J741" t="n">
        <v>0</v>
      </c>
      <c r="K741" t="n">
        <v>0</v>
      </c>
      <c r="L741" t="n">
        <v>0</v>
      </c>
      <c r="M741" t="n">
        <v>0</v>
      </c>
      <c r="N741" t="n">
        <v>0</v>
      </c>
      <c r="O741" t="n">
        <v>0</v>
      </c>
      <c r="P741" t="n">
        <v>0</v>
      </c>
      <c r="Q741" t="n">
        <v>0</v>
      </c>
      <c r="R741" s="2" t="inlineStr"/>
    </row>
    <row r="742" ht="15" customHeight="1">
      <c r="A742" t="inlineStr">
        <is>
          <t>A 60483-2024</t>
        </is>
      </c>
      <c r="B742" s="1" t="n">
        <v>45643.63751157407</v>
      </c>
      <c r="C742" s="1" t="n">
        <v>45901</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33931-2025</t>
        </is>
      </c>
      <c r="B743" s="1" t="n">
        <v>45842.63288194445</v>
      </c>
      <c r="C743" s="1" t="n">
        <v>45901</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37936-2022</t>
        </is>
      </c>
      <c r="B744" s="1" t="n">
        <v>44811.46958333333</v>
      </c>
      <c r="C744" s="1" t="n">
        <v>45901</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31825-2022</t>
        </is>
      </c>
      <c r="B745" s="1" t="n">
        <v>44776.74908564815</v>
      </c>
      <c r="C745" s="1" t="n">
        <v>45901</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33907-2025</t>
        </is>
      </c>
      <c r="B746" s="1" t="n">
        <v>45842.59880787037</v>
      </c>
      <c r="C746" s="1" t="n">
        <v>45901</v>
      </c>
      <c r="D746" t="inlineStr">
        <is>
          <t>KALMAR LÄN</t>
        </is>
      </c>
      <c r="E746" t="inlineStr">
        <is>
          <t>VÄSTERVIK</t>
        </is>
      </c>
      <c r="G746" t="n">
        <v>3.1</v>
      </c>
      <c r="H746" t="n">
        <v>0</v>
      </c>
      <c r="I746" t="n">
        <v>0</v>
      </c>
      <c r="J746" t="n">
        <v>0</v>
      </c>
      <c r="K746" t="n">
        <v>0</v>
      </c>
      <c r="L746" t="n">
        <v>0</v>
      </c>
      <c r="M746" t="n">
        <v>0</v>
      </c>
      <c r="N746" t="n">
        <v>0</v>
      </c>
      <c r="O746" t="n">
        <v>0</v>
      </c>
      <c r="P746" t="n">
        <v>0</v>
      </c>
      <c r="Q746" t="n">
        <v>0</v>
      </c>
      <c r="R746" s="2" t="inlineStr"/>
    </row>
    <row r="747" ht="15" customHeight="1">
      <c r="A747" t="inlineStr">
        <is>
          <t>A 63606-2023</t>
        </is>
      </c>
      <c r="B747" s="1" t="n">
        <v>45275</v>
      </c>
      <c r="C747" s="1" t="n">
        <v>45901</v>
      </c>
      <c r="D747" t="inlineStr">
        <is>
          <t>KALMAR LÄN</t>
        </is>
      </c>
      <c r="E747" t="inlineStr">
        <is>
          <t>VÄSTERVIK</t>
        </is>
      </c>
      <c r="G747" t="n">
        <v>2.9</v>
      </c>
      <c r="H747" t="n">
        <v>0</v>
      </c>
      <c r="I747" t="n">
        <v>0</v>
      </c>
      <c r="J747" t="n">
        <v>0</v>
      </c>
      <c r="K747" t="n">
        <v>0</v>
      </c>
      <c r="L747" t="n">
        <v>0</v>
      </c>
      <c r="M747" t="n">
        <v>0</v>
      </c>
      <c r="N747" t="n">
        <v>0</v>
      </c>
      <c r="O747" t="n">
        <v>0</v>
      </c>
      <c r="P747" t="n">
        <v>0</v>
      </c>
      <c r="Q747" t="n">
        <v>0</v>
      </c>
      <c r="R747" s="2" t="inlineStr"/>
    </row>
    <row r="748" ht="15" customHeight="1">
      <c r="A748" t="inlineStr">
        <is>
          <t>A 55289-2023</t>
        </is>
      </c>
      <c r="B748" s="1" t="n">
        <v>45237.76106481482</v>
      </c>
      <c r="C748" s="1" t="n">
        <v>45901</v>
      </c>
      <c r="D748" t="inlineStr">
        <is>
          <t>KALMAR LÄN</t>
        </is>
      </c>
      <c r="E748" t="inlineStr">
        <is>
          <t>VÄSTERVIK</t>
        </is>
      </c>
      <c r="G748" t="n">
        <v>1.7</v>
      </c>
      <c r="H748" t="n">
        <v>0</v>
      </c>
      <c r="I748" t="n">
        <v>0</v>
      </c>
      <c r="J748" t="n">
        <v>0</v>
      </c>
      <c r="K748" t="n">
        <v>0</v>
      </c>
      <c r="L748" t="n">
        <v>0</v>
      </c>
      <c r="M748" t="n">
        <v>0</v>
      </c>
      <c r="N748" t="n">
        <v>0</v>
      </c>
      <c r="O748" t="n">
        <v>0</v>
      </c>
      <c r="P748" t="n">
        <v>0</v>
      </c>
      <c r="Q748" t="n">
        <v>0</v>
      </c>
      <c r="R748" s="2" t="inlineStr"/>
    </row>
    <row r="749" ht="15" customHeight="1">
      <c r="A749" t="inlineStr">
        <is>
          <t>A 33207-2022</t>
        </is>
      </c>
      <c r="B749" s="1" t="n">
        <v>44785.72373842593</v>
      </c>
      <c r="C749" s="1" t="n">
        <v>45901</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33210-2022</t>
        </is>
      </c>
      <c r="B750" s="1" t="n">
        <v>44785.74811342593</v>
      </c>
      <c r="C750" s="1" t="n">
        <v>45901</v>
      </c>
      <c r="D750" t="inlineStr">
        <is>
          <t>KALMAR LÄN</t>
        </is>
      </c>
      <c r="E750" t="inlineStr">
        <is>
          <t>VÄSTERVIK</t>
        </is>
      </c>
      <c r="G750" t="n">
        <v>3.2</v>
      </c>
      <c r="H750" t="n">
        <v>0</v>
      </c>
      <c r="I750" t="n">
        <v>0</v>
      </c>
      <c r="J750" t="n">
        <v>0</v>
      </c>
      <c r="K750" t="n">
        <v>0</v>
      </c>
      <c r="L750" t="n">
        <v>0</v>
      </c>
      <c r="M750" t="n">
        <v>0</v>
      </c>
      <c r="N750" t="n">
        <v>0</v>
      </c>
      <c r="O750" t="n">
        <v>0</v>
      </c>
      <c r="P750" t="n">
        <v>0</v>
      </c>
      <c r="Q750" t="n">
        <v>0</v>
      </c>
      <c r="R750" s="2" t="inlineStr"/>
    </row>
    <row r="751" ht="15" customHeight="1">
      <c r="A751" t="inlineStr">
        <is>
          <t>A 23024-2025</t>
        </is>
      </c>
      <c r="B751" s="1" t="n">
        <v>45790.65615740741</v>
      </c>
      <c r="C751" s="1" t="n">
        <v>45901</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row>
    <row r="752" ht="15" customHeight="1">
      <c r="A752" t="inlineStr">
        <is>
          <t>A 13105-2025</t>
        </is>
      </c>
      <c r="B752" s="1" t="n">
        <v>45734.68493055556</v>
      </c>
      <c r="C752" s="1" t="n">
        <v>45901</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57366-2023</t>
        </is>
      </c>
      <c r="B753" s="1" t="n">
        <v>45245</v>
      </c>
      <c r="C753" s="1" t="n">
        <v>45901</v>
      </c>
      <c r="D753" t="inlineStr">
        <is>
          <t>KALMAR LÄN</t>
        </is>
      </c>
      <c r="E753" t="inlineStr">
        <is>
          <t>VÄSTERVIK</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10515-2024</t>
        </is>
      </c>
      <c r="B754" s="1" t="n">
        <v>45366</v>
      </c>
      <c r="C754" s="1" t="n">
        <v>45901</v>
      </c>
      <c r="D754" t="inlineStr">
        <is>
          <t>KALMAR LÄN</t>
        </is>
      </c>
      <c r="E754" t="inlineStr">
        <is>
          <t>VÄSTERVIK</t>
        </is>
      </c>
      <c r="F754" t="inlineStr">
        <is>
          <t>Kyrkan</t>
        </is>
      </c>
      <c r="G754" t="n">
        <v>3.5</v>
      </c>
      <c r="H754" t="n">
        <v>0</v>
      </c>
      <c r="I754" t="n">
        <v>0</v>
      </c>
      <c r="J754" t="n">
        <v>0</v>
      </c>
      <c r="K754" t="n">
        <v>0</v>
      </c>
      <c r="L754" t="n">
        <v>0</v>
      </c>
      <c r="M754" t="n">
        <v>0</v>
      </c>
      <c r="N754" t="n">
        <v>0</v>
      </c>
      <c r="O754" t="n">
        <v>0</v>
      </c>
      <c r="P754" t="n">
        <v>0</v>
      </c>
      <c r="Q754" t="n">
        <v>0</v>
      </c>
      <c r="R754" s="2" t="inlineStr"/>
    </row>
    <row r="755" ht="15" customHeight="1">
      <c r="A755" t="inlineStr">
        <is>
          <t>A 46088-2023</t>
        </is>
      </c>
      <c r="B755" s="1" t="n">
        <v>45196.50065972222</v>
      </c>
      <c r="C755" s="1" t="n">
        <v>45901</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12595-2023</t>
        </is>
      </c>
      <c r="B756" s="1" t="n">
        <v>45000.43240740741</v>
      </c>
      <c r="C756" s="1" t="n">
        <v>45901</v>
      </c>
      <c r="D756" t="inlineStr">
        <is>
          <t>KALMAR LÄN</t>
        </is>
      </c>
      <c r="E756" t="inlineStr">
        <is>
          <t>VÄSTERVIK</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23411-2022</t>
        </is>
      </c>
      <c r="B757" s="1" t="n">
        <v>44720.70361111111</v>
      </c>
      <c r="C757" s="1" t="n">
        <v>45901</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46121-2023</t>
        </is>
      </c>
      <c r="B758" s="1" t="n">
        <v>45196.55392361111</v>
      </c>
      <c r="C758" s="1" t="n">
        <v>45901</v>
      </c>
      <c r="D758" t="inlineStr">
        <is>
          <t>KALMAR LÄN</t>
        </is>
      </c>
      <c r="E758" t="inlineStr">
        <is>
          <t>VÄSTERVIK</t>
        </is>
      </c>
      <c r="F758" t="inlineStr">
        <is>
          <t>Sveaskog</t>
        </is>
      </c>
      <c r="G758" t="n">
        <v>3.3</v>
      </c>
      <c r="H758" t="n">
        <v>0</v>
      </c>
      <c r="I758" t="n">
        <v>0</v>
      </c>
      <c r="J758" t="n">
        <v>0</v>
      </c>
      <c r="K758" t="n">
        <v>0</v>
      </c>
      <c r="L758" t="n">
        <v>0</v>
      </c>
      <c r="M758" t="n">
        <v>0</v>
      </c>
      <c r="N758" t="n">
        <v>0</v>
      </c>
      <c r="O758" t="n">
        <v>0</v>
      </c>
      <c r="P758" t="n">
        <v>0</v>
      </c>
      <c r="Q758" t="n">
        <v>0</v>
      </c>
      <c r="R758" s="2" t="inlineStr"/>
    </row>
    <row r="759" ht="15" customHeight="1">
      <c r="A759" t="inlineStr">
        <is>
          <t>A 34162-2025</t>
        </is>
      </c>
      <c r="B759" s="1" t="n">
        <v>45845.57983796296</v>
      </c>
      <c r="C759" s="1" t="n">
        <v>45901</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34289-2025</t>
        </is>
      </c>
      <c r="B760" s="1" t="n">
        <v>45846.334375</v>
      </c>
      <c r="C760" s="1" t="n">
        <v>45901</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61450-2023</t>
        </is>
      </c>
      <c r="B761" s="1" t="n">
        <v>45264.8162037037</v>
      </c>
      <c r="C761" s="1" t="n">
        <v>45901</v>
      </c>
      <c r="D761" t="inlineStr">
        <is>
          <t>KALMAR LÄN</t>
        </is>
      </c>
      <c r="E761" t="inlineStr">
        <is>
          <t>VÄSTERVIK</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6042-2023</t>
        </is>
      </c>
      <c r="B762" s="1" t="n">
        <v>44964</v>
      </c>
      <c r="C762" s="1" t="n">
        <v>45901</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56033-2023</t>
        </is>
      </c>
      <c r="B763" s="1" t="n">
        <v>45240.43778935185</v>
      </c>
      <c r="C763" s="1" t="n">
        <v>45901</v>
      </c>
      <c r="D763" t="inlineStr">
        <is>
          <t>KALMAR LÄN</t>
        </is>
      </c>
      <c r="E763" t="inlineStr">
        <is>
          <t>VÄSTERVIK</t>
        </is>
      </c>
      <c r="G763" t="n">
        <v>0.4</v>
      </c>
      <c r="H763" t="n">
        <v>0</v>
      </c>
      <c r="I763" t="n">
        <v>0</v>
      </c>
      <c r="J763" t="n">
        <v>0</v>
      </c>
      <c r="K763" t="n">
        <v>0</v>
      </c>
      <c r="L763" t="n">
        <v>0</v>
      </c>
      <c r="M763" t="n">
        <v>0</v>
      </c>
      <c r="N763" t="n">
        <v>0</v>
      </c>
      <c r="O763" t="n">
        <v>0</v>
      </c>
      <c r="P763" t="n">
        <v>0</v>
      </c>
      <c r="Q763" t="n">
        <v>0</v>
      </c>
      <c r="R763" s="2" t="inlineStr"/>
    </row>
    <row r="764" ht="15" customHeight="1">
      <c r="A764" t="inlineStr">
        <is>
          <t>A 34292-2025</t>
        </is>
      </c>
      <c r="B764" s="1" t="n">
        <v>45846.34083333334</v>
      </c>
      <c r="C764" s="1" t="n">
        <v>45901</v>
      </c>
      <c r="D764" t="inlineStr">
        <is>
          <t>KALMAR LÄN</t>
        </is>
      </c>
      <c r="E764" t="inlineStr">
        <is>
          <t>VÄSTERVIK</t>
        </is>
      </c>
      <c r="G764" t="n">
        <v>3.4</v>
      </c>
      <c r="H764" t="n">
        <v>0</v>
      </c>
      <c r="I764" t="n">
        <v>0</v>
      </c>
      <c r="J764" t="n">
        <v>0</v>
      </c>
      <c r="K764" t="n">
        <v>0</v>
      </c>
      <c r="L764" t="n">
        <v>0</v>
      </c>
      <c r="M764" t="n">
        <v>0</v>
      </c>
      <c r="N764" t="n">
        <v>0</v>
      </c>
      <c r="O764" t="n">
        <v>0</v>
      </c>
      <c r="P764" t="n">
        <v>0</v>
      </c>
      <c r="Q764" t="n">
        <v>0</v>
      </c>
      <c r="R764" s="2" t="inlineStr"/>
    </row>
    <row r="765" ht="15" customHeight="1">
      <c r="A765" t="inlineStr">
        <is>
          <t>A 28404-2024</t>
        </is>
      </c>
      <c r="B765" s="1" t="n">
        <v>45477.61552083334</v>
      </c>
      <c r="C765" s="1" t="n">
        <v>45901</v>
      </c>
      <c r="D765" t="inlineStr">
        <is>
          <t>KALMAR LÄN</t>
        </is>
      </c>
      <c r="E765" t="inlineStr">
        <is>
          <t>VÄSTERVIK</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28415-2024</t>
        </is>
      </c>
      <c r="B766" s="1" t="n">
        <v>45477.62924768519</v>
      </c>
      <c r="C766" s="1" t="n">
        <v>45901</v>
      </c>
      <c r="D766" t="inlineStr">
        <is>
          <t>KALMAR LÄN</t>
        </is>
      </c>
      <c r="E766" t="inlineStr">
        <is>
          <t>VÄSTERVIK</t>
        </is>
      </c>
      <c r="F766" t="inlineStr">
        <is>
          <t>Holmen skog AB</t>
        </is>
      </c>
      <c r="G766" t="n">
        <v>2.7</v>
      </c>
      <c r="H766" t="n">
        <v>0</v>
      </c>
      <c r="I766" t="n">
        <v>0</v>
      </c>
      <c r="J766" t="n">
        <v>0</v>
      </c>
      <c r="K766" t="n">
        <v>0</v>
      </c>
      <c r="L766" t="n">
        <v>0</v>
      </c>
      <c r="M766" t="n">
        <v>0</v>
      </c>
      <c r="N766" t="n">
        <v>0</v>
      </c>
      <c r="O766" t="n">
        <v>0</v>
      </c>
      <c r="P766" t="n">
        <v>0</v>
      </c>
      <c r="Q766" t="n">
        <v>0</v>
      </c>
      <c r="R766" s="2" t="inlineStr"/>
    </row>
    <row r="767" ht="15" customHeight="1">
      <c r="A767" t="inlineStr">
        <is>
          <t>A 43828-2021</t>
        </is>
      </c>
      <c r="B767" s="1" t="n">
        <v>44433</v>
      </c>
      <c r="C767" s="1" t="n">
        <v>45901</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34397-2025</t>
        </is>
      </c>
      <c r="B768" s="1" t="n">
        <v>45846.59813657407</v>
      </c>
      <c r="C768" s="1" t="n">
        <v>45901</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34160-2025</t>
        </is>
      </c>
      <c r="B769" s="1" t="n">
        <v>45845.57701388889</v>
      </c>
      <c r="C769" s="1" t="n">
        <v>45901</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934-2024</t>
        </is>
      </c>
      <c r="B770" s="1" t="n">
        <v>45301.51439814815</v>
      </c>
      <c r="C770" s="1" t="n">
        <v>45901</v>
      </c>
      <c r="D770" t="inlineStr">
        <is>
          <t>KALMAR LÄN</t>
        </is>
      </c>
      <c r="E770" t="inlineStr">
        <is>
          <t>VÄSTERVIK</t>
        </is>
      </c>
      <c r="G770" t="n">
        <v>2.3</v>
      </c>
      <c r="H770" t="n">
        <v>0</v>
      </c>
      <c r="I770" t="n">
        <v>0</v>
      </c>
      <c r="J770" t="n">
        <v>0</v>
      </c>
      <c r="K770" t="n">
        <v>0</v>
      </c>
      <c r="L770" t="n">
        <v>0</v>
      </c>
      <c r="M770" t="n">
        <v>0</v>
      </c>
      <c r="N770" t="n">
        <v>0</v>
      </c>
      <c r="O770" t="n">
        <v>0</v>
      </c>
      <c r="P770" t="n">
        <v>0</v>
      </c>
      <c r="Q770" t="n">
        <v>0</v>
      </c>
      <c r="R770" s="2" t="inlineStr"/>
    </row>
    <row r="771" ht="15" customHeight="1">
      <c r="A771" t="inlineStr">
        <is>
          <t>A 936-2024</t>
        </is>
      </c>
      <c r="B771" s="1" t="n">
        <v>45301.51950231481</v>
      </c>
      <c r="C771" s="1" t="n">
        <v>45901</v>
      </c>
      <c r="D771" t="inlineStr">
        <is>
          <t>KALMAR LÄN</t>
        </is>
      </c>
      <c r="E771" t="inlineStr">
        <is>
          <t>VÄSTERVIK</t>
        </is>
      </c>
      <c r="G771" t="n">
        <v>1.4</v>
      </c>
      <c r="H771" t="n">
        <v>0</v>
      </c>
      <c r="I771" t="n">
        <v>0</v>
      </c>
      <c r="J771" t="n">
        <v>0</v>
      </c>
      <c r="K771" t="n">
        <v>0</v>
      </c>
      <c r="L771" t="n">
        <v>0</v>
      </c>
      <c r="M771" t="n">
        <v>0</v>
      </c>
      <c r="N771" t="n">
        <v>0</v>
      </c>
      <c r="O771" t="n">
        <v>0</v>
      </c>
      <c r="P771" t="n">
        <v>0</v>
      </c>
      <c r="Q771" t="n">
        <v>0</v>
      </c>
      <c r="R771" s="2" t="inlineStr"/>
    </row>
    <row r="772" ht="15" customHeight="1">
      <c r="A772" t="inlineStr">
        <is>
          <t>A 4508-2023</t>
        </is>
      </c>
      <c r="B772" s="1" t="n">
        <v>44956</v>
      </c>
      <c r="C772" s="1" t="n">
        <v>45901</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34171-2025</t>
        </is>
      </c>
      <c r="B773" s="1" t="n">
        <v>45845.58966435185</v>
      </c>
      <c r="C773" s="1" t="n">
        <v>45901</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38442-2025</t>
        </is>
      </c>
      <c r="B774" s="1" t="n">
        <v>45883</v>
      </c>
      <c r="C774" s="1" t="n">
        <v>45901</v>
      </c>
      <c r="D774" t="inlineStr">
        <is>
          <t>KALMAR LÄN</t>
        </is>
      </c>
      <c r="E774" t="inlineStr">
        <is>
          <t>VÄSTERVIK</t>
        </is>
      </c>
      <c r="G774" t="n">
        <v>3.5</v>
      </c>
      <c r="H774" t="n">
        <v>0</v>
      </c>
      <c r="I774" t="n">
        <v>0</v>
      </c>
      <c r="J774" t="n">
        <v>0</v>
      </c>
      <c r="K774" t="n">
        <v>0</v>
      </c>
      <c r="L774" t="n">
        <v>0</v>
      </c>
      <c r="M774" t="n">
        <v>0</v>
      </c>
      <c r="N774" t="n">
        <v>0</v>
      </c>
      <c r="O774" t="n">
        <v>0</v>
      </c>
      <c r="P774" t="n">
        <v>0</v>
      </c>
      <c r="Q774" t="n">
        <v>0</v>
      </c>
      <c r="R774" s="2" t="inlineStr"/>
    </row>
    <row r="775" ht="15" customHeight="1">
      <c r="A775" t="inlineStr">
        <is>
          <t>A 13743-2024</t>
        </is>
      </c>
      <c r="B775" s="1" t="n">
        <v>45390.8940625</v>
      </c>
      <c r="C775" s="1" t="n">
        <v>45901</v>
      </c>
      <c r="D775" t="inlineStr">
        <is>
          <t>KALMAR LÄN</t>
        </is>
      </c>
      <c r="E775" t="inlineStr">
        <is>
          <t>VÄSTERVIK</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34617-2025</t>
        </is>
      </c>
      <c r="B776" s="1" t="n">
        <v>45847</v>
      </c>
      <c r="C776" s="1" t="n">
        <v>45901</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34618-2025</t>
        </is>
      </c>
      <c r="B777" s="1" t="n">
        <v>45847</v>
      </c>
      <c r="C777" s="1" t="n">
        <v>45901</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34639-2025</t>
        </is>
      </c>
      <c r="B778" s="1" t="n">
        <v>45848</v>
      </c>
      <c r="C778" s="1" t="n">
        <v>45901</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25434-2023</t>
        </is>
      </c>
      <c r="B779" s="1" t="n">
        <v>45089.41912037037</v>
      </c>
      <c r="C779" s="1" t="n">
        <v>45901</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39425-2025</t>
        </is>
      </c>
      <c r="B780" s="1" t="n">
        <v>45889.67297453704</v>
      </c>
      <c r="C780" s="1" t="n">
        <v>45901</v>
      </c>
      <c r="D780" t="inlineStr">
        <is>
          <t>KALMAR LÄN</t>
        </is>
      </c>
      <c r="E780" t="inlineStr">
        <is>
          <t>VÄSTERVIK</t>
        </is>
      </c>
      <c r="G780" t="n">
        <v>6.7</v>
      </c>
      <c r="H780" t="n">
        <v>0</v>
      </c>
      <c r="I780" t="n">
        <v>0</v>
      </c>
      <c r="J780" t="n">
        <v>0</v>
      </c>
      <c r="K780" t="n">
        <v>0</v>
      </c>
      <c r="L780" t="n">
        <v>0</v>
      </c>
      <c r="M780" t="n">
        <v>0</v>
      </c>
      <c r="N780" t="n">
        <v>0</v>
      </c>
      <c r="O780" t="n">
        <v>0</v>
      </c>
      <c r="P780" t="n">
        <v>0</v>
      </c>
      <c r="Q780" t="n">
        <v>0</v>
      </c>
      <c r="R780" s="2" t="inlineStr"/>
    </row>
    <row r="781" ht="15" customHeight="1">
      <c r="A781" t="inlineStr">
        <is>
          <t>A 39430-2025</t>
        </is>
      </c>
      <c r="B781" s="1" t="n">
        <v>45889.67606481481</v>
      </c>
      <c r="C781" s="1" t="n">
        <v>45901</v>
      </c>
      <c r="D781" t="inlineStr">
        <is>
          <t>KALMAR LÄN</t>
        </is>
      </c>
      <c r="E781" t="inlineStr">
        <is>
          <t>VÄSTERVIK</t>
        </is>
      </c>
      <c r="G781" t="n">
        <v>2.7</v>
      </c>
      <c r="H781" t="n">
        <v>0</v>
      </c>
      <c r="I781" t="n">
        <v>0</v>
      </c>
      <c r="J781" t="n">
        <v>0</v>
      </c>
      <c r="K781" t="n">
        <v>0</v>
      </c>
      <c r="L781" t="n">
        <v>0</v>
      </c>
      <c r="M781" t="n">
        <v>0</v>
      </c>
      <c r="N781" t="n">
        <v>0</v>
      </c>
      <c r="O781" t="n">
        <v>0</v>
      </c>
      <c r="P781" t="n">
        <v>0</v>
      </c>
      <c r="Q781" t="n">
        <v>0</v>
      </c>
      <c r="R781" s="2" t="inlineStr"/>
    </row>
    <row r="782" ht="15" customHeight="1">
      <c r="A782" t="inlineStr">
        <is>
          <t>A 60147-2024</t>
        </is>
      </c>
      <c r="B782" s="1" t="n">
        <v>45642.61109953704</v>
      </c>
      <c r="C782" s="1" t="n">
        <v>45901</v>
      </c>
      <c r="D782" t="inlineStr">
        <is>
          <t>KALMAR LÄN</t>
        </is>
      </c>
      <c r="E782" t="inlineStr">
        <is>
          <t>VÄSTERVIK</t>
        </is>
      </c>
      <c r="G782" t="n">
        <v>0.5</v>
      </c>
      <c r="H782" t="n">
        <v>0</v>
      </c>
      <c r="I782" t="n">
        <v>0</v>
      </c>
      <c r="J782" t="n">
        <v>0</v>
      </c>
      <c r="K782" t="n">
        <v>0</v>
      </c>
      <c r="L782" t="n">
        <v>0</v>
      </c>
      <c r="M782" t="n">
        <v>0</v>
      </c>
      <c r="N782" t="n">
        <v>0</v>
      </c>
      <c r="O782" t="n">
        <v>0</v>
      </c>
      <c r="P782" t="n">
        <v>0</v>
      </c>
      <c r="Q782" t="n">
        <v>0</v>
      </c>
      <c r="R782" s="2" t="inlineStr"/>
    </row>
    <row r="783" ht="15" customHeight="1">
      <c r="A783" t="inlineStr">
        <is>
          <t>A 34531-2025</t>
        </is>
      </c>
      <c r="B783" s="1" t="n">
        <v>45847.50152777778</v>
      </c>
      <c r="C783" s="1" t="n">
        <v>45901</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row>
    <row r="784" ht="15" customHeight="1">
      <c r="A784" t="inlineStr">
        <is>
          <t>A 7163-2025</t>
        </is>
      </c>
      <c r="B784" s="1" t="n">
        <v>45702.3918287037</v>
      </c>
      <c r="C784" s="1" t="n">
        <v>45901</v>
      </c>
      <c r="D784" t="inlineStr">
        <is>
          <t>KALMAR LÄN</t>
        </is>
      </c>
      <c r="E784" t="inlineStr">
        <is>
          <t>VÄSTERVIK</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34619-2025</t>
        </is>
      </c>
      <c r="B785" s="1" t="n">
        <v>45847</v>
      </c>
      <c r="C785" s="1" t="n">
        <v>45901</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39442-2025</t>
        </is>
      </c>
      <c r="B786" s="1" t="n">
        <v>45889.6947337963</v>
      </c>
      <c r="C786" s="1" t="n">
        <v>45901</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34643-2025</t>
        </is>
      </c>
      <c r="B787" s="1" t="n">
        <v>45848.32959490741</v>
      </c>
      <c r="C787" s="1" t="n">
        <v>45901</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35417-2022</t>
        </is>
      </c>
      <c r="B788" s="1" t="n">
        <v>44798</v>
      </c>
      <c r="C788" s="1" t="n">
        <v>45901</v>
      </c>
      <c r="D788" t="inlineStr">
        <is>
          <t>KALMAR LÄN</t>
        </is>
      </c>
      <c r="E788" t="inlineStr">
        <is>
          <t>VÄSTERVIK</t>
        </is>
      </c>
      <c r="G788" t="n">
        <v>5.2</v>
      </c>
      <c r="H788" t="n">
        <v>0</v>
      </c>
      <c r="I788" t="n">
        <v>0</v>
      </c>
      <c r="J788" t="n">
        <v>0</v>
      </c>
      <c r="K788" t="n">
        <v>0</v>
      </c>
      <c r="L788" t="n">
        <v>0</v>
      </c>
      <c r="M788" t="n">
        <v>0</v>
      </c>
      <c r="N788" t="n">
        <v>0</v>
      </c>
      <c r="O788" t="n">
        <v>0</v>
      </c>
      <c r="P788" t="n">
        <v>0</v>
      </c>
      <c r="Q788" t="n">
        <v>0</v>
      </c>
      <c r="R788" s="2" t="inlineStr"/>
    </row>
    <row r="789" ht="15" customHeight="1">
      <c r="A789" t="inlineStr">
        <is>
          <t>A 18068-2023</t>
        </is>
      </c>
      <c r="B789" s="1" t="n">
        <v>45040</v>
      </c>
      <c r="C789" s="1" t="n">
        <v>45901</v>
      </c>
      <c r="D789" t="inlineStr">
        <is>
          <t>KALMAR LÄN</t>
        </is>
      </c>
      <c r="E789" t="inlineStr">
        <is>
          <t>VÄSTERVIK</t>
        </is>
      </c>
      <c r="G789" t="n">
        <v>1.5</v>
      </c>
      <c r="H789" t="n">
        <v>0</v>
      </c>
      <c r="I789" t="n">
        <v>0</v>
      </c>
      <c r="J789" t="n">
        <v>0</v>
      </c>
      <c r="K789" t="n">
        <v>0</v>
      </c>
      <c r="L789" t="n">
        <v>0</v>
      </c>
      <c r="M789" t="n">
        <v>0</v>
      </c>
      <c r="N789" t="n">
        <v>0</v>
      </c>
      <c r="O789" t="n">
        <v>0</v>
      </c>
      <c r="P789" t="n">
        <v>0</v>
      </c>
      <c r="Q789" t="n">
        <v>0</v>
      </c>
      <c r="R789" s="2" t="inlineStr"/>
    </row>
    <row r="790" ht="15" customHeight="1">
      <c r="A790" t="inlineStr">
        <is>
          <t>A 11189-2024</t>
        </is>
      </c>
      <c r="B790" s="1" t="n">
        <v>45371</v>
      </c>
      <c r="C790" s="1" t="n">
        <v>45901</v>
      </c>
      <c r="D790" t="inlineStr">
        <is>
          <t>KALMAR LÄN</t>
        </is>
      </c>
      <c r="E790" t="inlineStr">
        <is>
          <t>VÄSTERVIK</t>
        </is>
      </c>
      <c r="G790" t="n">
        <v>5.2</v>
      </c>
      <c r="H790" t="n">
        <v>0</v>
      </c>
      <c r="I790" t="n">
        <v>0</v>
      </c>
      <c r="J790" t="n">
        <v>0</v>
      </c>
      <c r="K790" t="n">
        <v>0</v>
      </c>
      <c r="L790" t="n">
        <v>0</v>
      </c>
      <c r="M790" t="n">
        <v>0</v>
      </c>
      <c r="N790" t="n">
        <v>0</v>
      </c>
      <c r="O790" t="n">
        <v>0</v>
      </c>
      <c r="P790" t="n">
        <v>0</v>
      </c>
      <c r="Q790" t="n">
        <v>0</v>
      </c>
      <c r="R790" s="2" t="inlineStr"/>
    </row>
    <row r="791" ht="15" customHeight="1">
      <c r="A791" t="inlineStr">
        <is>
          <t>A 39428-2025</t>
        </is>
      </c>
      <c r="B791" s="1" t="n">
        <v>45889.67436342593</v>
      </c>
      <c r="C791" s="1" t="n">
        <v>45901</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25238-2021</t>
        </is>
      </c>
      <c r="B792" s="1" t="n">
        <v>44342</v>
      </c>
      <c r="C792" s="1" t="n">
        <v>45901</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34916-2025</t>
        </is>
      </c>
      <c r="B793" s="1" t="n">
        <v>45849.54420138889</v>
      </c>
      <c r="C793" s="1" t="n">
        <v>45901</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49708-2024</t>
        </is>
      </c>
      <c r="B794" s="1" t="n">
        <v>45596.69846064815</v>
      </c>
      <c r="C794" s="1" t="n">
        <v>45901</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12520-2021</t>
        </is>
      </c>
      <c r="B795" s="1" t="n">
        <v>44269</v>
      </c>
      <c r="C795" s="1" t="n">
        <v>45901</v>
      </c>
      <c r="D795" t="inlineStr">
        <is>
          <t>KALMAR LÄN</t>
        </is>
      </c>
      <c r="E795" t="inlineStr">
        <is>
          <t>VÄSTERVIK</t>
        </is>
      </c>
      <c r="G795" t="n">
        <v>1.6</v>
      </c>
      <c r="H795" t="n">
        <v>0</v>
      </c>
      <c r="I795" t="n">
        <v>0</v>
      </c>
      <c r="J795" t="n">
        <v>0</v>
      </c>
      <c r="K795" t="n">
        <v>0</v>
      </c>
      <c r="L795" t="n">
        <v>0</v>
      </c>
      <c r="M795" t="n">
        <v>0</v>
      </c>
      <c r="N795" t="n">
        <v>0</v>
      </c>
      <c r="O795" t="n">
        <v>0</v>
      </c>
      <c r="P795" t="n">
        <v>0</v>
      </c>
      <c r="Q795" t="n">
        <v>0</v>
      </c>
      <c r="R795" s="2" t="inlineStr"/>
    </row>
    <row r="796" ht="15" customHeight="1">
      <c r="A796" t="inlineStr">
        <is>
          <t>A 10012-2025</t>
        </is>
      </c>
      <c r="B796" s="1" t="n">
        <v>45719.46681712963</v>
      </c>
      <c r="C796" s="1" t="n">
        <v>45901</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925-2024</t>
        </is>
      </c>
      <c r="B797" s="1" t="n">
        <v>45301</v>
      </c>
      <c r="C797" s="1" t="n">
        <v>45901</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33277-2023</t>
        </is>
      </c>
      <c r="B798" s="1" t="n">
        <v>45114</v>
      </c>
      <c r="C798" s="1" t="n">
        <v>45901</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40165-2025</t>
        </is>
      </c>
      <c r="B799" s="1" t="n">
        <v>45894.62219907407</v>
      </c>
      <c r="C799" s="1" t="n">
        <v>45901</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40168-2025</t>
        </is>
      </c>
      <c r="B800" s="1" t="n">
        <v>45894.62775462963</v>
      </c>
      <c r="C800" s="1" t="n">
        <v>45901</v>
      </c>
      <c r="D800" t="inlineStr">
        <is>
          <t>KALMAR LÄN</t>
        </is>
      </c>
      <c r="E800" t="inlineStr">
        <is>
          <t>VÄSTERVIK</t>
        </is>
      </c>
      <c r="G800" t="n">
        <v>0.3</v>
      </c>
      <c r="H800" t="n">
        <v>0</v>
      </c>
      <c r="I800" t="n">
        <v>0</v>
      </c>
      <c r="J800" t="n">
        <v>0</v>
      </c>
      <c r="K800" t="n">
        <v>0</v>
      </c>
      <c r="L800" t="n">
        <v>0</v>
      </c>
      <c r="M800" t="n">
        <v>0</v>
      </c>
      <c r="N800" t="n">
        <v>0</v>
      </c>
      <c r="O800" t="n">
        <v>0</v>
      </c>
      <c r="P800" t="n">
        <v>0</v>
      </c>
      <c r="Q800" t="n">
        <v>0</v>
      </c>
      <c r="R800" s="2" t="inlineStr"/>
    </row>
    <row r="801" ht="15" customHeight="1">
      <c r="A801" t="inlineStr">
        <is>
          <t>A 63890-2023</t>
        </is>
      </c>
      <c r="B801" s="1" t="n">
        <v>45278</v>
      </c>
      <c r="C801" s="1" t="n">
        <v>45901</v>
      </c>
      <c r="D801" t="inlineStr">
        <is>
          <t>KALMAR LÄN</t>
        </is>
      </c>
      <c r="E801" t="inlineStr">
        <is>
          <t>VÄSTERVIK</t>
        </is>
      </c>
      <c r="G801" t="n">
        <v>2.3</v>
      </c>
      <c r="H801" t="n">
        <v>0</v>
      </c>
      <c r="I801" t="n">
        <v>0</v>
      </c>
      <c r="J801" t="n">
        <v>0</v>
      </c>
      <c r="K801" t="n">
        <v>0</v>
      </c>
      <c r="L801" t="n">
        <v>0</v>
      </c>
      <c r="M801" t="n">
        <v>0</v>
      </c>
      <c r="N801" t="n">
        <v>0</v>
      </c>
      <c r="O801" t="n">
        <v>0</v>
      </c>
      <c r="P801" t="n">
        <v>0</v>
      </c>
      <c r="Q801" t="n">
        <v>0</v>
      </c>
      <c r="R801" s="2" t="inlineStr"/>
    </row>
    <row r="802" ht="15" customHeight="1">
      <c r="A802" t="inlineStr">
        <is>
          <t>A 27982-2025</t>
        </is>
      </c>
      <c r="B802" s="1" t="n">
        <v>45817.57549768518</v>
      </c>
      <c r="C802" s="1" t="n">
        <v>45901</v>
      </c>
      <c r="D802" t="inlineStr">
        <is>
          <t>KALMAR LÄN</t>
        </is>
      </c>
      <c r="E802" t="inlineStr">
        <is>
          <t>VÄSTERVIK</t>
        </is>
      </c>
      <c r="G802" t="n">
        <v>2.5</v>
      </c>
      <c r="H802" t="n">
        <v>0</v>
      </c>
      <c r="I802" t="n">
        <v>0</v>
      </c>
      <c r="J802" t="n">
        <v>0</v>
      </c>
      <c r="K802" t="n">
        <v>0</v>
      </c>
      <c r="L802" t="n">
        <v>0</v>
      </c>
      <c r="M802" t="n">
        <v>0</v>
      </c>
      <c r="N802" t="n">
        <v>0</v>
      </c>
      <c r="O802" t="n">
        <v>0</v>
      </c>
      <c r="P802" t="n">
        <v>0</v>
      </c>
      <c r="Q802" t="n">
        <v>0</v>
      </c>
      <c r="R802" s="2" t="inlineStr"/>
    </row>
    <row r="803" ht="15" customHeight="1">
      <c r="A803" t="inlineStr">
        <is>
          <t>A 6940-2025</t>
        </is>
      </c>
      <c r="B803" s="1" t="n">
        <v>45701.46581018518</v>
      </c>
      <c r="C803" s="1" t="n">
        <v>45901</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40038-2025</t>
        </is>
      </c>
      <c r="B804" s="1" t="n">
        <v>45894.39395833333</v>
      </c>
      <c r="C804" s="1" t="n">
        <v>45901</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47939-2023</t>
        </is>
      </c>
      <c r="B805" s="1" t="n">
        <v>45204.56195601852</v>
      </c>
      <c r="C805" s="1" t="n">
        <v>45901</v>
      </c>
      <c r="D805" t="inlineStr">
        <is>
          <t>KALMAR LÄN</t>
        </is>
      </c>
      <c r="E805" t="inlineStr">
        <is>
          <t>VÄSTERVIK</t>
        </is>
      </c>
      <c r="G805" t="n">
        <v>3.7</v>
      </c>
      <c r="H805" t="n">
        <v>0</v>
      </c>
      <c r="I805" t="n">
        <v>0</v>
      </c>
      <c r="J805" t="n">
        <v>0</v>
      </c>
      <c r="K805" t="n">
        <v>0</v>
      </c>
      <c r="L805" t="n">
        <v>0</v>
      </c>
      <c r="M805" t="n">
        <v>0</v>
      </c>
      <c r="N805" t="n">
        <v>0</v>
      </c>
      <c r="O805" t="n">
        <v>0</v>
      </c>
      <c r="P805" t="n">
        <v>0</v>
      </c>
      <c r="Q805" t="n">
        <v>0</v>
      </c>
      <c r="R805" s="2" t="inlineStr"/>
    </row>
    <row r="806" ht="15" customHeight="1">
      <c r="A806" t="inlineStr">
        <is>
          <t>A 35652-2023</t>
        </is>
      </c>
      <c r="B806" s="1" t="n">
        <v>45147.59215277778</v>
      </c>
      <c r="C806" s="1" t="n">
        <v>45901</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928-2024</t>
        </is>
      </c>
      <c r="B807" s="1" t="n">
        <v>45301</v>
      </c>
      <c r="C807" s="1" t="n">
        <v>45901</v>
      </c>
      <c r="D807" t="inlineStr">
        <is>
          <t>KALMAR LÄN</t>
        </is>
      </c>
      <c r="E807" t="inlineStr">
        <is>
          <t>VÄSTERVIK</t>
        </is>
      </c>
      <c r="G807" t="n">
        <v>4.8</v>
      </c>
      <c r="H807" t="n">
        <v>0</v>
      </c>
      <c r="I807" t="n">
        <v>0</v>
      </c>
      <c r="J807" t="n">
        <v>0</v>
      </c>
      <c r="K807" t="n">
        <v>0</v>
      </c>
      <c r="L807" t="n">
        <v>0</v>
      </c>
      <c r="M807" t="n">
        <v>0</v>
      </c>
      <c r="N807" t="n">
        <v>0</v>
      </c>
      <c r="O807" t="n">
        <v>0</v>
      </c>
      <c r="P807" t="n">
        <v>0</v>
      </c>
      <c r="Q807" t="n">
        <v>0</v>
      </c>
      <c r="R807" s="2" t="inlineStr"/>
    </row>
    <row r="808" ht="15" customHeight="1">
      <c r="A808" t="inlineStr">
        <is>
          <t>A 6938-2025</t>
        </is>
      </c>
      <c r="B808" s="1" t="n">
        <v>45701.46288194445</v>
      </c>
      <c r="C808" s="1" t="n">
        <v>45901</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35214-2025</t>
        </is>
      </c>
      <c r="B809" s="1" t="n">
        <v>45853.47163194444</v>
      </c>
      <c r="C809" s="1" t="n">
        <v>45901</v>
      </c>
      <c r="D809" t="inlineStr">
        <is>
          <t>KALMAR LÄN</t>
        </is>
      </c>
      <c r="E809" t="inlineStr">
        <is>
          <t>VÄSTERVIK</t>
        </is>
      </c>
      <c r="G809" t="n">
        <v>10.7</v>
      </c>
      <c r="H809" t="n">
        <v>0</v>
      </c>
      <c r="I809" t="n">
        <v>0</v>
      </c>
      <c r="J809" t="n">
        <v>0</v>
      </c>
      <c r="K809" t="n">
        <v>0</v>
      </c>
      <c r="L809" t="n">
        <v>0</v>
      </c>
      <c r="M809" t="n">
        <v>0</v>
      </c>
      <c r="N809" t="n">
        <v>0</v>
      </c>
      <c r="O809" t="n">
        <v>0</v>
      </c>
      <c r="P809" t="n">
        <v>0</v>
      </c>
      <c r="Q809" t="n">
        <v>0</v>
      </c>
      <c r="R809" s="2" t="inlineStr"/>
    </row>
    <row r="810" ht="15" customHeight="1">
      <c r="A810" t="inlineStr">
        <is>
          <t>A 35207-2025</t>
        </is>
      </c>
      <c r="B810" s="1" t="n">
        <v>45853.43320601852</v>
      </c>
      <c r="C810" s="1" t="n">
        <v>45901</v>
      </c>
      <c r="D810" t="inlineStr">
        <is>
          <t>KALMAR LÄN</t>
        </is>
      </c>
      <c r="E810" t="inlineStr">
        <is>
          <t>VÄSTERVIK</t>
        </is>
      </c>
      <c r="G810" t="n">
        <v>7</v>
      </c>
      <c r="H810" t="n">
        <v>0</v>
      </c>
      <c r="I810" t="n">
        <v>0</v>
      </c>
      <c r="J810" t="n">
        <v>0</v>
      </c>
      <c r="K810" t="n">
        <v>0</v>
      </c>
      <c r="L810" t="n">
        <v>0</v>
      </c>
      <c r="M810" t="n">
        <v>0</v>
      </c>
      <c r="N810" t="n">
        <v>0</v>
      </c>
      <c r="O810" t="n">
        <v>0</v>
      </c>
      <c r="P810" t="n">
        <v>0</v>
      </c>
      <c r="Q810" t="n">
        <v>0</v>
      </c>
      <c r="R810" s="2" t="inlineStr"/>
    </row>
    <row r="811" ht="15" customHeight="1">
      <c r="A811" t="inlineStr">
        <is>
          <t>A 63812-2021</t>
        </is>
      </c>
      <c r="B811" s="1" t="n">
        <v>44509.56346064815</v>
      </c>
      <c r="C811" s="1" t="n">
        <v>45901</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59196-2024</t>
        </is>
      </c>
      <c r="B812" s="1" t="n">
        <v>45637.54589120371</v>
      </c>
      <c r="C812" s="1" t="n">
        <v>45901</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35187-2025</t>
        </is>
      </c>
      <c r="B813" s="1" t="n">
        <v>45853.31940972222</v>
      </c>
      <c r="C813" s="1" t="n">
        <v>45901</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57924-2024</t>
        </is>
      </c>
      <c r="B814" s="1" t="n">
        <v>45631.51325231481</v>
      </c>
      <c r="C814" s="1" t="n">
        <v>45901</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41271-2025</t>
        </is>
      </c>
      <c r="B815" s="1" t="n">
        <v>45898.62226851852</v>
      </c>
      <c r="C815" s="1" t="n">
        <v>45901</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1699-2023</t>
        </is>
      </c>
      <c r="B816" s="1" t="n">
        <v>44935</v>
      </c>
      <c r="C816" s="1" t="n">
        <v>45901</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1115-2025</t>
        </is>
      </c>
      <c r="B817" s="1" t="n">
        <v>45666.65664351852</v>
      </c>
      <c r="C817" s="1" t="n">
        <v>45901</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31318-2021</t>
        </is>
      </c>
      <c r="B818" s="1" t="n">
        <v>44368</v>
      </c>
      <c r="C818" s="1" t="n">
        <v>45901</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10766-2025</t>
        </is>
      </c>
      <c r="B819" s="1" t="n">
        <v>45722.4630787037</v>
      </c>
      <c r="C819" s="1" t="n">
        <v>45901</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9770-2023</t>
        </is>
      </c>
      <c r="B820" s="1" t="n">
        <v>44984</v>
      </c>
      <c r="C820" s="1" t="n">
        <v>45901</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9792-2023</t>
        </is>
      </c>
      <c r="B821" s="1" t="n">
        <v>44984.64269675926</v>
      </c>
      <c r="C821" s="1" t="n">
        <v>45901</v>
      </c>
      <c r="D821" t="inlineStr">
        <is>
          <t>KALMAR LÄN</t>
        </is>
      </c>
      <c r="E821" t="inlineStr">
        <is>
          <t>VÄSTERVIK</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41312-2025</t>
        </is>
      </c>
      <c r="B822" s="1" t="n">
        <v>45898.80314814814</v>
      </c>
      <c r="C822" s="1" t="n">
        <v>45901</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10803-2025</t>
        </is>
      </c>
      <c r="B823" s="1" t="n">
        <v>45722.52284722222</v>
      </c>
      <c r="C823" s="1" t="n">
        <v>45901</v>
      </c>
      <c r="D823" t="inlineStr">
        <is>
          <t>KALMAR LÄN</t>
        </is>
      </c>
      <c r="E823" t="inlineStr">
        <is>
          <t>VÄSTERVIK</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28390-2024</t>
        </is>
      </c>
      <c r="B824" s="1" t="n">
        <v>45477</v>
      </c>
      <c r="C824" s="1" t="n">
        <v>45901</v>
      </c>
      <c r="D824" t="inlineStr">
        <is>
          <t>KALMAR LÄN</t>
        </is>
      </c>
      <c r="E824" t="inlineStr">
        <is>
          <t>VÄSTERVIK</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34650-2023</t>
        </is>
      </c>
      <c r="B825" s="1" t="n">
        <v>45140</v>
      </c>
      <c r="C825" s="1" t="n">
        <v>45901</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58217-2022</t>
        </is>
      </c>
      <c r="B826" s="1" t="n">
        <v>44901.36453703704</v>
      </c>
      <c r="C826" s="1" t="n">
        <v>45901</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1874-2025</t>
        </is>
      </c>
      <c r="B827" s="1" t="n">
        <v>45671.61953703704</v>
      </c>
      <c r="C827" s="1" t="n">
        <v>45901</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59871-2022</t>
        </is>
      </c>
      <c r="B828" s="1" t="n">
        <v>44908</v>
      </c>
      <c r="C828" s="1" t="n">
        <v>45901</v>
      </c>
      <c r="D828" t="inlineStr">
        <is>
          <t>KALMAR LÄN</t>
        </is>
      </c>
      <c r="E828" t="inlineStr">
        <is>
          <t>VÄSTERVIK</t>
        </is>
      </c>
      <c r="F828" t="inlineStr">
        <is>
          <t>Övriga Aktiebolag</t>
        </is>
      </c>
      <c r="G828" t="n">
        <v>0.4</v>
      </c>
      <c r="H828" t="n">
        <v>0</v>
      </c>
      <c r="I828" t="n">
        <v>0</v>
      </c>
      <c r="J828" t="n">
        <v>0</v>
      </c>
      <c r="K828" t="n">
        <v>0</v>
      </c>
      <c r="L828" t="n">
        <v>0</v>
      </c>
      <c r="M828" t="n">
        <v>0</v>
      </c>
      <c r="N828" t="n">
        <v>0</v>
      </c>
      <c r="O828" t="n">
        <v>0</v>
      </c>
      <c r="P828" t="n">
        <v>0</v>
      </c>
      <c r="Q828" t="n">
        <v>0</v>
      </c>
      <c r="R828" s="2" t="inlineStr"/>
    </row>
    <row r="829" ht="15" customHeight="1">
      <c r="A829" t="inlineStr">
        <is>
          <t>A 16834-2023</t>
        </is>
      </c>
      <c r="B829" s="1" t="n">
        <v>45033</v>
      </c>
      <c r="C829" s="1" t="n">
        <v>45901</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11183-2024</t>
        </is>
      </c>
      <c r="B830" s="1" t="n">
        <v>45371.53141203704</v>
      </c>
      <c r="C830" s="1" t="n">
        <v>45901</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28291-2024</t>
        </is>
      </c>
      <c r="B831" s="1" t="n">
        <v>45477</v>
      </c>
      <c r="C831" s="1" t="n">
        <v>45901</v>
      </c>
      <c r="D831" t="inlineStr">
        <is>
          <t>KALMAR LÄN</t>
        </is>
      </c>
      <c r="E831" t="inlineStr">
        <is>
          <t>VÄSTERVIK</t>
        </is>
      </c>
      <c r="G831" t="n">
        <v>3.2</v>
      </c>
      <c r="H831" t="n">
        <v>0</v>
      </c>
      <c r="I831" t="n">
        <v>0</v>
      </c>
      <c r="J831" t="n">
        <v>0</v>
      </c>
      <c r="K831" t="n">
        <v>0</v>
      </c>
      <c r="L831" t="n">
        <v>0</v>
      </c>
      <c r="M831" t="n">
        <v>0</v>
      </c>
      <c r="N831" t="n">
        <v>0</v>
      </c>
      <c r="O831" t="n">
        <v>0</v>
      </c>
      <c r="P831" t="n">
        <v>0</v>
      </c>
      <c r="Q831" t="n">
        <v>0</v>
      </c>
      <c r="R831" s="2" t="inlineStr"/>
    </row>
    <row r="832" ht="15" customHeight="1">
      <c r="A832" t="inlineStr">
        <is>
          <t>A 13840-2024</t>
        </is>
      </c>
      <c r="B832" s="1" t="n">
        <v>45391.44885416667</v>
      </c>
      <c r="C832" s="1" t="n">
        <v>45901</v>
      </c>
      <c r="D832" t="inlineStr">
        <is>
          <t>KALMAR LÄN</t>
        </is>
      </c>
      <c r="E832" t="inlineStr">
        <is>
          <t>VÄSTERVIK</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34471-2024</t>
        </is>
      </c>
      <c r="B833" s="1" t="n">
        <v>45525.59111111111</v>
      </c>
      <c r="C833" s="1" t="n">
        <v>45901</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61580-2022</t>
        </is>
      </c>
      <c r="B834" s="1" t="n">
        <v>44916.62880787037</v>
      </c>
      <c r="C834" s="1" t="n">
        <v>45901</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7381-2025</t>
        </is>
      </c>
      <c r="B835" s="1" t="n">
        <v>45705.32234953704</v>
      </c>
      <c r="C835" s="1" t="n">
        <v>45901</v>
      </c>
      <c r="D835" t="inlineStr">
        <is>
          <t>KALMAR LÄN</t>
        </is>
      </c>
      <c r="E835" t="inlineStr">
        <is>
          <t>VÄSTERVIK</t>
        </is>
      </c>
      <c r="F835" t="inlineStr">
        <is>
          <t>Kyrkan</t>
        </is>
      </c>
      <c r="G835" t="n">
        <v>4.1</v>
      </c>
      <c r="H835" t="n">
        <v>0</v>
      </c>
      <c r="I835" t="n">
        <v>0</v>
      </c>
      <c r="J835" t="n">
        <v>0</v>
      </c>
      <c r="K835" t="n">
        <v>0</v>
      </c>
      <c r="L835" t="n">
        <v>0</v>
      </c>
      <c r="M835" t="n">
        <v>0</v>
      </c>
      <c r="N835" t="n">
        <v>0</v>
      </c>
      <c r="O835" t="n">
        <v>0</v>
      </c>
      <c r="P835" t="n">
        <v>0</v>
      </c>
      <c r="Q835" t="n">
        <v>0</v>
      </c>
      <c r="R835" s="2" t="inlineStr"/>
    </row>
    <row r="836" ht="15" customHeight="1">
      <c r="A836" t="inlineStr">
        <is>
          <t>A 17315-2023</t>
        </is>
      </c>
      <c r="B836" s="1" t="n">
        <v>45035.54475694444</v>
      </c>
      <c r="C836" s="1" t="n">
        <v>45901</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60848-2020</t>
        </is>
      </c>
      <c r="B837" s="1" t="n">
        <v>44152</v>
      </c>
      <c r="C837" s="1" t="n">
        <v>45901</v>
      </c>
      <c r="D837" t="inlineStr">
        <is>
          <t>KALMAR LÄN</t>
        </is>
      </c>
      <c r="E837" t="inlineStr">
        <is>
          <t>VÄSTERVIK</t>
        </is>
      </c>
      <c r="G837" t="n">
        <v>2.7</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45901</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34672-2022</t>
        </is>
      </c>
      <c r="B839" s="1" t="n">
        <v>44795.48444444445</v>
      </c>
      <c r="C839" s="1" t="n">
        <v>45901</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2866-2025</t>
        </is>
      </c>
      <c r="B840" s="1" t="n">
        <v>45677.67711805556</v>
      </c>
      <c r="C840" s="1" t="n">
        <v>45901</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42130-2022</t>
        </is>
      </c>
      <c r="B841" s="1" t="n">
        <v>44830</v>
      </c>
      <c r="C841" s="1" t="n">
        <v>45901</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56610-2022</t>
        </is>
      </c>
      <c r="B842" s="1" t="n">
        <v>44893.5862037037</v>
      </c>
      <c r="C842" s="1" t="n">
        <v>45901</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2951-2025</t>
        </is>
      </c>
      <c r="B843" s="1" t="n">
        <v>45678</v>
      </c>
      <c r="C843" s="1" t="n">
        <v>45901</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12455-2025</t>
        </is>
      </c>
      <c r="B844" s="1" t="n">
        <v>45730</v>
      </c>
      <c r="C844" s="1" t="n">
        <v>45901</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47267-2023</t>
        </is>
      </c>
      <c r="B845" s="1" t="n">
        <v>45202.42667824074</v>
      </c>
      <c r="C845" s="1" t="n">
        <v>45901</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6312-2024</t>
        </is>
      </c>
      <c r="B846" s="1" t="n">
        <v>45338</v>
      </c>
      <c r="C846" s="1" t="n">
        <v>45901</v>
      </c>
      <c r="D846" t="inlineStr">
        <is>
          <t>KALMAR LÄN</t>
        </is>
      </c>
      <c r="E846" t="inlineStr">
        <is>
          <t>VÄSTERVIK</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29404-2024</t>
        </is>
      </c>
      <c r="B847" s="1" t="n">
        <v>45483</v>
      </c>
      <c r="C847" s="1" t="n">
        <v>45901</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4496-2022</t>
        </is>
      </c>
      <c r="B848" s="1" t="n">
        <v>44589.67060185185</v>
      </c>
      <c r="C848" s="1" t="n">
        <v>45901</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69098-2020</t>
        </is>
      </c>
      <c r="B849" s="1" t="n">
        <v>44187</v>
      </c>
      <c r="C849" s="1" t="n">
        <v>45901</v>
      </c>
      <c r="D849" t="inlineStr">
        <is>
          <t>KALMAR LÄN</t>
        </is>
      </c>
      <c r="E849" t="inlineStr">
        <is>
          <t>VÄSTERVIK</t>
        </is>
      </c>
      <c r="G849" t="n">
        <v>1.9</v>
      </c>
      <c r="H849" t="n">
        <v>0</v>
      </c>
      <c r="I849" t="n">
        <v>0</v>
      </c>
      <c r="J849" t="n">
        <v>0</v>
      </c>
      <c r="K849" t="n">
        <v>0</v>
      </c>
      <c r="L849" t="n">
        <v>0</v>
      </c>
      <c r="M849" t="n">
        <v>0</v>
      </c>
      <c r="N849" t="n">
        <v>0</v>
      </c>
      <c r="O849" t="n">
        <v>0</v>
      </c>
      <c r="P849" t="n">
        <v>0</v>
      </c>
      <c r="Q849" t="n">
        <v>0</v>
      </c>
      <c r="R849" s="2" t="inlineStr"/>
    </row>
    <row r="850" ht="15" customHeight="1">
      <c r="A850" t="inlineStr">
        <is>
          <t>A 46596-2022</t>
        </is>
      </c>
      <c r="B850" s="1" t="n">
        <v>44848.8315625</v>
      </c>
      <c r="C850" s="1" t="n">
        <v>45901</v>
      </c>
      <c r="D850" t="inlineStr">
        <is>
          <t>KALMAR LÄN</t>
        </is>
      </c>
      <c r="E850" t="inlineStr">
        <is>
          <t>VÄSTERVIK</t>
        </is>
      </c>
      <c r="G850" t="n">
        <v>3.9</v>
      </c>
      <c r="H850" t="n">
        <v>0</v>
      </c>
      <c r="I850" t="n">
        <v>0</v>
      </c>
      <c r="J850" t="n">
        <v>0</v>
      </c>
      <c r="K850" t="n">
        <v>0</v>
      </c>
      <c r="L850" t="n">
        <v>0</v>
      </c>
      <c r="M850" t="n">
        <v>0</v>
      </c>
      <c r="N850" t="n">
        <v>0</v>
      </c>
      <c r="O850" t="n">
        <v>0</v>
      </c>
      <c r="P850" t="n">
        <v>0</v>
      </c>
      <c r="Q850" t="n">
        <v>0</v>
      </c>
      <c r="R850" s="2" t="inlineStr"/>
    </row>
    <row r="851" ht="15" customHeight="1">
      <c r="A851" t="inlineStr">
        <is>
          <t>A 14080-2025</t>
        </is>
      </c>
      <c r="B851" s="1" t="n">
        <v>45740.43785879629</v>
      </c>
      <c r="C851" s="1" t="n">
        <v>45901</v>
      </c>
      <c r="D851" t="inlineStr">
        <is>
          <t>KALMAR LÄN</t>
        </is>
      </c>
      <c r="E851" t="inlineStr">
        <is>
          <t>VÄSTERVIK</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30148-2024</t>
        </is>
      </c>
      <c r="B852" s="1" t="n">
        <v>45489.60528935185</v>
      </c>
      <c r="C852" s="1" t="n">
        <v>45901</v>
      </c>
      <c r="D852" t="inlineStr">
        <is>
          <t>KALMAR LÄN</t>
        </is>
      </c>
      <c r="E852" t="inlineStr">
        <is>
          <t>VÄSTERVIK</t>
        </is>
      </c>
      <c r="G852" t="n">
        <v>0.6</v>
      </c>
      <c r="H852" t="n">
        <v>0</v>
      </c>
      <c r="I852" t="n">
        <v>0</v>
      </c>
      <c r="J852" t="n">
        <v>0</v>
      </c>
      <c r="K852" t="n">
        <v>0</v>
      </c>
      <c r="L852" t="n">
        <v>0</v>
      </c>
      <c r="M852" t="n">
        <v>0</v>
      </c>
      <c r="N852" t="n">
        <v>0</v>
      </c>
      <c r="O852" t="n">
        <v>0</v>
      </c>
      <c r="P852" t="n">
        <v>0</v>
      </c>
      <c r="Q852" t="n">
        <v>0</v>
      </c>
      <c r="R852" s="2" t="inlineStr"/>
    </row>
    <row r="853" ht="15" customHeight="1">
      <c r="A853" t="inlineStr">
        <is>
          <t>A 56046-2023</t>
        </is>
      </c>
      <c r="B853" s="1" t="n">
        <v>45240.45217592592</v>
      </c>
      <c r="C853" s="1" t="n">
        <v>45901</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47124-2023</t>
        </is>
      </c>
      <c r="B854" s="1" t="n">
        <v>45201</v>
      </c>
      <c r="C854" s="1" t="n">
        <v>45901</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20483-2025</t>
        </is>
      </c>
      <c r="B855" s="1" t="n">
        <v>45775.55954861111</v>
      </c>
      <c r="C855" s="1" t="n">
        <v>45901</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46790-2022</t>
        </is>
      </c>
      <c r="B856" s="1" t="n">
        <v>44851</v>
      </c>
      <c r="C856" s="1" t="n">
        <v>45901</v>
      </c>
      <c r="D856" t="inlineStr">
        <is>
          <t>KALMAR LÄN</t>
        </is>
      </c>
      <c r="E856" t="inlineStr">
        <is>
          <t>VÄSTERVIK</t>
        </is>
      </c>
      <c r="G856" t="n">
        <v>9.9</v>
      </c>
      <c r="H856" t="n">
        <v>0</v>
      </c>
      <c r="I856" t="n">
        <v>0</v>
      </c>
      <c r="J856" t="n">
        <v>0</v>
      </c>
      <c r="K856" t="n">
        <v>0</v>
      </c>
      <c r="L856" t="n">
        <v>0</v>
      </c>
      <c r="M856" t="n">
        <v>0</v>
      </c>
      <c r="N856" t="n">
        <v>0</v>
      </c>
      <c r="O856" t="n">
        <v>0</v>
      </c>
      <c r="P856" t="n">
        <v>0</v>
      </c>
      <c r="Q856" t="n">
        <v>0</v>
      </c>
      <c r="R856" s="2" t="inlineStr"/>
    </row>
    <row r="857" ht="15" customHeight="1">
      <c r="A857" t="inlineStr">
        <is>
          <t>A 59202-2022</t>
        </is>
      </c>
      <c r="B857" s="1" t="n">
        <v>44904</v>
      </c>
      <c r="C857" s="1" t="n">
        <v>45901</v>
      </c>
      <c r="D857" t="inlineStr">
        <is>
          <t>KALMAR LÄN</t>
        </is>
      </c>
      <c r="E857" t="inlineStr">
        <is>
          <t>VÄSTERVIK</t>
        </is>
      </c>
      <c r="G857" t="n">
        <v>1.5</v>
      </c>
      <c r="H857" t="n">
        <v>0</v>
      </c>
      <c r="I857" t="n">
        <v>0</v>
      </c>
      <c r="J857" t="n">
        <v>0</v>
      </c>
      <c r="K857" t="n">
        <v>0</v>
      </c>
      <c r="L857" t="n">
        <v>0</v>
      </c>
      <c r="M857" t="n">
        <v>0</v>
      </c>
      <c r="N857" t="n">
        <v>0</v>
      </c>
      <c r="O857" t="n">
        <v>0</v>
      </c>
      <c r="P857" t="n">
        <v>0</v>
      </c>
      <c r="Q857" t="n">
        <v>0</v>
      </c>
      <c r="R857" s="2" t="inlineStr"/>
    </row>
    <row r="858" ht="15" customHeight="1">
      <c r="A858" t="inlineStr">
        <is>
          <t>A 59210-2022</t>
        </is>
      </c>
      <c r="B858" s="1" t="n">
        <v>44904.51767361111</v>
      </c>
      <c r="C858" s="1" t="n">
        <v>45901</v>
      </c>
      <c r="D858" t="inlineStr">
        <is>
          <t>KALMAR LÄN</t>
        </is>
      </c>
      <c r="E858" t="inlineStr">
        <is>
          <t>VÄSTERVIK</t>
        </is>
      </c>
      <c r="G858" t="n">
        <v>21.2</v>
      </c>
      <c r="H858" t="n">
        <v>0</v>
      </c>
      <c r="I858" t="n">
        <v>0</v>
      </c>
      <c r="J858" t="n">
        <v>0</v>
      </c>
      <c r="K858" t="n">
        <v>0</v>
      </c>
      <c r="L858" t="n">
        <v>0</v>
      </c>
      <c r="M858" t="n">
        <v>0</v>
      </c>
      <c r="N858" t="n">
        <v>0</v>
      </c>
      <c r="O858" t="n">
        <v>0</v>
      </c>
      <c r="P858" t="n">
        <v>0</v>
      </c>
      <c r="Q858" t="n">
        <v>0</v>
      </c>
      <c r="R858" s="2" t="inlineStr"/>
    </row>
    <row r="859" ht="15" customHeight="1">
      <c r="A859" t="inlineStr">
        <is>
          <t>A 59220-2022</t>
        </is>
      </c>
      <c r="B859" s="1" t="n">
        <v>44904.53423611111</v>
      </c>
      <c r="C859" s="1" t="n">
        <v>45901</v>
      </c>
      <c r="D859" t="inlineStr">
        <is>
          <t>KALMAR LÄN</t>
        </is>
      </c>
      <c r="E859" t="inlineStr">
        <is>
          <t>VÄSTERVIK</t>
        </is>
      </c>
      <c r="G859" t="n">
        <v>1.3</v>
      </c>
      <c r="H859" t="n">
        <v>0</v>
      </c>
      <c r="I859" t="n">
        <v>0</v>
      </c>
      <c r="J859" t="n">
        <v>0</v>
      </c>
      <c r="K859" t="n">
        <v>0</v>
      </c>
      <c r="L859" t="n">
        <v>0</v>
      </c>
      <c r="M859" t="n">
        <v>0</v>
      </c>
      <c r="N859" t="n">
        <v>0</v>
      </c>
      <c r="O859" t="n">
        <v>0</v>
      </c>
      <c r="P859" t="n">
        <v>0</v>
      </c>
      <c r="Q859" t="n">
        <v>0</v>
      </c>
      <c r="R859" s="2" t="inlineStr"/>
    </row>
    <row r="860" ht="15" customHeight="1">
      <c r="A860" t="inlineStr">
        <is>
          <t>A 50127-2023</t>
        </is>
      </c>
      <c r="B860" s="1" t="n">
        <v>45215.65043981482</v>
      </c>
      <c r="C860" s="1" t="n">
        <v>45901</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15379-2025</t>
        </is>
      </c>
      <c r="B861" s="1" t="n">
        <v>45747.40813657407</v>
      </c>
      <c r="C861" s="1" t="n">
        <v>45901</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41342-2023</t>
        </is>
      </c>
      <c r="B862" s="1" t="n">
        <v>45174.72416666667</v>
      </c>
      <c r="C862" s="1" t="n">
        <v>45901</v>
      </c>
      <c r="D862" t="inlineStr">
        <is>
          <t>KALMAR LÄN</t>
        </is>
      </c>
      <c r="E862" t="inlineStr">
        <is>
          <t>VÄSTERVIK</t>
        </is>
      </c>
      <c r="G862" t="n">
        <v>0.6</v>
      </c>
      <c r="H862" t="n">
        <v>0</v>
      </c>
      <c r="I862" t="n">
        <v>0</v>
      </c>
      <c r="J862" t="n">
        <v>0</v>
      </c>
      <c r="K862" t="n">
        <v>0</v>
      </c>
      <c r="L862" t="n">
        <v>0</v>
      </c>
      <c r="M862" t="n">
        <v>0</v>
      </c>
      <c r="N862" t="n">
        <v>0</v>
      </c>
      <c r="O862" t="n">
        <v>0</v>
      </c>
      <c r="P862" t="n">
        <v>0</v>
      </c>
      <c r="Q862" t="n">
        <v>0</v>
      </c>
      <c r="R862" s="2" t="inlineStr"/>
    </row>
    <row r="863" ht="15" customHeight="1">
      <c r="A863" t="inlineStr">
        <is>
          <t>A 13490-2022</t>
        </is>
      </c>
      <c r="B863" s="1" t="n">
        <v>44646</v>
      </c>
      <c r="C863" s="1" t="n">
        <v>45901</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5684-2023</t>
        </is>
      </c>
      <c r="B864" s="1" t="n">
        <v>44960.73170138889</v>
      </c>
      <c r="C864" s="1" t="n">
        <v>45901</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62304-2022</t>
        </is>
      </c>
      <c r="B865" s="1" t="n">
        <v>44923.46215277778</v>
      </c>
      <c r="C865" s="1" t="n">
        <v>45901</v>
      </c>
      <c r="D865" t="inlineStr">
        <is>
          <t>KALMAR LÄN</t>
        </is>
      </c>
      <c r="E865" t="inlineStr">
        <is>
          <t>VÄSTERVIK</t>
        </is>
      </c>
      <c r="G865" t="n">
        <v>1</v>
      </c>
      <c r="H865" t="n">
        <v>0</v>
      </c>
      <c r="I865" t="n">
        <v>0</v>
      </c>
      <c r="J865" t="n">
        <v>0</v>
      </c>
      <c r="K865" t="n">
        <v>0</v>
      </c>
      <c r="L865" t="n">
        <v>0</v>
      </c>
      <c r="M865" t="n">
        <v>0</v>
      </c>
      <c r="N865" t="n">
        <v>0</v>
      </c>
      <c r="O865" t="n">
        <v>0</v>
      </c>
      <c r="P865" t="n">
        <v>0</v>
      </c>
      <c r="Q865" t="n">
        <v>0</v>
      </c>
      <c r="R865" s="2" t="inlineStr"/>
    </row>
    <row r="866" ht="15" customHeight="1">
      <c r="A866" t="inlineStr">
        <is>
          <t>A 62306-2022</t>
        </is>
      </c>
      <c r="B866" s="1" t="n">
        <v>44923</v>
      </c>
      <c r="C866" s="1" t="n">
        <v>45901</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56617-2021</t>
        </is>
      </c>
      <c r="B867" s="1" t="n">
        <v>44480</v>
      </c>
      <c r="C867" s="1" t="n">
        <v>45901</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23080-2023</t>
        </is>
      </c>
      <c r="B868" s="1" t="n">
        <v>45075</v>
      </c>
      <c r="C868" s="1" t="n">
        <v>45901</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66328-2020</t>
        </is>
      </c>
      <c r="B869" s="1" t="n">
        <v>44176</v>
      </c>
      <c r="C869" s="1" t="n">
        <v>45901</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20204-2021</t>
        </is>
      </c>
      <c r="B870" s="1" t="n">
        <v>44314</v>
      </c>
      <c r="C870" s="1" t="n">
        <v>45901</v>
      </c>
      <c r="D870" t="inlineStr">
        <is>
          <t>KALMAR LÄN</t>
        </is>
      </c>
      <c r="E870" t="inlineStr">
        <is>
          <t>VÄSTERVIK</t>
        </is>
      </c>
      <c r="F870" t="inlineStr">
        <is>
          <t>Holmen skog AB</t>
        </is>
      </c>
      <c r="G870" t="n">
        <v>12.1</v>
      </c>
      <c r="H870" t="n">
        <v>0</v>
      </c>
      <c r="I870" t="n">
        <v>0</v>
      </c>
      <c r="J870" t="n">
        <v>0</v>
      </c>
      <c r="K870" t="n">
        <v>0</v>
      </c>
      <c r="L870" t="n">
        <v>0</v>
      </c>
      <c r="M870" t="n">
        <v>0</v>
      </c>
      <c r="N870" t="n">
        <v>0</v>
      </c>
      <c r="O870" t="n">
        <v>0</v>
      </c>
      <c r="P870" t="n">
        <v>0</v>
      </c>
      <c r="Q870" t="n">
        <v>0</v>
      </c>
      <c r="R870" s="2" t="inlineStr"/>
    </row>
    <row r="871" ht="15" customHeight="1">
      <c r="A871" t="inlineStr">
        <is>
          <t>A 3492-2021</t>
        </is>
      </c>
      <c r="B871" s="1" t="n">
        <v>44218.60984953704</v>
      </c>
      <c r="C871" s="1" t="n">
        <v>45901</v>
      </c>
      <c r="D871" t="inlineStr">
        <is>
          <t>KALMAR LÄN</t>
        </is>
      </c>
      <c r="E871" t="inlineStr">
        <is>
          <t>VÄSTERVIK</t>
        </is>
      </c>
      <c r="G871" t="n">
        <v>1</v>
      </c>
      <c r="H871" t="n">
        <v>0</v>
      </c>
      <c r="I871" t="n">
        <v>0</v>
      </c>
      <c r="J871" t="n">
        <v>0</v>
      </c>
      <c r="K871" t="n">
        <v>0</v>
      </c>
      <c r="L871" t="n">
        <v>0</v>
      </c>
      <c r="M871" t="n">
        <v>0</v>
      </c>
      <c r="N871" t="n">
        <v>0</v>
      </c>
      <c r="O871" t="n">
        <v>0</v>
      </c>
      <c r="P871" t="n">
        <v>0</v>
      </c>
      <c r="Q871" t="n">
        <v>0</v>
      </c>
      <c r="R871" s="2" t="inlineStr"/>
    </row>
    <row r="872" ht="15" customHeight="1">
      <c r="A872" t="inlineStr">
        <is>
          <t>A 11741-2023</t>
        </is>
      </c>
      <c r="B872" s="1" t="n">
        <v>44994.58689814815</v>
      </c>
      <c r="C872" s="1" t="n">
        <v>45901</v>
      </c>
      <c r="D872" t="inlineStr">
        <is>
          <t>KALMAR LÄN</t>
        </is>
      </c>
      <c r="E872" t="inlineStr">
        <is>
          <t>VÄSTERVIK</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3555-2021</t>
        </is>
      </c>
      <c r="B873" s="1" t="n">
        <v>44218</v>
      </c>
      <c r="C873" s="1" t="n">
        <v>45901</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942-2024</t>
        </is>
      </c>
      <c r="B874" s="1" t="n">
        <v>45301.53930555555</v>
      </c>
      <c r="C874" s="1" t="n">
        <v>45901</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11120-2025</t>
        </is>
      </c>
      <c r="B875" s="1" t="n">
        <v>45723.63655092593</v>
      </c>
      <c r="C875" s="1" t="n">
        <v>45901</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11122-2025</t>
        </is>
      </c>
      <c r="B876" s="1" t="n">
        <v>45723.63827546296</v>
      </c>
      <c r="C876" s="1" t="n">
        <v>45901</v>
      </c>
      <c r="D876" t="inlineStr">
        <is>
          <t>KALMAR LÄN</t>
        </is>
      </c>
      <c r="E876" t="inlineStr">
        <is>
          <t>VÄSTERVIK</t>
        </is>
      </c>
      <c r="G876" t="n">
        <v>0.3</v>
      </c>
      <c r="H876" t="n">
        <v>0</v>
      </c>
      <c r="I876" t="n">
        <v>0</v>
      </c>
      <c r="J876" t="n">
        <v>0</v>
      </c>
      <c r="K876" t="n">
        <v>0</v>
      </c>
      <c r="L876" t="n">
        <v>0</v>
      </c>
      <c r="M876" t="n">
        <v>0</v>
      </c>
      <c r="N876" t="n">
        <v>0</v>
      </c>
      <c r="O876" t="n">
        <v>0</v>
      </c>
      <c r="P876" t="n">
        <v>0</v>
      </c>
      <c r="Q876" t="n">
        <v>0</v>
      </c>
      <c r="R876" s="2" t="inlineStr"/>
    </row>
    <row r="877" ht="15" customHeight="1">
      <c r="A877" t="inlineStr">
        <is>
          <t>A 16680-2025</t>
        </is>
      </c>
      <c r="B877" s="1" t="n">
        <v>45754.44952546297</v>
      </c>
      <c r="C877" s="1" t="n">
        <v>45901</v>
      </c>
      <c r="D877" t="inlineStr">
        <is>
          <t>KALMAR LÄN</t>
        </is>
      </c>
      <c r="E877" t="inlineStr">
        <is>
          <t>VÄSTERVIK</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16691-2025</t>
        </is>
      </c>
      <c r="B878" s="1" t="n">
        <v>45754.46086805555</v>
      </c>
      <c r="C878" s="1" t="n">
        <v>45901</v>
      </c>
      <c r="D878" t="inlineStr">
        <is>
          <t>KALMAR LÄN</t>
        </is>
      </c>
      <c r="E878" t="inlineStr">
        <is>
          <t>VÄSTERVIK</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8597-2023</t>
        </is>
      </c>
      <c r="B879" s="1" t="n">
        <v>44977</v>
      </c>
      <c r="C879" s="1" t="n">
        <v>45901</v>
      </c>
      <c r="D879" t="inlineStr">
        <is>
          <t>KALMAR LÄN</t>
        </is>
      </c>
      <c r="E879" t="inlineStr">
        <is>
          <t>VÄSTERVIK</t>
        </is>
      </c>
      <c r="G879" t="n">
        <v>0.2</v>
      </c>
      <c r="H879" t="n">
        <v>0</v>
      </c>
      <c r="I879" t="n">
        <v>0</v>
      </c>
      <c r="J879" t="n">
        <v>0</v>
      </c>
      <c r="K879" t="n">
        <v>0</v>
      </c>
      <c r="L879" t="n">
        <v>0</v>
      </c>
      <c r="M879" t="n">
        <v>0</v>
      </c>
      <c r="N879" t="n">
        <v>0</v>
      </c>
      <c r="O879" t="n">
        <v>0</v>
      </c>
      <c r="P879" t="n">
        <v>0</v>
      </c>
      <c r="Q879" t="n">
        <v>0</v>
      </c>
      <c r="R879" s="2" t="inlineStr"/>
    </row>
    <row r="880" ht="15" customHeight="1">
      <c r="A880" t="inlineStr">
        <is>
          <t>A 25403-2023</t>
        </is>
      </c>
      <c r="B880" s="1" t="n">
        <v>45079</v>
      </c>
      <c r="C880" s="1" t="n">
        <v>45901</v>
      </c>
      <c r="D880" t="inlineStr">
        <is>
          <t>KALMAR LÄN</t>
        </is>
      </c>
      <c r="E880" t="inlineStr">
        <is>
          <t>VÄSTERVIK</t>
        </is>
      </c>
      <c r="G880" t="n">
        <v>4.3</v>
      </c>
      <c r="H880" t="n">
        <v>0</v>
      </c>
      <c r="I880" t="n">
        <v>0</v>
      </c>
      <c r="J880" t="n">
        <v>0</v>
      </c>
      <c r="K880" t="n">
        <v>0</v>
      </c>
      <c r="L880" t="n">
        <v>0</v>
      </c>
      <c r="M880" t="n">
        <v>0</v>
      </c>
      <c r="N880" t="n">
        <v>0</v>
      </c>
      <c r="O880" t="n">
        <v>0</v>
      </c>
      <c r="P880" t="n">
        <v>0</v>
      </c>
      <c r="Q880" t="n">
        <v>0</v>
      </c>
      <c r="R880" s="2" t="inlineStr"/>
    </row>
    <row r="881" ht="15" customHeight="1">
      <c r="A881" t="inlineStr">
        <is>
          <t>A 34655-2023</t>
        </is>
      </c>
      <c r="B881" s="1" t="n">
        <v>45140</v>
      </c>
      <c r="C881" s="1" t="n">
        <v>45901</v>
      </c>
      <c r="D881" t="inlineStr">
        <is>
          <t>KALMAR LÄN</t>
        </is>
      </c>
      <c r="E881" t="inlineStr">
        <is>
          <t>VÄSTERVIK</t>
        </is>
      </c>
      <c r="G881" t="n">
        <v>3.6</v>
      </c>
      <c r="H881" t="n">
        <v>0</v>
      </c>
      <c r="I881" t="n">
        <v>0</v>
      </c>
      <c r="J881" t="n">
        <v>0</v>
      </c>
      <c r="K881" t="n">
        <v>0</v>
      </c>
      <c r="L881" t="n">
        <v>0</v>
      </c>
      <c r="M881" t="n">
        <v>0</v>
      </c>
      <c r="N881" t="n">
        <v>0</v>
      </c>
      <c r="O881" t="n">
        <v>0</v>
      </c>
      <c r="P881" t="n">
        <v>0</v>
      </c>
      <c r="Q881" t="n">
        <v>0</v>
      </c>
      <c r="R881" s="2" t="inlineStr"/>
    </row>
    <row r="882" ht="15" customHeight="1">
      <c r="A882" t="inlineStr">
        <is>
          <t>A 10419-2023</t>
        </is>
      </c>
      <c r="B882" s="1" t="n">
        <v>44987</v>
      </c>
      <c r="C882" s="1" t="n">
        <v>45901</v>
      </c>
      <c r="D882" t="inlineStr">
        <is>
          <t>KALMAR LÄN</t>
        </is>
      </c>
      <c r="E882" t="inlineStr">
        <is>
          <t>VÄSTERVIK</t>
        </is>
      </c>
      <c r="G882" t="n">
        <v>0.4</v>
      </c>
      <c r="H882" t="n">
        <v>0</v>
      </c>
      <c r="I882" t="n">
        <v>0</v>
      </c>
      <c r="J882" t="n">
        <v>0</v>
      </c>
      <c r="K882" t="n">
        <v>0</v>
      </c>
      <c r="L882" t="n">
        <v>0</v>
      </c>
      <c r="M882" t="n">
        <v>0</v>
      </c>
      <c r="N882" t="n">
        <v>0</v>
      </c>
      <c r="O882" t="n">
        <v>0</v>
      </c>
      <c r="P882" t="n">
        <v>0</v>
      </c>
      <c r="Q882" t="n">
        <v>0</v>
      </c>
      <c r="R882" s="2" t="inlineStr"/>
    </row>
    <row r="883" ht="15" customHeight="1">
      <c r="A883" t="inlineStr">
        <is>
          <t>A 10406-2022</t>
        </is>
      </c>
      <c r="B883" s="1" t="n">
        <v>44623</v>
      </c>
      <c r="C883" s="1" t="n">
        <v>45901</v>
      </c>
      <c r="D883" t="inlineStr">
        <is>
          <t>KALMAR LÄN</t>
        </is>
      </c>
      <c r="E883" t="inlineStr">
        <is>
          <t>VÄSTERVIK</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61649-2022</t>
        </is>
      </c>
      <c r="B884" s="1" t="n">
        <v>44916.90010416666</v>
      </c>
      <c r="C884" s="1" t="n">
        <v>45901</v>
      </c>
      <c r="D884" t="inlineStr">
        <is>
          <t>KALMAR LÄN</t>
        </is>
      </c>
      <c r="E884" t="inlineStr">
        <is>
          <t>VÄSTERVIK</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21831-2023</t>
        </is>
      </c>
      <c r="B885" s="1" t="n">
        <v>45068</v>
      </c>
      <c r="C885" s="1" t="n">
        <v>45901</v>
      </c>
      <c r="D885" t="inlineStr">
        <is>
          <t>KALMAR LÄN</t>
        </is>
      </c>
      <c r="E885" t="inlineStr">
        <is>
          <t>VÄSTERVIK</t>
        </is>
      </c>
      <c r="G885" t="n">
        <v>0.4</v>
      </c>
      <c r="H885" t="n">
        <v>0</v>
      </c>
      <c r="I885" t="n">
        <v>0</v>
      </c>
      <c r="J885" t="n">
        <v>0</v>
      </c>
      <c r="K885" t="n">
        <v>0</v>
      </c>
      <c r="L885" t="n">
        <v>0</v>
      </c>
      <c r="M885" t="n">
        <v>0</v>
      </c>
      <c r="N885" t="n">
        <v>0</v>
      </c>
      <c r="O885" t="n">
        <v>0</v>
      </c>
      <c r="P885" t="n">
        <v>0</v>
      </c>
      <c r="Q885" t="n">
        <v>0</v>
      </c>
      <c r="R885" s="2" t="inlineStr"/>
    </row>
    <row r="886" ht="15" customHeight="1">
      <c r="A886" t="inlineStr">
        <is>
          <t>A 7165-2025</t>
        </is>
      </c>
      <c r="B886" s="1" t="n">
        <v>45702.39491898148</v>
      </c>
      <c r="C886" s="1" t="n">
        <v>45901</v>
      </c>
      <c r="D886" t="inlineStr">
        <is>
          <t>KALMAR LÄN</t>
        </is>
      </c>
      <c r="E886" t="inlineStr">
        <is>
          <t>VÄSTERVIK</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33969-2024</t>
        </is>
      </c>
      <c r="B887" s="1" t="n">
        <v>45523.49450231482</v>
      </c>
      <c r="C887" s="1" t="n">
        <v>45901</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23316-2023</t>
        </is>
      </c>
      <c r="B888" s="1" t="n">
        <v>45076.02563657407</v>
      </c>
      <c r="C888" s="1" t="n">
        <v>45901</v>
      </c>
      <c r="D888" t="inlineStr">
        <is>
          <t>KALMAR LÄN</t>
        </is>
      </c>
      <c r="E888" t="inlineStr">
        <is>
          <t>VÄSTERVIK</t>
        </is>
      </c>
      <c r="G888" t="n">
        <v>3.6</v>
      </c>
      <c r="H888" t="n">
        <v>0</v>
      </c>
      <c r="I888" t="n">
        <v>0</v>
      </c>
      <c r="J888" t="n">
        <v>0</v>
      </c>
      <c r="K888" t="n">
        <v>0</v>
      </c>
      <c r="L888" t="n">
        <v>0</v>
      </c>
      <c r="M888" t="n">
        <v>0</v>
      </c>
      <c r="N888" t="n">
        <v>0</v>
      </c>
      <c r="O888" t="n">
        <v>0</v>
      </c>
      <c r="P888" t="n">
        <v>0</v>
      </c>
      <c r="Q888" t="n">
        <v>0</v>
      </c>
      <c r="R888" s="2" t="inlineStr"/>
    </row>
    <row r="889" ht="15" customHeight="1">
      <c r="A889" t="inlineStr">
        <is>
          <t>A 9269-2025</t>
        </is>
      </c>
      <c r="B889" s="1" t="n">
        <v>45714.61543981481</v>
      </c>
      <c r="C889" s="1" t="n">
        <v>45901</v>
      </c>
      <c r="D889" t="inlineStr">
        <is>
          <t>KALMAR LÄN</t>
        </is>
      </c>
      <c r="E889" t="inlineStr">
        <is>
          <t>VÄSTERVIK</t>
        </is>
      </c>
      <c r="F889" t="inlineStr">
        <is>
          <t>Sveaskog</t>
        </is>
      </c>
      <c r="G889" t="n">
        <v>2.8</v>
      </c>
      <c r="H889" t="n">
        <v>0</v>
      </c>
      <c r="I889" t="n">
        <v>0</v>
      </c>
      <c r="J889" t="n">
        <v>0</v>
      </c>
      <c r="K889" t="n">
        <v>0</v>
      </c>
      <c r="L889" t="n">
        <v>0</v>
      </c>
      <c r="M889" t="n">
        <v>0</v>
      </c>
      <c r="N889" t="n">
        <v>0</v>
      </c>
      <c r="O889" t="n">
        <v>0</v>
      </c>
      <c r="P889" t="n">
        <v>0</v>
      </c>
      <c r="Q889" t="n">
        <v>0</v>
      </c>
      <c r="R889" s="2" t="inlineStr"/>
    </row>
    <row r="890" ht="15" customHeight="1">
      <c r="A890" t="inlineStr">
        <is>
          <t>A 5348-2024</t>
        </is>
      </c>
      <c r="B890" s="1" t="n">
        <v>45331</v>
      </c>
      <c r="C890" s="1" t="n">
        <v>45901</v>
      </c>
      <c r="D890" t="inlineStr">
        <is>
          <t>KALMAR LÄN</t>
        </is>
      </c>
      <c r="E890" t="inlineStr">
        <is>
          <t>VÄSTERVIK</t>
        </is>
      </c>
      <c r="F890" t="inlineStr">
        <is>
          <t>Övriga Aktiebolag</t>
        </is>
      </c>
      <c r="G890" t="n">
        <v>0.8</v>
      </c>
      <c r="H890" t="n">
        <v>0</v>
      </c>
      <c r="I890" t="n">
        <v>0</v>
      </c>
      <c r="J890" t="n">
        <v>0</v>
      </c>
      <c r="K890" t="n">
        <v>0</v>
      </c>
      <c r="L890" t="n">
        <v>0</v>
      </c>
      <c r="M890" t="n">
        <v>0</v>
      </c>
      <c r="N890" t="n">
        <v>0</v>
      </c>
      <c r="O890" t="n">
        <v>0</v>
      </c>
      <c r="P890" t="n">
        <v>0</v>
      </c>
      <c r="Q890" t="n">
        <v>0</v>
      </c>
      <c r="R890" s="2" t="inlineStr"/>
    </row>
    <row r="891" ht="15" customHeight="1">
      <c r="A891" t="inlineStr">
        <is>
          <t>A 5769-2023</t>
        </is>
      </c>
      <c r="B891" s="1" t="n">
        <v>44963.37194444444</v>
      </c>
      <c r="C891" s="1" t="n">
        <v>45901</v>
      </c>
      <c r="D891" t="inlineStr">
        <is>
          <t>KALMAR LÄN</t>
        </is>
      </c>
      <c r="E891" t="inlineStr">
        <is>
          <t>VÄSTERVIK</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14151-2021</t>
        </is>
      </c>
      <c r="B892" s="1" t="n">
        <v>44278.41052083333</v>
      </c>
      <c r="C892" s="1" t="n">
        <v>45901</v>
      </c>
      <c r="D892" t="inlineStr">
        <is>
          <t>KALMAR LÄN</t>
        </is>
      </c>
      <c r="E892" t="inlineStr">
        <is>
          <t>VÄSTERVIK</t>
        </is>
      </c>
      <c r="G892" t="n">
        <v>1.5</v>
      </c>
      <c r="H892" t="n">
        <v>0</v>
      </c>
      <c r="I892" t="n">
        <v>0</v>
      </c>
      <c r="J892" t="n">
        <v>0</v>
      </c>
      <c r="K892" t="n">
        <v>0</v>
      </c>
      <c r="L892" t="n">
        <v>0</v>
      </c>
      <c r="M892" t="n">
        <v>0</v>
      </c>
      <c r="N892" t="n">
        <v>0</v>
      </c>
      <c r="O892" t="n">
        <v>0</v>
      </c>
      <c r="P892" t="n">
        <v>0</v>
      </c>
      <c r="Q892" t="n">
        <v>0</v>
      </c>
      <c r="R892" s="2" t="inlineStr"/>
    </row>
    <row r="893" ht="15" customHeight="1">
      <c r="A893" t="inlineStr">
        <is>
          <t>A 46562-2022</t>
        </is>
      </c>
      <c r="B893" s="1" t="n">
        <v>44848</v>
      </c>
      <c r="C893" s="1" t="n">
        <v>45901</v>
      </c>
      <c r="D893" t="inlineStr">
        <is>
          <t>KALMAR LÄN</t>
        </is>
      </c>
      <c r="E893" t="inlineStr">
        <is>
          <t>VÄSTERVIK</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32822-2021</t>
        </is>
      </c>
      <c r="B894" s="1" t="n">
        <v>44375</v>
      </c>
      <c r="C894" s="1" t="n">
        <v>45901</v>
      </c>
      <c r="D894" t="inlineStr">
        <is>
          <t>KALMAR LÄN</t>
        </is>
      </c>
      <c r="E894" t="inlineStr">
        <is>
          <t>VÄSTERVIK</t>
        </is>
      </c>
      <c r="G894" t="n">
        <v>5.1</v>
      </c>
      <c r="H894" t="n">
        <v>0</v>
      </c>
      <c r="I894" t="n">
        <v>0</v>
      </c>
      <c r="J894" t="n">
        <v>0</v>
      </c>
      <c r="K894" t="n">
        <v>0</v>
      </c>
      <c r="L894" t="n">
        <v>0</v>
      </c>
      <c r="M894" t="n">
        <v>0</v>
      </c>
      <c r="N894" t="n">
        <v>0</v>
      </c>
      <c r="O894" t="n">
        <v>0</v>
      </c>
      <c r="P894" t="n">
        <v>0</v>
      </c>
      <c r="Q894" t="n">
        <v>0</v>
      </c>
      <c r="R894" s="2" t="inlineStr"/>
    </row>
    <row r="895" ht="15" customHeight="1">
      <c r="A895" t="inlineStr">
        <is>
          <t>A 59695-2023</t>
        </is>
      </c>
      <c r="B895" s="1" t="n">
        <v>45256.85107638889</v>
      </c>
      <c r="C895" s="1" t="n">
        <v>45901</v>
      </c>
      <c r="D895" t="inlineStr">
        <is>
          <t>KALMAR LÄN</t>
        </is>
      </c>
      <c r="E895" t="inlineStr">
        <is>
          <t>VÄSTERVIK</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7090-2024</t>
        </is>
      </c>
      <c r="B896" s="1" t="n">
        <v>45343.80621527778</v>
      </c>
      <c r="C896" s="1" t="n">
        <v>45901</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16692-2025</t>
        </is>
      </c>
      <c r="B897" s="1" t="n">
        <v>45754.4621412037</v>
      </c>
      <c r="C897" s="1" t="n">
        <v>45901</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54569-2023</t>
        </is>
      </c>
      <c r="B898" s="1" t="n">
        <v>45233.65532407408</v>
      </c>
      <c r="C898" s="1" t="n">
        <v>45901</v>
      </c>
      <c r="D898" t="inlineStr">
        <is>
          <t>KALMAR LÄN</t>
        </is>
      </c>
      <c r="E898" t="inlineStr">
        <is>
          <t>VÄSTERVIK</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10725-2023</t>
        </is>
      </c>
      <c r="B899" s="1" t="n">
        <v>44988.66966435185</v>
      </c>
      <c r="C899" s="1" t="n">
        <v>45901</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7360-2023</t>
        </is>
      </c>
      <c r="B900" s="1" t="n">
        <v>44971</v>
      </c>
      <c r="C900" s="1" t="n">
        <v>45901</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17306-2023</t>
        </is>
      </c>
      <c r="B901" s="1" t="n">
        <v>45035</v>
      </c>
      <c r="C901" s="1" t="n">
        <v>45901</v>
      </c>
      <c r="D901" t="inlineStr">
        <is>
          <t>KALMAR LÄN</t>
        </is>
      </c>
      <c r="E901" t="inlineStr">
        <is>
          <t>VÄSTERVIK</t>
        </is>
      </c>
      <c r="G901" t="n">
        <v>4.3</v>
      </c>
      <c r="H901" t="n">
        <v>0</v>
      </c>
      <c r="I901" t="n">
        <v>0</v>
      </c>
      <c r="J901" t="n">
        <v>0</v>
      </c>
      <c r="K901" t="n">
        <v>0</v>
      </c>
      <c r="L901" t="n">
        <v>0</v>
      </c>
      <c r="M901" t="n">
        <v>0</v>
      </c>
      <c r="N901" t="n">
        <v>0</v>
      </c>
      <c r="O901" t="n">
        <v>0</v>
      </c>
      <c r="P901" t="n">
        <v>0</v>
      </c>
      <c r="Q901" t="n">
        <v>0</v>
      </c>
      <c r="R901" s="2" t="inlineStr"/>
    </row>
    <row r="902" ht="15" customHeight="1">
      <c r="A902" t="inlineStr">
        <is>
          <t>A 23317-2023</t>
        </is>
      </c>
      <c r="B902" s="1" t="n">
        <v>45076</v>
      </c>
      <c r="C902" s="1" t="n">
        <v>45901</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2543-2024</t>
        </is>
      </c>
      <c r="B903" s="1" t="n">
        <v>45313</v>
      </c>
      <c r="C903" s="1" t="n">
        <v>45901</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47945-2023</t>
        </is>
      </c>
      <c r="B904" s="1" t="n">
        <v>45204.5684837963</v>
      </c>
      <c r="C904" s="1" t="n">
        <v>45901</v>
      </c>
      <c r="D904" t="inlineStr">
        <is>
          <t>KALMAR LÄN</t>
        </is>
      </c>
      <c r="E904" t="inlineStr">
        <is>
          <t>VÄSTERVIK</t>
        </is>
      </c>
      <c r="G904" t="n">
        <v>2</v>
      </c>
      <c r="H904" t="n">
        <v>0</v>
      </c>
      <c r="I904" t="n">
        <v>0</v>
      </c>
      <c r="J904" t="n">
        <v>0</v>
      </c>
      <c r="K904" t="n">
        <v>0</v>
      </c>
      <c r="L904" t="n">
        <v>0</v>
      </c>
      <c r="M904" t="n">
        <v>0</v>
      </c>
      <c r="N904" t="n">
        <v>0</v>
      </c>
      <c r="O904" t="n">
        <v>0</v>
      </c>
      <c r="P904" t="n">
        <v>0</v>
      </c>
      <c r="Q904" t="n">
        <v>0</v>
      </c>
      <c r="R904" s="2" t="inlineStr"/>
    </row>
    <row r="905" ht="15" customHeight="1">
      <c r="A905" t="inlineStr">
        <is>
          <t>A 9220-2023</t>
        </is>
      </c>
      <c r="B905" s="1" t="n">
        <v>44980.52182870371</v>
      </c>
      <c r="C905" s="1" t="n">
        <v>45901</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19950-2025</t>
        </is>
      </c>
      <c r="B906" s="1" t="n">
        <v>45771.65724537037</v>
      </c>
      <c r="C906" s="1" t="n">
        <v>45901</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36418-2023</t>
        </is>
      </c>
      <c r="B907" s="1" t="n">
        <v>45152</v>
      </c>
      <c r="C907" s="1" t="n">
        <v>45901</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c r="U907">
        <f>HYPERLINK("https://klasma.github.io/Logging_0883/knärot/A 36418-2023 karta knärot.png", "A 36418-2023")</f>
        <v/>
      </c>
      <c r="V907">
        <f>HYPERLINK("https://klasma.github.io/Logging_0883/klagomål/A 36418-2023 FSC-klagomål.docx", "A 36418-2023")</f>
        <v/>
      </c>
      <c r="W907">
        <f>HYPERLINK("https://klasma.github.io/Logging_0883/klagomålsmail/A 36418-2023 FSC-klagomål mail.docx", "A 36418-2023")</f>
        <v/>
      </c>
      <c r="X907">
        <f>HYPERLINK("https://klasma.github.io/Logging_0883/tillsyn/A 36418-2023 tillsynsbegäran.docx", "A 36418-2023")</f>
        <v/>
      </c>
      <c r="Y907">
        <f>HYPERLINK("https://klasma.github.io/Logging_0883/tillsynsmail/A 36418-2023 tillsynsbegäran mail.docx", "A 36418-2023")</f>
        <v/>
      </c>
    </row>
    <row r="908" ht="15" customHeight="1">
      <c r="A908" t="inlineStr">
        <is>
          <t>A 5510-2021</t>
        </is>
      </c>
      <c r="B908" s="1" t="n">
        <v>44230</v>
      </c>
      <c r="C908" s="1" t="n">
        <v>45901</v>
      </c>
      <c r="D908" t="inlineStr">
        <is>
          <t>KALMAR LÄN</t>
        </is>
      </c>
      <c r="E908" t="inlineStr">
        <is>
          <t>VÄSTERVIK</t>
        </is>
      </c>
      <c r="G908" t="n">
        <v>3.2</v>
      </c>
      <c r="H908" t="n">
        <v>0</v>
      </c>
      <c r="I908" t="n">
        <v>0</v>
      </c>
      <c r="J908" t="n">
        <v>0</v>
      </c>
      <c r="K908" t="n">
        <v>0</v>
      </c>
      <c r="L908" t="n">
        <v>0</v>
      </c>
      <c r="M908" t="n">
        <v>0</v>
      </c>
      <c r="N908" t="n">
        <v>0</v>
      </c>
      <c r="O908" t="n">
        <v>0</v>
      </c>
      <c r="P908" t="n">
        <v>0</v>
      </c>
      <c r="Q908" t="n">
        <v>0</v>
      </c>
      <c r="R908" s="2" t="inlineStr"/>
    </row>
    <row r="909" ht="15" customHeight="1">
      <c r="A909" t="inlineStr">
        <is>
          <t>A 34646-2023</t>
        </is>
      </c>
      <c r="B909" s="1" t="n">
        <v>45140</v>
      </c>
      <c r="C909" s="1" t="n">
        <v>45901</v>
      </c>
      <c r="D909" t="inlineStr">
        <is>
          <t>KALMAR LÄN</t>
        </is>
      </c>
      <c r="E909" t="inlineStr">
        <is>
          <t>VÄSTERVIK</t>
        </is>
      </c>
      <c r="G909" t="n">
        <v>3.1</v>
      </c>
      <c r="H909" t="n">
        <v>0</v>
      </c>
      <c r="I909" t="n">
        <v>0</v>
      </c>
      <c r="J909" t="n">
        <v>0</v>
      </c>
      <c r="K909" t="n">
        <v>0</v>
      </c>
      <c r="L909" t="n">
        <v>0</v>
      </c>
      <c r="M909" t="n">
        <v>0</v>
      </c>
      <c r="N909" t="n">
        <v>0</v>
      </c>
      <c r="O909" t="n">
        <v>0</v>
      </c>
      <c r="P909" t="n">
        <v>0</v>
      </c>
      <c r="Q909" t="n">
        <v>0</v>
      </c>
      <c r="R909" s="2" t="inlineStr"/>
    </row>
    <row r="910" ht="15" customHeight="1">
      <c r="A910" t="inlineStr">
        <is>
          <t>A 6941-2025</t>
        </is>
      </c>
      <c r="B910" s="1" t="n">
        <v>45701.46835648148</v>
      </c>
      <c r="C910" s="1" t="n">
        <v>45901</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37033-2021</t>
        </is>
      </c>
      <c r="B911" s="1" t="n">
        <v>44393</v>
      </c>
      <c r="C911" s="1" t="n">
        <v>45901</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58707-2022</t>
        </is>
      </c>
      <c r="B912" s="1" t="n">
        <v>44902.80462962963</v>
      </c>
      <c r="C912" s="1" t="n">
        <v>45901</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65-2023</t>
        </is>
      </c>
      <c r="B913" s="1" t="n">
        <v>44928.44431712963</v>
      </c>
      <c r="C913" s="1" t="n">
        <v>45901</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59221-2022</t>
        </is>
      </c>
      <c r="B914" s="1" t="n">
        <v>44904.53858796296</v>
      </c>
      <c r="C914" s="1" t="n">
        <v>45901</v>
      </c>
      <c r="D914" t="inlineStr">
        <is>
          <t>KALMAR LÄN</t>
        </is>
      </c>
      <c r="E914" t="inlineStr">
        <is>
          <t>VÄSTERVIK</t>
        </is>
      </c>
      <c r="G914" t="n">
        <v>6.1</v>
      </c>
      <c r="H914" t="n">
        <v>0</v>
      </c>
      <c r="I914" t="n">
        <v>0</v>
      </c>
      <c r="J914" t="n">
        <v>0</v>
      </c>
      <c r="K914" t="n">
        <v>0</v>
      </c>
      <c r="L914" t="n">
        <v>0</v>
      </c>
      <c r="M914" t="n">
        <v>0</v>
      </c>
      <c r="N914" t="n">
        <v>0</v>
      </c>
      <c r="O914" t="n">
        <v>0</v>
      </c>
      <c r="P914" t="n">
        <v>0</v>
      </c>
      <c r="Q914" t="n">
        <v>0</v>
      </c>
      <c r="R914" s="2" t="inlineStr"/>
    </row>
    <row r="915" ht="15" customHeight="1">
      <c r="A915" t="inlineStr">
        <is>
          <t>A 25714-2023</t>
        </is>
      </c>
      <c r="B915" s="1" t="n">
        <v>45089</v>
      </c>
      <c r="C915" s="1" t="n">
        <v>45901</v>
      </c>
      <c r="D915" t="inlineStr">
        <is>
          <t>KALMAR LÄN</t>
        </is>
      </c>
      <c r="E915" t="inlineStr">
        <is>
          <t>VÄSTERVIK</t>
        </is>
      </c>
      <c r="G915" t="n">
        <v>10.5</v>
      </c>
      <c r="H915" t="n">
        <v>0</v>
      </c>
      <c r="I915" t="n">
        <v>0</v>
      </c>
      <c r="J915" t="n">
        <v>0</v>
      </c>
      <c r="K915" t="n">
        <v>0</v>
      </c>
      <c r="L915" t="n">
        <v>0</v>
      </c>
      <c r="M915" t="n">
        <v>0</v>
      </c>
      <c r="N915" t="n">
        <v>0</v>
      </c>
      <c r="O915" t="n">
        <v>0</v>
      </c>
      <c r="P915" t="n">
        <v>0</v>
      </c>
      <c r="Q915" t="n">
        <v>0</v>
      </c>
      <c r="R915" s="2" t="inlineStr"/>
    </row>
    <row r="916" ht="15" customHeight="1">
      <c r="A916" t="inlineStr">
        <is>
          <t>A 45202-2023</t>
        </is>
      </c>
      <c r="B916" s="1" t="n">
        <v>45191</v>
      </c>
      <c r="C916" s="1" t="n">
        <v>45901</v>
      </c>
      <c r="D916" t="inlineStr">
        <is>
          <t>KALMAR LÄN</t>
        </is>
      </c>
      <c r="E916" t="inlineStr">
        <is>
          <t>VÄSTERVIK</t>
        </is>
      </c>
      <c r="F916" t="inlineStr">
        <is>
          <t>Holmen skog AB</t>
        </is>
      </c>
      <c r="G916" t="n">
        <v>1.3</v>
      </c>
      <c r="H916" t="n">
        <v>0</v>
      </c>
      <c r="I916" t="n">
        <v>0</v>
      </c>
      <c r="J916" t="n">
        <v>0</v>
      </c>
      <c r="K916" t="n">
        <v>0</v>
      </c>
      <c r="L916" t="n">
        <v>0</v>
      </c>
      <c r="M916" t="n">
        <v>0</v>
      </c>
      <c r="N916" t="n">
        <v>0</v>
      </c>
      <c r="O916" t="n">
        <v>0</v>
      </c>
      <c r="P916" t="n">
        <v>0</v>
      </c>
      <c r="Q916" t="n">
        <v>0</v>
      </c>
      <c r="R916" s="2" t="inlineStr"/>
    </row>
    <row r="917" ht="15" customHeight="1">
      <c r="A917" t="inlineStr">
        <is>
          <t>A 46561-2022</t>
        </is>
      </c>
      <c r="B917" s="1" t="n">
        <v>44848</v>
      </c>
      <c r="C917" s="1" t="n">
        <v>45901</v>
      </c>
      <c r="D917" t="inlineStr">
        <is>
          <t>KALMAR LÄN</t>
        </is>
      </c>
      <c r="E917" t="inlineStr">
        <is>
          <t>VÄSTERVIK</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52845-2023</t>
        </is>
      </c>
      <c r="B918" s="1" t="n">
        <v>45226.43667824074</v>
      </c>
      <c r="C918" s="1" t="n">
        <v>45901</v>
      </c>
      <c r="D918" t="inlineStr">
        <is>
          <t>KALMAR LÄN</t>
        </is>
      </c>
      <c r="E918" t="inlineStr">
        <is>
          <t>VÄSTERVIK</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14114-2025</t>
        </is>
      </c>
      <c r="B919" s="1" t="n">
        <v>45740.45964120371</v>
      </c>
      <c r="C919" s="1" t="n">
        <v>45901</v>
      </c>
      <c r="D919" t="inlineStr">
        <is>
          <t>KALMAR LÄN</t>
        </is>
      </c>
      <c r="E919" t="inlineStr">
        <is>
          <t>VÄSTERVIK</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18884-2025</t>
        </is>
      </c>
      <c r="B920" s="1" t="n">
        <v>45764.4417824074</v>
      </c>
      <c r="C920" s="1" t="n">
        <v>45901</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58927-2022</t>
        </is>
      </c>
      <c r="B921" s="1" t="n">
        <v>44896</v>
      </c>
      <c r="C921" s="1" t="n">
        <v>45901</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55042-2024</t>
        </is>
      </c>
      <c r="B922" s="1" t="n">
        <v>45621.39081018518</v>
      </c>
      <c r="C922" s="1" t="n">
        <v>45901</v>
      </c>
      <c r="D922" t="inlineStr">
        <is>
          <t>KALMAR LÄN</t>
        </is>
      </c>
      <c r="E922" t="inlineStr">
        <is>
          <t>VÄSTERVIK</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25488-2023</t>
        </is>
      </c>
      <c r="B923" s="1" t="n">
        <v>45089</v>
      </c>
      <c r="C923" s="1" t="n">
        <v>45901</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14212-2022</t>
        </is>
      </c>
      <c r="B924" s="1" t="n">
        <v>44651</v>
      </c>
      <c r="C924" s="1" t="n">
        <v>45901</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2357-2025</t>
        </is>
      </c>
      <c r="B925" s="1" t="n">
        <v>45673.68859953704</v>
      </c>
      <c r="C925" s="1" t="n">
        <v>45901</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14105-2025</t>
        </is>
      </c>
      <c r="B926" s="1" t="n">
        <v>45740.45425925926</v>
      </c>
      <c r="C926" s="1" t="n">
        <v>45901</v>
      </c>
      <c r="D926" t="inlineStr">
        <is>
          <t>KALMAR LÄN</t>
        </is>
      </c>
      <c r="E926" t="inlineStr">
        <is>
          <t>VÄSTERVIK</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14109-2025</t>
        </is>
      </c>
      <c r="B927" s="1" t="n">
        <v>45740.45748842593</v>
      </c>
      <c r="C927" s="1" t="n">
        <v>45901</v>
      </c>
      <c r="D927" t="inlineStr">
        <is>
          <t>KALMAR LÄN</t>
        </is>
      </c>
      <c r="E927" t="inlineStr">
        <is>
          <t>VÄSTERVIK</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18081-2023</t>
        </is>
      </c>
      <c r="B928" s="1" t="n">
        <v>45040</v>
      </c>
      <c r="C928" s="1" t="n">
        <v>45901</v>
      </c>
      <c r="D928" t="inlineStr">
        <is>
          <t>KALMAR LÄN</t>
        </is>
      </c>
      <c r="E928" t="inlineStr">
        <is>
          <t>VÄSTERVIK</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28895-2023</t>
        </is>
      </c>
      <c r="B929" s="1" t="n">
        <v>45104</v>
      </c>
      <c r="C929" s="1" t="n">
        <v>45901</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12386-2025</t>
        </is>
      </c>
      <c r="B930" s="1" t="n">
        <v>45730</v>
      </c>
      <c r="C930" s="1" t="n">
        <v>45901</v>
      </c>
      <c r="D930" t="inlineStr">
        <is>
          <t>KALMAR LÄN</t>
        </is>
      </c>
      <c r="E930" t="inlineStr">
        <is>
          <t>VÄSTERVIK</t>
        </is>
      </c>
      <c r="G930" t="n">
        <v>4.4</v>
      </c>
      <c r="H930" t="n">
        <v>0</v>
      </c>
      <c r="I930" t="n">
        <v>0</v>
      </c>
      <c r="J930" t="n">
        <v>0</v>
      </c>
      <c r="K930" t="n">
        <v>0</v>
      </c>
      <c r="L930" t="n">
        <v>0</v>
      </c>
      <c r="M930" t="n">
        <v>0</v>
      </c>
      <c r="N930" t="n">
        <v>0</v>
      </c>
      <c r="O930" t="n">
        <v>0</v>
      </c>
      <c r="P930" t="n">
        <v>0</v>
      </c>
      <c r="Q930" t="n">
        <v>0</v>
      </c>
      <c r="R930" s="2" t="inlineStr"/>
    </row>
    <row r="931" ht="15" customHeight="1">
      <c r="A931" t="inlineStr">
        <is>
          <t>A 28894-2023</t>
        </is>
      </c>
      <c r="B931" s="1" t="n">
        <v>45104.49659722222</v>
      </c>
      <c r="C931" s="1" t="n">
        <v>45901</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53266-2021</t>
        </is>
      </c>
      <c r="B932" s="1" t="n">
        <v>44468.48255787037</v>
      </c>
      <c r="C932" s="1" t="n">
        <v>45901</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19333-2023</t>
        </is>
      </c>
      <c r="B933" s="1" t="n">
        <v>45049.566875</v>
      </c>
      <c r="C933" s="1" t="n">
        <v>45901</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15097-2023</t>
        </is>
      </c>
      <c r="B934" s="1" t="n">
        <v>45016</v>
      </c>
      <c r="C934" s="1" t="n">
        <v>45901</v>
      </c>
      <c r="D934" t="inlineStr">
        <is>
          <t>KALMAR LÄN</t>
        </is>
      </c>
      <c r="E934" t="inlineStr">
        <is>
          <t>VÄSTERVIK</t>
        </is>
      </c>
      <c r="G934" t="n">
        <v>5.9</v>
      </c>
      <c r="H934" t="n">
        <v>0</v>
      </c>
      <c r="I934" t="n">
        <v>0</v>
      </c>
      <c r="J934" t="n">
        <v>0</v>
      </c>
      <c r="K934" t="n">
        <v>0</v>
      </c>
      <c r="L934" t="n">
        <v>0</v>
      </c>
      <c r="M934" t="n">
        <v>0</v>
      </c>
      <c r="N934" t="n">
        <v>0</v>
      </c>
      <c r="O934" t="n">
        <v>0</v>
      </c>
      <c r="P934" t="n">
        <v>0</v>
      </c>
      <c r="Q934" t="n">
        <v>0</v>
      </c>
      <c r="R934" s="2" t="inlineStr"/>
    </row>
    <row r="935" ht="15" customHeight="1">
      <c r="A935" t="inlineStr">
        <is>
          <t>A 15765-2023</t>
        </is>
      </c>
      <c r="B935" s="1" t="n">
        <v>45021</v>
      </c>
      <c r="C935" s="1" t="n">
        <v>45901</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14055-2025</t>
        </is>
      </c>
      <c r="B936" s="1" t="n">
        <v>45740.39541666667</v>
      </c>
      <c r="C936" s="1" t="n">
        <v>45901</v>
      </c>
      <c r="D936" t="inlineStr">
        <is>
          <t>KALMAR LÄN</t>
        </is>
      </c>
      <c r="E936" t="inlineStr">
        <is>
          <t>VÄSTERVIK</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48121-2021</t>
        </is>
      </c>
      <c r="B937" s="1" t="n">
        <v>44449.46614583334</v>
      </c>
      <c r="C937" s="1" t="n">
        <v>45901</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51645-2023</t>
        </is>
      </c>
      <c r="B938" s="1" t="n">
        <v>45222.55333333334</v>
      </c>
      <c r="C938" s="1" t="n">
        <v>45901</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69702-2021</t>
        </is>
      </c>
      <c r="B939" s="1" t="n">
        <v>44532.48237268518</v>
      </c>
      <c r="C939" s="1" t="n">
        <v>45901</v>
      </c>
      <c r="D939" t="inlineStr">
        <is>
          <t>KALMAR LÄN</t>
        </is>
      </c>
      <c r="E939" t="inlineStr">
        <is>
          <t>VÄSTERVIK</t>
        </is>
      </c>
      <c r="G939" t="n">
        <v>4.4</v>
      </c>
      <c r="H939" t="n">
        <v>0</v>
      </c>
      <c r="I939" t="n">
        <v>0</v>
      </c>
      <c r="J939" t="n">
        <v>0</v>
      </c>
      <c r="K939" t="n">
        <v>0</v>
      </c>
      <c r="L939" t="n">
        <v>0</v>
      </c>
      <c r="M939" t="n">
        <v>0</v>
      </c>
      <c r="N939" t="n">
        <v>0</v>
      </c>
      <c r="O939" t="n">
        <v>0</v>
      </c>
      <c r="P939" t="n">
        <v>0</v>
      </c>
      <c r="Q939" t="n">
        <v>0</v>
      </c>
      <c r="R939" s="2" t="inlineStr"/>
    </row>
    <row r="940" ht="15" customHeight="1">
      <c r="A940" t="inlineStr">
        <is>
          <t>A 6126-2023</t>
        </is>
      </c>
      <c r="B940" s="1" t="n">
        <v>44964.61592592593</v>
      </c>
      <c r="C940" s="1" t="n">
        <v>45901</v>
      </c>
      <c r="D940" t="inlineStr">
        <is>
          <t>KALMAR LÄN</t>
        </is>
      </c>
      <c r="E940" t="inlineStr">
        <is>
          <t>VÄSTERVIK</t>
        </is>
      </c>
      <c r="F940" t="inlineStr">
        <is>
          <t>Övriga Aktiebolag</t>
        </is>
      </c>
      <c r="G940" t="n">
        <v>0.9</v>
      </c>
      <c r="H940" t="n">
        <v>0</v>
      </c>
      <c r="I940" t="n">
        <v>0</v>
      </c>
      <c r="J940" t="n">
        <v>0</v>
      </c>
      <c r="K940" t="n">
        <v>0</v>
      </c>
      <c r="L940" t="n">
        <v>0</v>
      </c>
      <c r="M940" t="n">
        <v>0</v>
      </c>
      <c r="N940" t="n">
        <v>0</v>
      </c>
      <c r="O940" t="n">
        <v>0</v>
      </c>
      <c r="P940" t="n">
        <v>0</v>
      </c>
      <c r="Q940" t="n">
        <v>0</v>
      </c>
      <c r="R940" s="2" t="inlineStr"/>
    </row>
    <row r="941" ht="15" customHeight="1">
      <c r="A941" t="inlineStr">
        <is>
          <t>A 15099-2023</t>
        </is>
      </c>
      <c r="B941" s="1" t="n">
        <v>45016.39048611111</v>
      </c>
      <c r="C941" s="1" t="n">
        <v>45901</v>
      </c>
      <c r="D941" t="inlineStr">
        <is>
          <t>KALMAR LÄN</t>
        </is>
      </c>
      <c r="E941" t="inlineStr">
        <is>
          <t>VÄSTERVIK</t>
        </is>
      </c>
      <c r="G941" t="n">
        <v>3</v>
      </c>
      <c r="H941" t="n">
        <v>0</v>
      </c>
      <c r="I941" t="n">
        <v>0</v>
      </c>
      <c r="J941" t="n">
        <v>0</v>
      </c>
      <c r="K941" t="n">
        <v>0</v>
      </c>
      <c r="L941" t="n">
        <v>0</v>
      </c>
      <c r="M941" t="n">
        <v>0</v>
      </c>
      <c r="N941" t="n">
        <v>0</v>
      </c>
      <c r="O941" t="n">
        <v>0</v>
      </c>
      <c r="P941" t="n">
        <v>0</v>
      </c>
      <c r="Q941" t="n">
        <v>0</v>
      </c>
      <c r="R941" s="2" t="inlineStr"/>
    </row>
    <row r="942" ht="15" customHeight="1">
      <c r="A942" t="inlineStr">
        <is>
          <t>A 71114-2021</t>
        </is>
      </c>
      <c r="B942" s="1" t="n">
        <v>44539.37123842593</v>
      </c>
      <c r="C942" s="1" t="n">
        <v>45901</v>
      </c>
      <c r="D942" t="inlineStr">
        <is>
          <t>KALMAR LÄN</t>
        </is>
      </c>
      <c r="E942" t="inlineStr">
        <is>
          <t>VÄSTERVIK</t>
        </is>
      </c>
      <c r="G942" t="n">
        <v>1.9</v>
      </c>
      <c r="H942" t="n">
        <v>0</v>
      </c>
      <c r="I942" t="n">
        <v>0</v>
      </c>
      <c r="J942" t="n">
        <v>0</v>
      </c>
      <c r="K942" t="n">
        <v>0</v>
      </c>
      <c r="L942" t="n">
        <v>0</v>
      </c>
      <c r="M942" t="n">
        <v>0</v>
      </c>
      <c r="N942" t="n">
        <v>0</v>
      </c>
      <c r="O942" t="n">
        <v>0</v>
      </c>
      <c r="P942" t="n">
        <v>0</v>
      </c>
      <c r="Q942" t="n">
        <v>0</v>
      </c>
      <c r="R942" s="2" t="inlineStr"/>
    </row>
    <row r="943" ht="15" customHeight="1">
      <c r="A943" t="inlineStr">
        <is>
          <t>A 13838-2024</t>
        </is>
      </c>
      <c r="B943" s="1" t="n">
        <v>45391.44646990741</v>
      </c>
      <c r="C943" s="1" t="n">
        <v>45901</v>
      </c>
      <c r="D943" t="inlineStr">
        <is>
          <t>KALMAR LÄN</t>
        </is>
      </c>
      <c r="E943" t="inlineStr">
        <is>
          <t>VÄSTERVIK</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62422-2022</t>
        </is>
      </c>
      <c r="B944" s="1" t="n">
        <v>44924</v>
      </c>
      <c r="C944" s="1" t="n">
        <v>45901</v>
      </c>
      <c r="D944" t="inlineStr">
        <is>
          <t>KALMAR LÄN</t>
        </is>
      </c>
      <c r="E944" t="inlineStr">
        <is>
          <t>VÄSTERVIK</t>
        </is>
      </c>
      <c r="G944" t="n">
        <v>4.9</v>
      </c>
      <c r="H944" t="n">
        <v>0</v>
      </c>
      <c r="I944" t="n">
        <v>0</v>
      </c>
      <c r="J944" t="n">
        <v>0</v>
      </c>
      <c r="K944" t="n">
        <v>0</v>
      </c>
      <c r="L944" t="n">
        <v>0</v>
      </c>
      <c r="M944" t="n">
        <v>0</v>
      </c>
      <c r="N944" t="n">
        <v>0</v>
      </c>
      <c r="O944" t="n">
        <v>0</v>
      </c>
      <c r="P944" t="n">
        <v>0</v>
      </c>
      <c r="Q944" t="n">
        <v>0</v>
      </c>
      <c r="R944" s="2" t="inlineStr"/>
    </row>
    <row r="945" ht="15" customHeight="1">
      <c r="A945" t="inlineStr">
        <is>
          <t>A 16617-2023</t>
        </is>
      </c>
      <c r="B945" s="1" t="n">
        <v>45030</v>
      </c>
      <c r="C945" s="1" t="n">
        <v>45901</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10020-2021</t>
        </is>
      </c>
      <c r="B946" s="1" t="n">
        <v>44256</v>
      </c>
      <c r="C946" s="1" t="n">
        <v>45901</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64762-2023</t>
        </is>
      </c>
      <c r="B947" s="1" t="n">
        <v>45282.27841435185</v>
      </c>
      <c r="C947" s="1" t="n">
        <v>45901</v>
      </c>
      <c r="D947" t="inlineStr">
        <is>
          <t>KALMAR LÄN</t>
        </is>
      </c>
      <c r="E947" t="inlineStr">
        <is>
          <t>VÄSTERVIK</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64763-2023</t>
        </is>
      </c>
      <c r="B948" s="1" t="n">
        <v>45282.28041666667</v>
      </c>
      <c r="C948" s="1" t="n">
        <v>45901</v>
      </c>
      <c r="D948" t="inlineStr">
        <is>
          <t>KALMAR LÄN</t>
        </is>
      </c>
      <c r="E948" t="inlineStr">
        <is>
          <t>VÄSTERVIK</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37326-2024</t>
        </is>
      </c>
      <c r="B949" s="1" t="n">
        <v>45540</v>
      </c>
      <c r="C949" s="1" t="n">
        <v>45901</v>
      </c>
      <c r="D949" t="inlineStr">
        <is>
          <t>KALMAR LÄN</t>
        </is>
      </c>
      <c r="E949" t="inlineStr">
        <is>
          <t>VÄSTERVIK</t>
        </is>
      </c>
      <c r="F949" t="inlineStr">
        <is>
          <t>Holmen skog AB</t>
        </is>
      </c>
      <c r="G949" t="n">
        <v>6</v>
      </c>
      <c r="H949" t="n">
        <v>0</v>
      </c>
      <c r="I949" t="n">
        <v>0</v>
      </c>
      <c r="J949" t="n">
        <v>0</v>
      </c>
      <c r="K949" t="n">
        <v>0</v>
      </c>
      <c r="L949" t="n">
        <v>0</v>
      </c>
      <c r="M949" t="n">
        <v>0</v>
      </c>
      <c r="N949" t="n">
        <v>0</v>
      </c>
      <c r="O949" t="n">
        <v>0</v>
      </c>
      <c r="P949" t="n">
        <v>0</v>
      </c>
      <c r="Q949" t="n">
        <v>0</v>
      </c>
      <c r="R949" s="2" t="inlineStr"/>
    </row>
    <row r="950" ht="15" customHeight="1">
      <c r="A950" t="inlineStr">
        <is>
          <t>A 2830-2025</t>
        </is>
      </c>
      <c r="B950" s="1" t="n">
        <v>45677.62704861111</v>
      </c>
      <c r="C950" s="1" t="n">
        <v>45901</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8440-2023</t>
        </is>
      </c>
      <c r="B951" s="1" t="n">
        <v>44977.46979166667</v>
      </c>
      <c r="C951" s="1" t="n">
        <v>45901</v>
      </c>
      <c r="D951" t="inlineStr">
        <is>
          <t>KALMAR LÄN</t>
        </is>
      </c>
      <c r="E951" t="inlineStr">
        <is>
          <t>VÄSTERVIK</t>
        </is>
      </c>
      <c r="G951" t="n">
        <v>5.5</v>
      </c>
      <c r="H951" t="n">
        <v>0</v>
      </c>
      <c r="I951" t="n">
        <v>0</v>
      </c>
      <c r="J951" t="n">
        <v>0</v>
      </c>
      <c r="K951" t="n">
        <v>0</v>
      </c>
      <c r="L951" t="n">
        <v>0</v>
      </c>
      <c r="M951" t="n">
        <v>0</v>
      </c>
      <c r="N951" t="n">
        <v>0</v>
      </c>
      <c r="O951" t="n">
        <v>0</v>
      </c>
      <c r="P951" t="n">
        <v>0</v>
      </c>
      <c r="Q951" t="n">
        <v>0</v>
      </c>
      <c r="R951" s="2" t="inlineStr"/>
    </row>
    <row r="952" ht="15" customHeight="1">
      <c r="A952" t="inlineStr">
        <is>
          <t>A 8513-2023</t>
        </is>
      </c>
      <c r="B952" s="1" t="n">
        <v>44977.56759259259</v>
      </c>
      <c r="C952" s="1" t="n">
        <v>45901</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14685-2025</t>
        </is>
      </c>
      <c r="B953" s="1" t="n">
        <v>45742.57653935185</v>
      </c>
      <c r="C953" s="1" t="n">
        <v>45901</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11791-2024</t>
        </is>
      </c>
      <c r="B954" s="1" t="n">
        <v>45374.97038194445</v>
      </c>
      <c r="C954" s="1" t="n">
        <v>45901</v>
      </c>
      <c r="D954" t="inlineStr">
        <is>
          <t>KALMAR LÄN</t>
        </is>
      </c>
      <c r="E954" t="inlineStr">
        <is>
          <t>VÄSTERVIK</t>
        </is>
      </c>
      <c r="G954" t="n">
        <v>3.4</v>
      </c>
      <c r="H954" t="n">
        <v>0</v>
      </c>
      <c r="I954" t="n">
        <v>0</v>
      </c>
      <c r="J954" t="n">
        <v>0</v>
      </c>
      <c r="K954" t="n">
        <v>0</v>
      </c>
      <c r="L954" t="n">
        <v>0</v>
      </c>
      <c r="M954" t="n">
        <v>0</v>
      </c>
      <c r="N954" t="n">
        <v>0</v>
      </c>
      <c r="O954" t="n">
        <v>0</v>
      </c>
      <c r="P954" t="n">
        <v>0</v>
      </c>
      <c r="Q954" t="n">
        <v>0</v>
      </c>
      <c r="R954" s="2" t="inlineStr"/>
    </row>
    <row r="955" ht="15" customHeight="1">
      <c r="A955" t="inlineStr">
        <is>
          <t>A 3679-2025</t>
        </is>
      </c>
      <c r="B955" s="1" t="n">
        <v>45681.44637731482</v>
      </c>
      <c r="C955" s="1" t="n">
        <v>45901</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16683-2025</t>
        </is>
      </c>
      <c r="B956" s="1" t="n">
        <v>45754.45234953704</v>
      </c>
      <c r="C956" s="1" t="n">
        <v>45901</v>
      </c>
      <c r="D956" t="inlineStr">
        <is>
          <t>KALMAR LÄN</t>
        </is>
      </c>
      <c r="E956" t="inlineStr">
        <is>
          <t>VÄSTERVIK</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16686-2025</t>
        </is>
      </c>
      <c r="B957" s="1" t="n">
        <v>45754.45355324074</v>
      </c>
      <c r="C957" s="1" t="n">
        <v>45901</v>
      </c>
      <c r="D957" t="inlineStr">
        <is>
          <t>KALMAR LÄN</t>
        </is>
      </c>
      <c r="E957" t="inlineStr">
        <is>
          <t>VÄSTERVIK</t>
        </is>
      </c>
      <c r="F957" t="inlineStr">
        <is>
          <t>Sveaskog</t>
        </is>
      </c>
      <c r="G957" t="n">
        <v>3.9</v>
      </c>
      <c r="H957" t="n">
        <v>0</v>
      </c>
      <c r="I957" t="n">
        <v>0</v>
      </c>
      <c r="J957" t="n">
        <v>0</v>
      </c>
      <c r="K957" t="n">
        <v>0</v>
      </c>
      <c r="L957" t="n">
        <v>0</v>
      </c>
      <c r="M957" t="n">
        <v>0</v>
      </c>
      <c r="N957" t="n">
        <v>0</v>
      </c>
      <c r="O957" t="n">
        <v>0</v>
      </c>
      <c r="P957" t="n">
        <v>0</v>
      </c>
      <c r="Q957" t="n">
        <v>0</v>
      </c>
      <c r="R957" s="2" t="inlineStr"/>
    </row>
    <row r="958" ht="15" customHeight="1">
      <c r="A958" t="inlineStr">
        <is>
          <t>A 29420-2024</t>
        </is>
      </c>
      <c r="B958" s="1" t="n">
        <v>45483</v>
      </c>
      <c r="C958" s="1" t="n">
        <v>45901</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38048-2023</t>
        </is>
      </c>
      <c r="B959" s="1" t="n">
        <v>45160.67677083334</v>
      </c>
      <c r="C959" s="1" t="n">
        <v>45901</v>
      </c>
      <c r="D959" t="inlineStr">
        <is>
          <t>KALMAR LÄN</t>
        </is>
      </c>
      <c r="E959" t="inlineStr">
        <is>
          <t>VÄSTERVIK</t>
        </is>
      </c>
      <c r="F959" t="inlineStr">
        <is>
          <t>Sveaskog</t>
        </is>
      </c>
      <c r="G959" t="n">
        <v>3.3</v>
      </c>
      <c r="H959" t="n">
        <v>0</v>
      </c>
      <c r="I959" t="n">
        <v>0</v>
      </c>
      <c r="J959" t="n">
        <v>0</v>
      </c>
      <c r="K959" t="n">
        <v>0</v>
      </c>
      <c r="L959" t="n">
        <v>0</v>
      </c>
      <c r="M959" t="n">
        <v>0</v>
      </c>
      <c r="N959" t="n">
        <v>0</v>
      </c>
      <c r="O959" t="n">
        <v>0</v>
      </c>
      <c r="P959" t="n">
        <v>0</v>
      </c>
      <c r="Q959" t="n">
        <v>0</v>
      </c>
      <c r="R959" s="2" t="inlineStr"/>
    </row>
    <row r="960" ht="15" customHeight="1">
      <c r="A960" t="inlineStr">
        <is>
          <t>A 17648-2023</t>
        </is>
      </c>
      <c r="B960" s="1" t="n">
        <v>45036</v>
      </c>
      <c r="C960" s="1" t="n">
        <v>45901</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28952-2023</t>
        </is>
      </c>
      <c r="B961" s="1" t="n">
        <v>45104</v>
      </c>
      <c r="C961" s="1" t="n">
        <v>45901</v>
      </c>
      <c r="D961" t="inlineStr">
        <is>
          <t>KALMAR LÄN</t>
        </is>
      </c>
      <c r="E961" t="inlineStr">
        <is>
          <t>VÄSTERVIK</t>
        </is>
      </c>
      <c r="F961" t="inlineStr">
        <is>
          <t>Holmen skog AB</t>
        </is>
      </c>
      <c r="G961" t="n">
        <v>1</v>
      </c>
      <c r="H961" t="n">
        <v>0</v>
      </c>
      <c r="I961" t="n">
        <v>0</v>
      </c>
      <c r="J961" t="n">
        <v>0</v>
      </c>
      <c r="K961" t="n">
        <v>0</v>
      </c>
      <c r="L961" t="n">
        <v>0</v>
      </c>
      <c r="M961" t="n">
        <v>0</v>
      </c>
      <c r="N961" t="n">
        <v>0</v>
      </c>
      <c r="O961" t="n">
        <v>0</v>
      </c>
      <c r="P961" t="n">
        <v>0</v>
      </c>
      <c r="Q961" t="n">
        <v>0</v>
      </c>
      <c r="R961" s="2" t="inlineStr"/>
    </row>
    <row r="962" ht="15" customHeight="1">
      <c r="A962" t="inlineStr">
        <is>
          <t>A 37986-2023</t>
        </is>
      </c>
      <c r="B962" s="1" t="n">
        <v>45160.60331018519</v>
      </c>
      <c r="C962" s="1" t="n">
        <v>45901</v>
      </c>
      <c r="D962" t="inlineStr">
        <is>
          <t>KALMAR LÄN</t>
        </is>
      </c>
      <c r="E962" t="inlineStr">
        <is>
          <t>VÄSTERVIK</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61448-2023</t>
        </is>
      </c>
      <c r="B963" s="1" t="n">
        <v>45264.81439814815</v>
      </c>
      <c r="C963" s="1" t="n">
        <v>45901</v>
      </c>
      <c r="D963" t="inlineStr">
        <is>
          <t>KALMAR LÄN</t>
        </is>
      </c>
      <c r="E963" t="inlineStr">
        <is>
          <t>VÄSTERVIK</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61449-2023</t>
        </is>
      </c>
      <c r="B964" s="1" t="n">
        <v>45264.81490740741</v>
      </c>
      <c r="C964" s="1" t="n">
        <v>45901</v>
      </c>
      <c r="D964" t="inlineStr">
        <is>
          <t>KALMAR LÄN</t>
        </is>
      </c>
      <c r="E964" t="inlineStr">
        <is>
          <t>VÄSTERVIK</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24877-2023</t>
        </is>
      </c>
      <c r="B965" s="1" t="n">
        <v>45085.43271990741</v>
      </c>
      <c r="C965" s="1" t="n">
        <v>45901</v>
      </c>
      <c r="D965" t="inlineStr">
        <is>
          <t>KALMAR LÄN</t>
        </is>
      </c>
      <c r="E965" t="inlineStr">
        <is>
          <t>VÄSTERVIK</t>
        </is>
      </c>
      <c r="G965" t="n">
        <v>3.8</v>
      </c>
      <c r="H965" t="n">
        <v>0</v>
      </c>
      <c r="I965" t="n">
        <v>0</v>
      </c>
      <c r="J965" t="n">
        <v>0</v>
      </c>
      <c r="K965" t="n">
        <v>0</v>
      </c>
      <c r="L965" t="n">
        <v>0</v>
      </c>
      <c r="M965" t="n">
        <v>0</v>
      </c>
      <c r="N965" t="n">
        <v>0</v>
      </c>
      <c r="O965" t="n">
        <v>0</v>
      </c>
      <c r="P965" t="n">
        <v>0</v>
      </c>
      <c r="Q965" t="n">
        <v>0</v>
      </c>
      <c r="R965" s="2" t="inlineStr"/>
    </row>
    <row r="966" ht="15" customHeight="1">
      <c r="A966" t="inlineStr">
        <is>
          <t>A 29789-2024</t>
        </is>
      </c>
      <c r="B966" s="1" t="n">
        <v>45485.46721064814</v>
      </c>
      <c r="C966" s="1" t="n">
        <v>45901</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52774-2024</t>
        </is>
      </c>
      <c r="B967" s="1" t="n">
        <v>45610.53413194444</v>
      </c>
      <c r="C967" s="1" t="n">
        <v>45901</v>
      </c>
      <c r="D967" t="inlineStr">
        <is>
          <t>KALMAR LÄN</t>
        </is>
      </c>
      <c r="E967" t="inlineStr">
        <is>
          <t>VÄSTERVIK</t>
        </is>
      </c>
      <c r="F967" t="inlineStr">
        <is>
          <t>Holmen skog AB</t>
        </is>
      </c>
      <c r="G967" t="n">
        <v>2.9</v>
      </c>
      <c r="H967" t="n">
        <v>0</v>
      </c>
      <c r="I967" t="n">
        <v>0</v>
      </c>
      <c r="J967" t="n">
        <v>0</v>
      </c>
      <c r="K967" t="n">
        <v>0</v>
      </c>
      <c r="L967" t="n">
        <v>0</v>
      </c>
      <c r="M967" t="n">
        <v>0</v>
      </c>
      <c r="N967" t="n">
        <v>0</v>
      </c>
      <c r="O967" t="n">
        <v>0</v>
      </c>
      <c r="P967" t="n">
        <v>0</v>
      </c>
      <c r="Q967" t="n">
        <v>0</v>
      </c>
      <c r="R967" s="2" t="inlineStr"/>
    </row>
    <row r="968" ht="15" customHeight="1">
      <c r="A968" t="inlineStr">
        <is>
          <t>A 352-2023</t>
        </is>
      </c>
      <c r="B968" s="1" t="n">
        <v>44929.51619212963</v>
      </c>
      <c r="C968" s="1" t="n">
        <v>45901</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13843-2024</t>
        </is>
      </c>
      <c r="B969" s="1" t="n">
        <v>45391.45087962963</v>
      </c>
      <c r="C969" s="1" t="n">
        <v>45901</v>
      </c>
      <c r="D969" t="inlineStr">
        <is>
          <t>KALMAR LÄN</t>
        </is>
      </c>
      <c r="E969" t="inlineStr">
        <is>
          <t>VÄSTERVIK</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57804-2021</t>
        </is>
      </c>
      <c r="B970" s="1" t="n">
        <v>44484</v>
      </c>
      <c r="C970" s="1" t="n">
        <v>45901</v>
      </c>
      <c r="D970" t="inlineStr">
        <is>
          <t>KALMAR LÄN</t>
        </is>
      </c>
      <c r="E970" t="inlineStr">
        <is>
          <t>VÄSTERVIK</t>
        </is>
      </c>
      <c r="G970" t="n">
        <v>1.6</v>
      </c>
      <c r="H970" t="n">
        <v>0</v>
      </c>
      <c r="I970" t="n">
        <v>0</v>
      </c>
      <c r="J970" t="n">
        <v>0</v>
      </c>
      <c r="K970" t="n">
        <v>0</v>
      </c>
      <c r="L970" t="n">
        <v>0</v>
      </c>
      <c r="M970" t="n">
        <v>0</v>
      </c>
      <c r="N970" t="n">
        <v>0</v>
      </c>
      <c r="O970" t="n">
        <v>0</v>
      </c>
      <c r="P970" t="n">
        <v>0</v>
      </c>
      <c r="Q970" t="n">
        <v>0</v>
      </c>
      <c r="R970" s="2" t="inlineStr"/>
    </row>
    <row r="971" ht="15" customHeight="1">
      <c r="A971" t="inlineStr">
        <is>
          <t>A 59675-2022</t>
        </is>
      </c>
      <c r="B971" s="1" t="n">
        <v>44908</v>
      </c>
      <c r="C971" s="1" t="n">
        <v>45901</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55050-2024</t>
        </is>
      </c>
      <c r="B972" s="1" t="n">
        <v>45621.39759259259</v>
      </c>
      <c r="C972" s="1" t="n">
        <v>45901</v>
      </c>
      <c r="D972" t="inlineStr">
        <is>
          <t>KALMAR LÄN</t>
        </is>
      </c>
      <c r="E972" t="inlineStr">
        <is>
          <t>VÄSTERVIK</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21942-2023</t>
        </is>
      </c>
      <c r="B973" s="1" t="n">
        <v>45068</v>
      </c>
      <c r="C973" s="1" t="n">
        <v>45901</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row>
    <row r="974" ht="15" customHeight="1">
      <c r="A974" t="inlineStr">
        <is>
          <t>A 18395-2024</t>
        </is>
      </c>
      <c r="B974" s="1" t="n">
        <v>45424.98380787037</v>
      </c>
      <c r="C974" s="1" t="n">
        <v>45901</v>
      </c>
      <c r="D974" t="inlineStr">
        <is>
          <t>KALMAR LÄN</t>
        </is>
      </c>
      <c r="E974" t="inlineStr">
        <is>
          <t>VÄSTERVIK</t>
        </is>
      </c>
      <c r="F974" t="inlineStr">
        <is>
          <t>Holmen skog AB</t>
        </is>
      </c>
      <c r="G974" t="n">
        <v>8.5</v>
      </c>
      <c r="H974" t="n">
        <v>0</v>
      </c>
      <c r="I974" t="n">
        <v>0</v>
      </c>
      <c r="J974" t="n">
        <v>0</v>
      </c>
      <c r="K974" t="n">
        <v>0</v>
      </c>
      <c r="L974" t="n">
        <v>0</v>
      </c>
      <c r="M974" t="n">
        <v>0</v>
      </c>
      <c r="N974" t="n">
        <v>0</v>
      </c>
      <c r="O974" t="n">
        <v>0</v>
      </c>
      <c r="P974" t="n">
        <v>0</v>
      </c>
      <c r="Q974" t="n">
        <v>0</v>
      </c>
      <c r="R974" s="2" t="inlineStr"/>
    </row>
    <row r="975" ht="15" customHeight="1">
      <c r="A975" t="inlineStr">
        <is>
          <t>A 2314-2023</t>
        </is>
      </c>
      <c r="B975" s="1" t="n">
        <v>44942</v>
      </c>
      <c r="C975" s="1" t="n">
        <v>45901</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38040-2023</t>
        </is>
      </c>
      <c r="B976" s="1" t="n">
        <v>45160.66336805555</v>
      </c>
      <c r="C976" s="1" t="n">
        <v>45901</v>
      </c>
      <c r="D976" t="inlineStr">
        <is>
          <t>KALMAR LÄN</t>
        </is>
      </c>
      <c r="E976" t="inlineStr">
        <is>
          <t>VÄSTERVIK</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55609-2024</t>
        </is>
      </c>
      <c r="B977" s="1" t="n">
        <v>45622.58350694444</v>
      </c>
      <c r="C977" s="1" t="n">
        <v>45901</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33208-2022</t>
        </is>
      </c>
      <c r="B978" s="1" t="n">
        <v>44785</v>
      </c>
      <c r="C978" s="1" t="n">
        <v>45901</v>
      </c>
      <c r="D978" t="inlineStr">
        <is>
          <t>KALMAR LÄN</t>
        </is>
      </c>
      <c r="E978" t="inlineStr">
        <is>
          <t>VÄSTERVIK</t>
        </is>
      </c>
      <c r="G978" t="n">
        <v>2.6</v>
      </c>
      <c r="H978" t="n">
        <v>0</v>
      </c>
      <c r="I978" t="n">
        <v>0</v>
      </c>
      <c r="J978" t="n">
        <v>0</v>
      </c>
      <c r="K978" t="n">
        <v>0</v>
      </c>
      <c r="L978" t="n">
        <v>0</v>
      </c>
      <c r="M978" t="n">
        <v>0</v>
      </c>
      <c r="N978" t="n">
        <v>0</v>
      </c>
      <c r="O978" t="n">
        <v>0</v>
      </c>
      <c r="P978" t="n">
        <v>0</v>
      </c>
      <c r="Q978" t="n">
        <v>0</v>
      </c>
      <c r="R978" s="2" t="inlineStr"/>
    </row>
    <row r="979" ht="15" customHeight="1">
      <c r="A979" t="inlineStr">
        <is>
          <t>A 12652-2022</t>
        </is>
      </c>
      <c r="B979" s="1" t="n">
        <v>44641</v>
      </c>
      <c r="C979" s="1" t="n">
        <v>45901</v>
      </c>
      <c r="D979" t="inlineStr">
        <is>
          <t>KALMAR LÄN</t>
        </is>
      </c>
      <c r="E979" t="inlineStr">
        <is>
          <t>VÄSTERVIK</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17307-2023</t>
        </is>
      </c>
      <c r="B980" s="1" t="n">
        <v>45035.53497685185</v>
      </c>
      <c r="C980" s="1" t="n">
        <v>45901</v>
      </c>
      <c r="D980" t="inlineStr">
        <is>
          <t>KALMAR LÄN</t>
        </is>
      </c>
      <c r="E980" t="inlineStr">
        <is>
          <t>VÄSTERVIK</t>
        </is>
      </c>
      <c r="G980" t="n">
        <v>0</v>
      </c>
      <c r="H980" t="n">
        <v>0</v>
      </c>
      <c r="I980" t="n">
        <v>0</v>
      </c>
      <c r="J980" t="n">
        <v>0</v>
      </c>
      <c r="K980" t="n">
        <v>0</v>
      </c>
      <c r="L980" t="n">
        <v>0</v>
      </c>
      <c r="M980" t="n">
        <v>0</v>
      </c>
      <c r="N980" t="n">
        <v>0</v>
      </c>
      <c r="O980" t="n">
        <v>0</v>
      </c>
      <c r="P980" t="n">
        <v>0</v>
      </c>
      <c r="Q980" t="n">
        <v>0</v>
      </c>
      <c r="R980" s="2" t="inlineStr"/>
    </row>
    <row r="981" ht="15" customHeight="1">
      <c r="A981" t="inlineStr">
        <is>
          <t>A 23992-2021</t>
        </is>
      </c>
      <c r="B981" s="1" t="n">
        <v>44335</v>
      </c>
      <c r="C981" s="1" t="n">
        <v>45901</v>
      </c>
      <c r="D981" t="inlineStr">
        <is>
          <t>KALMAR LÄN</t>
        </is>
      </c>
      <c r="E981" t="inlineStr">
        <is>
          <t>VÄSTERVIK</t>
        </is>
      </c>
      <c r="G981" t="n">
        <v>3.1</v>
      </c>
      <c r="H981" t="n">
        <v>0</v>
      </c>
      <c r="I981" t="n">
        <v>0</v>
      </c>
      <c r="J981" t="n">
        <v>0</v>
      </c>
      <c r="K981" t="n">
        <v>0</v>
      </c>
      <c r="L981" t="n">
        <v>0</v>
      </c>
      <c r="M981" t="n">
        <v>0</v>
      </c>
      <c r="N981" t="n">
        <v>0</v>
      </c>
      <c r="O981" t="n">
        <v>0</v>
      </c>
      <c r="P981" t="n">
        <v>0</v>
      </c>
      <c r="Q981" t="n">
        <v>0</v>
      </c>
      <c r="R981" s="2" t="inlineStr"/>
    </row>
    <row r="982" ht="15" customHeight="1">
      <c r="A982" t="inlineStr">
        <is>
          <t>A 59331-2023</t>
        </is>
      </c>
      <c r="B982" s="1" t="n">
        <v>45253</v>
      </c>
      <c r="C982" s="1" t="n">
        <v>45901</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35667-2023</t>
        </is>
      </c>
      <c r="B983" s="1" t="n">
        <v>45147.60667824074</v>
      </c>
      <c r="C983" s="1" t="n">
        <v>45901</v>
      </c>
      <c r="D983" t="inlineStr">
        <is>
          <t>KALMAR LÄN</t>
        </is>
      </c>
      <c r="E983" t="inlineStr">
        <is>
          <t>VÄSTERVIK</t>
        </is>
      </c>
      <c r="G983" t="n">
        <v>1.8</v>
      </c>
      <c r="H983" t="n">
        <v>0</v>
      </c>
      <c r="I983" t="n">
        <v>0</v>
      </c>
      <c r="J983" t="n">
        <v>0</v>
      </c>
      <c r="K983" t="n">
        <v>0</v>
      </c>
      <c r="L983" t="n">
        <v>0</v>
      </c>
      <c r="M983" t="n">
        <v>0</v>
      </c>
      <c r="N983" t="n">
        <v>0</v>
      </c>
      <c r="O983" t="n">
        <v>0</v>
      </c>
      <c r="P983" t="n">
        <v>0</v>
      </c>
      <c r="Q983" t="n">
        <v>0</v>
      </c>
      <c r="R983" s="2" t="inlineStr"/>
    </row>
    <row r="984" ht="15" customHeight="1">
      <c r="A984" t="inlineStr">
        <is>
          <t>A 15875-2023</t>
        </is>
      </c>
      <c r="B984" s="1" t="n">
        <v>45022.41916666667</v>
      </c>
      <c r="C984" s="1" t="n">
        <v>45901</v>
      </c>
      <c r="D984" t="inlineStr">
        <is>
          <t>KALMAR LÄN</t>
        </is>
      </c>
      <c r="E984" t="inlineStr">
        <is>
          <t>VÄSTERVIK</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60478-2024</t>
        </is>
      </c>
      <c r="B985" s="1" t="n">
        <v>45643</v>
      </c>
      <c r="C985" s="1" t="n">
        <v>45901</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14385-2023</t>
        </is>
      </c>
      <c r="B986" s="1" t="n">
        <v>45012</v>
      </c>
      <c r="C986" s="1" t="n">
        <v>45901</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45901</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23873-2024</t>
        </is>
      </c>
      <c r="B988" s="1" t="n">
        <v>45455</v>
      </c>
      <c r="C988" s="1" t="n">
        <v>45901</v>
      </c>
      <c r="D988" t="inlineStr">
        <is>
          <t>KALMAR LÄN</t>
        </is>
      </c>
      <c r="E988" t="inlineStr">
        <is>
          <t>VÄSTERVIK</t>
        </is>
      </c>
      <c r="F988" t="inlineStr">
        <is>
          <t>Övriga Aktiebolag</t>
        </is>
      </c>
      <c r="G988" t="n">
        <v>0.7</v>
      </c>
      <c r="H988" t="n">
        <v>0</v>
      </c>
      <c r="I988" t="n">
        <v>0</v>
      </c>
      <c r="J988" t="n">
        <v>0</v>
      </c>
      <c r="K988" t="n">
        <v>0</v>
      </c>
      <c r="L988" t="n">
        <v>0</v>
      </c>
      <c r="M988" t="n">
        <v>0</v>
      </c>
      <c r="N988" t="n">
        <v>0</v>
      </c>
      <c r="O988" t="n">
        <v>0</v>
      </c>
      <c r="P988" t="n">
        <v>0</v>
      </c>
      <c r="Q988" t="n">
        <v>0</v>
      </c>
      <c r="R988" s="2" t="inlineStr"/>
    </row>
    <row r="989" ht="15" customHeight="1">
      <c r="A989" t="inlineStr">
        <is>
          <t>A 29784-2024</t>
        </is>
      </c>
      <c r="B989" s="1" t="n">
        <v>45485.46129629629</v>
      </c>
      <c r="C989" s="1" t="n">
        <v>45901</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24562-2024</t>
        </is>
      </c>
      <c r="B990" s="1" t="n">
        <v>45460</v>
      </c>
      <c r="C990" s="1" t="n">
        <v>45901</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10807-2023</t>
        </is>
      </c>
      <c r="B991" s="1" t="n">
        <v>44989.64261574074</v>
      </c>
      <c r="C991" s="1" t="n">
        <v>45901</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9110-2023</t>
        </is>
      </c>
      <c r="B992" s="1" t="n">
        <v>44979</v>
      </c>
      <c r="C992" s="1" t="n">
        <v>45901</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9112-2023</t>
        </is>
      </c>
      <c r="B993" s="1" t="n">
        <v>44979</v>
      </c>
      <c r="C993" s="1" t="n">
        <v>45901</v>
      </c>
      <c r="D993" t="inlineStr">
        <is>
          <t>KALMAR LÄN</t>
        </is>
      </c>
      <c r="E993" t="inlineStr">
        <is>
          <t>VÄSTERVIK</t>
        </is>
      </c>
      <c r="G993" t="n">
        <v>1.8</v>
      </c>
      <c r="H993" t="n">
        <v>0</v>
      </c>
      <c r="I993" t="n">
        <v>0</v>
      </c>
      <c r="J993" t="n">
        <v>0</v>
      </c>
      <c r="K993" t="n">
        <v>0</v>
      </c>
      <c r="L993" t="n">
        <v>0</v>
      </c>
      <c r="M993" t="n">
        <v>0</v>
      </c>
      <c r="N993" t="n">
        <v>0</v>
      </c>
      <c r="O993" t="n">
        <v>0</v>
      </c>
      <c r="P993" t="n">
        <v>0</v>
      </c>
      <c r="Q993" t="n">
        <v>0</v>
      </c>
      <c r="R993" s="2" t="inlineStr"/>
    </row>
    <row r="994" ht="15" customHeight="1">
      <c r="A994" t="inlineStr">
        <is>
          <t>A 22740-2024</t>
        </is>
      </c>
      <c r="B994" s="1" t="n">
        <v>45448.39869212963</v>
      </c>
      <c r="C994" s="1" t="n">
        <v>45901</v>
      </c>
      <c r="D994" t="inlineStr">
        <is>
          <t>KALMAR LÄN</t>
        </is>
      </c>
      <c r="E994" t="inlineStr">
        <is>
          <t>VÄSTERVIK</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32763-2022</t>
        </is>
      </c>
      <c r="B995" s="1" t="n">
        <v>44783</v>
      </c>
      <c r="C995" s="1" t="n">
        <v>45901</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24829-2022</t>
        </is>
      </c>
      <c r="B996" s="1" t="n">
        <v>44728.45674768519</v>
      </c>
      <c r="C996" s="1" t="n">
        <v>45901</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57802-2024</t>
        </is>
      </c>
      <c r="B997" s="1" t="n">
        <v>45631.34590277778</v>
      </c>
      <c r="C997" s="1" t="n">
        <v>45901</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17214-2024</t>
        </is>
      </c>
      <c r="B998" s="1" t="n">
        <v>45414</v>
      </c>
      <c r="C998" s="1" t="n">
        <v>45901</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15021-2025</t>
        </is>
      </c>
      <c r="B999" s="1" t="n">
        <v>45743.64482638889</v>
      </c>
      <c r="C999" s="1" t="n">
        <v>45901</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35961-2023</t>
        </is>
      </c>
      <c r="B1000" s="1" t="n">
        <v>45148.85041666667</v>
      </c>
      <c r="C1000" s="1" t="n">
        <v>45901</v>
      </c>
      <c r="D1000" t="inlineStr">
        <is>
          <t>KALMAR LÄN</t>
        </is>
      </c>
      <c r="E1000" t="inlineStr">
        <is>
          <t>VÄSTERVIK</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10808-2025</t>
        </is>
      </c>
      <c r="B1001" s="1" t="n">
        <v>45722.53427083333</v>
      </c>
      <c r="C1001" s="1" t="n">
        <v>45901</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43199-2024</t>
        </is>
      </c>
      <c r="B1002" s="1" t="n">
        <v>45567.68774305555</v>
      </c>
      <c r="C1002" s="1" t="n">
        <v>45901</v>
      </c>
      <c r="D1002" t="inlineStr">
        <is>
          <t>KALMAR LÄN</t>
        </is>
      </c>
      <c r="E1002" t="inlineStr">
        <is>
          <t>VÄSTERVIK</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45901</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26285-2024</t>
        </is>
      </c>
      <c r="B1004" s="1" t="n">
        <v>45468.70357638889</v>
      </c>
      <c r="C1004" s="1" t="n">
        <v>45901</v>
      </c>
      <c r="D1004" t="inlineStr">
        <is>
          <t>KALMAR LÄN</t>
        </is>
      </c>
      <c r="E1004" t="inlineStr">
        <is>
          <t>VÄSTERVIK</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9037-2023</t>
        </is>
      </c>
      <c r="B1005" s="1" t="n">
        <v>44979.65015046296</v>
      </c>
      <c r="C1005" s="1" t="n">
        <v>45901</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50086-2023</t>
        </is>
      </c>
      <c r="B1006" s="1" t="n">
        <v>45215.59601851852</v>
      </c>
      <c r="C1006" s="1" t="n">
        <v>45901</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13275-2023</t>
        </is>
      </c>
      <c r="B1007" s="1" t="n">
        <v>45003</v>
      </c>
      <c r="C1007" s="1" t="n">
        <v>45901</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c r="U1007">
        <f>HYPERLINK("https://klasma.github.io/Logging_0883/knärot/A 13275-2023 karta knärot.png", "A 13275-2023")</f>
        <v/>
      </c>
      <c r="V1007">
        <f>HYPERLINK("https://klasma.github.io/Logging_0883/klagomål/A 13275-2023 FSC-klagomål.docx", "A 13275-2023")</f>
        <v/>
      </c>
      <c r="W1007">
        <f>HYPERLINK("https://klasma.github.io/Logging_0883/klagomålsmail/A 13275-2023 FSC-klagomål mail.docx", "A 13275-2023")</f>
        <v/>
      </c>
      <c r="X1007">
        <f>HYPERLINK("https://klasma.github.io/Logging_0883/tillsyn/A 13275-2023 tillsynsbegäran.docx", "A 13275-2023")</f>
        <v/>
      </c>
      <c r="Y1007">
        <f>HYPERLINK("https://klasma.github.io/Logging_0883/tillsynsmail/A 13275-2023 tillsynsbegäran mail.docx", "A 13275-2023")</f>
        <v/>
      </c>
    </row>
    <row r="1008" ht="15" customHeight="1">
      <c r="A1008" t="inlineStr">
        <is>
          <t>A 17200-2021</t>
        </is>
      </c>
      <c r="B1008" s="1" t="n">
        <v>44298.47847222222</v>
      </c>
      <c r="C1008" s="1" t="n">
        <v>45901</v>
      </c>
      <c r="D1008" t="inlineStr">
        <is>
          <t>KALMAR LÄN</t>
        </is>
      </c>
      <c r="E1008" t="inlineStr">
        <is>
          <t>VÄSTERVIK</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9042-2023</t>
        </is>
      </c>
      <c r="B1009" s="1" t="n">
        <v>44979</v>
      </c>
      <c r="C1009" s="1" t="n">
        <v>45901</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782-2024</t>
        </is>
      </c>
      <c r="B1010" s="1" t="n">
        <v>45300.55188657407</v>
      </c>
      <c r="C1010" s="1" t="n">
        <v>45901</v>
      </c>
      <c r="D1010" t="inlineStr">
        <is>
          <t>KALMAR LÄN</t>
        </is>
      </c>
      <c r="E1010" t="inlineStr">
        <is>
          <t>VÄSTERVIK</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69753-2021</t>
        </is>
      </c>
      <c r="B1011" s="1" t="n">
        <v>44532.56175925926</v>
      </c>
      <c r="C1011" s="1" t="n">
        <v>45901</v>
      </c>
      <c r="D1011" t="inlineStr">
        <is>
          <t>KALMAR LÄN</t>
        </is>
      </c>
      <c r="E1011" t="inlineStr">
        <is>
          <t>VÄSTERVIK</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808-2023</t>
        </is>
      </c>
      <c r="B1012" s="1" t="n">
        <v>44931</v>
      </c>
      <c r="C1012" s="1" t="n">
        <v>45901</v>
      </c>
      <c r="D1012" t="inlineStr">
        <is>
          <t>KALMAR LÄN</t>
        </is>
      </c>
      <c r="E1012" t="inlineStr">
        <is>
          <t>VÄSTERVIK</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8593-2023</t>
        </is>
      </c>
      <c r="B1013" s="1" t="n">
        <v>44977</v>
      </c>
      <c r="C1013" s="1" t="n">
        <v>45901</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33204-2022</t>
        </is>
      </c>
      <c r="B1014" s="1" t="n">
        <v>44785</v>
      </c>
      <c r="C1014" s="1" t="n">
        <v>45901</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39983-2024</t>
        </is>
      </c>
      <c r="B1015" s="1" t="n">
        <v>45553.61674768518</v>
      </c>
      <c r="C1015" s="1" t="n">
        <v>45901</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11167-2024</t>
        </is>
      </c>
      <c r="B1016" s="1" t="n">
        <v>45371.4966087963</v>
      </c>
      <c r="C1016" s="1" t="n">
        <v>45901</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55828-2022</t>
        </is>
      </c>
      <c r="B1017" s="1" t="n">
        <v>44888</v>
      </c>
      <c r="C1017" s="1" t="n">
        <v>45901</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53077-2024</t>
        </is>
      </c>
      <c r="B1018" s="1" t="n">
        <v>45611.49178240741</v>
      </c>
      <c r="C1018" s="1" t="n">
        <v>45901</v>
      </c>
      <c r="D1018" t="inlineStr">
        <is>
          <t>KALMAR LÄN</t>
        </is>
      </c>
      <c r="E1018" t="inlineStr">
        <is>
          <t>VÄSTERVIK</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28222-2024</t>
        </is>
      </c>
      <c r="B1019" s="1" t="n">
        <v>45477.36993055556</v>
      </c>
      <c r="C1019" s="1" t="n">
        <v>45901</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29952-2022</t>
        </is>
      </c>
      <c r="B1020" s="1" t="n">
        <v>44756.62649305556</v>
      </c>
      <c r="C1020" s="1" t="n">
        <v>45901</v>
      </c>
      <c r="D1020" t="inlineStr">
        <is>
          <t>KALMAR LÄN</t>
        </is>
      </c>
      <c r="E1020" t="inlineStr">
        <is>
          <t>VÄSTERVIK</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63361-2023</t>
        </is>
      </c>
      <c r="B1021" s="1" t="n">
        <v>45274.46324074074</v>
      </c>
      <c r="C1021" s="1" t="n">
        <v>45901</v>
      </c>
      <c r="D1021" t="inlineStr">
        <is>
          <t>KALMAR LÄN</t>
        </is>
      </c>
      <c r="E1021" t="inlineStr">
        <is>
          <t>VÄSTERVIK</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9267-2025</t>
        </is>
      </c>
      <c r="B1022" s="1" t="n">
        <v>45714.61418981481</v>
      </c>
      <c r="C1022" s="1" t="n">
        <v>45901</v>
      </c>
      <c r="D1022" t="inlineStr">
        <is>
          <t>KALMAR LÄN</t>
        </is>
      </c>
      <c r="E1022" t="inlineStr">
        <is>
          <t>VÄSTERVIK</t>
        </is>
      </c>
      <c r="F1022" t="inlineStr">
        <is>
          <t>Sveaskog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18880-2025</t>
        </is>
      </c>
      <c r="B1023" s="1" t="n">
        <v>45764.43959490741</v>
      </c>
      <c r="C1023" s="1" t="n">
        <v>45901</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5691-2025</t>
        </is>
      </c>
      <c r="B1024" s="1" t="n">
        <v>45694.37447916667</v>
      </c>
      <c r="C1024" s="1" t="n">
        <v>45901</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17652-2023</t>
        </is>
      </c>
      <c r="B1025" s="1" t="n">
        <v>45036.70626157407</v>
      </c>
      <c r="C1025" s="1" t="n">
        <v>45901</v>
      </c>
      <c r="D1025" t="inlineStr">
        <is>
          <t>KALMAR LÄN</t>
        </is>
      </c>
      <c r="E1025" t="inlineStr">
        <is>
          <t>VÄSTERVIK</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49706-2024</t>
        </is>
      </c>
      <c r="B1026" s="1" t="n">
        <v>45596.69706018519</v>
      </c>
      <c r="C1026" s="1" t="n">
        <v>45901</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5060-2025</t>
        </is>
      </c>
      <c r="B1027" s="1" t="n">
        <v>45691.47354166667</v>
      </c>
      <c r="C1027" s="1" t="n">
        <v>45901</v>
      </c>
      <c r="D1027" t="inlineStr">
        <is>
          <t>KALMAR LÄN</t>
        </is>
      </c>
      <c r="E1027" t="inlineStr">
        <is>
          <t>VÄSTERVIK</t>
        </is>
      </c>
      <c r="F1027" t="inlineStr">
        <is>
          <t>Holmen skog AB</t>
        </is>
      </c>
      <c r="G1027" t="n">
        <v>2.9</v>
      </c>
      <c r="H1027" t="n">
        <v>0</v>
      </c>
      <c r="I1027" t="n">
        <v>0</v>
      </c>
      <c r="J1027" t="n">
        <v>0</v>
      </c>
      <c r="K1027" t="n">
        <v>0</v>
      </c>
      <c r="L1027" t="n">
        <v>0</v>
      </c>
      <c r="M1027" t="n">
        <v>0</v>
      </c>
      <c r="N1027" t="n">
        <v>0</v>
      </c>
      <c r="O1027" t="n">
        <v>0</v>
      </c>
      <c r="P1027" t="n">
        <v>0</v>
      </c>
      <c r="Q1027" t="n">
        <v>0</v>
      </c>
      <c r="R1027" s="2" t="inlineStr"/>
    </row>
    <row r="1028">
      <c r="A1028" t="inlineStr">
        <is>
          <t>A 57019-2023</t>
        </is>
      </c>
      <c r="B1028" s="1" t="n">
        <v>45244</v>
      </c>
      <c r="C1028" s="1" t="n">
        <v>45901</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2025-09-01T08:35:12Z</dcterms:created>
  <dcterms:modified xmlns:dcterms="http://purl.org/dc/terms/" xmlns:xsi="http://www.w3.org/2001/XMLSchema-instance" xsi:type="dcterms:W3CDTF">2025-09-01T08:35:13Z</dcterms:modified>
</cp:coreProperties>
</file>