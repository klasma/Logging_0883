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45843</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45843</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45843</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45843</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45843</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45843</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45843</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45843</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45843</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45843</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45843</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45843</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45843</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45843</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45843</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45843</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45843</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45843</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45843</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45843</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45843</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45843</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45843</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45843</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45843</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45843</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45843</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45843</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45843</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45843</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45843</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45843</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45843</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45843</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45843</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45843</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45843</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45843</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45843</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45843</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45843</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45843</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45843</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45843</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45843</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45843</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45843</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45843</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45843</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45843</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45843</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45843</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45843</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45843</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45843</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45843</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45843</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45843</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45843</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45843</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45843</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45843</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45843</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45843</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45843</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45843</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45843</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45843</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45843</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45843</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45843</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45843</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45843</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45843</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45843</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45843</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45843</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45843</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45843</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45843</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45843</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45843</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45843</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45843</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45843</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45843</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45843</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45843</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45843</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45843</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45843</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45843</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45843</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45843</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45843</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45843</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45843</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45843</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45843</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45843</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45843</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45843</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45843</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45843</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45843</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45843</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45843</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45843</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45843</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45843</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45843</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45843</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45843</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45843</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45843</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45843</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45843</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45843</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45843</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45843</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45843</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45843</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45843</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45843</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45843</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45843</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45843</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45843</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45843</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45843</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45843</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45843</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45843</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45843</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45843</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45843</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45843</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45843</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45843</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45843</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45843</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45843</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45843</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45843</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45843</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45843</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45843</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45843</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45843</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45843</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45843</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45843</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45843</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45843</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45843</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62128-2019</t>
        </is>
      </c>
      <c r="B163" s="1" t="n">
        <v>43782</v>
      </c>
      <c r="C163" s="1" t="n">
        <v>45843</v>
      </c>
      <c r="D163" t="inlineStr">
        <is>
          <t>KALMAR LÄN</t>
        </is>
      </c>
      <c r="E163" t="inlineStr">
        <is>
          <t>VÄSTERVIK</t>
        </is>
      </c>
      <c r="G163" t="n">
        <v>7.5</v>
      </c>
      <c r="H163" t="n">
        <v>0</v>
      </c>
      <c r="I163" t="n">
        <v>1</v>
      </c>
      <c r="J163" t="n">
        <v>1</v>
      </c>
      <c r="K163" t="n">
        <v>0</v>
      </c>
      <c r="L163" t="n">
        <v>0</v>
      </c>
      <c r="M163" t="n">
        <v>0</v>
      </c>
      <c r="N163" t="n">
        <v>0</v>
      </c>
      <c r="O163" t="n">
        <v>1</v>
      </c>
      <c r="P163" t="n">
        <v>0</v>
      </c>
      <c r="Q163" t="n">
        <v>2</v>
      </c>
      <c r="R163" s="2" t="inlineStr">
        <is>
          <t>Ullticka
Kattfotslav</t>
        </is>
      </c>
      <c r="S163">
        <f>HYPERLINK("https://klasma.github.io/Logging_0883/artfynd/A 62128-2019 artfynd.xlsx", "A 62128-2019")</f>
        <v/>
      </c>
      <c r="T163">
        <f>HYPERLINK("https://klasma.github.io/Logging_0883/kartor/A 62128-2019 karta.png", "A 62128-2019")</f>
        <v/>
      </c>
      <c r="V163">
        <f>HYPERLINK("https://klasma.github.io/Logging_0883/klagomål/A 62128-2019 FSC-klagomål.docx", "A 62128-2019")</f>
        <v/>
      </c>
      <c r="W163">
        <f>HYPERLINK("https://klasma.github.io/Logging_0883/klagomålsmail/A 62128-2019 FSC-klagomål mail.docx", "A 62128-2019")</f>
        <v/>
      </c>
      <c r="X163">
        <f>HYPERLINK("https://klasma.github.io/Logging_0883/tillsyn/A 62128-2019 tillsynsbegäran.docx", "A 62128-2019")</f>
        <v/>
      </c>
      <c r="Y163">
        <f>HYPERLINK("https://klasma.github.io/Logging_0883/tillsynsmail/A 62128-2019 tillsynsbegäran mail.docx", "A 62128-2019")</f>
        <v/>
      </c>
    </row>
    <row r="164" ht="15" customHeight="1">
      <c r="A164" t="inlineStr">
        <is>
          <t>A 56180-2020</t>
        </is>
      </c>
      <c r="B164" s="1" t="n">
        <v>44133</v>
      </c>
      <c r="C164" s="1" t="n">
        <v>45843</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1955-2021</t>
        </is>
      </c>
      <c r="B165" s="1" t="n">
        <v>44210</v>
      </c>
      <c r="C165" s="1" t="n">
        <v>45843</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21665-2021</t>
        </is>
      </c>
      <c r="B166" s="1" t="n">
        <v>44322</v>
      </c>
      <c r="C166" s="1" t="n">
        <v>45843</v>
      </c>
      <c r="D166" t="inlineStr">
        <is>
          <t>KALMAR LÄN</t>
        </is>
      </c>
      <c r="E166" t="inlineStr">
        <is>
          <t>VÄSTERVIK</t>
        </is>
      </c>
      <c r="G166" t="n">
        <v>18.9</v>
      </c>
      <c r="H166" t="n">
        <v>0</v>
      </c>
      <c r="I166" t="n">
        <v>0</v>
      </c>
      <c r="J166" t="n">
        <v>2</v>
      </c>
      <c r="K166" t="n">
        <v>0</v>
      </c>
      <c r="L166" t="n">
        <v>0</v>
      </c>
      <c r="M166" t="n">
        <v>0</v>
      </c>
      <c r="N166" t="n">
        <v>0</v>
      </c>
      <c r="O166" t="n">
        <v>2</v>
      </c>
      <c r="P166" t="n">
        <v>0</v>
      </c>
      <c r="Q166" t="n">
        <v>2</v>
      </c>
      <c r="R166" s="2" t="inlineStr">
        <is>
          <t>Klubbsprötad bastardsvärmare
Smalsprötad bastardsvärmare</t>
        </is>
      </c>
      <c r="S166">
        <f>HYPERLINK("https://klasma.github.io/Logging_0883/artfynd/A 21665-2021 artfynd.xlsx", "A 21665-2021")</f>
        <v/>
      </c>
      <c r="T166">
        <f>HYPERLINK("https://klasma.github.io/Logging_0883/kartor/A 21665-2021 karta.png", "A 21665-2021")</f>
        <v/>
      </c>
      <c r="V166">
        <f>HYPERLINK("https://klasma.github.io/Logging_0883/klagomål/A 21665-2021 FSC-klagomål.docx", "A 21665-2021")</f>
        <v/>
      </c>
      <c r="W166">
        <f>HYPERLINK("https://klasma.github.io/Logging_0883/klagomålsmail/A 21665-2021 FSC-klagomål mail.docx", "A 21665-2021")</f>
        <v/>
      </c>
      <c r="X166">
        <f>HYPERLINK("https://klasma.github.io/Logging_0883/tillsyn/A 21665-2021 tillsynsbegäran.docx", "A 21665-2021")</f>
        <v/>
      </c>
      <c r="Y166">
        <f>HYPERLINK("https://klasma.github.io/Logging_0883/tillsynsmail/A 21665-2021 tillsynsbegäran mail.docx", "A 21665-2021")</f>
        <v/>
      </c>
    </row>
    <row r="167" ht="15" customHeight="1">
      <c r="A167" t="inlineStr">
        <is>
          <t>A 25439-2021</t>
        </is>
      </c>
      <c r="B167" s="1" t="n">
        <v>44342</v>
      </c>
      <c r="C167" s="1" t="n">
        <v>45843</v>
      </c>
      <c r="D167" t="inlineStr">
        <is>
          <t>KALMAR LÄN</t>
        </is>
      </c>
      <c r="E167" t="inlineStr">
        <is>
          <t>VÄSTERVIK</t>
        </is>
      </c>
      <c r="F167" t="inlineStr">
        <is>
          <t>Holmen skog AB</t>
        </is>
      </c>
      <c r="G167" t="n">
        <v>2.4</v>
      </c>
      <c r="H167" t="n">
        <v>2</v>
      </c>
      <c r="I167" t="n">
        <v>1</v>
      </c>
      <c r="J167" t="n">
        <v>0</v>
      </c>
      <c r="K167" t="n">
        <v>0</v>
      </c>
      <c r="L167" t="n">
        <v>0</v>
      </c>
      <c r="M167" t="n">
        <v>0</v>
      </c>
      <c r="N167" t="n">
        <v>0</v>
      </c>
      <c r="O167" t="n">
        <v>0</v>
      </c>
      <c r="P167" t="n">
        <v>0</v>
      </c>
      <c r="Q167" t="n">
        <v>2</v>
      </c>
      <c r="R167" s="2" t="inlineStr">
        <is>
          <t>Grön sköldmossa
Röd glada</t>
        </is>
      </c>
      <c r="S167">
        <f>HYPERLINK("https://klasma.github.io/Logging_0883/artfynd/A 25439-2021 artfynd.xlsx", "A 25439-2021")</f>
        <v/>
      </c>
      <c r="T167">
        <f>HYPERLINK("https://klasma.github.io/Logging_0883/kartor/A 25439-2021 karta.png", "A 25439-2021")</f>
        <v/>
      </c>
      <c r="V167">
        <f>HYPERLINK("https://klasma.github.io/Logging_0883/klagomål/A 25439-2021 FSC-klagomål.docx", "A 25439-2021")</f>
        <v/>
      </c>
      <c r="W167">
        <f>HYPERLINK("https://klasma.github.io/Logging_0883/klagomålsmail/A 25439-2021 FSC-klagomål mail.docx", "A 25439-2021")</f>
        <v/>
      </c>
      <c r="X167">
        <f>HYPERLINK("https://klasma.github.io/Logging_0883/tillsyn/A 25439-2021 tillsynsbegäran.docx", "A 25439-2021")</f>
        <v/>
      </c>
      <c r="Y167">
        <f>HYPERLINK("https://klasma.github.io/Logging_0883/tillsynsmail/A 25439-2021 tillsynsbegäran mail.docx", "A 25439-2021")</f>
        <v/>
      </c>
      <c r="Z167">
        <f>HYPERLINK("https://klasma.github.io/Logging_0883/fåglar/A 25439-2021 prioriterade fågelarter.docx", "A 25439-2021")</f>
        <v/>
      </c>
    </row>
    <row r="168" ht="15" customHeight="1">
      <c r="A168" t="inlineStr">
        <is>
          <t>A 44667-2021</t>
        </is>
      </c>
      <c r="B168" s="1" t="n">
        <v>44438</v>
      </c>
      <c r="C168" s="1" t="n">
        <v>45843</v>
      </c>
      <c r="D168" t="inlineStr">
        <is>
          <t>KALMAR LÄN</t>
        </is>
      </c>
      <c r="E168" t="inlineStr">
        <is>
          <t>VÄSTERVIK</t>
        </is>
      </c>
      <c r="G168" t="n">
        <v>1.7</v>
      </c>
      <c r="H168" t="n">
        <v>1</v>
      </c>
      <c r="I168" t="n">
        <v>1</v>
      </c>
      <c r="J168" t="n">
        <v>1</v>
      </c>
      <c r="K168" t="n">
        <v>0</v>
      </c>
      <c r="L168" t="n">
        <v>0</v>
      </c>
      <c r="M168" t="n">
        <v>0</v>
      </c>
      <c r="N168" t="n">
        <v>0</v>
      </c>
      <c r="O168" t="n">
        <v>1</v>
      </c>
      <c r="P168" t="n">
        <v>0</v>
      </c>
      <c r="Q168" t="n">
        <v>2</v>
      </c>
      <c r="R168" s="2" t="inlineStr">
        <is>
          <t>Järpe
Fjällig taggsvamp s.str.</t>
        </is>
      </c>
      <c r="S168">
        <f>HYPERLINK("https://klasma.github.io/Logging_0883/artfynd/A 44667-2021 artfynd.xlsx", "A 44667-2021")</f>
        <v/>
      </c>
      <c r="T168">
        <f>HYPERLINK("https://klasma.github.io/Logging_0883/kartor/A 44667-2021 karta.png", "A 44667-2021")</f>
        <v/>
      </c>
      <c r="V168">
        <f>HYPERLINK("https://klasma.github.io/Logging_0883/klagomål/A 44667-2021 FSC-klagomål.docx", "A 44667-2021")</f>
        <v/>
      </c>
      <c r="W168">
        <f>HYPERLINK("https://klasma.github.io/Logging_0883/klagomålsmail/A 44667-2021 FSC-klagomål mail.docx", "A 44667-2021")</f>
        <v/>
      </c>
      <c r="X168">
        <f>HYPERLINK("https://klasma.github.io/Logging_0883/tillsyn/A 44667-2021 tillsynsbegäran.docx", "A 44667-2021")</f>
        <v/>
      </c>
      <c r="Y168">
        <f>HYPERLINK("https://klasma.github.io/Logging_0883/tillsynsmail/A 44667-2021 tillsynsbegäran mail.docx", "A 44667-2021")</f>
        <v/>
      </c>
      <c r="Z168">
        <f>HYPERLINK("https://klasma.github.io/Logging_0883/fåglar/A 44667-2021 prioriterade fågelarter.docx", "A 44667-2021")</f>
        <v/>
      </c>
    </row>
    <row r="169" ht="15" customHeight="1">
      <c r="A169" t="inlineStr">
        <is>
          <t>A 51833-2021</t>
        </is>
      </c>
      <c r="B169" s="1" t="n">
        <v>44462</v>
      </c>
      <c r="C169" s="1" t="n">
        <v>45843</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53769-2021</t>
        </is>
      </c>
      <c r="B170" s="1" t="n">
        <v>44467</v>
      </c>
      <c r="C170" s="1" t="n">
        <v>45843</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56616-2021</t>
        </is>
      </c>
      <c r="B171" s="1" t="n">
        <v>44480</v>
      </c>
      <c r="C171" s="1" t="n">
        <v>45843</v>
      </c>
      <c r="D171" t="inlineStr">
        <is>
          <t>KALMAR LÄN</t>
        </is>
      </c>
      <c r="E171" t="inlineStr">
        <is>
          <t>VÄSTERVIK</t>
        </is>
      </c>
      <c r="G171" t="n">
        <v>0.7</v>
      </c>
      <c r="H171" t="n">
        <v>0</v>
      </c>
      <c r="I171" t="n">
        <v>0</v>
      </c>
      <c r="J171" t="n">
        <v>2</v>
      </c>
      <c r="K171" t="n">
        <v>0</v>
      </c>
      <c r="L171" t="n">
        <v>0</v>
      </c>
      <c r="M171" t="n">
        <v>0</v>
      </c>
      <c r="N171" t="n">
        <v>0</v>
      </c>
      <c r="O171" t="n">
        <v>2</v>
      </c>
      <c r="P171" t="n">
        <v>0</v>
      </c>
      <c r="Q171" t="n">
        <v>2</v>
      </c>
      <c r="R171" s="2" t="inlineStr">
        <is>
          <t>Gullklöver
Vippärt</t>
        </is>
      </c>
      <c r="S171">
        <f>HYPERLINK("https://klasma.github.io/Logging_0883/artfynd/A 56616-2021 artfynd.xlsx", "A 56616-2021")</f>
        <v/>
      </c>
      <c r="T171">
        <f>HYPERLINK("https://klasma.github.io/Logging_0883/kartor/A 56616-2021 karta.png", "A 56616-2021")</f>
        <v/>
      </c>
      <c r="V171">
        <f>HYPERLINK("https://klasma.github.io/Logging_0883/klagomål/A 56616-2021 FSC-klagomål.docx", "A 56616-2021")</f>
        <v/>
      </c>
      <c r="W171">
        <f>HYPERLINK("https://klasma.github.io/Logging_0883/klagomålsmail/A 56616-2021 FSC-klagomål mail.docx", "A 56616-2021")</f>
        <v/>
      </c>
      <c r="X171">
        <f>HYPERLINK("https://klasma.github.io/Logging_0883/tillsyn/A 56616-2021 tillsynsbegäran.docx", "A 56616-2021")</f>
        <v/>
      </c>
      <c r="Y171">
        <f>HYPERLINK("https://klasma.github.io/Logging_0883/tillsynsmail/A 56616-2021 tillsynsbegäran mail.docx", "A 56616-2021")</f>
        <v/>
      </c>
    </row>
    <row r="172" ht="15" customHeight="1">
      <c r="A172" t="inlineStr">
        <is>
          <t>A 59940-2021</t>
        </is>
      </c>
      <c r="B172" s="1" t="n">
        <v>44494</v>
      </c>
      <c r="C172" s="1" t="n">
        <v>45843</v>
      </c>
      <c r="D172" t="inlineStr">
        <is>
          <t>KALMAR LÄN</t>
        </is>
      </c>
      <c r="E172" t="inlineStr">
        <is>
          <t>VÄSTERVIK</t>
        </is>
      </c>
      <c r="G172" t="n">
        <v>4.3</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59940-2021 artfynd.xlsx", "A 59940-2021")</f>
        <v/>
      </c>
      <c r="T172">
        <f>HYPERLINK("https://klasma.github.io/Logging_0883/kartor/A 59940-2021 karta.png", "A 59940-2021")</f>
        <v/>
      </c>
      <c r="U172">
        <f>HYPERLINK("https://klasma.github.io/Logging_0883/knärot/A 59940-2021 karta knärot.png", "A 59940-2021")</f>
        <v/>
      </c>
      <c r="V172">
        <f>HYPERLINK("https://klasma.github.io/Logging_0883/klagomål/A 59940-2021 FSC-klagomål.docx", "A 59940-2021")</f>
        <v/>
      </c>
      <c r="W172">
        <f>HYPERLINK("https://klasma.github.io/Logging_0883/klagomålsmail/A 59940-2021 FSC-klagomål mail.docx", "A 59940-2021")</f>
        <v/>
      </c>
      <c r="X172">
        <f>HYPERLINK("https://klasma.github.io/Logging_0883/tillsyn/A 59940-2021 tillsynsbegäran.docx", "A 59940-2021")</f>
        <v/>
      </c>
      <c r="Y172">
        <f>HYPERLINK("https://klasma.github.io/Logging_0883/tillsynsmail/A 59940-2021 tillsynsbegäran mail.docx", "A 59940-2021")</f>
        <v/>
      </c>
    </row>
    <row r="173" ht="15" customHeight="1">
      <c r="A173" t="inlineStr">
        <is>
          <t>A 72945-2021</t>
        </is>
      </c>
      <c r="B173" s="1" t="n">
        <v>44547</v>
      </c>
      <c r="C173" s="1" t="n">
        <v>45843</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14927-2022</t>
        </is>
      </c>
      <c r="B174" s="1" t="n">
        <v>44657</v>
      </c>
      <c r="C174" s="1" t="n">
        <v>45843</v>
      </c>
      <c r="D174" t="inlineStr">
        <is>
          <t>KALMAR LÄN</t>
        </is>
      </c>
      <c r="E174" t="inlineStr">
        <is>
          <t>VÄSTERVIK</t>
        </is>
      </c>
      <c r="F174" t="inlineStr">
        <is>
          <t>Holmen skog AB</t>
        </is>
      </c>
      <c r="G174" t="n">
        <v>1.1</v>
      </c>
      <c r="H174" t="n">
        <v>2</v>
      </c>
      <c r="I174" t="n">
        <v>1</v>
      </c>
      <c r="J174" t="n">
        <v>0</v>
      </c>
      <c r="K174" t="n">
        <v>0</v>
      </c>
      <c r="L174" t="n">
        <v>0</v>
      </c>
      <c r="M174" t="n">
        <v>0</v>
      </c>
      <c r="N174" t="n">
        <v>0</v>
      </c>
      <c r="O174" t="n">
        <v>0</v>
      </c>
      <c r="P174" t="n">
        <v>0</v>
      </c>
      <c r="Q174" t="n">
        <v>2</v>
      </c>
      <c r="R174" s="2" t="inlineStr">
        <is>
          <t>Ekoxe
Revlummer</t>
        </is>
      </c>
      <c r="S174">
        <f>HYPERLINK("https://klasma.github.io/Logging_0883/artfynd/A 14927-2022 artfynd.xlsx", "A 14927-2022")</f>
        <v/>
      </c>
      <c r="T174">
        <f>HYPERLINK("https://klasma.github.io/Logging_0883/kartor/A 14927-2022 karta.png", "A 14927-2022")</f>
        <v/>
      </c>
      <c r="V174">
        <f>HYPERLINK("https://klasma.github.io/Logging_0883/klagomål/A 14927-2022 FSC-klagomål.docx", "A 14927-2022")</f>
        <v/>
      </c>
      <c r="W174">
        <f>HYPERLINK("https://klasma.github.io/Logging_0883/klagomålsmail/A 14927-2022 FSC-klagomål mail.docx", "A 14927-2022")</f>
        <v/>
      </c>
      <c r="X174">
        <f>HYPERLINK("https://klasma.github.io/Logging_0883/tillsyn/A 14927-2022 tillsynsbegäran.docx", "A 14927-2022")</f>
        <v/>
      </c>
      <c r="Y174">
        <f>HYPERLINK("https://klasma.github.io/Logging_0883/tillsynsmail/A 14927-2022 tillsynsbegäran mail.docx", "A 14927-2022")</f>
        <v/>
      </c>
    </row>
    <row r="175" ht="15" customHeight="1">
      <c r="A175" t="inlineStr">
        <is>
          <t>A 21024-2022</t>
        </is>
      </c>
      <c r="B175" s="1" t="n">
        <v>44704</v>
      </c>
      <c r="C175" s="1" t="n">
        <v>45843</v>
      </c>
      <c r="D175" t="inlineStr">
        <is>
          <t>KALMAR LÄN</t>
        </is>
      </c>
      <c r="E175" t="inlineStr">
        <is>
          <t>VÄSTERVIK</t>
        </is>
      </c>
      <c r="F175" t="inlineStr">
        <is>
          <t>Sveaskog</t>
        </is>
      </c>
      <c r="G175" t="n">
        <v>4.4</v>
      </c>
      <c r="H175" t="n">
        <v>0</v>
      </c>
      <c r="I175" t="n">
        <v>2</v>
      </c>
      <c r="J175" t="n">
        <v>0</v>
      </c>
      <c r="K175" t="n">
        <v>0</v>
      </c>
      <c r="L175" t="n">
        <v>0</v>
      </c>
      <c r="M175" t="n">
        <v>0</v>
      </c>
      <c r="N175" t="n">
        <v>0</v>
      </c>
      <c r="O175" t="n">
        <v>0</v>
      </c>
      <c r="P175" t="n">
        <v>0</v>
      </c>
      <c r="Q175" t="n">
        <v>2</v>
      </c>
      <c r="R175" s="2" t="inlineStr">
        <is>
          <t>Skogsbräsma
Vätteros</t>
        </is>
      </c>
      <c r="S175">
        <f>HYPERLINK("https://klasma.github.io/Logging_0883/artfynd/A 21024-2022 artfynd.xlsx", "A 21024-2022")</f>
        <v/>
      </c>
      <c r="T175">
        <f>HYPERLINK("https://klasma.github.io/Logging_0883/kartor/A 21024-2022 karta.png", "A 21024-2022")</f>
        <v/>
      </c>
      <c r="V175">
        <f>HYPERLINK("https://klasma.github.io/Logging_0883/klagomål/A 21024-2022 FSC-klagomål.docx", "A 21024-2022")</f>
        <v/>
      </c>
      <c r="W175">
        <f>HYPERLINK("https://klasma.github.io/Logging_0883/klagomålsmail/A 21024-2022 FSC-klagomål mail.docx", "A 21024-2022")</f>
        <v/>
      </c>
      <c r="X175">
        <f>HYPERLINK("https://klasma.github.io/Logging_0883/tillsyn/A 21024-2022 tillsynsbegäran.docx", "A 21024-2022")</f>
        <v/>
      </c>
      <c r="Y175">
        <f>HYPERLINK("https://klasma.github.io/Logging_0883/tillsynsmail/A 21024-2022 tillsynsbegäran mail.docx", "A 21024-2022")</f>
        <v/>
      </c>
    </row>
    <row r="176" ht="15" customHeight="1">
      <c r="A176" t="inlineStr">
        <is>
          <t>A 25145-2022</t>
        </is>
      </c>
      <c r="B176" s="1" t="n">
        <v>44729</v>
      </c>
      <c r="C176" s="1" t="n">
        <v>45843</v>
      </c>
      <c r="D176" t="inlineStr">
        <is>
          <t>KALMAR LÄN</t>
        </is>
      </c>
      <c r="E176" t="inlineStr">
        <is>
          <t>VÄSTERVIK</t>
        </is>
      </c>
      <c r="G176" t="n">
        <v>1.3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25145-2022 artfynd.xlsx", "A 25145-2022")</f>
        <v/>
      </c>
      <c r="T176">
        <f>HYPERLINK("https://klasma.github.io/Logging_0883/kartor/A 25145-2022 karta.png", "A 25145-2022")</f>
        <v/>
      </c>
      <c r="U176">
        <f>HYPERLINK("https://klasma.github.io/Logging_0883/knärot/A 25145-2022 karta knärot.png", "A 25145-2022")</f>
        <v/>
      </c>
      <c r="V176">
        <f>HYPERLINK("https://klasma.github.io/Logging_0883/klagomål/A 25145-2022 FSC-klagomål.docx", "A 25145-2022")</f>
        <v/>
      </c>
      <c r="W176">
        <f>HYPERLINK("https://klasma.github.io/Logging_0883/klagomålsmail/A 25145-2022 FSC-klagomål mail.docx", "A 25145-2022")</f>
        <v/>
      </c>
      <c r="X176">
        <f>HYPERLINK("https://klasma.github.io/Logging_0883/tillsyn/A 25145-2022 tillsynsbegäran.docx", "A 25145-2022")</f>
        <v/>
      </c>
      <c r="Y176">
        <f>HYPERLINK("https://klasma.github.io/Logging_0883/tillsynsmail/A 25145-2022 tillsynsbegäran mail.docx", "A 25145-2022")</f>
        <v/>
      </c>
    </row>
    <row r="177" ht="15" customHeight="1">
      <c r="A177" t="inlineStr">
        <is>
          <t>A 38373-2022</t>
        </is>
      </c>
      <c r="B177" s="1" t="n">
        <v>44812</v>
      </c>
      <c r="C177" s="1" t="n">
        <v>45843</v>
      </c>
      <c r="D177" t="inlineStr">
        <is>
          <t>KALMAR LÄN</t>
        </is>
      </c>
      <c r="E177" t="inlineStr">
        <is>
          <t>VÄSTERVIK</t>
        </is>
      </c>
      <c r="G177" t="n">
        <v>3.1</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38373-2022 artfynd.xlsx", "A 38373-2022")</f>
        <v/>
      </c>
      <c r="T177">
        <f>HYPERLINK("https://klasma.github.io/Logging_0883/kartor/A 38373-2022 karta.png", "A 38373-2022")</f>
        <v/>
      </c>
      <c r="U177">
        <f>HYPERLINK("https://klasma.github.io/Logging_0883/knärot/A 38373-2022 karta knärot.png", "A 38373-2022")</f>
        <v/>
      </c>
      <c r="V177">
        <f>HYPERLINK("https://klasma.github.io/Logging_0883/klagomål/A 38373-2022 FSC-klagomål.docx", "A 38373-2022")</f>
        <v/>
      </c>
      <c r="W177">
        <f>HYPERLINK("https://klasma.github.io/Logging_0883/klagomålsmail/A 38373-2022 FSC-klagomål mail.docx", "A 38373-2022")</f>
        <v/>
      </c>
      <c r="X177">
        <f>HYPERLINK("https://klasma.github.io/Logging_0883/tillsyn/A 38373-2022 tillsynsbegäran.docx", "A 38373-2022")</f>
        <v/>
      </c>
      <c r="Y177">
        <f>HYPERLINK("https://klasma.github.io/Logging_0883/tillsynsmail/A 38373-2022 tillsynsbegäran mail.docx", "A 38373-2022")</f>
        <v/>
      </c>
    </row>
    <row r="178" ht="15" customHeight="1">
      <c r="A178" t="inlineStr">
        <is>
          <t>A 46552-2022</t>
        </is>
      </c>
      <c r="B178" s="1" t="n">
        <v>44848</v>
      </c>
      <c r="C178" s="1" t="n">
        <v>45843</v>
      </c>
      <c r="D178" t="inlineStr">
        <is>
          <t>KALMAR LÄN</t>
        </is>
      </c>
      <c r="E178" t="inlineStr">
        <is>
          <t>VÄSTERVIK</t>
        </is>
      </c>
      <c r="F178" t="inlineStr">
        <is>
          <t>Sveaskog</t>
        </is>
      </c>
      <c r="G178" t="n">
        <v>1.7</v>
      </c>
      <c r="H178" t="n">
        <v>0</v>
      </c>
      <c r="I178" t="n">
        <v>1</v>
      </c>
      <c r="J178" t="n">
        <v>1</v>
      </c>
      <c r="K178" t="n">
        <v>0</v>
      </c>
      <c r="L178" t="n">
        <v>0</v>
      </c>
      <c r="M178" t="n">
        <v>0</v>
      </c>
      <c r="N178" t="n">
        <v>0</v>
      </c>
      <c r="O178" t="n">
        <v>1</v>
      </c>
      <c r="P178" t="n">
        <v>0</v>
      </c>
      <c r="Q178" t="n">
        <v>2</v>
      </c>
      <c r="R178" s="2" t="inlineStr">
        <is>
          <t>Motaggsvamp
Sårläka</t>
        </is>
      </c>
      <c r="S178">
        <f>HYPERLINK("https://klasma.github.io/Logging_0883/artfynd/A 46552-2022 artfynd.xlsx", "A 46552-2022")</f>
        <v/>
      </c>
      <c r="T178">
        <f>HYPERLINK("https://klasma.github.io/Logging_0883/kartor/A 46552-2022 karta.png", "A 46552-2022")</f>
        <v/>
      </c>
      <c r="V178">
        <f>HYPERLINK("https://klasma.github.io/Logging_0883/klagomål/A 46552-2022 FSC-klagomål.docx", "A 46552-2022")</f>
        <v/>
      </c>
      <c r="W178">
        <f>HYPERLINK("https://klasma.github.io/Logging_0883/klagomålsmail/A 46552-2022 FSC-klagomål mail.docx", "A 46552-2022")</f>
        <v/>
      </c>
      <c r="X178">
        <f>HYPERLINK("https://klasma.github.io/Logging_0883/tillsyn/A 46552-2022 tillsynsbegäran.docx", "A 46552-2022")</f>
        <v/>
      </c>
      <c r="Y178">
        <f>HYPERLINK("https://klasma.github.io/Logging_0883/tillsynsmail/A 46552-2022 tillsynsbegäran mail.docx", "A 46552-2022")</f>
        <v/>
      </c>
    </row>
    <row r="179" ht="15" customHeight="1">
      <c r="A179" t="inlineStr">
        <is>
          <t>A 46787-2022</t>
        </is>
      </c>
      <c r="B179" s="1" t="n">
        <v>44851</v>
      </c>
      <c r="C179" s="1" t="n">
        <v>45843</v>
      </c>
      <c r="D179" t="inlineStr">
        <is>
          <t>KALMAR LÄN</t>
        </is>
      </c>
      <c r="E179" t="inlineStr">
        <is>
          <t>VÄSTERVIK</t>
        </is>
      </c>
      <c r="G179" t="n">
        <v>4.4</v>
      </c>
      <c r="H179" t="n">
        <v>0</v>
      </c>
      <c r="I179" t="n">
        <v>0</v>
      </c>
      <c r="J179" t="n">
        <v>2</v>
      </c>
      <c r="K179" t="n">
        <v>0</v>
      </c>
      <c r="L179" t="n">
        <v>0</v>
      </c>
      <c r="M179" t="n">
        <v>0</v>
      </c>
      <c r="N179" t="n">
        <v>0</v>
      </c>
      <c r="O179" t="n">
        <v>2</v>
      </c>
      <c r="P179" t="n">
        <v>0</v>
      </c>
      <c r="Q179" t="n">
        <v>2</v>
      </c>
      <c r="R179" s="2" t="inlineStr">
        <is>
          <t>Motaggsvamp
Tallticka</t>
        </is>
      </c>
      <c r="S179">
        <f>HYPERLINK("https://klasma.github.io/Logging_0883/artfynd/A 46787-2022 artfynd.xlsx", "A 46787-2022")</f>
        <v/>
      </c>
      <c r="T179">
        <f>HYPERLINK("https://klasma.github.io/Logging_0883/kartor/A 46787-2022 karta.png", "A 46787-2022")</f>
        <v/>
      </c>
      <c r="V179">
        <f>HYPERLINK("https://klasma.github.io/Logging_0883/klagomål/A 46787-2022 FSC-klagomål.docx", "A 46787-2022")</f>
        <v/>
      </c>
      <c r="W179">
        <f>HYPERLINK("https://klasma.github.io/Logging_0883/klagomålsmail/A 46787-2022 FSC-klagomål mail.docx", "A 46787-2022")</f>
        <v/>
      </c>
      <c r="X179">
        <f>HYPERLINK("https://klasma.github.io/Logging_0883/tillsyn/A 46787-2022 tillsynsbegäran.docx", "A 46787-2022")</f>
        <v/>
      </c>
      <c r="Y179">
        <f>HYPERLINK("https://klasma.github.io/Logging_0883/tillsynsmail/A 46787-2022 tillsynsbegäran mail.docx", "A 46787-2022")</f>
        <v/>
      </c>
    </row>
    <row r="180" ht="15" customHeight="1">
      <c r="A180" t="inlineStr">
        <is>
          <t>A 50989-2022</t>
        </is>
      </c>
      <c r="B180" s="1" t="n">
        <v>44867</v>
      </c>
      <c r="C180" s="1" t="n">
        <v>45843</v>
      </c>
      <c r="D180" t="inlineStr">
        <is>
          <t>KALMAR LÄN</t>
        </is>
      </c>
      <c r="E180" t="inlineStr">
        <is>
          <t>VÄSTERVIK</t>
        </is>
      </c>
      <c r="G180" t="n">
        <v>2</v>
      </c>
      <c r="H180" t="n">
        <v>0</v>
      </c>
      <c r="I180" t="n">
        <v>2</v>
      </c>
      <c r="J180" t="n">
        <v>0</v>
      </c>
      <c r="K180" t="n">
        <v>0</v>
      </c>
      <c r="L180" t="n">
        <v>0</v>
      </c>
      <c r="M180" t="n">
        <v>0</v>
      </c>
      <c r="N180" t="n">
        <v>0</v>
      </c>
      <c r="O180" t="n">
        <v>0</v>
      </c>
      <c r="P180" t="n">
        <v>0</v>
      </c>
      <c r="Q180" t="n">
        <v>2</v>
      </c>
      <c r="R180" s="2" t="inlineStr">
        <is>
          <t>Blomkålssvamp
Vätteros</t>
        </is>
      </c>
      <c r="S180">
        <f>HYPERLINK("https://klasma.github.io/Logging_0883/artfynd/A 50989-2022 artfynd.xlsx", "A 50989-2022")</f>
        <v/>
      </c>
      <c r="T180">
        <f>HYPERLINK("https://klasma.github.io/Logging_0883/kartor/A 50989-2022 karta.png", "A 50989-2022")</f>
        <v/>
      </c>
      <c r="V180">
        <f>HYPERLINK("https://klasma.github.io/Logging_0883/klagomål/A 50989-2022 FSC-klagomål.docx", "A 50989-2022")</f>
        <v/>
      </c>
      <c r="W180">
        <f>HYPERLINK("https://klasma.github.io/Logging_0883/klagomålsmail/A 50989-2022 FSC-klagomål mail.docx", "A 50989-2022")</f>
        <v/>
      </c>
      <c r="X180">
        <f>HYPERLINK("https://klasma.github.io/Logging_0883/tillsyn/A 50989-2022 tillsynsbegäran.docx", "A 50989-2022")</f>
        <v/>
      </c>
      <c r="Y180">
        <f>HYPERLINK("https://klasma.github.io/Logging_0883/tillsynsmail/A 50989-2022 tillsynsbegäran mail.docx", "A 50989-2022")</f>
        <v/>
      </c>
    </row>
    <row r="181" ht="15" customHeight="1">
      <c r="A181" t="inlineStr">
        <is>
          <t>A 59231-2022</t>
        </is>
      </c>
      <c r="B181" s="1" t="n">
        <v>44904</v>
      </c>
      <c r="C181" s="1" t="n">
        <v>45843</v>
      </c>
      <c r="D181" t="inlineStr">
        <is>
          <t>KALMAR LÄN</t>
        </is>
      </c>
      <c r="E181" t="inlineStr">
        <is>
          <t>VÄSTERVIK</t>
        </is>
      </c>
      <c r="G181" t="n">
        <v>1.8</v>
      </c>
      <c r="H181" t="n">
        <v>0</v>
      </c>
      <c r="I181" t="n">
        <v>1</v>
      </c>
      <c r="J181" t="n">
        <v>1</v>
      </c>
      <c r="K181" t="n">
        <v>0</v>
      </c>
      <c r="L181" t="n">
        <v>0</v>
      </c>
      <c r="M181" t="n">
        <v>0</v>
      </c>
      <c r="N181" t="n">
        <v>0</v>
      </c>
      <c r="O181" t="n">
        <v>1</v>
      </c>
      <c r="P181" t="n">
        <v>0</v>
      </c>
      <c r="Q181" t="n">
        <v>2</v>
      </c>
      <c r="R181" s="2" t="inlineStr">
        <is>
          <t>Tallticka
Grönpyrola</t>
        </is>
      </c>
      <c r="S181">
        <f>HYPERLINK("https://klasma.github.io/Logging_0883/artfynd/A 59231-2022 artfynd.xlsx", "A 59231-2022")</f>
        <v/>
      </c>
      <c r="T181">
        <f>HYPERLINK("https://klasma.github.io/Logging_0883/kartor/A 59231-2022 karta.png", "A 59231-2022")</f>
        <v/>
      </c>
      <c r="V181">
        <f>HYPERLINK("https://klasma.github.io/Logging_0883/klagomål/A 59231-2022 FSC-klagomål.docx", "A 59231-2022")</f>
        <v/>
      </c>
      <c r="W181">
        <f>HYPERLINK("https://klasma.github.io/Logging_0883/klagomålsmail/A 59231-2022 FSC-klagomål mail.docx", "A 59231-2022")</f>
        <v/>
      </c>
      <c r="X181">
        <f>HYPERLINK("https://klasma.github.io/Logging_0883/tillsyn/A 59231-2022 tillsynsbegäran.docx", "A 59231-2022")</f>
        <v/>
      </c>
      <c r="Y181">
        <f>HYPERLINK("https://klasma.github.io/Logging_0883/tillsynsmail/A 59231-2022 tillsynsbegäran mail.docx", "A 59231-2022")</f>
        <v/>
      </c>
    </row>
    <row r="182" ht="15" customHeight="1">
      <c r="A182" t="inlineStr">
        <is>
          <t>A 62003-2022</t>
        </is>
      </c>
      <c r="B182" s="1" t="n">
        <v>44918</v>
      </c>
      <c r="C182" s="1" t="n">
        <v>45843</v>
      </c>
      <c r="D182" t="inlineStr">
        <is>
          <t>KALMAR LÄN</t>
        </is>
      </c>
      <c r="E182" t="inlineStr">
        <is>
          <t>VÄSTERVIK</t>
        </is>
      </c>
      <c r="G182" t="n">
        <v>6.2</v>
      </c>
      <c r="H182" t="n">
        <v>1</v>
      </c>
      <c r="I182" t="n">
        <v>0</v>
      </c>
      <c r="J182" t="n">
        <v>1</v>
      </c>
      <c r="K182" t="n">
        <v>1</v>
      </c>
      <c r="L182" t="n">
        <v>0</v>
      </c>
      <c r="M182" t="n">
        <v>0</v>
      </c>
      <c r="N182" t="n">
        <v>0</v>
      </c>
      <c r="O182" t="n">
        <v>2</v>
      </c>
      <c r="P182" t="n">
        <v>1</v>
      </c>
      <c r="Q182" t="n">
        <v>2</v>
      </c>
      <c r="R182" s="2" t="inlineStr">
        <is>
          <t>Knärot
Linmåra/småsnärjmåra</t>
        </is>
      </c>
      <c r="S182">
        <f>HYPERLINK("https://klasma.github.io/Logging_0883/artfynd/A 62003-2022 artfynd.xlsx", "A 62003-2022")</f>
        <v/>
      </c>
      <c r="T182">
        <f>HYPERLINK("https://klasma.github.io/Logging_0883/kartor/A 62003-2022 karta.png", "A 62003-2022")</f>
        <v/>
      </c>
      <c r="U182">
        <f>HYPERLINK("https://klasma.github.io/Logging_0883/knärot/A 62003-2022 karta knärot.png", "A 62003-2022")</f>
        <v/>
      </c>
      <c r="V182">
        <f>HYPERLINK("https://klasma.github.io/Logging_0883/klagomål/A 62003-2022 FSC-klagomål.docx", "A 62003-2022")</f>
        <v/>
      </c>
      <c r="W182">
        <f>HYPERLINK("https://klasma.github.io/Logging_0883/klagomålsmail/A 62003-2022 FSC-klagomål mail.docx", "A 62003-2022")</f>
        <v/>
      </c>
      <c r="X182">
        <f>HYPERLINK("https://klasma.github.io/Logging_0883/tillsyn/A 62003-2022 tillsynsbegäran.docx", "A 62003-2022")</f>
        <v/>
      </c>
      <c r="Y182">
        <f>HYPERLINK("https://klasma.github.io/Logging_0883/tillsynsmail/A 62003-2022 tillsynsbegäran mail.docx", "A 62003-2022")</f>
        <v/>
      </c>
    </row>
    <row r="183" ht="15" customHeight="1">
      <c r="A183" t="inlineStr">
        <is>
          <t>A 765-2023</t>
        </is>
      </c>
      <c r="B183" s="1" t="n">
        <v>44931</v>
      </c>
      <c r="C183" s="1" t="n">
        <v>45843</v>
      </c>
      <c r="D183" t="inlineStr">
        <is>
          <t>KALMAR LÄN</t>
        </is>
      </c>
      <c r="E183" t="inlineStr">
        <is>
          <t>VÄSTERVIK</t>
        </is>
      </c>
      <c r="F183" t="inlineStr">
        <is>
          <t>Holmen skog AB</t>
        </is>
      </c>
      <c r="G183" t="n">
        <v>3.7</v>
      </c>
      <c r="H183" t="n">
        <v>1</v>
      </c>
      <c r="I183" t="n">
        <v>0</v>
      </c>
      <c r="J183" t="n">
        <v>2</v>
      </c>
      <c r="K183" t="n">
        <v>0</v>
      </c>
      <c r="L183" t="n">
        <v>0</v>
      </c>
      <c r="M183" t="n">
        <v>0</v>
      </c>
      <c r="N183" t="n">
        <v>0</v>
      </c>
      <c r="O183" t="n">
        <v>2</v>
      </c>
      <c r="P183" t="n">
        <v>0</v>
      </c>
      <c r="Q183" t="n">
        <v>2</v>
      </c>
      <c r="R183" s="2" t="inlineStr">
        <is>
          <t>Ekticka
Talltita</t>
        </is>
      </c>
      <c r="S183">
        <f>HYPERLINK("https://klasma.github.io/Logging_0883/artfynd/A 765-2023 artfynd.xlsx", "A 765-2023")</f>
        <v/>
      </c>
      <c r="T183">
        <f>HYPERLINK("https://klasma.github.io/Logging_0883/kartor/A 765-2023 karta.png", "A 765-2023")</f>
        <v/>
      </c>
      <c r="V183">
        <f>HYPERLINK("https://klasma.github.io/Logging_0883/klagomål/A 765-2023 FSC-klagomål.docx", "A 765-2023")</f>
        <v/>
      </c>
      <c r="W183">
        <f>HYPERLINK("https://klasma.github.io/Logging_0883/klagomålsmail/A 765-2023 FSC-klagomål mail.docx", "A 765-2023")</f>
        <v/>
      </c>
      <c r="X183">
        <f>HYPERLINK("https://klasma.github.io/Logging_0883/tillsyn/A 765-2023 tillsynsbegäran.docx", "A 765-2023")</f>
        <v/>
      </c>
      <c r="Y183">
        <f>HYPERLINK("https://klasma.github.io/Logging_0883/tillsynsmail/A 765-2023 tillsynsbegäran mail.docx", "A 765-2023")</f>
        <v/>
      </c>
      <c r="Z183">
        <f>HYPERLINK("https://klasma.github.io/Logging_0883/fåglar/A 765-2023 prioriterade fågelarter.docx", "A 765-2023")</f>
        <v/>
      </c>
    </row>
    <row r="184" ht="15" customHeight="1">
      <c r="A184" t="inlineStr">
        <is>
          <t>A 2097-2023</t>
        </is>
      </c>
      <c r="B184" s="1" t="n">
        <v>44939</v>
      </c>
      <c r="C184" s="1" t="n">
        <v>45843</v>
      </c>
      <c r="D184" t="inlineStr">
        <is>
          <t>KALMAR LÄN</t>
        </is>
      </c>
      <c r="E184" t="inlineStr">
        <is>
          <t>VÄSTERVIK</t>
        </is>
      </c>
      <c r="G184" t="n">
        <v>6.9</v>
      </c>
      <c r="H184" t="n">
        <v>1</v>
      </c>
      <c r="I184" t="n">
        <v>1</v>
      </c>
      <c r="J184" t="n">
        <v>0</v>
      </c>
      <c r="K184" t="n">
        <v>1</v>
      </c>
      <c r="L184" t="n">
        <v>0</v>
      </c>
      <c r="M184" t="n">
        <v>0</v>
      </c>
      <c r="N184" t="n">
        <v>0</v>
      </c>
      <c r="O184" t="n">
        <v>1</v>
      </c>
      <c r="P184" t="n">
        <v>1</v>
      </c>
      <c r="Q184" t="n">
        <v>2</v>
      </c>
      <c r="R184" s="2" t="inlineStr">
        <is>
          <t>Knärot
Grovticka</t>
        </is>
      </c>
      <c r="S184">
        <f>HYPERLINK("https://klasma.github.io/Logging_0883/artfynd/A 2097-2023 artfynd.xlsx", "A 2097-2023")</f>
        <v/>
      </c>
      <c r="T184">
        <f>HYPERLINK("https://klasma.github.io/Logging_0883/kartor/A 2097-2023 karta.png", "A 2097-2023")</f>
        <v/>
      </c>
      <c r="U184">
        <f>HYPERLINK("https://klasma.github.io/Logging_0883/knärot/A 2097-2023 karta knärot.png", "A 2097-2023")</f>
        <v/>
      </c>
      <c r="V184">
        <f>HYPERLINK("https://klasma.github.io/Logging_0883/klagomål/A 2097-2023 FSC-klagomål.docx", "A 2097-2023")</f>
        <v/>
      </c>
      <c r="W184">
        <f>HYPERLINK("https://klasma.github.io/Logging_0883/klagomålsmail/A 2097-2023 FSC-klagomål mail.docx", "A 2097-2023")</f>
        <v/>
      </c>
      <c r="X184">
        <f>HYPERLINK("https://klasma.github.io/Logging_0883/tillsyn/A 2097-2023 tillsynsbegäran.docx", "A 2097-2023")</f>
        <v/>
      </c>
      <c r="Y184">
        <f>HYPERLINK("https://klasma.github.io/Logging_0883/tillsynsmail/A 2097-2023 tillsynsbegäran mail.docx", "A 2097-2023")</f>
        <v/>
      </c>
    </row>
    <row r="185" ht="15" customHeight="1">
      <c r="A185" t="inlineStr">
        <is>
          <t>A 2515-2023</t>
        </is>
      </c>
      <c r="B185" s="1" t="n">
        <v>44943</v>
      </c>
      <c r="C185" s="1" t="n">
        <v>45843</v>
      </c>
      <c r="D185" t="inlineStr">
        <is>
          <t>KALMAR LÄN</t>
        </is>
      </c>
      <c r="E185" t="inlineStr">
        <is>
          <t>VÄSTERVIK</t>
        </is>
      </c>
      <c r="G185" t="n">
        <v>1.3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2515-2023 artfynd.xlsx", "A 2515-2023")</f>
        <v/>
      </c>
      <c r="T185">
        <f>HYPERLINK("https://klasma.github.io/Logging_0883/kartor/A 2515-2023 karta.png", "A 2515-2023")</f>
        <v/>
      </c>
      <c r="U185">
        <f>HYPERLINK("https://klasma.github.io/Logging_0883/knärot/A 2515-2023 karta knärot.png", "A 2515-2023")</f>
        <v/>
      </c>
      <c r="V185">
        <f>HYPERLINK("https://klasma.github.io/Logging_0883/klagomål/A 2515-2023 FSC-klagomål.docx", "A 2515-2023")</f>
        <v/>
      </c>
      <c r="W185">
        <f>HYPERLINK("https://klasma.github.io/Logging_0883/klagomålsmail/A 2515-2023 FSC-klagomål mail.docx", "A 2515-2023")</f>
        <v/>
      </c>
      <c r="X185">
        <f>HYPERLINK("https://klasma.github.io/Logging_0883/tillsyn/A 2515-2023 tillsynsbegäran.docx", "A 2515-2023")</f>
        <v/>
      </c>
      <c r="Y185">
        <f>HYPERLINK("https://klasma.github.io/Logging_0883/tillsynsmail/A 2515-2023 tillsynsbegäran mail.docx", "A 2515-2023")</f>
        <v/>
      </c>
    </row>
    <row r="186" ht="15" customHeight="1">
      <c r="A186" t="inlineStr">
        <is>
          <t>A 3173-2023</t>
        </is>
      </c>
      <c r="B186" s="1" t="n">
        <v>44946</v>
      </c>
      <c r="C186" s="1" t="n">
        <v>45843</v>
      </c>
      <c r="D186" t="inlineStr">
        <is>
          <t>KALMAR LÄN</t>
        </is>
      </c>
      <c r="E186" t="inlineStr">
        <is>
          <t>VÄSTERVIK</t>
        </is>
      </c>
      <c r="G186" t="n">
        <v>4</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3173-2023 artfynd.xlsx", "A 3173-2023")</f>
        <v/>
      </c>
      <c r="T186">
        <f>HYPERLINK("https://klasma.github.io/Logging_0883/kartor/A 3173-2023 karta.png", "A 3173-2023")</f>
        <v/>
      </c>
      <c r="U186">
        <f>HYPERLINK("https://klasma.github.io/Logging_0883/knärot/A 3173-2023 karta knärot.png", "A 3173-2023")</f>
        <v/>
      </c>
      <c r="V186">
        <f>HYPERLINK("https://klasma.github.io/Logging_0883/klagomål/A 3173-2023 FSC-klagomål.docx", "A 3173-2023")</f>
        <v/>
      </c>
      <c r="W186">
        <f>HYPERLINK("https://klasma.github.io/Logging_0883/klagomålsmail/A 3173-2023 FSC-klagomål mail.docx", "A 3173-2023")</f>
        <v/>
      </c>
      <c r="X186">
        <f>HYPERLINK("https://klasma.github.io/Logging_0883/tillsyn/A 3173-2023 tillsynsbegäran.docx", "A 3173-2023")</f>
        <v/>
      </c>
      <c r="Y186">
        <f>HYPERLINK("https://klasma.github.io/Logging_0883/tillsynsmail/A 3173-2023 tillsynsbegäran mail.docx", "A 3173-2023")</f>
        <v/>
      </c>
    </row>
    <row r="187" ht="15" customHeight="1">
      <c r="A187" t="inlineStr">
        <is>
          <t>A 9040-2023</t>
        </is>
      </c>
      <c r="B187" s="1" t="n">
        <v>44979</v>
      </c>
      <c r="C187" s="1" t="n">
        <v>45843</v>
      </c>
      <c r="D187" t="inlineStr">
        <is>
          <t>KALMAR LÄN</t>
        </is>
      </c>
      <c r="E187" t="inlineStr">
        <is>
          <t>VÄSTERVIK</t>
        </is>
      </c>
      <c r="G187" t="n">
        <v>5.1</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9040-2023 artfynd.xlsx", "A 9040-2023")</f>
        <v/>
      </c>
      <c r="T187">
        <f>HYPERLINK("https://klasma.github.io/Logging_0883/kartor/A 9040-2023 karta.png", "A 9040-2023")</f>
        <v/>
      </c>
      <c r="U187">
        <f>HYPERLINK("https://klasma.github.io/Logging_0883/knärot/A 9040-2023 karta knärot.png", "A 9040-2023")</f>
        <v/>
      </c>
      <c r="V187">
        <f>HYPERLINK("https://klasma.github.io/Logging_0883/klagomål/A 9040-2023 FSC-klagomål.docx", "A 9040-2023")</f>
        <v/>
      </c>
      <c r="W187">
        <f>HYPERLINK("https://klasma.github.io/Logging_0883/klagomålsmail/A 9040-2023 FSC-klagomål mail.docx", "A 9040-2023")</f>
        <v/>
      </c>
      <c r="X187">
        <f>HYPERLINK("https://klasma.github.io/Logging_0883/tillsyn/A 9040-2023 tillsynsbegäran.docx", "A 9040-2023")</f>
        <v/>
      </c>
      <c r="Y187">
        <f>HYPERLINK("https://klasma.github.io/Logging_0883/tillsynsmail/A 9040-2023 tillsynsbegäran mail.docx", "A 9040-2023")</f>
        <v/>
      </c>
    </row>
    <row r="188" ht="15" customHeight="1">
      <c r="A188" t="inlineStr">
        <is>
          <t>A 10806-2023</t>
        </is>
      </c>
      <c r="B188" s="1" t="n">
        <v>44989</v>
      </c>
      <c r="C188" s="1" t="n">
        <v>45843</v>
      </c>
      <c r="D188" t="inlineStr">
        <is>
          <t>KALMAR LÄN</t>
        </is>
      </c>
      <c r="E188" t="inlineStr">
        <is>
          <t>VÄSTERVIK</t>
        </is>
      </c>
      <c r="G188" t="n">
        <v>3</v>
      </c>
      <c r="H188" t="n">
        <v>2</v>
      </c>
      <c r="I188" t="n">
        <v>0</v>
      </c>
      <c r="J188" t="n">
        <v>0</v>
      </c>
      <c r="K188" t="n">
        <v>1</v>
      </c>
      <c r="L188" t="n">
        <v>0</v>
      </c>
      <c r="M188" t="n">
        <v>0</v>
      </c>
      <c r="N188" t="n">
        <v>0</v>
      </c>
      <c r="O188" t="n">
        <v>1</v>
      </c>
      <c r="P188" t="n">
        <v>1</v>
      </c>
      <c r="Q188" t="n">
        <v>2</v>
      </c>
      <c r="R188" s="2" t="inlineStr">
        <is>
          <t>Knärot
Revlummer</t>
        </is>
      </c>
      <c r="S188">
        <f>HYPERLINK("https://klasma.github.io/Logging_0883/artfynd/A 10806-2023 artfynd.xlsx", "A 10806-2023")</f>
        <v/>
      </c>
      <c r="T188">
        <f>HYPERLINK("https://klasma.github.io/Logging_0883/kartor/A 10806-2023 karta.png", "A 10806-2023")</f>
        <v/>
      </c>
      <c r="U188">
        <f>HYPERLINK("https://klasma.github.io/Logging_0883/knärot/A 10806-2023 karta knärot.png", "A 10806-2023")</f>
        <v/>
      </c>
      <c r="V188">
        <f>HYPERLINK("https://klasma.github.io/Logging_0883/klagomål/A 10806-2023 FSC-klagomål.docx", "A 10806-2023")</f>
        <v/>
      </c>
      <c r="W188">
        <f>HYPERLINK("https://klasma.github.io/Logging_0883/klagomålsmail/A 10806-2023 FSC-klagomål mail.docx", "A 10806-2023")</f>
        <v/>
      </c>
      <c r="X188">
        <f>HYPERLINK("https://klasma.github.io/Logging_0883/tillsyn/A 10806-2023 tillsynsbegäran.docx", "A 10806-2023")</f>
        <v/>
      </c>
      <c r="Y188">
        <f>HYPERLINK("https://klasma.github.io/Logging_0883/tillsynsmail/A 10806-2023 tillsynsbegäran mail.docx", "A 10806-2023")</f>
        <v/>
      </c>
    </row>
    <row r="189" ht="15" customHeight="1">
      <c r="A189" t="inlineStr">
        <is>
          <t>A 14301-2023</t>
        </is>
      </c>
      <c r="B189" s="1" t="n">
        <v>45011</v>
      </c>
      <c r="C189" s="1" t="n">
        <v>45843</v>
      </c>
      <c r="D189" t="inlineStr">
        <is>
          <t>KALMAR LÄN</t>
        </is>
      </c>
      <c r="E189" t="inlineStr">
        <is>
          <t>VÄSTERVIK</t>
        </is>
      </c>
      <c r="G189" t="n">
        <v>4.4</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14301-2023 artfynd.xlsx", "A 14301-2023")</f>
        <v/>
      </c>
      <c r="T189">
        <f>HYPERLINK("https://klasma.github.io/Logging_0883/kartor/A 14301-2023 karta.png", "A 14301-2023")</f>
        <v/>
      </c>
      <c r="U189">
        <f>HYPERLINK("https://klasma.github.io/Logging_0883/knärot/A 14301-2023 karta knärot.png", "A 14301-2023")</f>
        <v/>
      </c>
      <c r="V189">
        <f>HYPERLINK("https://klasma.github.io/Logging_0883/klagomål/A 14301-2023 FSC-klagomål.docx", "A 14301-2023")</f>
        <v/>
      </c>
      <c r="W189">
        <f>HYPERLINK("https://klasma.github.io/Logging_0883/klagomålsmail/A 14301-2023 FSC-klagomål mail.docx", "A 14301-2023")</f>
        <v/>
      </c>
      <c r="X189">
        <f>HYPERLINK("https://klasma.github.io/Logging_0883/tillsyn/A 14301-2023 tillsynsbegäran.docx", "A 14301-2023")</f>
        <v/>
      </c>
      <c r="Y189">
        <f>HYPERLINK("https://klasma.github.io/Logging_0883/tillsynsmail/A 14301-2023 tillsynsbegäran mail.docx", "A 14301-2023")</f>
        <v/>
      </c>
    </row>
    <row r="190" ht="15" customHeight="1">
      <c r="A190" t="inlineStr">
        <is>
          <t>A 25435-2023</t>
        </is>
      </c>
      <c r="B190" s="1" t="n">
        <v>45089</v>
      </c>
      <c r="C190" s="1" t="n">
        <v>45843</v>
      </c>
      <c r="D190" t="inlineStr">
        <is>
          <t>KALMAR LÄN</t>
        </is>
      </c>
      <c r="E190" t="inlineStr">
        <is>
          <t>VÄSTERVIK</t>
        </is>
      </c>
      <c r="G190" t="n">
        <v>1.6</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25435-2023 artfynd.xlsx", "A 25435-2023")</f>
        <v/>
      </c>
      <c r="T190">
        <f>HYPERLINK("https://klasma.github.io/Logging_0883/kartor/A 25435-2023 karta.png", "A 25435-2023")</f>
        <v/>
      </c>
      <c r="U190">
        <f>HYPERLINK("https://klasma.github.io/Logging_0883/knärot/A 25435-2023 karta knärot.png", "A 25435-2023")</f>
        <v/>
      </c>
      <c r="V190">
        <f>HYPERLINK("https://klasma.github.io/Logging_0883/klagomål/A 25435-2023 FSC-klagomål.docx", "A 25435-2023")</f>
        <v/>
      </c>
      <c r="W190">
        <f>HYPERLINK("https://klasma.github.io/Logging_0883/klagomålsmail/A 25435-2023 FSC-klagomål mail.docx", "A 25435-2023")</f>
        <v/>
      </c>
      <c r="X190">
        <f>HYPERLINK("https://klasma.github.io/Logging_0883/tillsyn/A 25435-2023 tillsynsbegäran.docx", "A 25435-2023")</f>
        <v/>
      </c>
      <c r="Y190">
        <f>HYPERLINK("https://klasma.github.io/Logging_0883/tillsynsmail/A 25435-2023 tillsynsbegäran mail.docx", "A 25435-2023")</f>
        <v/>
      </c>
      <c r="Z190">
        <f>HYPERLINK("https://klasma.github.io/Logging_0883/fåglar/A 25435-2023 prioriterade fågelarter.docx", "A 25435-2023")</f>
        <v/>
      </c>
    </row>
    <row r="191" ht="15" customHeight="1">
      <c r="A191" t="inlineStr">
        <is>
          <t>A 32649-2023</t>
        </is>
      </c>
      <c r="B191" s="1" t="n">
        <v>45121</v>
      </c>
      <c r="C191" s="1" t="n">
        <v>45843</v>
      </c>
      <c r="D191" t="inlineStr">
        <is>
          <t>KALMAR LÄN</t>
        </is>
      </c>
      <c r="E191" t="inlineStr">
        <is>
          <t>VÄSTERVIK</t>
        </is>
      </c>
      <c r="G191" t="n">
        <v>1.7</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32649-2023 artfynd.xlsx", "A 32649-2023")</f>
        <v/>
      </c>
      <c r="T191">
        <f>HYPERLINK("https://klasma.github.io/Logging_0883/kartor/A 32649-2023 karta.png", "A 32649-2023")</f>
        <v/>
      </c>
      <c r="U191">
        <f>HYPERLINK("https://klasma.github.io/Logging_0883/knärot/A 32649-2023 karta knärot.png", "A 32649-2023")</f>
        <v/>
      </c>
      <c r="V191">
        <f>HYPERLINK("https://klasma.github.io/Logging_0883/klagomål/A 32649-2023 FSC-klagomål.docx", "A 32649-2023")</f>
        <v/>
      </c>
      <c r="W191">
        <f>HYPERLINK("https://klasma.github.io/Logging_0883/klagomålsmail/A 32649-2023 FSC-klagomål mail.docx", "A 32649-2023")</f>
        <v/>
      </c>
      <c r="X191">
        <f>HYPERLINK("https://klasma.github.io/Logging_0883/tillsyn/A 32649-2023 tillsynsbegäran.docx", "A 32649-2023")</f>
        <v/>
      </c>
      <c r="Y191">
        <f>HYPERLINK("https://klasma.github.io/Logging_0883/tillsynsmail/A 32649-2023 tillsynsbegäran mail.docx", "A 32649-2023")</f>
        <v/>
      </c>
    </row>
    <row r="192" ht="15" customHeight="1">
      <c r="A192" t="inlineStr">
        <is>
          <t>A 33824-2023</t>
        </is>
      </c>
      <c r="B192" s="1" t="n">
        <v>45133</v>
      </c>
      <c r="C192" s="1" t="n">
        <v>45843</v>
      </c>
      <c r="D192" t="inlineStr">
        <is>
          <t>KALMAR LÄN</t>
        </is>
      </c>
      <c r="E192" t="inlineStr">
        <is>
          <t>VÄSTERVIK</t>
        </is>
      </c>
      <c r="G192" t="n">
        <v>2</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33824-2023 artfynd.xlsx", "A 33824-2023")</f>
        <v/>
      </c>
      <c r="T192">
        <f>HYPERLINK("https://klasma.github.io/Logging_0883/kartor/A 33824-2023 karta.png", "A 33824-2023")</f>
        <v/>
      </c>
      <c r="U192">
        <f>HYPERLINK("https://klasma.github.io/Logging_0883/knärot/A 33824-2023 karta knärot.png", "A 33824-2023")</f>
        <v/>
      </c>
      <c r="V192">
        <f>HYPERLINK("https://klasma.github.io/Logging_0883/klagomål/A 33824-2023 FSC-klagomål.docx", "A 33824-2023")</f>
        <v/>
      </c>
      <c r="W192">
        <f>HYPERLINK("https://klasma.github.io/Logging_0883/klagomålsmail/A 33824-2023 FSC-klagomål mail.docx", "A 33824-2023")</f>
        <v/>
      </c>
      <c r="X192">
        <f>HYPERLINK("https://klasma.github.io/Logging_0883/tillsyn/A 33824-2023 tillsynsbegäran.docx", "A 33824-2023")</f>
        <v/>
      </c>
      <c r="Y192">
        <f>HYPERLINK("https://klasma.github.io/Logging_0883/tillsynsmail/A 33824-2023 tillsynsbegäran mail.docx", "A 33824-2023")</f>
        <v/>
      </c>
    </row>
    <row r="193" ht="15" customHeight="1">
      <c r="A193" t="inlineStr">
        <is>
          <t>A 33825-2023</t>
        </is>
      </c>
      <c r="B193" s="1" t="n">
        <v>45133</v>
      </c>
      <c r="C193" s="1" t="n">
        <v>45843</v>
      </c>
      <c r="D193" t="inlineStr">
        <is>
          <t>KALMAR LÄN</t>
        </is>
      </c>
      <c r="E193" t="inlineStr">
        <is>
          <t>VÄSTERVIK</t>
        </is>
      </c>
      <c r="G193" t="n">
        <v>2.2</v>
      </c>
      <c r="H193" t="n">
        <v>2</v>
      </c>
      <c r="I193" t="n">
        <v>0</v>
      </c>
      <c r="J193" t="n">
        <v>0</v>
      </c>
      <c r="K193" t="n">
        <v>1</v>
      </c>
      <c r="L193" t="n">
        <v>0</v>
      </c>
      <c r="M193" t="n">
        <v>0</v>
      </c>
      <c r="N193" t="n">
        <v>0</v>
      </c>
      <c r="O193" t="n">
        <v>1</v>
      </c>
      <c r="P193" t="n">
        <v>1</v>
      </c>
      <c r="Q193" t="n">
        <v>2</v>
      </c>
      <c r="R193" s="2" t="inlineStr">
        <is>
          <t>Knärot
Tjäder</t>
        </is>
      </c>
      <c r="S193">
        <f>HYPERLINK("https://klasma.github.io/Logging_0883/artfynd/A 33825-2023 artfynd.xlsx", "A 33825-2023")</f>
        <v/>
      </c>
      <c r="T193">
        <f>HYPERLINK("https://klasma.github.io/Logging_0883/kartor/A 33825-2023 karta.png", "A 33825-2023")</f>
        <v/>
      </c>
      <c r="U193">
        <f>HYPERLINK("https://klasma.github.io/Logging_0883/knärot/A 33825-2023 karta knärot.png", "A 33825-2023")</f>
        <v/>
      </c>
      <c r="V193">
        <f>HYPERLINK("https://klasma.github.io/Logging_0883/klagomål/A 33825-2023 FSC-klagomål.docx", "A 33825-2023")</f>
        <v/>
      </c>
      <c r="W193">
        <f>HYPERLINK("https://klasma.github.io/Logging_0883/klagomålsmail/A 33825-2023 FSC-klagomål mail.docx", "A 33825-2023")</f>
        <v/>
      </c>
      <c r="X193">
        <f>HYPERLINK("https://klasma.github.io/Logging_0883/tillsyn/A 33825-2023 tillsynsbegäran.docx", "A 33825-2023")</f>
        <v/>
      </c>
      <c r="Y193">
        <f>HYPERLINK("https://klasma.github.io/Logging_0883/tillsynsmail/A 33825-2023 tillsynsbegäran mail.docx", "A 33825-2023")</f>
        <v/>
      </c>
      <c r="Z193">
        <f>HYPERLINK("https://klasma.github.io/Logging_0883/fåglar/A 33825-2023 prioriterade fågelarter.docx", "A 33825-2023")</f>
        <v/>
      </c>
    </row>
    <row r="194" ht="15" customHeight="1">
      <c r="A194" t="inlineStr">
        <is>
          <t>A 34120-2023</t>
        </is>
      </c>
      <c r="B194" s="1" t="n">
        <v>45135</v>
      </c>
      <c r="C194" s="1" t="n">
        <v>45843</v>
      </c>
      <c r="D194" t="inlineStr">
        <is>
          <t>KALMAR LÄN</t>
        </is>
      </c>
      <c r="E194" t="inlineStr">
        <is>
          <t>VÄSTERVIK</t>
        </is>
      </c>
      <c r="G194" t="n">
        <v>2.1</v>
      </c>
      <c r="H194" t="n">
        <v>1</v>
      </c>
      <c r="I194" t="n">
        <v>1</v>
      </c>
      <c r="J194" t="n">
        <v>0</v>
      </c>
      <c r="K194" t="n">
        <v>1</v>
      </c>
      <c r="L194" t="n">
        <v>0</v>
      </c>
      <c r="M194" t="n">
        <v>0</v>
      </c>
      <c r="N194" t="n">
        <v>0</v>
      </c>
      <c r="O194" t="n">
        <v>1</v>
      </c>
      <c r="P194" t="n">
        <v>1</v>
      </c>
      <c r="Q194" t="n">
        <v>2</v>
      </c>
      <c r="R194" s="2" t="inlineStr">
        <is>
          <t>Knärot
Blodticka</t>
        </is>
      </c>
      <c r="S194">
        <f>HYPERLINK("https://klasma.github.io/Logging_0883/artfynd/A 34120-2023 artfynd.xlsx", "A 34120-2023")</f>
        <v/>
      </c>
      <c r="T194">
        <f>HYPERLINK("https://klasma.github.io/Logging_0883/kartor/A 34120-2023 karta.png", "A 34120-2023")</f>
        <v/>
      </c>
      <c r="U194">
        <f>HYPERLINK("https://klasma.github.io/Logging_0883/knärot/A 34120-2023 karta knärot.png", "A 34120-2023")</f>
        <v/>
      </c>
      <c r="V194">
        <f>HYPERLINK("https://klasma.github.io/Logging_0883/klagomål/A 34120-2023 FSC-klagomål.docx", "A 34120-2023")</f>
        <v/>
      </c>
      <c r="W194">
        <f>HYPERLINK("https://klasma.github.io/Logging_0883/klagomålsmail/A 34120-2023 FSC-klagomål mail.docx", "A 34120-2023")</f>
        <v/>
      </c>
      <c r="X194">
        <f>HYPERLINK("https://klasma.github.io/Logging_0883/tillsyn/A 34120-2023 tillsynsbegäran.docx", "A 34120-2023")</f>
        <v/>
      </c>
      <c r="Y194">
        <f>HYPERLINK("https://klasma.github.io/Logging_0883/tillsynsmail/A 34120-2023 tillsynsbegäran mail.docx", "A 34120-2023")</f>
        <v/>
      </c>
    </row>
    <row r="195" ht="15" customHeight="1">
      <c r="A195" t="inlineStr">
        <is>
          <t>A 34119-2023</t>
        </is>
      </c>
      <c r="B195" s="1" t="n">
        <v>45135</v>
      </c>
      <c r="C195" s="1" t="n">
        <v>45843</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38036-2023</t>
        </is>
      </c>
      <c r="B196" s="1" t="n">
        <v>45160</v>
      </c>
      <c r="C196" s="1" t="n">
        <v>45843</v>
      </c>
      <c r="D196" t="inlineStr">
        <is>
          <t>KALMAR LÄN</t>
        </is>
      </c>
      <c r="E196" t="inlineStr">
        <is>
          <t>VÄSTERVIK</t>
        </is>
      </c>
      <c r="F196" t="inlineStr">
        <is>
          <t>Sveaskog</t>
        </is>
      </c>
      <c r="G196" t="n">
        <v>4.2</v>
      </c>
      <c r="H196" t="n">
        <v>2</v>
      </c>
      <c r="I196" t="n">
        <v>0</v>
      </c>
      <c r="J196" t="n">
        <v>2</v>
      </c>
      <c r="K196" t="n">
        <v>0</v>
      </c>
      <c r="L196" t="n">
        <v>0</v>
      </c>
      <c r="M196" t="n">
        <v>0</v>
      </c>
      <c r="N196" t="n">
        <v>0</v>
      </c>
      <c r="O196" t="n">
        <v>2</v>
      </c>
      <c r="P196" t="n">
        <v>0</v>
      </c>
      <c r="Q196" t="n">
        <v>2</v>
      </c>
      <c r="R196" s="2" t="inlineStr">
        <is>
          <t>Barbastell
Nordfladdermus</t>
        </is>
      </c>
      <c r="S196">
        <f>HYPERLINK("https://klasma.github.io/Logging_0883/artfynd/A 38036-2023 artfynd.xlsx", "A 38036-2023")</f>
        <v/>
      </c>
      <c r="T196">
        <f>HYPERLINK("https://klasma.github.io/Logging_0883/kartor/A 38036-2023 karta.png", "A 38036-2023")</f>
        <v/>
      </c>
      <c r="V196">
        <f>HYPERLINK("https://klasma.github.io/Logging_0883/klagomål/A 38036-2023 FSC-klagomål.docx", "A 38036-2023")</f>
        <v/>
      </c>
      <c r="W196">
        <f>HYPERLINK("https://klasma.github.io/Logging_0883/klagomålsmail/A 38036-2023 FSC-klagomål mail.docx", "A 38036-2023")</f>
        <v/>
      </c>
      <c r="X196">
        <f>HYPERLINK("https://klasma.github.io/Logging_0883/tillsyn/A 38036-2023 tillsynsbegäran.docx", "A 38036-2023")</f>
        <v/>
      </c>
      <c r="Y196">
        <f>HYPERLINK("https://klasma.github.io/Logging_0883/tillsynsmail/A 38036-2023 tillsynsbegäran mail.docx", "A 38036-2023")</f>
        <v/>
      </c>
    </row>
    <row r="197" ht="15" customHeight="1">
      <c r="A197" t="inlineStr">
        <is>
          <t>A 46089-2023</t>
        </is>
      </c>
      <c r="B197" s="1" t="n">
        <v>45196</v>
      </c>
      <c r="C197" s="1" t="n">
        <v>45843</v>
      </c>
      <c r="D197" t="inlineStr">
        <is>
          <t>KALMAR LÄN</t>
        </is>
      </c>
      <c r="E197" t="inlineStr">
        <is>
          <t>VÄSTERVIK</t>
        </is>
      </c>
      <c r="F197" t="inlineStr">
        <is>
          <t>Sveaskog</t>
        </is>
      </c>
      <c r="G197" t="n">
        <v>1.1</v>
      </c>
      <c r="H197" t="n">
        <v>1</v>
      </c>
      <c r="I197" t="n">
        <v>1</v>
      </c>
      <c r="J197" t="n">
        <v>0</v>
      </c>
      <c r="K197" t="n">
        <v>0</v>
      </c>
      <c r="L197" t="n">
        <v>0</v>
      </c>
      <c r="M197" t="n">
        <v>0</v>
      </c>
      <c r="N197" t="n">
        <v>0</v>
      </c>
      <c r="O197" t="n">
        <v>0</v>
      </c>
      <c r="P197" t="n">
        <v>0</v>
      </c>
      <c r="Q197" t="n">
        <v>2</v>
      </c>
      <c r="R197" s="2" t="inlineStr">
        <is>
          <t>Fällmossa
Blåsippa</t>
        </is>
      </c>
      <c r="S197">
        <f>HYPERLINK("https://klasma.github.io/Logging_0883/artfynd/A 46089-2023 artfynd.xlsx", "A 46089-2023")</f>
        <v/>
      </c>
      <c r="T197">
        <f>HYPERLINK("https://klasma.github.io/Logging_0883/kartor/A 46089-2023 karta.png", "A 46089-2023")</f>
        <v/>
      </c>
      <c r="V197">
        <f>HYPERLINK("https://klasma.github.io/Logging_0883/klagomål/A 46089-2023 FSC-klagomål.docx", "A 46089-2023")</f>
        <v/>
      </c>
      <c r="W197">
        <f>HYPERLINK("https://klasma.github.io/Logging_0883/klagomålsmail/A 46089-2023 FSC-klagomål mail.docx", "A 46089-2023")</f>
        <v/>
      </c>
      <c r="X197">
        <f>HYPERLINK("https://klasma.github.io/Logging_0883/tillsyn/A 46089-2023 tillsynsbegäran.docx", "A 46089-2023")</f>
        <v/>
      </c>
      <c r="Y197">
        <f>HYPERLINK("https://klasma.github.io/Logging_0883/tillsynsmail/A 46089-2023 tillsynsbegäran mail.docx", "A 46089-2023")</f>
        <v/>
      </c>
    </row>
    <row r="198" ht="15" customHeight="1">
      <c r="A198" t="inlineStr">
        <is>
          <t>A 47935-2023</t>
        </is>
      </c>
      <c r="B198" s="1" t="n">
        <v>45204</v>
      </c>
      <c r="C198" s="1" t="n">
        <v>45843</v>
      </c>
      <c r="D198" t="inlineStr">
        <is>
          <t>KALMAR LÄN</t>
        </is>
      </c>
      <c r="E198" t="inlineStr">
        <is>
          <t>VÄSTERVIK</t>
        </is>
      </c>
      <c r="G198" t="n">
        <v>4.3</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47935-2023 artfynd.xlsx", "A 47935-2023")</f>
        <v/>
      </c>
      <c r="T198">
        <f>HYPERLINK("https://klasma.github.io/Logging_0883/kartor/A 47935-2023 karta.png", "A 47935-2023")</f>
        <v/>
      </c>
      <c r="V198">
        <f>HYPERLINK("https://klasma.github.io/Logging_0883/klagomål/A 47935-2023 FSC-klagomål.docx", "A 47935-2023")</f>
        <v/>
      </c>
      <c r="W198">
        <f>HYPERLINK("https://klasma.github.io/Logging_0883/klagomålsmail/A 47935-2023 FSC-klagomål mail.docx", "A 47935-2023")</f>
        <v/>
      </c>
      <c r="X198">
        <f>HYPERLINK("https://klasma.github.io/Logging_0883/tillsyn/A 47935-2023 tillsynsbegäran.docx", "A 47935-2023")</f>
        <v/>
      </c>
      <c r="Y198">
        <f>HYPERLINK("https://klasma.github.io/Logging_0883/tillsynsmail/A 47935-2023 tillsynsbegäran mail.docx", "A 47935-2023")</f>
        <v/>
      </c>
    </row>
    <row r="199" ht="15" customHeight="1">
      <c r="A199" t="inlineStr">
        <is>
          <t>A 54360-2023</t>
        </is>
      </c>
      <c r="B199" s="1" t="n">
        <v>45233</v>
      </c>
      <c r="C199" s="1" t="n">
        <v>45843</v>
      </c>
      <c r="D199" t="inlineStr">
        <is>
          <t>KALMAR LÄN</t>
        </is>
      </c>
      <c r="E199" t="inlineStr">
        <is>
          <t>VÄSTERVIK</t>
        </is>
      </c>
      <c r="F199" t="inlineStr">
        <is>
          <t>Sveaskog</t>
        </is>
      </c>
      <c r="G199" t="n">
        <v>8.5</v>
      </c>
      <c r="H199" t="n">
        <v>1</v>
      </c>
      <c r="I199" t="n">
        <v>0</v>
      </c>
      <c r="J199" t="n">
        <v>1</v>
      </c>
      <c r="K199" t="n">
        <v>0</v>
      </c>
      <c r="L199" t="n">
        <v>0</v>
      </c>
      <c r="M199" t="n">
        <v>0</v>
      </c>
      <c r="N199" t="n">
        <v>0</v>
      </c>
      <c r="O199" t="n">
        <v>1</v>
      </c>
      <c r="P199" t="n">
        <v>0</v>
      </c>
      <c r="Q199" t="n">
        <v>2</v>
      </c>
      <c r="R199" s="2" t="inlineStr">
        <is>
          <t>Spindelört
Mattlummer</t>
        </is>
      </c>
      <c r="S199">
        <f>HYPERLINK("https://klasma.github.io/Logging_0883/artfynd/A 54360-2023 artfynd.xlsx", "A 54360-2023")</f>
        <v/>
      </c>
      <c r="T199">
        <f>HYPERLINK("https://klasma.github.io/Logging_0883/kartor/A 54360-2023 karta.png", "A 54360-2023")</f>
        <v/>
      </c>
      <c r="V199">
        <f>HYPERLINK("https://klasma.github.io/Logging_0883/klagomål/A 54360-2023 FSC-klagomål.docx", "A 54360-2023")</f>
        <v/>
      </c>
      <c r="W199">
        <f>HYPERLINK("https://klasma.github.io/Logging_0883/klagomålsmail/A 54360-2023 FSC-klagomål mail.docx", "A 54360-2023")</f>
        <v/>
      </c>
      <c r="X199">
        <f>HYPERLINK("https://klasma.github.io/Logging_0883/tillsyn/A 54360-2023 tillsynsbegäran.docx", "A 54360-2023")</f>
        <v/>
      </c>
      <c r="Y199">
        <f>HYPERLINK("https://klasma.github.io/Logging_0883/tillsynsmail/A 54360-2023 tillsynsbegäran mail.docx", "A 54360-2023")</f>
        <v/>
      </c>
    </row>
    <row r="200" ht="15" customHeight="1">
      <c r="A200" t="inlineStr">
        <is>
          <t>A 54800-2023</t>
        </is>
      </c>
      <c r="B200" s="1" t="n">
        <v>45236</v>
      </c>
      <c r="C200" s="1" t="n">
        <v>45843</v>
      </c>
      <c r="D200" t="inlineStr">
        <is>
          <t>KALMAR LÄN</t>
        </is>
      </c>
      <c r="E200" t="inlineStr">
        <is>
          <t>VÄSTERVIK</t>
        </is>
      </c>
      <c r="G200" t="n">
        <v>0.7</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54800-2023 artfynd.xlsx", "A 54800-2023")</f>
        <v/>
      </c>
      <c r="T200">
        <f>HYPERLINK("https://klasma.github.io/Logging_0883/kartor/A 54800-2023 karta.png", "A 54800-2023")</f>
        <v/>
      </c>
      <c r="U200">
        <f>HYPERLINK("https://klasma.github.io/Logging_0883/knärot/A 54800-2023 karta knärot.png", "A 54800-2023")</f>
        <v/>
      </c>
      <c r="V200">
        <f>HYPERLINK("https://klasma.github.io/Logging_0883/klagomål/A 54800-2023 FSC-klagomål.docx", "A 54800-2023")</f>
        <v/>
      </c>
      <c r="W200">
        <f>HYPERLINK("https://klasma.github.io/Logging_0883/klagomålsmail/A 54800-2023 FSC-klagomål mail.docx", "A 54800-2023")</f>
        <v/>
      </c>
      <c r="X200">
        <f>HYPERLINK("https://klasma.github.io/Logging_0883/tillsyn/A 54800-2023 tillsynsbegäran.docx", "A 54800-2023")</f>
        <v/>
      </c>
      <c r="Y200">
        <f>HYPERLINK("https://klasma.github.io/Logging_0883/tillsynsmail/A 54800-2023 tillsynsbegäran mail.docx", "A 54800-2023")</f>
        <v/>
      </c>
      <c r="Z200">
        <f>HYPERLINK("https://klasma.github.io/Logging_0883/fåglar/A 54800-2023 prioriterade fågelarter.docx", "A 54800-2023")</f>
        <v/>
      </c>
    </row>
    <row r="201" ht="15" customHeight="1">
      <c r="A201" t="inlineStr">
        <is>
          <t>A 55408-2023</t>
        </is>
      </c>
      <c r="B201" s="1" t="n">
        <v>45238</v>
      </c>
      <c r="C201" s="1" t="n">
        <v>45843</v>
      </c>
      <c r="D201" t="inlineStr">
        <is>
          <t>KALMAR LÄN</t>
        </is>
      </c>
      <c r="E201" t="inlineStr">
        <is>
          <t>VÄSTERVIK</t>
        </is>
      </c>
      <c r="G201" t="n">
        <v>2.8</v>
      </c>
      <c r="H201" t="n">
        <v>0</v>
      </c>
      <c r="I201" t="n">
        <v>0</v>
      </c>
      <c r="J201" t="n">
        <v>2</v>
      </c>
      <c r="K201" t="n">
        <v>0</v>
      </c>
      <c r="L201" t="n">
        <v>0</v>
      </c>
      <c r="M201" t="n">
        <v>0</v>
      </c>
      <c r="N201" t="n">
        <v>0</v>
      </c>
      <c r="O201" t="n">
        <v>2</v>
      </c>
      <c r="P201" t="n">
        <v>0</v>
      </c>
      <c r="Q201" t="n">
        <v>2</v>
      </c>
      <c r="R201" s="2" t="inlineStr">
        <is>
          <t>Ekticka
Tallticka</t>
        </is>
      </c>
      <c r="S201">
        <f>HYPERLINK("https://klasma.github.io/Logging_0883/artfynd/A 55408-2023 artfynd.xlsx", "A 55408-2023")</f>
        <v/>
      </c>
      <c r="T201">
        <f>HYPERLINK("https://klasma.github.io/Logging_0883/kartor/A 55408-2023 karta.png", "A 55408-2023")</f>
        <v/>
      </c>
      <c r="V201">
        <f>HYPERLINK("https://klasma.github.io/Logging_0883/klagomål/A 55408-2023 FSC-klagomål.docx", "A 55408-2023")</f>
        <v/>
      </c>
      <c r="W201">
        <f>HYPERLINK("https://klasma.github.io/Logging_0883/klagomålsmail/A 55408-2023 FSC-klagomål mail.docx", "A 55408-2023")</f>
        <v/>
      </c>
      <c r="X201">
        <f>HYPERLINK("https://klasma.github.io/Logging_0883/tillsyn/A 55408-2023 tillsynsbegäran.docx", "A 55408-2023")</f>
        <v/>
      </c>
      <c r="Y201">
        <f>HYPERLINK("https://klasma.github.io/Logging_0883/tillsynsmail/A 55408-2023 tillsynsbegäran mail.docx", "A 55408-2023")</f>
        <v/>
      </c>
    </row>
    <row r="202" ht="15" customHeight="1">
      <c r="A202" t="inlineStr">
        <is>
          <t>A 56857-2023</t>
        </is>
      </c>
      <c r="B202" s="1" t="n">
        <v>45244</v>
      </c>
      <c r="C202" s="1" t="n">
        <v>45843</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60631-2023</t>
        </is>
      </c>
      <c r="B203" s="1" t="n">
        <v>45260</v>
      </c>
      <c r="C203" s="1" t="n">
        <v>45843</v>
      </c>
      <c r="D203" t="inlineStr">
        <is>
          <t>KALMAR LÄN</t>
        </is>
      </c>
      <c r="E203" t="inlineStr">
        <is>
          <t>VÄSTERVIK</t>
        </is>
      </c>
      <c r="G203" t="n">
        <v>4.5</v>
      </c>
      <c r="H203" t="n">
        <v>1</v>
      </c>
      <c r="I203" t="n">
        <v>1</v>
      </c>
      <c r="J203" t="n">
        <v>0</v>
      </c>
      <c r="K203" t="n">
        <v>0</v>
      </c>
      <c r="L203" t="n">
        <v>0</v>
      </c>
      <c r="M203" t="n">
        <v>0</v>
      </c>
      <c r="N203" t="n">
        <v>0</v>
      </c>
      <c r="O203" t="n">
        <v>0</v>
      </c>
      <c r="P203" t="n">
        <v>0</v>
      </c>
      <c r="Q203" t="n">
        <v>2</v>
      </c>
      <c r="R203" s="2" t="inlineStr">
        <is>
          <t>Blomkålssvamp
Revlummer</t>
        </is>
      </c>
      <c r="S203">
        <f>HYPERLINK("https://klasma.github.io/Logging_0883/artfynd/A 60631-2023 artfynd.xlsx", "A 60631-2023")</f>
        <v/>
      </c>
      <c r="T203">
        <f>HYPERLINK("https://klasma.github.io/Logging_0883/kartor/A 60631-2023 karta.png", "A 60631-2023")</f>
        <v/>
      </c>
      <c r="V203">
        <f>HYPERLINK("https://klasma.github.io/Logging_0883/klagomål/A 60631-2023 FSC-klagomål.docx", "A 60631-2023")</f>
        <v/>
      </c>
      <c r="W203">
        <f>HYPERLINK("https://klasma.github.io/Logging_0883/klagomålsmail/A 60631-2023 FSC-klagomål mail.docx", "A 60631-2023")</f>
        <v/>
      </c>
      <c r="X203">
        <f>HYPERLINK("https://klasma.github.io/Logging_0883/tillsyn/A 60631-2023 tillsynsbegäran.docx", "A 60631-2023")</f>
        <v/>
      </c>
      <c r="Y203">
        <f>HYPERLINK("https://klasma.github.io/Logging_0883/tillsynsmail/A 60631-2023 tillsynsbegäran mail.docx", "A 60631-2023")</f>
        <v/>
      </c>
    </row>
    <row r="204" ht="15" customHeight="1">
      <c r="A204" t="inlineStr">
        <is>
          <t>A 60920-2023</t>
        </is>
      </c>
      <c r="B204" s="1" t="n">
        <v>45261</v>
      </c>
      <c r="C204" s="1" t="n">
        <v>45843</v>
      </c>
      <c r="D204" t="inlineStr">
        <is>
          <t>KALMAR LÄN</t>
        </is>
      </c>
      <c r="E204" t="inlineStr">
        <is>
          <t>VÄSTERVIK</t>
        </is>
      </c>
      <c r="G204" t="n">
        <v>10.1</v>
      </c>
      <c r="H204" t="n">
        <v>0</v>
      </c>
      <c r="I204" t="n">
        <v>0</v>
      </c>
      <c r="J204" t="n">
        <v>2</v>
      </c>
      <c r="K204" t="n">
        <v>0</v>
      </c>
      <c r="L204" t="n">
        <v>0</v>
      </c>
      <c r="M204" t="n">
        <v>0</v>
      </c>
      <c r="N204" t="n">
        <v>0</v>
      </c>
      <c r="O204" t="n">
        <v>2</v>
      </c>
      <c r="P204" t="n">
        <v>0</v>
      </c>
      <c r="Q204" t="n">
        <v>2</v>
      </c>
      <c r="R204" s="2" t="inlineStr">
        <is>
          <t>Solvända
Spindelört</t>
        </is>
      </c>
      <c r="S204">
        <f>HYPERLINK("https://klasma.github.io/Logging_0883/artfynd/A 60920-2023 artfynd.xlsx", "A 60920-2023")</f>
        <v/>
      </c>
      <c r="T204">
        <f>HYPERLINK("https://klasma.github.io/Logging_0883/kartor/A 60920-2023 karta.png", "A 60920-2023")</f>
        <v/>
      </c>
      <c r="V204">
        <f>HYPERLINK("https://klasma.github.io/Logging_0883/klagomål/A 60920-2023 FSC-klagomål.docx", "A 60920-2023")</f>
        <v/>
      </c>
      <c r="W204">
        <f>HYPERLINK("https://klasma.github.io/Logging_0883/klagomålsmail/A 60920-2023 FSC-klagomål mail.docx", "A 60920-2023")</f>
        <v/>
      </c>
      <c r="X204">
        <f>HYPERLINK("https://klasma.github.io/Logging_0883/tillsyn/A 60920-2023 tillsynsbegäran.docx", "A 60920-2023")</f>
        <v/>
      </c>
      <c r="Y204">
        <f>HYPERLINK("https://klasma.github.io/Logging_0883/tillsynsmail/A 60920-2023 tillsynsbegäran mail.docx", "A 60920-2023")</f>
        <v/>
      </c>
    </row>
    <row r="205" ht="15" customHeight="1">
      <c r="A205" t="inlineStr">
        <is>
          <t>A 61804-2023</t>
        </is>
      </c>
      <c r="B205" s="1" t="n">
        <v>45266</v>
      </c>
      <c r="C205" s="1" t="n">
        <v>45843</v>
      </c>
      <c r="D205" t="inlineStr">
        <is>
          <t>KALMAR LÄN</t>
        </is>
      </c>
      <c r="E205" t="inlineStr">
        <is>
          <t>VÄSTERVIK</t>
        </is>
      </c>
      <c r="G205" t="n">
        <v>2.3</v>
      </c>
      <c r="H205" t="n">
        <v>0</v>
      </c>
      <c r="I205" t="n">
        <v>0</v>
      </c>
      <c r="J205" t="n">
        <v>2</v>
      </c>
      <c r="K205" t="n">
        <v>0</v>
      </c>
      <c r="L205" t="n">
        <v>0</v>
      </c>
      <c r="M205" t="n">
        <v>0</v>
      </c>
      <c r="N205" t="n">
        <v>0</v>
      </c>
      <c r="O205" t="n">
        <v>2</v>
      </c>
      <c r="P205" t="n">
        <v>0</v>
      </c>
      <c r="Q205" t="n">
        <v>2</v>
      </c>
      <c r="R205" s="2" t="inlineStr">
        <is>
          <t>Bredbrämad bastardsvärmare
Smalsprötad bastardsvärmare</t>
        </is>
      </c>
      <c r="S205">
        <f>HYPERLINK("https://klasma.github.io/Logging_0883/artfynd/A 61804-2023 artfynd.xlsx", "A 61804-2023")</f>
        <v/>
      </c>
      <c r="T205">
        <f>HYPERLINK("https://klasma.github.io/Logging_0883/kartor/A 61804-2023 karta.png", "A 61804-2023")</f>
        <v/>
      </c>
      <c r="V205">
        <f>HYPERLINK("https://klasma.github.io/Logging_0883/klagomål/A 61804-2023 FSC-klagomål.docx", "A 61804-2023")</f>
        <v/>
      </c>
      <c r="W205">
        <f>HYPERLINK("https://klasma.github.io/Logging_0883/klagomålsmail/A 61804-2023 FSC-klagomål mail.docx", "A 61804-2023")</f>
        <v/>
      </c>
      <c r="X205">
        <f>HYPERLINK("https://klasma.github.io/Logging_0883/tillsyn/A 61804-2023 tillsynsbegäran.docx", "A 61804-2023")</f>
        <v/>
      </c>
      <c r="Y205">
        <f>HYPERLINK("https://klasma.github.io/Logging_0883/tillsynsmail/A 61804-2023 tillsynsbegäran mail.docx", "A 61804-2023")</f>
        <v/>
      </c>
    </row>
    <row r="206" ht="15" customHeight="1">
      <c r="A206" t="inlineStr">
        <is>
          <t>A 62008-2023</t>
        </is>
      </c>
      <c r="B206" s="1" t="n">
        <v>45266</v>
      </c>
      <c r="C206" s="1" t="n">
        <v>45843</v>
      </c>
      <c r="D206" t="inlineStr">
        <is>
          <t>KALMAR LÄN</t>
        </is>
      </c>
      <c r="E206" t="inlineStr">
        <is>
          <t>VÄSTERVIK</t>
        </is>
      </c>
      <c r="G206" t="n">
        <v>4</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62008-2023 artfynd.xlsx", "A 62008-2023")</f>
        <v/>
      </c>
      <c r="T206">
        <f>HYPERLINK("https://klasma.github.io/Logging_0883/kartor/A 62008-2023 karta.png", "A 62008-2023")</f>
        <v/>
      </c>
      <c r="U206">
        <f>HYPERLINK("https://klasma.github.io/Logging_0883/knärot/A 62008-2023 karta knärot.png", "A 62008-2023")</f>
        <v/>
      </c>
      <c r="V206">
        <f>HYPERLINK("https://klasma.github.io/Logging_0883/klagomål/A 62008-2023 FSC-klagomål.docx", "A 62008-2023")</f>
        <v/>
      </c>
      <c r="W206">
        <f>HYPERLINK("https://klasma.github.io/Logging_0883/klagomålsmail/A 62008-2023 FSC-klagomål mail.docx", "A 62008-2023")</f>
        <v/>
      </c>
      <c r="X206">
        <f>HYPERLINK("https://klasma.github.io/Logging_0883/tillsyn/A 62008-2023 tillsynsbegäran.docx", "A 62008-2023")</f>
        <v/>
      </c>
      <c r="Y206">
        <f>HYPERLINK("https://klasma.github.io/Logging_0883/tillsynsmail/A 62008-2023 tillsynsbegäran mail.docx", "A 62008-2023")</f>
        <v/>
      </c>
      <c r="Z206">
        <f>HYPERLINK("https://klasma.github.io/Logging_0883/fåglar/A 62008-2023 prioriterade fågelarter.docx", "A 62008-2023")</f>
        <v/>
      </c>
    </row>
    <row r="207" ht="15" customHeight="1">
      <c r="A207" t="inlineStr">
        <is>
          <t>A 62029-2023</t>
        </is>
      </c>
      <c r="B207" s="1" t="n">
        <v>45266</v>
      </c>
      <c r="C207" s="1" t="n">
        <v>45843</v>
      </c>
      <c r="D207" t="inlineStr">
        <is>
          <t>KALMAR LÄN</t>
        </is>
      </c>
      <c r="E207" t="inlineStr">
        <is>
          <t>VÄSTERVIK</t>
        </is>
      </c>
      <c r="G207" t="n">
        <v>4.8</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62029-2023 artfynd.xlsx", "A 62029-2023")</f>
        <v/>
      </c>
      <c r="T207">
        <f>HYPERLINK("https://klasma.github.io/Logging_0883/kartor/A 62029-2023 karta.png", "A 62029-2023")</f>
        <v/>
      </c>
      <c r="V207">
        <f>HYPERLINK("https://klasma.github.io/Logging_0883/klagomål/A 62029-2023 FSC-klagomål.docx", "A 62029-2023")</f>
        <v/>
      </c>
      <c r="W207">
        <f>HYPERLINK("https://klasma.github.io/Logging_0883/klagomålsmail/A 62029-2023 FSC-klagomål mail.docx", "A 62029-2023")</f>
        <v/>
      </c>
      <c r="X207">
        <f>HYPERLINK("https://klasma.github.io/Logging_0883/tillsyn/A 62029-2023 tillsynsbegäran.docx", "A 62029-2023")</f>
        <v/>
      </c>
      <c r="Y207">
        <f>HYPERLINK("https://klasma.github.io/Logging_0883/tillsynsmail/A 62029-2023 tillsynsbegäran mail.docx", "A 62029-2023")</f>
        <v/>
      </c>
      <c r="Z207">
        <f>HYPERLINK("https://klasma.github.io/Logging_0883/fåglar/A 62029-2023 prioriterade fågelarter.docx", "A 62029-2023")</f>
        <v/>
      </c>
    </row>
    <row r="208" ht="15" customHeight="1">
      <c r="A208" t="inlineStr">
        <is>
          <t>A 64761-2023</t>
        </is>
      </c>
      <c r="B208" s="1" t="n">
        <v>45282</v>
      </c>
      <c r="C208" s="1" t="n">
        <v>45843</v>
      </c>
      <c r="D208" t="inlineStr">
        <is>
          <t>KALMAR LÄN</t>
        </is>
      </c>
      <c r="E208" t="inlineStr">
        <is>
          <t>VÄSTERVIK</t>
        </is>
      </c>
      <c r="F208" t="inlineStr">
        <is>
          <t>Övriga Aktiebolag</t>
        </is>
      </c>
      <c r="G208" t="n">
        <v>5.8</v>
      </c>
      <c r="H208" t="n">
        <v>2</v>
      </c>
      <c r="I208" t="n">
        <v>0</v>
      </c>
      <c r="J208" t="n">
        <v>1</v>
      </c>
      <c r="K208" t="n">
        <v>1</v>
      </c>
      <c r="L208" t="n">
        <v>0</v>
      </c>
      <c r="M208" t="n">
        <v>0</v>
      </c>
      <c r="N208" t="n">
        <v>0</v>
      </c>
      <c r="O208" t="n">
        <v>2</v>
      </c>
      <c r="P208" t="n">
        <v>1</v>
      </c>
      <c r="Q208" t="n">
        <v>2</v>
      </c>
      <c r="R208" s="2" t="inlineStr">
        <is>
          <t>Knärot
Spillkråka</t>
        </is>
      </c>
      <c r="S208">
        <f>HYPERLINK("https://klasma.github.io/Logging_0883/artfynd/A 64761-2023 artfynd.xlsx", "A 64761-2023")</f>
        <v/>
      </c>
      <c r="T208">
        <f>HYPERLINK("https://klasma.github.io/Logging_0883/kartor/A 64761-2023 karta.png", "A 64761-2023")</f>
        <v/>
      </c>
      <c r="U208">
        <f>HYPERLINK("https://klasma.github.io/Logging_0883/knärot/A 64761-2023 karta knärot.png", "A 64761-2023")</f>
        <v/>
      </c>
      <c r="V208">
        <f>HYPERLINK("https://klasma.github.io/Logging_0883/klagomål/A 64761-2023 FSC-klagomål.docx", "A 64761-2023")</f>
        <v/>
      </c>
      <c r="W208">
        <f>HYPERLINK("https://klasma.github.io/Logging_0883/klagomålsmail/A 64761-2023 FSC-klagomål mail.docx", "A 64761-2023")</f>
        <v/>
      </c>
      <c r="X208">
        <f>HYPERLINK("https://klasma.github.io/Logging_0883/tillsyn/A 64761-2023 tillsynsbegäran.docx", "A 64761-2023")</f>
        <v/>
      </c>
      <c r="Y208">
        <f>HYPERLINK("https://klasma.github.io/Logging_0883/tillsynsmail/A 64761-2023 tillsynsbegäran mail.docx", "A 64761-2023")</f>
        <v/>
      </c>
      <c r="Z208">
        <f>HYPERLINK("https://klasma.github.io/Logging_0883/fåglar/A 64761-2023 prioriterade fågelarter.docx", "A 64761-2023")</f>
        <v/>
      </c>
    </row>
    <row r="209" ht="15" customHeight="1">
      <c r="A209" t="inlineStr">
        <is>
          <t>A 932-2024</t>
        </is>
      </c>
      <c r="B209" s="1" t="n">
        <v>45301</v>
      </c>
      <c r="C209" s="1" t="n">
        <v>45843</v>
      </c>
      <c r="D209" t="inlineStr">
        <is>
          <t>KALMAR LÄN</t>
        </is>
      </c>
      <c r="E209" t="inlineStr">
        <is>
          <t>VÄSTERVIK</t>
        </is>
      </c>
      <c r="G209" t="n">
        <v>3.7</v>
      </c>
      <c r="H209" t="n">
        <v>1</v>
      </c>
      <c r="I209" t="n">
        <v>1</v>
      </c>
      <c r="J209" t="n">
        <v>1</v>
      </c>
      <c r="K209" t="n">
        <v>0</v>
      </c>
      <c r="L209" t="n">
        <v>0</v>
      </c>
      <c r="M209" t="n">
        <v>0</v>
      </c>
      <c r="N209" t="n">
        <v>0</v>
      </c>
      <c r="O209" t="n">
        <v>1</v>
      </c>
      <c r="P209" t="n">
        <v>0</v>
      </c>
      <c r="Q209" t="n">
        <v>2</v>
      </c>
      <c r="R209" s="2" t="inlineStr">
        <is>
          <t>Spillkråka
Grovticka</t>
        </is>
      </c>
      <c r="S209">
        <f>HYPERLINK("https://klasma.github.io/Logging_0883/artfynd/A 932-2024 artfynd.xlsx", "A 932-2024")</f>
        <v/>
      </c>
      <c r="T209">
        <f>HYPERLINK("https://klasma.github.io/Logging_0883/kartor/A 932-2024 karta.png", "A 932-2024")</f>
        <v/>
      </c>
      <c r="V209">
        <f>HYPERLINK("https://klasma.github.io/Logging_0883/klagomål/A 932-2024 FSC-klagomål.docx", "A 932-2024")</f>
        <v/>
      </c>
      <c r="W209">
        <f>HYPERLINK("https://klasma.github.io/Logging_0883/klagomålsmail/A 932-2024 FSC-klagomål mail.docx", "A 932-2024")</f>
        <v/>
      </c>
      <c r="X209">
        <f>HYPERLINK("https://klasma.github.io/Logging_0883/tillsyn/A 932-2024 tillsynsbegäran.docx", "A 932-2024")</f>
        <v/>
      </c>
      <c r="Y209">
        <f>HYPERLINK("https://klasma.github.io/Logging_0883/tillsynsmail/A 932-2024 tillsynsbegäran mail.docx", "A 932-2024")</f>
        <v/>
      </c>
      <c r="Z209">
        <f>HYPERLINK("https://klasma.github.io/Logging_0883/fåglar/A 932-2024 prioriterade fågelarter.docx", "A 932-2024")</f>
        <v/>
      </c>
    </row>
    <row r="210" ht="15" customHeight="1">
      <c r="A210" t="inlineStr">
        <is>
          <t>A 948-2024</t>
        </is>
      </c>
      <c r="B210" s="1" t="n">
        <v>45301</v>
      </c>
      <c r="C210" s="1" t="n">
        <v>45843</v>
      </c>
      <c r="D210" t="inlineStr">
        <is>
          <t>KALMAR LÄN</t>
        </is>
      </c>
      <c r="E210" t="inlineStr">
        <is>
          <t>VÄSTERVIK</t>
        </is>
      </c>
      <c r="G210" t="n">
        <v>4.5</v>
      </c>
      <c r="H210" t="n">
        <v>1</v>
      </c>
      <c r="I210" t="n">
        <v>1</v>
      </c>
      <c r="J210" t="n">
        <v>0</v>
      </c>
      <c r="K210" t="n">
        <v>0</v>
      </c>
      <c r="L210" t="n">
        <v>0</v>
      </c>
      <c r="M210" t="n">
        <v>0</v>
      </c>
      <c r="N210" t="n">
        <v>0</v>
      </c>
      <c r="O210" t="n">
        <v>0</v>
      </c>
      <c r="P210" t="n">
        <v>0</v>
      </c>
      <c r="Q210" t="n">
        <v>2</v>
      </c>
      <c r="R210" s="2" t="inlineStr">
        <is>
          <t>Dropptaggsvamp
Tjäder</t>
        </is>
      </c>
      <c r="S210">
        <f>HYPERLINK("https://klasma.github.io/Logging_0883/artfynd/A 948-2024 artfynd.xlsx", "A 948-2024")</f>
        <v/>
      </c>
      <c r="T210">
        <f>HYPERLINK("https://klasma.github.io/Logging_0883/kartor/A 948-2024 karta.png", "A 948-2024")</f>
        <v/>
      </c>
      <c r="V210">
        <f>HYPERLINK("https://klasma.github.io/Logging_0883/klagomål/A 948-2024 FSC-klagomål.docx", "A 948-2024")</f>
        <v/>
      </c>
      <c r="W210">
        <f>HYPERLINK("https://klasma.github.io/Logging_0883/klagomålsmail/A 948-2024 FSC-klagomål mail.docx", "A 948-2024")</f>
        <v/>
      </c>
      <c r="X210">
        <f>HYPERLINK("https://klasma.github.io/Logging_0883/tillsyn/A 948-2024 tillsynsbegäran.docx", "A 948-2024")</f>
        <v/>
      </c>
      <c r="Y210">
        <f>HYPERLINK("https://klasma.github.io/Logging_0883/tillsynsmail/A 948-2024 tillsynsbegäran mail.docx", "A 948-2024")</f>
        <v/>
      </c>
      <c r="Z210">
        <f>HYPERLINK("https://klasma.github.io/Logging_0883/fåglar/A 948-2024 prioriterade fågelarter.docx", "A 948-2024")</f>
        <v/>
      </c>
    </row>
    <row r="211" ht="15" customHeight="1">
      <c r="A211" t="inlineStr">
        <is>
          <t>A 911-2024</t>
        </is>
      </c>
      <c r="B211" s="1" t="n">
        <v>45301</v>
      </c>
      <c r="C211" s="1" t="n">
        <v>45843</v>
      </c>
      <c r="D211" t="inlineStr">
        <is>
          <t>KALMAR LÄN</t>
        </is>
      </c>
      <c r="E211" t="inlineStr">
        <is>
          <t>VÄSTERVIK</t>
        </is>
      </c>
      <c r="G211" t="n">
        <v>5.6</v>
      </c>
      <c r="H211" t="n">
        <v>1</v>
      </c>
      <c r="I211" t="n">
        <v>1</v>
      </c>
      <c r="J211" t="n">
        <v>1</v>
      </c>
      <c r="K211" t="n">
        <v>0</v>
      </c>
      <c r="L211" t="n">
        <v>0</v>
      </c>
      <c r="M211" t="n">
        <v>0</v>
      </c>
      <c r="N211" t="n">
        <v>0</v>
      </c>
      <c r="O211" t="n">
        <v>1</v>
      </c>
      <c r="P211" t="n">
        <v>0</v>
      </c>
      <c r="Q211" t="n">
        <v>2</v>
      </c>
      <c r="R211" s="2" t="inlineStr">
        <is>
          <t>Talltita
Blodticka</t>
        </is>
      </c>
      <c r="S211">
        <f>HYPERLINK("https://klasma.github.io/Logging_0883/artfynd/A 911-2024 artfynd.xlsx", "A 911-2024")</f>
        <v/>
      </c>
      <c r="T211">
        <f>HYPERLINK("https://klasma.github.io/Logging_0883/kartor/A 911-2024 karta.png", "A 911-2024")</f>
        <v/>
      </c>
      <c r="V211">
        <f>HYPERLINK("https://klasma.github.io/Logging_0883/klagomål/A 911-2024 FSC-klagomål.docx", "A 911-2024")</f>
        <v/>
      </c>
      <c r="W211">
        <f>HYPERLINK("https://klasma.github.io/Logging_0883/klagomålsmail/A 911-2024 FSC-klagomål mail.docx", "A 911-2024")</f>
        <v/>
      </c>
      <c r="X211">
        <f>HYPERLINK("https://klasma.github.io/Logging_0883/tillsyn/A 911-2024 tillsynsbegäran.docx", "A 911-2024")</f>
        <v/>
      </c>
      <c r="Y211">
        <f>HYPERLINK("https://klasma.github.io/Logging_0883/tillsynsmail/A 911-2024 tillsynsbegäran mail.docx", "A 911-2024")</f>
        <v/>
      </c>
      <c r="Z211">
        <f>HYPERLINK("https://klasma.github.io/Logging_0883/fåglar/A 911-2024 prioriterade fågelarter.docx", "A 911-2024")</f>
        <v/>
      </c>
    </row>
    <row r="212" ht="15" customHeight="1">
      <c r="A212" t="inlineStr">
        <is>
          <t>A 941-2024</t>
        </is>
      </c>
      <c r="B212" s="1" t="n">
        <v>45301</v>
      </c>
      <c r="C212" s="1" t="n">
        <v>45843</v>
      </c>
      <c r="D212" t="inlineStr">
        <is>
          <t>KALMAR LÄN</t>
        </is>
      </c>
      <c r="E212" t="inlineStr">
        <is>
          <t>VÄSTERVIK</t>
        </is>
      </c>
      <c r="G212" t="n">
        <v>2.7</v>
      </c>
      <c r="H212" t="n">
        <v>1</v>
      </c>
      <c r="I212" t="n">
        <v>0</v>
      </c>
      <c r="J212" t="n">
        <v>1</v>
      </c>
      <c r="K212" t="n">
        <v>1</v>
      </c>
      <c r="L212" t="n">
        <v>0</v>
      </c>
      <c r="M212" t="n">
        <v>0</v>
      </c>
      <c r="N212" t="n">
        <v>0</v>
      </c>
      <c r="O212" t="n">
        <v>2</v>
      </c>
      <c r="P212" t="n">
        <v>1</v>
      </c>
      <c r="Q212" t="n">
        <v>2</v>
      </c>
      <c r="R212" s="2" t="inlineStr">
        <is>
          <t>Knärot
Svinrot</t>
        </is>
      </c>
      <c r="S212">
        <f>HYPERLINK("https://klasma.github.io/Logging_0883/artfynd/A 941-2024 artfynd.xlsx", "A 941-2024")</f>
        <v/>
      </c>
      <c r="T212">
        <f>HYPERLINK("https://klasma.github.io/Logging_0883/kartor/A 941-2024 karta.png", "A 941-2024")</f>
        <v/>
      </c>
      <c r="U212">
        <f>HYPERLINK("https://klasma.github.io/Logging_0883/knärot/A 941-2024 karta knärot.png", "A 941-2024")</f>
        <v/>
      </c>
      <c r="V212">
        <f>HYPERLINK("https://klasma.github.io/Logging_0883/klagomål/A 941-2024 FSC-klagomål.docx", "A 941-2024")</f>
        <v/>
      </c>
      <c r="W212">
        <f>HYPERLINK("https://klasma.github.io/Logging_0883/klagomålsmail/A 941-2024 FSC-klagomål mail.docx", "A 941-2024")</f>
        <v/>
      </c>
      <c r="X212">
        <f>HYPERLINK("https://klasma.github.io/Logging_0883/tillsyn/A 941-2024 tillsynsbegäran.docx", "A 941-2024")</f>
        <v/>
      </c>
      <c r="Y212">
        <f>HYPERLINK("https://klasma.github.io/Logging_0883/tillsynsmail/A 941-2024 tillsynsbegäran mail.docx", "A 941-2024")</f>
        <v/>
      </c>
    </row>
    <row r="213" ht="15" customHeight="1">
      <c r="A213" t="inlineStr">
        <is>
          <t>A 1373-2024</t>
        </is>
      </c>
      <c r="B213" s="1" t="n">
        <v>45303</v>
      </c>
      <c r="C213" s="1" t="n">
        <v>45843</v>
      </c>
      <c r="D213" t="inlineStr">
        <is>
          <t>KALMAR LÄN</t>
        </is>
      </c>
      <c r="E213" t="inlineStr">
        <is>
          <t>VÄSTERVIK</t>
        </is>
      </c>
      <c r="G213" t="n">
        <v>3.7</v>
      </c>
      <c r="H213" t="n">
        <v>1</v>
      </c>
      <c r="I213" t="n">
        <v>0</v>
      </c>
      <c r="J213" t="n">
        <v>2</v>
      </c>
      <c r="K213" t="n">
        <v>0</v>
      </c>
      <c r="L213" t="n">
        <v>0</v>
      </c>
      <c r="M213" t="n">
        <v>0</v>
      </c>
      <c r="N213" t="n">
        <v>0</v>
      </c>
      <c r="O213" t="n">
        <v>2</v>
      </c>
      <c r="P213" t="n">
        <v>0</v>
      </c>
      <c r="Q213" t="n">
        <v>2</v>
      </c>
      <c r="R213" s="2" t="inlineStr">
        <is>
          <t>Tallticka
Talltita</t>
        </is>
      </c>
      <c r="S213">
        <f>HYPERLINK("https://klasma.github.io/Logging_0883/artfynd/A 1373-2024 artfynd.xlsx", "A 1373-2024")</f>
        <v/>
      </c>
      <c r="T213">
        <f>HYPERLINK("https://klasma.github.io/Logging_0883/kartor/A 1373-2024 karta.png", "A 1373-2024")</f>
        <v/>
      </c>
      <c r="U213">
        <f>HYPERLINK("https://klasma.github.io/Logging_0883/knärot/A 1373-2024 karta knärot.png", "A 1373-2024")</f>
        <v/>
      </c>
      <c r="V213">
        <f>HYPERLINK("https://klasma.github.io/Logging_0883/klagomål/A 1373-2024 FSC-klagomål.docx", "A 1373-2024")</f>
        <v/>
      </c>
      <c r="W213">
        <f>HYPERLINK("https://klasma.github.io/Logging_0883/klagomålsmail/A 1373-2024 FSC-klagomål mail.docx", "A 1373-2024")</f>
        <v/>
      </c>
      <c r="X213">
        <f>HYPERLINK("https://klasma.github.io/Logging_0883/tillsyn/A 1373-2024 tillsynsbegäran.docx", "A 1373-2024")</f>
        <v/>
      </c>
      <c r="Y213">
        <f>HYPERLINK("https://klasma.github.io/Logging_0883/tillsynsmail/A 1373-2024 tillsynsbegäran mail.docx", "A 1373-2024")</f>
        <v/>
      </c>
      <c r="Z213">
        <f>HYPERLINK("https://klasma.github.io/Logging_0883/fåglar/A 1373-2024 prioriterade fågelarter.docx", "A 1373-2024")</f>
        <v/>
      </c>
    </row>
    <row r="214" ht="15" customHeight="1">
      <c r="A214" t="inlineStr">
        <is>
          <t>A 2126-2024</t>
        </is>
      </c>
      <c r="B214" s="1" t="n">
        <v>45309</v>
      </c>
      <c r="C214" s="1" t="n">
        <v>45843</v>
      </c>
      <c r="D214" t="inlineStr">
        <is>
          <t>KALMAR LÄN</t>
        </is>
      </c>
      <c r="E214" t="inlineStr">
        <is>
          <t>VÄSTERVIK</t>
        </is>
      </c>
      <c r="G214" t="n">
        <v>3.8</v>
      </c>
      <c r="H214" t="n">
        <v>2</v>
      </c>
      <c r="I214" t="n">
        <v>0</v>
      </c>
      <c r="J214" t="n">
        <v>1</v>
      </c>
      <c r="K214" t="n">
        <v>1</v>
      </c>
      <c r="L214" t="n">
        <v>0</v>
      </c>
      <c r="M214" t="n">
        <v>0</v>
      </c>
      <c r="N214" t="n">
        <v>0</v>
      </c>
      <c r="O214" t="n">
        <v>2</v>
      </c>
      <c r="P214" t="n">
        <v>1</v>
      </c>
      <c r="Q214" t="n">
        <v>2</v>
      </c>
      <c r="R214" s="2" t="inlineStr">
        <is>
          <t>Knärot
Talltita</t>
        </is>
      </c>
      <c r="S214">
        <f>HYPERLINK("https://klasma.github.io/Logging_0883/artfynd/A 2126-2024 artfynd.xlsx", "A 2126-2024")</f>
        <v/>
      </c>
      <c r="T214">
        <f>HYPERLINK("https://klasma.github.io/Logging_0883/kartor/A 2126-2024 karta.png", "A 2126-2024")</f>
        <v/>
      </c>
      <c r="U214">
        <f>HYPERLINK("https://klasma.github.io/Logging_0883/knärot/A 2126-2024 karta knärot.png", "A 2126-2024")</f>
        <v/>
      </c>
      <c r="V214">
        <f>HYPERLINK("https://klasma.github.io/Logging_0883/klagomål/A 2126-2024 FSC-klagomål.docx", "A 2126-2024")</f>
        <v/>
      </c>
      <c r="W214">
        <f>HYPERLINK("https://klasma.github.io/Logging_0883/klagomålsmail/A 2126-2024 FSC-klagomål mail.docx", "A 2126-2024")</f>
        <v/>
      </c>
      <c r="X214">
        <f>HYPERLINK("https://klasma.github.io/Logging_0883/tillsyn/A 2126-2024 tillsynsbegäran.docx", "A 2126-2024")</f>
        <v/>
      </c>
      <c r="Y214">
        <f>HYPERLINK("https://klasma.github.io/Logging_0883/tillsynsmail/A 2126-2024 tillsynsbegäran mail.docx", "A 2126-2024")</f>
        <v/>
      </c>
      <c r="Z214">
        <f>HYPERLINK("https://klasma.github.io/Logging_0883/fåglar/A 2126-2024 prioriterade fågelarter.docx", "A 2126-2024")</f>
        <v/>
      </c>
    </row>
    <row r="215" ht="15" customHeight="1">
      <c r="A215" t="inlineStr">
        <is>
          <t>A 2809-2024</t>
        </is>
      </c>
      <c r="B215" s="1" t="n">
        <v>45314</v>
      </c>
      <c r="C215" s="1" t="n">
        <v>45843</v>
      </c>
      <c r="D215" t="inlineStr">
        <is>
          <t>KALMAR LÄN</t>
        </is>
      </c>
      <c r="E215" t="inlineStr">
        <is>
          <t>VÄSTERVIK</t>
        </is>
      </c>
      <c r="G215" t="n">
        <v>4.7</v>
      </c>
      <c r="H215" t="n">
        <v>1</v>
      </c>
      <c r="I215" t="n">
        <v>0</v>
      </c>
      <c r="J215" t="n">
        <v>1</v>
      </c>
      <c r="K215" t="n">
        <v>0</v>
      </c>
      <c r="L215" t="n">
        <v>0</v>
      </c>
      <c r="M215" t="n">
        <v>0</v>
      </c>
      <c r="N215" t="n">
        <v>0</v>
      </c>
      <c r="O215" t="n">
        <v>1</v>
      </c>
      <c r="P215" t="n">
        <v>0</v>
      </c>
      <c r="Q215" t="n">
        <v>2</v>
      </c>
      <c r="R215" s="2" t="inlineStr">
        <is>
          <t>Tallticka
Tjäder</t>
        </is>
      </c>
      <c r="S215">
        <f>HYPERLINK("https://klasma.github.io/Logging_0883/artfynd/A 2809-2024 artfynd.xlsx", "A 2809-2024")</f>
        <v/>
      </c>
      <c r="T215">
        <f>HYPERLINK("https://klasma.github.io/Logging_0883/kartor/A 2809-2024 karta.png", "A 2809-2024")</f>
        <v/>
      </c>
      <c r="U215">
        <f>HYPERLINK("https://klasma.github.io/Logging_0883/knärot/A 2809-2024 karta knärot.png", "A 2809-2024")</f>
        <v/>
      </c>
      <c r="V215">
        <f>HYPERLINK("https://klasma.github.io/Logging_0883/klagomål/A 2809-2024 FSC-klagomål.docx", "A 2809-2024")</f>
        <v/>
      </c>
      <c r="W215">
        <f>HYPERLINK("https://klasma.github.io/Logging_0883/klagomålsmail/A 2809-2024 FSC-klagomål mail.docx", "A 2809-2024")</f>
        <v/>
      </c>
      <c r="X215">
        <f>HYPERLINK("https://klasma.github.io/Logging_0883/tillsyn/A 2809-2024 tillsynsbegäran.docx", "A 2809-2024")</f>
        <v/>
      </c>
      <c r="Y215">
        <f>HYPERLINK("https://klasma.github.io/Logging_0883/tillsynsmail/A 2809-2024 tillsynsbegäran mail.docx", "A 2809-2024")</f>
        <v/>
      </c>
      <c r="Z215">
        <f>HYPERLINK("https://klasma.github.io/Logging_0883/fåglar/A 2809-2024 prioriterade fågelarter.docx", "A 2809-2024")</f>
        <v/>
      </c>
    </row>
    <row r="216" ht="15" customHeight="1">
      <c r="A216" t="inlineStr">
        <is>
          <t>A 3264-2024</t>
        </is>
      </c>
      <c r="B216" s="1" t="n">
        <v>45317</v>
      </c>
      <c r="C216" s="1" t="n">
        <v>45843</v>
      </c>
      <c r="D216" t="inlineStr">
        <is>
          <t>KALMAR LÄN</t>
        </is>
      </c>
      <c r="E216" t="inlineStr">
        <is>
          <t>VÄSTERVIK</t>
        </is>
      </c>
      <c r="G216" t="n">
        <v>6.5</v>
      </c>
      <c r="H216" t="n">
        <v>1</v>
      </c>
      <c r="I216" t="n">
        <v>1</v>
      </c>
      <c r="J216" t="n">
        <v>1</v>
      </c>
      <c r="K216" t="n">
        <v>0</v>
      </c>
      <c r="L216" t="n">
        <v>0</v>
      </c>
      <c r="M216" t="n">
        <v>0</v>
      </c>
      <c r="N216" t="n">
        <v>0</v>
      </c>
      <c r="O216" t="n">
        <v>1</v>
      </c>
      <c r="P216" t="n">
        <v>0</v>
      </c>
      <c r="Q216" t="n">
        <v>2</v>
      </c>
      <c r="R216" s="2" t="inlineStr">
        <is>
          <t>Spillkråka
Blåmossa</t>
        </is>
      </c>
      <c r="S216">
        <f>HYPERLINK("https://klasma.github.io/Logging_0883/artfynd/A 3264-2024 artfynd.xlsx", "A 3264-2024")</f>
        <v/>
      </c>
      <c r="T216">
        <f>HYPERLINK("https://klasma.github.io/Logging_0883/kartor/A 3264-2024 karta.png", "A 3264-2024")</f>
        <v/>
      </c>
      <c r="V216">
        <f>HYPERLINK("https://klasma.github.io/Logging_0883/klagomål/A 3264-2024 FSC-klagomål.docx", "A 3264-2024")</f>
        <v/>
      </c>
      <c r="W216">
        <f>HYPERLINK("https://klasma.github.io/Logging_0883/klagomålsmail/A 3264-2024 FSC-klagomål mail.docx", "A 3264-2024")</f>
        <v/>
      </c>
      <c r="X216">
        <f>HYPERLINK("https://klasma.github.io/Logging_0883/tillsyn/A 3264-2024 tillsynsbegäran.docx", "A 3264-2024")</f>
        <v/>
      </c>
      <c r="Y216">
        <f>HYPERLINK("https://klasma.github.io/Logging_0883/tillsynsmail/A 3264-2024 tillsynsbegäran mail.docx", "A 3264-2024")</f>
        <v/>
      </c>
      <c r="Z216">
        <f>HYPERLINK("https://klasma.github.io/Logging_0883/fåglar/A 3264-2024 prioriterade fågelarter.docx", "A 3264-2024")</f>
        <v/>
      </c>
    </row>
    <row r="217" ht="15" customHeight="1">
      <c r="A217" t="inlineStr">
        <is>
          <t>A 3658-2024</t>
        </is>
      </c>
      <c r="B217" s="1" t="n">
        <v>45321</v>
      </c>
      <c r="C217" s="1" t="n">
        <v>45843</v>
      </c>
      <c r="D217" t="inlineStr">
        <is>
          <t>KALMAR LÄN</t>
        </is>
      </c>
      <c r="E217" t="inlineStr">
        <is>
          <t>VÄSTERVIK</t>
        </is>
      </c>
      <c r="G217" t="n">
        <v>2.6</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3658-2024 artfynd.xlsx", "A 3658-2024")</f>
        <v/>
      </c>
      <c r="T217">
        <f>HYPERLINK("https://klasma.github.io/Logging_0883/kartor/A 3658-2024 karta.png", "A 3658-2024")</f>
        <v/>
      </c>
      <c r="U217">
        <f>HYPERLINK("https://klasma.github.io/Logging_0883/knärot/A 3658-2024 karta knärot.png", "A 3658-2024")</f>
        <v/>
      </c>
      <c r="V217">
        <f>HYPERLINK("https://klasma.github.io/Logging_0883/klagomål/A 3658-2024 FSC-klagomål.docx", "A 3658-2024")</f>
        <v/>
      </c>
      <c r="W217">
        <f>HYPERLINK("https://klasma.github.io/Logging_0883/klagomålsmail/A 3658-2024 FSC-klagomål mail.docx", "A 3658-2024")</f>
        <v/>
      </c>
      <c r="X217">
        <f>HYPERLINK("https://klasma.github.io/Logging_0883/tillsyn/A 3658-2024 tillsynsbegäran.docx", "A 3658-2024")</f>
        <v/>
      </c>
      <c r="Y217">
        <f>HYPERLINK("https://klasma.github.io/Logging_0883/tillsynsmail/A 3658-2024 tillsynsbegäran mail.docx", "A 3658-2024")</f>
        <v/>
      </c>
    </row>
    <row r="218" ht="15" customHeight="1">
      <c r="A218" t="inlineStr">
        <is>
          <t>A 8618-2024</t>
        </is>
      </c>
      <c r="B218" s="1" t="n">
        <v>45355</v>
      </c>
      <c r="C218" s="1" t="n">
        <v>45843</v>
      </c>
      <c r="D218" t="inlineStr">
        <is>
          <t>KALMAR LÄN</t>
        </is>
      </c>
      <c r="E218" t="inlineStr">
        <is>
          <t>VÄSTERVIK</t>
        </is>
      </c>
      <c r="G218" t="n">
        <v>4.3</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8618-2024 artfynd.xlsx", "A 8618-2024")</f>
        <v/>
      </c>
      <c r="T218">
        <f>HYPERLINK("https://klasma.github.io/Logging_0883/kartor/A 8618-2024 karta.png", "A 8618-2024")</f>
        <v/>
      </c>
      <c r="U218">
        <f>HYPERLINK("https://klasma.github.io/Logging_0883/knärot/A 8618-2024 karta knärot.png", "A 8618-2024")</f>
        <v/>
      </c>
      <c r="V218">
        <f>HYPERLINK("https://klasma.github.io/Logging_0883/klagomål/A 8618-2024 FSC-klagomål.docx", "A 8618-2024")</f>
        <v/>
      </c>
      <c r="W218">
        <f>HYPERLINK("https://klasma.github.io/Logging_0883/klagomålsmail/A 8618-2024 FSC-klagomål mail.docx", "A 8618-2024")</f>
        <v/>
      </c>
      <c r="X218">
        <f>HYPERLINK("https://klasma.github.io/Logging_0883/tillsyn/A 8618-2024 tillsynsbegäran.docx", "A 8618-2024")</f>
        <v/>
      </c>
      <c r="Y218">
        <f>HYPERLINK("https://klasma.github.io/Logging_0883/tillsynsmail/A 8618-2024 tillsynsbegäran mail.docx", "A 8618-2024")</f>
        <v/>
      </c>
    </row>
    <row r="219" ht="15" customHeight="1">
      <c r="A219" t="inlineStr">
        <is>
          <t>A 9770-2024</t>
        </is>
      </c>
      <c r="B219" s="1" t="n">
        <v>45362</v>
      </c>
      <c r="C219" s="1" t="n">
        <v>45843</v>
      </c>
      <c r="D219" t="inlineStr">
        <is>
          <t>KALMAR LÄN</t>
        </is>
      </c>
      <c r="E219" t="inlineStr">
        <is>
          <t>VÄSTERVIK</t>
        </is>
      </c>
      <c r="G219" t="n">
        <v>2.6</v>
      </c>
      <c r="H219" t="n">
        <v>2</v>
      </c>
      <c r="I219" t="n">
        <v>0</v>
      </c>
      <c r="J219" t="n">
        <v>1</v>
      </c>
      <c r="K219" t="n">
        <v>0</v>
      </c>
      <c r="L219" t="n">
        <v>0</v>
      </c>
      <c r="M219" t="n">
        <v>0</v>
      </c>
      <c r="N219" t="n">
        <v>0</v>
      </c>
      <c r="O219" t="n">
        <v>1</v>
      </c>
      <c r="P219" t="n">
        <v>0</v>
      </c>
      <c r="Q219" t="n">
        <v>2</v>
      </c>
      <c r="R219" s="2" t="inlineStr">
        <is>
          <t>Talltita
Tjäder</t>
        </is>
      </c>
      <c r="S219">
        <f>HYPERLINK("https://klasma.github.io/Logging_0883/artfynd/A 9770-2024 artfynd.xlsx", "A 9770-2024")</f>
        <v/>
      </c>
      <c r="T219">
        <f>HYPERLINK("https://klasma.github.io/Logging_0883/kartor/A 9770-2024 karta.png", "A 9770-2024")</f>
        <v/>
      </c>
      <c r="V219">
        <f>HYPERLINK("https://klasma.github.io/Logging_0883/klagomål/A 9770-2024 FSC-klagomål.docx", "A 9770-2024")</f>
        <v/>
      </c>
      <c r="W219">
        <f>HYPERLINK("https://klasma.github.io/Logging_0883/klagomålsmail/A 9770-2024 FSC-klagomål mail.docx", "A 9770-2024")</f>
        <v/>
      </c>
      <c r="X219">
        <f>HYPERLINK("https://klasma.github.io/Logging_0883/tillsyn/A 9770-2024 tillsynsbegäran.docx", "A 9770-2024")</f>
        <v/>
      </c>
      <c r="Y219">
        <f>HYPERLINK("https://klasma.github.io/Logging_0883/tillsynsmail/A 9770-2024 tillsynsbegäran mail.docx", "A 9770-2024")</f>
        <v/>
      </c>
      <c r="Z219">
        <f>HYPERLINK("https://klasma.github.io/Logging_0883/fåglar/A 9770-2024 prioriterade fågelarter.docx", "A 9770-2024")</f>
        <v/>
      </c>
    </row>
    <row r="220" ht="15" customHeight="1">
      <c r="A220" t="inlineStr">
        <is>
          <t>A 11849-2024</t>
        </is>
      </c>
      <c r="B220" s="1" t="n">
        <v>45376</v>
      </c>
      <c r="C220" s="1" t="n">
        <v>45843</v>
      </c>
      <c r="D220" t="inlineStr">
        <is>
          <t>KALMAR LÄN</t>
        </is>
      </c>
      <c r="E220" t="inlineStr">
        <is>
          <t>VÄSTERVIK</t>
        </is>
      </c>
      <c r="F220" t="inlineStr">
        <is>
          <t>Sveaskog</t>
        </is>
      </c>
      <c r="G220" t="n">
        <v>5.3</v>
      </c>
      <c r="H220" t="n">
        <v>2</v>
      </c>
      <c r="I220" t="n">
        <v>0</v>
      </c>
      <c r="J220" t="n">
        <v>0</v>
      </c>
      <c r="K220" t="n">
        <v>0</v>
      </c>
      <c r="L220" t="n">
        <v>0</v>
      </c>
      <c r="M220" t="n">
        <v>0</v>
      </c>
      <c r="N220" t="n">
        <v>0</v>
      </c>
      <c r="O220" t="n">
        <v>0</v>
      </c>
      <c r="P220" t="n">
        <v>0</v>
      </c>
      <c r="Q220" t="n">
        <v>2</v>
      </c>
      <c r="R220" s="2" t="inlineStr">
        <is>
          <t>Mattlummer
Revlummer</t>
        </is>
      </c>
      <c r="S220">
        <f>HYPERLINK("https://klasma.github.io/Logging_0883/artfynd/A 11849-2024 artfynd.xlsx", "A 11849-2024")</f>
        <v/>
      </c>
      <c r="T220">
        <f>HYPERLINK("https://klasma.github.io/Logging_0883/kartor/A 11849-2024 karta.png", "A 11849-2024")</f>
        <v/>
      </c>
      <c r="V220">
        <f>HYPERLINK("https://klasma.github.io/Logging_0883/klagomål/A 11849-2024 FSC-klagomål.docx", "A 11849-2024")</f>
        <v/>
      </c>
      <c r="W220">
        <f>HYPERLINK("https://klasma.github.io/Logging_0883/klagomålsmail/A 11849-2024 FSC-klagomål mail.docx", "A 11849-2024")</f>
        <v/>
      </c>
      <c r="X220">
        <f>HYPERLINK("https://klasma.github.io/Logging_0883/tillsyn/A 11849-2024 tillsynsbegäran.docx", "A 11849-2024")</f>
        <v/>
      </c>
      <c r="Y220">
        <f>HYPERLINK("https://klasma.github.io/Logging_0883/tillsynsmail/A 11849-2024 tillsynsbegäran mail.docx", "A 11849-2024")</f>
        <v/>
      </c>
    </row>
    <row r="221" ht="15" customHeight="1">
      <c r="A221" t="inlineStr">
        <is>
          <t>A 12212-2024</t>
        </is>
      </c>
      <c r="B221" s="1" t="n">
        <v>45378</v>
      </c>
      <c r="C221" s="1" t="n">
        <v>45843</v>
      </c>
      <c r="D221" t="inlineStr">
        <is>
          <t>KALMAR LÄN</t>
        </is>
      </c>
      <c r="E221" t="inlineStr">
        <is>
          <t>VÄSTERVIK</t>
        </is>
      </c>
      <c r="G221" t="n">
        <v>0.8</v>
      </c>
      <c r="H221" t="n">
        <v>2</v>
      </c>
      <c r="I221" t="n">
        <v>0</v>
      </c>
      <c r="J221" t="n">
        <v>2</v>
      </c>
      <c r="K221" t="n">
        <v>0</v>
      </c>
      <c r="L221" t="n">
        <v>0</v>
      </c>
      <c r="M221" t="n">
        <v>0</v>
      </c>
      <c r="N221" t="n">
        <v>0</v>
      </c>
      <c r="O221" t="n">
        <v>2</v>
      </c>
      <c r="P221" t="n">
        <v>0</v>
      </c>
      <c r="Q221" t="n">
        <v>2</v>
      </c>
      <c r="R221" s="2" t="inlineStr">
        <is>
          <t>Spillkråka
Talltita</t>
        </is>
      </c>
      <c r="S221">
        <f>HYPERLINK("https://klasma.github.io/Logging_0883/artfynd/A 12212-2024 artfynd.xlsx", "A 12212-2024")</f>
        <v/>
      </c>
      <c r="T221">
        <f>HYPERLINK("https://klasma.github.io/Logging_0883/kartor/A 12212-2024 karta.png", "A 12212-2024")</f>
        <v/>
      </c>
      <c r="V221">
        <f>HYPERLINK("https://klasma.github.io/Logging_0883/klagomål/A 12212-2024 FSC-klagomål.docx", "A 12212-2024")</f>
        <v/>
      </c>
      <c r="W221">
        <f>HYPERLINK("https://klasma.github.io/Logging_0883/klagomålsmail/A 12212-2024 FSC-klagomål mail.docx", "A 12212-2024")</f>
        <v/>
      </c>
      <c r="X221">
        <f>HYPERLINK("https://klasma.github.io/Logging_0883/tillsyn/A 12212-2024 tillsynsbegäran.docx", "A 12212-2024")</f>
        <v/>
      </c>
      <c r="Y221">
        <f>HYPERLINK("https://klasma.github.io/Logging_0883/tillsynsmail/A 12212-2024 tillsynsbegäran mail.docx", "A 12212-2024")</f>
        <v/>
      </c>
      <c r="Z221">
        <f>HYPERLINK("https://klasma.github.io/Logging_0883/fåglar/A 12212-2024 prioriterade fågelarter.docx", "A 12212-2024")</f>
        <v/>
      </c>
    </row>
    <row r="222" ht="15" customHeight="1">
      <c r="A222" t="inlineStr">
        <is>
          <t>A 12598-2024</t>
        </is>
      </c>
      <c r="B222" s="1" t="n">
        <v>45380</v>
      </c>
      <c r="C222" s="1" t="n">
        <v>45843</v>
      </c>
      <c r="D222" t="inlineStr">
        <is>
          <t>KALMAR LÄN</t>
        </is>
      </c>
      <c r="E222" t="inlineStr">
        <is>
          <t>VÄSTERVIK</t>
        </is>
      </c>
      <c r="F222" t="inlineStr">
        <is>
          <t>Holmen skog AB</t>
        </is>
      </c>
      <c r="G222" t="n">
        <v>5</v>
      </c>
      <c r="H222" t="n">
        <v>1</v>
      </c>
      <c r="I222" t="n">
        <v>1</v>
      </c>
      <c r="J222" t="n">
        <v>0</v>
      </c>
      <c r="K222" t="n">
        <v>1</v>
      </c>
      <c r="L222" t="n">
        <v>0</v>
      </c>
      <c r="M222" t="n">
        <v>0</v>
      </c>
      <c r="N222" t="n">
        <v>0</v>
      </c>
      <c r="O222" t="n">
        <v>1</v>
      </c>
      <c r="P222" t="n">
        <v>1</v>
      </c>
      <c r="Q222" t="n">
        <v>2</v>
      </c>
      <c r="R222" s="2" t="inlineStr">
        <is>
          <t>Knärot
Grönpyrola</t>
        </is>
      </c>
      <c r="S222">
        <f>HYPERLINK("https://klasma.github.io/Logging_0883/artfynd/A 12598-2024 artfynd.xlsx", "A 12598-2024")</f>
        <v/>
      </c>
      <c r="T222">
        <f>HYPERLINK("https://klasma.github.io/Logging_0883/kartor/A 12598-2024 karta.png", "A 12598-2024")</f>
        <v/>
      </c>
      <c r="U222">
        <f>HYPERLINK("https://klasma.github.io/Logging_0883/knärot/A 12598-2024 karta knärot.png", "A 12598-2024")</f>
        <v/>
      </c>
      <c r="V222">
        <f>HYPERLINK("https://klasma.github.io/Logging_0883/klagomål/A 12598-2024 FSC-klagomål.docx", "A 12598-2024")</f>
        <v/>
      </c>
      <c r="W222">
        <f>HYPERLINK("https://klasma.github.io/Logging_0883/klagomålsmail/A 12598-2024 FSC-klagomål mail.docx", "A 12598-2024")</f>
        <v/>
      </c>
      <c r="X222">
        <f>HYPERLINK("https://klasma.github.io/Logging_0883/tillsyn/A 12598-2024 tillsynsbegäran.docx", "A 12598-2024")</f>
        <v/>
      </c>
      <c r="Y222">
        <f>HYPERLINK("https://klasma.github.io/Logging_0883/tillsynsmail/A 12598-2024 tillsynsbegäran mail.docx", "A 12598-2024")</f>
        <v/>
      </c>
    </row>
    <row r="223" ht="15" customHeight="1">
      <c r="A223" t="inlineStr">
        <is>
          <t>A 15534-2024</t>
        </is>
      </c>
      <c r="B223" s="1" t="n">
        <v>45401</v>
      </c>
      <c r="C223" s="1" t="n">
        <v>45843</v>
      </c>
      <c r="D223" t="inlineStr">
        <is>
          <t>KALMAR LÄN</t>
        </is>
      </c>
      <c r="E223" t="inlineStr">
        <is>
          <t>VÄSTERVIK</t>
        </is>
      </c>
      <c r="F223" t="inlineStr">
        <is>
          <t>Holmen skog AB</t>
        </is>
      </c>
      <c r="G223" t="n">
        <v>5.1</v>
      </c>
      <c r="H223" t="n">
        <v>1</v>
      </c>
      <c r="I223" t="n">
        <v>0</v>
      </c>
      <c r="J223" t="n">
        <v>1</v>
      </c>
      <c r="K223" t="n">
        <v>1</v>
      </c>
      <c r="L223" t="n">
        <v>0</v>
      </c>
      <c r="M223" t="n">
        <v>0</v>
      </c>
      <c r="N223" t="n">
        <v>0</v>
      </c>
      <c r="O223" t="n">
        <v>2</v>
      </c>
      <c r="P223" t="n">
        <v>1</v>
      </c>
      <c r="Q223" t="n">
        <v>2</v>
      </c>
      <c r="R223" s="2" t="inlineStr">
        <is>
          <t>Knärot
Tallticka</t>
        </is>
      </c>
      <c r="S223">
        <f>HYPERLINK("https://klasma.github.io/Logging_0883/artfynd/A 15534-2024 artfynd.xlsx", "A 15534-2024")</f>
        <v/>
      </c>
      <c r="T223">
        <f>HYPERLINK("https://klasma.github.io/Logging_0883/kartor/A 15534-2024 karta.png", "A 15534-2024")</f>
        <v/>
      </c>
      <c r="U223">
        <f>HYPERLINK("https://klasma.github.io/Logging_0883/knärot/A 15534-2024 karta knärot.png", "A 15534-2024")</f>
        <v/>
      </c>
      <c r="V223">
        <f>HYPERLINK("https://klasma.github.io/Logging_0883/klagomål/A 15534-2024 FSC-klagomål.docx", "A 15534-2024")</f>
        <v/>
      </c>
      <c r="W223">
        <f>HYPERLINK("https://klasma.github.io/Logging_0883/klagomålsmail/A 15534-2024 FSC-klagomål mail.docx", "A 15534-2024")</f>
        <v/>
      </c>
      <c r="X223">
        <f>HYPERLINK("https://klasma.github.io/Logging_0883/tillsyn/A 15534-2024 tillsynsbegäran.docx", "A 15534-2024")</f>
        <v/>
      </c>
      <c r="Y223">
        <f>HYPERLINK("https://klasma.github.io/Logging_0883/tillsynsmail/A 15534-2024 tillsynsbegäran mail.docx", "A 15534-2024")</f>
        <v/>
      </c>
    </row>
    <row r="224" ht="15" customHeight="1">
      <c r="A224" t="inlineStr">
        <is>
          <t>A 16419-2024</t>
        </is>
      </c>
      <c r="B224" s="1" t="n">
        <v>45407</v>
      </c>
      <c r="C224" s="1" t="n">
        <v>45843</v>
      </c>
      <c r="D224" t="inlineStr">
        <is>
          <t>KALMAR LÄN</t>
        </is>
      </c>
      <c r="E224" t="inlineStr">
        <is>
          <t>VÄSTERVIK</t>
        </is>
      </c>
      <c r="F224" t="inlineStr">
        <is>
          <t>Holmen skog AB</t>
        </is>
      </c>
      <c r="G224" t="n">
        <v>1.8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16419-2024 artfynd.xlsx", "A 16419-2024")</f>
        <v/>
      </c>
      <c r="T224">
        <f>HYPERLINK("https://klasma.github.io/Logging_0883/kartor/A 16419-2024 karta.png", "A 16419-2024")</f>
        <v/>
      </c>
      <c r="U224">
        <f>HYPERLINK("https://klasma.github.io/Logging_0883/knärot/A 16419-2024 karta knärot.png", "A 16419-2024")</f>
        <v/>
      </c>
      <c r="V224">
        <f>HYPERLINK("https://klasma.github.io/Logging_0883/klagomål/A 16419-2024 FSC-klagomål.docx", "A 16419-2024")</f>
        <v/>
      </c>
      <c r="W224">
        <f>HYPERLINK("https://klasma.github.io/Logging_0883/klagomålsmail/A 16419-2024 FSC-klagomål mail.docx", "A 16419-2024")</f>
        <v/>
      </c>
      <c r="X224">
        <f>HYPERLINK("https://klasma.github.io/Logging_0883/tillsyn/A 16419-2024 tillsynsbegäran.docx", "A 16419-2024")</f>
        <v/>
      </c>
      <c r="Y224">
        <f>HYPERLINK("https://klasma.github.io/Logging_0883/tillsynsmail/A 16419-2024 tillsynsbegäran mail.docx", "A 16419-2024")</f>
        <v/>
      </c>
      <c r="Z224">
        <f>HYPERLINK("https://klasma.github.io/Logging_0883/fåglar/A 16419-2024 prioriterade fågelarter.docx", "A 16419-2024")</f>
        <v/>
      </c>
    </row>
    <row r="225" ht="15" customHeight="1">
      <c r="A225" t="inlineStr">
        <is>
          <t>A 17438-2024</t>
        </is>
      </c>
      <c r="B225" s="1" t="n">
        <v>45415</v>
      </c>
      <c r="C225" s="1" t="n">
        <v>45843</v>
      </c>
      <c r="D225" t="inlineStr">
        <is>
          <t>KALMAR LÄN</t>
        </is>
      </c>
      <c r="E225" t="inlineStr">
        <is>
          <t>VÄSTERVIK</t>
        </is>
      </c>
      <c r="G225" t="n">
        <v>3.8</v>
      </c>
      <c r="H225" t="n">
        <v>2</v>
      </c>
      <c r="I225" t="n">
        <v>0</v>
      </c>
      <c r="J225" t="n">
        <v>1</v>
      </c>
      <c r="K225" t="n">
        <v>1</v>
      </c>
      <c r="L225" t="n">
        <v>0</v>
      </c>
      <c r="M225" t="n">
        <v>0</v>
      </c>
      <c r="N225" t="n">
        <v>0</v>
      </c>
      <c r="O225" t="n">
        <v>2</v>
      </c>
      <c r="P225" t="n">
        <v>1</v>
      </c>
      <c r="Q225" t="n">
        <v>2</v>
      </c>
      <c r="R225" s="2" t="inlineStr">
        <is>
          <t>Knärot
Spillkråka</t>
        </is>
      </c>
      <c r="S225">
        <f>HYPERLINK("https://klasma.github.io/Logging_0883/artfynd/A 17438-2024 artfynd.xlsx", "A 17438-2024")</f>
        <v/>
      </c>
      <c r="T225">
        <f>HYPERLINK("https://klasma.github.io/Logging_0883/kartor/A 17438-2024 karta.png", "A 17438-2024")</f>
        <v/>
      </c>
      <c r="U225">
        <f>HYPERLINK("https://klasma.github.io/Logging_0883/knärot/A 17438-2024 karta knärot.png", "A 17438-2024")</f>
        <v/>
      </c>
      <c r="V225">
        <f>HYPERLINK("https://klasma.github.io/Logging_0883/klagomål/A 17438-2024 FSC-klagomål.docx", "A 17438-2024")</f>
        <v/>
      </c>
      <c r="W225">
        <f>HYPERLINK("https://klasma.github.io/Logging_0883/klagomålsmail/A 17438-2024 FSC-klagomål mail.docx", "A 17438-2024")</f>
        <v/>
      </c>
      <c r="X225">
        <f>HYPERLINK("https://klasma.github.io/Logging_0883/tillsyn/A 17438-2024 tillsynsbegäran.docx", "A 17438-2024")</f>
        <v/>
      </c>
      <c r="Y225">
        <f>HYPERLINK("https://klasma.github.io/Logging_0883/tillsynsmail/A 17438-2024 tillsynsbegäran mail.docx", "A 17438-2024")</f>
        <v/>
      </c>
      <c r="Z225">
        <f>HYPERLINK("https://klasma.github.io/Logging_0883/fåglar/A 17438-2024 prioriterade fågelarter.docx", "A 17438-2024")</f>
        <v/>
      </c>
    </row>
    <row r="226" ht="15" customHeight="1">
      <c r="A226" t="inlineStr">
        <is>
          <t>A 23220-2024</t>
        </is>
      </c>
      <c r="B226" s="1" t="n">
        <v>45452</v>
      </c>
      <c r="C226" s="1" t="n">
        <v>45843</v>
      </c>
      <c r="D226" t="inlineStr">
        <is>
          <t>KALMAR LÄN</t>
        </is>
      </c>
      <c r="E226" t="inlineStr">
        <is>
          <t>VÄSTERVIK</t>
        </is>
      </c>
      <c r="G226" t="n">
        <v>0.9</v>
      </c>
      <c r="H226" t="n">
        <v>0</v>
      </c>
      <c r="I226" t="n">
        <v>2</v>
      </c>
      <c r="J226" t="n">
        <v>0</v>
      </c>
      <c r="K226" t="n">
        <v>0</v>
      </c>
      <c r="L226" t="n">
        <v>0</v>
      </c>
      <c r="M226" t="n">
        <v>0</v>
      </c>
      <c r="N226" t="n">
        <v>0</v>
      </c>
      <c r="O226" t="n">
        <v>0</v>
      </c>
      <c r="P226" t="n">
        <v>0</v>
      </c>
      <c r="Q226" t="n">
        <v>2</v>
      </c>
      <c r="R226" s="2" t="inlineStr">
        <is>
          <t>Blåmossa
Grönpyrola</t>
        </is>
      </c>
      <c r="S226">
        <f>HYPERLINK("https://klasma.github.io/Logging_0883/artfynd/A 23220-2024 artfynd.xlsx", "A 23220-2024")</f>
        <v/>
      </c>
      <c r="T226">
        <f>HYPERLINK("https://klasma.github.io/Logging_0883/kartor/A 23220-2024 karta.png", "A 23220-2024")</f>
        <v/>
      </c>
      <c r="V226">
        <f>HYPERLINK("https://klasma.github.io/Logging_0883/klagomål/A 23220-2024 FSC-klagomål.docx", "A 23220-2024")</f>
        <v/>
      </c>
      <c r="W226">
        <f>HYPERLINK("https://klasma.github.io/Logging_0883/klagomålsmail/A 23220-2024 FSC-klagomål mail.docx", "A 23220-2024")</f>
        <v/>
      </c>
      <c r="X226">
        <f>HYPERLINK("https://klasma.github.io/Logging_0883/tillsyn/A 23220-2024 tillsynsbegäran.docx", "A 23220-2024")</f>
        <v/>
      </c>
      <c r="Y226">
        <f>HYPERLINK("https://klasma.github.io/Logging_0883/tillsynsmail/A 23220-2024 tillsynsbegäran mail.docx", "A 23220-2024")</f>
        <v/>
      </c>
    </row>
    <row r="227" ht="15" customHeight="1">
      <c r="A227" t="inlineStr">
        <is>
          <t>A 23791-2024</t>
        </is>
      </c>
      <c r="B227" s="1" t="n">
        <v>45455</v>
      </c>
      <c r="C227" s="1" t="n">
        <v>45843</v>
      </c>
      <c r="D227" t="inlineStr">
        <is>
          <t>KALMAR LÄN</t>
        </is>
      </c>
      <c r="E227" t="inlineStr">
        <is>
          <t>VÄSTERVIK</t>
        </is>
      </c>
      <c r="G227" t="n">
        <v>1.1</v>
      </c>
      <c r="H227" t="n">
        <v>1</v>
      </c>
      <c r="I227" t="n">
        <v>1</v>
      </c>
      <c r="J227" t="n">
        <v>0</v>
      </c>
      <c r="K227" t="n">
        <v>1</v>
      </c>
      <c r="L227" t="n">
        <v>0</v>
      </c>
      <c r="M227" t="n">
        <v>0</v>
      </c>
      <c r="N227" t="n">
        <v>0</v>
      </c>
      <c r="O227" t="n">
        <v>1</v>
      </c>
      <c r="P227" t="n">
        <v>1</v>
      </c>
      <c r="Q227" t="n">
        <v>2</v>
      </c>
      <c r="R227" s="2" t="inlineStr">
        <is>
          <t>Knärot
Tjockfotad fingersvamp</t>
        </is>
      </c>
      <c r="S227">
        <f>HYPERLINK("https://klasma.github.io/Logging_0883/artfynd/A 23791-2024 artfynd.xlsx", "A 23791-2024")</f>
        <v/>
      </c>
      <c r="T227">
        <f>HYPERLINK("https://klasma.github.io/Logging_0883/kartor/A 23791-2024 karta.png", "A 23791-2024")</f>
        <v/>
      </c>
      <c r="U227">
        <f>HYPERLINK("https://klasma.github.io/Logging_0883/knärot/A 23791-2024 karta knärot.png", "A 23791-2024")</f>
        <v/>
      </c>
      <c r="V227">
        <f>HYPERLINK("https://klasma.github.io/Logging_0883/klagomål/A 23791-2024 FSC-klagomål.docx", "A 23791-2024")</f>
        <v/>
      </c>
      <c r="W227">
        <f>HYPERLINK("https://klasma.github.io/Logging_0883/klagomålsmail/A 23791-2024 FSC-klagomål mail.docx", "A 23791-2024")</f>
        <v/>
      </c>
      <c r="X227">
        <f>HYPERLINK("https://klasma.github.io/Logging_0883/tillsyn/A 23791-2024 tillsynsbegäran.docx", "A 23791-2024")</f>
        <v/>
      </c>
      <c r="Y227">
        <f>HYPERLINK("https://klasma.github.io/Logging_0883/tillsynsmail/A 23791-2024 tillsynsbegäran mail.docx", "A 23791-2024")</f>
        <v/>
      </c>
    </row>
    <row r="228" ht="15" customHeight="1">
      <c r="A228" t="inlineStr">
        <is>
          <t>A 26992-2024</t>
        </is>
      </c>
      <c r="B228" s="1" t="n">
        <v>45471</v>
      </c>
      <c r="C228" s="1" t="n">
        <v>45843</v>
      </c>
      <c r="D228" t="inlineStr">
        <is>
          <t>KALMAR LÄN</t>
        </is>
      </c>
      <c r="E228" t="inlineStr">
        <is>
          <t>VÄSTERVIK</t>
        </is>
      </c>
      <c r="F228" t="inlineStr">
        <is>
          <t>Holmen skog AB</t>
        </is>
      </c>
      <c r="G228" t="n">
        <v>4.6</v>
      </c>
      <c r="H228" t="n">
        <v>2</v>
      </c>
      <c r="I228" t="n">
        <v>0</v>
      </c>
      <c r="J228" t="n">
        <v>2</v>
      </c>
      <c r="K228" t="n">
        <v>0</v>
      </c>
      <c r="L228" t="n">
        <v>0</v>
      </c>
      <c r="M228" t="n">
        <v>0</v>
      </c>
      <c r="N228" t="n">
        <v>0</v>
      </c>
      <c r="O228" t="n">
        <v>2</v>
      </c>
      <c r="P228" t="n">
        <v>0</v>
      </c>
      <c r="Q228" t="n">
        <v>2</v>
      </c>
      <c r="R228" s="2" t="inlineStr">
        <is>
          <t>Mindre hackspett
Talltita</t>
        </is>
      </c>
      <c r="S228">
        <f>HYPERLINK("https://klasma.github.io/Logging_0883/artfynd/A 26992-2024 artfynd.xlsx", "A 26992-2024")</f>
        <v/>
      </c>
      <c r="T228">
        <f>HYPERLINK("https://klasma.github.io/Logging_0883/kartor/A 26992-2024 karta.png", "A 26992-2024")</f>
        <v/>
      </c>
      <c r="V228">
        <f>HYPERLINK("https://klasma.github.io/Logging_0883/klagomål/A 26992-2024 FSC-klagomål.docx", "A 26992-2024")</f>
        <v/>
      </c>
      <c r="W228">
        <f>HYPERLINK("https://klasma.github.io/Logging_0883/klagomålsmail/A 26992-2024 FSC-klagomål mail.docx", "A 26992-2024")</f>
        <v/>
      </c>
      <c r="X228">
        <f>HYPERLINK("https://klasma.github.io/Logging_0883/tillsyn/A 26992-2024 tillsynsbegäran.docx", "A 26992-2024")</f>
        <v/>
      </c>
      <c r="Y228">
        <f>HYPERLINK("https://klasma.github.io/Logging_0883/tillsynsmail/A 26992-2024 tillsynsbegäran mail.docx", "A 26992-2024")</f>
        <v/>
      </c>
      <c r="Z228">
        <f>HYPERLINK("https://klasma.github.io/Logging_0883/fåglar/A 26992-2024 prioriterade fågelarter.docx", "A 26992-2024")</f>
        <v/>
      </c>
    </row>
    <row r="229" ht="15" customHeight="1">
      <c r="A229" t="inlineStr">
        <is>
          <t>A 28401-2024</t>
        </is>
      </c>
      <c r="B229" s="1" t="n">
        <v>45477</v>
      </c>
      <c r="C229" s="1" t="n">
        <v>45843</v>
      </c>
      <c r="D229" t="inlineStr">
        <is>
          <t>KALMAR LÄN</t>
        </is>
      </c>
      <c r="E229" t="inlineStr">
        <is>
          <t>VÄSTERVIK</t>
        </is>
      </c>
      <c r="F229" t="inlineStr">
        <is>
          <t>Holmen skog AB</t>
        </is>
      </c>
      <c r="G229" t="n">
        <v>2.4</v>
      </c>
      <c r="H229" t="n">
        <v>2</v>
      </c>
      <c r="I229" t="n">
        <v>0</v>
      </c>
      <c r="J229" t="n">
        <v>1</v>
      </c>
      <c r="K229" t="n">
        <v>0</v>
      </c>
      <c r="L229" t="n">
        <v>0</v>
      </c>
      <c r="M229" t="n">
        <v>0</v>
      </c>
      <c r="N229" t="n">
        <v>0</v>
      </c>
      <c r="O229" t="n">
        <v>1</v>
      </c>
      <c r="P229" t="n">
        <v>0</v>
      </c>
      <c r="Q229" t="n">
        <v>2</v>
      </c>
      <c r="R229" s="2" t="inlineStr">
        <is>
          <t>Talltita
Revlummer</t>
        </is>
      </c>
      <c r="S229">
        <f>HYPERLINK("https://klasma.github.io/Logging_0883/artfynd/A 28401-2024 artfynd.xlsx", "A 28401-2024")</f>
        <v/>
      </c>
      <c r="T229">
        <f>HYPERLINK("https://klasma.github.io/Logging_0883/kartor/A 28401-2024 karta.png", "A 28401-2024")</f>
        <v/>
      </c>
      <c r="V229">
        <f>HYPERLINK("https://klasma.github.io/Logging_0883/klagomål/A 28401-2024 FSC-klagomål.docx", "A 28401-2024")</f>
        <v/>
      </c>
      <c r="W229">
        <f>HYPERLINK("https://klasma.github.io/Logging_0883/klagomålsmail/A 28401-2024 FSC-klagomål mail.docx", "A 28401-2024")</f>
        <v/>
      </c>
      <c r="X229">
        <f>HYPERLINK("https://klasma.github.io/Logging_0883/tillsyn/A 28401-2024 tillsynsbegäran.docx", "A 28401-2024")</f>
        <v/>
      </c>
      <c r="Y229">
        <f>HYPERLINK("https://klasma.github.io/Logging_0883/tillsynsmail/A 28401-2024 tillsynsbegäran mail.docx", "A 28401-2024")</f>
        <v/>
      </c>
      <c r="Z229">
        <f>HYPERLINK("https://klasma.github.io/Logging_0883/fåglar/A 28401-2024 prioriterade fågelarter.docx", "A 28401-2024")</f>
        <v/>
      </c>
    </row>
    <row r="230" ht="15" customHeight="1">
      <c r="A230" t="inlineStr">
        <is>
          <t>A 31435-2024</t>
        </is>
      </c>
      <c r="B230" s="1" t="n">
        <v>45505</v>
      </c>
      <c r="C230" s="1" t="n">
        <v>45843</v>
      </c>
      <c r="D230" t="inlineStr">
        <is>
          <t>KALMAR LÄN</t>
        </is>
      </c>
      <c r="E230" t="inlineStr">
        <is>
          <t>VÄSTERVIK</t>
        </is>
      </c>
      <c r="G230" t="n">
        <v>1.3</v>
      </c>
      <c r="H230" t="n">
        <v>0</v>
      </c>
      <c r="I230" t="n">
        <v>1</v>
      </c>
      <c r="J230" t="n">
        <v>1</v>
      </c>
      <c r="K230" t="n">
        <v>0</v>
      </c>
      <c r="L230" t="n">
        <v>0</v>
      </c>
      <c r="M230" t="n">
        <v>0</v>
      </c>
      <c r="N230" t="n">
        <v>0</v>
      </c>
      <c r="O230" t="n">
        <v>1</v>
      </c>
      <c r="P230" t="n">
        <v>0</v>
      </c>
      <c r="Q230" t="n">
        <v>2</v>
      </c>
      <c r="R230" s="2" t="inlineStr">
        <is>
          <t>Oxtungssvamp
Blomkålssvamp</t>
        </is>
      </c>
      <c r="S230">
        <f>HYPERLINK("https://klasma.github.io/Logging_0883/artfynd/A 31435-2024 artfynd.xlsx", "A 31435-2024")</f>
        <v/>
      </c>
      <c r="T230">
        <f>HYPERLINK("https://klasma.github.io/Logging_0883/kartor/A 31435-2024 karta.png", "A 31435-2024")</f>
        <v/>
      </c>
      <c r="V230">
        <f>HYPERLINK("https://klasma.github.io/Logging_0883/klagomål/A 31435-2024 FSC-klagomål.docx", "A 31435-2024")</f>
        <v/>
      </c>
      <c r="W230">
        <f>HYPERLINK("https://klasma.github.io/Logging_0883/klagomålsmail/A 31435-2024 FSC-klagomål mail.docx", "A 31435-2024")</f>
        <v/>
      </c>
      <c r="X230">
        <f>HYPERLINK("https://klasma.github.io/Logging_0883/tillsyn/A 31435-2024 tillsynsbegäran.docx", "A 31435-2024")</f>
        <v/>
      </c>
      <c r="Y230">
        <f>HYPERLINK("https://klasma.github.io/Logging_0883/tillsynsmail/A 31435-2024 tillsynsbegäran mail.docx", "A 31435-2024")</f>
        <v/>
      </c>
    </row>
    <row r="231" ht="15" customHeight="1">
      <c r="A231" t="inlineStr">
        <is>
          <t>A 34834-2024</t>
        </is>
      </c>
      <c r="B231" s="1" t="n">
        <v>45526</v>
      </c>
      <c r="C231" s="1" t="n">
        <v>45843</v>
      </c>
      <c r="D231" t="inlineStr">
        <is>
          <t>KALMAR LÄN</t>
        </is>
      </c>
      <c r="E231" t="inlineStr">
        <is>
          <t>VÄSTERVIK</t>
        </is>
      </c>
      <c r="F231" t="inlineStr">
        <is>
          <t>Sveaskog</t>
        </is>
      </c>
      <c r="G231" t="n">
        <v>4.2</v>
      </c>
      <c r="H231" t="n">
        <v>1</v>
      </c>
      <c r="I231" t="n">
        <v>1</v>
      </c>
      <c r="J231" t="n">
        <v>1</v>
      </c>
      <c r="K231" t="n">
        <v>0</v>
      </c>
      <c r="L231" t="n">
        <v>0</v>
      </c>
      <c r="M231" t="n">
        <v>0</v>
      </c>
      <c r="N231" t="n">
        <v>0</v>
      </c>
      <c r="O231" t="n">
        <v>1</v>
      </c>
      <c r="P231" t="n">
        <v>0</v>
      </c>
      <c r="Q231" t="n">
        <v>2</v>
      </c>
      <c r="R231" s="2" t="inlineStr">
        <is>
          <t>Brunag
Tvåblad</t>
        </is>
      </c>
      <c r="S231">
        <f>HYPERLINK("https://klasma.github.io/Logging_0883/artfynd/A 34834-2024 artfynd.xlsx", "A 34834-2024")</f>
        <v/>
      </c>
      <c r="T231">
        <f>HYPERLINK("https://klasma.github.io/Logging_0883/kartor/A 34834-2024 karta.png", "A 34834-2024")</f>
        <v/>
      </c>
      <c r="V231">
        <f>HYPERLINK("https://klasma.github.io/Logging_0883/klagomål/A 34834-2024 FSC-klagomål.docx", "A 34834-2024")</f>
        <v/>
      </c>
      <c r="W231">
        <f>HYPERLINK("https://klasma.github.io/Logging_0883/klagomålsmail/A 34834-2024 FSC-klagomål mail.docx", "A 34834-2024")</f>
        <v/>
      </c>
      <c r="X231">
        <f>HYPERLINK("https://klasma.github.io/Logging_0883/tillsyn/A 34834-2024 tillsynsbegäran.docx", "A 34834-2024")</f>
        <v/>
      </c>
      <c r="Y231">
        <f>HYPERLINK("https://klasma.github.io/Logging_0883/tillsynsmail/A 34834-2024 tillsynsbegäran mail.docx", "A 34834-2024")</f>
        <v/>
      </c>
    </row>
    <row r="232" ht="15" customHeight="1">
      <c r="A232" t="inlineStr">
        <is>
          <t>A 35236-2024</t>
        </is>
      </c>
      <c r="B232" s="1" t="n">
        <v>45530</v>
      </c>
      <c r="C232" s="1" t="n">
        <v>45843</v>
      </c>
      <c r="D232" t="inlineStr">
        <is>
          <t>KALMAR LÄN</t>
        </is>
      </c>
      <c r="E232" t="inlineStr">
        <is>
          <t>VÄSTERVIK</t>
        </is>
      </c>
      <c r="G232" t="n">
        <v>0.9</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35236-2024 artfynd.xlsx", "A 35236-2024")</f>
        <v/>
      </c>
      <c r="T232">
        <f>HYPERLINK("https://klasma.github.io/Logging_0883/kartor/A 35236-2024 karta.png", "A 35236-2024")</f>
        <v/>
      </c>
      <c r="U232">
        <f>HYPERLINK("https://klasma.github.io/Logging_0883/knärot/A 35236-2024 karta knärot.png", "A 35236-2024")</f>
        <v/>
      </c>
      <c r="V232">
        <f>HYPERLINK("https://klasma.github.io/Logging_0883/klagomål/A 35236-2024 FSC-klagomål.docx", "A 35236-2024")</f>
        <v/>
      </c>
      <c r="W232">
        <f>HYPERLINK("https://klasma.github.io/Logging_0883/klagomålsmail/A 35236-2024 FSC-klagomål mail.docx", "A 35236-2024")</f>
        <v/>
      </c>
      <c r="X232">
        <f>HYPERLINK("https://klasma.github.io/Logging_0883/tillsyn/A 35236-2024 tillsynsbegäran.docx", "A 35236-2024")</f>
        <v/>
      </c>
      <c r="Y232">
        <f>HYPERLINK("https://klasma.github.io/Logging_0883/tillsynsmail/A 35236-2024 tillsynsbegäran mail.docx", "A 35236-2024")</f>
        <v/>
      </c>
    </row>
    <row r="233" ht="15" customHeight="1">
      <c r="A233" t="inlineStr">
        <is>
          <t>A 35930-2024</t>
        </is>
      </c>
      <c r="B233" s="1" t="n">
        <v>45533</v>
      </c>
      <c r="C233" s="1" t="n">
        <v>45843</v>
      </c>
      <c r="D233" t="inlineStr">
        <is>
          <t>KALMAR LÄN</t>
        </is>
      </c>
      <c r="E233" t="inlineStr">
        <is>
          <t>VÄSTERVIK</t>
        </is>
      </c>
      <c r="G233" t="n">
        <v>2.1</v>
      </c>
      <c r="H233" t="n">
        <v>1</v>
      </c>
      <c r="I233" t="n">
        <v>0</v>
      </c>
      <c r="J233" t="n">
        <v>2</v>
      </c>
      <c r="K233" t="n">
        <v>0</v>
      </c>
      <c r="L233" t="n">
        <v>0</v>
      </c>
      <c r="M233" t="n">
        <v>0</v>
      </c>
      <c r="N233" t="n">
        <v>0</v>
      </c>
      <c r="O233" t="n">
        <v>2</v>
      </c>
      <c r="P233" t="n">
        <v>0</v>
      </c>
      <c r="Q233" t="n">
        <v>2</v>
      </c>
      <c r="R233" s="2" t="inlineStr">
        <is>
          <t>Tallticka
Talltita</t>
        </is>
      </c>
      <c r="S233">
        <f>HYPERLINK("https://klasma.github.io/Logging_0883/artfynd/A 35930-2024 artfynd.xlsx", "A 35930-2024")</f>
        <v/>
      </c>
      <c r="T233">
        <f>HYPERLINK("https://klasma.github.io/Logging_0883/kartor/A 35930-2024 karta.png", "A 35930-2024")</f>
        <v/>
      </c>
      <c r="V233">
        <f>HYPERLINK("https://klasma.github.io/Logging_0883/klagomål/A 35930-2024 FSC-klagomål.docx", "A 35930-2024")</f>
        <v/>
      </c>
      <c r="W233">
        <f>HYPERLINK("https://klasma.github.io/Logging_0883/klagomålsmail/A 35930-2024 FSC-klagomål mail.docx", "A 35930-2024")</f>
        <v/>
      </c>
      <c r="X233">
        <f>HYPERLINK("https://klasma.github.io/Logging_0883/tillsyn/A 35930-2024 tillsynsbegäran.docx", "A 35930-2024")</f>
        <v/>
      </c>
      <c r="Y233">
        <f>HYPERLINK("https://klasma.github.io/Logging_0883/tillsynsmail/A 35930-2024 tillsynsbegäran mail.docx", "A 35930-2024")</f>
        <v/>
      </c>
      <c r="Z233">
        <f>HYPERLINK("https://klasma.github.io/Logging_0883/fåglar/A 35930-2024 prioriterade fågelarter.docx", "A 35930-2024")</f>
        <v/>
      </c>
    </row>
    <row r="234" ht="15" customHeight="1">
      <c r="A234" t="inlineStr">
        <is>
          <t>A 37106-2024</t>
        </is>
      </c>
      <c r="B234" s="1" t="n">
        <v>45539</v>
      </c>
      <c r="C234" s="1" t="n">
        <v>45843</v>
      </c>
      <c r="D234" t="inlineStr">
        <is>
          <t>KALMAR LÄN</t>
        </is>
      </c>
      <c r="E234" t="inlineStr">
        <is>
          <t>VÄSTERVIK</t>
        </is>
      </c>
      <c r="F234" t="inlineStr">
        <is>
          <t>Holmen skog AB</t>
        </is>
      </c>
      <c r="G234" t="n">
        <v>8.5</v>
      </c>
      <c r="H234" t="n">
        <v>2</v>
      </c>
      <c r="I234" t="n">
        <v>0</v>
      </c>
      <c r="J234" t="n">
        <v>1</v>
      </c>
      <c r="K234" t="n">
        <v>1</v>
      </c>
      <c r="L234" t="n">
        <v>0</v>
      </c>
      <c r="M234" t="n">
        <v>0</v>
      </c>
      <c r="N234" t="n">
        <v>0</v>
      </c>
      <c r="O234" t="n">
        <v>2</v>
      </c>
      <c r="P234" t="n">
        <v>1</v>
      </c>
      <c r="Q234" t="n">
        <v>2</v>
      </c>
      <c r="R234" s="2" t="inlineStr">
        <is>
          <t>Knärot
Mindre hackspett</t>
        </is>
      </c>
      <c r="S234">
        <f>HYPERLINK("https://klasma.github.io/Logging_0883/artfynd/A 37106-2024 artfynd.xlsx", "A 37106-2024")</f>
        <v/>
      </c>
      <c r="T234">
        <f>HYPERLINK("https://klasma.github.io/Logging_0883/kartor/A 37106-2024 karta.png", "A 37106-2024")</f>
        <v/>
      </c>
      <c r="U234">
        <f>HYPERLINK("https://klasma.github.io/Logging_0883/knärot/A 37106-2024 karta knärot.png", "A 37106-2024")</f>
        <v/>
      </c>
      <c r="V234">
        <f>HYPERLINK("https://klasma.github.io/Logging_0883/klagomål/A 37106-2024 FSC-klagomål.docx", "A 37106-2024")</f>
        <v/>
      </c>
      <c r="W234">
        <f>HYPERLINK("https://klasma.github.io/Logging_0883/klagomålsmail/A 37106-2024 FSC-klagomål mail.docx", "A 37106-2024")</f>
        <v/>
      </c>
      <c r="X234">
        <f>HYPERLINK("https://klasma.github.io/Logging_0883/tillsyn/A 37106-2024 tillsynsbegäran.docx", "A 37106-2024")</f>
        <v/>
      </c>
      <c r="Y234">
        <f>HYPERLINK("https://klasma.github.io/Logging_0883/tillsynsmail/A 37106-2024 tillsynsbegäran mail.docx", "A 37106-2024")</f>
        <v/>
      </c>
      <c r="Z234">
        <f>HYPERLINK("https://klasma.github.io/Logging_0883/fåglar/A 37106-2024 prioriterade fågelarter.docx", "A 37106-2024")</f>
        <v/>
      </c>
    </row>
    <row r="235" ht="15" customHeight="1">
      <c r="A235" t="inlineStr">
        <is>
          <t>A 39256-2024</t>
        </is>
      </c>
      <c r="B235" s="1" t="n">
        <v>45551</v>
      </c>
      <c r="C235" s="1" t="n">
        <v>45843</v>
      </c>
      <c r="D235" t="inlineStr">
        <is>
          <t>KALMAR LÄN</t>
        </is>
      </c>
      <c r="E235" t="inlineStr">
        <is>
          <t>VÄSTERVIK</t>
        </is>
      </c>
      <c r="G235" t="n">
        <v>1.9</v>
      </c>
      <c r="H235" t="n">
        <v>2</v>
      </c>
      <c r="I235" t="n">
        <v>0</v>
      </c>
      <c r="J235" t="n">
        <v>1</v>
      </c>
      <c r="K235" t="n">
        <v>1</v>
      </c>
      <c r="L235" t="n">
        <v>0</v>
      </c>
      <c r="M235" t="n">
        <v>0</v>
      </c>
      <c r="N235" t="n">
        <v>0</v>
      </c>
      <c r="O235" t="n">
        <v>2</v>
      </c>
      <c r="P235" t="n">
        <v>1</v>
      </c>
      <c r="Q235" t="n">
        <v>2</v>
      </c>
      <c r="R235" s="2" t="inlineStr">
        <is>
          <t>Knärot
Talltita</t>
        </is>
      </c>
      <c r="S235">
        <f>HYPERLINK("https://klasma.github.io/Logging_0883/artfynd/A 39256-2024 artfynd.xlsx", "A 39256-2024")</f>
        <v/>
      </c>
      <c r="T235">
        <f>HYPERLINK("https://klasma.github.io/Logging_0883/kartor/A 39256-2024 karta.png", "A 39256-2024")</f>
        <v/>
      </c>
      <c r="U235">
        <f>HYPERLINK("https://klasma.github.io/Logging_0883/knärot/A 39256-2024 karta knärot.png", "A 39256-2024")</f>
        <v/>
      </c>
      <c r="V235">
        <f>HYPERLINK("https://klasma.github.io/Logging_0883/klagomål/A 39256-2024 FSC-klagomål.docx", "A 39256-2024")</f>
        <v/>
      </c>
      <c r="W235">
        <f>HYPERLINK("https://klasma.github.io/Logging_0883/klagomålsmail/A 39256-2024 FSC-klagomål mail.docx", "A 39256-2024")</f>
        <v/>
      </c>
      <c r="X235">
        <f>HYPERLINK("https://klasma.github.io/Logging_0883/tillsyn/A 39256-2024 tillsynsbegäran.docx", "A 39256-2024")</f>
        <v/>
      </c>
      <c r="Y235">
        <f>HYPERLINK("https://klasma.github.io/Logging_0883/tillsynsmail/A 39256-2024 tillsynsbegäran mail.docx", "A 39256-2024")</f>
        <v/>
      </c>
      <c r="Z235">
        <f>HYPERLINK("https://klasma.github.io/Logging_0883/fåglar/A 39256-2024 prioriterade fågelarter.docx", "A 39256-2024")</f>
        <v/>
      </c>
    </row>
    <row r="236" ht="15" customHeight="1">
      <c r="A236" t="inlineStr">
        <is>
          <t>A 40331-2024</t>
        </is>
      </c>
      <c r="B236" s="1" t="n">
        <v>45555</v>
      </c>
      <c r="C236" s="1" t="n">
        <v>45843</v>
      </c>
      <c r="D236" t="inlineStr">
        <is>
          <t>KALMAR LÄN</t>
        </is>
      </c>
      <c r="E236" t="inlineStr">
        <is>
          <t>VÄSTERVIK</t>
        </is>
      </c>
      <c r="G236" t="n">
        <v>1.5</v>
      </c>
      <c r="H236" t="n">
        <v>1</v>
      </c>
      <c r="I236" t="n">
        <v>1</v>
      </c>
      <c r="J236" t="n">
        <v>0</v>
      </c>
      <c r="K236" t="n">
        <v>0</v>
      </c>
      <c r="L236" t="n">
        <v>0</v>
      </c>
      <c r="M236" t="n">
        <v>0</v>
      </c>
      <c r="N236" t="n">
        <v>0</v>
      </c>
      <c r="O236" t="n">
        <v>0</v>
      </c>
      <c r="P236" t="n">
        <v>0</v>
      </c>
      <c r="Q236" t="n">
        <v>2</v>
      </c>
      <c r="R236" s="2" t="inlineStr">
        <is>
          <t>Murgröna
Blåsippa</t>
        </is>
      </c>
      <c r="S236">
        <f>HYPERLINK("https://klasma.github.io/Logging_0883/artfynd/A 40331-2024 artfynd.xlsx", "A 40331-2024")</f>
        <v/>
      </c>
      <c r="T236">
        <f>HYPERLINK("https://klasma.github.io/Logging_0883/kartor/A 40331-2024 karta.png", "A 40331-2024")</f>
        <v/>
      </c>
      <c r="V236">
        <f>HYPERLINK("https://klasma.github.io/Logging_0883/klagomål/A 40331-2024 FSC-klagomål.docx", "A 40331-2024")</f>
        <v/>
      </c>
      <c r="W236">
        <f>HYPERLINK("https://klasma.github.io/Logging_0883/klagomålsmail/A 40331-2024 FSC-klagomål mail.docx", "A 40331-2024")</f>
        <v/>
      </c>
      <c r="X236">
        <f>HYPERLINK("https://klasma.github.io/Logging_0883/tillsyn/A 40331-2024 tillsynsbegäran.docx", "A 40331-2024")</f>
        <v/>
      </c>
      <c r="Y236">
        <f>HYPERLINK("https://klasma.github.io/Logging_0883/tillsynsmail/A 40331-2024 tillsynsbegäran mail.docx", "A 40331-2024")</f>
        <v/>
      </c>
    </row>
    <row r="237" ht="15" customHeight="1">
      <c r="A237" t="inlineStr">
        <is>
          <t>A 41573-2024</t>
        </is>
      </c>
      <c r="B237" s="1" t="n">
        <v>45560</v>
      </c>
      <c r="C237" s="1" t="n">
        <v>45843</v>
      </c>
      <c r="D237" t="inlineStr">
        <is>
          <t>KALMAR LÄN</t>
        </is>
      </c>
      <c r="E237" t="inlineStr">
        <is>
          <t>VÄSTERVIK</t>
        </is>
      </c>
      <c r="G237" t="n">
        <v>1.6</v>
      </c>
      <c r="H237" t="n">
        <v>1</v>
      </c>
      <c r="I237" t="n">
        <v>1</v>
      </c>
      <c r="J237" t="n">
        <v>0</v>
      </c>
      <c r="K237" t="n">
        <v>1</v>
      </c>
      <c r="L237" t="n">
        <v>0</v>
      </c>
      <c r="M237" t="n">
        <v>0</v>
      </c>
      <c r="N237" t="n">
        <v>0</v>
      </c>
      <c r="O237" t="n">
        <v>1</v>
      </c>
      <c r="P237" t="n">
        <v>1</v>
      </c>
      <c r="Q237" t="n">
        <v>2</v>
      </c>
      <c r="R237" s="2" t="inlineStr">
        <is>
          <t>Knärot
Blåmossa</t>
        </is>
      </c>
      <c r="S237">
        <f>HYPERLINK("https://klasma.github.io/Logging_0883/artfynd/A 41573-2024 artfynd.xlsx", "A 41573-2024")</f>
        <v/>
      </c>
      <c r="T237">
        <f>HYPERLINK("https://klasma.github.io/Logging_0883/kartor/A 41573-2024 karta.png", "A 41573-2024")</f>
        <v/>
      </c>
      <c r="U237">
        <f>HYPERLINK("https://klasma.github.io/Logging_0883/knärot/A 41573-2024 karta knärot.png", "A 41573-2024")</f>
        <v/>
      </c>
      <c r="V237">
        <f>HYPERLINK("https://klasma.github.io/Logging_0883/klagomål/A 41573-2024 FSC-klagomål.docx", "A 41573-2024")</f>
        <v/>
      </c>
      <c r="W237">
        <f>HYPERLINK("https://klasma.github.io/Logging_0883/klagomålsmail/A 41573-2024 FSC-klagomål mail.docx", "A 41573-2024")</f>
        <v/>
      </c>
      <c r="X237">
        <f>HYPERLINK("https://klasma.github.io/Logging_0883/tillsyn/A 41573-2024 tillsynsbegäran.docx", "A 41573-2024")</f>
        <v/>
      </c>
      <c r="Y237">
        <f>HYPERLINK("https://klasma.github.io/Logging_0883/tillsynsmail/A 41573-2024 tillsynsbegäran mail.docx", "A 41573-2024")</f>
        <v/>
      </c>
    </row>
    <row r="238" ht="15" customHeight="1">
      <c r="A238" t="inlineStr">
        <is>
          <t>A 48727-2024</t>
        </is>
      </c>
      <c r="B238" s="1" t="n">
        <v>45593</v>
      </c>
      <c r="C238" s="1" t="n">
        <v>45843</v>
      </c>
      <c r="D238" t="inlineStr">
        <is>
          <t>KALMAR LÄN</t>
        </is>
      </c>
      <c r="E238" t="inlineStr">
        <is>
          <t>VÄSTERVIK</t>
        </is>
      </c>
      <c r="G238" t="n">
        <v>2.1</v>
      </c>
      <c r="H238" t="n">
        <v>2</v>
      </c>
      <c r="I238" t="n">
        <v>0</v>
      </c>
      <c r="J238" t="n">
        <v>1</v>
      </c>
      <c r="K238" t="n">
        <v>1</v>
      </c>
      <c r="L238" t="n">
        <v>0</v>
      </c>
      <c r="M238" t="n">
        <v>0</v>
      </c>
      <c r="N238" t="n">
        <v>0</v>
      </c>
      <c r="O238" t="n">
        <v>2</v>
      </c>
      <c r="P238" t="n">
        <v>1</v>
      </c>
      <c r="Q238" t="n">
        <v>2</v>
      </c>
      <c r="R238" s="2" t="inlineStr">
        <is>
          <t>Knärot
Talltita</t>
        </is>
      </c>
      <c r="S238">
        <f>HYPERLINK("https://klasma.github.io/Logging_0883/artfynd/A 48727-2024 artfynd.xlsx", "A 48727-2024")</f>
        <v/>
      </c>
      <c r="T238">
        <f>HYPERLINK("https://klasma.github.io/Logging_0883/kartor/A 48727-2024 karta.png", "A 48727-2024")</f>
        <v/>
      </c>
      <c r="U238">
        <f>HYPERLINK("https://klasma.github.io/Logging_0883/knärot/A 48727-2024 karta knärot.png", "A 48727-2024")</f>
        <v/>
      </c>
      <c r="V238">
        <f>HYPERLINK("https://klasma.github.io/Logging_0883/klagomål/A 48727-2024 FSC-klagomål.docx", "A 48727-2024")</f>
        <v/>
      </c>
      <c r="W238">
        <f>HYPERLINK("https://klasma.github.io/Logging_0883/klagomålsmail/A 48727-2024 FSC-klagomål mail.docx", "A 48727-2024")</f>
        <v/>
      </c>
      <c r="X238">
        <f>HYPERLINK("https://klasma.github.io/Logging_0883/tillsyn/A 48727-2024 tillsynsbegäran.docx", "A 48727-2024")</f>
        <v/>
      </c>
      <c r="Y238">
        <f>HYPERLINK("https://klasma.github.io/Logging_0883/tillsynsmail/A 48727-2024 tillsynsbegäran mail.docx", "A 48727-2024")</f>
        <v/>
      </c>
      <c r="Z238">
        <f>HYPERLINK("https://klasma.github.io/Logging_0883/fåglar/A 48727-2024 prioriterade fågelarter.docx", "A 48727-2024")</f>
        <v/>
      </c>
    </row>
    <row r="239" ht="15" customHeight="1">
      <c r="A239" t="inlineStr">
        <is>
          <t>A 52723-2024</t>
        </is>
      </c>
      <c r="B239" s="1" t="n">
        <v>45610</v>
      </c>
      <c r="C239" s="1" t="n">
        <v>45843</v>
      </c>
      <c r="D239" t="inlineStr">
        <is>
          <t>KALMAR LÄN</t>
        </is>
      </c>
      <c r="E239" t="inlineStr">
        <is>
          <t>VÄSTERVIK</t>
        </is>
      </c>
      <c r="F239" t="inlineStr">
        <is>
          <t>Holmen skog AB</t>
        </is>
      </c>
      <c r="G239" t="n">
        <v>6.5</v>
      </c>
      <c r="H239" t="n">
        <v>2</v>
      </c>
      <c r="I239" t="n">
        <v>1</v>
      </c>
      <c r="J239" t="n">
        <v>1</v>
      </c>
      <c r="K239" t="n">
        <v>0</v>
      </c>
      <c r="L239" t="n">
        <v>0</v>
      </c>
      <c r="M239" t="n">
        <v>0</v>
      </c>
      <c r="N239" t="n">
        <v>0</v>
      </c>
      <c r="O239" t="n">
        <v>1</v>
      </c>
      <c r="P239" t="n">
        <v>0</v>
      </c>
      <c r="Q239" t="n">
        <v>2</v>
      </c>
      <c r="R239" s="2" t="inlineStr">
        <is>
          <t>Talltita
Ekoxe</t>
        </is>
      </c>
      <c r="S239">
        <f>HYPERLINK("https://klasma.github.io/Logging_0883/artfynd/A 52723-2024 artfynd.xlsx", "A 52723-2024")</f>
        <v/>
      </c>
      <c r="T239">
        <f>HYPERLINK("https://klasma.github.io/Logging_0883/kartor/A 52723-2024 karta.png", "A 52723-2024")</f>
        <v/>
      </c>
      <c r="V239">
        <f>HYPERLINK("https://klasma.github.io/Logging_0883/klagomål/A 52723-2024 FSC-klagomål.docx", "A 52723-2024")</f>
        <v/>
      </c>
      <c r="W239">
        <f>HYPERLINK("https://klasma.github.io/Logging_0883/klagomålsmail/A 52723-2024 FSC-klagomål mail.docx", "A 52723-2024")</f>
        <v/>
      </c>
      <c r="X239">
        <f>HYPERLINK("https://klasma.github.io/Logging_0883/tillsyn/A 52723-2024 tillsynsbegäran.docx", "A 52723-2024")</f>
        <v/>
      </c>
      <c r="Y239">
        <f>HYPERLINK("https://klasma.github.io/Logging_0883/tillsynsmail/A 52723-2024 tillsynsbegäran mail.docx", "A 52723-2024")</f>
        <v/>
      </c>
      <c r="Z239">
        <f>HYPERLINK("https://klasma.github.io/Logging_0883/fåglar/A 52723-2024 prioriterade fågelarter.docx", "A 52723-2024")</f>
        <v/>
      </c>
    </row>
    <row r="240" ht="15" customHeight="1">
      <c r="A240" t="inlineStr">
        <is>
          <t>A 54346-2024</t>
        </is>
      </c>
      <c r="B240" s="1" t="n">
        <v>45617</v>
      </c>
      <c r="C240" s="1" t="n">
        <v>45843</v>
      </c>
      <c r="D240" t="inlineStr">
        <is>
          <t>KALMAR LÄN</t>
        </is>
      </c>
      <c r="E240" t="inlineStr">
        <is>
          <t>VÄSTERVIK</t>
        </is>
      </c>
      <c r="F240" t="inlineStr">
        <is>
          <t>Kyrkan</t>
        </is>
      </c>
      <c r="G240" t="n">
        <v>2.4</v>
      </c>
      <c r="H240" t="n">
        <v>0</v>
      </c>
      <c r="I240" t="n">
        <v>1</v>
      </c>
      <c r="J240" t="n">
        <v>1</v>
      </c>
      <c r="K240" t="n">
        <v>0</v>
      </c>
      <c r="L240" t="n">
        <v>0</v>
      </c>
      <c r="M240" t="n">
        <v>0</v>
      </c>
      <c r="N240" t="n">
        <v>0</v>
      </c>
      <c r="O240" t="n">
        <v>1</v>
      </c>
      <c r="P240" t="n">
        <v>0</v>
      </c>
      <c r="Q240" t="n">
        <v>2</v>
      </c>
      <c r="R240" s="2" t="inlineStr">
        <is>
          <t>Tallticka
Dropptaggsvamp</t>
        </is>
      </c>
      <c r="S240">
        <f>HYPERLINK("https://klasma.github.io/Logging_0883/artfynd/A 54346-2024 artfynd.xlsx", "A 54346-2024")</f>
        <v/>
      </c>
      <c r="T240">
        <f>HYPERLINK("https://klasma.github.io/Logging_0883/kartor/A 54346-2024 karta.png", "A 54346-2024")</f>
        <v/>
      </c>
      <c r="V240">
        <f>HYPERLINK("https://klasma.github.io/Logging_0883/klagomål/A 54346-2024 FSC-klagomål.docx", "A 54346-2024")</f>
        <v/>
      </c>
      <c r="W240">
        <f>HYPERLINK("https://klasma.github.io/Logging_0883/klagomålsmail/A 54346-2024 FSC-klagomål mail.docx", "A 54346-2024")</f>
        <v/>
      </c>
      <c r="X240">
        <f>HYPERLINK("https://klasma.github.io/Logging_0883/tillsyn/A 54346-2024 tillsynsbegäran.docx", "A 54346-2024")</f>
        <v/>
      </c>
      <c r="Y240">
        <f>HYPERLINK("https://klasma.github.io/Logging_0883/tillsynsmail/A 54346-2024 tillsynsbegäran mail.docx", "A 54346-2024")</f>
        <v/>
      </c>
    </row>
    <row r="241" ht="15" customHeight="1">
      <c r="A241" t="inlineStr">
        <is>
          <t>A 56036-2024</t>
        </is>
      </c>
      <c r="B241" s="1" t="n">
        <v>45624</v>
      </c>
      <c r="C241" s="1" t="n">
        <v>45843</v>
      </c>
      <c r="D241" t="inlineStr">
        <is>
          <t>KALMAR LÄN</t>
        </is>
      </c>
      <c r="E241" t="inlineStr">
        <is>
          <t>VÄSTERVIK</t>
        </is>
      </c>
      <c r="F241" t="inlineStr">
        <is>
          <t>Kyrkan</t>
        </is>
      </c>
      <c r="G241" t="n">
        <v>5.5</v>
      </c>
      <c r="H241" t="n">
        <v>2</v>
      </c>
      <c r="I241" t="n">
        <v>0</v>
      </c>
      <c r="J241" t="n">
        <v>1</v>
      </c>
      <c r="K241" t="n">
        <v>1</v>
      </c>
      <c r="L241" t="n">
        <v>0</v>
      </c>
      <c r="M241" t="n">
        <v>0</v>
      </c>
      <c r="N241" t="n">
        <v>0</v>
      </c>
      <c r="O241" t="n">
        <v>2</v>
      </c>
      <c r="P241" t="n">
        <v>1</v>
      </c>
      <c r="Q241" t="n">
        <v>2</v>
      </c>
      <c r="R241" s="2" t="inlineStr">
        <is>
          <t>Knärot
Spillkråka</t>
        </is>
      </c>
      <c r="S241">
        <f>HYPERLINK("https://klasma.github.io/Logging_0883/artfynd/A 56036-2024 artfynd.xlsx", "A 56036-2024")</f>
        <v/>
      </c>
      <c r="T241">
        <f>HYPERLINK("https://klasma.github.io/Logging_0883/kartor/A 56036-2024 karta.png", "A 56036-2024")</f>
        <v/>
      </c>
      <c r="U241">
        <f>HYPERLINK("https://klasma.github.io/Logging_0883/knärot/A 56036-2024 karta knärot.png", "A 56036-2024")</f>
        <v/>
      </c>
      <c r="V241">
        <f>HYPERLINK("https://klasma.github.io/Logging_0883/klagomål/A 56036-2024 FSC-klagomål.docx", "A 56036-2024")</f>
        <v/>
      </c>
      <c r="W241">
        <f>HYPERLINK("https://klasma.github.io/Logging_0883/klagomålsmail/A 56036-2024 FSC-klagomål mail.docx", "A 56036-2024")</f>
        <v/>
      </c>
      <c r="X241">
        <f>HYPERLINK("https://klasma.github.io/Logging_0883/tillsyn/A 56036-2024 tillsynsbegäran.docx", "A 56036-2024")</f>
        <v/>
      </c>
      <c r="Y241">
        <f>HYPERLINK("https://klasma.github.io/Logging_0883/tillsynsmail/A 56036-2024 tillsynsbegäran mail.docx", "A 56036-2024")</f>
        <v/>
      </c>
      <c r="Z241">
        <f>HYPERLINK("https://klasma.github.io/Logging_0883/fåglar/A 56036-2024 prioriterade fågelarter.docx", "A 56036-2024")</f>
        <v/>
      </c>
    </row>
    <row r="242" ht="15" customHeight="1">
      <c r="A242" t="inlineStr">
        <is>
          <t>A 58430-2024</t>
        </is>
      </c>
      <c r="B242" s="1" t="n">
        <v>45634</v>
      </c>
      <c r="C242" s="1" t="n">
        <v>45843</v>
      </c>
      <c r="D242" t="inlineStr">
        <is>
          <t>KALMAR LÄN</t>
        </is>
      </c>
      <c r="E242" t="inlineStr">
        <is>
          <t>VÄSTERVIK</t>
        </is>
      </c>
      <c r="F242" t="inlineStr">
        <is>
          <t>Sveaskog</t>
        </is>
      </c>
      <c r="G242" t="n">
        <v>5.6</v>
      </c>
      <c r="H242" t="n">
        <v>2</v>
      </c>
      <c r="I242" t="n">
        <v>0</v>
      </c>
      <c r="J242" t="n">
        <v>2</v>
      </c>
      <c r="K242" t="n">
        <v>0</v>
      </c>
      <c r="L242" t="n">
        <v>0</v>
      </c>
      <c r="M242" t="n">
        <v>0</v>
      </c>
      <c r="N242" t="n">
        <v>0</v>
      </c>
      <c r="O242" t="n">
        <v>2</v>
      </c>
      <c r="P242" t="n">
        <v>0</v>
      </c>
      <c r="Q242" t="n">
        <v>2</v>
      </c>
      <c r="R242" s="2" t="inlineStr">
        <is>
          <t>Spillkråka
Talltita</t>
        </is>
      </c>
      <c r="S242">
        <f>HYPERLINK("https://klasma.github.io/Logging_0883/artfynd/A 58430-2024 artfynd.xlsx", "A 58430-2024")</f>
        <v/>
      </c>
      <c r="T242">
        <f>HYPERLINK("https://klasma.github.io/Logging_0883/kartor/A 58430-2024 karta.png", "A 58430-2024")</f>
        <v/>
      </c>
      <c r="V242">
        <f>HYPERLINK("https://klasma.github.io/Logging_0883/klagomål/A 58430-2024 FSC-klagomål.docx", "A 58430-2024")</f>
        <v/>
      </c>
      <c r="W242">
        <f>HYPERLINK("https://klasma.github.io/Logging_0883/klagomålsmail/A 58430-2024 FSC-klagomål mail.docx", "A 58430-2024")</f>
        <v/>
      </c>
      <c r="X242">
        <f>HYPERLINK("https://klasma.github.io/Logging_0883/tillsyn/A 58430-2024 tillsynsbegäran.docx", "A 58430-2024")</f>
        <v/>
      </c>
      <c r="Y242">
        <f>HYPERLINK("https://klasma.github.io/Logging_0883/tillsynsmail/A 58430-2024 tillsynsbegäran mail.docx", "A 58430-2024")</f>
        <v/>
      </c>
      <c r="Z242">
        <f>HYPERLINK("https://klasma.github.io/Logging_0883/fåglar/A 58430-2024 prioriterade fågelarter.docx", "A 58430-2024")</f>
        <v/>
      </c>
    </row>
    <row r="243" ht="15" customHeight="1">
      <c r="A243" t="inlineStr">
        <is>
          <t>A 958-2025</t>
        </is>
      </c>
      <c r="B243" s="1" t="n">
        <v>45666</v>
      </c>
      <c r="C243" s="1" t="n">
        <v>45843</v>
      </c>
      <c r="D243" t="inlineStr">
        <is>
          <t>KALMAR LÄN</t>
        </is>
      </c>
      <c r="E243" t="inlineStr">
        <is>
          <t>VÄSTERVIK</t>
        </is>
      </c>
      <c r="G243" t="n">
        <v>2.8</v>
      </c>
      <c r="H243" t="n">
        <v>1</v>
      </c>
      <c r="I243" t="n">
        <v>0</v>
      </c>
      <c r="J243" t="n">
        <v>2</v>
      </c>
      <c r="K243" t="n">
        <v>0</v>
      </c>
      <c r="L243" t="n">
        <v>0</v>
      </c>
      <c r="M243" t="n">
        <v>0</v>
      </c>
      <c r="N243" t="n">
        <v>0</v>
      </c>
      <c r="O243" t="n">
        <v>2</v>
      </c>
      <c r="P243" t="n">
        <v>0</v>
      </c>
      <c r="Q243" t="n">
        <v>2</v>
      </c>
      <c r="R243" s="2" t="inlineStr">
        <is>
          <t>Orange taggsvamp
Spillkråka</t>
        </is>
      </c>
      <c r="S243">
        <f>HYPERLINK("https://klasma.github.io/Logging_0883/artfynd/A 958-2025 artfynd.xlsx", "A 958-2025")</f>
        <v/>
      </c>
      <c r="T243">
        <f>HYPERLINK("https://klasma.github.io/Logging_0883/kartor/A 958-2025 karta.png", "A 958-2025")</f>
        <v/>
      </c>
      <c r="V243">
        <f>HYPERLINK("https://klasma.github.io/Logging_0883/klagomål/A 958-2025 FSC-klagomål.docx", "A 958-2025")</f>
        <v/>
      </c>
      <c r="W243">
        <f>HYPERLINK("https://klasma.github.io/Logging_0883/klagomålsmail/A 958-2025 FSC-klagomål mail.docx", "A 958-2025")</f>
        <v/>
      </c>
      <c r="X243">
        <f>HYPERLINK("https://klasma.github.io/Logging_0883/tillsyn/A 958-2025 tillsynsbegäran.docx", "A 958-2025")</f>
        <v/>
      </c>
      <c r="Y243">
        <f>HYPERLINK("https://klasma.github.io/Logging_0883/tillsynsmail/A 958-2025 tillsynsbegäran mail.docx", "A 958-2025")</f>
        <v/>
      </c>
      <c r="Z243">
        <f>HYPERLINK("https://klasma.github.io/Logging_0883/fåglar/A 958-2025 prioriterade fågelarter.docx", "A 958-2025")</f>
        <v/>
      </c>
    </row>
    <row r="244" ht="15" customHeight="1">
      <c r="A244" t="inlineStr">
        <is>
          <t>A 1767-2025</t>
        </is>
      </c>
      <c r="B244" s="1" t="n">
        <v>45671</v>
      </c>
      <c r="C244" s="1" t="n">
        <v>45843</v>
      </c>
      <c r="D244" t="inlineStr">
        <is>
          <t>KALMAR LÄN</t>
        </is>
      </c>
      <c r="E244" t="inlineStr">
        <is>
          <t>VÄSTERVIK</t>
        </is>
      </c>
      <c r="G244" t="n">
        <v>1.4</v>
      </c>
      <c r="H244" t="n">
        <v>1</v>
      </c>
      <c r="I244" t="n">
        <v>0</v>
      </c>
      <c r="J244" t="n">
        <v>2</v>
      </c>
      <c r="K244" t="n">
        <v>0</v>
      </c>
      <c r="L244" t="n">
        <v>0</v>
      </c>
      <c r="M244" t="n">
        <v>0</v>
      </c>
      <c r="N244" t="n">
        <v>0</v>
      </c>
      <c r="O244" t="n">
        <v>2</v>
      </c>
      <c r="P244" t="n">
        <v>0</v>
      </c>
      <c r="Q244" t="n">
        <v>2</v>
      </c>
      <c r="R244" s="2" t="inlineStr">
        <is>
          <t>Garnlav
Spillkråka</t>
        </is>
      </c>
      <c r="S244">
        <f>HYPERLINK("https://klasma.github.io/Logging_0883/artfynd/A 1767-2025 artfynd.xlsx", "A 1767-2025")</f>
        <v/>
      </c>
      <c r="T244">
        <f>HYPERLINK("https://klasma.github.io/Logging_0883/kartor/A 1767-2025 karta.png", "A 1767-2025")</f>
        <v/>
      </c>
      <c r="U244">
        <f>HYPERLINK("https://klasma.github.io/Logging_0883/knärot/A 1767-2025 karta knärot.png", "A 1767-2025")</f>
        <v/>
      </c>
      <c r="V244">
        <f>HYPERLINK("https://klasma.github.io/Logging_0883/klagomål/A 1767-2025 FSC-klagomål.docx", "A 1767-2025")</f>
        <v/>
      </c>
      <c r="W244">
        <f>HYPERLINK("https://klasma.github.io/Logging_0883/klagomålsmail/A 1767-2025 FSC-klagomål mail.docx", "A 1767-2025")</f>
        <v/>
      </c>
      <c r="X244">
        <f>HYPERLINK("https://klasma.github.io/Logging_0883/tillsyn/A 1767-2025 tillsynsbegäran.docx", "A 1767-2025")</f>
        <v/>
      </c>
      <c r="Y244">
        <f>HYPERLINK("https://klasma.github.io/Logging_0883/tillsynsmail/A 1767-2025 tillsynsbegäran mail.docx", "A 1767-2025")</f>
        <v/>
      </c>
      <c r="Z244">
        <f>HYPERLINK("https://klasma.github.io/Logging_0883/fåglar/A 1767-2025 prioriterade fågelarter.docx", "A 1767-2025")</f>
        <v/>
      </c>
    </row>
    <row r="245" ht="15" customHeight="1">
      <c r="A245" t="inlineStr">
        <is>
          <t>A 2324-2025</t>
        </is>
      </c>
      <c r="B245" s="1" t="n">
        <v>45673</v>
      </c>
      <c r="C245" s="1" t="n">
        <v>45843</v>
      </c>
      <c r="D245" t="inlineStr">
        <is>
          <t>KALMAR LÄN</t>
        </is>
      </c>
      <c r="E245" t="inlineStr">
        <is>
          <t>VÄSTERVIK</t>
        </is>
      </c>
      <c r="F245" t="inlineStr">
        <is>
          <t>Sveaskog</t>
        </is>
      </c>
      <c r="G245" t="n">
        <v>5.7</v>
      </c>
      <c r="H245" t="n">
        <v>2</v>
      </c>
      <c r="I245" t="n">
        <v>0</v>
      </c>
      <c r="J245" t="n">
        <v>0</v>
      </c>
      <c r="K245" t="n">
        <v>0</v>
      </c>
      <c r="L245" t="n">
        <v>0</v>
      </c>
      <c r="M245" t="n">
        <v>0</v>
      </c>
      <c r="N245" t="n">
        <v>0</v>
      </c>
      <c r="O245" t="n">
        <v>0</v>
      </c>
      <c r="P245" t="n">
        <v>0</v>
      </c>
      <c r="Q245" t="n">
        <v>2</v>
      </c>
      <c r="R245" s="2" t="inlineStr">
        <is>
          <t>Kungsfågel
Mattlummer</t>
        </is>
      </c>
      <c r="S245">
        <f>HYPERLINK("https://klasma.github.io/Logging_0883/artfynd/A 2324-2025 artfynd.xlsx", "A 2324-2025")</f>
        <v/>
      </c>
      <c r="T245">
        <f>HYPERLINK("https://klasma.github.io/Logging_0883/kartor/A 2324-2025 karta.png", "A 2324-2025")</f>
        <v/>
      </c>
      <c r="V245">
        <f>HYPERLINK("https://klasma.github.io/Logging_0883/klagomål/A 2324-2025 FSC-klagomål.docx", "A 2324-2025")</f>
        <v/>
      </c>
      <c r="W245">
        <f>HYPERLINK("https://klasma.github.io/Logging_0883/klagomålsmail/A 2324-2025 FSC-klagomål mail.docx", "A 2324-2025")</f>
        <v/>
      </c>
      <c r="X245">
        <f>HYPERLINK("https://klasma.github.io/Logging_0883/tillsyn/A 2324-2025 tillsynsbegäran.docx", "A 2324-2025")</f>
        <v/>
      </c>
      <c r="Y245">
        <f>HYPERLINK("https://klasma.github.io/Logging_0883/tillsynsmail/A 2324-2025 tillsynsbegäran mail.docx", "A 2324-2025")</f>
        <v/>
      </c>
      <c r="Z245">
        <f>HYPERLINK("https://klasma.github.io/Logging_0883/fåglar/A 2324-2025 prioriterade fågelarter.docx", "A 2324-2025")</f>
        <v/>
      </c>
    </row>
    <row r="246" ht="15" customHeight="1">
      <c r="A246" t="inlineStr">
        <is>
          <t>A 2950-2025</t>
        </is>
      </c>
      <c r="B246" s="1" t="n">
        <v>45678</v>
      </c>
      <c r="C246" s="1" t="n">
        <v>45843</v>
      </c>
      <c r="D246" t="inlineStr">
        <is>
          <t>KALMAR LÄN</t>
        </is>
      </c>
      <c r="E246" t="inlineStr">
        <is>
          <t>VÄSTERVIK</t>
        </is>
      </c>
      <c r="G246" t="n">
        <v>6.1</v>
      </c>
      <c r="H246" t="n">
        <v>1</v>
      </c>
      <c r="I246" t="n">
        <v>1</v>
      </c>
      <c r="J246" t="n">
        <v>0</v>
      </c>
      <c r="K246" t="n">
        <v>1</v>
      </c>
      <c r="L246" t="n">
        <v>0</v>
      </c>
      <c r="M246" t="n">
        <v>0</v>
      </c>
      <c r="N246" t="n">
        <v>0</v>
      </c>
      <c r="O246" t="n">
        <v>1</v>
      </c>
      <c r="P246" t="n">
        <v>1</v>
      </c>
      <c r="Q246" t="n">
        <v>2</v>
      </c>
      <c r="R246" s="2" t="inlineStr">
        <is>
          <t>Knärot
Grovticka</t>
        </is>
      </c>
      <c r="S246">
        <f>HYPERLINK("https://klasma.github.io/Logging_0883/artfynd/A 2950-2025 artfynd.xlsx", "A 2950-2025")</f>
        <v/>
      </c>
      <c r="T246">
        <f>HYPERLINK("https://klasma.github.io/Logging_0883/kartor/A 2950-2025 karta.png", "A 2950-2025")</f>
        <v/>
      </c>
      <c r="U246">
        <f>HYPERLINK("https://klasma.github.io/Logging_0883/knärot/A 2950-2025 karta knärot.png", "A 2950-2025")</f>
        <v/>
      </c>
      <c r="V246">
        <f>HYPERLINK("https://klasma.github.io/Logging_0883/klagomål/A 2950-2025 FSC-klagomål.docx", "A 2950-2025")</f>
        <v/>
      </c>
      <c r="W246">
        <f>HYPERLINK("https://klasma.github.io/Logging_0883/klagomålsmail/A 2950-2025 FSC-klagomål mail.docx", "A 2950-2025")</f>
        <v/>
      </c>
      <c r="X246">
        <f>HYPERLINK("https://klasma.github.io/Logging_0883/tillsyn/A 2950-2025 tillsynsbegäran.docx", "A 2950-2025")</f>
        <v/>
      </c>
      <c r="Y246">
        <f>HYPERLINK("https://klasma.github.io/Logging_0883/tillsynsmail/A 2950-2025 tillsynsbegäran mail.docx", "A 2950-2025")</f>
        <v/>
      </c>
    </row>
    <row r="247" ht="15" customHeight="1">
      <c r="A247" t="inlineStr">
        <is>
          <t>A 3091-2025</t>
        </is>
      </c>
      <c r="B247" s="1" t="n">
        <v>45678</v>
      </c>
      <c r="C247" s="1" t="n">
        <v>45843</v>
      </c>
      <c r="D247" t="inlineStr">
        <is>
          <t>KALMAR LÄN</t>
        </is>
      </c>
      <c r="E247" t="inlineStr">
        <is>
          <t>VÄSTERVIK</t>
        </is>
      </c>
      <c r="G247" t="n">
        <v>3.7</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3091-2025 artfynd.xlsx", "A 3091-2025")</f>
        <v/>
      </c>
      <c r="T247">
        <f>HYPERLINK("https://klasma.github.io/Logging_0883/kartor/A 3091-2025 karta.png", "A 3091-2025")</f>
        <v/>
      </c>
      <c r="U247">
        <f>HYPERLINK("https://klasma.github.io/Logging_0883/knärot/A 3091-2025 karta knärot.png", "A 3091-2025")</f>
        <v/>
      </c>
      <c r="V247">
        <f>HYPERLINK("https://klasma.github.io/Logging_0883/klagomål/A 3091-2025 FSC-klagomål.docx", "A 3091-2025")</f>
        <v/>
      </c>
      <c r="W247">
        <f>HYPERLINK("https://klasma.github.io/Logging_0883/klagomålsmail/A 3091-2025 FSC-klagomål mail.docx", "A 3091-2025")</f>
        <v/>
      </c>
      <c r="X247">
        <f>HYPERLINK("https://klasma.github.io/Logging_0883/tillsyn/A 3091-2025 tillsynsbegäran.docx", "A 3091-2025")</f>
        <v/>
      </c>
      <c r="Y247">
        <f>HYPERLINK("https://klasma.github.io/Logging_0883/tillsynsmail/A 3091-2025 tillsynsbegäran mail.docx", "A 3091-2025")</f>
        <v/>
      </c>
      <c r="Z247">
        <f>HYPERLINK("https://klasma.github.io/Logging_0883/fåglar/A 3091-2025 prioriterade fågelarter.docx", "A 3091-2025")</f>
        <v/>
      </c>
    </row>
    <row r="248" ht="15" customHeight="1">
      <c r="A248" t="inlineStr">
        <is>
          <t>A 3182-2025</t>
        </is>
      </c>
      <c r="B248" s="1" t="n">
        <v>45679</v>
      </c>
      <c r="C248" s="1" t="n">
        <v>45843</v>
      </c>
      <c r="D248" t="inlineStr">
        <is>
          <t>KALMAR LÄN</t>
        </is>
      </c>
      <c r="E248" t="inlineStr">
        <is>
          <t>VÄSTERVIK</t>
        </is>
      </c>
      <c r="G248" t="n">
        <v>1.2</v>
      </c>
      <c r="H248" t="n">
        <v>2</v>
      </c>
      <c r="I248" t="n">
        <v>0</v>
      </c>
      <c r="J248" t="n">
        <v>1</v>
      </c>
      <c r="K248" t="n">
        <v>1</v>
      </c>
      <c r="L248" t="n">
        <v>0</v>
      </c>
      <c r="M248" t="n">
        <v>0</v>
      </c>
      <c r="N248" t="n">
        <v>0</v>
      </c>
      <c r="O248" t="n">
        <v>2</v>
      </c>
      <c r="P248" t="n">
        <v>1</v>
      </c>
      <c r="Q248" t="n">
        <v>2</v>
      </c>
      <c r="R248" s="2" t="inlineStr">
        <is>
          <t>Knärot
Spillkråka</t>
        </is>
      </c>
      <c r="S248">
        <f>HYPERLINK("https://klasma.github.io/Logging_0883/artfynd/A 3182-2025 artfynd.xlsx", "A 3182-2025")</f>
        <v/>
      </c>
      <c r="T248">
        <f>HYPERLINK("https://klasma.github.io/Logging_0883/kartor/A 3182-2025 karta.png", "A 3182-2025")</f>
        <v/>
      </c>
      <c r="U248">
        <f>HYPERLINK("https://klasma.github.io/Logging_0883/knärot/A 3182-2025 karta knärot.png", "A 3182-2025")</f>
        <v/>
      </c>
      <c r="V248">
        <f>HYPERLINK("https://klasma.github.io/Logging_0883/klagomål/A 3182-2025 FSC-klagomål.docx", "A 3182-2025")</f>
        <v/>
      </c>
      <c r="W248">
        <f>HYPERLINK("https://klasma.github.io/Logging_0883/klagomålsmail/A 3182-2025 FSC-klagomål mail.docx", "A 3182-2025")</f>
        <v/>
      </c>
      <c r="X248">
        <f>HYPERLINK("https://klasma.github.io/Logging_0883/tillsyn/A 3182-2025 tillsynsbegäran.docx", "A 3182-2025")</f>
        <v/>
      </c>
      <c r="Y248">
        <f>HYPERLINK("https://klasma.github.io/Logging_0883/tillsynsmail/A 3182-2025 tillsynsbegäran mail.docx", "A 3182-2025")</f>
        <v/>
      </c>
      <c r="Z248">
        <f>HYPERLINK("https://klasma.github.io/Logging_0883/fåglar/A 3182-2025 prioriterade fågelarter.docx", "A 3182-2025")</f>
        <v/>
      </c>
    </row>
    <row r="249" ht="15" customHeight="1">
      <c r="A249" t="inlineStr">
        <is>
          <t>A 4778-2025</t>
        </is>
      </c>
      <c r="B249" s="1" t="n">
        <v>45688</v>
      </c>
      <c r="C249" s="1" t="n">
        <v>45843</v>
      </c>
      <c r="D249" t="inlineStr">
        <is>
          <t>KALMAR LÄN</t>
        </is>
      </c>
      <c r="E249" t="inlineStr">
        <is>
          <t>VÄSTERVIK</t>
        </is>
      </c>
      <c r="F249" t="inlineStr">
        <is>
          <t>Holmen skog AB</t>
        </is>
      </c>
      <c r="G249" t="n">
        <v>3.8</v>
      </c>
      <c r="H249" t="n">
        <v>2</v>
      </c>
      <c r="I249" t="n">
        <v>0</v>
      </c>
      <c r="J249" t="n">
        <v>1</v>
      </c>
      <c r="K249" t="n">
        <v>1</v>
      </c>
      <c r="L249" t="n">
        <v>0</v>
      </c>
      <c r="M249" t="n">
        <v>0</v>
      </c>
      <c r="N249" t="n">
        <v>0</v>
      </c>
      <c r="O249" t="n">
        <v>2</v>
      </c>
      <c r="P249" t="n">
        <v>1</v>
      </c>
      <c r="Q249" t="n">
        <v>2</v>
      </c>
      <c r="R249" s="2" t="inlineStr">
        <is>
          <t>Knärot
Talltita</t>
        </is>
      </c>
      <c r="S249">
        <f>HYPERLINK("https://klasma.github.io/Logging_0883/artfynd/A 4778-2025 artfynd.xlsx", "A 4778-2025")</f>
        <v/>
      </c>
      <c r="T249">
        <f>HYPERLINK("https://klasma.github.io/Logging_0883/kartor/A 4778-2025 karta.png", "A 4778-2025")</f>
        <v/>
      </c>
      <c r="U249">
        <f>HYPERLINK("https://klasma.github.io/Logging_0883/knärot/A 4778-2025 karta knärot.png", "A 4778-2025")</f>
        <v/>
      </c>
      <c r="V249">
        <f>HYPERLINK("https://klasma.github.io/Logging_0883/klagomål/A 4778-2025 FSC-klagomål.docx", "A 4778-2025")</f>
        <v/>
      </c>
      <c r="W249">
        <f>HYPERLINK("https://klasma.github.io/Logging_0883/klagomålsmail/A 4778-2025 FSC-klagomål mail.docx", "A 4778-2025")</f>
        <v/>
      </c>
      <c r="X249">
        <f>HYPERLINK("https://klasma.github.io/Logging_0883/tillsyn/A 4778-2025 tillsynsbegäran.docx", "A 4778-2025")</f>
        <v/>
      </c>
      <c r="Y249">
        <f>HYPERLINK("https://klasma.github.io/Logging_0883/tillsynsmail/A 4778-2025 tillsynsbegäran mail.docx", "A 4778-2025")</f>
        <v/>
      </c>
      <c r="Z249">
        <f>HYPERLINK("https://klasma.github.io/Logging_0883/fåglar/A 4778-2025 prioriterade fågelarter.docx", "A 4778-2025")</f>
        <v/>
      </c>
    </row>
    <row r="250" ht="15" customHeight="1">
      <c r="A250" t="inlineStr">
        <is>
          <t>A 5114-2025</t>
        </is>
      </c>
      <c r="B250" s="1" t="n">
        <v>45691</v>
      </c>
      <c r="C250" s="1" t="n">
        <v>45843</v>
      </c>
      <c r="D250" t="inlineStr">
        <is>
          <t>KALMAR LÄN</t>
        </is>
      </c>
      <c r="E250" t="inlineStr">
        <is>
          <t>VÄSTERVIK</t>
        </is>
      </c>
      <c r="G250" t="n">
        <v>3.6</v>
      </c>
      <c r="H250" t="n">
        <v>2</v>
      </c>
      <c r="I250" t="n">
        <v>0</v>
      </c>
      <c r="J250" t="n">
        <v>2</v>
      </c>
      <c r="K250" t="n">
        <v>0</v>
      </c>
      <c r="L250" t="n">
        <v>0</v>
      </c>
      <c r="M250" t="n">
        <v>0</v>
      </c>
      <c r="N250" t="n">
        <v>0</v>
      </c>
      <c r="O250" t="n">
        <v>2</v>
      </c>
      <c r="P250" t="n">
        <v>0</v>
      </c>
      <c r="Q250" t="n">
        <v>2</v>
      </c>
      <c r="R250" s="2" t="inlineStr">
        <is>
          <t>Spillkråka
Talltita</t>
        </is>
      </c>
      <c r="S250">
        <f>HYPERLINK("https://klasma.github.io/Logging_0883/artfynd/A 5114-2025 artfynd.xlsx", "A 5114-2025")</f>
        <v/>
      </c>
      <c r="T250">
        <f>HYPERLINK("https://klasma.github.io/Logging_0883/kartor/A 5114-2025 karta.png", "A 5114-2025")</f>
        <v/>
      </c>
      <c r="U250">
        <f>HYPERLINK("https://klasma.github.io/Logging_0883/knärot/A 5114-2025 karta knärot.png", "A 5114-2025")</f>
        <v/>
      </c>
      <c r="V250">
        <f>HYPERLINK("https://klasma.github.io/Logging_0883/klagomål/A 5114-2025 FSC-klagomål.docx", "A 5114-2025")</f>
        <v/>
      </c>
      <c r="W250">
        <f>HYPERLINK("https://klasma.github.io/Logging_0883/klagomålsmail/A 5114-2025 FSC-klagomål mail.docx", "A 5114-2025")</f>
        <v/>
      </c>
      <c r="X250">
        <f>HYPERLINK("https://klasma.github.io/Logging_0883/tillsyn/A 5114-2025 tillsynsbegäran.docx", "A 5114-2025")</f>
        <v/>
      </c>
      <c r="Y250">
        <f>HYPERLINK("https://klasma.github.io/Logging_0883/tillsynsmail/A 5114-2025 tillsynsbegäran mail.docx", "A 5114-2025")</f>
        <v/>
      </c>
      <c r="Z250">
        <f>HYPERLINK("https://klasma.github.io/Logging_0883/fåglar/A 5114-2025 prioriterade fågelarter.docx", "A 5114-2025")</f>
        <v/>
      </c>
    </row>
    <row r="251" ht="15" customHeight="1">
      <c r="A251" t="inlineStr">
        <is>
          <t>A 5668-2025</t>
        </is>
      </c>
      <c r="B251" s="1" t="n">
        <v>45693</v>
      </c>
      <c r="C251" s="1" t="n">
        <v>45843</v>
      </c>
      <c r="D251" t="inlineStr">
        <is>
          <t>KALMAR LÄN</t>
        </is>
      </c>
      <c r="E251" t="inlineStr">
        <is>
          <t>VÄSTERVIK</t>
        </is>
      </c>
      <c r="G251" t="n">
        <v>1.2</v>
      </c>
      <c r="H251" t="n">
        <v>2</v>
      </c>
      <c r="I251" t="n">
        <v>0</v>
      </c>
      <c r="J251" t="n">
        <v>1</v>
      </c>
      <c r="K251" t="n">
        <v>0</v>
      </c>
      <c r="L251" t="n">
        <v>0</v>
      </c>
      <c r="M251" t="n">
        <v>0</v>
      </c>
      <c r="N251" t="n">
        <v>0</v>
      </c>
      <c r="O251" t="n">
        <v>1</v>
      </c>
      <c r="P251" t="n">
        <v>0</v>
      </c>
      <c r="Q251" t="n">
        <v>2</v>
      </c>
      <c r="R251" s="2" t="inlineStr">
        <is>
          <t>Talltita
Kungsfågel</t>
        </is>
      </c>
      <c r="S251">
        <f>HYPERLINK("https://klasma.github.io/Logging_0883/artfynd/A 5668-2025 artfynd.xlsx", "A 5668-2025")</f>
        <v/>
      </c>
      <c r="T251">
        <f>HYPERLINK("https://klasma.github.io/Logging_0883/kartor/A 5668-2025 karta.png", "A 5668-2025")</f>
        <v/>
      </c>
      <c r="V251">
        <f>HYPERLINK("https://klasma.github.io/Logging_0883/klagomål/A 5668-2025 FSC-klagomål.docx", "A 5668-2025")</f>
        <v/>
      </c>
      <c r="W251">
        <f>HYPERLINK("https://klasma.github.io/Logging_0883/klagomålsmail/A 5668-2025 FSC-klagomål mail.docx", "A 5668-2025")</f>
        <v/>
      </c>
      <c r="X251">
        <f>HYPERLINK("https://klasma.github.io/Logging_0883/tillsyn/A 5668-2025 tillsynsbegäran.docx", "A 5668-2025")</f>
        <v/>
      </c>
      <c r="Y251">
        <f>HYPERLINK("https://klasma.github.io/Logging_0883/tillsynsmail/A 5668-2025 tillsynsbegäran mail.docx", "A 5668-2025")</f>
        <v/>
      </c>
      <c r="Z251">
        <f>HYPERLINK("https://klasma.github.io/Logging_0883/fåglar/A 5668-2025 prioriterade fågelarter.docx", "A 5668-2025")</f>
        <v/>
      </c>
    </row>
    <row r="252" ht="15" customHeight="1">
      <c r="A252" t="inlineStr">
        <is>
          <t>A 10784-2025</t>
        </is>
      </c>
      <c r="B252" s="1" t="n">
        <v>45722</v>
      </c>
      <c r="C252" s="1" t="n">
        <v>45843</v>
      </c>
      <c r="D252" t="inlineStr">
        <is>
          <t>KALMAR LÄN</t>
        </is>
      </c>
      <c r="E252" t="inlineStr">
        <is>
          <t>VÄSTERVIK</t>
        </is>
      </c>
      <c r="G252" t="n">
        <v>2.1</v>
      </c>
      <c r="H252" t="n">
        <v>2</v>
      </c>
      <c r="I252" t="n">
        <v>0</v>
      </c>
      <c r="J252" t="n">
        <v>1</v>
      </c>
      <c r="K252" t="n">
        <v>0</v>
      </c>
      <c r="L252" t="n">
        <v>0</v>
      </c>
      <c r="M252" t="n">
        <v>0</v>
      </c>
      <c r="N252" t="n">
        <v>0</v>
      </c>
      <c r="O252" t="n">
        <v>1</v>
      </c>
      <c r="P252" t="n">
        <v>0</v>
      </c>
      <c r="Q252" t="n">
        <v>2</v>
      </c>
      <c r="R252" s="2" t="inlineStr">
        <is>
          <t>Talltita
Kungsfågel</t>
        </is>
      </c>
      <c r="S252">
        <f>HYPERLINK("https://klasma.github.io/Logging_080883/artfynd/A 10784-2025 artfynd.xlsx", "A 10784-2025")</f>
        <v/>
      </c>
      <c r="T252">
        <f>HYPERLINK("https://klasma.github.io/Logging_080883/kartor/A 10784-2025 karta.png", "A 10784-2025")</f>
        <v/>
      </c>
      <c r="V252">
        <f>HYPERLINK("https://klasma.github.io/Logging_080883/klagomål/A 10784-2025 FSC-klagomål.docx", "A 10784-2025")</f>
        <v/>
      </c>
      <c r="W252">
        <f>HYPERLINK("https://klasma.github.io/Logging_080883/klagomålsmail/A 10784-2025 FSC-klagomål mail.docx", "A 10784-2025")</f>
        <v/>
      </c>
      <c r="X252">
        <f>HYPERLINK("https://klasma.github.io/Logging_080883/tillsyn/A 10784-2025 tillsynsbegäran.docx", "A 10784-2025")</f>
        <v/>
      </c>
      <c r="Y252">
        <f>HYPERLINK("https://klasma.github.io/Logging_080883/tillsynsmail/A 10784-2025 tillsynsbegäran mail.docx", "A 10784-2025")</f>
        <v/>
      </c>
      <c r="Z252">
        <f>HYPERLINK("https://klasma.github.io/Logging_080883/fåglar/A 10784-2025 prioriterade fågelarter.docx", "A 10784-2025")</f>
        <v/>
      </c>
    </row>
    <row r="253" ht="15" customHeight="1">
      <c r="A253" t="inlineStr">
        <is>
          <t>A 14126-2025</t>
        </is>
      </c>
      <c r="B253" s="1" t="n">
        <v>45740</v>
      </c>
      <c r="C253" s="1" t="n">
        <v>45843</v>
      </c>
      <c r="D253" t="inlineStr">
        <is>
          <t>KALMAR LÄN</t>
        </is>
      </c>
      <c r="E253" t="inlineStr">
        <is>
          <t>VÄSTERVIK</t>
        </is>
      </c>
      <c r="F253" t="inlineStr">
        <is>
          <t>Sveaskog</t>
        </is>
      </c>
      <c r="G253" t="n">
        <v>1.3</v>
      </c>
      <c r="H253" t="n">
        <v>2</v>
      </c>
      <c r="I253" t="n">
        <v>0</v>
      </c>
      <c r="J253" t="n">
        <v>1</v>
      </c>
      <c r="K253" t="n">
        <v>0</v>
      </c>
      <c r="L253" t="n">
        <v>0</v>
      </c>
      <c r="M253" t="n">
        <v>0</v>
      </c>
      <c r="N253" t="n">
        <v>0</v>
      </c>
      <c r="O253" t="n">
        <v>1</v>
      </c>
      <c r="P253" t="n">
        <v>0</v>
      </c>
      <c r="Q253" t="n">
        <v>2</v>
      </c>
      <c r="R253" s="2" t="inlineStr">
        <is>
          <t>Grönsångare
Blåsippa</t>
        </is>
      </c>
      <c r="S253">
        <f>HYPERLINK("https://klasma.github.io/Logging_080883/artfynd/A 14126-2025 artfynd.xlsx", "A 14126-2025")</f>
        <v/>
      </c>
      <c r="T253">
        <f>HYPERLINK("https://klasma.github.io/Logging_080883/kartor/A 14126-2025 karta.png", "A 14126-2025")</f>
        <v/>
      </c>
      <c r="V253">
        <f>HYPERLINK("https://klasma.github.io/Logging_080883/klagomål/A 14126-2025 FSC-klagomål.docx", "A 14126-2025")</f>
        <v/>
      </c>
      <c r="W253">
        <f>HYPERLINK("https://klasma.github.io/Logging_080883/klagomålsmail/A 14126-2025 FSC-klagomål mail.docx", "A 14126-2025")</f>
        <v/>
      </c>
      <c r="X253">
        <f>HYPERLINK("https://klasma.github.io/Logging_080883/tillsyn/A 14126-2025 tillsynsbegäran.docx", "A 14126-2025")</f>
        <v/>
      </c>
      <c r="Y253">
        <f>HYPERLINK("https://klasma.github.io/Logging_080883/tillsynsmail/A 14126-2025 tillsynsbegäran mail.docx", "A 14126-2025")</f>
        <v/>
      </c>
      <c r="Z253">
        <f>HYPERLINK("https://klasma.github.io/Logging_080883/fåglar/A 14126-2025 prioriterade fågelarter.docx", "A 14126-2025")</f>
        <v/>
      </c>
    </row>
    <row r="254" ht="15" customHeight="1">
      <c r="A254" t="inlineStr">
        <is>
          <t>A 14086-2025</t>
        </is>
      </c>
      <c r="B254" s="1" t="n">
        <v>45740</v>
      </c>
      <c r="C254" s="1" t="n">
        <v>45843</v>
      </c>
      <c r="D254" t="inlineStr">
        <is>
          <t>KALMAR LÄN</t>
        </is>
      </c>
      <c r="E254" t="inlineStr">
        <is>
          <t>VÄSTERVIK</t>
        </is>
      </c>
      <c r="F254" t="inlineStr">
        <is>
          <t>Sveaskog</t>
        </is>
      </c>
      <c r="G254" t="n">
        <v>3.2</v>
      </c>
      <c r="H254" t="n">
        <v>1</v>
      </c>
      <c r="I254" t="n">
        <v>1</v>
      </c>
      <c r="J254" t="n">
        <v>0</v>
      </c>
      <c r="K254" t="n">
        <v>0</v>
      </c>
      <c r="L254" t="n">
        <v>0</v>
      </c>
      <c r="M254" t="n">
        <v>0</v>
      </c>
      <c r="N254" t="n">
        <v>0</v>
      </c>
      <c r="O254" t="n">
        <v>0</v>
      </c>
      <c r="P254" t="n">
        <v>0</v>
      </c>
      <c r="Q254" t="n">
        <v>2</v>
      </c>
      <c r="R254" s="2" t="inlineStr">
        <is>
          <t>Skogsbräsma
Åkergroda</t>
        </is>
      </c>
      <c r="S254">
        <f>HYPERLINK("https://klasma.github.io/Logging_080883/artfynd/A 14086-2025 artfynd.xlsx", "A 14086-2025")</f>
        <v/>
      </c>
      <c r="T254">
        <f>HYPERLINK("https://klasma.github.io/Logging_080883/kartor/A 14086-2025 karta.png", "A 14086-2025")</f>
        <v/>
      </c>
      <c r="V254">
        <f>HYPERLINK("https://klasma.github.io/Logging_080883/klagomål/A 14086-2025 FSC-klagomål.docx", "A 14086-2025")</f>
        <v/>
      </c>
      <c r="W254">
        <f>HYPERLINK("https://klasma.github.io/Logging_080883/klagomålsmail/A 14086-2025 FSC-klagomål mail.docx", "A 14086-2025")</f>
        <v/>
      </c>
      <c r="X254">
        <f>HYPERLINK("https://klasma.github.io/Logging_080883/tillsyn/A 14086-2025 tillsynsbegäran.docx", "A 14086-2025")</f>
        <v/>
      </c>
      <c r="Y254">
        <f>HYPERLINK("https://klasma.github.io/Logging_080883/tillsynsmail/A 14086-2025 tillsynsbegäran mail.docx", "A 14086-2025")</f>
        <v/>
      </c>
    </row>
    <row r="255" ht="15" customHeight="1">
      <c r="A255" t="inlineStr">
        <is>
          <t>A 14090-2025</t>
        </is>
      </c>
      <c r="B255" s="1" t="n">
        <v>45740</v>
      </c>
      <c r="C255" s="1" t="n">
        <v>45843</v>
      </c>
      <c r="D255" t="inlineStr">
        <is>
          <t>KALMAR LÄN</t>
        </is>
      </c>
      <c r="E255" t="inlineStr">
        <is>
          <t>VÄSTERVIK</t>
        </is>
      </c>
      <c r="F255" t="inlineStr">
        <is>
          <t>Sveaskog</t>
        </is>
      </c>
      <c r="G255" t="n">
        <v>1</v>
      </c>
      <c r="H255" t="n">
        <v>2</v>
      </c>
      <c r="I255" t="n">
        <v>0</v>
      </c>
      <c r="J255" t="n">
        <v>1</v>
      </c>
      <c r="K255" t="n">
        <v>0</v>
      </c>
      <c r="L255" t="n">
        <v>0</v>
      </c>
      <c r="M255" t="n">
        <v>0</v>
      </c>
      <c r="N255" t="n">
        <v>0</v>
      </c>
      <c r="O255" t="n">
        <v>1</v>
      </c>
      <c r="P255" t="n">
        <v>0</v>
      </c>
      <c r="Q255" t="n">
        <v>2</v>
      </c>
      <c r="R255" s="2" t="inlineStr">
        <is>
          <t>Grönsångare
Åkergroda</t>
        </is>
      </c>
      <c r="S255">
        <f>HYPERLINK("https://klasma.github.io/Logging_080883/artfynd/A 14090-2025 artfynd.xlsx", "A 14090-2025")</f>
        <v/>
      </c>
      <c r="T255">
        <f>HYPERLINK("https://klasma.github.io/Logging_080883/kartor/A 14090-2025 karta.png", "A 14090-2025")</f>
        <v/>
      </c>
      <c r="V255">
        <f>HYPERLINK("https://klasma.github.io/Logging_080883/klagomål/A 14090-2025 FSC-klagomål.docx", "A 14090-2025")</f>
        <v/>
      </c>
      <c r="W255">
        <f>HYPERLINK("https://klasma.github.io/Logging_080883/klagomålsmail/A 14090-2025 FSC-klagomål mail.docx", "A 14090-2025")</f>
        <v/>
      </c>
      <c r="X255">
        <f>HYPERLINK("https://klasma.github.io/Logging_080883/tillsyn/A 14090-2025 tillsynsbegäran.docx", "A 14090-2025")</f>
        <v/>
      </c>
      <c r="Y255">
        <f>HYPERLINK("https://klasma.github.io/Logging_080883/tillsynsmail/A 14090-2025 tillsynsbegäran mail.docx", "A 14090-2025")</f>
        <v/>
      </c>
      <c r="Z255">
        <f>HYPERLINK("https://klasma.github.io/Logging_080883/fåglar/A 14090-2025 prioriterade fågelarter.docx", "A 14090-2025")</f>
        <v/>
      </c>
    </row>
    <row r="256" ht="15" customHeight="1">
      <c r="A256" t="inlineStr">
        <is>
          <t>A 15018-2025</t>
        </is>
      </c>
      <c r="B256" s="1" t="n">
        <v>45743</v>
      </c>
      <c r="C256" s="1" t="n">
        <v>45843</v>
      </c>
      <c r="D256" t="inlineStr">
        <is>
          <t>KALMAR LÄN</t>
        </is>
      </c>
      <c r="E256" t="inlineStr">
        <is>
          <t>VÄSTERVIK</t>
        </is>
      </c>
      <c r="G256" t="n">
        <v>1.7</v>
      </c>
      <c r="H256" t="n">
        <v>2</v>
      </c>
      <c r="I256" t="n">
        <v>0</v>
      </c>
      <c r="J256" t="n">
        <v>1</v>
      </c>
      <c r="K256" t="n">
        <v>0</v>
      </c>
      <c r="L256" t="n">
        <v>0</v>
      </c>
      <c r="M256" t="n">
        <v>0</v>
      </c>
      <c r="N256" t="n">
        <v>0</v>
      </c>
      <c r="O256" t="n">
        <v>1</v>
      </c>
      <c r="P256" t="n">
        <v>0</v>
      </c>
      <c r="Q256" t="n">
        <v>2</v>
      </c>
      <c r="R256" s="2" t="inlineStr">
        <is>
          <t>Fjällvråk
Nattskärra</t>
        </is>
      </c>
      <c r="S256">
        <f>HYPERLINK("https://klasma.github.io/Logging_080883/artfynd/A 15018-2025 artfynd.xlsx", "A 15018-2025")</f>
        <v/>
      </c>
      <c r="T256">
        <f>HYPERLINK("https://klasma.github.io/Logging_080883/kartor/A 15018-2025 karta.png", "A 15018-2025")</f>
        <v/>
      </c>
      <c r="V256">
        <f>HYPERLINK("https://klasma.github.io/Logging_080883/klagomål/A 15018-2025 FSC-klagomål.docx", "A 15018-2025")</f>
        <v/>
      </c>
      <c r="W256">
        <f>HYPERLINK("https://klasma.github.io/Logging_080883/klagomålsmail/A 15018-2025 FSC-klagomål mail.docx", "A 15018-2025")</f>
        <v/>
      </c>
      <c r="X256">
        <f>HYPERLINK("https://klasma.github.io/Logging_080883/tillsyn/A 15018-2025 tillsynsbegäran.docx", "A 15018-2025")</f>
        <v/>
      </c>
      <c r="Y256">
        <f>HYPERLINK("https://klasma.github.io/Logging_080883/tillsynsmail/A 15018-2025 tillsynsbegäran mail.docx", "A 15018-2025")</f>
        <v/>
      </c>
      <c r="Z256">
        <f>HYPERLINK("https://klasma.github.io/Logging_080883/fåglar/A 15018-2025 prioriterade fågelarter.docx", "A 15018-2025")</f>
        <v/>
      </c>
    </row>
    <row r="257" ht="15" customHeight="1">
      <c r="A257" t="inlineStr">
        <is>
          <t>A 16700-2025</t>
        </is>
      </c>
      <c r="B257" s="1" t="n">
        <v>45754</v>
      </c>
      <c r="C257" s="1" t="n">
        <v>45843</v>
      </c>
      <c r="D257" t="inlineStr">
        <is>
          <t>KALMAR LÄN</t>
        </is>
      </c>
      <c r="E257" t="inlineStr">
        <is>
          <t>VÄSTERVIK</t>
        </is>
      </c>
      <c r="F257" t="inlineStr">
        <is>
          <t>Sveaskog</t>
        </is>
      </c>
      <c r="G257" t="n">
        <v>1.7</v>
      </c>
      <c r="H257" t="n">
        <v>2</v>
      </c>
      <c r="I257" t="n">
        <v>0</v>
      </c>
      <c r="J257" t="n">
        <v>1</v>
      </c>
      <c r="K257" t="n">
        <v>0</v>
      </c>
      <c r="L257" t="n">
        <v>0</v>
      </c>
      <c r="M257" t="n">
        <v>0</v>
      </c>
      <c r="N257" t="n">
        <v>0</v>
      </c>
      <c r="O257" t="n">
        <v>1</v>
      </c>
      <c r="P257" t="n">
        <v>0</v>
      </c>
      <c r="Q257" t="n">
        <v>2</v>
      </c>
      <c r="R257" s="2" t="inlineStr">
        <is>
          <t>Spillkråka
Kungsfågel</t>
        </is>
      </c>
      <c r="S257">
        <f>HYPERLINK("https://klasma.github.io/Logging_080883/artfynd/A 16700-2025 artfynd.xlsx", "A 16700-2025")</f>
        <v/>
      </c>
      <c r="T257">
        <f>HYPERLINK("https://klasma.github.io/Logging_080883/kartor/A 16700-2025 karta.png", "A 16700-2025")</f>
        <v/>
      </c>
      <c r="V257">
        <f>HYPERLINK("https://klasma.github.io/Logging_080883/klagomål/A 16700-2025 FSC-klagomål.docx", "A 16700-2025")</f>
        <v/>
      </c>
      <c r="W257">
        <f>HYPERLINK("https://klasma.github.io/Logging_080883/klagomålsmail/A 16700-2025 FSC-klagomål mail.docx", "A 16700-2025")</f>
        <v/>
      </c>
      <c r="X257">
        <f>HYPERLINK("https://klasma.github.io/Logging_080883/tillsyn/A 16700-2025 tillsynsbegäran.docx", "A 16700-2025")</f>
        <v/>
      </c>
      <c r="Y257">
        <f>HYPERLINK("https://klasma.github.io/Logging_080883/tillsynsmail/A 16700-2025 tillsynsbegäran mail.docx", "A 16700-2025")</f>
        <v/>
      </c>
      <c r="Z257">
        <f>HYPERLINK("https://klasma.github.io/Logging_080883/fåglar/A 16700-2025 prioriterade fågelarter.docx", "A 16700-2025")</f>
        <v/>
      </c>
    </row>
    <row r="258" ht="15" customHeight="1">
      <c r="A258" t="inlineStr">
        <is>
          <t>A 21081-2025</t>
        </is>
      </c>
      <c r="B258" s="1" t="n">
        <v>45777</v>
      </c>
      <c r="C258" s="1" t="n">
        <v>45843</v>
      </c>
      <c r="D258" t="inlineStr">
        <is>
          <t>KALMAR LÄN</t>
        </is>
      </c>
      <c r="E258" t="inlineStr">
        <is>
          <t>VÄSTERVIK</t>
        </is>
      </c>
      <c r="G258" t="n">
        <v>1</v>
      </c>
      <c r="H258" t="n">
        <v>1</v>
      </c>
      <c r="I258" t="n">
        <v>0</v>
      </c>
      <c r="J258" t="n">
        <v>1</v>
      </c>
      <c r="K258" t="n">
        <v>1</v>
      </c>
      <c r="L258" t="n">
        <v>0</v>
      </c>
      <c r="M258" t="n">
        <v>0</v>
      </c>
      <c r="N258" t="n">
        <v>0</v>
      </c>
      <c r="O258" t="n">
        <v>2</v>
      </c>
      <c r="P258" t="n">
        <v>1</v>
      </c>
      <c r="Q258" t="n">
        <v>2</v>
      </c>
      <c r="R258" s="2" t="inlineStr">
        <is>
          <t>Knärot
Ullticka</t>
        </is>
      </c>
      <c r="S258">
        <f>HYPERLINK("https://klasma.github.io/Logging_080883/artfynd/A 21081-2025 artfynd.xlsx", "A 21081-2025")</f>
        <v/>
      </c>
      <c r="T258">
        <f>HYPERLINK("https://klasma.github.io/Logging_080883/kartor/A 21081-2025 karta.png", "A 21081-2025")</f>
        <v/>
      </c>
      <c r="U258">
        <f>HYPERLINK("https://klasma.github.io/Logging_080883/knärot/A 21081-2025 karta knärot.png", "A 21081-2025")</f>
        <v/>
      </c>
      <c r="V258">
        <f>HYPERLINK("https://klasma.github.io/Logging_080883/klagomål/A 21081-2025 FSC-klagomål.docx", "A 21081-2025")</f>
        <v/>
      </c>
      <c r="W258">
        <f>HYPERLINK("https://klasma.github.io/Logging_080883/klagomålsmail/A 21081-2025 FSC-klagomål mail.docx", "A 21081-2025")</f>
        <v/>
      </c>
      <c r="X258">
        <f>HYPERLINK("https://klasma.github.io/Logging_080883/tillsyn/A 21081-2025 tillsynsbegäran.docx", "A 21081-2025")</f>
        <v/>
      </c>
      <c r="Y258">
        <f>HYPERLINK("https://klasma.github.io/Logging_080883/tillsynsmail/A 21081-2025 tillsynsbegäran mail.docx", "A 21081-2025")</f>
        <v/>
      </c>
    </row>
    <row r="259" ht="15" customHeight="1">
      <c r="A259" t="inlineStr">
        <is>
          <t>A 27200-2019</t>
        </is>
      </c>
      <c r="B259" s="1" t="n">
        <v>43614</v>
      </c>
      <c r="C259" s="1" t="n">
        <v>45843</v>
      </c>
      <c r="D259" t="inlineStr">
        <is>
          <t>KALMAR LÄN</t>
        </is>
      </c>
      <c r="E259" t="inlineStr">
        <is>
          <t>VÄSTERVIK</t>
        </is>
      </c>
      <c r="F259" t="inlineStr">
        <is>
          <t>Sveaskog</t>
        </is>
      </c>
      <c r="G259" t="n">
        <v>8.5</v>
      </c>
      <c r="H259" t="n">
        <v>0</v>
      </c>
      <c r="I259" t="n">
        <v>1</v>
      </c>
      <c r="J259" t="n">
        <v>0</v>
      </c>
      <c r="K259" t="n">
        <v>0</v>
      </c>
      <c r="L259" t="n">
        <v>0</v>
      </c>
      <c r="M259" t="n">
        <v>0</v>
      </c>
      <c r="N259" t="n">
        <v>0</v>
      </c>
      <c r="O259" t="n">
        <v>0</v>
      </c>
      <c r="P259" t="n">
        <v>0</v>
      </c>
      <c r="Q259" t="n">
        <v>1</v>
      </c>
      <c r="R259" s="2" t="inlineStr">
        <is>
          <t>Myskmadra</t>
        </is>
      </c>
      <c r="S259">
        <f>HYPERLINK("https://klasma.github.io/Logging_0883/artfynd/A 27200-2019 artfynd.xlsx", "A 27200-2019")</f>
        <v/>
      </c>
      <c r="T259">
        <f>HYPERLINK("https://klasma.github.io/Logging_0883/kartor/A 27200-2019 karta.png", "A 27200-2019")</f>
        <v/>
      </c>
      <c r="V259">
        <f>HYPERLINK("https://klasma.github.io/Logging_0883/klagomål/A 27200-2019 FSC-klagomål.docx", "A 27200-2019")</f>
        <v/>
      </c>
      <c r="W259">
        <f>HYPERLINK("https://klasma.github.io/Logging_0883/klagomålsmail/A 27200-2019 FSC-klagomål mail.docx", "A 27200-2019")</f>
        <v/>
      </c>
      <c r="X259">
        <f>HYPERLINK("https://klasma.github.io/Logging_0883/tillsyn/A 27200-2019 tillsynsbegäran.docx", "A 27200-2019")</f>
        <v/>
      </c>
      <c r="Y259">
        <f>HYPERLINK("https://klasma.github.io/Logging_0883/tillsynsmail/A 27200-2019 tillsynsbegäran mail.docx", "A 27200-2019")</f>
        <v/>
      </c>
    </row>
    <row r="260" ht="15" customHeight="1">
      <c r="A260" t="inlineStr">
        <is>
          <t>A 27204-2019</t>
        </is>
      </c>
      <c r="B260" s="1" t="n">
        <v>43614</v>
      </c>
      <c r="C260" s="1" t="n">
        <v>45843</v>
      </c>
      <c r="D260" t="inlineStr">
        <is>
          <t>KALMAR LÄN</t>
        </is>
      </c>
      <c r="E260" t="inlineStr">
        <is>
          <t>VÄSTERVIK</t>
        </is>
      </c>
      <c r="F260" t="inlineStr">
        <is>
          <t>Sveaskog</t>
        </is>
      </c>
      <c r="G260" t="n">
        <v>12.9</v>
      </c>
      <c r="H260" t="n">
        <v>0</v>
      </c>
      <c r="I260" t="n">
        <v>1</v>
      </c>
      <c r="J260" t="n">
        <v>0</v>
      </c>
      <c r="K260" t="n">
        <v>0</v>
      </c>
      <c r="L260" t="n">
        <v>0</v>
      </c>
      <c r="M260" t="n">
        <v>0</v>
      </c>
      <c r="N260" t="n">
        <v>0</v>
      </c>
      <c r="O260" t="n">
        <v>0</v>
      </c>
      <c r="P260" t="n">
        <v>0</v>
      </c>
      <c r="Q260" t="n">
        <v>1</v>
      </c>
      <c r="R260" s="2" t="inlineStr">
        <is>
          <t>Platt fjädermossa</t>
        </is>
      </c>
      <c r="S260">
        <f>HYPERLINK("https://klasma.github.io/Logging_0883/artfynd/A 27204-2019 artfynd.xlsx", "A 27204-2019")</f>
        <v/>
      </c>
      <c r="T260">
        <f>HYPERLINK("https://klasma.github.io/Logging_0883/kartor/A 27204-2019 karta.png", "A 27204-2019")</f>
        <v/>
      </c>
      <c r="V260">
        <f>HYPERLINK("https://klasma.github.io/Logging_0883/klagomål/A 27204-2019 FSC-klagomål.docx", "A 27204-2019")</f>
        <v/>
      </c>
      <c r="W260">
        <f>HYPERLINK("https://klasma.github.io/Logging_0883/klagomålsmail/A 27204-2019 FSC-klagomål mail.docx", "A 27204-2019")</f>
        <v/>
      </c>
      <c r="X260">
        <f>HYPERLINK("https://klasma.github.io/Logging_0883/tillsyn/A 27204-2019 tillsynsbegäran.docx", "A 27204-2019")</f>
        <v/>
      </c>
      <c r="Y260">
        <f>HYPERLINK("https://klasma.github.io/Logging_0883/tillsynsmail/A 27204-2019 tillsynsbegäran mail.docx", "A 27204-2019")</f>
        <v/>
      </c>
    </row>
    <row r="261" ht="15" customHeight="1">
      <c r="A261" t="inlineStr">
        <is>
          <t>A 27203-2019</t>
        </is>
      </c>
      <c r="B261" s="1" t="n">
        <v>43614</v>
      </c>
      <c r="C261" s="1" t="n">
        <v>45843</v>
      </c>
      <c r="D261" t="inlineStr">
        <is>
          <t>KALMAR LÄN</t>
        </is>
      </c>
      <c r="E261" t="inlineStr">
        <is>
          <t>VÄSTERVIK</t>
        </is>
      </c>
      <c r="F261" t="inlineStr">
        <is>
          <t>Sveaskog</t>
        </is>
      </c>
      <c r="G261" t="n">
        <v>4.8</v>
      </c>
      <c r="H261" t="n">
        <v>0</v>
      </c>
      <c r="I261" t="n">
        <v>1</v>
      </c>
      <c r="J261" t="n">
        <v>0</v>
      </c>
      <c r="K261" t="n">
        <v>0</v>
      </c>
      <c r="L261" t="n">
        <v>0</v>
      </c>
      <c r="M261" t="n">
        <v>0</v>
      </c>
      <c r="N261" t="n">
        <v>0</v>
      </c>
      <c r="O261" t="n">
        <v>0</v>
      </c>
      <c r="P261" t="n">
        <v>0</v>
      </c>
      <c r="Q261" t="n">
        <v>1</v>
      </c>
      <c r="R261" s="2" t="inlineStr">
        <is>
          <t>Blomskägglav</t>
        </is>
      </c>
      <c r="S261">
        <f>HYPERLINK("https://klasma.github.io/Logging_0883/artfynd/A 27203-2019 artfynd.xlsx", "A 27203-2019")</f>
        <v/>
      </c>
      <c r="T261">
        <f>HYPERLINK("https://klasma.github.io/Logging_0883/kartor/A 27203-2019 karta.png", "A 27203-2019")</f>
        <v/>
      </c>
      <c r="V261">
        <f>HYPERLINK("https://klasma.github.io/Logging_0883/klagomål/A 27203-2019 FSC-klagomål.docx", "A 27203-2019")</f>
        <v/>
      </c>
      <c r="W261">
        <f>HYPERLINK("https://klasma.github.io/Logging_0883/klagomålsmail/A 27203-2019 FSC-klagomål mail.docx", "A 27203-2019")</f>
        <v/>
      </c>
      <c r="X261">
        <f>HYPERLINK("https://klasma.github.io/Logging_0883/tillsyn/A 27203-2019 tillsynsbegäran.docx", "A 27203-2019")</f>
        <v/>
      </c>
      <c r="Y261">
        <f>HYPERLINK("https://klasma.github.io/Logging_0883/tillsynsmail/A 27203-2019 tillsynsbegäran mail.docx", "A 27203-2019")</f>
        <v/>
      </c>
    </row>
    <row r="262" ht="15" customHeight="1">
      <c r="A262" t="inlineStr">
        <is>
          <t>A 59193-2019</t>
        </is>
      </c>
      <c r="B262" s="1" t="n">
        <v>43775</v>
      </c>
      <c r="C262" s="1" t="n">
        <v>45843</v>
      </c>
      <c r="D262" t="inlineStr">
        <is>
          <t>KALMAR LÄN</t>
        </is>
      </c>
      <c r="E262" t="inlineStr">
        <is>
          <t>VÄSTERVIK</t>
        </is>
      </c>
      <c r="G262" t="n">
        <v>3.8</v>
      </c>
      <c r="H262" t="n">
        <v>0</v>
      </c>
      <c r="I262" t="n">
        <v>0</v>
      </c>
      <c r="J262" t="n">
        <v>1</v>
      </c>
      <c r="K262" t="n">
        <v>0</v>
      </c>
      <c r="L262" t="n">
        <v>0</v>
      </c>
      <c r="M262" t="n">
        <v>0</v>
      </c>
      <c r="N262" t="n">
        <v>0</v>
      </c>
      <c r="O262" t="n">
        <v>1</v>
      </c>
      <c r="P262" t="n">
        <v>0</v>
      </c>
      <c r="Q262" t="n">
        <v>1</v>
      </c>
      <c r="R262" s="2" t="inlineStr">
        <is>
          <t>Åkerkulla</t>
        </is>
      </c>
      <c r="S262">
        <f>HYPERLINK("https://klasma.github.io/Logging_0883/artfynd/A 59193-2019 artfynd.xlsx", "A 59193-2019")</f>
        <v/>
      </c>
      <c r="T262">
        <f>HYPERLINK("https://klasma.github.io/Logging_0883/kartor/A 59193-2019 karta.png", "A 59193-2019")</f>
        <v/>
      </c>
      <c r="V262">
        <f>HYPERLINK("https://klasma.github.io/Logging_0883/klagomål/A 59193-2019 FSC-klagomål.docx", "A 59193-2019")</f>
        <v/>
      </c>
      <c r="W262">
        <f>HYPERLINK("https://klasma.github.io/Logging_0883/klagomålsmail/A 59193-2019 FSC-klagomål mail.docx", "A 59193-2019")</f>
        <v/>
      </c>
      <c r="X262">
        <f>HYPERLINK("https://klasma.github.io/Logging_0883/tillsyn/A 59193-2019 tillsynsbegäran.docx", "A 59193-2019")</f>
        <v/>
      </c>
      <c r="Y262">
        <f>HYPERLINK("https://klasma.github.io/Logging_0883/tillsynsmail/A 59193-2019 tillsynsbegäran mail.docx", "A 59193-2019")</f>
        <v/>
      </c>
    </row>
    <row r="263" ht="15" customHeight="1">
      <c r="A263" t="inlineStr">
        <is>
          <t>A 16608-2020</t>
        </is>
      </c>
      <c r="B263" s="1" t="n">
        <v>43908</v>
      </c>
      <c r="C263" s="1" t="n">
        <v>45843</v>
      </c>
      <c r="D263" t="inlineStr">
        <is>
          <t>KALMAR LÄN</t>
        </is>
      </c>
      <c r="E263" t="inlineStr">
        <is>
          <t>VÄSTERVIK</t>
        </is>
      </c>
      <c r="F263" t="inlineStr">
        <is>
          <t>Övriga Aktiebolag</t>
        </is>
      </c>
      <c r="G263" t="n">
        <v>1.7</v>
      </c>
      <c r="H263" t="n">
        <v>0</v>
      </c>
      <c r="I263" t="n">
        <v>0</v>
      </c>
      <c r="J263" t="n">
        <v>1</v>
      </c>
      <c r="K263" t="n">
        <v>0</v>
      </c>
      <c r="L263" t="n">
        <v>0</v>
      </c>
      <c r="M263" t="n">
        <v>0</v>
      </c>
      <c r="N263" t="n">
        <v>0</v>
      </c>
      <c r="O263" t="n">
        <v>1</v>
      </c>
      <c r="P263" t="n">
        <v>0</v>
      </c>
      <c r="Q263" t="n">
        <v>1</v>
      </c>
      <c r="R263" s="2" t="inlineStr">
        <is>
          <t>Skogsklocka</t>
        </is>
      </c>
      <c r="S263">
        <f>HYPERLINK("https://klasma.github.io/Logging_0883/artfynd/A 16608-2020 artfynd.xlsx", "A 16608-2020")</f>
        <v/>
      </c>
      <c r="T263">
        <f>HYPERLINK("https://klasma.github.io/Logging_0883/kartor/A 16608-2020 karta.png", "A 16608-2020")</f>
        <v/>
      </c>
      <c r="V263">
        <f>HYPERLINK("https://klasma.github.io/Logging_0883/klagomål/A 16608-2020 FSC-klagomål.docx", "A 16608-2020")</f>
        <v/>
      </c>
      <c r="W263">
        <f>HYPERLINK("https://klasma.github.io/Logging_0883/klagomålsmail/A 16608-2020 FSC-klagomål mail.docx", "A 16608-2020")</f>
        <v/>
      </c>
      <c r="X263">
        <f>HYPERLINK("https://klasma.github.io/Logging_0883/tillsyn/A 16608-2020 tillsynsbegäran.docx", "A 16608-2020")</f>
        <v/>
      </c>
      <c r="Y263">
        <f>HYPERLINK("https://klasma.github.io/Logging_0883/tillsynsmail/A 16608-2020 tillsynsbegäran mail.docx", "A 16608-2020")</f>
        <v/>
      </c>
    </row>
    <row r="264" ht="15" customHeight="1">
      <c r="A264" t="inlineStr">
        <is>
          <t>A 15357-2020</t>
        </is>
      </c>
      <c r="B264" s="1" t="n">
        <v>43913</v>
      </c>
      <c r="C264" s="1" t="n">
        <v>45843</v>
      </c>
      <c r="D264" t="inlineStr">
        <is>
          <t>KALMAR LÄN</t>
        </is>
      </c>
      <c r="E264" t="inlineStr">
        <is>
          <t>VÄSTERVIK</t>
        </is>
      </c>
      <c r="G264" t="n">
        <v>2.9</v>
      </c>
      <c r="H264" t="n">
        <v>0</v>
      </c>
      <c r="I264" t="n">
        <v>1</v>
      </c>
      <c r="J264" t="n">
        <v>0</v>
      </c>
      <c r="K264" t="n">
        <v>0</v>
      </c>
      <c r="L264" t="n">
        <v>0</v>
      </c>
      <c r="M264" t="n">
        <v>0</v>
      </c>
      <c r="N264" t="n">
        <v>0</v>
      </c>
      <c r="O264" t="n">
        <v>0</v>
      </c>
      <c r="P264" t="n">
        <v>0</v>
      </c>
      <c r="Q264" t="n">
        <v>1</v>
      </c>
      <c r="R264" s="2" t="inlineStr">
        <is>
          <t>Grönpyrola</t>
        </is>
      </c>
      <c r="S264">
        <f>HYPERLINK("https://klasma.github.io/Logging_0883/artfynd/A 15357-2020 artfynd.xlsx", "A 15357-2020")</f>
        <v/>
      </c>
      <c r="T264">
        <f>HYPERLINK("https://klasma.github.io/Logging_0883/kartor/A 15357-2020 karta.png", "A 15357-2020")</f>
        <v/>
      </c>
      <c r="U264">
        <f>HYPERLINK("https://klasma.github.io/Logging_0883/knärot/A 15357-2020 karta knärot.png", "A 15357-2020")</f>
        <v/>
      </c>
      <c r="V264">
        <f>HYPERLINK("https://klasma.github.io/Logging_0883/klagomål/A 15357-2020 FSC-klagomål.docx", "A 15357-2020")</f>
        <v/>
      </c>
      <c r="W264">
        <f>HYPERLINK("https://klasma.github.io/Logging_0883/klagomålsmail/A 15357-2020 FSC-klagomål mail.docx", "A 15357-2020")</f>
        <v/>
      </c>
      <c r="X264">
        <f>HYPERLINK("https://klasma.github.io/Logging_0883/tillsyn/A 15357-2020 tillsynsbegäran.docx", "A 15357-2020")</f>
        <v/>
      </c>
      <c r="Y264">
        <f>HYPERLINK("https://klasma.github.io/Logging_0883/tillsynsmail/A 15357-2020 tillsynsbegäran mail.docx", "A 15357-2020")</f>
        <v/>
      </c>
    </row>
    <row r="265" ht="15" customHeight="1">
      <c r="A265" t="inlineStr">
        <is>
          <t>A 39836-2020</t>
        </is>
      </c>
      <c r="B265" s="1" t="n">
        <v>44064</v>
      </c>
      <c r="C265" s="1" t="n">
        <v>45843</v>
      </c>
      <c r="D265" t="inlineStr">
        <is>
          <t>KALMAR LÄN</t>
        </is>
      </c>
      <c r="E265" t="inlineStr">
        <is>
          <t>VÄSTERVIK</t>
        </is>
      </c>
      <c r="G265" t="n">
        <v>13.4</v>
      </c>
      <c r="H265" t="n">
        <v>1</v>
      </c>
      <c r="I265" t="n">
        <v>0</v>
      </c>
      <c r="J265" t="n">
        <v>1</v>
      </c>
      <c r="K265" t="n">
        <v>0</v>
      </c>
      <c r="L265" t="n">
        <v>0</v>
      </c>
      <c r="M265" t="n">
        <v>0</v>
      </c>
      <c r="N265" t="n">
        <v>0</v>
      </c>
      <c r="O265" t="n">
        <v>1</v>
      </c>
      <c r="P265" t="n">
        <v>0</v>
      </c>
      <c r="Q265" t="n">
        <v>1</v>
      </c>
      <c r="R265" s="2" t="inlineStr">
        <is>
          <t>Havsörn</t>
        </is>
      </c>
      <c r="S265">
        <f>HYPERLINK("https://klasma.github.io/Logging_0883/artfynd/A 39836-2020 artfynd.xlsx", "A 39836-2020")</f>
        <v/>
      </c>
      <c r="T265">
        <f>HYPERLINK("https://klasma.github.io/Logging_0883/kartor/A 39836-2020 karta.png", "A 39836-2020")</f>
        <v/>
      </c>
      <c r="V265">
        <f>HYPERLINK("https://klasma.github.io/Logging_0883/klagomål/A 39836-2020 FSC-klagomål.docx", "A 39836-2020")</f>
        <v/>
      </c>
      <c r="W265">
        <f>HYPERLINK("https://klasma.github.io/Logging_0883/klagomålsmail/A 39836-2020 FSC-klagomål mail.docx", "A 39836-2020")</f>
        <v/>
      </c>
      <c r="X265">
        <f>HYPERLINK("https://klasma.github.io/Logging_0883/tillsyn/A 39836-2020 tillsynsbegäran.docx", "A 39836-2020")</f>
        <v/>
      </c>
      <c r="Y265">
        <f>HYPERLINK("https://klasma.github.io/Logging_0883/tillsynsmail/A 39836-2020 tillsynsbegäran mail.docx", "A 39836-2020")</f>
        <v/>
      </c>
      <c r="Z265">
        <f>HYPERLINK("https://klasma.github.io/Logging_0883/fåglar/A 39836-2020 prioriterade fågelarter.docx", "A 39836-2020")</f>
        <v/>
      </c>
    </row>
    <row r="266" ht="15" customHeight="1">
      <c r="A266" t="inlineStr">
        <is>
          <t>A 66752-2020</t>
        </is>
      </c>
      <c r="B266" s="1" t="n">
        <v>44175</v>
      </c>
      <c r="C266" s="1" t="n">
        <v>45843</v>
      </c>
      <c r="D266" t="inlineStr">
        <is>
          <t>KALMAR LÄN</t>
        </is>
      </c>
      <c r="E266" t="inlineStr">
        <is>
          <t>VÄSTERVIK</t>
        </is>
      </c>
      <c r="G266" t="n">
        <v>0.7</v>
      </c>
      <c r="H266" t="n">
        <v>0</v>
      </c>
      <c r="I266" t="n">
        <v>0</v>
      </c>
      <c r="J266" t="n">
        <v>1</v>
      </c>
      <c r="K266" t="n">
        <v>0</v>
      </c>
      <c r="L266" t="n">
        <v>0</v>
      </c>
      <c r="M266" t="n">
        <v>0</v>
      </c>
      <c r="N266" t="n">
        <v>0</v>
      </c>
      <c r="O266" t="n">
        <v>1</v>
      </c>
      <c r="P266" t="n">
        <v>0</v>
      </c>
      <c r="Q266" t="n">
        <v>1</v>
      </c>
      <c r="R266" s="2" t="inlineStr">
        <is>
          <t>Tallticka</t>
        </is>
      </c>
      <c r="S266">
        <f>HYPERLINK("https://klasma.github.io/Logging_0883/artfynd/A 66752-2020 artfynd.xlsx", "A 66752-2020")</f>
        <v/>
      </c>
      <c r="T266">
        <f>HYPERLINK("https://klasma.github.io/Logging_0883/kartor/A 66752-2020 karta.png", "A 66752-2020")</f>
        <v/>
      </c>
      <c r="V266">
        <f>HYPERLINK("https://klasma.github.io/Logging_0883/klagomål/A 66752-2020 FSC-klagomål.docx", "A 66752-2020")</f>
        <v/>
      </c>
      <c r="W266">
        <f>HYPERLINK("https://klasma.github.io/Logging_0883/klagomålsmail/A 66752-2020 FSC-klagomål mail.docx", "A 66752-2020")</f>
        <v/>
      </c>
      <c r="X266">
        <f>HYPERLINK("https://klasma.github.io/Logging_0883/tillsyn/A 66752-2020 tillsynsbegäran.docx", "A 66752-2020")</f>
        <v/>
      </c>
      <c r="Y266">
        <f>HYPERLINK("https://klasma.github.io/Logging_0883/tillsynsmail/A 66752-2020 tillsynsbegäran mail.docx", "A 66752-2020")</f>
        <v/>
      </c>
    </row>
    <row r="267" ht="15" customHeight="1">
      <c r="A267" t="inlineStr">
        <is>
          <t>A 69632-2020</t>
        </is>
      </c>
      <c r="B267" s="1" t="n">
        <v>44195</v>
      </c>
      <c r="C267" s="1" t="n">
        <v>45843</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69632-2020 artfynd.xlsx", "A 69632-2020")</f>
        <v/>
      </c>
      <c r="T267">
        <f>HYPERLINK("https://klasma.github.io/Logging_0883/kartor/A 69632-2020 karta.png", "A 69632-2020")</f>
        <v/>
      </c>
      <c r="V267">
        <f>HYPERLINK("https://klasma.github.io/Logging_0883/klagomål/A 69632-2020 FSC-klagomål.docx", "A 69632-2020")</f>
        <v/>
      </c>
      <c r="W267">
        <f>HYPERLINK("https://klasma.github.io/Logging_0883/klagomålsmail/A 69632-2020 FSC-klagomål mail.docx", "A 69632-2020")</f>
        <v/>
      </c>
      <c r="X267">
        <f>HYPERLINK("https://klasma.github.io/Logging_0883/tillsyn/A 69632-2020 tillsynsbegäran.docx", "A 69632-2020")</f>
        <v/>
      </c>
      <c r="Y267">
        <f>HYPERLINK("https://klasma.github.io/Logging_0883/tillsynsmail/A 69632-2020 tillsynsbegäran mail.docx", "A 69632-2020")</f>
        <v/>
      </c>
    </row>
    <row r="268" ht="15" customHeight="1">
      <c r="A268" t="inlineStr">
        <is>
          <t>A 5575-2021</t>
        </is>
      </c>
      <c r="B268" s="1" t="n">
        <v>44230</v>
      </c>
      <c r="C268" s="1" t="n">
        <v>45843</v>
      </c>
      <c r="D268" t="inlineStr">
        <is>
          <t>KALMAR LÄN</t>
        </is>
      </c>
      <c r="E268" t="inlineStr">
        <is>
          <t>VÄSTERVIK</t>
        </is>
      </c>
      <c r="G268" t="n">
        <v>2.6</v>
      </c>
      <c r="H268" t="n">
        <v>1</v>
      </c>
      <c r="I268" t="n">
        <v>1</v>
      </c>
      <c r="J268" t="n">
        <v>0</v>
      </c>
      <c r="K268" t="n">
        <v>0</v>
      </c>
      <c r="L268" t="n">
        <v>0</v>
      </c>
      <c r="M268" t="n">
        <v>0</v>
      </c>
      <c r="N268" t="n">
        <v>0</v>
      </c>
      <c r="O268" t="n">
        <v>0</v>
      </c>
      <c r="P268" t="n">
        <v>0</v>
      </c>
      <c r="Q268" t="n">
        <v>1</v>
      </c>
      <c r="R268" s="2" t="inlineStr">
        <is>
          <t>Ekoxe</t>
        </is>
      </c>
      <c r="S268">
        <f>HYPERLINK("https://klasma.github.io/Logging_0883/artfynd/A 5575-2021 artfynd.xlsx", "A 5575-2021")</f>
        <v/>
      </c>
      <c r="T268">
        <f>HYPERLINK("https://klasma.github.io/Logging_0883/kartor/A 5575-2021 karta.png", "A 5575-2021")</f>
        <v/>
      </c>
      <c r="V268">
        <f>HYPERLINK("https://klasma.github.io/Logging_0883/klagomål/A 5575-2021 FSC-klagomål.docx", "A 5575-2021")</f>
        <v/>
      </c>
      <c r="W268">
        <f>HYPERLINK("https://klasma.github.io/Logging_0883/klagomålsmail/A 5575-2021 FSC-klagomål mail.docx", "A 5575-2021")</f>
        <v/>
      </c>
      <c r="X268">
        <f>HYPERLINK("https://klasma.github.io/Logging_0883/tillsyn/A 5575-2021 tillsynsbegäran.docx", "A 5575-2021")</f>
        <v/>
      </c>
      <c r="Y268">
        <f>HYPERLINK("https://klasma.github.io/Logging_0883/tillsynsmail/A 5575-2021 tillsynsbegäran mail.docx", "A 5575-2021")</f>
        <v/>
      </c>
    </row>
    <row r="269" ht="15" customHeight="1">
      <c r="A269" t="inlineStr">
        <is>
          <t>A 20233-2021</t>
        </is>
      </c>
      <c r="B269" s="1" t="n">
        <v>44314</v>
      </c>
      <c r="C269" s="1" t="n">
        <v>45843</v>
      </c>
      <c r="D269" t="inlineStr">
        <is>
          <t>KALMAR LÄN</t>
        </is>
      </c>
      <c r="E269" t="inlineStr">
        <is>
          <t>VÄSTERVIK</t>
        </is>
      </c>
      <c r="F269" t="inlineStr">
        <is>
          <t>Holmen skog AB</t>
        </is>
      </c>
      <c r="G269" t="n">
        <v>11.8</v>
      </c>
      <c r="H269" t="n">
        <v>0</v>
      </c>
      <c r="I269" t="n">
        <v>0</v>
      </c>
      <c r="J269" t="n">
        <v>1</v>
      </c>
      <c r="K269" t="n">
        <v>0</v>
      </c>
      <c r="L269" t="n">
        <v>0</v>
      </c>
      <c r="M269" t="n">
        <v>0</v>
      </c>
      <c r="N269" t="n">
        <v>0</v>
      </c>
      <c r="O269" t="n">
        <v>1</v>
      </c>
      <c r="P269" t="n">
        <v>0</v>
      </c>
      <c r="Q269" t="n">
        <v>1</v>
      </c>
      <c r="R269" s="2" t="inlineStr">
        <is>
          <t>Skogsklocka</t>
        </is>
      </c>
      <c r="S269">
        <f>HYPERLINK("https://klasma.github.io/Logging_0883/artfynd/A 20233-2021 artfynd.xlsx", "A 20233-2021")</f>
        <v/>
      </c>
      <c r="T269">
        <f>HYPERLINK("https://klasma.github.io/Logging_0883/kartor/A 20233-2021 karta.png", "A 20233-2021")</f>
        <v/>
      </c>
      <c r="V269">
        <f>HYPERLINK("https://klasma.github.io/Logging_0883/klagomål/A 20233-2021 FSC-klagomål.docx", "A 20233-2021")</f>
        <v/>
      </c>
      <c r="W269">
        <f>HYPERLINK("https://klasma.github.io/Logging_0883/klagomålsmail/A 20233-2021 FSC-klagomål mail.docx", "A 20233-2021")</f>
        <v/>
      </c>
      <c r="X269">
        <f>HYPERLINK("https://klasma.github.io/Logging_0883/tillsyn/A 20233-2021 tillsynsbegäran.docx", "A 20233-2021")</f>
        <v/>
      </c>
      <c r="Y269">
        <f>HYPERLINK("https://klasma.github.io/Logging_0883/tillsynsmail/A 20233-2021 tillsynsbegäran mail.docx", "A 20233-2021")</f>
        <v/>
      </c>
    </row>
    <row r="270" ht="15" customHeight="1">
      <c r="A270" t="inlineStr">
        <is>
          <t>A 24048-2021</t>
        </is>
      </c>
      <c r="B270" s="1" t="n">
        <v>44336</v>
      </c>
      <c r="C270" s="1" t="n">
        <v>45843</v>
      </c>
      <c r="D270" t="inlineStr">
        <is>
          <t>KALMAR LÄN</t>
        </is>
      </c>
      <c r="E270" t="inlineStr">
        <is>
          <t>VÄSTERVIK</t>
        </is>
      </c>
      <c r="G270" t="n">
        <v>3.5</v>
      </c>
      <c r="H270" t="n">
        <v>1</v>
      </c>
      <c r="I270" t="n">
        <v>0</v>
      </c>
      <c r="J270" t="n">
        <v>0</v>
      </c>
      <c r="K270" t="n">
        <v>1</v>
      </c>
      <c r="L270" t="n">
        <v>0</v>
      </c>
      <c r="M270" t="n">
        <v>0</v>
      </c>
      <c r="N270" t="n">
        <v>0</v>
      </c>
      <c r="O270" t="n">
        <v>1</v>
      </c>
      <c r="P270" t="n">
        <v>1</v>
      </c>
      <c r="Q270" t="n">
        <v>1</v>
      </c>
      <c r="R270" s="2" t="inlineStr">
        <is>
          <t>Knärot</t>
        </is>
      </c>
      <c r="S270">
        <f>HYPERLINK("https://klasma.github.io/Logging_0883/artfynd/A 24048-2021 artfynd.xlsx", "A 24048-2021")</f>
        <v/>
      </c>
      <c r="T270">
        <f>HYPERLINK("https://klasma.github.io/Logging_0883/kartor/A 24048-2021 karta.png", "A 24048-2021")</f>
        <v/>
      </c>
      <c r="U270">
        <f>HYPERLINK("https://klasma.github.io/Logging_0883/knärot/A 24048-2021 karta knärot.png", "A 24048-2021")</f>
        <v/>
      </c>
      <c r="V270">
        <f>HYPERLINK("https://klasma.github.io/Logging_0883/klagomål/A 24048-2021 FSC-klagomål.docx", "A 24048-2021")</f>
        <v/>
      </c>
      <c r="W270">
        <f>HYPERLINK("https://klasma.github.io/Logging_0883/klagomålsmail/A 24048-2021 FSC-klagomål mail.docx", "A 24048-2021")</f>
        <v/>
      </c>
      <c r="X270">
        <f>HYPERLINK("https://klasma.github.io/Logging_0883/tillsyn/A 24048-2021 tillsynsbegäran.docx", "A 24048-2021")</f>
        <v/>
      </c>
      <c r="Y270">
        <f>HYPERLINK("https://klasma.github.io/Logging_0883/tillsynsmail/A 24048-2021 tillsynsbegäran mail.docx", "A 24048-2021")</f>
        <v/>
      </c>
    </row>
    <row r="271" ht="15" customHeight="1">
      <c r="A271" t="inlineStr">
        <is>
          <t>A 25447-2021</t>
        </is>
      </c>
      <c r="B271" s="1" t="n">
        <v>44342</v>
      </c>
      <c r="C271" s="1" t="n">
        <v>45843</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25594-2021</t>
        </is>
      </c>
      <c r="B272" s="1" t="n">
        <v>44343</v>
      </c>
      <c r="C272" s="1" t="n">
        <v>45843</v>
      </c>
      <c r="D272" t="inlineStr">
        <is>
          <t>KALMAR LÄN</t>
        </is>
      </c>
      <c r="E272" t="inlineStr">
        <is>
          <t>VÄSTERVIK</t>
        </is>
      </c>
      <c r="F272" t="inlineStr">
        <is>
          <t>Holmen skog AB</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HYPERLINK("https://klasma.github.io/Logging_0883/artfynd/A 25594-2021 artfynd.xlsx", "A 25594-2021")</f>
        <v/>
      </c>
      <c r="T272">
        <f>HYPERLINK("https://klasma.github.io/Logging_0883/kartor/A 25594-2021 karta.png", "A 25594-2021")</f>
        <v/>
      </c>
      <c r="U272">
        <f>HYPERLINK("https://klasma.github.io/Logging_0883/knärot/A 25594-2021 karta knärot.png", "A 25594-2021")</f>
        <v/>
      </c>
      <c r="V272">
        <f>HYPERLINK("https://klasma.github.io/Logging_0883/klagomål/A 25594-2021 FSC-klagomål.docx", "A 25594-2021")</f>
        <v/>
      </c>
      <c r="W272">
        <f>HYPERLINK("https://klasma.github.io/Logging_0883/klagomålsmail/A 25594-2021 FSC-klagomål mail.docx", "A 25594-2021")</f>
        <v/>
      </c>
      <c r="X272">
        <f>HYPERLINK("https://klasma.github.io/Logging_0883/tillsyn/A 25594-2021 tillsynsbegäran.docx", "A 25594-2021")</f>
        <v/>
      </c>
      <c r="Y272">
        <f>HYPERLINK("https://klasma.github.io/Logging_0883/tillsynsmail/A 25594-2021 tillsynsbegäran mail.docx", "A 25594-2021")</f>
        <v/>
      </c>
    </row>
    <row r="273" ht="15" customHeight="1">
      <c r="A273" t="inlineStr">
        <is>
          <t>A 29455-2021</t>
        </is>
      </c>
      <c r="B273" s="1" t="n">
        <v>44361</v>
      </c>
      <c r="C273" s="1" t="n">
        <v>45843</v>
      </c>
      <c r="D273" t="inlineStr">
        <is>
          <t>KALMAR LÄN</t>
        </is>
      </c>
      <c r="E273" t="inlineStr">
        <is>
          <t>VÄSTERVIK</t>
        </is>
      </c>
      <c r="F273" t="inlineStr">
        <is>
          <t>Övriga Aktiebolag</t>
        </is>
      </c>
      <c r="G273" t="n">
        <v>3.1</v>
      </c>
      <c r="H273" t="n">
        <v>1</v>
      </c>
      <c r="I273" t="n">
        <v>0</v>
      </c>
      <c r="J273" t="n">
        <v>0</v>
      </c>
      <c r="K273" t="n">
        <v>1</v>
      </c>
      <c r="L273" t="n">
        <v>0</v>
      </c>
      <c r="M273" t="n">
        <v>0</v>
      </c>
      <c r="N273" t="n">
        <v>0</v>
      </c>
      <c r="O273" t="n">
        <v>1</v>
      </c>
      <c r="P273" t="n">
        <v>1</v>
      </c>
      <c r="Q273" t="n">
        <v>1</v>
      </c>
      <c r="R273" s="2" t="inlineStr">
        <is>
          <t>Knärot</t>
        </is>
      </c>
      <c r="S273">
        <f>HYPERLINK("https://klasma.github.io/Logging_0883/artfynd/A 29455-2021 artfynd.xlsx", "A 29455-2021")</f>
        <v/>
      </c>
      <c r="T273">
        <f>HYPERLINK("https://klasma.github.io/Logging_0883/kartor/A 29455-2021 karta.png", "A 29455-2021")</f>
        <v/>
      </c>
      <c r="U273">
        <f>HYPERLINK("https://klasma.github.io/Logging_0883/knärot/A 29455-2021 karta knärot.png", "A 29455-2021")</f>
        <v/>
      </c>
      <c r="V273">
        <f>HYPERLINK("https://klasma.github.io/Logging_0883/klagomål/A 29455-2021 FSC-klagomål.docx", "A 29455-2021")</f>
        <v/>
      </c>
      <c r="W273">
        <f>HYPERLINK("https://klasma.github.io/Logging_0883/klagomålsmail/A 29455-2021 FSC-klagomål mail.docx", "A 29455-2021")</f>
        <v/>
      </c>
      <c r="X273">
        <f>HYPERLINK("https://klasma.github.io/Logging_0883/tillsyn/A 29455-2021 tillsynsbegäran.docx", "A 29455-2021")</f>
        <v/>
      </c>
      <c r="Y273">
        <f>HYPERLINK("https://klasma.github.io/Logging_0883/tillsynsmail/A 29455-2021 tillsynsbegäran mail.docx", "A 29455-2021")</f>
        <v/>
      </c>
    </row>
    <row r="274" ht="15" customHeight="1">
      <c r="A274" t="inlineStr">
        <is>
          <t>A 31315-2021</t>
        </is>
      </c>
      <c r="B274" s="1" t="n">
        <v>44368</v>
      </c>
      <c r="C274" s="1" t="n">
        <v>45843</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44635-2021</t>
        </is>
      </c>
      <c r="B275" s="1" t="n">
        <v>44437</v>
      </c>
      <c r="C275" s="1" t="n">
        <v>45843</v>
      </c>
      <c r="D275" t="inlineStr">
        <is>
          <t>KALMAR LÄN</t>
        </is>
      </c>
      <c r="E275" t="inlineStr">
        <is>
          <t>VÄSTERVIK</t>
        </is>
      </c>
      <c r="G275" t="n">
        <v>0.9</v>
      </c>
      <c r="H275" t="n">
        <v>0</v>
      </c>
      <c r="I275" t="n">
        <v>1</v>
      </c>
      <c r="J275" t="n">
        <v>0</v>
      </c>
      <c r="K275" t="n">
        <v>0</v>
      </c>
      <c r="L275" t="n">
        <v>0</v>
      </c>
      <c r="M275" t="n">
        <v>0</v>
      </c>
      <c r="N275" t="n">
        <v>0</v>
      </c>
      <c r="O275" t="n">
        <v>0</v>
      </c>
      <c r="P275" t="n">
        <v>0</v>
      </c>
      <c r="Q275" t="n">
        <v>1</v>
      </c>
      <c r="R275" s="2" t="inlineStr">
        <is>
          <t>Brandticka</t>
        </is>
      </c>
      <c r="S275">
        <f>HYPERLINK("https://klasma.github.io/Logging_0883/artfynd/A 44635-2021 artfynd.xlsx", "A 44635-2021")</f>
        <v/>
      </c>
      <c r="T275">
        <f>HYPERLINK("https://klasma.github.io/Logging_0883/kartor/A 44635-2021 karta.png", "A 44635-2021")</f>
        <v/>
      </c>
      <c r="V275">
        <f>HYPERLINK("https://klasma.github.io/Logging_0883/klagomål/A 44635-2021 FSC-klagomål.docx", "A 44635-2021")</f>
        <v/>
      </c>
      <c r="W275">
        <f>HYPERLINK("https://klasma.github.io/Logging_0883/klagomålsmail/A 44635-2021 FSC-klagomål mail.docx", "A 44635-2021")</f>
        <v/>
      </c>
      <c r="X275">
        <f>HYPERLINK("https://klasma.github.io/Logging_0883/tillsyn/A 44635-2021 tillsynsbegäran.docx", "A 44635-2021")</f>
        <v/>
      </c>
      <c r="Y275">
        <f>HYPERLINK("https://klasma.github.io/Logging_0883/tillsynsmail/A 44635-2021 tillsynsbegäran mail.docx", "A 44635-2021")</f>
        <v/>
      </c>
    </row>
    <row r="276" ht="15" customHeight="1">
      <c r="A276" t="inlineStr">
        <is>
          <t>A 47860-2021</t>
        </is>
      </c>
      <c r="B276" s="1" t="n">
        <v>44448</v>
      </c>
      <c r="C276" s="1" t="n">
        <v>45843</v>
      </c>
      <c r="D276" t="inlineStr">
        <is>
          <t>KALMAR LÄN</t>
        </is>
      </c>
      <c r="E276" t="inlineStr">
        <is>
          <t>VÄSTERVIK</t>
        </is>
      </c>
      <c r="G276" t="n">
        <v>2.8</v>
      </c>
      <c r="H276" t="n">
        <v>0</v>
      </c>
      <c r="I276" t="n">
        <v>0</v>
      </c>
      <c r="J276" t="n">
        <v>1</v>
      </c>
      <c r="K276" t="n">
        <v>0</v>
      </c>
      <c r="L276" t="n">
        <v>0</v>
      </c>
      <c r="M276" t="n">
        <v>0</v>
      </c>
      <c r="N276" t="n">
        <v>0</v>
      </c>
      <c r="O276" t="n">
        <v>1</v>
      </c>
      <c r="P276" t="n">
        <v>0</v>
      </c>
      <c r="Q276" t="n">
        <v>1</v>
      </c>
      <c r="R276" s="2" t="inlineStr">
        <is>
          <t>Tallticka</t>
        </is>
      </c>
      <c r="S276">
        <f>HYPERLINK("https://klasma.github.io/Logging_0883/artfynd/A 47860-2021 artfynd.xlsx", "A 47860-2021")</f>
        <v/>
      </c>
      <c r="T276">
        <f>HYPERLINK("https://klasma.github.io/Logging_0883/kartor/A 47860-2021 karta.png", "A 47860-2021")</f>
        <v/>
      </c>
      <c r="V276">
        <f>HYPERLINK("https://klasma.github.io/Logging_0883/klagomål/A 47860-2021 FSC-klagomål.docx", "A 47860-2021")</f>
        <v/>
      </c>
      <c r="W276">
        <f>HYPERLINK("https://klasma.github.io/Logging_0883/klagomålsmail/A 47860-2021 FSC-klagomål mail.docx", "A 47860-2021")</f>
        <v/>
      </c>
      <c r="X276">
        <f>HYPERLINK("https://klasma.github.io/Logging_0883/tillsyn/A 47860-2021 tillsynsbegäran.docx", "A 47860-2021")</f>
        <v/>
      </c>
      <c r="Y276">
        <f>HYPERLINK("https://klasma.github.io/Logging_0883/tillsynsmail/A 47860-2021 tillsynsbegäran mail.docx", "A 47860-2021")</f>
        <v/>
      </c>
    </row>
    <row r="277" ht="15" customHeight="1">
      <c r="A277" t="inlineStr">
        <is>
          <t>A 52831-2021</t>
        </is>
      </c>
      <c r="B277" s="1" t="n">
        <v>44467</v>
      </c>
      <c r="C277" s="1" t="n">
        <v>45843</v>
      </c>
      <c r="D277" t="inlineStr">
        <is>
          <t>KALMAR LÄN</t>
        </is>
      </c>
      <c r="E277" t="inlineStr">
        <is>
          <t>VÄSTERVIK</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HYPERLINK("https://klasma.github.io/Logging_0883/artfynd/A 52831-2021 artfynd.xlsx", "A 52831-2021")</f>
        <v/>
      </c>
      <c r="T277">
        <f>HYPERLINK("https://klasma.github.io/Logging_0883/kartor/A 52831-2021 karta.png", "A 52831-2021")</f>
        <v/>
      </c>
      <c r="V277">
        <f>HYPERLINK("https://klasma.github.io/Logging_0883/klagomål/A 52831-2021 FSC-klagomål.docx", "A 52831-2021")</f>
        <v/>
      </c>
      <c r="W277">
        <f>HYPERLINK("https://klasma.github.io/Logging_0883/klagomålsmail/A 52831-2021 FSC-klagomål mail.docx", "A 52831-2021")</f>
        <v/>
      </c>
      <c r="X277">
        <f>HYPERLINK("https://klasma.github.io/Logging_0883/tillsyn/A 52831-2021 tillsynsbegäran.docx", "A 52831-2021")</f>
        <v/>
      </c>
      <c r="Y277">
        <f>HYPERLINK("https://klasma.github.io/Logging_0883/tillsynsmail/A 52831-2021 tillsynsbegäran mail.docx", "A 52831-2021")</f>
        <v/>
      </c>
    </row>
    <row r="278" ht="15" customHeight="1">
      <c r="A278" t="inlineStr">
        <is>
          <t>A 53738-2021</t>
        </is>
      </c>
      <c r="B278" s="1" t="n">
        <v>44467</v>
      </c>
      <c r="C278" s="1" t="n">
        <v>45843</v>
      </c>
      <c r="D278" t="inlineStr">
        <is>
          <t>KALMAR LÄN</t>
        </is>
      </c>
      <c r="E278" t="inlineStr">
        <is>
          <t>VÄSTERVIK</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HYPERLINK("https://klasma.github.io/Logging_0883/artfynd/A 53738-2021 artfynd.xlsx", "A 53738-2021")</f>
        <v/>
      </c>
      <c r="T278">
        <f>HYPERLINK("https://klasma.github.io/Logging_0883/kartor/A 53738-2021 karta.png", "A 53738-2021")</f>
        <v/>
      </c>
      <c r="U278">
        <f>HYPERLINK("https://klasma.github.io/Logging_0883/knärot/A 53738-2021 karta knärot.png", "A 53738-2021")</f>
        <v/>
      </c>
      <c r="V278">
        <f>HYPERLINK("https://klasma.github.io/Logging_0883/klagomål/A 53738-2021 FSC-klagomål.docx", "A 53738-2021")</f>
        <v/>
      </c>
      <c r="W278">
        <f>HYPERLINK("https://klasma.github.io/Logging_0883/klagomålsmail/A 53738-2021 FSC-klagomål mail.docx", "A 53738-2021")</f>
        <v/>
      </c>
      <c r="X278">
        <f>HYPERLINK("https://klasma.github.io/Logging_0883/tillsyn/A 53738-2021 tillsynsbegäran.docx", "A 53738-2021")</f>
        <v/>
      </c>
      <c r="Y278">
        <f>HYPERLINK("https://klasma.github.io/Logging_0883/tillsynsmail/A 53738-2021 tillsynsbegäran mail.docx", "A 53738-2021")</f>
        <v/>
      </c>
    </row>
    <row r="279" ht="15" customHeight="1">
      <c r="A279" t="inlineStr">
        <is>
          <t>A 56618-2021</t>
        </is>
      </c>
      <c r="B279" s="1" t="n">
        <v>44480</v>
      </c>
      <c r="C279" s="1" t="n">
        <v>45843</v>
      </c>
      <c r="D279" t="inlineStr">
        <is>
          <t>KALMAR LÄN</t>
        </is>
      </c>
      <c r="E279" t="inlineStr">
        <is>
          <t>VÄSTERVIK</t>
        </is>
      </c>
      <c r="G279" t="n">
        <v>1.5</v>
      </c>
      <c r="H279" t="n">
        <v>0</v>
      </c>
      <c r="I279" t="n">
        <v>0</v>
      </c>
      <c r="J279" t="n">
        <v>1</v>
      </c>
      <c r="K279" t="n">
        <v>0</v>
      </c>
      <c r="L279" t="n">
        <v>0</v>
      </c>
      <c r="M279" t="n">
        <v>0</v>
      </c>
      <c r="N279" t="n">
        <v>0</v>
      </c>
      <c r="O279" t="n">
        <v>1</v>
      </c>
      <c r="P279" t="n">
        <v>0</v>
      </c>
      <c r="Q279" t="n">
        <v>1</v>
      </c>
      <c r="R279" s="2" t="inlineStr">
        <is>
          <t>Tallticka</t>
        </is>
      </c>
      <c r="S279">
        <f>HYPERLINK("https://klasma.github.io/Logging_0883/artfynd/A 56618-2021 artfynd.xlsx", "A 56618-2021")</f>
        <v/>
      </c>
      <c r="T279">
        <f>HYPERLINK("https://klasma.github.io/Logging_0883/kartor/A 56618-2021 karta.png", "A 56618-2021")</f>
        <v/>
      </c>
      <c r="V279">
        <f>HYPERLINK("https://klasma.github.io/Logging_0883/klagomål/A 56618-2021 FSC-klagomål.docx", "A 56618-2021")</f>
        <v/>
      </c>
      <c r="W279">
        <f>HYPERLINK("https://klasma.github.io/Logging_0883/klagomålsmail/A 56618-2021 FSC-klagomål mail.docx", "A 56618-2021")</f>
        <v/>
      </c>
      <c r="X279">
        <f>HYPERLINK("https://klasma.github.io/Logging_0883/tillsyn/A 56618-2021 tillsynsbegäran.docx", "A 56618-2021")</f>
        <v/>
      </c>
      <c r="Y279">
        <f>HYPERLINK("https://klasma.github.io/Logging_0883/tillsynsmail/A 56618-2021 tillsynsbegäran mail.docx", "A 56618-2021")</f>
        <v/>
      </c>
    </row>
    <row r="280" ht="15" customHeight="1">
      <c r="A280" t="inlineStr">
        <is>
          <t>A 61319-2021</t>
        </is>
      </c>
      <c r="B280" s="1" t="n">
        <v>44498</v>
      </c>
      <c r="C280" s="1" t="n">
        <v>45843</v>
      </c>
      <c r="D280" t="inlineStr">
        <is>
          <t>KALMAR LÄN</t>
        </is>
      </c>
      <c r="E280" t="inlineStr">
        <is>
          <t>VÄSTERVIK</t>
        </is>
      </c>
      <c r="G280" t="n">
        <v>2.2</v>
      </c>
      <c r="H280" t="n">
        <v>1</v>
      </c>
      <c r="I280" t="n">
        <v>1</v>
      </c>
      <c r="J280" t="n">
        <v>0</v>
      </c>
      <c r="K280" t="n">
        <v>0</v>
      </c>
      <c r="L280" t="n">
        <v>0</v>
      </c>
      <c r="M280" t="n">
        <v>0</v>
      </c>
      <c r="N280" t="n">
        <v>0</v>
      </c>
      <c r="O280" t="n">
        <v>0</v>
      </c>
      <c r="P280" t="n">
        <v>0</v>
      </c>
      <c r="Q280" t="n">
        <v>1</v>
      </c>
      <c r="R280" s="2" t="inlineStr">
        <is>
          <t>Ekoxe</t>
        </is>
      </c>
      <c r="S280">
        <f>HYPERLINK("https://klasma.github.io/Logging_0883/artfynd/A 61319-2021 artfynd.xlsx", "A 61319-2021")</f>
        <v/>
      </c>
      <c r="T280">
        <f>HYPERLINK("https://klasma.github.io/Logging_0883/kartor/A 61319-2021 karta.png", "A 61319-2021")</f>
        <v/>
      </c>
      <c r="V280">
        <f>HYPERLINK("https://klasma.github.io/Logging_0883/klagomål/A 61319-2021 FSC-klagomål.docx", "A 61319-2021")</f>
        <v/>
      </c>
      <c r="W280">
        <f>HYPERLINK("https://klasma.github.io/Logging_0883/klagomålsmail/A 61319-2021 FSC-klagomål mail.docx", "A 61319-2021")</f>
        <v/>
      </c>
      <c r="X280">
        <f>HYPERLINK("https://klasma.github.io/Logging_0883/tillsyn/A 61319-2021 tillsynsbegäran.docx", "A 61319-2021")</f>
        <v/>
      </c>
      <c r="Y280">
        <f>HYPERLINK("https://klasma.github.io/Logging_0883/tillsynsmail/A 61319-2021 tillsynsbegäran mail.docx", "A 61319-2021")</f>
        <v/>
      </c>
    </row>
    <row r="281" ht="15" customHeight="1">
      <c r="A281" t="inlineStr">
        <is>
          <t>A 1677-2022</t>
        </is>
      </c>
      <c r="B281" s="1" t="n">
        <v>44574</v>
      </c>
      <c r="C281" s="1" t="n">
        <v>45843</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1677-2022 artfynd.xlsx", "A 1677-2022")</f>
        <v/>
      </c>
      <c r="T281">
        <f>HYPERLINK("https://klasma.github.io/Logging_0883/kartor/A 1677-2022 karta.png", "A 1677-2022")</f>
        <v/>
      </c>
      <c r="U281">
        <f>HYPERLINK("https://klasma.github.io/Logging_0883/knärot/A 1677-2022 karta knärot.png", "A 1677-2022")</f>
        <v/>
      </c>
      <c r="V281">
        <f>HYPERLINK("https://klasma.github.io/Logging_0883/klagomål/A 1677-2022 FSC-klagomål.docx", "A 1677-2022")</f>
        <v/>
      </c>
      <c r="W281">
        <f>HYPERLINK("https://klasma.github.io/Logging_0883/klagomålsmail/A 1677-2022 FSC-klagomål mail.docx", "A 1677-2022")</f>
        <v/>
      </c>
      <c r="X281">
        <f>HYPERLINK("https://klasma.github.io/Logging_0883/tillsyn/A 1677-2022 tillsynsbegäran.docx", "A 1677-2022")</f>
        <v/>
      </c>
      <c r="Y281">
        <f>HYPERLINK("https://klasma.github.io/Logging_0883/tillsynsmail/A 1677-2022 tillsynsbegäran mail.docx", "A 1677-2022")</f>
        <v/>
      </c>
    </row>
    <row r="282" ht="15" customHeight="1">
      <c r="A282" t="inlineStr">
        <is>
          <t>A 11609-2022</t>
        </is>
      </c>
      <c r="B282" s="1" t="n">
        <v>44631</v>
      </c>
      <c r="C282" s="1" t="n">
        <v>45843</v>
      </c>
      <c r="D282" t="inlineStr">
        <is>
          <t>KALMAR LÄN</t>
        </is>
      </c>
      <c r="E282" t="inlineStr">
        <is>
          <t>VÄSTERVIK</t>
        </is>
      </c>
      <c r="F282" t="inlineStr">
        <is>
          <t>Holmen skog AB</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HYPERLINK("https://klasma.github.io/Logging_0883/artfynd/A 11609-2022 artfynd.xlsx", "A 11609-2022")</f>
        <v/>
      </c>
      <c r="T282">
        <f>HYPERLINK("https://klasma.github.io/Logging_0883/kartor/A 11609-2022 karta.png", "A 11609-2022")</f>
        <v/>
      </c>
      <c r="U282">
        <f>HYPERLINK("https://klasma.github.io/Logging_0883/knärot/A 11609-2022 karta knärot.png", "A 11609-2022")</f>
        <v/>
      </c>
      <c r="V282">
        <f>HYPERLINK("https://klasma.github.io/Logging_0883/klagomål/A 11609-2022 FSC-klagomål.docx", "A 11609-2022")</f>
        <v/>
      </c>
      <c r="W282">
        <f>HYPERLINK("https://klasma.github.io/Logging_0883/klagomålsmail/A 11609-2022 FSC-klagomål mail.docx", "A 11609-2022")</f>
        <v/>
      </c>
      <c r="X282">
        <f>HYPERLINK("https://klasma.github.io/Logging_0883/tillsyn/A 11609-2022 tillsynsbegäran.docx", "A 11609-2022")</f>
        <v/>
      </c>
      <c r="Y282">
        <f>HYPERLINK("https://klasma.github.io/Logging_0883/tillsynsmail/A 11609-2022 tillsynsbegäran mail.docx", "A 11609-2022")</f>
        <v/>
      </c>
    </row>
    <row r="283" ht="15" customHeight="1">
      <c r="A283" t="inlineStr">
        <is>
          <t>A 12662-2022</t>
        </is>
      </c>
      <c r="B283" s="1" t="n">
        <v>44641</v>
      </c>
      <c r="C283" s="1" t="n">
        <v>45843</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15378-2022</t>
        </is>
      </c>
      <c r="B284" s="1" t="n">
        <v>44659</v>
      </c>
      <c r="C284" s="1" t="n">
        <v>45843</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Klofibbla</t>
        </is>
      </c>
      <c r="S284">
        <f>HYPERLINK("https://klasma.github.io/Logging_0883/artfynd/A 15378-2022 artfynd.xlsx", "A 15378-2022")</f>
        <v/>
      </c>
      <c r="T284">
        <f>HYPERLINK("https://klasma.github.io/Logging_0883/kartor/A 15378-2022 karta.png", "A 15378-2022")</f>
        <v/>
      </c>
      <c r="V284">
        <f>HYPERLINK("https://klasma.github.io/Logging_0883/klagomål/A 15378-2022 FSC-klagomål.docx", "A 15378-2022")</f>
        <v/>
      </c>
      <c r="W284">
        <f>HYPERLINK("https://klasma.github.io/Logging_0883/klagomålsmail/A 15378-2022 FSC-klagomål mail.docx", "A 15378-2022")</f>
        <v/>
      </c>
      <c r="X284">
        <f>HYPERLINK("https://klasma.github.io/Logging_0883/tillsyn/A 15378-2022 tillsynsbegäran.docx", "A 15378-2022")</f>
        <v/>
      </c>
      <c r="Y284">
        <f>HYPERLINK("https://klasma.github.io/Logging_0883/tillsynsmail/A 15378-2022 tillsynsbegäran mail.docx", "A 15378-2022")</f>
        <v/>
      </c>
    </row>
    <row r="285" ht="15" customHeight="1">
      <c r="A285" t="inlineStr">
        <is>
          <t>A 19900-2022</t>
        </is>
      </c>
      <c r="B285" s="1" t="n">
        <v>44697</v>
      </c>
      <c r="C285" s="1" t="n">
        <v>45843</v>
      </c>
      <c r="D285" t="inlineStr">
        <is>
          <t>KALMAR LÄN</t>
        </is>
      </c>
      <c r="E285" t="inlineStr">
        <is>
          <t>VÄSTERVIK</t>
        </is>
      </c>
      <c r="G285" t="n">
        <v>2.4</v>
      </c>
      <c r="H285" t="n">
        <v>1</v>
      </c>
      <c r="I285" t="n">
        <v>0</v>
      </c>
      <c r="J285" t="n">
        <v>0</v>
      </c>
      <c r="K285" t="n">
        <v>1</v>
      </c>
      <c r="L285" t="n">
        <v>0</v>
      </c>
      <c r="M285" t="n">
        <v>0</v>
      </c>
      <c r="N285" t="n">
        <v>0</v>
      </c>
      <c r="O285" t="n">
        <v>1</v>
      </c>
      <c r="P285" t="n">
        <v>1</v>
      </c>
      <c r="Q285" t="n">
        <v>1</v>
      </c>
      <c r="R285" s="2" t="inlineStr">
        <is>
          <t>Knärot</t>
        </is>
      </c>
      <c r="S285">
        <f>HYPERLINK("https://klasma.github.io/Logging_0883/artfynd/A 19900-2022 artfynd.xlsx", "A 19900-2022")</f>
        <v/>
      </c>
      <c r="T285">
        <f>HYPERLINK("https://klasma.github.io/Logging_0883/kartor/A 19900-2022 karta.png", "A 19900-2022")</f>
        <v/>
      </c>
      <c r="U285">
        <f>HYPERLINK("https://klasma.github.io/Logging_0883/knärot/A 19900-2022 karta knärot.png", "A 19900-2022")</f>
        <v/>
      </c>
      <c r="V285">
        <f>HYPERLINK("https://klasma.github.io/Logging_0883/klagomål/A 19900-2022 FSC-klagomål.docx", "A 19900-2022")</f>
        <v/>
      </c>
      <c r="W285">
        <f>HYPERLINK("https://klasma.github.io/Logging_0883/klagomålsmail/A 19900-2022 FSC-klagomål mail.docx", "A 19900-2022")</f>
        <v/>
      </c>
      <c r="X285">
        <f>HYPERLINK("https://klasma.github.io/Logging_0883/tillsyn/A 19900-2022 tillsynsbegäran.docx", "A 19900-2022")</f>
        <v/>
      </c>
      <c r="Y285">
        <f>HYPERLINK("https://klasma.github.io/Logging_0883/tillsynsmail/A 19900-2022 tillsynsbegäran mail.docx", "A 19900-2022")</f>
        <v/>
      </c>
    </row>
    <row r="286" ht="15" customHeight="1">
      <c r="A286" t="inlineStr">
        <is>
          <t>A 26056-2022</t>
        </is>
      </c>
      <c r="B286" s="1" t="n">
        <v>44734</v>
      </c>
      <c r="C286" s="1" t="n">
        <v>45843</v>
      </c>
      <c r="D286" t="inlineStr">
        <is>
          <t>KALMAR LÄN</t>
        </is>
      </c>
      <c r="E286" t="inlineStr">
        <is>
          <t>VÄSTERVIK</t>
        </is>
      </c>
      <c r="G286" t="n">
        <v>1.1</v>
      </c>
      <c r="H286" t="n">
        <v>0</v>
      </c>
      <c r="I286" t="n">
        <v>0</v>
      </c>
      <c r="J286" t="n">
        <v>1</v>
      </c>
      <c r="K286" t="n">
        <v>0</v>
      </c>
      <c r="L286" t="n">
        <v>0</v>
      </c>
      <c r="M286" t="n">
        <v>0</v>
      </c>
      <c r="N286" t="n">
        <v>0</v>
      </c>
      <c r="O286" t="n">
        <v>1</v>
      </c>
      <c r="P286" t="n">
        <v>0</v>
      </c>
      <c r="Q286" t="n">
        <v>1</v>
      </c>
      <c r="R286" s="2" t="inlineStr">
        <is>
          <t>Slåtterfibbla</t>
        </is>
      </c>
      <c r="S286">
        <f>HYPERLINK("https://klasma.github.io/Logging_0883/artfynd/A 26056-2022 artfynd.xlsx", "A 26056-2022")</f>
        <v/>
      </c>
      <c r="T286">
        <f>HYPERLINK("https://klasma.github.io/Logging_0883/kartor/A 26056-2022 karta.png", "A 26056-2022")</f>
        <v/>
      </c>
      <c r="V286">
        <f>HYPERLINK("https://klasma.github.io/Logging_0883/klagomål/A 26056-2022 FSC-klagomål.docx", "A 26056-2022")</f>
        <v/>
      </c>
      <c r="W286">
        <f>HYPERLINK("https://klasma.github.io/Logging_0883/klagomålsmail/A 26056-2022 FSC-klagomål mail.docx", "A 26056-2022")</f>
        <v/>
      </c>
      <c r="X286">
        <f>HYPERLINK("https://klasma.github.io/Logging_0883/tillsyn/A 26056-2022 tillsynsbegäran.docx", "A 26056-2022")</f>
        <v/>
      </c>
      <c r="Y286">
        <f>HYPERLINK("https://klasma.github.io/Logging_0883/tillsynsmail/A 26056-2022 tillsynsbegäran mail.docx", "A 26056-2022")</f>
        <v/>
      </c>
    </row>
    <row r="287" ht="15" customHeight="1">
      <c r="A287" t="inlineStr">
        <is>
          <t>A 33209-2022</t>
        </is>
      </c>
      <c r="B287" s="1" t="n">
        <v>44785</v>
      </c>
      <c r="C287" s="1" t="n">
        <v>45843</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Slåtterfibbla</t>
        </is>
      </c>
      <c r="S287">
        <f>HYPERLINK("https://klasma.github.io/Logging_0883/artfynd/A 33209-2022 artfynd.xlsx", "A 33209-2022")</f>
        <v/>
      </c>
      <c r="T287">
        <f>HYPERLINK("https://klasma.github.io/Logging_0883/kartor/A 33209-2022 karta.png", "A 33209-2022")</f>
        <v/>
      </c>
      <c r="V287">
        <f>HYPERLINK("https://klasma.github.io/Logging_0883/klagomål/A 33209-2022 FSC-klagomål.docx", "A 33209-2022")</f>
        <v/>
      </c>
      <c r="W287">
        <f>HYPERLINK("https://klasma.github.io/Logging_0883/klagomålsmail/A 33209-2022 FSC-klagomål mail.docx", "A 33209-2022")</f>
        <v/>
      </c>
      <c r="X287">
        <f>HYPERLINK("https://klasma.github.io/Logging_0883/tillsyn/A 33209-2022 tillsynsbegäran.docx", "A 33209-2022")</f>
        <v/>
      </c>
      <c r="Y287">
        <f>HYPERLINK("https://klasma.github.io/Logging_0883/tillsynsmail/A 33209-2022 tillsynsbegäran mail.docx", "A 33209-2022")</f>
        <v/>
      </c>
    </row>
    <row r="288" ht="15" customHeight="1">
      <c r="A288" t="inlineStr">
        <is>
          <t>A 40924-2022</t>
        </is>
      </c>
      <c r="B288" s="1" t="n">
        <v>44825</v>
      </c>
      <c r="C288" s="1" t="n">
        <v>45843</v>
      </c>
      <c r="D288" t="inlineStr">
        <is>
          <t>KALMAR LÄN</t>
        </is>
      </c>
      <c r="E288" t="inlineStr">
        <is>
          <t>VÄSTERVIK</t>
        </is>
      </c>
      <c r="F288" t="inlineStr">
        <is>
          <t>Sveaskog</t>
        </is>
      </c>
      <c r="G288" t="n">
        <v>0.5</v>
      </c>
      <c r="H288" t="n">
        <v>1</v>
      </c>
      <c r="I288" t="n">
        <v>0</v>
      </c>
      <c r="J288" t="n">
        <v>1</v>
      </c>
      <c r="K288" t="n">
        <v>0</v>
      </c>
      <c r="L288" t="n">
        <v>0</v>
      </c>
      <c r="M288" t="n">
        <v>0</v>
      </c>
      <c r="N288" t="n">
        <v>0</v>
      </c>
      <c r="O288" t="n">
        <v>1</v>
      </c>
      <c r="P288" t="n">
        <v>0</v>
      </c>
      <c r="Q288" t="n">
        <v>1</v>
      </c>
      <c r="R288" s="2" t="inlineStr">
        <is>
          <t>Barbastell</t>
        </is>
      </c>
      <c r="S288">
        <f>HYPERLINK("https://klasma.github.io/Logging_0883/artfynd/A 40924-2022 artfynd.xlsx", "A 40924-2022")</f>
        <v/>
      </c>
      <c r="T288">
        <f>HYPERLINK("https://klasma.github.io/Logging_0883/kartor/A 40924-2022 karta.png", "A 40924-2022")</f>
        <v/>
      </c>
      <c r="V288">
        <f>HYPERLINK("https://klasma.github.io/Logging_0883/klagomål/A 40924-2022 FSC-klagomål.docx", "A 40924-2022")</f>
        <v/>
      </c>
      <c r="W288">
        <f>HYPERLINK("https://klasma.github.io/Logging_0883/klagomålsmail/A 40924-2022 FSC-klagomål mail.docx", "A 40924-2022")</f>
        <v/>
      </c>
      <c r="X288">
        <f>HYPERLINK("https://klasma.github.io/Logging_0883/tillsyn/A 40924-2022 tillsynsbegäran.docx", "A 40924-2022")</f>
        <v/>
      </c>
      <c r="Y288">
        <f>HYPERLINK("https://klasma.github.io/Logging_0883/tillsynsmail/A 40924-2022 tillsynsbegäran mail.docx", "A 40924-2022")</f>
        <v/>
      </c>
    </row>
    <row r="289" ht="15" customHeight="1">
      <c r="A289" t="inlineStr">
        <is>
          <t>A 46559-2022</t>
        </is>
      </c>
      <c r="B289" s="1" t="n">
        <v>44848</v>
      </c>
      <c r="C289" s="1" t="n">
        <v>45843</v>
      </c>
      <c r="D289" t="inlineStr">
        <is>
          <t>KALMAR LÄN</t>
        </is>
      </c>
      <c r="E289" t="inlineStr">
        <is>
          <t>VÄSTERVIK</t>
        </is>
      </c>
      <c r="F289" t="inlineStr">
        <is>
          <t>Sveaskog</t>
        </is>
      </c>
      <c r="G289" t="n">
        <v>2.2</v>
      </c>
      <c r="H289" t="n">
        <v>1</v>
      </c>
      <c r="I289" t="n">
        <v>0</v>
      </c>
      <c r="J289" t="n">
        <v>0</v>
      </c>
      <c r="K289" t="n">
        <v>0</v>
      </c>
      <c r="L289" t="n">
        <v>0</v>
      </c>
      <c r="M289" t="n">
        <v>0</v>
      </c>
      <c r="N289" t="n">
        <v>0</v>
      </c>
      <c r="O289" t="n">
        <v>0</v>
      </c>
      <c r="P289" t="n">
        <v>0</v>
      </c>
      <c r="Q289" t="n">
        <v>1</v>
      </c>
      <c r="R289" s="2" t="inlineStr">
        <is>
          <t>Blåsippa</t>
        </is>
      </c>
      <c r="S289">
        <f>HYPERLINK("https://klasma.github.io/Logging_0883/artfynd/A 46559-2022 artfynd.xlsx", "A 46559-2022")</f>
        <v/>
      </c>
      <c r="T289">
        <f>HYPERLINK("https://klasma.github.io/Logging_0883/kartor/A 46559-2022 karta.png", "A 46559-2022")</f>
        <v/>
      </c>
      <c r="V289">
        <f>HYPERLINK("https://klasma.github.io/Logging_0883/klagomål/A 46559-2022 FSC-klagomål.docx", "A 46559-2022")</f>
        <v/>
      </c>
      <c r="W289">
        <f>HYPERLINK("https://klasma.github.io/Logging_0883/klagomålsmail/A 46559-2022 FSC-klagomål mail.docx", "A 46559-2022")</f>
        <v/>
      </c>
      <c r="X289">
        <f>HYPERLINK("https://klasma.github.io/Logging_0883/tillsyn/A 46559-2022 tillsynsbegäran.docx", "A 46559-2022")</f>
        <v/>
      </c>
      <c r="Y289">
        <f>HYPERLINK("https://klasma.github.io/Logging_0883/tillsynsmail/A 46559-2022 tillsynsbegäran mail.docx", "A 46559-2022")</f>
        <v/>
      </c>
    </row>
    <row r="290" ht="15" customHeight="1">
      <c r="A290" t="inlineStr">
        <is>
          <t>A 46556-2022</t>
        </is>
      </c>
      <c r="B290" s="1" t="n">
        <v>44848</v>
      </c>
      <c r="C290" s="1" t="n">
        <v>45843</v>
      </c>
      <c r="D290" t="inlineStr">
        <is>
          <t>KALMAR LÄN</t>
        </is>
      </c>
      <c r="E290" t="inlineStr">
        <is>
          <t>VÄSTERVIK</t>
        </is>
      </c>
      <c r="F290" t="inlineStr">
        <is>
          <t>Sveaskog</t>
        </is>
      </c>
      <c r="G290" t="n">
        <v>1.5</v>
      </c>
      <c r="H290" t="n">
        <v>0</v>
      </c>
      <c r="I290" t="n">
        <v>1</v>
      </c>
      <c r="J290" t="n">
        <v>0</v>
      </c>
      <c r="K290" t="n">
        <v>0</v>
      </c>
      <c r="L290" t="n">
        <v>0</v>
      </c>
      <c r="M290" t="n">
        <v>0</v>
      </c>
      <c r="N290" t="n">
        <v>0</v>
      </c>
      <c r="O290" t="n">
        <v>0</v>
      </c>
      <c r="P290" t="n">
        <v>0</v>
      </c>
      <c r="Q290" t="n">
        <v>1</v>
      </c>
      <c r="R290" s="2" t="inlineStr">
        <is>
          <t>Fjällig taggsvamp s.str.</t>
        </is>
      </c>
      <c r="S290">
        <f>HYPERLINK("https://klasma.github.io/Logging_0883/artfynd/A 46556-2022 artfynd.xlsx", "A 46556-2022")</f>
        <v/>
      </c>
      <c r="T290">
        <f>HYPERLINK("https://klasma.github.io/Logging_0883/kartor/A 46556-2022 karta.png", "A 46556-2022")</f>
        <v/>
      </c>
      <c r="V290">
        <f>HYPERLINK("https://klasma.github.io/Logging_0883/klagomål/A 46556-2022 FSC-klagomål.docx", "A 46556-2022")</f>
        <v/>
      </c>
      <c r="W290">
        <f>HYPERLINK("https://klasma.github.io/Logging_0883/klagomålsmail/A 46556-2022 FSC-klagomål mail.docx", "A 46556-2022")</f>
        <v/>
      </c>
      <c r="X290">
        <f>HYPERLINK("https://klasma.github.io/Logging_0883/tillsyn/A 46556-2022 tillsynsbegäran.docx", "A 46556-2022")</f>
        <v/>
      </c>
      <c r="Y290">
        <f>HYPERLINK("https://klasma.github.io/Logging_0883/tillsynsmail/A 46556-2022 tillsynsbegäran mail.docx", "A 46556-2022")</f>
        <v/>
      </c>
    </row>
    <row r="291" ht="15" customHeight="1">
      <c r="A291" t="inlineStr">
        <is>
          <t>A 51024-2022</t>
        </is>
      </c>
      <c r="B291" s="1" t="n">
        <v>44867</v>
      </c>
      <c r="C291" s="1" t="n">
        <v>45843</v>
      </c>
      <c r="D291" t="inlineStr">
        <is>
          <t>KALMAR LÄN</t>
        </is>
      </c>
      <c r="E291" t="inlineStr">
        <is>
          <t>VÄSTERVIK</t>
        </is>
      </c>
      <c r="F291" t="inlineStr">
        <is>
          <t>Holmen skog AB</t>
        </is>
      </c>
      <c r="G291" t="n">
        <v>7.6</v>
      </c>
      <c r="H291" t="n">
        <v>1</v>
      </c>
      <c r="I291" t="n">
        <v>0</v>
      </c>
      <c r="J291" t="n">
        <v>1</v>
      </c>
      <c r="K291" t="n">
        <v>0</v>
      </c>
      <c r="L291" t="n">
        <v>0</v>
      </c>
      <c r="M291" t="n">
        <v>0</v>
      </c>
      <c r="N291" t="n">
        <v>0</v>
      </c>
      <c r="O291" t="n">
        <v>1</v>
      </c>
      <c r="P291" t="n">
        <v>0</v>
      </c>
      <c r="Q291" t="n">
        <v>1</v>
      </c>
      <c r="R291" s="2" t="inlineStr">
        <is>
          <t>Talltita</t>
        </is>
      </c>
      <c r="S291">
        <f>HYPERLINK("https://klasma.github.io/Logging_0883/artfynd/A 51024-2022 artfynd.xlsx", "A 51024-2022")</f>
        <v/>
      </c>
      <c r="T291">
        <f>HYPERLINK("https://klasma.github.io/Logging_0883/kartor/A 51024-2022 karta.png", "A 51024-2022")</f>
        <v/>
      </c>
      <c r="V291">
        <f>HYPERLINK("https://klasma.github.io/Logging_0883/klagomål/A 51024-2022 FSC-klagomål.docx", "A 51024-2022")</f>
        <v/>
      </c>
      <c r="W291">
        <f>HYPERLINK("https://klasma.github.io/Logging_0883/klagomålsmail/A 51024-2022 FSC-klagomål mail.docx", "A 51024-2022")</f>
        <v/>
      </c>
      <c r="X291">
        <f>HYPERLINK("https://klasma.github.io/Logging_0883/tillsyn/A 51024-2022 tillsynsbegäran.docx", "A 51024-2022")</f>
        <v/>
      </c>
      <c r="Y291">
        <f>HYPERLINK("https://klasma.github.io/Logging_0883/tillsynsmail/A 51024-2022 tillsynsbegäran mail.docx", "A 51024-2022")</f>
        <v/>
      </c>
      <c r="Z291">
        <f>HYPERLINK("https://klasma.github.io/Logging_0883/fåglar/A 51024-2022 prioriterade fågelarter.docx", "A 51024-2022")</f>
        <v/>
      </c>
    </row>
    <row r="292" ht="15" customHeight="1">
      <c r="A292" t="inlineStr">
        <is>
          <t>A 54193-2022</t>
        </is>
      </c>
      <c r="B292" s="1" t="n">
        <v>44881</v>
      </c>
      <c r="C292" s="1" t="n">
        <v>45843</v>
      </c>
      <c r="D292" t="inlineStr">
        <is>
          <t>KALMAR LÄN</t>
        </is>
      </c>
      <c r="E292" t="inlineStr">
        <is>
          <t>VÄSTERVIK</t>
        </is>
      </c>
      <c r="G292" t="n">
        <v>1.7</v>
      </c>
      <c r="H292" t="n">
        <v>0</v>
      </c>
      <c r="I292" t="n">
        <v>1</v>
      </c>
      <c r="J292" t="n">
        <v>0</v>
      </c>
      <c r="K292" t="n">
        <v>0</v>
      </c>
      <c r="L292" t="n">
        <v>0</v>
      </c>
      <c r="M292" t="n">
        <v>0</v>
      </c>
      <c r="N292" t="n">
        <v>0</v>
      </c>
      <c r="O292" t="n">
        <v>0</v>
      </c>
      <c r="P292" t="n">
        <v>0</v>
      </c>
      <c r="Q292" t="n">
        <v>1</v>
      </c>
      <c r="R292" s="2" t="inlineStr">
        <is>
          <t>Murgröna</t>
        </is>
      </c>
      <c r="S292">
        <f>HYPERLINK("https://klasma.github.io/Logging_0883/artfynd/A 54193-2022 artfynd.xlsx", "A 54193-2022")</f>
        <v/>
      </c>
      <c r="T292">
        <f>HYPERLINK("https://klasma.github.io/Logging_0883/kartor/A 54193-2022 karta.png", "A 54193-2022")</f>
        <v/>
      </c>
      <c r="U292">
        <f>HYPERLINK("https://klasma.github.io/Logging_0883/knärot/A 54193-2022 karta knärot.png", "A 54193-2022")</f>
        <v/>
      </c>
      <c r="V292">
        <f>HYPERLINK("https://klasma.github.io/Logging_0883/klagomål/A 54193-2022 FSC-klagomål.docx", "A 54193-2022")</f>
        <v/>
      </c>
      <c r="W292">
        <f>HYPERLINK("https://klasma.github.io/Logging_0883/klagomålsmail/A 54193-2022 FSC-klagomål mail.docx", "A 54193-2022")</f>
        <v/>
      </c>
      <c r="X292">
        <f>HYPERLINK("https://klasma.github.io/Logging_0883/tillsyn/A 54193-2022 tillsynsbegäran.docx", "A 54193-2022")</f>
        <v/>
      </c>
      <c r="Y292">
        <f>HYPERLINK("https://klasma.github.io/Logging_0883/tillsynsmail/A 54193-2022 tillsynsbegäran mail.docx", "A 54193-2022")</f>
        <v/>
      </c>
    </row>
    <row r="293" ht="15" customHeight="1">
      <c r="A293" t="inlineStr">
        <is>
          <t>A 59178-2022</t>
        </is>
      </c>
      <c r="B293" s="1" t="n">
        <v>44904</v>
      </c>
      <c r="C293" s="1" t="n">
        <v>45843</v>
      </c>
      <c r="D293" t="inlineStr">
        <is>
          <t>KALMAR LÄN</t>
        </is>
      </c>
      <c r="E293" t="inlineStr">
        <is>
          <t>VÄSTERVIK</t>
        </is>
      </c>
      <c r="G293" t="n">
        <v>3.3</v>
      </c>
      <c r="H293" t="n">
        <v>0</v>
      </c>
      <c r="I293" t="n">
        <v>0</v>
      </c>
      <c r="J293" t="n">
        <v>1</v>
      </c>
      <c r="K293" t="n">
        <v>0</v>
      </c>
      <c r="L293" t="n">
        <v>0</v>
      </c>
      <c r="M293" t="n">
        <v>0</v>
      </c>
      <c r="N293" t="n">
        <v>0</v>
      </c>
      <c r="O293" t="n">
        <v>1</v>
      </c>
      <c r="P293" t="n">
        <v>0</v>
      </c>
      <c r="Q293" t="n">
        <v>1</v>
      </c>
      <c r="R293" s="2" t="inlineStr">
        <is>
          <t>Tallticka</t>
        </is>
      </c>
      <c r="S293">
        <f>HYPERLINK("https://klasma.github.io/Logging_0883/artfynd/A 59178-2022 artfynd.xlsx", "A 59178-2022")</f>
        <v/>
      </c>
      <c r="T293">
        <f>HYPERLINK("https://klasma.github.io/Logging_0883/kartor/A 59178-2022 karta.png", "A 59178-2022")</f>
        <v/>
      </c>
      <c r="V293">
        <f>HYPERLINK("https://klasma.github.io/Logging_0883/klagomål/A 59178-2022 FSC-klagomål.docx", "A 59178-2022")</f>
        <v/>
      </c>
      <c r="W293">
        <f>HYPERLINK("https://klasma.github.io/Logging_0883/klagomålsmail/A 59178-2022 FSC-klagomål mail.docx", "A 59178-2022")</f>
        <v/>
      </c>
      <c r="X293">
        <f>HYPERLINK("https://klasma.github.io/Logging_0883/tillsyn/A 59178-2022 tillsynsbegäran.docx", "A 59178-2022")</f>
        <v/>
      </c>
      <c r="Y293">
        <f>HYPERLINK("https://klasma.github.io/Logging_0883/tillsynsmail/A 59178-2022 tillsynsbegäran mail.docx", "A 59178-2022")</f>
        <v/>
      </c>
    </row>
    <row r="294" ht="15" customHeight="1">
      <c r="A294" t="inlineStr">
        <is>
          <t>A 975-2023</t>
        </is>
      </c>
      <c r="B294" s="1" t="n">
        <v>44935</v>
      </c>
      <c r="C294" s="1" t="n">
        <v>45843</v>
      </c>
      <c r="D294" t="inlineStr">
        <is>
          <t>KALMAR LÄN</t>
        </is>
      </c>
      <c r="E294" t="inlineStr">
        <is>
          <t>VÄSTERVIK</t>
        </is>
      </c>
      <c r="G294" t="n">
        <v>1.7</v>
      </c>
      <c r="H294" t="n">
        <v>1</v>
      </c>
      <c r="I294" t="n">
        <v>0</v>
      </c>
      <c r="J294" t="n">
        <v>0</v>
      </c>
      <c r="K294" t="n">
        <v>1</v>
      </c>
      <c r="L294" t="n">
        <v>0</v>
      </c>
      <c r="M294" t="n">
        <v>0</v>
      </c>
      <c r="N294" t="n">
        <v>0</v>
      </c>
      <c r="O294" t="n">
        <v>1</v>
      </c>
      <c r="P294" t="n">
        <v>1</v>
      </c>
      <c r="Q294" t="n">
        <v>1</v>
      </c>
      <c r="R294" s="2" t="inlineStr">
        <is>
          <t>Läderbagge</t>
        </is>
      </c>
      <c r="S294">
        <f>HYPERLINK("https://klasma.github.io/Logging_0883/artfynd/A 975-2023 artfynd.xlsx", "A 975-2023")</f>
        <v/>
      </c>
      <c r="T294">
        <f>HYPERLINK("https://klasma.github.io/Logging_0883/kartor/A 975-2023 karta.png", "A 975-2023")</f>
        <v/>
      </c>
      <c r="V294">
        <f>HYPERLINK("https://klasma.github.io/Logging_0883/klagomål/A 975-2023 FSC-klagomål.docx", "A 975-2023")</f>
        <v/>
      </c>
      <c r="W294">
        <f>HYPERLINK("https://klasma.github.io/Logging_0883/klagomålsmail/A 975-2023 FSC-klagomål mail.docx", "A 975-2023")</f>
        <v/>
      </c>
      <c r="X294">
        <f>HYPERLINK("https://klasma.github.io/Logging_0883/tillsyn/A 975-2023 tillsynsbegäran.docx", "A 975-2023")</f>
        <v/>
      </c>
      <c r="Y294">
        <f>HYPERLINK("https://klasma.github.io/Logging_0883/tillsynsmail/A 975-2023 tillsynsbegäran mail.docx", "A 975-2023")</f>
        <v/>
      </c>
    </row>
    <row r="295" ht="15" customHeight="1">
      <c r="A295" t="inlineStr">
        <is>
          <t>A 1024-2023</t>
        </is>
      </c>
      <c r="B295" s="1" t="n">
        <v>44935</v>
      </c>
      <c r="C295" s="1" t="n">
        <v>45843</v>
      </c>
      <c r="D295" t="inlineStr">
        <is>
          <t>KALMAR LÄN</t>
        </is>
      </c>
      <c r="E295" t="inlineStr">
        <is>
          <t>VÄSTERVIK</t>
        </is>
      </c>
      <c r="F295" t="inlineStr">
        <is>
          <t>Holmen skog AB</t>
        </is>
      </c>
      <c r="G295" t="n">
        <v>1.9</v>
      </c>
      <c r="H295" t="n">
        <v>0</v>
      </c>
      <c r="I295" t="n">
        <v>0</v>
      </c>
      <c r="J295" t="n">
        <v>1</v>
      </c>
      <c r="K295" t="n">
        <v>0</v>
      </c>
      <c r="L295" t="n">
        <v>0</v>
      </c>
      <c r="M295" t="n">
        <v>0</v>
      </c>
      <c r="N295" t="n">
        <v>0</v>
      </c>
      <c r="O295" t="n">
        <v>1</v>
      </c>
      <c r="P295" t="n">
        <v>0</v>
      </c>
      <c r="Q295" t="n">
        <v>1</v>
      </c>
      <c r="R295" s="2" t="inlineStr">
        <is>
          <t>Ekticka</t>
        </is>
      </c>
      <c r="S295">
        <f>HYPERLINK("https://klasma.github.io/Logging_0883/artfynd/A 1024-2023 artfynd.xlsx", "A 1024-2023")</f>
        <v/>
      </c>
      <c r="T295">
        <f>HYPERLINK("https://klasma.github.io/Logging_0883/kartor/A 1024-2023 karta.png", "A 1024-2023")</f>
        <v/>
      </c>
      <c r="V295">
        <f>HYPERLINK("https://klasma.github.io/Logging_0883/klagomål/A 1024-2023 FSC-klagomål.docx", "A 1024-2023")</f>
        <v/>
      </c>
      <c r="W295">
        <f>HYPERLINK("https://klasma.github.io/Logging_0883/klagomålsmail/A 1024-2023 FSC-klagomål mail.docx", "A 1024-2023")</f>
        <v/>
      </c>
      <c r="X295">
        <f>HYPERLINK("https://klasma.github.io/Logging_0883/tillsyn/A 1024-2023 tillsynsbegäran.docx", "A 1024-2023")</f>
        <v/>
      </c>
      <c r="Y295">
        <f>HYPERLINK("https://klasma.github.io/Logging_0883/tillsynsmail/A 1024-2023 tillsynsbegäran mail.docx", "A 1024-2023")</f>
        <v/>
      </c>
    </row>
    <row r="296" ht="15" customHeight="1">
      <c r="A296" t="inlineStr">
        <is>
          <t>A 11589-2023</t>
        </is>
      </c>
      <c r="B296" s="1" t="n">
        <v>44994</v>
      </c>
      <c r="C296" s="1" t="n">
        <v>45843</v>
      </c>
      <c r="D296" t="inlineStr">
        <is>
          <t>KALMAR LÄN</t>
        </is>
      </c>
      <c r="E296" t="inlineStr">
        <is>
          <t>VÄSTERVIK</t>
        </is>
      </c>
      <c r="G296" t="n">
        <v>7.7</v>
      </c>
      <c r="H296" t="n">
        <v>1</v>
      </c>
      <c r="I296" t="n">
        <v>0</v>
      </c>
      <c r="J296" t="n">
        <v>0</v>
      </c>
      <c r="K296" t="n">
        <v>0</v>
      </c>
      <c r="L296" t="n">
        <v>0</v>
      </c>
      <c r="M296" t="n">
        <v>0</v>
      </c>
      <c r="N296" t="n">
        <v>0</v>
      </c>
      <c r="O296" t="n">
        <v>0</v>
      </c>
      <c r="P296" t="n">
        <v>0</v>
      </c>
      <c r="Q296" t="n">
        <v>1</v>
      </c>
      <c r="R296" s="2" t="inlineStr">
        <is>
          <t>Revlummer</t>
        </is>
      </c>
      <c r="S296">
        <f>HYPERLINK("https://klasma.github.io/Logging_0883/artfynd/A 11589-2023 artfynd.xlsx", "A 11589-2023")</f>
        <v/>
      </c>
      <c r="T296">
        <f>HYPERLINK("https://klasma.github.io/Logging_0883/kartor/A 11589-2023 karta.png", "A 11589-2023")</f>
        <v/>
      </c>
      <c r="V296">
        <f>HYPERLINK("https://klasma.github.io/Logging_0883/klagomål/A 11589-2023 FSC-klagomål.docx", "A 11589-2023")</f>
        <v/>
      </c>
      <c r="W296">
        <f>HYPERLINK("https://klasma.github.io/Logging_0883/klagomålsmail/A 11589-2023 FSC-klagomål mail.docx", "A 11589-2023")</f>
        <v/>
      </c>
      <c r="X296">
        <f>HYPERLINK("https://klasma.github.io/Logging_0883/tillsyn/A 11589-2023 tillsynsbegäran.docx", "A 11589-2023")</f>
        <v/>
      </c>
      <c r="Y296">
        <f>HYPERLINK("https://klasma.github.io/Logging_0883/tillsynsmail/A 11589-2023 tillsynsbegäran mail.docx", "A 11589-2023")</f>
        <v/>
      </c>
    </row>
    <row r="297" ht="15" customHeight="1">
      <c r="A297" t="inlineStr">
        <is>
          <t>A 11729-2023</t>
        </is>
      </c>
      <c r="B297" s="1" t="n">
        <v>44994</v>
      </c>
      <c r="C297" s="1" t="n">
        <v>45843</v>
      </c>
      <c r="D297" t="inlineStr">
        <is>
          <t>KALMAR LÄN</t>
        </is>
      </c>
      <c r="E297" t="inlineStr">
        <is>
          <t>VÄSTERVIK</t>
        </is>
      </c>
      <c r="F297" t="inlineStr">
        <is>
          <t>Sveaskog</t>
        </is>
      </c>
      <c r="G297" t="n">
        <v>4.1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HYPERLINK("https://klasma.github.io/Logging_0883/artfynd/A 11729-2023 artfynd.xlsx", "A 11729-2023")</f>
        <v/>
      </c>
      <c r="T297">
        <f>HYPERLINK("https://klasma.github.io/Logging_0883/kartor/A 11729-2023 karta.png", "A 11729-2023")</f>
        <v/>
      </c>
      <c r="V297">
        <f>HYPERLINK("https://klasma.github.io/Logging_0883/klagomål/A 11729-2023 FSC-klagomål.docx", "A 11729-2023")</f>
        <v/>
      </c>
      <c r="W297">
        <f>HYPERLINK("https://klasma.github.io/Logging_0883/klagomålsmail/A 11729-2023 FSC-klagomål mail.docx", "A 11729-2023")</f>
        <v/>
      </c>
      <c r="X297">
        <f>HYPERLINK("https://klasma.github.io/Logging_0883/tillsyn/A 11729-2023 tillsynsbegäran.docx", "A 11729-2023")</f>
        <v/>
      </c>
      <c r="Y297">
        <f>HYPERLINK("https://klasma.github.io/Logging_0883/tillsynsmail/A 11729-2023 tillsynsbegäran mail.docx", "A 11729-2023")</f>
        <v/>
      </c>
    </row>
    <row r="298" ht="15" customHeight="1">
      <c r="A298" t="inlineStr">
        <is>
          <t>A 14720-2023</t>
        </is>
      </c>
      <c r="B298" s="1" t="n">
        <v>45014</v>
      </c>
      <c r="C298" s="1" t="n">
        <v>45843</v>
      </c>
      <c r="D298" t="inlineStr">
        <is>
          <t>KALMAR LÄN</t>
        </is>
      </c>
      <c r="E298" t="inlineStr">
        <is>
          <t>VÄSTERVIK</t>
        </is>
      </c>
      <c r="G298" t="n">
        <v>3.5</v>
      </c>
      <c r="H298" t="n">
        <v>1</v>
      </c>
      <c r="I298" t="n">
        <v>0</v>
      </c>
      <c r="J298" t="n">
        <v>0</v>
      </c>
      <c r="K298" t="n">
        <v>1</v>
      </c>
      <c r="L298" t="n">
        <v>0</v>
      </c>
      <c r="M298" t="n">
        <v>0</v>
      </c>
      <c r="N298" t="n">
        <v>0</v>
      </c>
      <c r="O298" t="n">
        <v>1</v>
      </c>
      <c r="P298" t="n">
        <v>1</v>
      </c>
      <c r="Q298" t="n">
        <v>1</v>
      </c>
      <c r="R298" s="2" t="inlineStr">
        <is>
          <t>Knärot</t>
        </is>
      </c>
      <c r="S298">
        <f>HYPERLINK("https://klasma.github.io/Logging_0883/artfynd/A 14720-2023 artfynd.xlsx", "A 14720-2023")</f>
        <v/>
      </c>
      <c r="T298">
        <f>HYPERLINK("https://klasma.github.io/Logging_0883/kartor/A 14720-2023 karta.png", "A 14720-2023")</f>
        <v/>
      </c>
      <c r="U298">
        <f>HYPERLINK("https://klasma.github.io/Logging_0883/knärot/A 14720-2023 karta knärot.png", "A 14720-2023")</f>
        <v/>
      </c>
      <c r="V298">
        <f>HYPERLINK("https://klasma.github.io/Logging_0883/klagomål/A 14720-2023 FSC-klagomål.docx", "A 14720-2023")</f>
        <v/>
      </c>
      <c r="W298">
        <f>HYPERLINK("https://klasma.github.io/Logging_0883/klagomålsmail/A 14720-2023 FSC-klagomål mail.docx", "A 14720-2023")</f>
        <v/>
      </c>
      <c r="X298">
        <f>HYPERLINK("https://klasma.github.io/Logging_0883/tillsyn/A 14720-2023 tillsynsbegäran.docx", "A 14720-2023")</f>
        <v/>
      </c>
      <c r="Y298">
        <f>HYPERLINK("https://klasma.github.io/Logging_0883/tillsynsmail/A 14720-2023 tillsynsbegäran mail.docx", "A 14720-2023")</f>
        <v/>
      </c>
    </row>
    <row r="299" ht="15" customHeight="1">
      <c r="A299" t="inlineStr">
        <is>
          <t>A 21828-2023</t>
        </is>
      </c>
      <c r="B299" s="1" t="n">
        <v>45068</v>
      </c>
      <c r="C299" s="1" t="n">
        <v>45843</v>
      </c>
      <c r="D299" t="inlineStr">
        <is>
          <t>KALMAR LÄN</t>
        </is>
      </c>
      <c r="E299" t="inlineStr">
        <is>
          <t>VÄSTERVIK</t>
        </is>
      </c>
      <c r="G299" t="n">
        <v>0.7</v>
      </c>
      <c r="H299" t="n">
        <v>0</v>
      </c>
      <c r="I299" t="n">
        <v>1</v>
      </c>
      <c r="J299" t="n">
        <v>0</v>
      </c>
      <c r="K299" t="n">
        <v>0</v>
      </c>
      <c r="L299" t="n">
        <v>0</v>
      </c>
      <c r="M299" t="n">
        <v>0</v>
      </c>
      <c r="N299" t="n">
        <v>0</v>
      </c>
      <c r="O299" t="n">
        <v>0</v>
      </c>
      <c r="P299" t="n">
        <v>0</v>
      </c>
      <c r="Q299" t="n">
        <v>1</v>
      </c>
      <c r="R299" s="2" t="inlineStr">
        <is>
          <t>Grönpyrola</t>
        </is>
      </c>
      <c r="S299">
        <f>HYPERLINK("https://klasma.github.io/Logging_0883/artfynd/A 21828-2023 artfynd.xlsx", "A 21828-2023")</f>
        <v/>
      </c>
      <c r="T299">
        <f>HYPERLINK("https://klasma.github.io/Logging_0883/kartor/A 21828-2023 karta.png", "A 21828-2023")</f>
        <v/>
      </c>
      <c r="V299">
        <f>HYPERLINK("https://klasma.github.io/Logging_0883/klagomål/A 21828-2023 FSC-klagomål.docx", "A 21828-2023")</f>
        <v/>
      </c>
      <c r="W299">
        <f>HYPERLINK("https://klasma.github.io/Logging_0883/klagomålsmail/A 21828-2023 FSC-klagomål mail.docx", "A 21828-2023")</f>
        <v/>
      </c>
      <c r="X299">
        <f>HYPERLINK("https://klasma.github.io/Logging_0883/tillsyn/A 21828-2023 tillsynsbegäran.docx", "A 21828-2023")</f>
        <v/>
      </c>
      <c r="Y299">
        <f>HYPERLINK("https://klasma.github.io/Logging_0883/tillsynsmail/A 21828-2023 tillsynsbegäran mail.docx", "A 21828-2023")</f>
        <v/>
      </c>
    </row>
    <row r="300" ht="15" customHeight="1">
      <c r="A300" t="inlineStr">
        <is>
          <t>A 25436-2023</t>
        </is>
      </c>
      <c r="B300" s="1" t="n">
        <v>45089</v>
      </c>
      <c r="C300" s="1" t="n">
        <v>45843</v>
      </c>
      <c r="D300" t="inlineStr">
        <is>
          <t>KALMAR LÄN</t>
        </is>
      </c>
      <c r="E300" t="inlineStr">
        <is>
          <t>VÄSTERVIK</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HYPERLINK("https://klasma.github.io/Logging_0883/artfynd/A 25436-2023 artfynd.xlsx", "A 25436-2023")</f>
        <v/>
      </c>
      <c r="T300">
        <f>HYPERLINK("https://klasma.github.io/Logging_0883/kartor/A 25436-2023 karta.png", "A 25436-2023")</f>
        <v/>
      </c>
      <c r="U300">
        <f>HYPERLINK("https://klasma.github.io/Logging_0883/knärot/A 25436-2023 karta knärot.png", "A 25436-2023")</f>
        <v/>
      </c>
      <c r="V300">
        <f>HYPERLINK("https://klasma.github.io/Logging_0883/klagomål/A 25436-2023 FSC-klagomål.docx", "A 25436-2023")</f>
        <v/>
      </c>
      <c r="W300">
        <f>HYPERLINK("https://klasma.github.io/Logging_0883/klagomålsmail/A 25436-2023 FSC-klagomål mail.docx", "A 25436-2023")</f>
        <v/>
      </c>
      <c r="X300">
        <f>HYPERLINK("https://klasma.github.io/Logging_0883/tillsyn/A 25436-2023 tillsynsbegäran.docx", "A 25436-2023")</f>
        <v/>
      </c>
      <c r="Y300">
        <f>HYPERLINK("https://klasma.github.io/Logging_0883/tillsynsmail/A 25436-2023 tillsynsbegäran mail.docx", "A 25436-2023")</f>
        <v/>
      </c>
    </row>
    <row r="301" ht="15" customHeight="1">
      <c r="A301" t="inlineStr">
        <is>
          <t>A 25433-2023</t>
        </is>
      </c>
      <c r="B301" s="1" t="n">
        <v>45089</v>
      </c>
      <c r="C301" s="1" t="n">
        <v>45843</v>
      </c>
      <c r="D301" t="inlineStr">
        <is>
          <t>KALMAR LÄN</t>
        </is>
      </c>
      <c r="E301" t="inlineStr">
        <is>
          <t>VÄSTERVIK</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HYPERLINK("https://klasma.github.io/Logging_0883/artfynd/A 25433-2023 artfynd.xlsx", "A 25433-2023")</f>
        <v/>
      </c>
      <c r="T301">
        <f>HYPERLINK("https://klasma.github.io/Logging_0883/kartor/A 25433-2023 karta.png", "A 25433-2023")</f>
        <v/>
      </c>
      <c r="U301">
        <f>HYPERLINK("https://klasma.github.io/Logging_0883/knärot/A 25433-2023 karta knärot.png", "A 25433-2023")</f>
        <v/>
      </c>
      <c r="V301">
        <f>HYPERLINK("https://klasma.github.io/Logging_0883/klagomål/A 25433-2023 FSC-klagomål.docx", "A 25433-2023")</f>
        <v/>
      </c>
      <c r="W301">
        <f>HYPERLINK("https://klasma.github.io/Logging_0883/klagomålsmail/A 25433-2023 FSC-klagomål mail.docx", "A 25433-2023")</f>
        <v/>
      </c>
      <c r="X301">
        <f>HYPERLINK("https://klasma.github.io/Logging_0883/tillsyn/A 25433-2023 tillsynsbegäran.docx", "A 25433-2023")</f>
        <v/>
      </c>
      <c r="Y301">
        <f>HYPERLINK("https://klasma.github.io/Logging_0883/tillsynsmail/A 25433-2023 tillsynsbegäran mail.docx", "A 25433-2023")</f>
        <v/>
      </c>
    </row>
    <row r="302" ht="15" customHeight="1">
      <c r="A302" t="inlineStr">
        <is>
          <t>A 25563-2023</t>
        </is>
      </c>
      <c r="B302" s="1" t="n">
        <v>45089</v>
      </c>
      <c r="C302" s="1" t="n">
        <v>45843</v>
      </c>
      <c r="D302" t="inlineStr">
        <is>
          <t>KALMAR LÄN</t>
        </is>
      </c>
      <c r="E302" t="inlineStr">
        <is>
          <t>VÄSTERVIK</t>
        </is>
      </c>
      <c r="G302" t="n">
        <v>1.6</v>
      </c>
      <c r="H302" t="n">
        <v>1</v>
      </c>
      <c r="I302" t="n">
        <v>0</v>
      </c>
      <c r="J302" t="n">
        <v>1</v>
      </c>
      <c r="K302" t="n">
        <v>0</v>
      </c>
      <c r="L302" t="n">
        <v>0</v>
      </c>
      <c r="M302" t="n">
        <v>0</v>
      </c>
      <c r="N302" t="n">
        <v>0</v>
      </c>
      <c r="O302" t="n">
        <v>1</v>
      </c>
      <c r="P302" t="n">
        <v>0</v>
      </c>
      <c r="Q302" t="n">
        <v>1</v>
      </c>
      <c r="R302" s="2" t="inlineStr">
        <is>
          <t>Talltita</t>
        </is>
      </c>
      <c r="S302">
        <f>HYPERLINK("https://klasma.github.io/Logging_0883/artfynd/A 25563-2023 artfynd.xlsx", "A 25563-2023")</f>
        <v/>
      </c>
      <c r="T302">
        <f>HYPERLINK("https://klasma.github.io/Logging_0883/kartor/A 25563-2023 karta.png", "A 25563-2023")</f>
        <v/>
      </c>
      <c r="V302">
        <f>HYPERLINK("https://klasma.github.io/Logging_0883/klagomål/A 25563-2023 FSC-klagomål.docx", "A 25563-2023")</f>
        <v/>
      </c>
      <c r="W302">
        <f>HYPERLINK("https://klasma.github.io/Logging_0883/klagomålsmail/A 25563-2023 FSC-klagomål mail.docx", "A 25563-2023")</f>
        <v/>
      </c>
      <c r="X302">
        <f>HYPERLINK("https://klasma.github.io/Logging_0883/tillsyn/A 25563-2023 tillsynsbegäran.docx", "A 25563-2023")</f>
        <v/>
      </c>
      <c r="Y302">
        <f>HYPERLINK("https://klasma.github.io/Logging_0883/tillsynsmail/A 25563-2023 tillsynsbegäran mail.docx", "A 25563-2023")</f>
        <v/>
      </c>
      <c r="Z302">
        <f>HYPERLINK("https://klasma.github.io/Logging_0883/fåglar/A 25563-2023 prioriterade fågelarter.docx", "A 25563-2023")</f>
        <v/>
      </c>
    </row>
    <row r="303" ht="15" customHeight="1">
      <c r="A303" t="inlineStr">
        <is>
          <t>A 26278-2023</t>
        </is>
      </c>
      <c r="B303" s="1" t="n">
        <v>45091</v>
      </c>
      <c r="C303" s="1" t="n">
        <v>45843</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26278-2023 artfynd.xlsx", "A 26278-2023")</f>
        <v/>
      </c>
      <c r="T303">
        <f>HYPERLINK("https://klasma.github.io/Logging_0883/kartor/A 26278-2023 karta.png", "A 26278-2023")</f>
        <v/>
      </c>
      <c r="U303">
        <f>HYPERLINK("https://klasma.github.io/Logging_0883/knärot/A 26278-2023 karta knärot.png", "A 26278-2023")</f>
        <v/>
      </c>
      <c r="V303">
        <f>HYPERLINK("https://klasma.github.io/Logging_0883/klagomål/A 26278-2023 FSC-klagomål.docx", "A 26278-2023")</f>
        <v/>
      </c>
      <c r="W303">
        <f>HYPERLINK("https://klasma.github.io/Logging_0883/klagomålsmail/A 26278-2023 FSC-klagomål mail.docx", "A 26278-2023")</f>
        <v/>
      </c>
      <c r="X303">
        <f>HYPERLINK("https://klasma.github.io/Logging_0883/tillsyn/A 26278-2023 tillsynsbegäran.docx", "A 26278-2023")</f>
        <v/>
      </c>
      <c r="Y303">
        <f>HYPERLINK("https://klasma.github.io/Logging_0883/tillsynsmail/A 26278-2023 tillsynsbegäran mail.docx", "A 26278-2023")</f>
        <v/>
      </c>
    </row>
    <row r="304" ht="15" customHeight="1">
      <c r="A304" t="inlineStr">
        <is>
          <t>A 28495-2023</t>
        </is>
      </c>
      <c r="B304" s="1" t="n">
        <v>45103</v>
      </c>
      <c r="C304" s="1" t="n">
        <v>45843</v>
      </c>
      <c r="D304" t="inlineStr">
        <is>
          <t>KALMAR LÄN</t>
        </is>
      </c>
      <c r="E304" t="inlineStr">
        <is>
          <t>VÄSTERVIK</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HYPERLINK("https://klasma.github.io/Logging_0883/artfynd/A 28495-2023 artfynd.xlsx", "A 28495-2023")</f>
        <v/>
      </c>
      <c r="T304">
        <f>HYPERLINK("https://klasma.github.io/Logging_0883/kartor/A 28495-2023 karta.png", "A 28495-2023")</f>
        <v/>
      </c>
      <c r="U304">
        <f>HYPERLINK("https://klasma.github.io/Logging_0883/knärot/A 28495-2023 karta knärot.png", "A 28495-2023")</f>
        <v/>
      </c>
      <c r="V304">
        <f>HYPERLINK("https://klasma.github.io/Logging_0883/klagomål/A 28495-2023 FSC-klagomål.docx", "A 28495-2023")</f>
        <v/>
      </c>
      <c r="W304">
        <f>HYPERLINK("https://klasma.github.io/Logging_0883/klagomålsmail/A 28495-2023 FSC-klagomål mail.docx", "A 28495-2023")</f>
        <v/>
      </c>
      <c r="X304">
        <f>HYPERLINK("https://klasma.github.io/Logging_0883/tillsyn/A 28495-2023 tillsynsbegäran.docx", "A 28495-2023")</f>
        <v/>
      </c>
      <c r="Y304">
        <f>HYPERLINK("https://klasma.github.io/Logging_0883/tillsynsmail/A 28495-2023 tillsynsbegäran mail.docx", "A 28495-2023")</f>
        <v/>
      </c>
    </row>
    <row r="305" ht="15" customHeight="1">
      <c r="A305" t="inlineStr">
        <is>
          <t>A 32653-2023</t>
        </is>
      </c>
      <c r="B305" s="1" t="n">
        <v>45121</v>
      </c>
      <c r="C305" s="1" t="n">
        <v>45843</v>
      </c>
      <c r="D305" t="inlineStr">
        <is>
          <t>KALMAR LÄN</t>
        </is>
      </c>
      <c r="E305" t="inlineStr">
        <is>
          <t>VÄSTERVIK</t>
        </is>
      </c>
      <c r="G305" t="n">
        <v>1.4</v>
      </c>
      <c r="H305" t="n">
        <v>1</v>
      </c>
      <c r="I305" t="n">
        <v>0</v>
      </c>
      <c r="J305" t="n">
        <v>0</v>
      </c>
      <c r="K305" t="n">
        <v>1</v>
      </c>
      <c r="L305" t="n">
        <v>0</v>
      </c>
      <c r="M305" t="n">
        <v>0</v>
      </c>
      <c r="N305" t="n">
        <v>0</v>
      </c>
      <c r="O305" t="n">
        <v>1</v>
      </c>
      <c r="P305" t="n">
        <v>1</v>
      </c>
      <c r="Q305" t="n">
        <v>1</v>
      </c>
      <c r="R305" s="2" t="inlineStr">
        <is>
          <t>Knärot</t>
        </is>
      </c>
      <c r="S305">
        <f>HYPERLINK("https://klasma.github.io/Logging_0883/artfynd/A 32653-2023 artfynd.xlsx", "A 32653-2023")</f>
        <v/>
      </c>
      <c r="T305">
        <f>HYPERLINK("https://klasma.github.io/Logging_0883/kartor/A 32653-2023 karta.png", "A 32653-2023")</f>
        <v/>
      </c>
      <c r="U305">
        <f>HYPERLINK("https://klasma.github.io/Logging_0883/knärot/A 32653-2023 karta knärot.png", "A 32653-2023")</f>
        <v/>
      </c>
      <c r="V305">
        <f>HYPERLINK("https://klasma.github.io/Logging_0883/klagomål/A 32653-2023 FSC-klagomål.docx", "A 32653-2023")</f>
        <v/>
      </c>
      <c r="W305">
        <f>HYPERLINK("https://klasma.github.io/Logging_0883/klagomålsmail/A 32653-2023 FSC-klagomål mail.docx", "A 32653-2023")</f>
        <v/>
      </c>
      <c r="X305">
        <f>HYPERLINK("https://klasma.github.io/Logging_0883/tillsyn/A 32653-2023 tillsynsbegäran.docx", "A 32653-2023")</f>
        <v/>
      </c>
      <c r="Y305">
        <f>HYPERLINK("https://klasma.github.io/Logging_0883/tillsynsmail/A 32653-2023 tillsynsbegäran mail.docx", "A 32653-2023")</f>
        <v/>
      </c>
    </row>
    <row r="306" ht="15" customHeight="1">
      <c r="A306" t="inlineStr">
        <is>
          <t>A 33816-2023</t>
        </is>
      </c>
      <c r="B306" s="1" t="n">
        <v>45133</v>
      </c>
      <c r="C306" s="1" t="n">
        <v>45843</v>
      </c>
      <c r="D306" t="inlineStr">
        <is>
          <t>KALMAR LÄN</t>
        </is>
      </c>
      <c r="E306" t="inlineStr">
        <is>
          <t>VÄSTERVIK</t>
        </is>
      </c>
      <c r="G306" t="n">
        <v>4.9</v>
      </c>
      <c r="H306" t="n">
        <v>0</v>
      </c>
      <c r="I306" t="n">
        <v>0</v>
      </c>
      <c r="J306" t="n">
        <v>1</v>
      </c>
      <c r="K306" t="n">
        <v>0</v>
      </c>
      <c r="L306" t="n">
        <v>0</v>
      </c>
      <c r="M306" t="n">
        <v>0</v>
      </c>
      <c r="N306" t="n">
        <v>0</v>
      </c>
      <c r="O306" t="n">
        <v>1</v>
      </c>
      <c r="P306" t="n">
        <v>0</v>
      </c>
      <c r="Q306" t="n">
        <v>1</v>
      </c>
      <c r="R306" s="2" t="inlineStr">
        <is>
          <t>Tallticka</t>
        </is>
      </c>
      <c r="S306">
        <f>HYPERLINK("https://klasma.github.io/Logging_0883/artfynd/A 33816-2023 artfynd.xlsx", "A 33816-2023")</f>
        <v/>
      </c>
      <c r="T306">
        <f>HYPERLINK("https://klasma.github.io/Logging_0883/kartor/A 33816-2023 karta.png", "A 33816-2023")</f>
        <v/>
      </c>
      <c r="V306">
        <f>HYPERLINK("https://klasma.github.io/Logging_0883/klagomål/A 33816-2023 FSC-klagomål.docx", "A 33816-2023")</f>
        <v/>
      </c>
      <c r="W306">
        <f>HYPERLINK("https://klasma.github.io/Logging_0883/klagomålsmail/A 33816-2023 FSC-klagomål mail.docx", "A 33816-2023")</f>
        <v/>
      </c>
      <c r="X306">
        <f>HYPERLINK("https://klasma.github.io/Logging_0883/tillsyn/A 33816-2023 tillsynsbegäran.docx", "A 33816-2023")</f>
        <v/>
      </c>
      <c r="Y306">
        <f>HYPERLINK("https://klasma.github.io/Logging_0883/tillsynsmail/A 33816-2023 tillsynsbegäran mail.docx", "A 33816-2023")</f>
        <v/>
      </c>
    </row>
    <row r="307" ht="15" customHeight="1">
      <c r="A307" t="inlineStr">
        <is>
          <t>A 33815-2023</t>
        </is>
      </c>
      <c r="B307" s="1" t="n">
        <v>45133</v>
      </c>
      <c r="C307" s="1" t="n">
        <v>45843</v>
      </c>
      <c r="D307" t="inlineStr">
        <is>
          <t>KALMAR LÄN</t>
        </is>
      </c>
      <c r="E307" t="inlineStr">
        <is>
          <t>VÄSTERVIK</t>
        </is>
      </c>
      <c r="G307" t="n">
        <v>3.4</v>
      </c>
      <c r="H307" t="n">
        <v>0</v>
      </c>
      <c r="I307" t="n">
        <v>1</v>
      </c>
      <c r="J307" t="n">
        <v>0</v>
      </c>
      <c r="K307" t="n">
        <v>0</v>
      </c>
      <c r="L307" t="n">
        <v>0</v>
      </c>
      <c r="M307" t="n">
        <v>0</v>
      </c>
      <c r="N307" t="n">
        <v>0</v>
      </c>
      <c r="O307" t="n">
        <v>0</v>
      </c>
      <c r="P307" t="n">
        <v>0</v>
      </c>
      <c r="Q307" t="n">
        <v>1</v>
      </c>
      <c r="R307" s="2" t="inlineStr">
        <is>
          <t>Grönpyrola</t>
        </is>
      </c>
      <c r="S307">
        <f>HYPERLINK("https://klasma.github.io/Logging_0883/artfynd/A 33815-2023 artfynd.xlsx", "A 33815-2023")</f>
        <v/>
      </c>
      <c r="T307">
        <f>HYPERLINK("https://klasma.github.io/Logging_0883/kartor/A 33815-2023 karta.png", "A 33815-2023")</f>
        <v/>
      </c>
      <c r="V307">
        <f>HYPERLINK("https://klasma.github.io/Logging_0883/klagomål/A 33815-2023 FSC-klagomål.docx", "A 33815-2023")</f>
        <v/>
      </c>
      <c r="W307">
        <f>HYPERLINK("https://klasma.github.io/Logging_0883/klagomålsmail/A 33815-2023 FSC-klagomål mail.docx", "A 33815-2023")</f>
        <v/>
      </c>
      <c r="X307">
        <f>HYPERLINK("https://klasma.github.io/Logging_0883/tillsyn/A 33815-2023 tillsynsbegäran.docx", "A 33815-2023")</f>
        <v/>
      </c>
      <c r="Y307">
        <f>HYPERLINK("https://klasma.github.io/Logging_0883/tillsynsmail/A 33815-2023 tillsynsbegäran mail.docx", "A 33815-2023")</f>
        <v/>
      </c>
    </row>
    <row r="308" ht="15" customHeight="1">
      <c r="A308" t="inlineStr">
        <is>
          <t>A 34563-2023</t>
        </is>
      </c>
      <c r="B308" s="1" t="n">
        <v>45140</v>
      </c>
      <c r="C308" s="1" t="n">
        <v>45843</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34563-2023 artfynd.xlsx", "A 34563-2023")</f>
        <v/>
      </c>
      <c r="T308">
        <f>HYPERLINK("https://klasma.github.io/Logging_0883/kartor/A 34563-2023 karta.png", "A 34563-2023")</f>
        <v/>
      </c>
      <c r="U308">
        <f>HYPERLINK("https://klasma.github.io/Logging_0883/knärot/A 34563-2023 karta knärot.png", "A 34563-2023")</f>
        <v/>
      </c>
      <c r="V308">
        <f>HYPERLINK("https://klasma.github.io/Logging_0883/klagomål/A 34563-2023 FSC-klagomål.docx", "A 34563-2023")</f>
        <v/>
      </c>
      <c r="W308">
        <f>HYPERLINK("https://klasma.github.io/Logging_0883/klagomålsmail/A 34563-2023 FSC-klagomål mail.docx", "A 34563-2023")</f>
        <v/>
      </c>
      <c r="X308">
        <f>HYPERLINK("https://klasma.github.io/Logging_0883/tillsyn/A 34563-2023 tillsynsbegäran.docx", "A 34563-2023")</f>
        <v/>
      </c>
      <c r="Y308">
        <f>HYPERLINK("https://klasma.github.io/Logging_0883/tillsynsmail/A 34563-2023 tillsynsbegäran mail.docx", "A 34563-2023")</f>
        <v/>
      </c>
    </row>
    <row r="309" ht="15" customHeight="1">
      <c r="A309" t="inlineStr">
        <is>
          <t>A 36400-2023</t>
        </is>
      </c>
      <c r="B309" s="1" t="n">
        <v>45152</v>
      </c>
      <c r="C309" s="1" t="n">
        <v>45843</v>
      </c>
      <c r="D309" t="inlineStr">
        <is>
          <t>KALMAR LÄN</t>
        </is>
      </c>
      <c r="E309" t="inlineStr">
        <is>
          <t>VÄSTERVIK</t>
        </is>
      </c>
      <c r="G309" t="n">
        <v>1.4</v>
      </c>
      <c r="H309" t="n">
        <v>0</v>
      </c>
      <c r="I309" t="n">
        <v>1</v>
      </c>
      <c r="J309" t="n">
        <v>0</v>
      </c>
      <c r="K309" t="n">
        <v>0</v>
      </c>
      <c r="L309" t="n">
        <v>0</v>
      </c>
      <c r="M309" t="n">
        <v>0</v>
      </c>
      <c r="N309" t="n">
        <v>0</v>
      </c>
      <c r="O309" t="n">
        <v>0</v>
      </c>
      <c r="P309" t="n">
        <v>0</v>
      </c>
      <c r="Q309" t="n">
        <v>1</v>
      </c>
      <c r="R309" s="2" t="inlineStr">
        <is>
          <t>Fjällig taggsvamp s.str.</t>
        </is>
      </c>
      <c r="S309">
        <f>HYPERLINK("https://klasma.github.io/Logging_0883/artfynd/A 36400-2023 artfynd.xlsx", "A 36400-2023")</f>
        <v/>
      </c>
      <c r="T309">
        <f>HYPERLINK("https://klasma.github.io/Logging_0883/kartor/A 36400-2023 karta.png", "A 36400-2023")</f>
        <v/>
      </c>
      <c r="U309">
        <f>HYPERLINK("https://klasma.github.io/Logging_0883/knärot/A 36400-2023 karta knärot.png", "A 36400-2023")</f>
        <v/>
      </c>
      <c r="V309">
        <f>HYPERLINK("https://klasma.github.io/Logging_0883/klagomål/A 36400-2023 FSC-klagomål.docx", "A 36400-2023")</f>
        <v/>
      </c>
      <c r="W309">
        <f>HYPERLINK("https://klasma.github.io/Logging_0883/klagomålsmail/A 36400-2023 FSC-klagomål mail.docx", "A 36400-2023")</f>
        <v/>
      </c>
      <c r="X309">
        <f>HYPERLINK("https://klasma.github.io/Logging_0883/tillsyn/A 36400-2023 tillsynsbegäran.docx", "A 36400-2023")</f>
        <v/>
      </c>
      <c r="Y309">
        <f>HYPERLINK("https://klasma.github.io/Logging_0883/tillsynsmail/A 36400-2023 tillsynsbegäran mail.docx", "A 36400-2023")</f>
        <v/>
      </c>
    </row>
    <row r="310" ht="15" customHeight="1">
      <c r="A310" t="inlineStr">
        <is>
          <t>A 43788-2023</t>
        </is>
      </c>
      <c r="B310" s="1" t="n">
        <v>45187</v>
      </c>
      <c r="C310" s="1" t="n">
        <v>45843</v>
      </c>
      <c r="D310" t="inlineStr">
        <is>
          <t>KALMAR LÄN</t>
        </is>
      </c>
      <c r="E310" t="inlineStr">
        <is>
          <t>VÄSTERVIK</t>
        </is>
      </c>
      <c r="G310" t="n">
        <v>4.5</v>
      </c>
      <c r="H310" t="n">
        <v>0</v>
      </c>
      <c r="I310" t="n">
        <v>0</v>
      </c>
      <c r="J310" t="n">
        <v>1</v>
      </c>
      <c r="K310" t="n">
        <v>0</v>
      </c>
      <c r="L310" t="n">
        <v>0</v>
      </c>
      <c r="M310" t="n">
        <v>0</v>
      </c>
      <c r="N310" t="n">
        <v>0</v>
      </c>
      <c r="O310" t="n">
        <v>1</v>
      </c>
      <c r="P310" t="n">
        <v>0</v>
      </c>
      <c r="Q310" t="n">
        <v>1</v>
      </c>
      <c r="R310" s="2" t="inlineStr">
        <is>
          <t>Motaggsvamp</t>
        </is>
      </c>
      <c r="S310">
        <f>HYPERLINK("https://klasma.github.io/Logging_0883/artfynd/A 43788-2023 artfynd.xlsx", "A 43788-2023")</f>
        <v/>
      </c>
      <c r="T310">
        <f>HYPERLINK("https://klasma.github.io/Logging_0883/kartor/A 43788-2023 karta.png", "A 43788-2023")</f>
        <v/>
      </c>
      <c r="V310">
        <f>HYPERLINK("https://klasma.github.io/Logging_0883/klagomål/A 43788-2023 FSC-klagomål.docx", "A 43788-2023")</f>
        <v/>
      </c>
      <c r="W310">
        <f>HYPERLINK("https://klasma.github.io/Logging_0883/klagomålsmail/A 43788-2023 FSC-klagomål mail.docx", "A 43788-2023")</f>
        <v/>
      </c>
      <c r="X310">
        <f>HYPERLINK("https://klasma.github.io/Logging_0883/tillsyn/A 43788-2023 tillsynsbegäran.docx", "A 43788-2023")</f>
        <v/>
      </c>
      <c r="Y310">
        <f>HYPERLINK("https://klasma.github.io/Logging_0883/tillsynsmail/A 43788-2023 tillsynsbegäran mail.docx", "A 43788-2023")</f>
        <v/>
      </c>
    </row>
    <row r="311" ht="15" customHeight="1">
      <c r="A311" t="inlineStr">
        <is>
          <t>A 46722-2023</t>
        </is>
      </c>
      <c r="B311" s="1" t="n">
        <v>45194</v>
      </c>
      <c r="C311" s="1" t="n">
        <v>45843</v>
      </c>
      <c r="D311" t="inlineStr">
        <is>
          <t>KALMAR LÄN</t>
        </is>
      </c>
      <c r="E311" t="inlineStr">
        <is>
          <t>VÄSTERVIK</t>
        </is>
      </c>
      <c r="G311" t="n">
        <v>0.9</v>
      </c>
      <c r="H311" t="n">
        <v>1</v>
      </c>
      <c r="I311" t="n">
        <v>0</v>
      </c>
      <c r="J311" t="n">
        <v>0</v>
      </c>
      <c r="K311" t="n">
        <v>1</v>
      </c>
      <c r="L311" t="n">
        <v>0</v>
      </c>
      <c r="M311" t="n">
        <v>0</v>
      </c>
      <c r="N311" t="n">
        <v>0</v>
      </c>
      <c r="O311" t="n">
        <v>1</v>
      </c>
      <c r="P311" t="n">
        <v>1</v>
      </c>
      <c r="Q311" t="n">
        <v>1</v>
      </c>
      <c r="R311" s="2" t="inlineStr">
        <is>
          <t>Knärot</t>
        </is>
      </c>
      <c r="S311">
        <f>HYPERLINK("https://klasma.github.io/Logging_0883/artfynd/A 46722-2023 artfynd.xlsx", "A 46722-2023")</f>
        <v/>
      </c>
      <c r="T311">
        <f>HYPERLINK("https://klasma.github.io/Logging_0883/kartor/A 46722-2023 karta.png", "A 46722-2023")</f>
        <v/>
      </c>
      <c r="U311">
        <f>HYPERLINK("https://klasma.github.io/Logging_0883/knärot/A 46722-2023 karta knärot.png", "A 46722-2023")</f>
        <v/>
      </c>
      <c r="V311">
        <f>HYPERLINK("https://klasma.github.io/Logging_0883/klagomål/A 46722-2023 FSC-klagomål.docx", "A 46722-2023")</f>
        <v/>
      </c>
      <c r="W311">
        <f>HYPERLINK("https://klasma.github.io/Logging_0883/klagomålsmail/A 46722-2023 FSC-klagomål mail.docx", "A 46722-2023")</f>
        <v/>
      </c>
      <c r="X311">
        <f>HYPERLINK("https://klasma.github.io/Logging_0883/tillsyn/A 46722-2023 tillsynsbegäran.docx", "A 46722-2023")</f>
        <v/>
      </c>
      <c r="Y311">
        <f>HYPERLINK("https://klasma.github.io/Logging_0883/tillsynsmail/A 46722-2023 tillsynsbegäran mail.docx", "A 46722-2023")</f>
        <v/>
      </c>
    </row>
    <row r="312" ht="15" customHeight="1">
      <c r="A312" t="inlineStr">
        <is>
          <t>A 47112-2023</t>
        </is>
      </c>
      <c r="B312" s="1" t="n">
        <v>45201</v>
      </c>
      <c r="C312" s="1" t="n">
        <v>45843</v>
      </c>
      <c r="D312" t="inlineStr">
        <is>
          <t>KALMAR LÄN</t>
        </is>
      </c>
      <c r="E312" t="inlineStr">
        <is>
          <t>VÄSTERVIK</t>
        </is>
      </c>
      <c r="G312" t="n">
        <v>1</v>
      </c>
      <c r="H312" t="n">
        <v>0</v>
      </c>
      <c r="I312" t="n">
        <v>0</v>
      </c>
      <c r="J312" t="n">
        <v>1</v>
      </c>
      <c r="K312" t="n">
        <v>0</v>
      </c>
      <c r="L312" t="n">
        <v>0</v>
      </c>
      <c r="M312" t="n">
        <v>0</v>
      </c>
      <c r="N312" t="n">
        <v>0</v>
      </c>
      <c r="O312" t="n">
        <v>1</v>
      </c>
      <c r="P312" t="n">
        <v>0</v>
      </c>
      <c r="Q312" t="n">
        <v>1</v>
      </c>
      <c r="R312" s="2" t="inlineStr">
        <is>
          <t>Tallticka</t>
        </is>
      </c>
      <c r="S312">
        <f>HYPERLINK("https://klasma.github.io/Logging_0883/artfynd/A 47112-2023 artfynd.xlsx", "A 47112-2023")</f>
        <v/>
      </c>
      <c r="T312">
        <f>HYPERLINK("https://klasma.github.io/Logging_0883/kartor/A 47112-2023 karta.png", "A 47112-2023")</f>
        <v/>
      </c>
      <c r="V312">
        <f>HYPERLINK("https://klasma.github.io/Logging_0883/klagomål/A 47112-2023 FSC-klagomål.docx", "A 47112-2023")</f>
        <v/>
      </c>
      <c r="W312">
        <f>HYPERLINK("https://klasma.github.io/Logging_0883/klagomålsmail/A 47112-2023 FSC-klagomål mail.docx", "A 47112-2023")</f>
        <v/>
      </c>
      <c r="X312">
        <f>HYPERLINK("https://klasma.github.io/Logging_0883/tillsyn/A 47112-2023 tillsynsbegäran.docx", "A 47112-2023")</f>
        <v/>
      </c>
      <c r="Y312">
        <f>HYPERLINK("https://klasma.github.io/Logging_0883/tillsynsmail/A 47112-2023 tillsynsbegäran mail.docx", "A 47112-2023")</f>
        <v/>
      </c>
    </row>
    <row r="313" ht="15" customHeight="1">
      <c r="A313" t="inlineStr">
        <is>
          <t>A 49680-2023</t>
        </is>
      </c>
      <c r="B313" s="1" t="n">
        <v>45212</v>
      </c>
      <c r="C313" s="1" t="n">
        <v>45843</v>
      </c>
      <c r="D313" t="inlineStr">
        <is>
          <t>KALMAR LÄN</t>
        </is>
      </c>
      <c r="E313" t="inlineStr">
        <is>
          <t>VÄSTERVIK</t>
        </is>
      </c>
      <c r="G313" t="n">
        <v>3.3</v>
      </c>
      <c r="H313" t="n">
        <v>0</v>
      </c>
      <c r="I313" t="n">
        <v>0</v>
      </c>
      <c r="J313" t="n">
        <v>1</v>
      </c>
      <c r="K313" t="n">
        <v>0</v>
      </c>
      <c r="L313" t="n">
        <v>0</v>
      </c>
      <c r="M313" t="n">
        <v>0</v>
      </c>
      <c r="N313" t="n">
        <v>0</v>
      </c>
      <c r="O313" t="n">
        <v>1</v>
      </c>
      <c r="P313" t="n">
        <v>0</v>
      </c>
      <c r="Q313" t="n">
        <v>1</v>
      </c>
      <c r="R313" s="2" t="inlineStr">
        <is>
          <t>Skogsklocka</t>
        </is>
      </c>
      <c r="S313">
        <f>HYPERLINK("https://klasma.github.io/Logging_0883/artfynd/A 49680-2023 artfynd.xlsx", "A 49680-2023")</f>
        <v/>
      </c>
      <c r="T313">
        <f>HYPERLINK("https://klasma.github.io/Logging_0883/kartor/A 49680-2023 karta.png", "A 49680-2023")</f>
        <v/>
      </c>
      <c r="V313">
        <f>HYPERLINK("https://klasma.github.io/Logging_0883/klagomål/A 49680-2023 FSC-klagomål.docx", "A 49680-2023")</f>
        <v/>
      </c>
      <c r="W313">
        <f>HYPERLINK("https://klasma.github.io/Logging_0883/klagomålsmail/A 49680-2023 FSC-klagomål mail.docx", "A 49680-2023")</f>
        <v/>
      </c>
      <c r="X313">
        <f>HYPERLINK("https://klasma.github.io/Logging_0883/tillsyn/A 49680-2023 tillsynsbegäran.docx", "A 49680-2023")</f>
        <v/>
      </c>
      <c r="Y313">
        <f>HYPERLINK("https://klasma.github.io/Logging_0883/tillsynsmail/A 49680-2023 tillsynsbegäran mail.docx", "A 49680-2023")</f>
        <v/>
      </c>
    </row>
    <row r="314" ht="15" customHeight="1">
      <c r="A314" t="inlineStr">
        <is>
          <t>A 54272-2023</t>
        </is>
      </c>
      <c r="B314" s="1" t="n">
        <v>45232</v>
      </c>
      <c r="C314" s="1" t="n">
        <v>45843</v>
      </c>
      <c r="D314" t="inlineStr">
        <is>
          <t>KALMAR LÄN</t>
        </is>
      </c>
      <c r="E314" t="inlineStr">
        <is>
          <t>VÄSTERVIK</t>
        </is>
      </c>
      <c r="G314" t="n">
        <v>1</v>
      </c>
      <c r="H314" t="n">
        <v>0</v>
      </c>
      <c r="I314" t="n">
        <v>1</v>
      </c>
      <c r="J314" t="n">
        <v>0</v>
      </c>
      <c r="K314" t="n">
        <v>0</v>
      </c>
      <c r="L314" t="n">
        <v>0</v>
      </c>
      <c r="M314" t="n">
        <v>0</v>
      </c>
      <c r="N314" t="n">
        <v>0</v>
      </c>
      <c r="O314" t="n">
        <v>0</v>
      </c>
      <c r="P314" t="n">
        <v>0</v>
      </c>
      <c r="Q314" t="n">
        <v>1</v>
      </c>
      <c r="R314" s="2" t="inlineStr">
        <is>
          <t>Aprikosfingersvamp</t>
        </is>
      </c>
      <c r="S314">
        <f>HYPERLINK("https://klasma.github.io/Logging_0883/artfynd/A 54272-2023 artfynd.xlsx", "A 54272-2023")</f>
        <v/>
      </c>
      <c r="T314">
        <f>HYPERLINK("https://klasma.github.io/Logging_0883/kartor/A 54272-2023 karta.png", "A 54272-2023")</f>
        <v/>
      </c>
      <c r="V314">
        <f>HYPERLINK("https://klasma.github.io/Logging_0883/klagomål/A 54272-2023 FSC-klagomål.docx", "A 54272-2023")</f>
        <v/>
      </c>
      <c r="W314">
        <f>HYPERLINK("https://klasma.github.io/Logging_0883/klagomålsmail/A 54272-2023 FSC-klagomål mail.docx", "A 54272-2023")</f>
        <v/>
      </c>
      <c r="X314">
        <f>HYPERLINK("https://klasma.github.io/Logging_0883/tillsyn/A 54272-2023 tillsynsbegäran.docx", "A 54272-2023")</f>
        <v/>
      </c>
      <c r="Y314">
        <f>HYPERLINK("https://klasma.github.io/Logging_0883/tillsynsmail/A 54272-2023 tillsynsbegäran mail.docx", "A 54272-2023")</f>
        <v/>
      </c>
    </row>
    <row r="315" ht="15" customHeight="1">
      <c r="A315" t="inlineStr">
        <is>
          <t>A 55575-2023</t>
        </is>
      </c>
      <c r="B315" s="1" t="n">
        <v>45238</v>
      </c>
      <c r="C315" s="1" t="n">
        <v>45843</v>
      </c>
      <c r="D315" t="inlineStr">
        <is>
          <t>KALMAR LÄN</t>
        </is>
      </c>
      <c r="E315" t="inlineStr">
        <is>
          <t>VÄSTERVIK</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HYPERLINK("https://klasma.github.io/Logging_0883/artfynd/A 55575-2023 artfynd.xlsx", "A 55575-2023")</f>
        <v/>
      </c>
      <c r="T315">
        <f>HYPERLINK("https://klasma.github.io/Logging_0883/kartor/A 55575-2023 karta.png", "A 55575-2023")</f>
        <v/>
      </c>
      <c r="U315">
        <f>HYPERLINK("https://klasma.github.io/Logging_0883/knärot/A 55575-2023 karta knärot.png", "A 55575-2023")</f>
        <v/>
      </c>
      <c r="V315">
        <f>HYPERLINK("https://klasma.github.io/Logging_0883/klagomål/A 55575-2023 FSC-klagomål.docx", "A 55575-2023")</f>
        <v/>
      </c>
      <c r="W315">
        <f>HYPERLINK("https://klasma.github.io/Logging_0883/klagomålsmail/A 55575-2023 FSC-klagomål mail.docx", "A 55575-2023")</f>
        <v/>
      </c>
      <c r="X315">
        <f>HYPERLINK("https://klasma.github.io/Logging_0883/tillsyn/A 55575-2023 tillsynsbegäran.docx", "A 55575-2023")</f>
        <v/>
      </c>
      <c r="Y315">
        <f>HYPERLINK("https://klasma.github.io/Logging_0883/tillsynsmail/A 55575-2023 tillsynsbegäran mail.docx", "A 55575-2023")</f>
        <v/>
      </c>
    </row>
    <row r="316" ht="15" customHeight="1">
      <c r="A316" t="inlineStr">
        <is>
          <t>A 56186-2023</t>
        </is>
      </c>
      <c r="B316" s="1" t="n">
        <v>45240</v>
      </c>
      <c r="C316" s="1" t="n">
        <v>45843</v>
      </c>
      <c r="D316" t="inlineStr">
        <is>
          <t>KALMAR LÄN</t>
        </is>
      </c>
      <c r="E316" t="inlineStr">
        <is>
          <t>VÄSTERVIK</t>
        </is>
      </c>
      <c r="G316" t="n">
        <v>2.7</v>
      </c>
      <c r="H316" t="n">
        <v>0</v>
      </c>
      <c r="I316" t="n">
        <v>0</v>
      </c>
      <c r="J316" t="n">
        <v>1</v>
      </c>
      <c r="K316" t="n">
        <v>0</v>
      </c>
      <c r="L316" t="n">
        <v>0</v>
      </c>
      <c r="M316" t="n">
        <v>0</v>
      </c>
      <c r="N316" t="n">
        <v>0</v>
      </c>
      <c r="O316" t="n">
        <v>1</v>
      </c>
      <c r="P316" t="n">
        <v>0</v>
      </c>
      <c r="Q316" t="n">
        <v>1</v>
      </c>
      <c r="R316" s="2" t="inlineStr">
        <is>
          <t>Tallticka</t>
        </is>
      </c>
      <c r="S316">
        <f>HYPERLINK("https://klasma.github.io/Logging_0883/artfynd/A 56186-2023 artfynd.xlsx", "A 56186-2023")</f>
        <v/>
      </c>
      <c r="T316">
        <f>HYPERLINK("https://klasma.github.io/Logging_0883/kartor/A 56186-2023 karta.png", "A 56186-2023")</f>
        <v/>
      </c>
      <c r="V316">
        <f>HYPERLINK("https://klasma.github.io/Logging_0883/klagomål/A 56186-2023 FSC-klagomål.docx", "A 56186-2023")</f>
        <v/>
      </c>
      <c r="W316">
        <f>HYPERLINK("https://klasma.github.io/Logging_0883/klagomålsmail/A 56186-2023 FSC-klagomål mail.docx", "A 56186-2023")</f>
        <v/>
      </c>
      <c r="X316">
        <f>HYPERLINK("https://klasma.github.io/Logging_0883/tillsyn/A 56186-2023 tillsynsbegäran.docx", "A 56186-2023")</f>
        <v/>
      </c>
      <c r="Y316">
        <f>HYPERLINK("https://klasma.github.io/Logging_0883/tillsynsmail/A 56186-2023 tillsynsbegäran mail.docx", "A 56186-2023")</f>
        <v/>
      </c>
    </row>
    <row r="317" ht="15" customHeight="1">
      <c r="A317" t="inlineStr">
        <is>
          <t>A 59368-2023</t>
        </is>
      </c>
      <c r="B317" s="1" t="n">
        <v>45253</v>
      </c>
      <c r="C317" s="1" t="n">
        <v>45843</v>
      </c>
      <c r="D317" t="inlineStr">
        <is>
          <t>KALMAR LÄN</t>
        </is>
      </c>
      <c r="E317" t="inlineStr">
        <is>
          <t>VÄSTERVIK</t>
        </is>
      </c>
      <c r="G317" t="n">
        <v>2.4</v>
      </c>
      <c r="H317" t="n">
        <v>1</v>
      </c>
      <c r="I317" t="n">
        <v>0</v>
      </c>
      <c r="J317" t="n">
        <v>0</v>
      </c>
      <c r="K317" t="n">
        <v>1</v>
      </c>
      <c r="L317" t="n">
        <v>0</v>
      </c>
      <c r="M317" t="n">
        <v>0</v>
      </c>
      <c r="N317" t="n">
        <v>0</v>
      </c>
      <c r="O317" t="n">
        <v>1</v>
      </c>
      <c r="P317" t="n">
        <v>1</v>
      </c>
      <c r="Q317" t="n">
        <v>1</v>
      </c>
      <c r="R317" s="2" t="inlineStr">
        <is>
          <t>Knärot</t>
        </is>
      </c>
      <c r="S317">
        <f>HYPERLINK("https://klasma.github.io/Logging_0883/artfynd/A 59368-2023 artfynd.xlsx", "A 59368-2023")</f>
        <v/>
      </c>
      <c r="T317">
        <f>HYPERLINK("https://klasma.github.io/Logging_0883/kartor/A 59368-2023 karta.png", "A 59368-2023")</f>
        <v/>
      </c>
      <c r="U317">
        <f>HYPERLINK("https://klasma.github.io/Logging_0883/knärot/A 59368-2023 karta knärot.png", "A 59368-2023")</f>
        <v/>
      </c>
      <c r="V317">
        <f>HYPERLINK("https://klasma.github.io/Logging_0883/klagomål/A 59368-2023 FSC-klagomål.docx", "A 59368-2023")</f>
        <v/>
      </c>
      <c r="W317">
        <f>HYPERLINK("https://klasma.github.io/Logging_0883/klagomålsmail/A 59368-2023 FSC-klagomål mail.docx", "A 59368-2023")</f>
        <v/>
      </c>
      <c r="X317">
        <f>HYPERLINK("https://klasma.github.io/Logging_0883/tillsyn/A 59368-2023 tillsynsbegäran.docx", "A 59368-2023")</f>
        <v/>
      </c>
      <c r="Y317">
        <f>HYPERLINK("https://klasma.github.io/Logging_0883/tillsynsmail/A 59368-2023 tillsynsbegäran mail.docx", "A 59368-2023")</f>
        <v/>
      </c>
    </row>
    <row r="318" ht="15" customHeight="1">
      <c r="A318" t="inlineStr">
        <is>
          <t>A 60633-2023</t>
        </is>
      </c>
      <c r="B318" s="1" t="n">
        <v>45260</v>
      </c>
      <c r="C318" s="1" t="n">
        <v>45843</v>
      </c>
      <c r="D318" t="inlineStr">
        <is>
          <t>KALMAR LÄN</t>
        </is>
      </c>
      <c r="E318" t="inlineStr">
        <is>
          <t>VÄSTERVIK</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HYPERLINK("https://klasma.github.io/Logging_0883/artfynd/A 60633-2023 artfynd.xlsx", "A 60633-2023")</f>
        <v/>
      </c>
      <c r="T318">
        <f>HYPERLINK("https://klasma.github.io/Logging_0883/kartor/A 60633-2023 karta.png", "A 60633-2023")</f>
        <v/>
      </c>
      <c r="V318">
        <f>HYPERLINK("https://klasma.github.io/Logging_0883/klagomål/A 60633-2023 FSC-klagomål.docx", "A 60633-2023")</f>
        <v/>
      </c>
      <c r="W318">
        <f>HYPERLINK("https://klasma.github.io/Logging_0883/klagomålsmail/A 60633-2023 FSC-klagomål mail.docx", "A 60633-2023")</f>
        <v/>
      </c>
      <c r="X318">
        <f>HYPERLINK("https://klasma.github.io/Logging_0883/tillsyn/A 60633-2023 tillsynsbegäran.docx", "A 60633-2023")</f>
        <v/>
      </c>
      <c r="Y318">
        <f>HYPERLINK("https://klasma.github.io/Logging_0883/tillsynsmail/A 60633-2023 tillsynsbegäran mail.docx", "A 60633-2023")</f>
        <v/>
      </c>
      <c r="Z318">
        <f>HYPERLINK("https://klasma.github.io/Logging_0883/fåglar/A 60633-2023 prioriterade fågelarter.docx", "A 60633-2023")</f>
        <v/>
      </c>
    </row>
    <row r="319" ht="15" customHeight="1">
      <c r="A319" t="inlineStr">
        <is>
          <t>A 61806-2023</t>
        </is>
      </c>
      <c r="B319" s="1" t="n">
        <v>45266</v>
      </c>
      <c r="C319" s="1" t="n">
        <v>45843</v>
      </c>
      <c r="D319" t="inlineStr">
        <is>
          <t>KALMAR LÄN</t>
        </is>
      </c>
      <c r="E319" t="inlineStr">
        <is>
          <t>VÄSTERVIK</t>
        </is>
      </c>
      <c r="G319" t="n">
        <v>1.1</v>
      </c>
      <c r="H319" t="n">
        <v>0</v>
      </c>
      <c r="I319" t="n">
        <v>0</v>
      </c>
      <c r="J319" t="n">
        <v>1</v>
      </c>
      <c r="K319" t="n">
        <v>0</v>
      </c>
      <c r="L319" t="n">
        <v>0</v>
      </c>
      <c r="M319" t="n">
        <v>0</v>
      </c>
      <c r="N319" t="n">
        <v>0</v>
      </c>
      <c r="O319" t="n">
        <v>1</v>
      </c>
      <c r="P319" t="n">
        <v>0</v>
      </c>
      <c r="Q319" t="n">
        <v>1</v>
      </c>
      <c r="R319" s="2" t="inlineStr">
        <is>
          <t>Veckticka</t>
        </is>
      </c>
      <c r="S319">
        <f>HYPERLINK("https://klasma.github.io/Logging_0883/artfynd/A 61806-2023 artfynd.xlsx", "A 61806-2023")</f>
        <v/>
      </c>
      <c r="T319">
        <f>HYPERLINK("https://klasma.github.io/Logging_0883/kartor/A 61806-2023 karta.png", "A 61806-2023")</f>
        <v/>
      </c>
      <c r="V319">
        <f>HYPERLINK("https://klasma.github.io/Logging_0883/klagomål/A 61806-2023 FSC-klagomål.docx", "A 61806-2023")</f>
        <v/>
      </c>
      <c r="W319">
        <f>HYPERLINK("https://klasma.github.io/Logging_0883/klagomålsmail/A 61806-2023 FSC-klagomål mail.docx", "A 61806-2023")</f>
        <v/>
      </c>
      <c r="X319">
        <f>HYPERLINK("https://klasma.github.io/Logging_0883/tillsyn/A 61806-2023 tillsynsbegäran.docx", "A 61806-2023")</f>
        <v/>
      </c>
      <c r="Y319">
        <f>HYPERLINK("https://klasma.github.io/Logging_0883/tillsynsmail/A 61806-2023 tillsynsbegäran mail.docx", "A 61806-2023")</f>
        <v/>
      </c>
    </row>
    <row r="320" ht="15" customHeight="1">
      <c r="A320" t="inlineStr">
        <is>
          <t>A 1176-2024</t>
        </is>
      </c>
      <c r="B320" s="1" t="n">
        <v>45302</v>
      </c>
      <c r="C320" s="1" t="n">
        <v>45843</v>
      </c>
      <c r="D320" t="inlineStr">
        <is>
          <t>KALMAR LÄN</t>
        </is>
      </c>
      <c r="E320" t="inlineStr">
        <is>
          <t>VÄSTERVIK</t>
        </is>
      </c>
      <c r="G320" t="n">
        <v>2.5</v>
      </c>
      <c r="H320" t="n">
        <v>0</v>
      </c>
      <c r="I320" t="n">
        <v>0</v>
      </c>
      <c r="J320" t="n">
        <v>1</v>
      </c>
      <c r="K320" t="n">
        <v>0</v>
      </c>
      <c r="L320" t="n">
        <v>0</v>
      </c>
      <c r="M320" t="n">
        <v>0</v>
      </c>
      <c r="N320" t="n">
        <v>0</v>
      </c>
      <c r="O320" t="n">
        <v>1</v>
      </c>
      <c r="P320" t="n">
        <v>0</v>
      </c>
      <c r="Q320" t="n">
        <v>1</v>
      </c>
      <c r="R320" s="2" t="inlineStr">
        <is>
          <t>Tallticka</t>
        </is>
      </c>
      <c r="S320">
        <f>HYPERLINK("https://klasma.github.io/Logging_0883/artfynd/A 1176-2024 artfynd.xlsx", "A 1176-2024")</f>
        <v/>
      </c>
      <c r="T320">
        <f>HYPERLINK("https://klasma.github.io/Logging_0883/kartor/A 1176-2024 karta.png", "A 1176-2024")</f>
        <v/>
      </c>
      <c r="V320">
        <f>HYPERLINK("https://klasma.github.io/Logging_0883/klagomål/A 1176-2024 FSC-klagomål.docx", "A 1176-2024")</f>
        <v/>
      </c>
      <c r="W320">
        <f>HYPERLINK("https://klasma.github.io/Logging_0883/klagomålsmail/A 1176-2024 FSC-klagomål mail.docx", "A 1176-2024")</f>
        <v/>
      </c>
      <c r="X320">
        <f>HYPERLINK("https://klasma.github.io/Logging_0883/tillsyn/A 1176-2024 tillsynsbegäran.docx", "A 1176-2024")</f>
        <v/>
      </c>
      <c r="Y320">
        <f>HYPERLINK("https://klasma.github.io/Logging_0883/tillsynsmail/A 1176-2024 tillsynsbegäran mail.docx", "A 1176-2024")</f>
        <v/>
      </c>
    </row>
    <row r="321" ht="15" customHeight="1">
      <c r="A321" t="inlineStr">
        <is>
          <t>A 2804-2024</t>
        </is>
      </c>
      <c r="B321" s="1" t="n">
        <v>45314</v>
      </c>
      <c r="C321" s="1" t="n">
        <v>45843</v>
      </c>
      <c r="D321" t="inlineStr">
        <is>
          <t>KALMAR LÄN</t>
        </is>
      </c>
      <c r="E321" t="inlineStr">
        <is>
          <t>VÄSTERVIK</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HYPERLINK("https://klasma.github.io/Logging_0883/artfynd/A 2804-2024 artfynd.xlsx", "A 2804-2024")</f>
        <v/>
      </c>
      <c r="T321">
        <f>HYPERLINK("https://klasma.github.io/Logging_0883/kartor/A 2804-2024 karta.png", "A 2804-2024")</f>
        <v/>
      </c>
      <c r="U321">
        <f>HYPERLINK("https://klasma.github.io/Logging_0883/knärot/A 2804-2024 karta knärot.png", "A 2804-2024")</f>
        <v/>
      </c>
      <c r="V321">
        <f>HYPERLINK("https://klasma.github.io/Logging_0883/klagomål/A 2804-2024 FSC-klagomål.docx", "A 2804-2024")</f>
        <v/>
      </c>
      <c r="W321">
        <f>HYPERLINK("https://klasma.github.io/Logging_0883/klagomålsmail/A 2804-2024 FSC-klagomål mail.docx", "A 2804-2024")</f>
        <v/>
      </c>
      <c r="X321">
        <f>HYPERLINK("https://klasma.github.io/Logging_0883/tillsyn/A 2804-2024 tillsynsbegäran.docx", "A 2804-2024")</f>
        <v/>
      </c>
      <c r="Y321">
        <f>HYPERLINK("https://klasma.github.io/Logging_0883/tillsynsmail/A 2804-2024 tillsynsbegäran mail.docx", "A 2804-2024")</f>
        <v/>
      </c>
    </row>
    <row r="322" ht="15" customHeight="1">
      <c r="A322" t="inlineStr">
        <is>
          <t>A 6025-2024</t>
        </is>
      </c>
      <c r="B322" s="1" t="n">
        <v>45336</v>
      </c>
      <c r="C322" s="1" t="n">
        <v>45843</v>
      </c>
      <c r="D322" t="inlineStr">
        <is>
          <t>KALMAR LÄN</t>
        </is>
      </c>
      <c r="E322" t="inlineStr">
        <is>
          <t>VÄSTERVIK</t>
        </is>
      </c>
      <c r="G322" t="n">
        <v>2.8</v>
      </c>
      <c r="H322" t="n">
        <v>0</v>
      </c>
      <c r="I322" t="n">
        <v>0</v>
      </c>
      <c r="J322" t="n">
        <v>1</v>
      </c>
      <c r="K322" t="n">
        <v>0</v>
      </c>
      <c r="L322" t="n">
        <v>0</v>
      </c>
      <c r="M322" t="n">
        <v>0</v>
      </c>
      <c r="N322" t="n">
        <v>0</v>
      </c>
      <c r="O322" t="n">
        <v>1</v>
      </c>
      <c r="P322" t="n">
        <v>0</v>
      </c>
      <c r="Q322" t="n">
        <v>1</v>
      </c>
      <c r="R322" s="2" t="inlineStr">
        <is>
          <t>Tallticka</t>
        </is>
      </c>
      <c r="S322">
        <f>HYPERLINK("https://klasma.github.io/Logging_0883/artfynd/A 6025-2024 artfynd.xlsx", "A 6025-2024")</f>
        <v/>
      </c>
      <c r="T322">
        <f>HYPERLINK("https://klasma.github.io/Logging_0883/kartor/A 6025-2024 karta.png", "A 6025-2024")</f>
        <v/>
      </c>
      <c r="V322">
        <f>HYPERLINK("https://klasma.github.io/Logging_0883/klagomål/A 6025-2024 FSC-klagomål.docx", "A 6025-2024")</f>
        <v/>
      </c>
      <c r="W322">
        <f>HYPERLINK("https://klasma.github.io/Logging_0883/klagomålsmail/A 6025-2024 FSC-klagomål mail.docx", "A 6025-2024")</f>
        <v/>
      </c>
      <c r="X322">
        <f>HYPERLINK("https://klasma.github.io/Logging_0883/tillsyn/A 6025-2024 tillsynsbegäran.docx", "A 6025-2024")</f>
        <v/>
      </c>
      <c r="Y322">
        <f>HYPERLINK("https://klasma.github.io/Logging_0883/tillsynsmail/A 6025-2024 tillsynsbegäran mail.docx", "A 6025-2024")</f>
        <v/>
      </c>
    </row>
    <row r="323" ht="15" customHeight="1">
      <c r="A323" t="inlineStr">
        <is>
          <t>A 11165-2024</t>
        </is>
      </c>
      <c r="B323" s="1" t="n">
        <v>45371</v>
      </c>
      <c r="C323" s="1" t="n">
        <v>45843</v>
      </c>
      <c r="D323" t="inlineStr">
        <is>
          <t>KALMAR LÄN</t>
        </is>
      </c>
      <c r="E323" t="inlineStr">
        <is>
          <t>VÄSTERVIK</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HYPERLINK("https://klasma.github.io/Logging_0883/artfynd/A 11165-2024 artfynd.xlsx", "A 11165-2024")</f>
        <v/>
      </c>
      <c r="T323">
        <f>HYPERLINK("https://klasma.github.io/Logging_0883/kartor/A 11165-2024 karta.png", "A 11165-2024")</f>
        <v/>
      </c>
      <c r="V323">
        <f>HYPERLINK("https://klasma.github.io/Logging_0883/klagomål/A 11165-2024 FSC-klagomål.docx", "A 11165-2024")</f>
        <v/>
      </c>
      <c r="W323">
        <f>HYPERLINK("https://klasma.github.io/Logging_0883/klagomålsmail/A 11165-2024 FSC-klagomål mail.docx", "A 11165-2024")</f>
        <v/>
      </c>
      <c r="X323">
        <f>HYPERLINK("https://klasma.github.io/Logging_0883/tillsyn/A 11165-2024 tillsynsbegäran.docx", "A 11165-2024")</f>
        <v/>
      </c>
      <c r="Y323">
        <f>HYPERLINK("https://klasma.github.io/Logging_0883/tillsynsmail/A 11165-2024 tillsynsbegäran mail.docx", "A 11165-2024")</f>
        <v/>
      </c>
      <c r="Z323">
        <f>HYPERLINK("https://klasma.github.io/Logging_0883/fåglar/A 11165-2024 prioriterade fågelarter.docx", "A 11165-2024")</f>
        <v/>
      </c>
    </row>
    <row r="324" ht="15" customHeight="1">
      <c r="A324" t="inlineStr">
        <is>
          <t>A 11195-2024</t>
        </is>
      </c>
      <c r="B324" s="1" t="n">
        <v>45371</v>
      </c>
      <c r="C324" s="1" t="n">
        <v>45843</v>
      </c>
      <c r="D324" t="inlineStr">
        <is>
          <t>KALMAR LÄN</t>
        </is>
      </c>
      <c r="E324" t="inlineStr">
        <is>
          <t>VÄSTERVIK</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HYPERLINK("https://klasma.github.io/Logging_0883/artfynd/A 11195-2024 artfynd.xlsx", "A 11195-2024")</f>
        <v/>
      </c>
      <c r="T324">
        <f>HYPERLINK("https://klasma.github.io/Logging_0883/kartor/A 11195-2024 karta.png", "A 11195-2024")</f>
        <v/>
      </c>
      <c r="U324">
        <f>HYPERLINK("https://klasma.github.io/Logging_0883/knärot/A 11195-2024 karta knärot.png", "A 11195-2024")</f>
        <v/>
      </c>
      <c r="V324">
        <f>HYPERLINK("https://klasma.github.io/Logging_0883/klagomål/A 11195-2024 FSC-klagomål.docx", "A 11195-2024")</f>
        <v/>
      </c>
      <c r="W324">
        <f>HYPERLINK("https://klasma.github.io/Logging_0883/klagomålsmail/A 11195-2024 FSC-klagomål mail.docx", "A 11195-2024")</f>
        <v/>
      </c>
      <c r="X324">
        <f>HYPERLINK("https://klasma.github.io/Logging_0883/tillsyn/A 11195-2024 tillsynsbegäran.docx", "A 11195-2024")</f>
        <v/>
      </c>
      <c r="Y324">
        <f>HYPERLINK("https://klasma.github.io/Logging_0883/tillsynsmail/A 11195-2024 tillsynsbegäran mail.docx", "A 11195-2024")</f>
        <v/>
      </c>
    </row>
    <row r="325" ht="15" customHeight="1">
      <c r="A325" t="inlineStr">
        <is>
          <t>A 13745-2024</t>
        </is>
      </c>
      <c r="B325" s="1" t="n">
        <v>45390</v>
      </c>
      <c r="C325" s="1" t="n">
        <v>45843</v>
      </c>
      <c r="D325" t="inlineStr">
        <is>
          <t>KALMAR LÄN</t>
        </is>
      </c>
      <c r="E325" t="inlineStr">
        <is>
          <t>VÄSTERVIK</t>
        </is>
      </c>
      <c r="F325" t="inlineStr">
        <is>
          <t>Sveaskog</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HYPERLINK("https://klasma.github.io/Logging_0883/artfynd/A 13745-2024 artfynd.xlsx", "A 13745-2024")</f>
        <v/>
      </c>
      <c r="T325">
        <f>HYPERLINK("https://klasma.github.io/Logging_0883/kartor/A 13745-2024 karta.png", "A 13745-2024")</f>
        <v/>
      </c>
      <c r="U325">
        <f>HYPERLINK("https://klasma.github.io/Logging_0883/knärot/A 13745-2024 karta knärot.png", "A 13745-2024")</f>
        <v/>
      </c>
      <c r="V325">
        <f>HYPERLINK("https://klasma.github.io/Logging_0883/klagomål/A 13745-2024 FSC-klagomål.docx", "A 13745-2024")</f>
        <v/>
      </c>
      <c r="W325">
        <f>HYPERLINK("https://klasma.github.io/Logging_0883/klagomålsmail/A 13745-2024 FSC-klagomål mail.docx", "A 13745-2024")</f>
        <v/>
      </c>
      <c r="X325">
        <f>HYPERLINK("https://klasma.github.io/Logging_0883/tillsyn/A 13745-2024 tillsynsbegäran.docx", "A 13745-2024")</f>
        <v/>
      </c>
      <c r="Y325">
        <f>HYPERLINK("https://klasma.github.io/Logging_0883/tillsynsmail/A 13745-2024 tillsynsbegäran mail.docx", "A 13745-2024")</f>
        <v/>
      </c>
      <c r="Z325">
        <f>HYPERLINK("https://klasma.github.io/Logging_0883/fåglar/A 13745-2024 prioriterade fågelarter.docx", "A 13745-2024")</f>
        <v/>
      </c>
    </row>
    <row r="326" ht="15" customHeight="1">
      <c r="A326" t="inlineStr">
        <is>
          <t>A 14231-2024</t>
        </is>
      </c>
      <c r="B326" s="1" t="n">
        <v>45393</v>
      </c>
      <c r="C326" s="1" t="n">
        <v>45843</v>
      </c>
      <c r="D326" t="inlineStr">
        <is>
          <t>KALMAR LÄN</t>
        </is>
      </c>
      <c r="E326" t="inlineStr">
        <is>
          <t>VÄSTERVIK</t>
        </is>
      </c>
      <c r="G326" t="n">
        <v>2.8</v>
      </c>
      <c r="H326" t="n">
        <v>1</v>
      </c>
      <c r="I326" t="n">
        <v>0</v>
      </c>
      <c r="J326" t="n">
        <v>0</v>
      </c>
      <c r="K326" t="n">
        <v>1</v>
      </c>
      <c r="L326" t="n">
        <v>0</v>
      </c>
      <c r="M326" t="n">
        <v>0</v>
      </c>
      <c r="N326" t="n">
        <v>0</v>
      </c>
      <c r="O326" t="n">
        <v>1</v>
      </c>
      <c r="P326" t="n">
        <v>1</v>
      </c>
      <c r="Q326" t="n">
        <v>1</v>
      </c>
      <c r="R326" s="2" t="inlineStr">
        <is>
          <t>Knärot</t>
        </is>
      </c>
      <c r="S326">
        <f>HYPERLINK("https://klasma.github.io/Logging_0883/artfynd/A 14231-2024 artfynd.xlsx", "A 14231-2024")</f>
        <v/>
      </c>
      <c r="T326">
        <f>HYPERLINK("https://klasma.github.io/Logging_0883/kartor/A 14231-2024 karta.png", "A 14231-2024")</f>
        <v/>
      </c>
      <c r="U326">
        <f>HYPERLINK("https://klasma.github.io/Logging_0883/knärot/A 14231-2024 karta knärot.png", "A 14231-2024")</f>
        <v/>
      </c>
      <c r="V326">
        <f>HYPERLINK("https://klasma.github.io/Logging_0883/klagomål/A 14231-2024 FSC-klagomål.docx", "A 14231-2024")</f>
        <v/>
      </c>
      <c r="W326">
        <f>HYPERLINK("https://klasma.github.io/Logging_0883/klagomålsmail/A 14231-2024 FSC-klagomål mail.docx", "A 14231-2024")</f>
        <v/>
      </c>
      <c r="X326">
        <f>HYPERLINK("https://klasma.github.io/Logging_0883/tillsyn/A 14231-2024 tillsynsbegäran.docx", "A 14231-2024")</f>
        <v/>
      </c>
      <c r="Y326">
        <f>HYPERLINK("https://klasma.github.io/Logging_0883/tillsynsmail/A 14231-2024 tillsynsbegäran mail.docx", "A 14231-2024")</f>
        <v/>
      </c>
    </row>
    <row r="327" ht="15" customHeight="1">
      <c r="A327" t="inlineStr">
        <is>
          <t>A 16406-2024</t>
        </is>
      </c>
      <c r="B327" s="1" t="n">
        <v>45407</v>
      </c>
      <c r="C327" s="1" t="n">
        <v>45843</v>
      </c>
      <c r="D327" t="inlineStr">
        <is>
          <t>KALMAR LÄN</t>
        </is>
      </c>
      <c r="E327" t="inlineStr">
        <is>
          <t>VÄSTERVIK</t>
        </is>
      </c>
      <c r="F327" t="inlineStr">
        <is>
          <t>Holmen skog AB</t>
        </is>
      </c>
      <c r="G327" t="n">
        <v>4.9</v>
      </c>
      <c r="H327" t="n">
        <v>0</v>
      </c>
      <c r="I327" t="n">
        <v>1</v>
      </c>
      <c r="J327" t="n">
        <v>0</v>
      </c>
      <c r="K327" t="n">
        <v>0</v>
      </c>
      <c r="L327" t="n">
        <v>0</v>
      </c>
      <c r="M327" t="n">
        <v>0</v>
      </c>
      <c r="N327" t="n">
        <v>0</v>
      </c>
      <c r="O327" t="n">
        <v>0</v>
      </c>
      <c r="P327" t="n">
        <v>0</v>
      </c>
      <c r="Q327" t="n">
        <v>1</v>
      </c>
      <c r="R327" s="2" t="inlineStr">
        <is>
          <t>Tibast</t>
        </is>
      </c>
      <c r="S327">
        <f>HYPERLINK("https://klasma.github.io/Logging_0883/artfynd/A 16406-2024 artfynd.xlsx", "A 16406-2024")</f>
        <v/>
      </c>
      <c r="T327">
        <f>HYPERLINK("https://klasma.github.io/Logging_0883/kartor/A 16406-2024 karta.png", "A 16406-2024")</f>
        <v/>
      </c>
      <c r="V327">
        <f>HYPERLINK("https://klasma.github.io/Logging_0883/klagomål/A 16406-2024 FSC-klagomål.docx", "A 16406-2024")</f>
        <v/>
      </c>
      <c r="W327">
        <f>HYPERLINK("https://klasma.github.io/Logging_0883/klagomålsmail/A 16406-2024 FSC-klagomål mail.docx", "A 16406-2024")</f>
        <v/>
      </c>
      <c r="X327">
        <f>HYPERLINK("https://klasma.github.io/Logging_0883/tillsyn/A 16406-2024 tillsynsbegäran.docx", "A 16406-2024")</f>
        <v/>
      </c>
      <c r="Y327">
        <f>HYPERLINK("https://klasma.github.io/Logging_0883/tillsynsmail/A 16406-2024 tillsynsbegäran mail.docx", "A 16406-2024")</f>
        <v/>
      </c>
    </row>
    <row r="328" ht="15" customHeight="1">
      <c r="A328" t="inlineStr">
        <is>
          <t>A 17424-2024</t>
        </is>
      </c>
      <c r="B328" s="1" t="n">
        <v>45415</v>
      </c>
      <c r="C328" s="1" t="n">
        <v>45843</v>
      </c>
      <c r="D328" t="inlineStr">
        <is>
          <t>KALMAR LÄN</t>
        </is>
      </c>
      <c r="E328" t="inlineStr">
        <is>
          <t>VÄSTERVIK</t>
        </is>
      </c>
      <c r="F328" t="inlineStr">
        <is>
          <t>Sveaskog</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HYPERLINK("https://klasma.github.io/Logging_0883/artfynd/A 17424-2024 artfynd.xlsx", "A 17424-2024")</f>
        <v/>
      </c>
      <c r="T328">
        <f>HYPERLINK("https://klasma.github.io/Logging_0883/kartor/A 17424-2024 karta.png", "A 17424-2024")</f>
        <v/>
      </c>
      <c r="V328">
        <f>HYPERLINK("https://klasma.github.io/Logging_0883/klagomål/A 17424-2024 FSC-klagomål.docx", "A 17424-2024")</f>
        <v/>
      </c>
      <c r="W328">
        <f>HYPERLINK("https://klasma.github.io/Logging_0883/klagomålsmail/A 17424-2024 FSC-klagomål mail.docx", "A 17424-2024")</f>
        <v/>
      </c>
      <c r="X328">
        <f>HYPERLINK("https://klasma.github.io/Logging_0883/tillsyn/A 17424-2024 tillsynsbegäran.docx", "A 17424-2024")</f>
        <v/>
      </c>
      <c r="Y328">
        <f>HYPERLINK("https://klasma.github.io/Logging_0883/tillsynsmail/A 17424-2024 tillsynsbegäran mail.docx", "A 17424-2024")</f>
        <v/>
      </c>
    </row>
    <row r="329" ht="15" customHeight="1">
      <c r="A329" t="inlineStr">
        <is>
          <t>A 18396-2024</t>
        </is>
      </c>
      <c r="B329" s="1" t="n">
        <v>45425</v>
      </c>
      <c r="C329" s="1" t="n">
        <v>45843</v>
      </c>
      <c r="D329" t="inlineStr">
        <is>
          <t>KALMAR LÄN</t>
        </is>
      </c>
      <c r="E329" t="inlineStr">
        <is>
          <t>VÄSTERVIK</t>
        </is>
      </c>
      <c r="F329" t="inlineStr">
        <is>
          <t>Holmen skog AB</t>
        </is>
      </c>
      <c r="G329" t="n">
        <v>3.5</v>
      </c>
      <c r="H329" t="n">
        <v>0</v>
      </c>
      <c r="I329" t="n">
        <v>1</v>
      </c>
      <c r="J329" t="n">
        <v>0</v>
      </c>
      <c r="K329" t="n">
        <v>0</v>
      </c>
      <c r="L329" t="n">
        <v>0</v>
      </c>
      <c r="M329" t="n">
        <v>0</v>
      </c>
      <c r="N329" t="n">
        <v>0</v>
      </c>
      <c r="O329" t="n">
        <v>0</v>
      </c>
      <c r="P329" t="n">
        <v>0</v>
      </c>
      <c r="Q329" t="n">
        <v>1</v>
      </c>
      <c r="R329" s="2" t="inlineStr">
        <is>
          <t>Blåmossa</t>
        </is>
      </c>
      <c r="S329">
        <f>HYPERLINK("https://klasma.github.io/Logging_0883/artfynd/A 18396-2024 artfynd.xlsx", "A 18396-2024")</f>
        <v/>
      </c>
      <c r="T329">
        <f>HYPERLINK("https://klasma.github.io/Logging_0883/kartor/A 18396-2024 karta.png", "A 18396-2024")</f>
        <v/>
      </c>
      <c r="V329">
        <f>HYPERLINK("https://klasma.github.io/Logging_0883/klagomål/A 18396-2024 FSC-klagomål.docx", "A 18396-2024")</f>
        <v/>
      </c>
      <c r="W329">
        <f>HYPERLINK("https://klasma.github.io/Logging_0883/klagomålsmail/A 18396-2024 FSC-klagomål mail.docx", "A 18396-2024")</f>
        <v/>
      </c>
      <c r="X329">
        <f>HYPERLINK("https://klasma.github.io/Logging_0883/tillsyn/A 18396-2024 tillsynsbegäran.docx", "A 18396-2024")</f>
        <v/>
      </c>
      <c r="Y329">
        <f>HYPERLINK("https://klasma.github.io/Logging_0883/tillsynsmail/A 18396-2024 tillsynsbegäran mail.docx", "A 18396-2024")</f>
        <v/>
      </c>
    </row>
    <row r="330" ht="15" customHeight="1">
      <c r="A330" t="inlineStr">
        <is>
          <t>A 22885-2024</t>
        </is>
      </c>
      <c r="B330" s="1" t="n">
        <v>45448</v>
      </c>
      <c r="C330" s="1" t="n">
        <v>45843</v>
      </c>
      <c r="D330" t="inlineStr">
        <is>
          <t>KALMAR LÄN</t>
        </is>
      </c>
      <c r="E330" t="inlineStr">
        <is>
          <t>VÄSTERVIK</t>
        </is>
      </c>
      <c r="G330" t="n">
        <v>7.1</v>
      </c>
      <c r="H330" t="n">
        <v>0</v>
      </c>
      <c r="I330" t="n">
        <v>0</v>
      </c>
      <c r="J330" t="n">
        <v>1</v>
      </c>
      <c r="K330" t="n">
        <v>0</v>
      </c>
      <c r="L330" t="n">
        <v>0</v>
      </c>
      <c r="M330" t="n">
        <v>0</v>
      </c>
      <c r="N330" t="n">
        <v>0</v>
      </c>
      <c r="O330" t="n">
        <v>1</v>
      </c>
      <c r="P330" t="n">
        <v>0</v>
      </c>
      <c r="Q330" t="n">
        <v>1</v>
      </c>
      <c r="R330" s="2" t="inlineStr">
        <is>
          <t>Tallticka</t>
        </is>
      </c>
      <c r="S330">
        <f>HYPERLINK("https://klasma.github.io/Logging_0883/artfynd/A 22885-2024 artfynd.xlsx", "A 22885-2024")</f>
        <v/>
      </c>
      <c r="T330">
        <f>HYPERLINK("https://klasma.github.io/Logging_0883/kartor/A 22885-2024 karta.png", "A 22885-2024")</f>
        <v/>
      </c>
      <c r="V330">
        <f>HYPERLINK("https://klasma.github.io/Logging_0883/klagomål/A 22885-2024 FSC-klagomål.docx", "A 22885-2024")</f>
        <v/>
      </c>
      <c r="W330">
        <f>HYPERLINK("https://klasma.github.io/Logging_0883/klagomålsmail/A 22885-2024 FSC-klagomål mail.docx", "A 22885-2024")</f>
        <v/>
      </c>
      <c r="X330">
        <f>HYPERLINK("https://klasma.github.io/Logging_0883/tillsyn/A 22885-2024 tillsynsbegäran.docx", "A 22885-2024")</f>
        <v/>
      </c>
      <c r="Y330">
        <f>HYPERLINK("https://klasma.github.io/Logging_0883/tillsynsmail/A 22885-2024 tillsynsbegäran mail.docx", "A 22885-2024")</f>
        <v/>
      </c>
    </row>
    <row r="331" ht="15" customHeight="1">
      <c r="A331" t="inlineStr">
        <is>
          <t>A 27708-2024</t>
        </is>
      </c>
      <c r="B331" s="1" t="n">
        <v>45475</v>
      </c>
      <c r="C331" s="1" t="n">
        <v>45843</v>
      </c>
      <c r="D331" t="inlineStr">
        <is>
          <t>KALMAR LÄN</t>
        </is>
      </c>
      <c r="E331" t="inlineStr">
        <is>
          <t>VÄSTERVIK</t>
        </is>
      </c>
      <c r="F331" t="inlineStr">
        <is>
          <t>Holmen skog AB</t>
        </is>
      </c>
      <c r="G331" t="n">
        <v>1.7</v>
      </c>
      <c r="H331" t="n">
        <v>1</v>
      </c>
      <c r="I331" t="n">
        <v>0</v>
      </c>
      <c r="J331" t="n">
        <v>1</v>
      </c>
      <c r="K331" t="n">
        <v>0</v>
      </c>
      <c r="L331" t="n">
        <v>0</v>
      </c>
      <c r="M331" t="n">
        <v>0</v>
      </c>
      <c r="N331" t="n">
        <v>0</v>
      </c>
      <c r="O331" t="n">
        <v>1</v>
      </c>
      <c r="P331" t="n">
        <v>0</v>
      </c>
      <c r="Q331" t="n">
        <v>1</v>
      </c>
      <c r="R331" s="2" t="inlineStr">
        <is>
          <t>Spillkråka</t>
        </is>
      </c>
      <c r="S331">
        <f>HYPERLINK("https://klasma.github.io/Logging_0883/artfynd/A 27708-2024 artfynd.xlsx", "A 27708-2024")</f>
        <v/>
      </c>
      <c r="T331">
        <f>HYPERLINK("https://klasma.github.io/Logging_0883/kartor/A 27708-2024 karta.png", "A 27708-2024")</f>
        <v/>
      </c>
      <c r="V331">
        <f>HYPERLINK("https://klasma.github.io/Logging_0883/klagomål/A 27708-2024 FSC-klagomål.docx", "A 27708-2024")</f>
        <v/>
      </c>
      <c r="W331">
        <f>HYPERLINK("https://klasma.github.io/Logging_0883/klagomålsmail/A 27708-2024 FSC-klagomål mail.docx", "A 27708-2024")</f>
        <v/>
      </c>
      <c r="X331">
        <f>HYPERLINK("https://klasma.github.io/Logging_0883/tillsyn/A 27708-2024 tillsynsbegäran.docx", "A 27708-2024")</f>
        <v/>
      </c>
      <c r="Y331">
        <f>HYPERLINK("https://klasma.github.io/Logging_0883/tillsynsmail/A 27708-2024 tillsynsbegäran mail.docx", "A 27708-2024")</f>
        <v/>
      </c>
      <c r="Z331">
        <f>HYPERLINK("https://klasma.github.io/Logging_0883/fåglar/A 27708-2024 prioriterade fågelarter.docx", "A 27708-2024")</f>
        <v/>
      </c>
    </row>
    <row r="332" ht="15" customHeight="1">
      <c r="A332" t="inlineStr">
        <is>
          <t>A 29398-2024</t>
        </is>
      </c>
      <c r="B332" s="1" t="n">
        <v>45483</v>
      </c>
      <c r="C332" s="1" t="n">
        <v>45843</v>
      </c>
      <c r="D332" t="inlineStr">
        <is>
          <t>KALMAR LÄN</t>
        </is>
      </c>
      <c r="E332" t="inlineStr">
        <is>
          <t>VÄSTERVIK</t>
        </is>
      </c>
      <c r="G332" t="n">
        <v>2.7</v>
      </c>
      <c r="H332" t="n">
        <v>0</v>
      </c>
      <c r="I332" t="n">
        <v>0</v>
      </c>
      <c r="J332" t="n">
        <v>1</v>
      </c>
      <c r="K332" t="n">
        <v>0</v>
      </c>
      <c r="L332" t="n">
        <v>0</v>
      </c>
      <c r="M332" t="n">
        <v>0</v>
      </c>
      <c r="N332" t="n">
        <v>0</v>
      </c>
      <c r="O332" t="n">
        <v>1</v>
      </c>
      <c r="P332" t="n">
        <v>0</v>
      </c>
      <c r="Q332" t="n">
        <v>1</v>
      </c>
      <c r="R332" s="2" t="inlineStr">
        <is>
          <t>Skogsklocka</t>
        </is>
      </c>
      <c r="S332">
        <f>HYPERLINK("https://klasma.github.io/Logging_0883/artfynd/A 29398-2024 artfynd.xlsx", "A 29398-2024")</f>
        <v/>
      </c>
      <c r="T332">
        <f>HYPERLINK("https://klasma.github.io/Logging_0883/kartor/A 29398-2024 karta.png", "A 29398-2024")</f>
        <v/>
      </c>
      <c r="V332">
        <f>HYPERLINK("https://klasma.github.io/Logging_0883/klagomål/A 29398-2024 FSC-klagomål.docx", "A 29398-2024")</f>
        <v/>
      </c>
      <c r="W332">
        <f>HYPERLINK("https://klasma.github.io/Logging_0883/klagomålsmail/A 29398-2024 FSC-klagomål mail.docx", "A 29398-2024")</f>
        <v/>
      </c>
      <c r="X332">
        <f>HYPERLINK("https://klasma.github.io/Logging_0883/tillsyn/A 29398-2024 tillsynsbegäran.docx", "A 29398-2024")</f>
        <v/>
      </c>
      <c r="Y332">
        <f>HYPERLINK("https://klasma.github.io/Logging_0883/tillsynsmail/A 29398-2024 tillsynsbegäran mail.docx", "A 29398-2024")</f>
        <v/>
      </c>
    </row>
    <row r="333" ht="15" customHeight="1">
      <c r="A333" t="inlineStr">
        <is>
          <t>A 30386-2024</t>
        </is>
      </c>
      <c r="B333" s="1" t="n">
        <v>45491</v>
      </c>
      <c r="C333" s="1" t="n">
        <v>45843</v>
      </c>
      <c r="D333" t="inlineStr">
        <is>
          <t>KALMAR LÄN</t>
        </is>
      </c>
      <c r="E333" t="inlineStr">
        <is>
          <t>VÄSTERVIK</t>
        </is>
      </c>
      <c r="F333" t="inlineStr">
        <is>
          <t>Holmen skog AB</t>
        </is>
      </c>
      <c r="G333" t="n">
        <v>3.7</v>
      </c>
      <c r="H333" t="n">
        <v>0</v>
      </c>
      <c r="I333" t="n">
        <v>0</v>
      </c>
      <c r="J333" t="n">
        <v>1</v>
      </c>
      <c r="K333" t="n">
        <v>0</v>
      </c>
      <c r="L333" t="n">
        <v>0</v>
      </c>
      <c r="M333" t="n">
        <v>0</v>
      </c>
      <c r="N333" t="n">
        <v>0</v>
      </c>
      <c r="O333" t="n">
        <v>1</v>
      </c>
      <c r="P333" t="n">
        <v>0</v>
      </c>
      <c r="Q333" t="n">
        <v>1</v>
      </c>
      <c r="R333" s="2" t="inlineStr">
        <is>
          <t>Svedjenäva</t>
        </is>
      </c>
      <c r="S333">
        <f>HYPERLINK("https://klasma.github.io/Logging_0883/artfynd/A 30386-2024 artfynd.xlsx", "A 30386-2024")</f>
        <v/>
      </c>
      <c r="T333">
        <f>HYPERLINK("https://klasma.github.io/Logging_0883/kartor/A 30386-2024 karta.png", "A 30386-2024")</f>
        <v/>
      </c>
      <c r="V333">
        <f>HYPERLINK("https://klasma.github.io/Logging_0883/klagomål/A 30386-2024 FSC-klagomål.docx", "A 30386-2024")</f>
        <v/>
      </c>
      <c r="W333">
        <f>HYPERLINK("https://klasma.github.io/Logging_0883/klagomålsmail/A 30386-2024 FSC-klagomål mail.docx", "A 30386-2024")</f>
        <v/>
      </c>
      <c r="X333">
        <f>HYPERLINK("https://klasma.github.io/Logging_0883/tillsyn/A 30386-2024 tillsynsbegäran.docx", "A 30386-2024")</f>
        <v/>
      </c>
      <c r="Y333">
        <f>HYPERLINK("https://klasma.github.io/Logging_0883/tillsynsmail/A 30386-2024 tillsynsbegäran mail.docx", "A 30386-2024")</f>
        <v/>
      </c>
    </row>
    <row r="334" ht="15" customHeight="1">
      <c r="A334" t="inlineStr">
        <is>
          <t>A 34357-2024</t>
        </is>
      </c>
      <c r="B334" s="1" t="n">
        <v>45525</v>
      </c>
      <c r="C334" s="1" t="n">
        <v>45843</v>
      </c>
      <c r="D334" t="inlineStr">
        <is>
          <t>KALMAR LÄN</t>
        </is>
      </c>
      <c r="E334" t="inlineStr">
        <is>
          <t>VÄSTERVIK</t>
        </is>
      </c>
      <c r="F334" t="inlineStr">
        <is>
          <t>Övriga Aktiebolag</t>
        </is>
      </c>
      <c r="G334" t="n">
        <v>14</v>
      </c>
      <c r="H334" t="n">
        <v>1</v>
      </c>
      <c r="I334" t="n">
        <v>0</v>
      </c>
      <c r="J334" t="n">
        <v>1</v>
      </c>
      <c r="K334" t="n">
        <v>0</v>
      </c>
      <c r="L334" t="n">
        <v>0</v>
      </c>
      <c r="M334" t="n">
        <v>0</v>
      </c>
      <c r="N334" t="n">
        <v>0</v>
      </c>
      <c r="O334" t="n">
        <v>1</v>
      </c>
      <c r="P334" t="n">
        <v>0</v>
      </c>
      <c r="Q334" t="n">
        <v>1</v>
      </c>
      <c r="R334" s="2" t="inlineStr">
        <is>
          <t>Havsörn</t>
        </is>
      </c>
      <c r="S334">
        <f>HYPERLINK("https://klasma.github.io/Logging_0883/artfynd/A 34357-2024 artfynd.xlsx", "A 34357-2024")</f>
        <v/>
      </c>
      <c r="T334">
        <f>HYPERLINK("https://klasma.github.io/Logging_0883/kartor/A 34357-2024 karta.png", "A 34357-2024")</f>
        <v/>
      </c>
      <c r="V334">
        <f>HYPERLINK("https://klasma.github.io/Logging_0883/klagomål/A 34357-2024 FSC-klagomål.docx", "A 34357-2024")</f>
        <v/>
      </c>
      <c r="W334">
        <f>HYPERLINK("https://klasma.github.io/Logging_0883/klagomålsmail/A 34357-2024 FSC-klagomål mail.docx", "A 34357-2024")</f>
        <v/>
      </c>
      <c r="X334">
        <f>HYPERLINK("https://klasma.github.io/Logging_0883/tillsyn/A 34357-2024 tillsynsbegäran.docx", "A 34357-2024")</f>
        <v/>
      </c>
      <c r="Y334">
        <f>HYPERLINK("https://klasma.github.io/Logging_0883/tillsynsmail/A 34357-2024 tillsynsbegäran mail.docx", "A 34357-2024")</f>
        <v/>
      </c>
      <c r="Z334">
        <f>HYPERLINK("https://klasma.github.io/Logging_0883/fåglar/A 34357-2024 prioriterade fågelarter.docx", "A 34357-2024")</f>
        <v/>
      </c>
    </row>
    <row r="335" ht="15" customHeight="1">
      <c r="A335" t="inlineStr">
        <is>
          <t>A 35028-2024</t>
        </is>
      </c>
      <c r="B335" s="1" t="n">
        <v>45527</v>
      </c>
      <c r="C335" s="1" t="n">
        <v>45843</v>
      </c>
      <c r="D335" t="inlineStr">
        <is>
          <t>KALMAR LÄN</t>
        </is>
      </c>
      <c r="E335" t="inlineStr">
        <is>
          <t>VÄSTERVIK</t>
        </is>
      </c>
      <c r="G335" t="n">
        <v>1.3</v>
      </c>
      <c r="H335" t="n">
        <v>0</v>
      </c>
      <c r="I335" t="n">
        <v>1</v>
      </c>
      <c r="J335" t="n">
        <v>0</v>
      </c>
      <c r="K335" t="n">
        <v>0</v>
      </c>
      <c r="L335" t="n">
        <v>0</v>
      </c>
      <c r="M335" t="n">
        <v>0</v>
      </c>
      <c r="N335" t="n">
        <v>0</v>
      </c>
      <c r="O335" t="n">
        <v>0</v>
      </c>
      <c r="P335" t="n">
        <v>0</v>
      </c>
      <c r="Q335" t="n">
        <v>1</v>
      </c>
      <c r="R335" s="2" t="inlineStr">
        <is>
          <t>Blomkålssvamp</t>
        </is>
      </c>
      <c r="S335">
        <f>HYPERLINK("https://klasma.github.io/Logging_0883/artfynd/A 35028-2024 artfynd.xlsx", "A 35028-2024")</f>
        <v/>
      </c>
      <c r="T335">
        <f>HYPERLINK("https://klasma.github.io/Logging_0883/kartor/A 35028-2024 karta.png", "A 35028-2024")</f>
        <v/>
      </c>
      <c r="V335">
        <f>HYPERLINK("https://klasma.github.io/Logging_0883/klagomål/A 35028-2024 FSC-klagomål.docx", "A 35028-2024")</f>
        <v/>
      </c>
      <c r="W335">
        <f>HYPERLINK("https://klasma.github.io/Logging_0883/klagomålsmail/A 35028-2024 FSC-klagomål mail.docx", "A 35028-2024")</f>
        <v/>
      </c>
      <c r="X335">
        <f>HYPERLINK("https://klasma.github.io/Logging_0883/tillsyn/A 35028-2024 tillsynsbegäran.docx", "A 35028-2024")</f>
        <v/>
      </c>
      <c r="Y335">
        <f>HYPERLINK("https://klasma.github.io/Logging_0883/tillsynsmail/A 35028-2024 tillsynsbegäran mail.docx", "A 35028-2024")</f>
        <v/>
      </c>
    </row>
    <row r="336" ht="15" customHeight="1">
      <c r="A336" t="inlineStr">
        <is>
          <t>A 35959-2024</t>
        </is>
      </c>
      <c r="B336" s="1" t="n">
        <v>45533</v>
      </c>
      <c r="C336" s="1" t="n">
        <v>45843</v>
      </c>
      <c r="D336" t="inlineStr">
        <is>
          <t>KALMAR LÄN</t>
        </is>
      </c>
      <c r="E336" t="inlineStr">
        <is>
          <t>VÄSTERVIK</t>
        </is>
      </c>
      <c r="F336" t="inlineStr">
        <is>
          <t>Holmen skog AB</t>
        </is>
      </c>
      <c r="G336" t="n">
        <v>3.2</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HYPERLINK("https://klasma.github.io/Logging_0883/artfynd/A 35959-2024 artfynd.xlsx", "A 35959-2024")</f>
        <v/>
      </c>
      <c r="T336">
        <f>HYPERLINK("https://klasma.github.io/Logging_0883/kartor/A 35959-2024 karta.png", "A 35959-2024")</f>
        <v/>
      </c>
      <c r="V336">
        <f>HYPERLINK("https://klasma.github.io/Logging_0883/klagomål/A 35959-2024 FSC-klagomål.docx", "A 35959-2024")</f>
        <v/>
      </c>
      <c r="W336">
        <f>HYPERLINK("https://klasma.github.io/Logging_0883/klagomålsmail/A 35959-2024 FSC-klagomål mail.docx", "A 35959-2024")</f>
        <v/>
      </c>
      <c r="X336">
        <f>HYPERLINK("https://klasma.github.io/Logging_0883/tillsyn/A 35959-2024 tillsynsbegäran.docx", "A 35959-2024")</f>
        <v/>
      </c>
      <c r="Y336">
        <f>HYPERLINK("https://klasma.github.io/Logging_0883/tillsynsmail/A 35959-2024 tillsynsbegäran mail.docx", "A 35959-2024")</f>
        <v/>
      </c>
    </row>
    <row r="337" ht="15" customHeight="1">
      <c r="A337" t="inlineStr">
        <is>
          <t>A 42811-2024</t>
        </is>
      </c>
      <c r="B337" s="1" t="n">
        <v>45566</v>
      </c>
      <c r="C337" s="1" t="n">
        <v>45843</v>
      </c>
      <c r="D337" t="inlineStr">
        <is>
          <t>KALMAR LÄN</t>
        </is>
      </c>
      <c r="E337" t="inlineStr">
        <is>
          <t>VÄSTERVIK</t>
        </is>
      </c>
      <c r="G337" t="n">
        <v>4.4</v>
      </c>
      <c r="H337" t="n">
        <v>0</v>
      </c>
      <c r="I337" t="n">
        <v>1</v>
      </c>
      <c r="J337" t="n">
        <v>0</v>
      </c>
      <c r="K337" t="n">
        <v>0</v>
      </c>
      <c r="L337" t="n">
        <v>0</v>
      </c>
      <c r="M337" t="n">
        <v>0</v>
      </c>
      <c r="N337" t="n">
        <v>0</v>
      </c>
      <c r="O337" t="n">
        <v>0</v>
      </c>
      <c r="P337" t="n">
        <v>0</v>
      </c>
      <c r="Q337" t="n">
        <v>1</v>
      </c>
      <c r="R337" s="2" t="inlineStr">
        <is>
          <t>Grönpyrola</t>
        </is>
      </c>
      <c r="S337">
        <f>HYPERLINK("https://klasma.github.io/Logging_0883/artfynd/A 42811-2024 artfynd.xlsx", "A 42811-2024")</f>
        <v/>
      </c>
      <c r="T337">
        <f>HYPERLINK("https://klasma.github.io/Logging_0883/kartor/A 42811-2024 karta.png", "A 42811-2024")</f>
        <v/>
      </c>
      <c r="V337">
        <f>HYPERLINK("https://klasma.github.io/Logging_0883/klagomål/A 42811-2024 FSC-klagomål.docx", "A 42811-2024")</f>
        <v/>
      </c>
      <c r="W337">
        <f>HYPERLINK("https://klasma.github.io/Logging_0883/klagomålsmail/A 42811-2024 FSC-klagomål mail.docx", "A 42811-2024")</f>
        <v/>
      </c>
      <c r="X337">
        <f>HYPERLINK("https://klasma.github.io/Logging_0883/tillsyn/A 42811-2024 tillsynsbegäran.docx", "A 42811-2024")</f>
        <v/>
      </c>
      <c r="Y337">
        <f>HYPERLINK("https://klasma.github.io/Logging_0883/tillsynsmail/A 42811-2024 tillsynsbegäran mail.docx", "A 42811-2024")</f>
        <v/>
      </c>
    </row>
    <row r="338" ht="15" customHeight="1">
      <c r="A338" t="inlineStr">
        <is>
          <t>A 44333-2024</t>
        </is>
      </c>
      <c r="B338" s="1" t="n">
        <v>45573</v>
      </c>
      <c r="C338" s="1" t="n">
        <v>45843</v>
      </c>
      <c r="D338" t="inlineStr">
        <is>
          <t>KALMAR LÄN</t>
        </is>
      </c>
      <c r="E338" t="inlineStr">
        <is>
          <t>VÄSTERVIK</t>
        </is>
      </c>
      <c r="F338" t="inlineStr">
        <is>
          <t>Holmen skog AB</t>
        </is>
      </c>
      <c r="G338" t="n">
        <v>4.5</v>
      </c>
      <c r="H338" t="n">
        <v>1</v>
      </c>
      <c r="I338" t="n">
        <v>0</v>
      </c>
      <c r="J338" t="n">
        <v>1</v>
      </c>
      <c r="K338" t="n">
        <v>0</v>
      </c>
      <c r="L338" t="n">
        <v>0</v>
      </c>
      <c r="M338" t="n">
        <v>0</v>
      </c>
      <c r="N338" t="n">
        <v>0</v>
      </c>
      <c r="O338" t="n">
        <v>1</v>
      </c>
      <c r="P338" t="n">
        <v>0</v>
      </c>
      <c r="Q338" t="n">
        <v>1</v>
      </c>
      <c r="R338" s="2" t="inlineStr">
        <is>
          <t>Havsörn</t>
        </is>
      </c>
      <c r="S338">
        <f>HYPERLINK("https://klasma.github.io/Logging_0883/artfynd/A 44333-2024 artfynd.xlsx", "A 44333-2024")</f>
        <v/>
      </c>
      <c r="T338">
        <f>HYPERLINK("https://klasma.github.io/Logging_0883/kartor/A 44333-2024 karta.png", "A 44333-2024")</f>
        <v/>
      </c>
      <c r="V338">
        <f>HYPERLINK("https://klasma.github.io/Logging_0883/klagomål/A 44333-2024 FSC-klagomål.docx", "A 44333-2024")</f>
        <v/>
      </c>
      <c r="W338">
        <f>HYPERLINK("https://klasma.github.io/Logging_0883/klagomålsmail/A 44333-2024 FSC-klagomål mail.docx", "A 44333-2024")</f>
        <v/>
      </c>
      <c r="X338">
        <f>HYPERLINK("https://klasma.github.io/Logging_0883/tillsyn/A 44333-2024 tillsynsbegäran.docx", "A 44333-2024")</f>
        <v/>
      </c>
      <c r="Y338">
        <f>HYPERLINK("https://klasma.github.io/Logging_0883/tillsynsmail/A 44333-2024 tillsynsbegäran mail.docx", "A 44333-2024")</f>
        <v/>
      </c>
      <c r="Z338">
        <f>HYPERLINK("https://klasma.github.io/Logging_0883/fåglar/A 44333-2024 prioriterade fågelarter.docx", "A 44333-2024")</f>
        <v/>
      </c>
    </row>
    <row r="339" ht="15" customHeight="1">
      <c r="A339" t="inlineStr">
        <is>
          <t>A 45462-2024</t>
        </is>
      </c>
      <c r="B339" s="1" t="n">
        <v>45576</v>
      </c>
      <c r="C339" s="1" t="n">
        <v>45843</v>
      </c>
      <c r="D339" t="inlineStr">
        <is>
          <t>KALMAR LÄN</t>
        </is>
      </c>
      <c r="E339" t="inlineStr">
        <is>
          <t>VÄSTERVIK</t>
        </is>
      </c>
      <c r="G339" t="n">
        <v>3.5</v>
      </c>
      <c r="H339" t="n">
        <v>1</v>
      </c>
      <c r="I339" t="n">
        <v>0</v>
      </c>
      <c r="J339" t="n">
        <v>1</v>
      </c>
      <c r="K339" t="n">
        <v>0</v>
      </c>
      <c r="L339" t="n">
        <v>0</v>
      </c>
      <c r="M339" t="n">
        <v>0</v>
      </c>
      <c r="N339" t="n">
        <v>0</v>
      </c>
      <c r="O339" t="n">
        <v>1</v>
      </c>
      <c r="P339" t="n">
        <v>0</v>
      </c>
      <c r="Q339" t="n">
        <v>1</v>
      </c>
      <c r="R339" s="2" t="inlineStr">
        <is>
          <t>Järpe</t>
        </is>
      </c>
      <c r="S339">
        <f>HYPERLINK("https://klasma.github.io/Logging_0883/artfynd/A 45462-2024 artfynd.xlsx", "A 45462-2024")</f>
        <v/>
      </c>
      <c r="T339">
        <f>HYPERLINK("https://klasma.github.io/Logging_0883/kartor/A 45462-2024 karta.png", "A 45462-2024")</f>
        <v/>
      </c>
      <c r="V339">
        <f>HYPERLINK("https://klasma.github.io/Logging_0883/klagomål/A 45462-2024 FSC-klagomål.docx", "A 45462-2024")</f>
        <v/>
      </c>
      <c r="W339">
        <f>HYPERLINK("https://klasma.github.io/Logging_0883/klagomålsmail/A 45462-2024 FSC-klagomål mail.docx", "A 45462-2024")</f>
        <v/>
      </c>
      <c r="X339">
        <f>HYPERLINK("https://klasma.github.io/Logging_0883/tillsyn/A 45462-2024 tillsynsbegäran.docx", "A 45462-2024")</f>
        <v/>
      </c>
      <c r="Y339">
        <f>HYPERLINK("https://klasma.github.io/Logging_0883/tillsynsmail/A 45462-2024 tillsynsbegäran mail.docx", "A 45462-2024")</f>
        <v/>
      </c>
      <c r="Z339">
        <f>HYPERLINK("https://klasma.github.io/Logging_0883/fåglar/A 45462-2024 prioriterade fågelarter.docx", "A 45462-2024")</f>
        <v/>
      </c>
    </row>
    <row r="340" ht="15" customHeight="1">
      <c r="A340" t="inlineStr">
        <is>
          <t>A 45679-2024</t>
        </is>
      </c>
      <c r="B340" s="1" t="n">
        <v>45579</v>
      </c>
      <c r="C340" s="1" t="n">
        <v>45843</v>
      </c>
      <c r="D340" t="inlineStr">
        <is>
          <t>KALMAR LÄN</t>
        </is>
      </c>
      <c r="E340" t="inlineStr">
        <is>
          <t>VÄSTERVIK</t>
        </is>
      </c>
      <c r="F340" t="inlineStr">
        <is>
          <t>Kyrkan</t>
        </is>
      </c>
      <c r="G340" t="n">
        <v>2.8</v>
      </c>
      <c r="H340" t="n">
        <v>1</v>
      </c>
      <c r="I340" t="n">
        <v>0</v>
      </c>
      <c r="J340" t="n">
        <v>0</v>
      </c>
      <c r="K340" t="n">
        <v>1</v>
      </c>
      <c r="L340" t="n">
        <v>0</v>
      </c>
      <c r="M340" t="n">
        <v>0</v>
      </c>
      <c r="N340" t="n">
        <v>0</v>
      </c>
      <c r="O340" t="n">
        <v>1</v>
      </c>
      <c r="P340" t="n">
        <v>1</v>
      </c>
      <c r="Q340" t="n">
        <v>1</v>
      </c>
      <c r="R340" s="2" t="inlineStr">
        <is>
          <t>Knärot</t>
        </is>
      </c>
      <c r="S340">
        <f>HYPERLINK("https://klasma.github.io/Logging_0883/artfynd/A 45679-2024 artfynd.xlsx", "A 45679-2024")</f>
        <v/>
      </c>
      <c r="T340">
        <f>HYPERLINK("https://klasma.github.io/Logging_0883/kartor/A 45679-2024 karta.png", "A 45679-2024")</f>
        <v/>
      </c>
      <c r="U340">
        <f>HYPERLINK("https://klasma.github.io/Logging_0883/knärot/A 45679-2024 karta knärot.png", "A 45679-2024")</f>
        <v/>
      </c>
      <c r="V340">
        <f>HYPERLINK("https://klasma.github.io/Logging_0883/klagomål/A 45679-2024 FSC-klagomål.docx", "A 45679-2024")</f>
        <v/>
      </c>
      <c r="W340">
        <f>HYPERLINK("https://klasma.github.io/Logging_0883/klagomålsmail/A 45679-2024 FSC-klagomål mail.docx", "A 45679-2024")</f>
        <v/>
      </c>
      <c r="X340">
        <f>HYPERLINK("https://klasma.github.io/Logging_0883/tillsyn/A 45679-2024 tillsynsbegäran.docx", "A 45679-2024")</f>
        <v/>
      </c>
      <c r="Y340">
        <f>HYPERLINK("https://klasma.github.io/Logging_0883/tillsynsmail/A 45679-2024 tillsynsbegäran mail.docx", "A 45679-2024")</f>
        <v/>
      </c>
    </row>
    <row r="341" ht="15" customHeight="1">
      <c r="A341" t="inlineStr">
        <is>
          <t>A 51488-2024</t>
        </is>
      </c>
      <c r="B341" s="1" t="n">
        <v>45604</v>
      </c>
      <c r="C341" s="1" t="n">
        <v>45843</v>
      </c>
      <c r="D341" t="inlineStr">
        <is>
          <t>KALMAR LÄN</t>
        </is>
      </c>
      <c r="E341" t="inlineStr">
        <is>
          <t>VÄSTERVIK</t>
        </is>
      </c>
      <c r="F341" t="inlineStr">
        <is>
          <t>Övriga Aktiebolag</t>
        </is>
      </c>
      <c r="G341" t="n">
        <v>2.9</v>
      </c>
      <c r="H341" t="n">
        <v>1</v>
      </c>
      <c r="I341" t="n">
        <v>0</v>
      </c>
      <c r="J341" t="n">
        <v>1</v>
      </c>
      <c r="K341" t="n">
        <v>0</v>
      </c>
      <c r="L341" t="n">
        <v>0</v>
      </c>
      <c r="M341" t="n">
        <v>0</v>
      </c>
      <c r="N341" t="n">
        <v>0</v>
      </c>
      <c r="O341" t="n">
        <v>1</v>
      </c>
      <c r="P341" t="n">
        <v>0</v>
      </c>
      <c r="Q341" t="n">
        <v>1</v>
      </c>
      <c r="R341" s="2" t="inlineStr">
        <is>
          <t>Entita</t>
        </is>
      </c>
      <c r="S341">
        <f>HYPERLINK("https://klasma.github.io/Logging_0883/artfynd/A 51488-2024 artfynd.xlsx", "A 51488-2024")</f>
        <v/>
      </c>
      <c r="T341">
        <f>HYPERLINK("https://klasma.github.io/Logging_0883/kartor/A 51488-2024 karta.png", "A 51488-2024")</f>
        <v/>
      </c>
      <c r="V341">
        <f>HYPERLINK("https://klasma.github.io/Logging_0883/klagomål/A 51488-2024 FSC-klagomål.docx", "A 51488-2024")</f>
        <v/>
      </c>
      <c r="W341">
        <f>HYPERLINK("https://klasma.github.io/Logging_0883/klagomålsmail/A 51488-2024 FSC-klagomål mail.docx", "A 51488-2024")</f>
        <v/>
      </c>
      <c r="X341">
        <f>HYPERLINK("https://klasma.github.io/Logging_0883/tillsyn/A 51488-2024 tillsynsbegäran.docx", "A 51488-2024")</f>
        <v/>
      </c>
      <c r="Y341">
        <f>HYPERLINK("https://klasma.github.io/Logging_0883/tillsynsmail/A 51488-2024 tillsynsbegäran mail.docx", "A 51488-2024")</f>
        <v/>
      </c>
      <c r="Z341">
        <f>HYPERLINK("https://klasma.github.io/Logging_0883/fåglar/A 51488-2024 prioriterade fågelarter.docx", "A 51488-2024")</f>
        <v/>
      </c>
    </row>
    <row r="342" ht="15" customHeight="1">
      <c r="A342" t="inlineStr">
        <is>
          <t>A 51514-2024</t>
        </is>
      </c>
      <c r="B342" s="1" t="n">
        <v>45604</v>
      </c>
      <c r="C342" s="1" t="n">
        <v>45843</v>
      </c>
      <c r="D342" t="inlineStr">
        <is>
          <t>KALMAR LÄN</t>
        </is>
      </c>
      <c r="E342" t="inlineStr">
        <is>
          <t>VÄSTERVIK</t>
        </is>
      </c>
      <c r="F342" t="inlineStr">
        <is>
          <t>Övriga Aktiebolag</t>
        </is>
      </c>
      <c r="G342" t="n">
        <v>2.4</v>
      </c>
      <c r="H342" t="n">
        <v>1</v>
      </c>
      <c r="I342" t="n">
        <v>0</v>
      </c>
      <c r="J342" t="n">
        <v>1</v>
      </c>
      <c r="K342" t="n">
        <v>0</v>
      </c>
      <c r="L342" t="n">
        <v>0</v>
      </c>
      <c r="M342" t="n">
        <v>0</v>
      </c>
      <c r="N342" t="n">
        <v>0</v>
      </c>
      <c r="O342" t="n">
        <v>1</v>
      </c>
      <c r="P342" t="n">
        <v>0</v>
      </c>
      <c r="Q342" t="n">
        <v>1</v>
      </c>
      <c r="R342" s="2" t="inlineStr">
        <is>
          <t>Havsörn</t>
        </is>
      </c>
      <c r="S342">
        <f>HYPERLINK("https://klasma.github.io/Logging_0883/artfynd/A 51514-2024 artfynd.xlsx", "A 51514-2024")</f>
        <v/>
      </c>
      <c r="T342">
        <f>HYPERLINK("https://klasma.github.io/Logging_0883/kartor/A 51514-2024 karta.png", "A 51514-2024")</f>
        <v/>
      </c>
      <c r="V342">
        <f>HYPERLINK("https://klasma.github.io/Logging_0883/klagomål/A 51514-2024 FSC-klagomål.docx", "A 51514-2024")</f>
        <v/>
      </c>
      <c r="W342">
        <f>HYPERLINK("https://klasma.github.io/Logging_0883/klagomålsmail/A 51514-2024 FSC-klagomål mail.docx", "A 51514-2024")</f>
        <v/>
      </c>
      <c r="X342">
        <f>HYPERLINK("https://klasma.github.io/Logging_0883/tillsyn/A 51514-2024 tillsynsbegäran.docx", "A 51514-2024")</f>
        <v/>
      </c>
      <c r="Y342">
        <f>HYPERLINK("https://klasma.github.io/Logging_0883/tillsynsmail/A 51514-2024 tillsynsbegäran mail.docx", "A 51514-2024")</f>
        <v/>
      </c>
      <c r="Z342">
        <f>HYPERLINK("https://klasma.github.io/Logging_0883/fåglar/A 51514-2024 prioriterade fågelarter.docx", "A 51514-2024")</f>
        <v/>
      </c>
    </row>
    <row r="343" ht="15" customHeight="1">
      <c r="A343" t="inlineStr">
        <is>
          <t>A 53075-2024</t>
        </is>
      </c>
      <c r="B343" s="1" t="n">
        <v>45611</v>
      </c>
      <c r="C343" s="1" t="n">
        <v>45843</v>
      </c>
      <c r="D343" t="inlineStr">
        <is>
          <t>KALMAR LÄN</t>
        </is>
      </c>
      <c r="E343" t="inlineStr">
        <is>
          <t>VÄSTERVIK</t>
        </is>
      </c>
      <c r="F343" t="inlineStr">
        <is>
          <t>Holmen skog AB</t>
        </is>
      </c>
      <c r="G343" t="n">
        <v>8.5</v>
      </c>
      <c r="H343" t="n">
        <v>1</v>
      </c>
      <c r="I343" t="n">
        <v>0</v>
      </c>
      <c r="J343" t="n">
        <v>1</v>
      </c>
      <c r="K343" t="n">
        <v>0</v>
      </c>
      <c r="L343" t="n">
        <v>0</v>
      </c>
      <c r="M343" t="n">
        <v>0</v>
      </c>
      <c r="N343" t="n">
        <v>0</v>
      </c>
      <c r="O343" t="n">
        <v>1</v>
      </c>
      <c r="P343" t="n">
        <v>0</v>
      </c>
      <c r="Q343" t="n">
        <v>1</v>
      </c>
      <c r="R343" s="2" t="inlineStr">
        <is>
          <t>Talltita</t>
        </is>
      </c>
      <c r="S343">
        <f>HYPERLINK("https://klasma.github.io/Logging_0883/artfynd/A 53075-2024 artfynd.xlsx", "A 53075-2024")</f>
        <v/>
      </c>
      <c r="T343">
        <f>HYPERLINK("https://klasma.github.io/Logging_0883/kartor/A 53075-2024 karta.png", "A 53075-2024")</f>
        <v/>
      </c>
      <c r="V343">
        <f>HYPERLINK("https://klasma.github.io/Logging_0883/klagomål/A 53075-2024 FSC-klagomål.docx", "A 53075-2024")</f>
        <v/>
      </c>
      <c r="W343">
        <f>HYPERLINK("https://klasma.github.io/Logging_0883/klagomålsmail/A 53075-2024 FSC-klagomål mail.docx", "A 53075-2024")</f>
        <v/>
      </c>
      <c r="X343">
        <f>HYPERLINK("https://klasma.github.io/Logging_0883/tillsyn/A 53075-2024 tillsynsbegäran.docx", "A 53075-2024")</f>
        <v/>
      </c>
      <c r="Y343">
        <f>HYPERLINK("https://klasma.github.io/Logging_0883/tillsynsmail/A 53075-2024 tillsynsbegäran mail.docx", "A 53075-2024")</f>
        <v/>
      </c>
      <c r="Z343">
        <f>HYPERLINK("https://klasma.github.io/Logging_0883/fåglar/A 53075-2024 prioriterade fågelarter.docx", "A 53075-2024")</f>
        <v/>
      </c>
    </row>
    <row r="344" ht="15" customHeight="1">
      <c r="A344" t="inlineStr">
        <is>
          <t>A 55360-2024</t>
        </is>
      </c>
      <c r="B344" s="1" t="n">
        <v>45621</v>
      </c>
      <c r="C344" s="1" t="n">
        <v>45843</v>
      </c>
      <c r="D344" t="inlineStr">
        <is>
          <t>KALMAR LÄN</t>
        </is>
      </c>
      <c r="E344" t="inlineStr">
        <is>
          <t>VÄSTERVIK</t>
        </is>
      </c>
      <c r="F344" t="inlineStr">
        <is>
          <t>Sveaskog</t>
        </is>
      </c>
      <c r="G344" t="n">
        <v>11.1</v>
      </c>
      <c r="H344" t="n">
        <v>0</v>
      </c>
      <c r="I344" t="n">
        <v>0</v>
      </c>
      <c r="J344" t="n">
        <v>1</v>
      </c>
      <c r="K344" t="n">
        <v>0</v>
      </c>
      <c r="L344" t="n">
        <v>0</v>
      </c>
      <c r="M344" t="n">
        <v>0</v>
      </c>
      <c r="N344" t="n">
        <v>0</v>
      </c>
      <c r="O344" t="n">
        <v>1</v>
      </c>
      <c r="P344" t="n">
        <v>0</v>
      </c>
      <c r="Q344" t="n">
        <v>1</v>
      </c>
      <c r="R344" s="2" t="inlineStr">
        <is>
          <t>Vårstarr</t>
        </is>
      </c>
      <c r="S344">
        <f>HYPERLINK("https://klasma.github.io/Logging_0883/artfynd/A 55360-2024 artfynd.xlsx", "A 55360-2024")</f>
        <v/>
      </c>
      <c r="T344">
        <f>HYPERLINK("https://klasma.github.io/Logging_0883/kartor/A 55360-2024 karta.png", "A 55360-2024")</f>
        <v/>
      </c>
      <c r="V344">
        <f>HYPERLINK("https://klasma.github.io/Logging_0883/klagomål/A 55360-2024 FSC-klagomål.docx", "A 55360-2024")</f>
        <v/>
      </c>
      <c r="W344">
        <f>HYPERLINK("https://klasma.github.io/Logging_0883/klagomålsmail/A 55360-2024 FSC-klagomål mail.docx", "A 55360-2024")</f>
        <v/>
      </c>
      <c r="X344">
        <f>HYPERLINK("https://klasma.github.io/Logging_0883/tillsyn/A 55360-2024 tillsynsbegäran.docx", "A 55360-2024")</f>
        <v/>
      </c>
      <c r="Y344">
        <f>HYPERLINK("https://klasma.github.io/Logging_0883/tillsynsmail/A 55360-2024 tillsynsbegäran mail.docx", "A 55360-2024")</f>
        <v/>
      </c>
    </row>
    <row r="345" ht="15" customHeight="1">
      <c r="A345" t="inlineStr">
        <is>
          <t>A 55616-2024</t>
        </is>
      </c>
      <c r="B345" s="1" t="n">
        <v>45622</v>
      </c>
      <c r="C345" s="1" t="n">
        <v>45843</v>
      </c>
      <c r="D345" t="inlineStr">
        <is>
          <t>KALMAR LÄN</t>
        </is>
      </c>
      <c r="E345" t="inlineStr">
        <is>
          <t>VÄSTERVIK</t>
        </is>
      </c>
      <c r="G345" t="n">
        <v>0.5</v>
      </c>
      <c r="H345" t="n">
        <v>1</v>
      </c>
      <c r="I345" t="n">
        <v>0</v>
      </c>
      <c r="J345" t="n">
        <v>1</v>
      </c>
      <c r="K345" t="n">
        <v>0</v>
      </c>
      <c r="L345" t="n">
        <v>0</v>
      </c>
      <c r="M345" t="n">
        <v>0</v>
      </c>
      <c r="N345" t="n">
        <v>0</v>
      </c>
      <c r="O345" t="n">
        <v>1</v>
      </c>
      <c r="P345" t="n">
        <v>0</v>
      </c>
      <c r="Q345" t="n">
        <v>1</v>
      </c>
      <c r="R345" s="2" t="inlineStr">
        <is>
          <t>Entita</t>
        </is>
      </c>
      <c r="S345">
        <f>HYPERLINK("https://klasma.github.io/Logging_0883/artfynd/A 55616-2024 artfynd.xlsx", "A 55616-2024")</f>
        <v/>
      </c>
      <c r="T345">
        <f>HYPERLINK("https://klasma.github.io/Logging_0883/kartor/A 55616-2024 karta.png", "A 55616-2024")</f>
        <v/>
      </c>
      <c r="V345">
        <f>HYPERLINK("https://klasma.github.io/Logging_0883/klagomål/A 55616-2024 FSC-klagomål.docx", "A 55616-2024")</f>
        <v/>
      </c>
      <c r="W345">
        <f>HYPERLINK("https://klasma.github.io/Logging_0883/klagomålsmail/A 55616-2024 FSC-klagomål mail.docx", "A 55616-2024")</f>
        <v/>
      </c>
      <c r="X345">
        <f>HYPERLINK("https://klasma.github.io/Logging_0883/tillsyn/A 55616-2024 tillsynsbegäran.docx", "A 55616-2024")</f>
        <v/>
      </c>
      <c r="Y345">
        <f>HYPERLINK("https://klasma.github.io/Logging_0883/tillsynsmail/A 55616-2024 tillsynsbegäran mail.docx", "A 55616-2024")</f>
        <v/>
      </c>
      <c r="Z345">
        <f>HYPERLINK("https://klasma.github.io/Logging_0883/fåglar/A 55616-2024 prioriterade fågelarter.docx", "A 55616-2024")</f>
        <v/>
      </c>
    </row>
    <row r="346" ht="15" customHeight="1">
      <c r="A346" t="inlineStr">
        <is>
          <t>A 56439-2024</t>
        </is>
      </c>
      <c r="B346" s="1" t="n">
        <v>45625</v>
      </c>
      <c r="C346" s="1" t="n">
        <v>45843</v>
      </c>
      <c r="D346" t="inlineStr">
        <is>
          <t>KALMAR LÄN</t>
        </is>
      </c>
      <c r="E346" t="inlineStr">
        <is>
          <t>VÄSTERVIK</t>
        </is>
      </c>
      <c r="F346" t="inlineStr">
        <is>
          <t>Övriga Aktiebolag</t>
        </is>
      </c>
      <c r="G346" t="n">
        <v>3.3</v>
      </c>
      <c r="H346" t="n">
        <v>0</v>
      </c>
      <c r="I346" t="n">
        <v>1</v>
      </c>
      <c r="J346" t="n">
        <v>0</v>
      </c>
      <c r="K346" t="n">
        <v>0</v>
      </c>
      <c r="L346" t="n">
        <v>0</v>
      </c>
      <c r="M346" t="n">
        <v>0</v>
      </c>
      <c r="N346" t="n">
        <v>0</v>
      </c>
      <c r="O346" t="n">
        <v>0</v>
      </c>
      <c r="P346" t="n">
        <v>0</v>
      </c>
      <c r="Q346" t="n">
        <v>1</v>
      </c>
      <c r="R346" s="2" t="inlineStr">
        <is>
          <t>Hasselticka</t>
        </is>
      </c>
      <c r="S346">
        <f>HYPERLINK("https://klasma.github.io/Logging_0883/artfynd/A 56439-2024 artfynd.xlsx", "A 56439-2024")</f>
        <v/>
      </c>
      <c r="T346">
        <f>HYPERLINK("https://klasma.github.io/Logging_0883/kartor/A 56439-2024 karta.png", "A 56439-2024")</f>
        <v/>
      </c>
      <c r="V346">
        <f>HYPERLINK("https://klasma.github.io/Logging_0883/klagomål/A 56439-2024 FSC-klagomål.docx", "A 56439-2024")</f>
        <v/>
      </c>
      <c r="W346">
        <f>HYPERLINK("https://klasma.github.io/Logging_0883/klagomålsmail/A 56439-2024 FSC-klagomål mail.docx", "A 56439-2024")</f>
        <v/>
      </c>
      <c r="X346">
        <f>HYPERLINK("https://klasma.github.io/Logging_0883/tillsyn/A 56439-2024 tillsynsbegäran.docx", "A 56439-2024")</f>
        <v/>
      </c>
      <c r="Y346">
        <f>HYPERLINK("https://klasma.github.io/Logging_0883/tillsynsmail/A 56439-2024 tillsynsbegäran mail.docx", "A 56439-2024")</f>
        <v/>
      </c>
    </row>
    <row r="347" ht="15" customHeight="1">
      <c r="A347" t="inlineStr">
        <is>
          <t>A 59616-2024</t>
        </is>
      </c>
      <c r="B347" s="1" t="n">
        <v>45638</v>
      </c>
      <c r="C347" s="1" t="n">
        <v>45843</v>
      </c>
      <c r="D347" t="inlineStr">
        <is>
          <t>KALMAR LÄN</t>
        </is>
      </c>
      <c r="E347" t="inlineStr">
        <is>
          <t>VÄSTERVIK</t>
        </is>
      </c>
      <c r="G347" t="n">
        <v>2.3</v>
      </c>
      <c r="H347" t="n">
        <v>1</v>
      </c>
      <c r="I347" t="n">
        <v>0</v>
      </c>
      <c r="J347" t="n">
        <v>0</v>
      </c>
      <c r="K347" t="n">
        <v>1</v>
      </c>
      <c r="L347" t="n">
        <v>0</v>
      </c>
      <c r="M347" t="n">
        <v>0</v>
      </c>
      <c r="N347" t="n">
        <v>0</v>
      </c>
      <c r="O347" t="n">
        <v>1</v>
      </c>
      <c r="P347" t="n">
        <v>1</v>
      </c>
      <c r="Q347" t="n">
        <v>1</v>
      </c>
      <c r="R347" s="2" t="inlineStr">
        <is>
          <t>Knärot</t>
        </is>
      </c>
      <c r="S347">
        <f>HYPERLINK("https://klasma.github.io/Logging_0883/artfynd/A 59616-2024 artfynd.xlsx", "A 59616-2024")</f>
        <v/>
      </c>
      <c r="T347">
        <f>HYPERLINK("https://klasma.github.io/Logging_0883/kartor/A 59616-2024 karta.png", "A 59616-2024")</f>
        <v/>
      </c>
      <c r="U347">
        <f>HYPERLINK("https://klasma.github.io/Logging_0883/knärot/A 59616-2024 karta knärot.png", "A 59616-2024")</f>
        <v/>
      </c>
      <c r="V347">
        <f>HYPERLINK("https://klasma.github.io/Logging_0883/klagomål/A 59616-2024 FSC-klagomål.docx", "A 59616-2024")</f>
        <v/>
      </c>
      <c r="W347">
        <f>HYPERLINK("https://klasma.github.io/Logging_0883/klagomålsmail/A 59616-2024 FSC-klagomål mail.docx", "A 59616-2024")</f>
        <v/>
      </c>
      <c r="X347">
        <f>HYPERLINK("https://klasma.github.io/Logging_0883/tillsyn/A 59616-2024 tillsynsbegäran.docx", "A 59616-2024")</f>
        <v/>
      </c>
      <c r="Y347">
        <f>HYPERLINK("https://klasma.github.io/Logging_0883/tillsynsmail/A 59616-2024 tillsynsbegäran mail.docx", "A 59616-2024")</f>
        <v/>
      </c>
    </row>
    <row r="348" ht="15" customHeight="1">
      <c r="A348" t="inlineStr">
        <is>
          <t>A 59351-2024</t>
        </is>
      </c>
      <c r="B348" s="1" t="n">
        <v>45638</v>
      </c>
      <c r="C348" s="1" t="n">
        <v>45843</v>
      </c>
      <c r="D348" t="inlineStr">
        <is>
          <t>KALMAR LÄN</t>
        </is>
      </c>
      <c r="E348" t="inlineStr">
        <is>
          <t>VÄSTERVIK</t>
        </is>
      </c>
      <c r="G348" t="n">
        <v>4</v>
      </c>
      <c r="H348" t="n">
        <v>0</v>
      </c>
      <c r="I348" t="n">
        <v>0</v>
      </c>
      <c r="J348" t="n">
        <v>1</v>
      </c>
      <c r="K348" t="n">
        <v>0</v>
      </c>
      <c r="L348" t="n">
        <v>0</v>
      </c>
      <c r="M348" t="n">
        <v>0</v>
      </c>
      <c r="N348" t="n">
        <v>0</v>
      </c>
      <c r="O348" t="n">
        <v>1</v>
      </c>
      <c r="P348" t="n">
        <v>0</v>
      </c>
      <c r="Q348" t="n">
        <v>1</v>
      </c>
      <c r="R348" s="2" t="inlineStr">
        <is>
          <t>Nubbfibbla</t>
        </is>
      </c>
      <c r="S348">
        <f>HYPERLINK("https://klasma.github.io/Logging_0883/artfynd/A 59351-2024 artfynd.xlsx", "A 59351-2024")</f>
        <v/>
      </c>
      <c r="T348">
        <f>HYPERLINK("https://klasma.github.io/Logging_0883/kartor/A 59351-2024 karta.png", "A 59351-2024")</f>
        <v/>
      </c>
      <c r="V348">
        <f>HYPERLINK("https://klasma.github.io/Logging_0883/klagomål/A 59351-2024 FSC-klagomål.docx", "A 59351-2024")</f>
        <v/>
      </c>
      <c r="W348">
        <f>HYPERLINK("https://klasma.github.io/Logging_0883/klagomålsmail/A 59351-2024 FSC-klagomål mail.docx", "A 59351-2024")</f>
        <v/>
      </c>
      <c r="X348">
        <f>HYPERLINK("https://klasma.github.io/Logging_0883/tillsyn/A 59351-2024 tillsynsbegäran.docx", "A 59351-2024")</f>
        <v/>
      </c>
      <c r="Y348">
        <f>HYPERLINK("https://klasma.github.io/Logging_0883/tillsynsmail/A 59351-2024 tillsynsbegäran mail.docx", "A 59351-2024")</f>
        <v/>
      </c>
    </row>
    <row r="349" ht="15" customHeight="1">
      <c r="A349" t="inlineStr">
        <is>
          <t>A 961-2025</t>
        </is>
      </c>
      <c r="B349" s="1" t="n">
        <v>45666</v>
      </c>
      <c r="C349" s="1" t="n">
        <v>45843</v>
      </c>
      <c r="D349" t="inlineStr">
        <is>
          <t>KALMAR LÄN</t>
        </is>
      </c>
      <c r="E349" t="inlineStr">
        <is>
          <t>VÄSTERVIK</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HYPERLINK("https://klasma.github.io/Logging_0883/artfynd/A 961-2025 artfynd.xlsx", "A 961-2025")</f>
        <v/>
      </c>
      <c r="T349">
        <f>HYPERLINK("https://klasma.github.io/Logging_0883/kartor/A 961-2025 karta.png", "A 961-2025")</f>
        <v/>
      </c>
      <c r="U349">
        <f>HYPERLINK("https://klasma.github.io/Logging_0883/knärot/A 961-2025 karta knärot.png", "A 961-2025")</f>
        <v/>
      </c>
      <c r="V349">
        <f>HYPERLINK("https://klasma.github.io/Logging_0883/klagomål/A 961-2025 FSC-klagomål.docx", "A 961-2025")</f>
        <v/>
      </c>
      <c r="W349">
        <f>HYPERLINK("https://klasma.github.io/Logging_0883/klagomålsmail/A 961-2025 FSC-klagomål mail.docx", "A 961-2025")</f>
        <v/>
      </c>
      <c r="X349">
        <f>HYPERLINK("https://klasma.github.io/Logging_0883/tillsyn/A 961-2025 tillsynsbegäran.docx", "A 961-2025")</f>
        <v/>
      </c>
      <c r="Y349">
        <f>HYPERLINK("https://klasma.github.io/Logging_0883/tillsynsmail/A 961-2025 tillsynsbegäran mail.docx", "A 961-2025")</f>
        <v/>
      </c>
    </row>
    <row r="350" ht="15" customHeight="1">
      <c r="A350" t="inlineStr">
        <is>
          <t>A 1775-2025</t>
        </is>
      </c>
      <c r="B350" s="1" t="n">
        <v>45671</v>
      </c>
      <c r="C350" s="1" t="n">
        <v>45843</v>
      </c>
      <c r="D350" t="inlineStr">
        <is>
          <t>KALMAR LÄN</t>
        </is>
      </c>
      <c r="E350" t="inlineStr">
        <is>
          <t>VÄSTERVIK</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HYPERLINK("https://klasma.github.io/Logging_0883/artfynd/A 1775-2025 artfynd.xlsx", "A 1775-2025")</f>
        <v/>
      </c>
      <c r="T350">
        <f>HYPERLINK("https://klasma.github.io/Logging_0883/kartor/A 1775-2025 karta.png", "A 1775-2025")</f>
        <v/>
      </c>
      <c r="V350">
        <f>HYPERLINK("https://klasma.github.io/Logging_0883/klagomål/A 1775-2025 FSC-klagomål.docx", "A 1775-2025")</f>
        <v/>
      </c>
      <c r="W350">
        <f>HYPERLINK("https://klasma.github.io/Logging_0883/klagomålsmail/A 1775-2025 FSC-klagomål mail.docx", "A 1775-2025")</f>
        <v/>
      </c>
      <c r="X350">
        <f>HYPERLINK("https://klasma.github.io/Logging_0883/tillsyn/A 1775-2025 tillsynsbegäran.docx", "A 1775-2025")</f>
        <v/>
      </c>
      <c r="Y350">
        <f>HYPERLINK("https://klasma.github.io/Logging_0883/tillsynsmail/A 1775-2025 tillsynsbegäran mail.docx", "A 1775-2025")</f>
        <v/>
      </c>
      <c r="Z350">
        <f>HYPERLINK("https://klasma.github.io/Logging_0883/fåglar/A 1775-2025 prioriterade fågelarter.docx", "A 1775-2025")</f>
        <v/>
      </c>
    </row>
    <row r="351" ht="15" customHeight="1">
      <c r="A351" t="inlineStr">
        <is>
          <t>A 2328-2025</t>
        </is>
      </c>
      <c r="B351" s="1" t="n">
        <v>45673</v>
      </c>
      <c r="C351" s="1" t="n">
        <v>45843</v>
      </c>
      <c r="D351" t="inlineStr">
        <is>
          <t>KALMAR LÄN</t>
        </is>
      </c>
      <c r="E351" t="inlineStr">
        <is>
          <t>VÄSTERVIK</t>
        </is>
      </c>
      <c r="F351" t="inlineStr">
        <is>
          <t>Sveaskog</t>
        </is>
      </c>
      <c r="G351" t="n">
        <v>1.4</v>
      </c>
      <c r="H351" t="n">
        <v>1</v>
      </c>
      <c r="I351" t="n">
        <v>0</v>
      </c>
      <c r="J351" t="n">
        <v>0</v>
      </c>
      <c r="K351" t="n">
        <v>0</v>
      </c>
      <c r="L351" t="n">
        <v>0</v>
      </c>
      <c r="M351" t="n">
        <v>0</v>
      </c>
      <c r="N351" t="n">
        <v>0</v>
      </c>
      <c r="O351" t="n">
        <v>0</v>
      </c>
      <c r="P351" t="n">
        <v>0</v>
      </c>
      <c r="Q351" t="n">
        <v>1</v>
      </c>
      <c r="R351" s="2" t="inlineStr">
        <is>
          <t>Mattlummer</t>
        </is>
      </c>
      <c r="S351">
        <f>HYPERLINK("https://klasma.github.io/Logging_0883/artfynd/A 2328-2025 artfynd.xlsx", "A 2328-2025")</f>
        <v/>
      </c>
      <c r="T351">
        <f>HYPERLINK("https://klasma.github.io/Logging_0883/kartor/A 2328-2025 karta.png", "A 2328-2025")</f>
        <v/>
      </c>
      <c r="V351">
        <f>HYPERLINK("https://klasma.github.io/Logging_0883/klagomål/A 2328-2025 FSC-klagomål.docx", "A 2328-2025")</f>
        <v/>
      </c>
      <c r="W351">
        <f>HYPERLINK("https://klasma.github.io/Logging_0883/klagomålsmail/A 2328-2025 FSC-klagomål mail.docx", "A 2328-2025")</f>
        <v/>
      </c>
      <c r="X351">
        <f>HYPERLINK("https://klasma.github.io/Logging_0883/tillsyn/A 2328-2025 tillsynsbegäran.docx", "A 2328-2025")</f>
        <v/>
      </c>
      <c r="Y351">
        <f>HYPERLINK("https://klasma.github.io/Logging_0883/tillsynsmail/A 2328-2025 tillsynsbegäran mail.docx", "A 2328-2025")</f>
        <v/>
      </c>
    </row>
    <row r="352" ht="15" customHeight="1">
      <c r="A352" t="inlineStr">
        <is>
          <t>A 3112-2025</t>
        </is>
      </c>
      <c r="B352" s="1" t="n">
        <v>45678</v>
      </c>
      <c r="C352" s="1" t="n">
        <v>45843</v>
      </c>
      <c r="D352" t="inlineStr">
        <is>
          <t>KALMAR LÄN</t>
        </is>
      </c>
      <c r="E352" t="inlineStr">
        <is>
          <t>VÄSTERVIK</t>
        </is>
      </c>
      <c r="G352" t="n">
        <v>1.5</v>
      </c>
      <c r="H352" t="n">
        <v>1</v>
      </c>
      <c r="I352" t="n">
        <v>0</v>
      </c>
      <c r="J352" t="n">
        <v>0</v>
      </c>
      <c r="K352" t="n">
        <v>0</v>
      </c>
      <c r="L352" t="n">
        <v>0</v>
      </c>
      <c r="M352" t="n">
        <v>0</v>
      </c>
      <c r="N352" t="n">
        <v>0</v>
      </c>
      <c r="O352" t="n">
        <v>0</v>
      </c>
      <c r="P352" t="n">
        <v>0</v>
      </c>
      <c r="Q352" t="n">
        <v>1</v>
      </c>
      <c r="R352" s="2" t="inlineStr">
        <is>
          <t>Mattlummer</t>
        </is>
      </c>
      <c r="S352">
        <f>HYPERLINK("https://klasma.github.io/Logging_0883/artfynd/A 3112-2025 artfynd.xlsx", "A 3112-2025")</f>
        <v/>
      </c>
      <c r="T352">
        <f>HYPERLINK("https://klasma.github.io/Logging_0883/kartor/A 3112-2025 karta.png", "A 3112-2025")</f>
        <v/>
      </c>
      <c r="V352">
        <f>HYPERLINK("https://klasma.github.io/Logging_0883/klagomål/A 3112-2025 FSC-klagomål.docx", "A 3112-2025")</f>
        <v/>
      </c>
      <c r="W352">
        <f>HYPERLINK("https://klasma.github.io/Logging_0883/klagomålsmail/A 3112-2025 FSC-klagomål mail.docx", "A 3112-2025")</f>
        <v/>
      </c>
      <c r="X352">
        <f>HYPERLINK("https://klasma.github.io/Logging_0883/tillsyn/A 3112-2025 tillsynsbegäran.docx", "A 3112-2025")</f>
        <v/>
      </c>
      <c r="Y352">
        <f>HYPERLINK("https://klasma.github.io/Logging_0883/tillsynsmail/A 3112-2025 tillsynsbegäran mail.docx", "A 3112-2025")</f>
        <v/>
      </c>
    </row>
    <row r="353" ht="15" customHeight="1">
      <c r="A353" t="inlineStr">
        <is>
          <t>A 3057-2025</t>
        </is>
      </c>
      <c r="B353" s="1" t="n">
        <v>45678</v>
      </c>
      <c r="C353" s="1" t="n">
        <v>45843</v>
      </c>
      <c r="D353" t="inlineStr">
        <is>
          <t>KALMAR LÄN</t>
        </is>
      </c>
      <c r="E353" t="inlineStr">
        <is>
          <t>VÄSTERVIK</t>
        </is>
      </c>
      <c r="G353" t="n">
        <v>1</v>
      </c>
      <c r="H353" t="n">
        <v>1</v>
      </c>
      <c r="I353" t="n">
        <v>0</v>
      </c>
      <c r="J353" t="n">
        <v>0</v>
      </c>
      <c r="K353" t="n">
        <v>1</v>
      </c>
      <c r="L353" t="n">
        <v>0</v>
      </c>
      <c r="M353" t="n">
        <v>0</v>
      </c>
      <c r="N353" t="n">
        <v>0</v>
      </c>
      <c r="O353" t="n">
        <v>1</v>
      </c>
      <c r="P353" t="n">
        <v>1</v>
      </c>
      <c r="Q353" t="n">
        <v>1</v>
      </c>
      <c r="R353" s="2" t="inlineStr">
        <is>
          <t>Knärot</t>
        </is>
      </c>
      <c r="S353">
        <f>HYPERLINK("https://klasma.github.io/Logging_0883/artfynd/A 3057-2025 artfynd.xlsx", "A 3057-2025")</f>
        <v/>
      </c>
      <c r="T353">
        <f>HYPERLINK("https://klasma.github.io/Logging_0883/kartor/A 3057-2025 karta.png", "A 3057-2025")</f>
        <v/>
      </c>
      <c r="U353">
        <f>HYPERLINK("https://klasma.github.io/Logging_0883/knärot/A 3057-2025 karta knärot.png", "A 3057-2025")</f>
        <v/>
      </c>
      <c r="V353">
        <f>HYPERLINK("https://klasma.github.io/Logging_0883/klagomål/A 3057-2025 FSC-klagomål.docx", "A 3057-2025")</f>
        <v/>
      </c>
      <c r="W353">
        <f>HYPERLINK("https://klasma.github.io/Logging_0883/klagomålsmail/A 3057-2025 FSC-klagomål mail.docx", "A 3057-2025")</f>
        <v/>
      </c>
      <c r="X353">
        <f>HYPERLINK("https://klasma.github.io/Logging_0883/tillsyn/A 3057-2025 tillsynsbegäran.docx", "A 3057-2025")</f>
        <v/>
      </c>
      <c r="Y353">
        <f>HYPERLINK("https://klasma.github.io/Logging_0883/tillsynsmail/A 3057-2025 tillsynsbegäran mail.docx", "A 3057-2025")</f>
        <v/>
      </c>
    </row>
    <row r="354" ht="15" customHeight="1">
      <c r="A354" t="inlineStr">
        <is>
          <t>A 3673-2025</t>
        </is>
      </c>
      <c r="B354" s="1" t="n">
        <v>45681</v>
      </c>
      <c r="C354" s="1" t="n">
        <v>45843</v>
      </c>
      <c r="D354" t="inlineStr">
        <is>
          <t>KALMAR LÄN</t>
        </is>
      </c>
      <c r="E354" t="inlineStr">
        <is>
          <t>VÄSTERVIK</t>
        </is>
      </c>
      <c r="G354" t="n">
        <v>1.1</v>
      </c>
      <c r="H354" t="n">
        <v>0</v>
      </c>
      <c r="I354" t="n">
        <v>1</v>
      </c>
      <c r="J354" t="n">
        <v>0</v>
      </c>
      <c r="K354" t="n">
        <v>0</v>
      </c>
      <c r="L354" t="n">
        <v>0</v>
      </c>
      <c r="M354" t="n">
        <v>0</v>
      </c>
      <c r="N354" t="n">
        <v>0</v>
      </c>
      <c r="O354" t="n">
        <v>0</v>
      </c>
      <c r="P354" t="n">
        <v>0</v>
      </c>
      <c r="Q354" t="n">
        <v>1</v>
      </c>
      <c r="R354" s="2" t="inlineStr">
        <is>
          <t>Blodticka</t>
        </is>
      </c>
      <c r="S354">
        <f>HYPERLINK("https://klasma.github.io/Logging_0883/artfynd/A 3673-2025 artfynd.xlsx", "A 3673-2025")</f>
        <v/>
      </c>
      <c r="T354">
        <f>HYPERLINK("https://klasma.github.io/Logging_0883/kartor/A 3673-2025 karta.png", "A 3673-2025")</f>
        <v/>
      </c>
      <c r="V354">
        <f>HYPERLINK("https://klasma.github.io/Logging_0883/klagomål/A 3673-2025 FSC-klagomål.docx", "A 3673-2025")</f>
        <v/>
      </c>
      <c r="W354">
        <f>HYPERLINK("https://klasma.github.io/Logging_0883/klagomålsmail/A 3673-2025 FSC-klagomål mail.docx", "A 3673-2025")</f>
        <v/>
      </c>
      <c r="X354">
        <f>HYPERLINK("https://klasma.github.io/Logging_0883/tillsyn/A 3673-2025 tillsynsbegäran.docx", "A 3673-2025")</f>
        <v/>
      </c>
      <c r="Y354">
        <f>HYPERLINK("https://klasma.github.io/Logging_0883/tillsynsmail/A 3673-2025 tillsynsbegäran mail.docx", "A 3673-2025")</f>
        <v/>
      </c>
    </row>
    <row r="355" ht="15" customHeight="1">
      <c r="A355" t="inlineStr">
        <is>
          <t>A 3600-2025</t>
        </is>
      </c>
      <c r="B355" s="1" t="n">
        <v>45681</v>
      </c>
      <c r="C355" s="1" t="n">
        <v>45843</v>
      </c>
      <c r="D355" t="inlineStr">
        <is>
          <t>KALMAR LÄN</t>
        </is>
      </c>
      <c r="E355" t="inlineStr">
        <is>
          <t>VÄSTERVIK</t>
        </is>
      </c>
      <c r="G355" t="n">
        <v>1</v>
      </c>
      <c r="H355" t="n">
        <v>1</v>
      </c>
      <c r="I355" t="n">
        <v>0</v>
      </c>
      <c r="J355" t="n">
        <v>1</v>
      </c>
      <c r="K355" t="n">
        <v>0</v>
      </c>
      <c r="L355" t="n">
        <v>0</v>
      </c>
      <c r="M355" t="n">
        <v>0</v>
      </c>
      <c r="N355" t="n">
        <v>0</v>
      </c>
      <c r="O355" t="n">
        <v>1</v>
      </c>
      <c r="P355" t="n">
        <v>0</v>
      </c>
      <c r="Q355" t="n">
        <v>1</v>
      </c>
      <c r="R355" s="2" t="inlineStr">
        <is>
          <t>Spillkråka</t>
        </is>
      </c>
      <c r="S355">
        <f>HYPERLINK("https://klasma.github.io/Logging_0883/artfynd/A 3600-2025 artfynd.xlsx", "A 3600-2025")</f>
        <v/>
      </c>
      <c r="T355">
        <f>HYPERLINK("https://klasma.github.io/Logging_0883/kartor/A 3600-2025 karta.png", "A 3600-2025")</f>
        <v/>
      </c>
      <c r="V355">
        <f>HYPERLINK("https://klasma.github.io/Logging_0883/klagomål/A 3600-2025 FSC-klagomål.docx", "A 3600-2025")</f>
        <v/>
      </c>
      <c r="W355">
        <f>HYPERLINK("https://klasma.github.io/Logging_0883/klagomålsmail/A 3600-2025 FSC-klagomål mail.docx", "A 3600-2025")</f>
        <v/>
      </c>
      <c r="X355">
        <f>HYPERLINK("https://klasma.github.io/Logging_0883/tillsyn/A 3600-2025 tillsynsbegäran.docx", "A 3600-2025")</f>
        <v/>
      </c>
      <c r="Y355">
        <f>HYPERLINK("https://klasma.github.io/Logging_0883/tillsynsmail/A 3600-2025 tillsynsbegäran mail.docx", "A 3600-2025")</f>
        <v/>
      </c>
      <c r="Z355">
        <f>HYPERLINK("https://klasma.github.io/Logging_0883/fåglar/A 3600-2025 prioriterade fågelarter.docx", "A 3600-2025")</f>
        <v/>
      </c>
    </row>
    <row r="356" ht="15" customHeight="1">
      <c r="A356" t="inlineStr">
        <is>
          <t>A 4750-2025</t>
        </is>
      </c>
      <c r="B356" s="1" t="n">
        <v>45688</v>
      </c>
      <c r="C356" s="1" t="n">
        <v>45843</v>
      </c>
      <c r="D356" t="inlineStr">
        <is>
          <t>KALMAR LÄN</t>
        </is>
      </c>
      <c r="E356" t="inlineStr">
        <is>
          <t>VÄSTERVIK</t>
        </is>
      </c>
      <c r="F356" t="inlineStr">
        <is>
          <t>Holmen skog AB</t>
        </is>
      </c>
      <c r="G356" t="n">
        <v>0.9</v>
      </c>
      <c r="H356" t="n">
        <v>1</v>
      </c>
      <c r="I356" t="n">
        <v>0</v>
      </c>
      <c r="J356" t="n">
        <v>1</v>
      </c>
      <c r="K356" t="n">
        <v>0</v>
      </c>
      <c r="L356" t="n">
        <v>0</v>
      </c>
      <c r="M356" t="n">
        <v>0</v>
      </c>
      <c r="N356" t="n">
        <v>0</v>
      </c>
      <c r="O356" t="n">
        <v>1</v>
      </c>
      <c r="P356" t="n">
        <v>0</v>
      </c>
      <c r="Q356" t="n">
        <v>1</v>
      </c>
      <c r="R356" s="2" t="inlineStr">
        <is>
          <t>Talltita</t>
        </is>
      </c>
      <c r="S356">
        <f>HYPERLINK("https://klasma.github.io/Logging_0883/artfynd/A 4750-2025 artfynd.xlsx", "A 4750-2025")</f>
        <v/>
      </c>
      <c r="T356">
        <f>HYPERLINK("https://klasma.github.io/Logging_0883/kartor/A 4750-2025 karta.png", "A 4750-2025")</f>
        <v/>
      </c>
      <c r="V356">
        <f>HYPERLINK("https://klasma.github.io/Logging_0883/klagomål/A 4750-2025 FSC-klagomål.docx", "A 4750-2025")</f>
        <v/>
      </c>
      <c r="W356">
        <f>HYPERLINK("https://klasma.github.io/Logging_0883/klagomålsmail/A 4750-2025 FSC-klagomål mail.docx", "A 4750-2025")</f>
        <v/>
      </c>
      <c r="X356">
        <f>HYPERLINK("https://klasma.github.io/Logging_0883/tillsyn/A 4750-2025 tillsynsbegäran.docx", "A 4750-2025")</f>
        <v/>
      </c>
      <c r="Y356">
        <f>HYPERLINK("https://klasma.github.io/Logging_0883/tillsynsmail/A 4750-2025 tillsynsbegäran mail.docx", "A 4750-2025")</f>
        <v/>
      </c>
      <c r="Z356">
        <f>HYPERLINK("https://klasma.github.io/Logging_0883/fåglar/A 4750-2025 prioriterade fågelarter.docx", "A 4750-2025")</f>
        <v/>
      </c>
    </row>
    <row r="357" ht="15" customHeight="1">
      <c r="A357" t="inlineStr">
        <is>
          <t>A 4719-2025</t>
        </is>
      </c>
      <c r="B357" s="1" t="n">
        <v>45688</v>
      </c>
      <c r="C357" s="1" t="n">
        <v>45843</v>
      </c>
      <c r="D357" t="inlineStr">
        <is>
          <t>KALMAR LÄN</t>
        </is>
      </c>
      <c r="E357" t="inlineStr">
        <is>
          <t>VÄSTERVIK</t>
        </is>
      </c>
      <c r="G357" t="n">
        <v>10.4</v>
      </c>
      <c r="H357" t="n">
        <v>0</v>
      </c>
      <c r="I357" t="n">
        <v>1</v>
      </c>
      <c r="J357" t="n">
        <v>0</v>
      </c>
      <c r="K357" t="n">
        <v>0</v>
      </c>
      <c r="L357" t="n">
        <v>0</v>
      </c>
      <c r="M357" t="n">
        <v>0</v>
      </c>
      <c r="N357" t="n">
        <v>0</v>
      </c>
      <c r="O357" t="n">
        <v>0</v>
      </c>
      <c r="P357" t="n">
        <v>0</v>
      </c>
      <c r="Q357" t="n">
        <v>1</v>
      </c>
      <c r="R357" s="2" t="inlineStr">
        <is>
          <t>Dropptaggsvamp</t>
        </is>
      </c>
      <c r="S357">
        <f>HYPERLINK("https://klasma.github.io/Logging_0883/artfynd/A 4719-2025 artfynd.xlsx", "A 4719-2025")</f>
        <v/>
      </c>
      <c r="T357">
        <f>HYPERLINK("https://klasma.github.io/Logging_0883/kartor/A 4719-2025 karta.png", "A 4719-2025")</f>
        <v/>
      </c>
      <c r="V357">
        <f>HYPERLINK("https://klasma.github.io/Logging_0883/klagomål/A 4719-2025 FSC-klagomål.docx", "A 4719-2025")</f>
        <v/>
      </c>
      <c r="W357">
        <f>HYPERLINK("https://klasma.github.io/Logging_0883/klagomålsmail/A 4719-2025 FSC-klagomål mail.docx", "A 4719-2025")</f>
        <v/>
      </c>
      <c r="X357">
        <f>HYPERLINK("https://klasma.github.io/Logging_0883/tillsyn/A 4719-2025 tillsynsbegäran.docx", "A 4719-2025")</f>
        <v/>
      </c>
      <c r="Y357">
        <f>HYPERLINK("https://klasma.github.io/Logging_0883/tillsynsmail/A 4719-2025 tillsynsbegäran mail.docx", "A 4719-2025")</f>
        <v/>
      </c>
    </row>
    <row r="358" ht="15" customHeight="1">
      <c r="A358" t="inlineStr">
        <is>
          <t>A 5840-2025</t>
        </is>
      </c>
      <c r="B358" s="1" t="n">
        <v>45695</v>
      </c>
      <c r="C358" s="1" t="n">
        <v>45843</v>
      </c>
      <c r="D358" t="inlineStr">
        <is>
          <t>KALMAR LÄN</t>
        </is>
      </c>
      <c r="E358" t="inlineStr">
        <is>
          <t>VÄSTERVIK</t>
        </is>
      </c>
      <c r="F358" t="inlineStr">
        <is>
          <t>Holmen skog AB</t>
        </is>
      </c>
      <c r="G358" t="n">
        <v>2.7</v>
      </c>
      <c r="H358" t="n">
        <v>0</v>
      </c>
      <c r="I358" t="n">
        <v>0</v>
      </c>
      <c r="J358" t="n">
        <v>1</v>
      </c>
      <c r="K358" t="n">
        <v>0</v>
      </c>
      <c r="L358" t="n">
        <v>0</v>
      </c>
      <c r="M358" t="n">
        <v>0</v>
      </c>
      <c r="N358" t="n">
        <v>0</v>
      </c>
      <c r="O358" t="n">
        <v>1</v>
      </c>
      <c r="P358" t="n">
        <v>0</v>
      </c>
      <c r="Q358" t="n">
        <v>1</v>
      </c>
      <c r="R358" s="2" t="inlineStr">
        <is>
          <t>Krusfrö</t>
        </is>
      </c>
      <c r="S358">
        <f>HYPERLINK("https://klasma.github.io/Logging_0883/artfynd/A 5840-2025 artfynd.xlsx", "A 5840-2025")</f>
        <v/>
      </c>
      <c r="T358">
        <f>HYPERLINK("https://klasma.github.io/Logging_0883/kartor/A 5840-2025 karta.png", "A 5840-2025")</f>
        <v/>
      </c>
      <c r="V358">
        <f>HYPERLINK("https://klasma.github.io/Logging_0883/klagomål/A 5840-2025 FSC-klagomål.docx", "A 5840-2025")</f>
        <v/>
      </c>
      <c r="W358">
        <f>HYPERLINK("https://klasma.github.io/Logging_0883/klagomålsmail/A 5840-2025 FSC-klagomål mail.docx", "A 5840-2025")</f>
        <v/>
      </c>
      <c r="X358">
        <f>HYPERLINK("https://klasma.github.io/Logging_0883/tillsyn/A 5840-2025 tillsynsbegäran.docx", "A 5840-2025")</f>
        <v/>
      </c>
      <c r="Y358">
        <f>HYPERLINK("https://klasma.github.io/Logging_0883/tillsynsmail/A 5840-2025 tillsynsbegäran mail.docx", "A 5840-2025")</f>
        <v/>
      </c>
    </row>
    <row r="359" ht="15" customHeight="1">
      <c r="A359" t="inlineStr">
        <is>
          <t>A 6657-2025</t>
        </is>
      </c>
      <c r="B359" s="1" t="n">
        <v>45700</v>
      </c>
      <c r="C359" s="1" t="n">
        <v>45843</v>
      </c>
      <c r="D359" t="inlineStr">
        <is>
          <t>KALMAR LÄN</t>
        </is>
      </c>
      <c r="E359" t="inlineStr">
        <is>
          <t>VÄSTERVIK</t>
        </is>
      </c>
      <c r="F359" t="inlineStr">
        <is>
          <t>Holmen skog AB</t>
        </is>
      </c>
      <c r="G359" t="n">
        <v>3</v>
      </c>
      <c r="H359" t="n">
        <v>1</v>
      </c>
      <c r="I359" t="n">
        <v>0</v>
      </c>
      <c r="J359" t="n">
        <v>0</v>
      </c>
      <c r="K359" t="n">
        <v>1</v>
      </c>
      <c r="L359" t="n">
        <v>0</v>
      </c>
      <c r="M359" t="n">
        <v>0</v>
      </c>
      <c r="N359" t="n">
        <v>0</v>
      </c>
      <c r="O359" t="n">
        <v>1</v>
      </c>
      <c r="P359" t="n">
        <v>1</v>
      </c>
      <c r="Q359" t="n">
        <v>1</v>
      </c>
      <c r="R359" s="2" t="inlineStr">
        <is>
          <t>Knärot</t>
        </is>
      </c>
      <c r="S359">
        <f>HYPERLINK("https://klasma.github.io/Logging_0883/artfynd/A 6657-2025 artfynd.xlsx", "A 6657-2025")</f>
        <v/>
      </c>
      <c r="T359">
        <f>HYPERLINK("https://klasma.github.io/Logging_0883/kartor/A 6657-2025 karta.png", "A 6657-2025")</f>
        <v/>
      </c>
      <c r="U359">
        <f>HYPERLINK("https://klasma.github.io/Logging_0883/knärot/A 6657-2025 karta knärot.png", "A 6657-2025")</f>
        <v/>
      </c>
      <c r="V359">
        <f>HYPERLINK("https://klasma.github.io/Logging_0883/klagomål/A 6657-2025 FSC-klagomål.docx", "A 6657-2025")</f>
        <v/>
      </c>
      <c r="W359">
        <f>HYPERLINK("https://klasma.github.io/Logging_0883/klagomålsmail/A 6657-2025 FSC-klagomål mail.docx", "A 6657-2025")</f>
        <v/>
      </c>
      <c r="X359">
        <f>HYPERLINK("https://klasma.github.io/Logging_0883/tillsyn/A 6657-2025 tillsynsbegäran.docx", "A 6657-2025")</f>
        <v/>
      </c>
      <c r="Y359">
        <f>HYPERLINK("https://klasma.github.io/Logging_0883/tillsynsmail/A 6657-2025 tillsynsbegäran mail.docx", "A 6657-2025")</f>
        <v/>
      </c>
    </row>
    <row r="360" ht="15" customHeight="1">
      <c r="A360" t="inlineStr">
        <is>
          <t>A 6634-2025</t>
        </is>
      </c>
      <c r="B360" s="1" t="n">
        <v>45700</v>
      </c>
      <c r="C360" s="1" t="n">
        <v>45843</v>
      </c>
      <c r="D360" t="inlineStr">
        <is>
          <t>KALMAR LÄN</t>
        </is>
      </c>
      <c r="E360" t="inlineStr">
        <is>
          <t>VÄSTERVIK</t>
        </is>
      </c>
      <c r="G360" t="n">
        <v>2.2</v>
      </c>
      <c r="H360" t="n">
        <v>0</v>
      </c>
      <c r="I360" t="n">
        <v>1</v>
      </c>
      <c r="J360" t="n">
        <v>0</v>
      </c>
      <c r="K360" t="n">
        <v>0</v>
      </c>
      <c r="L360" t="n">
        <v>0</v>
      </c>
      <c r="M360" t="n">
        <v>0</v>
      </c>
      <c r="N360" t="n">
        <v>0</v>
      </c>
      <c r="O360" t="n">
        <v>0</v>
      </c>
      <c r="P360" t="n">
        <v>0</v>
      </c>
      <c r="Q360" t="n">
        <v>1</v>
      </c>
      <c r="R360" s="2" t="inlineStr">
        <is>
          <t>Ögonpyrola</t>
        </is>
      </c>
      <c r="S360">
        <f>HYPERLINK("https://klasma.github.io/Logging_0883/artfynd/A 6634-2025 artfynd.xlsx", "A 6634-2025")</f>
        <v/>
      </c>
      <c r="T360">
        <f>HYPERLINK("https://klasma.github.io/Logging_0883/kartor/A 6634-2025 karta.png", "A 6634-2025")</f>
        <v/>
      </c>
      <c r="V360">
        <f>HYPERLINK("https://klasma.github.io/Logging_0883/klagomål/A 6634-2025 FSC-klagomål.docx", "A 6634-2025")</f>
        <v/>
      </c>
      <c r="W360">
        <f>HYPERLINK("https://klasma.github.io/Logging_0883/klagomålsmail/A 6634-2025 FSC-klagomål mail.docx", "A 6634-2025")</f>
        <v/>
      </c>
      <c r="X360">
        <f>HYPERLINK("https://klasma.github.io/Logging_0883/tillsyn/A 6634-2025 tillsynsbegäran.docx", "A 6634-2025")</f>
        <v/>
      </c>
      <c r="Y360">
        <f>HYPERLINK("https://klasma.github.io/Logging_0883/tillsynsmail/A 6634-2025 tillsynsbegäran mail.docx", "A 6634-2025")</f>
        <v/>
      </c>
    </row>
    <row r="361" ht="15" customHeight="1">
      <c r="A361" t="inlineStr">
        <is>
          <t>A 6605-2025</t>
        </is>
      </c>
      <c r="B361" s="1" t="n">
        <v>45700</v>
      </c>
      <c r="C361" s="1" t="n">
        <v>45843</v>
      </c>
      <c r="D361" t="inlineStr">
        <is>
          <t>KALMAR LÄN</t>
        </is>
      </c>
      <c r="E361" t="inlineStr">
        <is>
          <t>VÄSTERVIK</t>
        </is>
      </c>
      <c r="G361" t="n">
        <v>4.5</v>
      </c>
      <c r="H361" t="n">
        <v>0</v>
      </c>
      <c r="I361" t="n">
        <v>1</v>
      </c>
      <c r="J361" t="n">
        <v>0</v>
      </c>
      <c r="K361" t="n">
        <v>0</v>
      </c>
      <c r="L361" t="n">
        <v>0</v>
      </c>
      <c r="M361" t="n">
        <v>0</v>
      </c>
      <c r="N361" t="n">
        <v>0</v>
      </c>
      <c r="O361" t="n">
        <v>0</v>
      </c>
      <c r="P361" t="n">
        <v>0</v>
      </c>
      <c r="Q361" t="n">
        <v>1</v>
      </c>
      <c r="R361" s="2" t="inlineStr">
        <is>
          <t>Dropptaggsvamp</t>
        </is>
      </c>
      <c r="S361">
        <f>HYPERLINK("https://klasma.github.io/Logging_0883/artfynd/A 6605-2025 artfynd.xlsx", "A 6605-2025")</f>
        <v/>
      </c>
      <c r="T361">
        <f>HYPERLINK("https://klasma.github.io/Logging_0883/kartor/A 6605-2025 karta.png", "A 6605-2025")</f>
        <v/>
      </c>
      <c r="V361">
        <f>HYPERLINK("https://klasma.github.io/Logging_0883/klagomål/A 6605-2025 FSC-klagomål.docx", "A 6605-2025")</f>
        <v/>
      </c>
      <c r="W361">
        <f>HYPERLINK("https://klasma.github.io/Logging_0883/klagomålsmail/A 6605-2025 FSC-klagomål mail.docx", "A 6605-2025")</f>
        <v/>
      </c>
      <c r="X361">
        <f>HYPERLINK("https://klasma.github.io/Logging_0883/tillsyn/A 6605-2025 tillsynsbegäran.docx", "A 6605-2025")</f>
        <v/>
      </c>
      <c r="Y361">
        <f>HYPERLINK("https://klasma.github.io/Logging_0883/tillsynsmail/A 6605-2025 tillsynsbegäran mail.docx", "A 6605-2025")</f>
        <v/>
      </c>
    </row>
    <row r="362" ht="15" customHeight="1">
      <c r="A362" t="inlineStr">
        <is>
          <t>A 9261-2025</t>
        </is>
      </c>
      <c r="B362" s="1" t="n">
        <v>45714</v>
      </c>
      <c r="C362" s="1" t="n">
        <v>45843</v>
      </c>
      <c r="D362" t="inlineStr">
        <is>
          <t>KALMAR LÄN</t>
        </is>
      </c>
      <c r="E362" t="inlineStr">
        <is>
          <t>VÄSTERVIK</t>
        </is>
      </c>
      <c r="F362" t="inlineStr">
        <is>
          <t>Sveaskog</t>
        </is>
      </c>
      <c r="G362" t="n">
        <v>4.9</v>
      </c>
      <c r="H362" t="n">
        <v>1</v>
      </c>
      <c r="I362" t="n">
        <v>0</v>
      </c>
      <c r="J362" t="n">
        <v>1</v>
      </c>
      <c r="K362" t="n">
        <v>0</v>
      </c>
      <c r="L362" t="n">
        <v>0</v>
      </c>
      <c r="M362" t="n">
        <v>0</v>
      </c>
      <c r="N362" t="n">
        <v>0</v>
      </c>
      <c r="O362" t="n">
        <v>1</v>
      </c>
      <c r="P362" t="n">
        <v>0</v>
      </c>
      <c r="Q362" t="n">
        <v>1</v>
      </c>
      <c r="R362" s="2" t="inlineStr">
        <is>
          <t>Havsörn</t>
        </is>
      </c>
      <c r="S362">
        <f>HYPERLINK("https://klasma.github.io/Logging_0883/artfynd/A 9261-2025 artfynd.xlsx", "A 9261-2025")</f>
        <v/>
      </c>
      <c r="T362">
        <f>HYPERLINK("https://klasma.github.io/Logging_0883/kartor/A 9261-2025 karta.png", "A 9261-2025")</f>
        <v/>
      </c>
      <c r="V362">
        <f>HYPERLINK("https://klasma.github.io/Logging_0883/klagomål/A 9261-2025 FSC-klagomål.docx", "A 9261-2025")</f>
        <v/>
      </c>
      <c r="W362">
        <f>HYPERLINK("https://klasma.github.io/Logging_0883/klagomålsmail/A 9261-2025 FSC-klagomål mail.docx", "A 9261-2025")</f>
        <v/>
      </c>
      <c r="X362">
        <f>HYPERLINK("https://klasma.github.io/Logging_0883/tillsyn/A 9261-2025 tillsynsbegäran.docx", "A 9261-2025")</f>
        <v/>
      </c>
      <c r="Y362">
        <f>HYPERLINK("https://klasma.github.io/Logging_0883/tillsynsmail/A 9261-2025 tillsynsbegäran mail.docx", "A 9261-2025")</f>
        <v/>
      </c>
      <c r="Z362">
        <f>HYPERLINK("https://klasma.github.io/Logging_0883/fåglar/A 9261-2025 prioriterade fågelarter.docx", "A 9261-2025")</f>
        <v/>
      </c>
    </row>
    <row r="363" ht="15" customHeight="1">
      <c r="A363" t="inlineStr">
        <is>
          <t>A 9265-2025</t>
        </is>
      </c>
      <c r="B363" s="1" t="n">
        <v>45714</v>
      </c>
      <c r="C363" s="1" t="n">
        <v>45843</v>
      </c>
      <c r="D363" t="inlineStr">
        <is>
          <t>KALMAR LÄN</t>
        </is>
      </c>
      <c r="E363" t="inlineStr">
        <is>
          <t>VÄSTERVIK</t>
        </is>
      </c>
      <c r="F363" t="inlineStr">
        <is>
          <t>Sveaskog</t>
        </is>
      </c>
      <c r="G363" t="n">
        <v>2.2</v>
      </c>
      <c r="H363" t="n">
        <v>1</v>
      </c>
      <c r="I363" t="n">
        <v>0</v>
      </c>
      <c r="J363" t="n">
        <v>1</v>
      </c>
      <c r="K363" t="n">
        <v>0</v>
      </c>
      <c r="L363" t="n">
        <v>0</v>
      </c>
      <c r="M363" t="n">
        <v>0</v>
      </c>
      <c r="N363" t="n">
        <v>0</v>
      </c>
      <c r="O363" t="n">
        <v>1</v>
      </c>
      <c r="P363" t="n">
        <v>0</v>
      </c>
      <c r="Q363" t="n">
        <v>1</v>
      </c>
      <c r="R363" s="2" t="inlineStr">
        <is>
          <t>Havsörn</t>
        </is>
      </c>
      <c r="S363">
        <f>HYPERLINK("https://klasma.github.io/Logging_0883/artfynd/A 9265-2025 artfynd.xlsx", "A 9265-2025")</f>
        <v/>
      </c>
      <c r="T363">
        <f>HYPERLINK("https://klasma.github.io/Logging_0883/kartor/A 9265-2025 karta.png", "A 9265-2025")</f>
        <v/>
      </c>
      <c r="V363">
        <f>HYPERLINK("https://klasma.github.io/Logging_0883/klagomål/A 9265-2025 FSC-klagomål.docx", "A 9265-2025")</f>
        <v/>
      </c>
      <c r="W363">
        <f>HYPERLINK("https://klasma.github.io/Logging_0883/klagomålsmail/A 9265-2025 FSC-klagomål mail.docx", "A 9265-2025")</f>
        <v/>
      </c>
      <c r="X363">
        <f>HYPERLINK("https://klasma.github.io/Logging_0883/tillsyn/A 9265-2025 tillsynsbegäran.docx", "A 9265-2025")</f>
        <v/>
      </c>
      <c r="Y363">
        <f>HYPERLINK("https://klasma.github.io/Logging_0883/tillsynsmail/A 9265-2025 tillsynsbegäran mail.docx", "A 9265-2025")</f>
        <v/>
      </c>
      <c r="Z363">
        <f>HYPERLINK("https://klasma.github.io/Logging_0883/fåglar/A 9265-2025 prioriterade fågelarter.docx", "A 9265-2025")</f>
        <v/>
      </c>
    </row>
    <row r="364" ht="15" customHeight="1">
      <c r="A364" t="inlineStr">
        <is>
          <t>A 9571-2025</t>
        </is>
      </c>
      <c r="B364" s="1" t="n">
        <v>45715</v>
      </c>
      <c r="C364" s="1" t="n">
        <v>45843</v>
      </c>
      <c r="D364" t="inlineStr">
        <is>
          <t>KALMAR LÄN</t>
        </is>
      </c>
      <c r="E364" t="inlineStr">
        <is>
          <t>VÄSTERVIK</t>
        </is>
      </c>
      <c r="G364" t="n">
        <v>12</v>
      </c>
      <c r="H364" t="n">
        <v>1</v>
      </c>
      <c r="I364" t="n">
        <v>0</v>
      </c>
      <c r="J364" t="n">
        <v>0</v>
      </c>
      <c r="K364" t="n">
        <v>0</v>
      </c>
      <c r="L364" t="n">
        <v>0</v>
      </c>
      <c r="M364" t="n">
        <v>0</v>
      </c>
      <c r="N364" t="n">
        <v>0</v>
      </c>
      <c r="O364" t="n">
        <v>0</v>
      </c>
      <c r="P364" t="n">
        <v>0</v>
      </c>
      <c r="Q364" t="n">
        <v>1</v>
      </c>
      <c r="R364" s="2" t="inlineStr">
        <is>
          <t>Revlummer</t>
        </is>
      </c>
      <c r="S364">
        <f>HYPERLINK("https://klasma.github.io/Logging_080883/artfynd/A 9571-2025 artfynd.xlsx", "A 9571-2025")</f>
        <v/>
      </c>
      <c r="T364">
        <f>HYPERLINK("https://klasma.github.io/Logging_080883/kartor/A 9571-2025 karta.png", "A 9571-2025")</f>
        <v/>
      </c>
      <c r="V364">
        <f>HYPERLINK("https://klasma.github.io/Logging_080883/klagomål/A 9571-2025 FSC-klagomål.docx", "A 9571-2025")</f>
        <v/>
      </c>
      <c r="W364">
        <f>HYPERLINK("https://klasma.github.io/Logging_080883/klagomålsmail/A 9571-2025 FSC-klagomål mail.docx", "A 9571-2025")</f>
        <v/>
      </c>
      <c r="X364">
        <f>HYPERLINK("https://klasma.github.io/Logging_080883/tillsyn/A 9571-2025 tillsynsbegäran.docx", "A 9571-2025")</f>
        <v/>
      </c>
      <c r="Y364">
        <f>HYPERLINK("https://klasma.github.io/Logging_080883/tillsynsmail/A 9571-2025 tillsynsbegäran mail.docx", "A 9571-2025")</f>
        <v/>
      </c>
    </row>
    <row r="365" ht="15" customHeight="1">
      <c r="A365" t="inlineStr">
        <is>
          <t>A 10768-2025</t>
        </is>
      </c>
      <c r="B365" s="1" t="n">
        <v>45722</v>
      </c>
      <c r="C365" s="1" t="n">
        <v>45843</v>
      </c>
      <c r="D365" t="inlineStr">
        <is>
          <t>KALMAR LÄN</t>
        </is>
      </c>
      <c r="E365" t="inlineStr">
        <is>
          <t>VÄSTERVIK</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HYPERLINK("https://klasma.github.io/Logging_080883/artfynd/A 10768-2025 artfynd.xlsx", "A 10768-2025")</f>
        <v/>
      </c>
      <c r="T365">
        <f>HYPERLINK("https://klasma.github.io/Logging_080883/kartor/A 10768-2025 karta.png", "A 10768-2025")</f>
        <v/>
      </c>
      <c r="V365">
        <f>HYPERLINK("https://klasma.github.io/Logging_080883/klagomål/A 10768-2025 FSC-klagomål.docx", "A 10768-2025")</f>
        <v/>
      </c>
      <c r="W365">
        <f>HYPERLINK("https://klasma.github.io/Logging_080883/klagomålsmail/A 10768-2025 FSC-klagomål mail.docx", "A 10768-2025")</f>
        <v/>
      </c>
      <c r="X365">
        <f>HYPERLINK("https://klasma.github.io/Logging_080883/tillsyn/A 10768-2025 tillsynsbegäran.docx", "A 10768-2025")</f>
        <v/>
      </c>
      <c r="Y365">
        <f>HYPERLINK("https://klasma.github.io/Logging_080883/tillsynsmail/A 10768-2025 tillsynsbegäran mail.docx", "A 10768-2025")</f>
        <v/>
      </c>
      <c r="Z365">
        <f>HYPERLINK("https://klasma.github.io/Logging_080883/fåglar/A 10768-2025 prioriterade fågelarter.docx", "A 10768-2025")</f>
        <v/>
      </c>
    </row>
    <row r="366" ht="15" customHeight="1">
      <c r="A366" t="inlineStr">
        <is>
          <t>A 12292-2025</t>
        </is>
      </c>
      <c r="B366" s="1" t="n">
        <v>45729</v>
      </c>
      <c r="C366" s="1" t="n">
        <v>45843</v>
      </c>
      <c r="D366" t="inlineStr">
        <is>
          <t>KALMAR LÄN</t>
        </is>
      </c>
      <c r="E366" t="inlineStr">
        <is>
          <t>VÄSTERVIK</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HYPERLINK("https://klasma.github.io/Logging_080883/artfynd/A 12292-2025 artfynd.xlsx", "A 12292-2025")</f>
        <v/>
      </c>
      <c r="T366">
        <f>HYPERLINK("https://klasma.github.io/Logging_080883/kartor/A 12292-2025 karta.png", "A 12292-2025")</f>
        <v/>
      </c>
      <c r="U366">
        <f>HYPERLINK("https://klasma.github.io/Logging_080883/knärot/A 12292-2025 karta knärot.png", "A 12292-2025")</f>
        <v/>
      </c>
      <c r="V366">
        <f>HYPERLINK("https://klasma.github.io/Logging_080883/klagomål/A 12292-2025 FSC-klagomål.docx", "A 12292-2025")</f>
        <v/>
      </c>
      <c r="W366">
        <f>HYPERLINK("https://klasma.github.io/Logging_080883/klagomålsmail/A 12292-2025 FSC-klagomål mail.docx", "A 12292-2025")</f>
        <v/>
      </c>
      <c r="X366">
        <f>HYPERLINK("https://klasma.github.io/Logging_080883/tillsyn/A 12292-2025 tillsynsbegäran.docx", "A 12292-2025")</f>
        <v/>
      </c>
      <c r="Y366">
        <f>HYPERLINK("https://klasma.github.io/Logging_080883/tillsynsmail/A 12292-2025 tillsynsbegäran mail.docx", "A 12292-2025")</f>
        <v/>
      </c>
    </row>
    <row r="367" ht="15" customHeight="1">
      <c r="A367" t="inlineStr">
        <is>
          <t>A 13107-2025</t>
        </is>
      </c>
      <c r="B367" s="1" t="n">
        <v>45734</v>
      </c>
      <c r="C367" s="1" t="n">
        <v>45843</v>
      </c>
      <c r="D367" t="inlineStr">
        <is>
          <t>KALMAR LÄN</t>
        </is>
      </c>
      <c r="E367" t="inlineStr">
        <is>
          <t>VÄSTERVIK</t>
        </is>
      </c>
      <c r="G367" t="n">
        <v>1</v>
      </c>
      <c r="H367" t="n">
        <v>1</v>
      </c>
      <c r="I367" t="n">
        <v>0</v>
      </c>
      <c r="J367" t="n">
        <v>0</v>
      </c>
      <c r="K367" t="n">
        <v>0</v>
      </c>
      <c r="L367" t="n">
        <v>0</v>
      </c>
      <c r="M367" t="n">
        <v>0</v>
      </c>
      <c r="N367" t="n">
        <v>0</v>
      </c>
      <c r="O367" t="n">
        <v>0</v>
      </c>
      <c r="P367" t="n">
        <v>0</v>
      </c>
      <c r="Q367" t="n">
        <v>1</v>
      </c>
      <c r="R367" s="2" t="inlineStr">
        <is>
          <t>Vanlig groda</t>
        </is>
      </c>
      <c r="S367">
        <f>HYPERLINK("https://klasma.github.io/Logging_080883/artfynd/A 13107-2025 artfynd.xlsx", "A 13107-2025")</f>
        <v/>
      </c>
      <c r="T367">
        <f>HYPERLINK("https://klasma.github.io/Logging_080883/kartor/A 13107-2025 karta.png", "A 13107-2025")</f>
        <v/>
      </c>
      <c r="V367">
        <f>HYPERLINK("https://klasma.github.io/Logging_080883/klagomål/A 13107-2025 FSC-klagomål.docx", "A 13107-2025")</f>
        <v/>
      </c>
      <c r="W367">
        <f>HYPERLINK("https://klasma.github.io/Logging_080883/klagomålsmail/A 13107-2025 FSC-klagomål mail.docx", "A 13107-2025")</f>
        <v/>
      </c>
      <c r="X367">
        <f>HYPERLINK("https://klasma.github.io/Logging_080883/tillsyn/A 13107-2025 tillsynsbegäran.docx", "A 13107-2025")</f>
        <v/>
      </c>
      <c r="Y367">
        <f>HYPERLINK("https://klasma.github.io/Logging_080883/tillsynsmail/A 13107-2025 tillsynsbegäran mail.docx", "A 13107-2025")</f>
        <v/>
      </c>
    </row>
    <row r="368" ht="15" customHeight="1">
      <c r="A368" t="inlineStr">
        <is>
          <t>A 13352-2025</t>
        </is>
      </c>
      <c r="B368" s="1" t="n">
        <v>45735</v>
      </c>
      <c r="C368" s="1" t="n">
        <v>45843</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13352-2025 artfynd.xlsx", "A 13352-2025")</f>
        <v/>
      </c>
      <c r="T368">
        <f>HYPERLINK("https://klasma.github.io/Logging_080883/kartor/A 13352-2025 karta.png", "A 13352-2025")</f>
        <v/>
      </c>
      <c r="U368">
        <f>HYPERLINK("https://klasma.github.io/Logging_080883/knärot/A 13352-2025 karta knärot.png", "A 13352-2025")</f>
        <v/>
      </c>
      <c r="V368">
        <f>HYPERLINK("https://klasma.github.io/Logging_080883/klagomål/A 13352-2025 FSC-klagomål.docx", "A 13352-2025")</f>
        <v/>
      </c>
      <c r="W368">
        <f>HYPERLINK("https://klasma.github.io/Logging_080883/klagomålsmail/A 13352-2025 FSC-klagomål mail.docx", "A 13352-2025")</f>
        <v/>
      </c>
      <c r="X368">
        <f>HYPERLINK("https://klasma.github.io/Logging_080883/tillsyn/A 13352-2025 tillsynsbegäran.docx", "A 13352-2025")</f>
        <v/>
      </c>
      <c r="Y368">
        <f>HYPERLINK("https://klasma.github.io/Logging_080883/tillsynsmail/A 13352-2025 tillsynsbegäran mail.docx", "A 13352-2025")</f>
        <v/>
      </c>
    </row>
    <row r="369" ht="15" customHeight="1">
      <c r="A369" t="inlineStr">
        <is>
          <t>A 14082-2025</t>
        </is>
      </c>
      <c r="B369" s="1" t="n">
        <v>45740</v>
      </c>
      <c r="C369" s="1" t="n">
        <v>45843</v>
      </c>
      <c r="D369" t="inlineStr">
        <is>
          <t>KALMAR LÄN</t>
        </is>
      </c>
      <c r="E369" t="inlineStr">
        <is>
          <t>VÄSTERVIK</t>
        </is>
      </c>
      <c r="F369" t="inlineStr">
        <is>
          <t>Sveaskog</t>
        </is>
      </c>
      <c r="G369" t="n">
        <v>1.2</v>
      </c>
      <c r="H369" t="n">
        <v>0</v>
      </c>
      <c r="I369" t="n">
        <v>0</v>
      </c>
      <c r="J369" t="n">
        <v>1</v>
      </c>
      <c r="K369" t="n">
        <v>0</v>
      </c>
      <c r="L369" t="n">
        <v>0</v>
      </c>
      <c r="M369" t="n">
        <v>0</v>
      </c>
      <c r="N369" t="n">
        <v>0</v>
      </c>
      <c r="O369" t="n">
        <v>1</v>
      </c>
      <c r="P369" t="n">
        <v>0</v>
      </c>
      <c r="Q369" t="n">
        <v>1</v>
      </c>
      <c r="R369" s="2" t="inlineStr">
        <is>
          <t>Bredbrämad bastardsvärmare</t>
        </is>
      </c>
      <c r="S369">
        <f>HYPERLINK("https://klasma.github.io/Logging_080883/artfynd/A 14082-2025 artfynd.xlsx", "A 14082-2025")</f>
        <v/>
      </c>
      <c r="T369">
        <f>HYPERLINK("https://klasma.github.io/Logging_080883/kartor/A 14082-2025 karta.png", "A 14082-2025")</f>
        <v/>
      </c>
      <c r="V369">
        <f>HYPERLINK("https://klasma.github.io/Logging_080883/klagomål/A 14082-2025 FSC-klagomål.docx", "A 14082-2025")</f>
        <v/>
      </c>
      <c r="W369">
        <f>HYPERLINK("https://klasma.github.io/Logging_080883/klagomålsmail/A 14082-2025 FSC-klagomål mail.docx", "A 14082-2025")</f>
        <v/>
      </c>
      <c r="X369">
        <f>HYPERLINK("https://klasma.github.io/Logging_080883/tillsyn/A 14082-2025 tillsynsbegäran.docx", "A 14082-2025")</f>
        <v/>
      </c>
      <c r="Y369">
        <f>HYPERLINK("https://klasma.github.io/Logging_080883/tillsynsmail/A 14082-2025 tillsynsbegäran mail.docx", "A 14082-2025")</f>
        <v/>
      </c>
    </row>
    <row r="370" ht="15" customHeight="1">
      <c r="A370" t="inlineStr">
        <is>
          <t>A 14131-2025</t>
        </is>
      </c>
      <c r="B370" s="1" t="n">
        <v>45740</v>
      </c>
      <c r="C370" s="1" t="n">
        <v>45843</v>
      </c>
      <c r="D370" t="inlineStr">
        <is>
          <t>KALMAR LÄN</t>
        </is>
      </c>
      <c r="E370" t="inlineStr">
        <is>
          <t>VÄSTERVIK</t>
        </is>
      </c>
      <c r="F370" t="inlineStr">
        <is>
          <t>Sveaskog</t>
        </is>
      </c>
      <c r="G370" t="n">
        <v>0.7</v>
      </c>
      <c r="H370" t="n">
        <v>1</v>
      </c>
      <c r="I370" t="n">
        <v>0</v>
      </c>
      <c r="J370" t="n">
        <v>0</v>
      </c>
      <c r="K370" t="n">
        <v>0</v>
      </c>
      <c r="L370" t="n">
        <v>0</v>
      </c>
      <c r="M370" t="n">
        <v>0</v>
      </c>
      <c r="N370" t="n">
        <v>0</v>
      </c>
      <c r="O370" t="n">
        <v>0</v>
      </c>
      <c r="P370" t="n">
        <v>0</v>
      </c>
      <c r="Q370" t="n">
        <v>1</v>
      </c>
      <c r="R370" s="2" t="inlineStr">
        <is>
          <t>Blåsippa</t>
        </is>
      </c>
      <c r="S370">
        <f>HYPERLINK("https://klasma.github.io/Logging_080883/artfynd/A 14131-2025 artfynd.xlsx", "A 14131-2025")</f>
        <v/>
      </c>
      <c r="T370">
        <f>HYPERLINK("https://klasma.github.io/Logging_080883/kartor/A 14131-2025 karta.png", "A 14131-2025")</f>
        <v/>
      </c>
      <c r="V370">
        <f>HYPERLINK("https://klasma.github.io/Logging_080883/klagomål/A 14131-2025 FSC-klagomål.docx", "A 14131-2025")</f>
        <v/>
      </c>
      <c r="W370">
        <f>HYPERLINK("https://klasma.github.io/Logging_080883/klagomålsmail/A 14131-2025 FSC-klagomål mail.docx", "A 14131-2025")</f>
        <v/>
      </c>
      <c r="X370">
        <f>HYPERLINK("https://klasma.github.io/Logging_080883/tillsyn/A 14131-2025 tillsynsbegäran.docx", "A 14131-2025")</f>
        <v/>
      </c>
      <c r="Y370">
        <f>HYPERLINK("https://klasma.github.io/Logging_080883/tillsynsmail/A 14131-2025 tillsynsbegäran mail.docx", "A 14131-2025")</f>
        <v/>
      </c>
    </row>
    <row r="371" ht="15" customHeight="1">
      <c r="A371" t="inlineStr">
        <is>
          <t>A 14089-2025</t>
        </is>
      </c>
      <c r="B371" s="1" t="n">
        <v>45740</v>
      </c>
      <c r="C371" s="1" t="n">
        <v>45843</v>
      </c>
      <c r="D371" t="inlineStr">
        <is>
          <t>KALMAR LÄN</t>
        </is>
      </c>
      <c r="E371" t="inlineStr">
        <is>
          <t>VÄSTERVIK</t>
        </is>
      </c>
      <c r="F371" t="inlineStr">
        <is>
          <t>Sveaskog</t>
        </is>
      </c>
      <c r="G371" t="n">
        <v>1.3</v>
      </c>
      <c r="H371" t="n">
        <v>1</v>
      </c>
      <c r="I371" t="n">
        <v>0</v>
      </c>
      <c r="J371" t="n">
        <v>1</v>
      </c>
      <c r="K371" t="n">
        <v>0</v>
      </c>
      <c r="L371" t="n">
        <v>0</v>
      </c>
      <c r="M371" t="n">
        <v>0</v>
      </c>
      <c r="N371" t="n">
        <v>0</v>
      </c>
      <c r="O371" t="n">
        <v>1</v>
      </c>
      <c r="P371" t="n">
        <v>0</v>
      </c>
      <c r="Q371" t="n">
        <v>1</v>
      </c>
      <c r="R371" s="2" t="inlineStr">
        <is>
          <t>Spillkråka</t>
        </is>
      </c>
      <c r="S371">
        <f>HYPERLINK("https://klasma.github.io/Logging_080883/artfynd/A 14089-2025 artfynd.xlsx", "A 14089-2025")</f>
        <v/>
      </c>
      <c r="T371">
        <f>HYPERLINK("https://klasma.github.io/Logging_080883/kartor/A 14089-2025 karta.png", "A 14089-2025")</f>
        <v/>
      </c>
      <c r="V371">
        <f>HYPERLINK("https://klasma.github.io/Logging_080883/klagomål/A 14089-2025 FSC-klagomål.docx", "A 14089-2025")</f>
        <v/>
      </c>
      <c r="W371">
        <f>HYPERLINK("https://klasma.github.io/Logging_080883/klagomålsmail/A 14089-2025 FSC-klagomål mail.docx", "A 14089-2025")</f>
        <v/>
      </c>
      <c r="X371">
        <f>HYPERLINK("https://klasma.github.io/Logging_080883/tillsyn/A 14089-2025 tillsynsbegäran.docx", "A 14089-2025")</f>
        <v/>
      </c>
      <c r="Y371">
        <f>HYPERLINK("https://klasma.github.io/Logging_080883/tillsynsmail/A 14089-2025 tillsynsbegäran mail.docx", "A 14089-2025")</f>
        <v/>
      </c>
      <c r="Z371">
        <f>HYPERLINK("https://klasma.github.io/Logging_080883/fåglar/A 14089-2025 prioriterade fågelarter.docx", "A 14089-2025")</f>
        <v/>
      </c>
    </row>
    <row r="372" ht="15" customHeight="1">
      <c r="A372" t="inlineStr">
        <is>
          <t>A 14103-2025</t>
        </is>
      </c>
      <c r="B372" s="1" t="n">
        <v>45740</v>
      </c>
      <c r="C372" s="1" t="n">
        <v>45843</v>
      </c>
      <c r="D372" t="inlineStr">
        <is>
          <t>KALMAR LÄN</t>
        </is>
      </c>
      <c r="E372" t="inlineStr">
        <is>
          <t>VÄSTERVIK</t>
        </is>
      </c>
      <c r="F372" t="inlineStr">
        <is>
          <t>Sveaskog</t>
        </is>
      </c>
      <c r="G372" t="n">
        <v>0.8</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14103-2025 artfynd.xlsx", "A 14103-2025")</f>
        <v/>
      </c>
      <c r="T372">
        <f>HYPERLINK("https://klasma.github.io/Logging_080883/kartor/A 14103-2025 karta.png", "A 14103-2025")</f>
        <v/>
      </c>
      <c r="V372">
        <f>HYPERLINK("https://klasma.github.io/Logging_080883/klagomål/A 14103-2025 FSC-klagomål.docx", "A 14103-2025")</f>
        <v/>
      </c>
      <c r="W372">
        <f>HYPERLINK("https://klasma.github.io/Logging_080883/klagomålsmail/A 14103-2025 FSC-klagomål mail.docx", "A 14103-2025")</f>
        <v/>
      </c>
      <c r="X372">
        <f>HYPERLINK("https://klasma.github.io/Logging_080883/tillsyn/A 14103-2025 tillsynsbegäran.docx", "A 14103-2025")</f>
        <v/>
      </c>
      <c r="Y372">
        <f>HYPERLINK("https://klasma.github.io/Logging_080883/tillsynsmail/A 14103-2025 tillsynsbegäran mail.docx", "A 14103-2025")</f>
        <v/>
      </c>
    </row>
    <row r="373" ht="15" customHeight="1">
      <c r="A373" t="inlineStr">
        <is>
          <t>A 14592-2025</t>
        </is>
      </c>
      <c r="B373" s="1" t="n">
        <v>45742</v>
      </c>
      <c r="C373" s="1" t="n">
        <v>45843</v>
      </c>
      <c r="D373" t="inlineStr">
        <is>
          <t>KALMAR LÄN</t>
        </is>
      </c>
      <c r="E373" t="inlineStr">
        <is>
          <t>VÄSTERVIK</t>
        </is>
      </c>
      <c r="G373" t="n">
        <v>2.6</v>
      </c>
      <c r="H373" t="n">
        <v>1</v>
      </c>
      <c r="I373" t="n">
        <v>0</v>
      </c>
      <c r="J373" t="n">
        <v>0</v>
      </c>
      <c r="K373" t="n">
        <v>1</v>
      </c>
      <c r="L373" t="n">
        <v>0</v>
      </c>
      <c r="M373" t="n">
        <v>0</v>
      </c>
      <c r="N373" t="n">
        <v>0</v>
      </c>
      <c r="O373" t="n">
        <v>1</v>
      </c>
      <c r="P373" t="n">
        <v>1</v>
      </c>
      <c r="Q373" t="n">
        <v>1</v>
      </c>
      <c r="R373" s="2" t="inlineStr">
        <is>
          <t>Knärot</t>
        </is>
      </c>
      <c r="S373">
        <f>HYPERLINK("https://klasma.github.io/Logging_080883/artfynd/A 14592-2025 artfynd.xlsx", "A 14592-2025")</f>
        <v/>
      </c>
      <c r="T373">
        <f>HYPERLINK("https://klasma.github.io/Logging_080883/kartor/A 14592-2025 karta.png", "A 14592-2025")</f>
        <v/>
      </c>
      <c r="U373">
        <f>HYPERLINK("https://klasma.github.io/Logging_080883/knärot/A 14592-2025 karta knärot.png", "A 14592-2025")</f>
        <v/>
      </c>
      <c r="V373">
        <f>HYPERLINK("https://klasma.github.io/Logging_080883/klagomål/A 14592-2025 FSC-klagomål.docx", "A 14592-2025")</f>
        <v/>
      </c>
      <c r="W373">
        <f>HYPERLINK("https://klasma.github.io/Logging_080883/klagomålsmail/A 14592-2025 FSC-klagomål mail.docx", "A 14592-2025")</f>
        <v/>
      </c>
      <c r="X373">
        <f>HYPERLINK("https://klasma.github.io/Logging_080883/tillsyn/A 14592-2025 tillsynsbegäran.docx", "A 14592-2025")</f>
        <v/>
      </c>
      <c r="Y373">
        <f>HYPERLINK("https://klasma.github.io/Logging_080883/tillsynsmail/A 14592-2025 tillsynsbegäran mail.docx", "A 14592-2025")</f>
        <v/>
      </c>
    </row>
    <row r="374" ht="15" customHeight="1">
      <c r="A374" t="inlineStr">
        <is>
          <t>A 16695-2025</t>
        </is>
      </c>
      <c r="B374" s="1" t="n">
        <v>45754</v>
      </c>
      <c r="C374" s="1" t="n">
        <v>45843</v>
      </c>
      <c r="D374" t="inlineStr">
        <is>
          <t>KALMAR LÄN</t>
        </is>
      </c>
      <c r="E374" t="inlineStr">
        <is>
          <t>VÄSTERVIK</t>
        </is>
      </c>
      <c r="F374" t="inlineStr">
        <is>
          <t>Sveaskog</t>
        </is>
      </c>
      <c r="G374" t="n">
        <v>1.8</v>
      </c>
      <c r="H374" t="n">
        <v>1</v>
      </c>
      <c r="I374" t="n">
        <v>0</v>
      </c>
      <c r="J374" t="n">
        <v>0</v>
      </c>
      <c r="K374" t="n">
        <v>0</v>
      </c>
      <c r="L374" t="n">
        <v>0</v>
      </c>
      <c r="M374" t="n">
        <v>0</v>
      </c>
      <c r="N374" t="n">
        <v>0</v>
      </c>
      <c r="O374" t="n">
        <v>0</v>
      </c>
      <c r="P374" t="n">
        <v>0</v>
      </c>
      <c r="Q374" t="n">
        <v>1</v>
      </c>
      <c r="R374" s="2" t="inlineStr">
        <is>
          <t>Kungsfågel</t>
        </is>
      </c>
      <c r="S374">
        <f>HYPERLINK("https://klasma.github.io/Logging_080883/artfynd/A 16695-2025 artfynd.xlsx", "A 16695-2025")</f>
        <v/>
      </c>
      <c r="T374">
        <f>HYPERLINK("https://klasma.github.io/Logging_080883/kartor/A 16695-2025 karta.png", "A 16695-2025")</f>
        <v/>
      </c>
      <c r="V374">
        <f>HYPERLINK("https://klasma.github.io/Logging_080883/klagomål/A 16695-2025 FSC-klagomål.docx", "A 16695-2025")</f>
        <v/>
      </c>
      <c r="W374">
        <f>HYPERLINK("https://klasma.github.io/Logging_080883/klagomålsmail/A 16695-2025 FSC-klagomål mail.docx", "A 16695-2025")</f>
        <v/>
      </c>
      <c r="X374">
        <f>HYPERLINK("https://klasma.github.io/Logging_080883/tillsyn/A 16695-2025 tillsynsbegäran.docx", "A 16695-2025")</f>
        <v/>
      </c>
      <c r="Y374">
        <f>HYPERLINK("https://klasma.github.io/Logging_080883/tillsynsmail/A 16695-2025 tillsynsbegäran mail.docx", "A 16695-2025")</f>
        <v/>
      </c>
      <c r="Z374">
        <f>HYPERLINK("https://klasma.github.io/Logging_080883/fåglar/A 16695-2025 prioriterade fågelarter.docx", "A 16695-2025")</f>
        <v/>
      </c>
    </row>
    <row r="375" ht="15" customHeight="1">
      <c r="A375" t="inlineStr">
        <is>
          <t>A 16697-2025</t>
        </is>
      </c>
      <c r="B375" s="1" t="n">
        <v>45754</v>
      </c>
      <c r="C375" s="1" t="n">
        <v>45843</v>
      </c>
      <c r="D375" t="inlineStr">
        <is>
          <t>KALMAR LÄN</t>
        </is>
      </c>
      <c r="E375" t="inlineStr">
        <is>
          <t>VÄSTERVIK</t>
        </is>
      </c>
      <c r="F375" t="inlineStr">
        <is>
          <t>Sveaskog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HYPERLINK("https://klasma.github.io/Logging_080883/artfynd/A 16697-2025 artfynd.xlsx", "A 16697-2025")</f>
        <v/>
      </c>
      <c r="T375">
        <f>HYPERLINK("https://klasma.github.io/Logging_080883/kartor/A 16697-2025 karta.png", "A 16697-2025")</f>
        <v/>
      </c>
      <c r="V375">
        <f>HYPERLINK("https://klasma.github.io/Logging_080883/klagomål/A 16697-2025 FSC-klagomål.docx", "A 16697-2025")</f>
        <v/>
      </c>
      <c r="W375">
        <f>HYPERLINK("https://klasma.github.io/Logging_080883/klagomålsmail/A 16697-2025 FSC-klagomål mail.docx", "A 16697-2025")</f>
        <v/>
      </c>
      <c r="X375">
        <f>HYPERLINK("https://klasma.github.io/Logging_080883/tillsyn/A 16697-2025 tillsynsbegäran.docx", "A 16697-2025")</f>
        <v/>
      </c>
      <c r="Y375">
        <f>HYPERLINK("https://klasma.github.io/Logging_080883/tillsynsmail/A 16697-2025 tillsynsbegäran mail.docx", "A 16697-2025")</f>
        <v/>
      </c>
      <c r="Z375">
        <f>HYPERLINK("https://klasma.github.io/Logging_080883/fåglar/A 16697-2025 prioriterade fågelarter.docx", "A 16697-2025")</f>
        <v/>
      </c>
    </row>
    <row r="376" ht="15" customHeight="1">
      <c r="A376" t="inlineStr">
        <is>
          <t>A 17953-2025</t>
        </is>
      </c>
      <c r="B376" s="1" t="n">
        <v>45760</v>
      </c>
      <c r="C376" s="1" t="n">
        <v>45843</v>
      </c>
      <c r="D376" t="inlineStr">
        <is>
          <t>KALMAR LÄN</t>
        </is>
      </c>
      <c r="E376" t="inlineStr">
        <is>
          <t>VÄSTERVIK</t>
        </is>
      </c>
      <c r="G376" t="n">
        <v>4.1</v>
      </c>
      <c r="H376" t="n">
        <v>1</v>
      </c>
      <c r="I376" t="n">
        <v>0</v>
      </c>
      <c r="J376" t="n">
        <v>1</v>
      </c>
      <c r="K376" t="n">
        <v>0</v>
      </c>
      <c r="L376" t="n">
        <v>0</v>
      </c>
      <c r="M376" t="n">
        <v>0</v>
      </c>
      <c r="N376" t="n">
        <v>0</v>
      </c>
      <c r="O376" t="n">
        <v>1</v>
      </c>
      <c r="P376" t="n">
        <v>0</v>
      </c>
      <c r="Q376" t="n">
        <v>1</v>
      </c>
      <c r="R376" s="2" t="inlineStr">
        <is>
          <t>Talltita</t>
        </is>
      </c>
      <c r="S376">
        <f>HYPERLINK("https://klasma.github.io/Logging_080883/artfynd/A 17953-2025 artfynd.xlsx", "A 17953-2025")</f>
        <v/>
      </c>
      <c r="T376">
        <f>HYPERLINK("https://klasma.github.io/Logging_080883/kartor/A 17953-2025 karta.png", "A 17953-2025")</f>
        <v/>
      </c>
      <c r="V376">
        <f>HYPERLINK("https://klasma.github.io/Logging_080883/klagomål/A 17953-2025 FSC-klagomål.docx", "A 17953-2025")</f>
        <v/>
      </c>
      <c r="W376">
        <f>HYPERLINK("https://klasma.github.io/Logging_080883/klagomålsmail/A 17953-2025 FSC-klagomål mail.docx", "A 17953-2025")</f>
        <v/>
      </c>
      <c r="X376">
        <f>HYPERLINK("https://klasma.github.io/Logging_080883/tillsyn/A 17953-2025 tillsynsbegäran.docx", "A 17953-2025")</f>
        <v/>
      </c>
      <c r="Y376">
        <f>HYPERLINK("https://klasma.github.io/Logging_080883/tillsynsmail/A 17953-2025 tillsynsbegäran mail.docx", "A 17953-2025")</f>
        <v/>
      </c>
      <c r="Z376">
        <f>HYPERLINK("https://klasma.github.io/Logging_080883/fåglar/A 17953-2025 prioriterade fågelarter.docx", "A 17953-2025")</f>
        <v/>
      </c>
    </row>
    <row r="377" ht="15" customHeight="1">
      <c r="A377" t="inlineStr">
        <is>
          <t>A 17952-2025</t>
        </is>
      </c>
      <c r="B377" s="1" t="n">
        <v>45760</v>
      </c>
      <c r="C377" s="1" t="n">
        <v>45843</v>
      </c>
      <c r="D377" t="inlineStr">
        <is>
          <t>KALMAR LÄN</t>
        </is>
      </c>
      <c r="E377" t="inlineStr">
        <is>
          <t>VÄSTERVIK</t>
        </is>
      </c>
      <c r="G377" t="n">
        <v>3.3</v>
      </c>
      <c r="H377" t="n">
        <v>1</v>
      </c>
      <c r="I377" t="n">
        <v>0</v>
      </c>
      <c r="J377" t="n">
        <v>0</v>
      </c>
      <c r="K377" t="n">
        <v>0</v>
      </c>
      <c r="L377" t="n">
        <v>0</v>
      </c>
      <c r="M377" t="n">
        <v>0</v>
      </c>
      <c r="N377" t="n">
        <v>0</v>
      </c>
      <c r="O377" t="n">
        <v>0</v>
      </c>
      <c r="P377" t="n">
        <v>0</v>
      </c>
      <c r="Q377" t="n">
        <v>1</v>
      </c>
      <c r="R377" s="2" t="inlineStr">
        <is>
          <t>Revlummer</t>
        </is>
      </c>
      <c r="S377">
        <f>HYPERLINK("https://klasma.github.io/Logging_080883/artfynd/A 17952-2025 artfynd.xlsx", "A 17952-2025")</f>
        <v/>
      </c>
      <c r="T377">
        <f>HYPERLINK("https://klasma.github.io/Logging_080883/kartor/A 17952-2025 karta.png", "A 17952-2025")</f>
        <v/>
      </c>
      <c r="V377">
        <f>HYPERLINK("https://klasma.github.io/Logging_080883/klagomål/A 17952-2025 FSC-klagomål.docx", "A 17952-2025")</f>
        <v/>
      </c>
      <c r="W377">
        <f>HYPERLINK("https://klasma.github.io/Logging_080883/klagomålsmail/A 17952-2025 FSC-klagomål mail.docx", "A 17952-2025")</f>
        <v/>
      </c>
      <c r="X377">
        <f>HYPERLINK("https://klasma.github.io/Logging_080883/tillsyn/A 17952-2025 tillsynsbegäran.docx", "A 17952-2025")</f>
        <v/>
      </c>
      <c r="Y377">
        <f>HYPERLINK("https://klasma.github.io/Logging_080883/tillsynsmail/A 17952-2025 tillsynsbegäran mail.docx", "A 17952-2025")</f>
        <v/>
      </c>
    </row>
    <row r="378" ht="15" customHeight="1">
      <c r="A378" t="inlineStr">
        <is>
          <t>A 21409-2025</t>
        </is>
      </c>
      <c r="B378" s="1" t="n">
        <v>45782</v>
      </c>
      <c r="C378" s="1" t="n">
        <v>45843</v>
      </c>
      <c r="D378" t="inlineStr">
        <is>
          <t>KALMAR LÄN</t>
        </is>
      </c>
      <c r="E378" t="inlineStr">
        <is>
          <t>VÄSTERVIK</t>
        </is>
      </c>
      <c r="G378" t="n">
        <v>2.5</v>
      </c>
      <c r="H378" t="n">
        <v>1</v>
      </c>
      <c r="I378" t="n">
        <v>0</v>
      </c>
      <c r="J378" t="n">
        <v>0</v>
      </c>
      <c r="K378" t="n">
        <v>0</v>
      </c>
      <c r="L378" t="n">
        <v>0</v>
      </c>
      <c r="M378" t="n">
        <v>0</v>
      </c>
      <c r="N378" t="n">
        <v>0</v>
      </c>
      <c r="O378" t="n">
        <v>0</v>
      </c>
      <c r="P378" t="n">
        <v>0</v>
      </c>
      <c r="Q378" t="n">
        <v>1</v>
      </c>
      <c r="R378" s="2" t="inlineStr">
        <is>
          <t>Grönvit nattviol</t>
        </is>
      </c>
      <c r="S378">
        <f>HYPERLINK("https://klasma.github.io/Logging_080883/artfynd/A 21409-2025 artfynd.xlsx", "A 21409-2025")</f>
        <v/>
      </c>
      <c r="T378">
        <f>HYPERLINK("https://klasma.github.io/Logging_080883/kartor/A 21409-2025 karta.png", "A 21409-2025")</f>
        <v/>
      </c>
      <c r="V378">
        <f>HYPERLINK("https://klasma.github.io/Logging_080883/klagomål/A 21409-2025 FSC-klagomål.docx", "A 21409-2025")</f>
        <v/>
      </c>
      <c r="W378">
        <f>HYPERLINK("https://klasma.github.io/Logging_080883/klagomålsmail/A 21409-2025 FSC-klagomål mail.docx", "A 21409-2025")</f>
        <v/>
      </c>
      <c r="X378">
        <f>HYPERLINK("https://klasma.github.io/Logging_080883/tillsyn/A 21409-2025 tillsynsbegäran.docx", "A 21409-2025")</f>
        <v/>
      </c>
      <c r="Y378">
        <f>HYPERLINK("https://klasma.github.io/Logging_080883/tillsynsmail/A 21409-2025 tillsynsbegäran mail.docx", "A 21409-2025")</f>
        <v/>
      </c>
    </row>
    <row r="379" ht="15" customHeight="1">
      <c r="A379" t="inlineStr">
        <is>
          <t>A 21653-2025</t>
        </is>
      </c>
      <c r="B379" s="1" t="n">
        <v>45783</v>
      </c>
      <c r="C379" s="1" t="n">
        <v>45843</v>
      </c>
      <c r="D379" t="inlineStr">
        <is>
          <t>KALMAR LÄN</t>
        </is>
      </c>
      <c r="E379" t="inlineStr">
        <is>
          <t>VÄSTERVIK</t>
        </is>
      </c>
      <c r="F379" t="inlineStr">
        <is>
          <t>Sveaskog</t>
        </is>
      </c>
      <c r="G379" t="n">
        <v>2.8</v>
      </c>
      <c r="H379" t="n">
        <v>1</v>
      </c>
      <c r="I379" t="n">
        <v>0</v>
      </c>
      <c r="J379" t="n">
        <v>1</v>
      </c>
      <c r="K379" t="n">
        <v>0</v>
      </c>
      <c r="L379" t="n">
        <v>0</v>
      </c>
      <c r="M379" t="n">
        <v>0</v>
      </c>
      <c r="N379" t="n">
        <v>0</v>
      </c>
      <c r="O379" t="n">
        <v>1</v>
      </c>
      <c r="P379" t="n">
        <v>0</v>
      </c>
      <c r="Q379" t="n">
        <v>1</v>
      </c>
      <c r="R379" s="2" t="inlineStr">
        <is>
          <t>Entita</t>
        </is>
      </c>
      <c r="S379">
        <f>HYPERLINK("https://klasma.github.io/Logging_080883/artfynd/A 21653-2025 artfynd.xlsx", "A 21653-2025")</f>
        <v/>
      </c>
      <c r="T379">
        <f>HYPERLINK("https://klasma.github.io/Logging_080883/kartor/A 21653-2025 karta.png", "A 21653-2025")</f>
        <v/>
      </c>
      <c r="V379">
        <f>HYPERLINK("https://klasma.github.io/Logging_080883/klagomål/A 21653-2025 FSC-klagomål.docx", "A 21653-2025")</f>
        <v/>
      </c>
      <c r="W379">
        <f>HYPERLINK("https://klasma.github.io/Logging_080883/klagomålsmail/A 21653-2025 FSC-klagomål mail.docx", "A 21653-2025")</f>
        <v/>
      </c>
      <c r="X379">
        <f>HYPERLINK("https://klasma.github.io/Logging_080883/tillsyn/A 21653-2025 tillsynsbegäran.docx", "A 21653-2025")</f>
        <v/>
      </c>
      <c r="Y379">
        <f>HYPERLINK("https://klasma.github.io/Logging_080883/tillsynsmail/A 21653-2025 tillsynsbegäran mail.docx", "A 21653-2025")</f>
        <v/>
      </c>
      <c r="Z379">
        <f>HYPERLINK("https://klasma.github.io/Logging_080883/fåglar/A 21653-2025 prioriterade fågelarter.docx", "A 21653-2025")</f>
        <v/>
      </c>
    </row>
    <row r="380" ht="15" customHeight="1">
      <c r="A380" t="inlineStr">
        <is>
          <t>A 23192-2025</t>
        </is>
      </c>
      <c r="B380" s="1" t="n">
        <v>45791</v>
      </c>
      <c r="C380" s="1" t="n">
        <v>45843</v>
      </c>
      <c r="D380" t="inlineStr">
        <is>
          <t>KALMAR LÄN</t>
        </is>
      </c>
      <c r="E380" t="inlineStr">
        <is>
          <t>VÄSTERVIK</t>
        </is>
      </c>
      <c r="G380" t="n">
        <v>1.5</v>
      </c>
      <c r="H380" t="n">
        <v>1</v>
      </c>
      <c r="I380" t="n">
        <v>0</v>
      </c>
      <c r="J380" t="n">
        <v>1</v>
      </c>
      <c r="K380" t="n">
        <v>0</v>
      </c>
      <c r="L380" t="n">
        <v>0</v>
      </c>
      <c r="M380" t="n">
        <v>0</v>
      </c>
      <c r="N380" t="n">
        <v>0</v>
      </c>
      <c r="O380" t="n">
        <v>1</v>
      </c>
      <c r="P380" t="n">
        <v>0</v>
      </c>
      <c r="Q380" t="n">
        <v>1</v>
      </c>
      <c r="R380" s="2" t="inlineStr">
        <is>
          <t>Talltita</t>
        </is>
      </c>
      <c r="S380">
        <f>HYPERLINK("https://klasma.github.io/Logging_080883/artfynd/A 23192-2025 artfynd.xlsx", "A 23192-2025")</f>
        <v/>
      </c>
      <c r="T380">
        <f>HYPERLINK("https://klasma.github.io/Logging_080883/kartor/A 23192-2025 karta.png", "A 23192-2025")</f>
        <v/>
      </c>
      <c r="V380">
        <f>HYPERLINK("https://klasma.github.io/Logging_080883/klagomål/A 23192-2025 FSC-klagomål.docx", "A 23192-2025")</f>
        <v/>
      </c>
      <c r="W380">
        <f>HYPERLINK("https://klasma.github.io/Logging_080883/klagomålsmail/A 23192-2025 FSC-klagomål mail.docx", "A 23192-2025")</f>
        <v/>
      </c>
      <c r="X380">
        <f>HYPERLINK("https://klasma.github.io/Logging_080883/tillsyn/A 23192-2025 tillsynsbegäran.docx", "A 23192-2025")</f>
        <v/>
      </c>
      <c r="Y380">
        <f>HYPERLINK("https://klasma.github.io/Logging_080883/tillsynsmail/A 23192-2025 tillsynsbegäran mail.docx", "A 23192-2025")</f>
        <v/>
      </c>
      <c r="Z380">
        <f>HYPERLINK("https://klasma.github.io/Logging_080883/fåglar/A 23192-2025 prioriterade fågelarter.docx", "A 23192-2025")</f>
        <v/>
      </c>
    </row>
    <row r="381" ht="15" customHeight="1">
      <c r="A381" t="inlineStr">
        <is>
          <t>A 23199-2025</t>
        </is>
      </c>
      <c r="B381" s="1" t="n">
        <v>45791</v>
      </c>
      <c r="C381" s="1" t="n">
        <v>45843</v>
      </c>
      <c r="D381" t="inlineStr">
        <is>
          <t>KALMAR LÄN</t>
        </is>
      </c>
      <c r="E381" t="inlineStr">
        <is>
          <t>VÄSTERVIK</t>
        </is>
      </c>
      <c r="G381" t="n">
        <v>2.1</v>
      </c>
      <c r="H381" t="n">
        <v>0</v>
      </c>
      <c r="I381" t="n">
        <v>1</v>
      </c>
      <c r="J381" t="n">
        <v>0</v>
      </c>
      <c r="K381" t="n">
        <v>0</v>
      </c>
      <c r="L381" t="n">
        <v>0</v>
      </c>
      <c r="M381" t="n">
        <v>0</v>
      </c>
      <c r="N381" t="n">
        <v>0</v>
      </c>
      <c r="O381" t="n">
        <v>0</v>
      </c>
      <c r="P381" t="n">
        <v>0</v>
      </c>
      <c r="Q381" t="n">
        <v>1</v>
      </c>
      <c r="R381" s="2" t="inlineStr">
        <is>
          <t>Blåmossa</t>
        </is>
      </c>
      <c r="S381">
        <f>HYPERLINK("https://klasma.github.io/Logging_080883/artfynd/A 23199-2025 artfynd.xlsx", "A 23199-2025")</f>
        <v/>
      </c>
      <c r="T381">
        <f>HYPERLINK("https://klasma.github.io/Logging_080883/kartor/A 23199-2025 karta.png", "A 23199-2025")</f>
        <v/>
      </c>
      <c r="V381">
        <f>HYPERLINK("https://klasma.github.io/Logging_080883/klagomål/A 23199-2025 FSC-klagomål.docx", "A 23199-2025")</f>
        <v/>
      </c>
      <c r="W381">
        <f>HYPERLINK("https://klasma.github.io/Logging_080883/klagomålsmail/A 23199-2025 FSC-klagomål mail.docx", "A 23199-2025")</f>
        <v/>
      </c>
      <c r="X381">
        <f>HYPERLINK("https://klasma.github.io/Logging_080883/tillsyn/A 23199-2025 tillsynsbegäran.docx", "A 23199-2025")</f>
        <v/>
      </c>
      <c r="Y381">
        <f>HYPERLINK("https://klasma.github.io/Logging_080883/tillsynsmail/A 23199-2025 tillsynsbegäran mail.docx", "A 23199-2025")</f>
        <v/>
      </c>
    </row>
    <row r="382" ht="15" customHeight="1">
      <c r="A382" t="inlineStr">
        <is>
          <t>A 23186-2025</t>
        </is>
      </c>
      <c r="B382" s="1" t="n">
        <v>45791</v>
      </c>
      <c r="C382" s="1" t="n">
        <v>45843</v>
      </c>
      <c r="D382" t="inlineStr">
        <is>
          <t>KALMAR LÄN</t>
        </is>
      </c>
      <c r="E382" t="inlineStr">
        <is>
          <t>VÄSTERVIK</t>
        </is>
      </c>
      <c r="G382" t="n">
        <v>1.4</v>
      </c>
      <c r="H382" t="n">
        <v>0</v>
      </c>
      <c r="I382" t="n">
        <v>0</v>
      </c>
      <c r="J382" t="n">
        <v>1</v>
      </c>
      <c r="K382" t="n">
        <v>0</v>
      </c>
      <c r="L382" t="n">
        <v>0</v>
      </c>
      <c r="M382" t="n">
        <v>0</v>
      </c>
      <c r="N382" t="n">
        <v>0</v>
      </c>
      <c r="O382" t="n">
        <v>1</v>
      </c>
      <c r="P382" t="n">
        <v>0</v>
      </c>
      <c r="Q382" t="n">
        <v>1</v>
      </c>
      <c r="R382" s="2" t="inlineStr">
        <is>
          <t>Krusfrö</t>
        </is>
      </c>
      <c r="S382">
        <f>HYPERLINK("https://klasma.github.io/Logging_080883/artfynd/A 23186-2025 artfynd.xlsx", "A 23186-2025")</f>
        <v/>
      </c>
      <c r="T382">
        <f>HYPERLINK("https://klasma.github.io/Logging_080883/kartor/A 23186-2025 karta.png", "A 23186-2025")</f>
        <v/>
      </c>
      <c r="V382">
        <f>HYPERLINK("https://klasma.github.io/Logging_080883/klagomål/A 23186-2025 FSC-klagomål.docx", "A 23186-2025")</f>
        <v/>
      </c>
      <c r="W382">
        <f>HYPERLINK("https://klasma.github.io/Logging_080883/klagomålsmail/A 23186-2025 FSC-klagomål mail.docx", "A 23186-2025")</f>
        <v/>
      </c>
      <c r="X382">
        <f>HYPERLINK("https://klasma.github.io/Logging_080883/tillsyn/A 23186-2025 tillsynsbegäran.docx", "A 23186-2025")</f>
        <v/>
      </c>
      <c r="Y382">
        <f>HYPERLINK("https://klasma.github.io/Logging_080883/tillsynsmail/A 23186-2025 tillsynsbegäran mail.docx", "A 23186-2025")</f>
        <v/>
      </c>
    </row>
    <row r="383" ht="15" customHeight="1">
      <c r="A383" t="inlineStr">
        <is>
          <t>A 24808-2025</t>
        </is>
      </c>
      <c r="B383" s="1" t="n">
        <v>45799</v>
      </c>
      <c r="C383" s="1" t="n">
        <v>45843</v>
      </c>
      <c r="D383" t="inlineStr">
        <is>
          <t>KALMAR LÄN</t>
        </is>
      </c>
      <c r="E383" t="inlineStr">
        <is>
          <t>VÄSTERVIK</t>
        </is>
      </c>
      <c r="G383" t="n">
        <v>2.9</v>
      </c>
      <c r="H383" t="n">
        <v>1</v>
      </c>
      <c r="I383" t="n">
        <v>0</v>
      </c>
      <c r="J383" t="n">
        <v>0</v>
      </c>
      <c r="K383" t="n">
        <v>0</v>
      </c>
      <c r="L383" t="n">
        <v>0</v>
      </c>
      <c r="M383" t="n">
        <v>0</v>
      </c>
      <c r="N383" t="n">
        <v>0</v>
      </c>
      <c r="O383" t="n">
        <v>0</v>
      </c>
      <c r="P383" t="n">
        <v>0</v>
      </c>
      <c r="Q383" t="n">
        <v>1</v>
      </c>
      <c r="R383" s="2" t="inlineStr">
        <is>
          <t>Fläcknycklar</t>
        </is>
      </c>
      <c r="S383">
        <f>HYPERLINK("https://klasma.github.io/Logging_080883/artfynd/A 24808-2025 artfynd.xlsx", "A 24808-2025")</f>
        <v/>
      </c>
      <c r="T383">
        <f>HYPERLINK("https://klasma.github.io/Logging_080883/kartor/A 24808-2025 karta.png", "A 24808-2025")</f>
        <v/>
      </c>
      <c r="V383">
        <f>HYPERLINK("https://klasma.github.io/Logging_080883/klagomål/A 24808-2025 FSC-klagomål.docx", "A 24808-2025")</f>
        <v/>
      </c>
      <c r="W383">
        <f>HYPERLINK("https://klasma.github.io/Logging_080883/klagomålsmail/A 24808-2025 FSC-klagomål mail.docx", "A 24808-2025")</f>
        <v/>
      </c>
      <c r="X383">
        <f>HYPERLINK("https://klasma.github.io/Logging_080883/tillsyn/A 24808-2025 tillsynsbegäran.docx", "A 24808-2025")</f>
        <v/>
      </c>
      <c r="Y383">
        <f>HYPERLINK("https://klasma.github.io/Logging_080883/tillsynsmail/A 24808-2025 tillsynsbegäran mail.docx", "A 24808-2025")</f>
        <v/>
      </c>
    </row>
    <row r="384" ht="15" customHeight="1">
      <c r="A384" t="inlineStr">
        <is>
          <t>A 24884-2025</t>
        </is>
      </c>
      <c r="B384" s="1" t="n">
        <v>45799</v>
      </c>
      <c r="C384" s="1" t="n">
        <v>45843</v>
      </c>
      <c r="D384" t="inlineStr">
        <is>
          <t>KALMAR LÄN</t>
        </is>
      </c>
      <c r="E384" t="inlineStr">
        <is>
          <t>VÄSTERVIK</t>
        </is>
      </c>
      <c r="F384" t="inlineStr">
        <is>
          <t>Holmen skog AB</t>
        </is>
      </c>
      <c r="G384" t="n">
        <v>5.1</v>
      </c>
      <c r="H384" t="n">
        <v>0</v>
      </c>
      <c r="I384" t="n">
        <v>1</v>
      </c>
      <c r="J384" t="n">
        <v>0</v>
      </c>
      <c r="K384" t="n">
        <v>0</v>
      </c>
      <c r="L384" t="n">
        <v>0</v>
      </c>
      <c r="M384" t="n">
        <v>0</v>
      </c>
      <c r="N384" t="n">
        <v>0</v>
      </c>
      <c r="O384" t="n">
        <v>0</v>
      </c>
      <c r="P384" t="n">
        <v>0</v>
      </c>
      <c r="Q384" t="n">
        <v>1</v>
      </c>
      <c r="R384" s="2" t="inlineStr">
        <is>
          <t>Strävlosta</t>
        </is>
      </c>
      <c r="S384">
        <f>HYPERLINK("https://klasma.github.io/Logging_080883/artfynd/A 24884-2025 artfynd.xlsx", "A 24884-2025")</f>
        <v/>
      </c>
      <c r="T384">
        <f>HYPERLINK("https://klasma.github.io/Logging_080883/kartor/A 24884-2025 karta.png", "A 24884-2025")</f>
        <v/>
      </c>
      <c r="V384">
        <f>HYPERLINK("https://klasma.github.io/Logging_080883/klagomål/A 24884-2025 FSC-klagomål.docx", "A 24884-2025")</f>
        <v/>
      </c>
      <c r="W384">
        <f>HYPERLINK("https://klasma.github.io/Logging_080883/klagomålsmail/A 24884-2025 FSC-klagomål mail.docx", "A 24884-2025")</f>
        <v/>
      </c>
      <c r="X384">
        <f>HYPERLINK("https://klasma.github.io/Logging_080883/tillsyn/A 24884-2025 tillsynsbegäran.docx", "A 24884-2025")</f>
        <v/>
      </c>
      <c r="Y384">
        <f>HYPERLINK("https://klasma.github.io/Logging_080883/tillsynsmail/A 24884-2025 tillsynsbegäran mail.docx", "A 24884-2025")</f>
        <v/>
      </c>
    </row>
    <row r="385" ht="15" customHeight="1">
      <c r="A385" t="inlineStr">
        <is>
          <t>A 25501-2025</t>
        </is>
      </c>
      <c r="B385" s="1" t="n">
        <v>45803</v>
      </c>
      <c r="C385" s="1" t="n">
        <v>45843</v>
      </c>
      <c r="D385" t="inlineStr">
        <is>
          <t>KALMAR LÄN</t>
        </is>
      </c>
      <c r="E385" t="inlineStr">
        <is>
          <t>VÄSTERVIK</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HYPERLINK("https://klasma.github.io/Logging_080883/artfynd/A 25501-2025 artfynd.xlsx", "A 25501-2025")</f>
        <v/>
      </c>
      <c r="T385">
        <f>HYPERLINK("https://klasma.github.io/Logging_080883/kartor/A 25501-2025 karta.png", "A 25501-2025")</f>
        <v/>
      </c>
      <c r="U385">
        <f>HYPERLINK("https://klasma.github.io/Logging_080883/knärot/A 25501-2025 karta knärot.png", "A 25501-2025")</f>
        <v/>
      </c>
      <c r="V385">
        <f>HYPERLINK("https://klasma.github.io/Logging_080883/klagomål/A 25501-2025 FSC-klagomål.docx", "A 25501-2025")</f>
        <v/>
      </c>
      <c r="W385">
        <f>HYPERLINK("https://klasma.github.io/Logging_080883/klagomålsmail/A 25501-2025 FSC-klagomål mail.docx", "A 25501-2025")</f>
        <v/>
      </c>
      <c r="X385">
        <f>HYPERLINK("https://klasma.github.io/Logging_080883/tillsyn/A 25501-2025 tillsynsbegäran.docx", "A 25501-2025")</f>
        <v/>
      </c>
      <c r="Y385">
        <f>HYPERLINK("https://klasma.github.io/Logging_080883/tillsynsmail/A 25501-2025 tillsynsbegäran mail.docx", "A 25501-2025")</f>
        <v/>
      </c>
      <c r="Z385">
        <f>HYPERLINK("https://klasma.github.io/Logging_080883/fåglar/A 25501-2025 prioriterade fågelarter.docx", "A 25501-2025")</f>
        <v/>
      </c>
    </row>
    <row r="386" ht="15" customHeight="1">
      <c r="A386" t="inlineStr">
        <is>
          <t>A 26516-2025</t>
        </is>
      </c>
      <c r="B386" s="1" t="n">
        <v>45807</v>
      </c>
      <c r="C386" s="1" t="n">
        <v>45843</v>
      </c>
      <c r="D386" t="inlineStr">
        <is>
          <t>KALMAR LÄN</t>
        </is>
      </c>
      <c r="E386" t="inlineStr">
        <is>
          <t>VÄSTERVIK</t>
        </is>
      </c>
      <c r="G386" t="n">
        <v>1.3</v>
      </c>
      <c r="H386" t="n">
        <v>1</v>
      </c>
      <c r="I386" t="n">
        <v>0</v>
      </c>
      <c r="J386" t="n">
        <v>1</v>
      </c>
      <c r="K386" t="n">
        <v>0</v>
      </c>
      <c r="L386" t="n">
        <v>0</v>
      </c>
      <c r="M386" t="n">
        <v>0</v>
      </c>
      <c r="N386" t="n">
        <v>0</v>
      </c>
      <c r="O386" t="n">
        <v>1</v>
      </c>
      <c r="P386" t="n">
        <v>0</v>
      </c>
      <c r="Q386" t="n">
        <v>1</v>
      </c>
      <c r="R386" s="2" t="inlineStr">
        <is>
          <t>Grönsångare</t>
        </is>
      </c>
      <c r="S386">
        <f>HYPERLINK("https://klasma.github.io/Logging_080883/artfynd/A 26516-2025 artfynd.xlsx", "A 26516-2025")</f>
        <v/>
      </c>
      <c r="T386">
        <f>HYPERLINK("https://klasma.github.io/Logging_080883/kartor/A 26516-2025 karta.png", "A 26516-2025")</f>
        <v/>
      </c>
      <c r="V386">
        <f>HYPERLINK("https://klasma.github.io/Logging_080883/klagomål/A 26516-2025 FSC-klagomål.docx", "A 26516-2025")</f>
        <v/>
      </c>
      <c r="W386">
        <f>HYPERLINK("https://klasma.github.io/Logging_080883/klagomålsmail/A 26516-2025 FSC-klagomål mail.docx", "A 26516-2025")</f>
        <v/>
      </c>
      <c r="X386">
        <f>HYPERLINK("https://klasma.github.io/Logging_080883/tillsyn/A 26516-2025 tillsynsbegäran.docx", "A 26516-2025")</f>
        <v/>
      </c>
      <c r="Y386">
        <f>HYPERLINK("https://klasma.github.io/Logging_080883/tillsynsmail/A 26516-2025 tillsynsbegäran mail.docx", "A 26516-2025")</f>
        <v/>
      </c>
      <c r="Z386">
        <f>HYPERLINK("https://klasma.github.io/Logging_080883/fåglar/A 26516-2025 prioriterade fågelarter.docx", "A 26516-2025")</f>
        <v/>
      </c>
    </row>
    <row r="387" ht="15" customHeight="1">
      <c r="A387" t="inlineStr">
        <is>
          <t>A 27426-2025</t>
        </is>
      </c>
      <c r="B387" s="1" t="n">
        <v>45813</v>
      </c>
      <c r="C387" s="1" t="n">
        <v>45843</v>
      </c>
      <c r="D387" t="inlineStr">
        <is>
          <t>KALMAR LÄN</t>
        </is>
      </c>
      <c r="E387" t="inlineStr">
        <is>
          <t>VÄSTERVIK</t>
        </is>
      </c>
      <c r="G387" t="n">
        <v>2</v>
      </c>
      <c r="H387" t="n">
        <v>0</v>
      </c>
      <c r="I387" t="n">
        <v>1</v>
      </c>
      <c r="J387" t="n">
        <v>0</v>
      </c>
      <c r="K387" t="n">
        <v>0</v>
      </c>
      <c r="L387" t="n">
        <v>0</v>
      </c>
      <c r="M387" t="n">
        <v>0</v>
      </c>
      <c r="N387" t="n">
        <v>0</v>
      </c>
      <c r="O387" t="n">
        <v>0</v>
      </c>
      <c r="P387" t="n">
        <v>0</v>
      </c>
      <c r="Q387" t="n">
        <v>1</v>
      </c>
      <c r="R387" s="2" t="inlineStr">
        <is>
          <t>Vätteros</t>
        </is>
      </c>
      <c r="S387">
        <f>HYPERLINK("https://klasma.github.io/Logging_080883/artfynd/A 27426-2025 artfynd.xlsx", "A 27426-2025")</f>
        <v/>
      </c>
      <c r="T387">
        <f>HYPERLINK("https://klasma.github.io/Logging_080883/kartor/A 27426-2025 karta.png", "A 27426-2025")</f>
        <v/>
      </c>
      <c r="V387">
        <f>HYPERLINK("https://klasma.github.io/Logging_080883/klagomål/A 27426-2025 FSC-klagomål.docx", "A 27426-2025")</f>
        <v/>
      </c>
      <c r="W387">
        <f>HYPERLINK("https://klasma.github.io/Logging_080883/klagomålsmail/A 27426-2025 FSC-klagomål mail.docx", "A 27426-2025")</f>
        <v/>
      </c>
      <c r="X387">
        <f>HYPERLINK("https://klasma.github.io/Logging_080883/tillsyn/A 27426-2025 tillsynsbegäran.docx", "A 27426-2025")</f>
        <v/>
      </c>
      <c r="Y387">
        <f>HYPERLINK("https://klasma.github.io/Logging_080883/tillsynsmail/A 27426-2025 tillsynsbegäran mail.docx", "A 27426-2025")</f>
        <v/>
      </c>
    </row>
    <row r="388" ht="15" customHeight="1">
      <c r="A388" t="inlineStr">
        <is>
          <t>A 17794-2019</t>
        </is>
      </c>
      <c r="B388" s="1" t="n">
        <v>43556</v>
      </c>
      <c r="C388" s="1" t="n">
        <v>45843</v>
      </c>
      <c r="D388" t="inlineStr">
        <is>
          <t>KALMAR LÄN</t>
        </is>
      </c>
      <c r="E388" t="inlineStr">
        <is>
          <t>VÄSTERVIK</t>
        </is>
      </c>
      <c r="G388" t="n">
        <v>3.3</v>
      </c>
      <c r="H388" t="n">
        <v>0</v>
      </c>
      <c r="I388" t="n">
        <v>0</v>
      </c>
      <c r="J388" t="n">
        <v>0</v>
      </c>
      <c r="K388" t="n">
        <v>0</v>
      </c>
      <c r="L388" t="n">
        <v>0</v>
      </c>
      <c r="M388" t="n">
        <v>0</v>
      </c>
      <c r="N388" t="n">
        <v>0</v>
      </c>
      <c r="O388" t="n">
        <v>0</v>
      </c>
      <c r="P388" t="n">
        <v>0</v>
      </c>
      <c r="Q388" t="n">
        <v>0</v>
      </c>
      <c r="R388" s="2" t="inlineStr"/>
    </row>
    <row r="389" ht="15" customHeight="1">
      <c r="A389" t="inlineStr">
        <is>
          <t>A 18417-2019</t>
        </is>
      </c>
      <c r="B389" s="1" t="n">
        <v>43559</v>
      </c>
      <c r="C389" s="1" t="n">
        <v>45843</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18552-2019</t>
        </is>
      </c>
      <c r="B390" s="1" t="n">
        <v>43559</v>
      </c>
      <c r="C390" s="1" t="n">
        <v>45843</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18419-2019</t>
        </is>
      </c>
      <c r="B391" s="1" t="n">
        <v>43559</v>
      </c>
      <c r="C391" s="1" t="n">
        <v>45843</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18768-2019</t>
        </is>
      </c>
      <c r="B392" s="1" t="n">
        <v>43560</v>
      </c>
      <c r="C392" s="1" t="n">
        <v>45843</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19141-2019</t>
        </is>
      </c>
      <c r="B393" s="1" t="n">
        <v>43564</v>
      </c>
      <c r="C393" s="1" t="n">
        <v>45843</v>
      </c>
      <c r="D393" t="inlineStr">
        <is>
          <t>KALMAR LÄN</t>
        </is>
      </c>
      <c r="E393" t="inlineStr">
        <is>
          <t>VÄSTERVIK</t>
        </is>
      </c>
      <c r="G393" t="n">
        <v>3.3</v>
      </c>
      <c r="H393" t="n">
        <v>0</v>
      </c>
      <c r="I393" t="n">
        <v>0</v>
      </c>
      <c r="J393" t="n">
        <v>0</v>
      </c>
      <c r="K393" t="n">
        <v>0</v>
      </c>
      <c r="L393" t="n">
        <v>0</v>
      </c>
      <c r="M393" t="n">
        <v>0</v>
      </c>
      <c r="N393" t="n">
        <v>0</v>
      </c>
      <c r="O393" t="n">
        <v>0</v>
      </c>
      <c r="P393" t="n">
        <v>0</v>
      </c>
      <c r="Q393" t="n">
        <v>0</v>
      </c>
      <c r="R393" s="2" t="inlineStr"/>
    </row>
    <row r="394" ht="15" customHeight="1">
      <c r="A394" t="inlineStr">
        <is>
          <t>A 19414-2019</t>
        </is>
      </c>
      <c r="B394" s="1" t="n">
        <v>43565</v>
      </c>
      <c r="C394" s="1" t="n">
        <v>45843</v>
      </c>
      <c r="D394" t="inlineStr">
        <is>
          <t>KALMAR LÄN</t>
        </is>
      </c>
      <c r="E394" t="inlineStr">
        <is>
          <t>VÄSTERVIK</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19653-2019</t>
        </is>
      </c>
      <c r="B395" s="1" t="n">
        <v>43566</v>
      </c>
      <c r="C395" s="1" t="n">
        <v>45843</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19819-2019</t>
        </is>
      </c>
      <c r="B396" s="1" t="n">
        <v>43567</v>
      </c>
      <c r="C396" s="1" t="n">
        <v>45843</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19825-2019</t>
        </is>
      </c>
      <c r="B397" s="1" t="n">
        <v>43567</v>
      </c>
      <c r="C397" s="1" t="n">
        <v>45843</v>
      </c>
      <c r="D397" t="inlineStr">
        <is>
          <t>KALMAR LÄN</t>
        </is>
      </c>
      <c r="E397" t="inlineStr">
        <is>
          <t>VÄSTERVIK</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20371-2019</t>
        </is>
      </c>
      <c r="B398" s="1" t="n">
        <v>43571</v>
      </c>
      <c r="C398" s="1" t="n">
        <v>45843</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24133-2019</t>
        </is>
      </c>
      <c r="B399" s="1" t="n">
        <v>43598</v>
      </c>
      <c r="C399" s="1" t="n">
        <v>45843</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24356-2019</t>
        </is>
      </c>
      <c r="B400" s="1" t="n">
        <v>43599</v>
      </c>
      <c r="C400" s="1" t="n">
        <v>45843</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24358-2019</t>
        </is>
      </c>
      <c r="B401" s="1" t="n">
        <v>43599</v>
      </c>
      <c r="C401" s="1" t="n">
        <v>45843</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24316-2019</t>
        </is>
      </c>
      <c r="B402" s="1" t="n">
        <v>43599</v>
      </c>
      <c r="C402" s="1" t="n">
        <v>45843</v>
      </c>
      <c r="D402" t="inlineStr">
        <is>
          <t>KALMAR LÄN</t>
        </is>
      </c>
      <c r="E402" t="inlineStr">
        <is>
          <t>VÄSTERVIK</t>
        </is>
      </c>
      <c r="G402" t="n">
        <v>14.9</v>
      </c>
      <c r="H402" t="n">
        <v>0</v>
      </c>
      <c r="I402" t="n">
        <v>0</v>
      </c>
      <c r="J402" t="n">
        <v>0</v>
      </c>
      <c r="K402" t="n">
        <v>0</v>
      </c>
      <c r="L402" t="n">
        <v>0</v>
      </c>
      <c r="M402" t="n">
        <v>0</v>
      </c>
      <c r="N402" t="n">
        <v>0</v>
      </c>
      <c r="O402" t="n">
        <v>0</v>
      </c>
      <c r="P402" t="n">
        <v>0</v>
      </c>
      <c r="Q402" t="n">
        <v>0</v>
      </c>
      <c r="R402" s="2" t="inlineStr"/>
    </row>
    <row r="403" ht="15" customHeight="1">
      <c r="A403" t="inlineStr">
        <is>
          <t>A 24318-2019</t>
        </is>
      </c>
      <c r="B403" s="1" t="n">
        <v>43599</v>
      </c>
      <c r="C403" s="1" t="n">
        <v>45843</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24354-2019</t>
        </is>
      </c>
      <c r="B404" s="1" t="n">
        <v>43599</v>
      </c>
      <c r="C404" s="1" t="n">
        <v>45843</v>
      </c>
      <c r="D404" t="inlineStr">
        <is>
          <t>KALMAR LÄN</t>
        </is>
      </c>
      <c r="E404" t="inlineStr">
        <is>
          <t>VÄSTERVIK</t>
        </is>
      </c>
      <c r="G404" t="n">
        <v>3.7</v>
      </c>
      <c r="H404" t="n">
        <v>0</v>
      </c>
      <c r="I404" t="n">
        <v>0</v>
      </c>
      <c r="J404" t="n">
        <v>0</v>
      </c>
      <c r="K404" t="n">
        <v>0</v>
      </c>
      <c r="L404" t="n">
        <v>0</v>
      </c>
      <c r="M404" t="n">
        <v>0</v>
      </c>
      <c r="N404" t="n">
        <v>0</v>
      </c>
      <c r="O404" t="n">
        <v>0</v>
      </c>
      <c r="P404" t="n">
        <v>0</v>
      </c>
      <c r="Q404" t="n">
        <v>0</v>
      </c>
      <c r="R404" s="2" t="inlineStr"/>
    </row>
    <row r="405" ht="15" customHeight="1">
      <c r="A405" t="inlineStr">
        <is>
          <t>A 24550-2019</t>
        </is>
      </c>
      <c r="B405" s="1" t="n">
        <v>43600</v>
      </c>
      <c r="C405" s="1" t="n">
        <v>45843</v>
      </c>
      <c r="D405" t="inlineStr">
        <is>
          <t>KALMAR LÄN</t>
        </is>
      </c>
      <c r="E405" t="inlineStr">
        <is>
          <t>VÄSTERVIK</t>
        </is>
      </c>
      <c r="G405" t="n">
        <v>3.6</v>
      </c>
      <c r="H405" t="n">
        <v>0</v>
      </c>
      <c r="I405" t="n">
        <v>0</v>
      </c>
      <c r="J405" t="n">
        <v>0</v>
      </c>
      <c r="K405" t="n">
        <v>0</v>
      </c>
      <c r="L405" t="n">
        <v>0</v>
      </c>
      <c r="M405" t="n">
        <v>0</v>
      </c>
      <c r="N405" t="n">
        <v>0</v>
      </c>
      <c r="O405" t="n">
        <v>0</v>
      </c>
      <c r="P405" t="n">
        <v>0</v>
      </c>
      <c r="Q405" t="n">
        <v>0</v>
      </c>
      <c r="R405" s="2" t="inlineStr"/>
    </row>
    <row r="406" ht="15" customHeight="1">
      <c r="A406" t="inlineStr">
        <is>
          <t>A 24683-2019</t>
        </is>
      </c>
      <c r="B406" s="1" t="n">
        <v>43601</v>
      </c>
      <c r="C406" s="1" t="n">
        <v>45843</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24944-2019</t>
        </is>
      </c>
      <c r="B407" s="1" t="n">
        <v>43602</v>
      </c>
      <c r="C407" s="1" t="n">
        <v>45843</v>
      </c>
      <c r="D407" t="inlineStr">
        <is>
          <t>KALMAR LÄN</t>
        </is>
      </c>
      <c r="E407" t="inlineStr">
        <is>
          <t>VÄSTERVIK</t>
        </is>
      </c>
      <c r="G407" t="n">
        <v>4.1</v>
      </c>
      <c r="H407" t="n">
        <v>0</v>
      </c>
      <c r="I407" t="n">
        <v>0</v>
      </c>
      <c r="J407" t="n">
        <v>0</v>
      </c>
      <c r="K407" t="n">
        <v>0</v>
      </c>
      <c r="L407" t="n">
        <v>0</v>
      </c>
      <c r="M407" t="n">
        <v>0</v>
      </c>
      <c r="N407" t="n">
        <v>0</v>
      </c>
      <c r="O407" t="n">
        <v>0</v>
      </c>
      <c r="P407" t="n">
        <v>0</v>
      </c>
      <c r="Q407" t="n">
        <v>0</v>
      </c>
      <c r="R407" s="2" t="inlineStr"/>
    </row>
    <row r="408" ht="15" customHeight="1">
      <c r="A408" t="inlineStr">
        <is>
          <t>A 26470-2019</t>
        </is>
      </c>
      <c r="B408" s="1" t="n">
        <v>43606</v>
      </c>
      <c r="C408" s="1" t="n">
        <v>45843</v>
      </c>
      <c r="D408" t="inlineStr">
        <is>
          <t>KALMAR LÄN</t>
        </is>
      </c>
      <c r="E408" t="inlineStr">
        <is>
          <t>VÄSTERVIK</t>
        </is>
      </c>
      <c r="G408" t="n">
        <v>1.4</v>
      </c>
      <c r="H408" t="n">
        <v>0</v>
      </c>
      <c r="I408" t="n">
        <v>0</v>
      </c>
      <c r="J408" t="n">
        <v>0</v>
      </c>
      <c r="K408" t="n">
        <v>0</v>
      </c>
      <c r="L408" t="n">
        <v>0</v>
      </c>
      <c r="M408" t="n">
        <v>0</v>
      </c>
      <c r="N408" t="n">
        <v>0</v>
      </c>
      <c r="O408" t="n">
        <v>0</v>
      </c>
      <c r="P408" t="n">
        <v>0</v>
      </c>
      <c r="Q408" t="n">
        <v>0</v>
      </c>
      <c r="R408" s="2" t="inlineStr"/>
    </row>
    <row r="409" ht="15" customHeight="1">
      <c r="A409" t="inlineStr">
        <is>
          <t>A 26834-2019</t>
        </is>
      </c>
      <c r="B409" s="1" t="n">
        <v>43608</v>
      </c>
      <c r="C409" s="1" t="n">
        <v>45843</v>
      </c>
      <c r="D409" t="inlineStr">
        <is>
          <t>KALMAR LÄN</t>
        </is>
      </c>
      <c r="E409" t="inlineStr">
        <is>
          <t>VÄSTERVIK</t>
        </is>
      </c>
      <c r="G409" t="n">
        <v>0.4</v>
      </c>
      <c r="H409" t="n">
        <v>0</v>
      </c>
      <c r="I409" t="n">
        <v>0</v>
      </c>
      <c r="J409" t="n">
        <v>0</v>
      </c>
      <c r="K409" t="n">
        <v>0</v>
      </c>
      <c r="L409" t="n">
        <v>0</v>
      </c>
      <c r="M409" t="n">
        <v>0</v>
      </c>
      <c r="N409" t="n">
        <v>0</v>
      </c>
      <c r="O409" t="n">
        <v>0</v>
      </c>
      <c r="P409" t="n">
        <v>0</v>
      </c>
      <c r="Q409" t="n">
        <v>0</v>
      </c>
      <c r="R409" s="2" t="inlineStr"/>
    </row>
    <row r="410" ht="15" customHeight="1">
      <c r="A410" t="inlineStr">
        <is>
          <t>A 26833-2019</t>
        </is>
      </c>
      <c r="B410" s="1" t="n">
        <v>43608</v>
      </c>
      <c r="C410" s="1" t="n">
        <v>45843</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26567-2019</t>
        </is>
      </c>
      <c r="B411" s="1" t="n">
        <v>43612</v>
      </c>
      <c r="C411" s="1" t="n">
        <v>45843</v>
      </c>
      <c r="D411" t="inlineStr">
        <is>
          <t>KALMAR LÄN</t>
        </is>
      </c>
      <c r="E411" t="inlineStr">
        <is>
          <t>VÄSTERVIK</t>
        </is>
      </c>
      <c r="G411" t="n">
        <v>1.9</v>
      </c>
      <c r="H411" t="n">
        <v>0</v>
      </c>
      <c r="I411" t="n">
        <v>0</v>
      </c>
      <c r="J411" t="n">
        <v>0</v>
      </c>
      <c r="K411" t="n">
        <v>0</v>
      </c>
      <c r="L411" t="n">
        <v>0</v>
      </c>
      <c r="M411" t="n">
        <v>0</v>
      </c>
      <c r="N411" t="n">
        <v>0</v>
      </c>
      <c r="O411" t="n">
        <v>0</v>
      </c>
      <c r="P411" t="n">
        <v>0</v>
      </c>
      <c r="Q411" t="n">
        <v>0</v>
      </c>
      <c r="R411" s="2" t="inlineStr"/>
    </row>
    <row r="412" ht="15" customHeight="1">
      <c r="A412" t="inlineStr">
        <is>
          <t>A 26590-2019</t>
        </is>
      </c>
      <c r="B412" s="1" t="n">
        <v>43612</v>
      </c>
      <c r="C412" s="1" t="n">
        <v>45843</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26585-2019</t>
        </is>
      </c>
      <c r="B413" s="1" t="n">
        <v>43612</v>
      </c>
      <c r="C413" s="1" t="n">
        <v>45843</v>
      </c>
      <c r="D413" t="inlineStr">
        <is>
          <t>KALMAR LÄN</t>
        </is>
      </c>
      <c r="E413" t="inlineStr">
        <is>
          <t>VÄSTERVIK</t>
        </is>
      </c>
      <c r="G413" t="n">
        <v>3</v>
      </c>
      <c r="H413" t="n">
        <v>0</v>
      </c>
      <c r="I413" t="n">
        <v>0</v>
      </c>
      <c r="J413" t="n">
        <v>0</v>
      </c>
      <c r="K413" t="n">
        <v>0</v>
      </c>
      <c r="L413" t="n">
        <v>0</v>
      </c>
      <c r="M413" t="n">
        <v>0</v>
      </c>
      <c r="N413" t="n">
        <v>0</v>
      </c>
      <c r="O413" t="n">
        <v>0</v>
      </c>
      <c r="P413" t="n">
        <v>0</v>
      </c>
      <c r="Q413" t="n">
        <v>0</v>
      </c>
      <c r="R413" s="2" t="inlineStr"/>
    </row>
    <row r="414" ht="15" customHeight="1">
      <c r="A414" t="inlineStr">
        <is>
          <t>A 26578-2019</t>
        </is>
      </c>
      <c r="B414" s="1" t="n">
        <v>43612</v>
      </c>
      <c r="C414" s="1" t="n">
        <v>45843</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27206-2019</t>
        </is>
      </c>
      <c r="B415" s="1" t="n">
        <v>43614</v>
      </c>
      <c r="C415" s="1" t="n">
        <v>45843</v>
      </c>
      <c r="D415" t="inlineStr">
        <is>
          <t>KALMAR LÄN</t>
        </is>
      </c>
      <c r="E415" t="inlineStr">
        <is>
          <t>VÄSTERVIK</t>
        </is>
      </c>
      <c r="F415" t="inlineStr">
        <is>
          <t>Sveaskog</t>
        </is>
      </c>
      <c r="G415" t="n">
        <v>7.9</v>
      </c>
      <c r="H415" t="n">
        <v>0</v>
      </c>
      <c r="I415" t="n">
        <v>0</v>
      </c>
      <c r="J415" t="n">
        <v>0</v>
      </c>
      <c r="K415" t="n">
        <v>0</v>
      </c>
      <c r="L415" t="n">
        <v>0</v>
      </c>
      <c r="M415" t="n">
        <v>0</v>
      </c>
      <c r="N415" t="n">
        <v>0</v>
      </c>
      <c r="O415" t="n">
        <v>0</v>
      </c>
      <c r="P415" t="n">
        <v>0</v>
      </c>
      <c r="Q415" t="n">
        <v>0</v>
      </c>
      <c r="R415" s="2" t="inlineStr"/>
    </row>
    <row r="416" ht="15" customHeight="1">
      <c r="A416" t="inlineStr">
        <is>
          <t>A 28970-2019</t>
        </is>
      </c>
      <c r="B416" s="1" t="n">
        <v>43619</v>
      </c>
      <c r="C416" s="1" t="n">
        <v>45843</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27654-2019</t>
        </is>
      </c>
      <c r="B417" s="1" t="n">
        <v>43619</v>
      </c>
      <c r="C417" s="1" t="n">
        <v>45843</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row>
    <row r="418" ht="15" customHeight="1">
      <c r="A418" t="inlineStr">
        <is>
          <t>A 28347-2019</t>
        </is>
      </c>
      <c r="B418" s="1" t="n">
        <v>43624</v>
      </c>
      <c r="C418" s="1" t="n">
        <v>45843</v>
      </c>
      <c r="D418" t="inlineStr">
        <is>
          <t>KALMAR LÄN</t>
        </is>
      </c>
      <c r="E418" t="inlineStr">
        <is>
          <t>VÄSTERVIK</t>
        </is>
      </c>
      <c r="G418" t="n">
        <v>5.1</v>
      </c>
      <c r="H418" t="n">
        <v>0</v>
      </c>
      <c r="I418" t="n">
        <v>0</v>
      </c>
      <c r="J418" t="n">
        <v>0</v>
      </c>
      <c r="K418" t="n">
        <v>0</v>
      </c>
      <c r="L418" t="n">
        <v>0</v>
      </c>
      <c r="M418" t="n">
        <v>0</v>
      </c>
      <c r="N418" t="n">
        <v>0</v>
      </c>
      <c r="O418" t="n">
        <v>0</v>
      </c>
      <c r="P418" t="n">
        <v>0</v>
      </c>
      <c r="Q418" t="n">
        <v>0</v>
      </c>
      <c r="R418" s="2" t="inlineStr"/>
    </row>
    <row r="419" ht="15" customHeight="1">
      <c r="A419" t="inlineStr">
        <is>
          <t>A 28594-2019</t>
        </is>
      </c>
      <c r="B419" s="1" t="n">
        <v>43626</v>
      </c>
      <c r="C419" s="1" t="n">
        <v>45843</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28590-2019</t>
        </is>
      </c>
      <c r="B420" s="1" t="n">
        <v>43626</v>
      </c>
      <c r="C420" s="1" t="n">
        <v>45843</v>
      </c>
      <c r="D420" t="inlineStr">
        <is>
          <t>KALMAR LÄN</t>
        </is>
      </c>
      <c r="E420" t="inlineStr">
        <is>
          <t>VÄSTERVIK</t>
        </is>
      </c>
      <c r="G420" t="n">
        <v>2.9</v>
      </c>
      <c r="H420" t="n">
        <v>0</v>
      </c>
      <c r="I420" t="n">
        <v>0</v>
      </c>
      <c r="J420" t="n">
        <v>0</v>
      </c>
      <c r="K420" t="n">
        <v>0</v>
      </c>
      <c r="L420" t="n">
        <v>0</v>
      </c>
      <c r="M420" t="n">
        <v>0</v>
      </c>
      <c r="N420" t="n">
        <v>0</v>
      </c>
      <c r="O420" t="n">
        <v>0</v>
      </c>
      <c r="P420" t="n">
        <v>0</v>
      </c>
      <c r="Q420" t="n">
        <v>0</v>
      </c>
      <c r="R420" s="2" t="inlineStr"/>
    </row>
    <row r="421" ht="15" customHeight="1">
      <c r="A421" t="inlineStr">
        <is>
          <t>A 29519-2019</t>
        </is>
      </c>
      <c r="B421" s="1" t="n">
        <v>43627</v>
      </c>
      <c r="C421" s="1" t="n">
        <v>45843</v>
      </c>
      <c r="D421" t="inlineStr">
        <is>
          <t>KALMAR LÄN</t>
        </is>
      </c>
      <c r="E421" t="inlineStr">
        <is>
          <t>VÄSTERVIK</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30058-2019</t>
        </is>
      </c>
      <c r="B422" s="1" t="n">
        <v>43633</v>
      </c>
      <c r="C422" s="1" t="n">
        <v>45843</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30057-2019</t>
        </is>
      </c>
      <c r="B423" s="1" t="n">
        <v>43633</v>
      </c>
      <c r="C423" s="1" t="n">
        <v>45843</v>
      </c>
      <c r="D423" t="inlineStr">
        <is>
          <t>KALMAR LÄN</t>
        </is>
      </c>
      <c r="E423" t="inlineStr">
        <is>
          <t>VÄSTERVIK</t>
        </is>
      </c>
      <c r="G423" t="n">
        <v>0.7</v>
      </c>
      <c r="H423" t="n">
        <v>0</v>
      </c>
      <c r="I423" t="n">
        <v>0</v>
      </c>
      <c r="J423" t="n">
        <v>0</v>
      </c>
      <c r="K423" t="n">
        <v>0</v>
      </c>
      <c r="L423" t="n">
        <v>0</v>
      </c>
      <c r="M423" t="n">
        <v>0</v>
      </c>
      <c r="N423" t="n">
        <v>0</v>
      </c>
      <c r="O423" t="n">
        <v>0</v>
      </c>
      <c r="P423" t="n">
        <v>0</v>
      </c>
      <c r="Q423" t="n">
        <v>0</v>
      </c>
      <c r="R423" s="2" t="inlineStr"/>
    </row>
    <row r="424" ht="15" customHeight="1">
      <c r="A424" t="inlineStr">
        <is>
          <t>A 29922-2019</t>
        </is>
      </c>
      <c r="B424" s="1" t="n">
        <v>43633</v>
      </c>
      <c r="C424" s="1" t="n">
        <v>45843</v>
      </c>
      <c r="D424" t="inlineStr">
        <is>
          <t>KALMAR LÄN</t>
        </is>
      </c>
      <c r="E424" t="inlineStr">
        <is>
          <t>VÄSTERVIK</t>
        </is>
      </c>
      <c r="G424" t="n">
        <v>3.8</v>
      </c>
      <c r="H424" t="n">
        <v>0</v>
      </c>
      <c r="I424" t="n">
        <v>0</v>
      </c>
      <c r="J424" t="n">
        <v>0</v>
      </c>
      <c r="K424" t="n">
        <v>0</v>
      </c>
      <c r="L424" t="n">
        <v>0</v>
      </c>
      <c r="M424" t="n">
        <v>0</v>
      </c>
      <c r="N424" t="n">
        <v>0</v>
      </c>
      <c r="O424" t="n">
        <v>0</v>
      </c>
      <c r="P424" t="n">
        <v>0</v>
      </c>
      <c r="Q424" t="n">
        <v>0</v>
      </c>
      <c r="R424" s="2" t="inlineStr"/>
    </row>
    <row r="425" ht="15" customHeight="1">
      <c r="A425" t="inlineStr">
        <is>
          <t>A 31072-2019</t>
        </is>
      </c>
      <c r="B425" s="1" t="n">
        <v>43640</v>
      </c>
      <c r="C425" s="1" t="n">
        <v>45843</v>
      </c>
      <c r="D425" t="inlineStr">
        <is>
          <t>KALMAR LÄN</t>
        </is>
      </c>
      <c r="E425" t="inlineStr">
        <is>
          <t>VÄSTERVIK</t>
        </is>
      </c>
      <c r="G425" t="n">
        <v>2.6</v>
      </c>
      <c r="H425" t="n">
        <v>0</v>
      </c>
      <c r="I425" t="n">
        <v>0</v>
      </c>
      <c r="J425" t="n">
        <v>0</v>
      </c>
      <c r="K425" t="n">
        <v>0</v>
      </c>
      <c r="L425" t="n">
        <v>0</v>
      </c>
      <c r="M425" t="n">
        <v>0</v>
      </c>
      <c r="N425" t="n">
        <v>0</v>
      </c>
      <c r="O425" t="n">
        <v>0</v>
      </c>
      <c r="P425" t="n">
        <v>0</v>
      </c>
      <c r="Q425" t="n">
        <v>0</v>
      </c>
      <c r="R425" s="2" t="inlineStr"/>
    </row>
    <row r="426" ht="15" customHeight="1">
      <c r="A426" t="inlineStr">
        <is>
          <t>A 32045-2019</t>
        </is>
      </c>
      <c r="B426" s="1" t="n">
        <v>43643</v>
      </c>
      <c r="C426" s="1" t="n">
        <v>45843</v>
      </c>
      <c r="D426" t="inlineStr">
        <is>
          <t>KALMAR LÄN</t>
        </is>
      </c>
      <c r="E426" t="inlineStr">
        <is>
          <t>VÄSTERVIK</t>
        </is>
      </c>
      <c r="G426" t="n">
        <v>6.5</v>
      </c>
      <c r="H426" t="n">
        <v>0</v>
      </c>
      <c r="I426" t="n">
        <v>0</v>
      </c>
      <c r="J426" t="n">
        <v>0</v>
      </c>
      <c r="K426" t="n">
        <v>0</v>
      </c>
      <c r="L426" t="n">
        <v>0</v>
      </c>
      <c r="M426" t="n">
        <v>0</v>
      </c>
      <c r="N426" t="n">
        <v>0</v>
      </c>
      <c r="O426" t="n">
        <v>0</v>
      </c>
      <c r="P426" t="n">
        <v>0</v>
      </c>
      <c r="Q426" t="n">
        <v>0</v>
      </c>
      <c r="R426" s="2" t="inlineStr"/>
    </row>
    <row r="427" ht="15" customHeight="1">
      <c r="A427" t="inlineStr">
        <is>
          <t>A 32052-2019</t>
        </is>
      </c>
      <c r="B427" s="1" t="n">
        <v>43643</v>
      </c>
      <c r="C427" s="1" t="n">
        <v>45843</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32048-2019</t>
        </is>
      </c>
      <c r="B428" s="1" t="n">
        <v>43643</v>
      </c>
      <c r="C428" s="1" t="n">
        <v>45843</v>
      </c>
      <c r="D428" t="inlineStr">
        <is>
          <t>KALMAR LÄN</t>
        </is>
      </c>
      <c r="E428" t="inlineStr">
        <is>
          <t>VÄSTERVIK</t>
        </is>
      </c>
      <c r="G428" t="n">
        <v>1.9</v>
      </c>
      <c r="H428" t="n">
        <v>0</v>
      </c>
      <c r="I428" t="n">
        <v>0</v>
      </c>
      <c r="J428" t="n">
        <v>0</v>
      </c>
      <c r="K428" t="n">
        <v>0</v>
      </c>
      <c r="L428" t="n">
        <v>0</v>
      </c>
      <c r="M428" t="n">
        <v>0</v>
      </c>
      <c r="N428" t="n">
        <v>0</v>
      </c>
      <c r="O428" t="n">
        <v>0</v>
      </c>
      <c r="P428" t="n">
        <v>0</v>
      </c>
      <c r="Q428" t="n">
        <v>0</v>
      </c>
      <c r="R428" s="2" t="inlineStr"/>
    </row>
    <row r="429" ht="15" customHeight="1">
      <c r="A429" t="inlineStr">
        <is>
          <t>A 32522-2019</t>
        </is>
      </c>
      <c r="B429" s="1" t="n">
        <v>43646</v>
      </c>
      <c r="C429" s="1" t="n">
        <v>45843</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32521-2019</t>
        </is>
      </c>
      <c r="B430" s="1" t="n">
        <v>43646</v>
      </c>
      <c r="C430" s="1" t="n">
        <v>45843</v>
      </c>
      <c r="D430" t="inlineStr">
        <is>
          <t>KALMAR LÄN</t>
        </is>
      </c>
      <c r="E430" t="inlineStr">
        <is>
          <t>VÄSTERVIK</t>
        </is>
      </c>
      <c r="G430" t="n">
        <v>0.4</v>
      </c>
      <c r="H430" t="n">
        <v>0</v>
      </c>
      <c r="I430" t="n">
        <v>0</v>
      </c>
      <c r="J430" t="n">
        <v>0</v>
      </c>
      <c r="K430" t="n">
        <v>0</v>
      </c>
      <c r="L430" t="n">
        <v>0</v>
      </c>
      <c r="M430" t="n">
        <v>0</v>
      </c>
      <c r="N430" t="n">
        <v>0</v>
      </c>
      <c r="O430" t="n">
        <v>0</v>
      </c>
      <c r="P430" t="n">
        <v>0</v>
      </c>
      <c r="Q430" t="n">
        <v>0</v>
      </c>
      <c r="R430" s="2" t="inlineStr"/>
    </row>
    <row r="431" ht="15" customHeight="1">
      <c r="A431" t="inlineStr">
        <is>
          <t>A 32524-2019</t>
        </is>
      </c>
      <c r="B431" s="1" t="n">
        <v>43646</v>
      </c>
      <c r="C431" s="1" t="n">
        <v>45843</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32523-2019</t>
        </is>
      </c>
      <c r="B432" s="1" t="n">
        <v>43646</v>
      </c>
      <c r="C432" s="1" t="n">
        <v>45843</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33752-2019</t>
        </is>
      </c>
      <c r="B433" s="1" t="n">
        <v>43651</v>
      </c>
      <c r="C433" s="1" t="n">
        <v>45843</v>
      </c>
      <c r="D433" t="inlineStr">
        <is>
          <t>KALMAR LÄN</t>
        </is>
      </c>
      <c r="E433" t="inlineStr">
        <is>
          <t>VÄSTERVIK</t>
        </is>
      </c>
      <c r="G433" t="n">
        <v>3.1</v>
      </c>
      <c r="H433" t="n">
        <v>0</v>
      </c>
      <c r="I433" t="n">
        <v>0</v>
      </c>
      <c r="J433" t="n">
        <v>0</v>
      </c>
      <c r="K433" t="n">
        <v>0</v>
      </c>
      <c r="L433" t="n">
        <v>0</v>
      </c>
      <c r="M433" t="n">
        <v>0</v>
      </c>
      <c r="N433" t="n">
        <v>0</v>
      </c>
      <c r="O433" t="n">
        <v>0</v>
      </c>
      <c r="P433" t="n">
        <v>0</v>
      </c>
      <c r="Q433" t="n">
        <v>0</v>
      </c>
      <c r="R433" s="2" t="inlineStr"/>
    </row>
    <row r="434" ht="15" customHeight="1">
      <c r="A434" t="inlineStr">
        <is>
          <t>A 33738-2019</t>
        </is>
      </c>
      <c r="B434" s="1" t="n">
        <v>43651</v>
      </c>
      <c r="C434" s="1" t="n">
        <v>45843</v>
      </c>
      <c r="D434" t="inlineStr">
        <is>
          <t>KALMAR LÄN</t>
        </is>
      </c>
      <c r="E434" t="inlineStr">
        <is>
          <t>VÄSTERVIK</t>
        </is>
      </c>
      <c r="G434" t="n">
        <v>2.5</v>
      </c>
      <c r="H434" t="n">
        <v>0</v>
      </c>
      <c r="I434" t="n">
        <v>0</v>
      </c>
      <c r="J434" t="n">
        <v>0</v>
      </c>
      <c r="K434" t="n">
        <v>0</v>
      </c>
      <c r="L434" t="n">
        <v>0</v>
      </c>
      <c r="M434" t="n">
        <v>0</v>
      </c>
      <c r="N434" t="n">
        <v>0</v>
      </c>
      <c r="O434" t="n">
        <v>0</v>
      </c>
      <c r="P434" t="n">
        <v>0</v>
      </c>
      <c r="Q434" t="n">
        <v>0</v>
      </c>
      <c r="R434" s="2" t="inlineStr"/>
    </row>
    <row r="435" ht="15" customHeight="1">
      <c r="A435" t="inlineStr">
        <is>
          <t>A 33741-2019</t>
        </is>
      </c>
      <c r="B435" s="1" t="n">
        <v>43651</v>
      </c>
      <c r="C435" s="1" t="n">
        <v>45843</v>
      </c>
      <c r="D435" t="inlineStr">
        <is>
          <t>KALMAR LÄN</t>
        </is>
      </c>
      <c r="E435" t="inlineStr">
        <is>
          <t>VÄSTERVIK</t>
        </is>
      </c>
      <c r="G435" t="n">
        <v>0.6</v>
      </c>
      <c r="H435" t="n">
        <v>0</v>
      </c>
      <c r="I435" t="n">
        <v>0</v>
      </c>
      <c r="J435" t="n">
        <v>0</v>
      </c>
      <c r="K435" t="n">
        <v>0</v>
      </c>
      <c r="L435" t="n">
        <v>0</v>
      </c>
      <c r="M435" t="n">
        <v>0</v>
      </c>
      <c r="N435" t="n">
        <v>0</v>
      </c>
      <c r="O435" t="n">
        <v>0</v>
      </c>
      <c r="P435" t="n">
        <v>0</v>
      </c>
      <c r="Q435" t="n">
        <v>0</v>
      </c>
      <c r="R435" s="2" t="inlineStr"/>
    </row>
    <row r="436" ht="15" customHeight="1">
      <c r="A436" t="inlineStr">
        <is>
          <t>A 35283-2019</t>
        </is>
      </c>
      <c r="B436" s="1" t="n">
        <v>43656</v>
      </c>
      <c r="C436" s="1" t="n">
        <v>45843</v>
      </c>
      <c r="D436" t="inlineStr">
        <is>
          <t>KALMAR LÄN</t>
        </is>
      </c>
      <c r="E436" t="inlineStr">
        <is>
          <t>VÄSTERVIK</t>
        </is>
      </c>
      <c r="G436" t="n">
        <v>3.2</v>
      </c>
      <c r="H436" t="n">
        <v>0</v>
      </c>
      <c r="I436" t="n">
        <v>0</v>
      </c>
      <c r="J436" t="n">
        <v>0</v>
      </c>
      <c r="K436" t="n">
        <v>0</v>
      </c>
      <c r="L436" t="n">
        <v>0</v>
      </c>
      <c r="M436" t="n">
        <v>0</v>
      </c>
      <c r="N436" t="n">
        <v>0</v>
      </c>
      <c r="O436" t="n">
        <v>0</v>
      </c>
      <c r="P436" t="n">
        <v>0</v>
      </c>
      <c r="Q436" t="n">
        <v>0</v>
      </c>
      <c r="R436" s="2" t="inlineStr"/>
    </row>
    <row r="437" ht="15" customHeight="1">
      <c r="A437" t="inlineStr">
        <is>
          <t>A 35284-2019</t>
        </is>
      </c>
      <c r="B437" s="1" t="n">
        <v>43656</v>
      </c>
      <c r="C437" s="1" t="n">
        <v>45843</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35285-2019</t>
        </is>
      </c>
      <c r="B438" s="1" t="n">
        <v>43656</v>
      </c>
      <c r="C438" s="1" t="n">
        <v>45843</v>
      </c>
      <c r="D438" t="inlineStr">
        <is>
          <t>KALMAR LÄN</t>
        </is>
      </c>
      <c r="E438" t="inlineStr">
        <is>
          <t>VÄSTERVIK</t>
        </is>
      </c>
      <c r="G438" t="n">
        <v>5.7</v>
      </c>
      <c r="H438" t="n">
        <v>0</v>
      </c>
      <c r="I438" t="n">
        <v>0</v>
      </c>
      <c r="J438" t="n">
        <v>0</v>
      </c>
      <c r="K438" t="n">
        <v>0</v>
      </c>
      <c r="L438" t="n">
        <v>0</v>
      </c>
      <c r="M438" t="n">
        <v>0</v>
      </c>
      <c r="N438" t="n">
        <v>0</v>
      </c>
      <c r="O438" t="n">
        <v>0</v>
      </c>
      <c r="P438" t="n">
        <v>0</v>
      </c>
      <c r="Q438" t="n">
        <v>0</v>
      </c>
      <c r="R438" s="2" t="inlineStr"/>
    </row>
    <row r="439" ht="15" customHeight="1">
      <c r="A439" t="inlineStr">
        <is>
          <t>A 37615-2019</t>
        </is>
      </c>
      <c r="B439" s="1" t="n">
        <v>43681</v>
      </c>
      <c r="C439" s="1" t="n">
        <v>45843</v>
      </c>
      <c r="D439" t="inlineStr">
        <is>
          <t>KALMAR LÄN</t>
        </is>
      </c>
      <c r="E439" t="inlineStr">
        <is>
          <t>VÄSTERVIK</t>
        </is>
      </c>
      <c r="G439" t="n">
        <v>3.9</v>
      </c>
      <c r="H439" t="n">
        <v>0</v>
      </c>
      <c r="I439" t="n">
        <v>0</v>
      </c>
      <c r="J439" t="n">
        <v>0</v>
      </c>
      <c r="K439" t="n">
        <v>0</v>
      </c>
      <c r="L439" t="n">
        <v>0</v>
      </c>
      <c r="M439" t="n">
        <v>0</v>
      </c>
      <c r="N439" t="n">
        <v>0</v>
      </c>
      <c r="O439" t="n">
        <v>0</v>
      </c>
      <c r="P439" t="n">
        <v>0</v>
      </c>
      <c r="Q439" t="n">
        <v>0</v>
      </c>
      <c r="R439" s="2" t="inlineStr"/>
    </row>
    <row r="440" ht="15" customHeight="1">
      <c r="A440" t="inlineStr">
        <is>
          <t>A 37983-2019</t>
        </is>
      </c>
      <c r="B440" s="1" t="n">
        <v>43683</v>
      </c>
      <c r="C440" s="1" t="n">
        <v>45843</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37920-2019</t>
        </is>
      </c>
      <c r="B441" s="1" t="n">
        <v>43683</v>
      </c>
      <c r="C441" s="1" t="n">
        <v>45843</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38229-2019</t>
        </is>
      </c>
      <c r="B442" s="1" t="n">
        <v>43684</v>
      </c>
      <c r="C442" s="1" t="n">
        <v>45843</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38239-2019</t>
        </is>
      </c>
      <c r="B443" s="1" t="n">
        <v>43684</v>
      </c>
      <c r="C443" s="1" t="n">
        <v>45843</v>
      </c>
      <c r="D443" t="inlineStr">
        <is>
          <t>KALMAR LÄN</t>
        </is>
      </c>
      <c r="E443" t="inlineStr">
        <is>
          <t>VÄSTERVIK</t>
        </is>
      </c>
      <c r="G443" t="n">
        <v>1.4</v>
      </c>
      <c r="H443" t="n">
        <v>0</v>
      </c>
      <c r="I443" t="n">
        <v>0</v>
      </c>
      <c r="J443" t="n">
        <v>0</v>
      </c>
      <c r="K443" t="n">
        <v>0</v>
      </c>
      <c r="L443" t="n">
        <v>0</v>
      </c>
      <c r="M443" t="n">
        <v>0</v>
      </c>
      <c r="N443" t="n">
        <v>0</v>
      </c>
      <c r="O443" t="n">
        <v>0</v>
      </c>
      <c r="P443" t="n">
        <v>0</v>
      </c>
      <c r="Q443" t="n">
        <v>0</v>
      </c>
      <c r="R443" s="2" t="inlineStr"/>
    </row>
    <row r="444" ht="15" customHeight="1">
      <c r="A444" t="inlineStr">
        <is>
          <t>A 38904-2019</t>
        </is>
      </c>
      <c r="B444" s="1" t="n">
        <v>43689</v>
      </c>
      <c r="C444" s="1" t="n">
        <v>45843</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39696-2019</t>
        </is>
      </c>
      <c r="B445" s="1" t="n">
        <v>43691</v>
      </c>
      <c r="C445" s="1" t="n">
        <v>45843</v>
      </c>
      <c r="D445" t="inlineStr">
        <is>
          <t>KALMAR LÄN</t>
        </is>
      </c>
      <c r="E445" t="inlineStr">
        <is>
          <t>VÄSTERVIK</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39745-2019</t>
        </is>
      </c>
      <c r="B446" s="1" t="n">
        <v>43691</v>
      </c>
      <c r="C446" s="1" t="n">
        <v>45843</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41961-2019</t>
        </is>
      </c>
      <c r="B447" s="1" t="n">
        <v>43698</v>
      </c>
      <c r="C447" s="1" t="n">
        <v>45843</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41728-2019</t>
        </is>
      </c>
      <c r="B448" s="1" t="n">
        <v>43699</v>
      </c>
      <c r="C448" s="1" t="n">
        <v>45843</v>
      </c>
      <c r="D448" t="inlineStr">
        <is>
          <t>KALMAR LÄN</t>
        </is>
      </c>
      <c r="E448" t="inlineStr">
        <is>
          <t>VÄSTERVIK</t>
        </is>
      </c>
      <c r="G448" t="n">
        <v>0.5</v>
      </c>
      <c r="H448" t="n">
        <v>0</v>
      </c>
      <c r="I448" t="n">
        <v>0</v>
      </c>
      <c r="J448" t="n">
        <v>0</v>
      </c>
      <c r="K448" t="n">
        <v>0</v>
      </c>
      <c r="L448" t="n">
        <v>0</v>
      </c>
      <c r="M448" t="n">
        <v>0</v>
      </c>
      <c r="N448" t="n">
        <v>0</v>
      </c>
      <c r="O448" t="n">
        <v>0</v>
      </c>
      <c r="P448" t="n">
        <v>0</v>
      </c>
      <c r="Q448" t="n">
        <v>0</v>
      </c>
      <c r="R448" s="2" t="inlineStr"/>
    </row>
    <row r="449" ht="15" customHeight="1">
      <c r="A449" t="inlineStr">
        <is>
          <t>A 44467-2019</t>
        </is>
      </c>
      <c r="B449" s="1" t="n">
        <v>43711</v>
      </c>
      <c r="C449" s="1" t="n">
        <v>45843</v>
      </c>
      <c r="D449" t="inlineStr">
        <is>
          <t>KALMAR LÄN</t>
        </is>
      </c>
      <c r="E449" t="inlineStr">
        <is>
          <t>VÄSTERVIK</t>
        </is>
      </c>
      <c r="G449" t="n">
        <v>2.5</v>
      </c>
      <c r="H449" t="n">
        <v>0</v>
      </c>
      <c r="I449" t="n">
        <v>0</v>
      </c>
      <c r="J449" t="n">
        <v>0</v>
      </c>
      <c r="K449" t="n">
        <v>0</v>
      </c>
      <c r="L449" t="n">
        <v>0</v>
      </c>
      <c r="M449" t="n">
        <v>0</v>
      </c>
      <c r="N449" t="n">
        <v>0</v>
      </c>
      <c r="O449" t="n">
        <v>0</v>
      </c>
      <c r="P449" t="n">
        <v>0</v>
      </c>
      <c r="Q449" t="n">
        <v>0</v>
      </c>
      <c r="R449" s="2" t="inlineStr"/>
    </row>
    <row r="450" ht="15" customHeight="1">
      <c r="A450" t="inlineStr">
        <is>
          <t>A 44639-2019</t>
        </is>
      </c>
      <c r="B450" s="1" t="n">
        <v>43712</v>
      </c>
      <c r="C450" s="1" t="n">
        <v>45843</v>
      </c>
      <c r="D450" t="inlineStr">
        <is>
          <t>KALMAR LÄN</t>
        </is>
      </c>
      <c r="E450" t="inlineStr">
        <is>
          <t>VÄSTERVIK</t>
        </is>
      </c>
      <c r="F450" t="inlineStr">
        <is>
          <t>Övriga Aktiebolag</t>
        </is>
      </c>
      <c r="G450" t="n">
        <v>5.9</v>
      </c>
      <c r="H450" t="n">
        <v>0</v>
      </c>
      <c r="I450" t="n">
        <v>0</v>
      </c>
      <c r="J450" t="n">
        <v>0</v>
      </c>
      <c r="K450" t="n">
        <v>0</v>
      </c>
      <c r="L450" t="n">
        <v>0</v>
      </c>
      <c r="M450" t="n">
        <v>0</v>
      </c>
      <c r="N450" t="n">
        <v>0</v>
      </c>
      <c r="O450" t="n">
        <v>0</v>
      </c>
      <c r="P450" t="n">
        <v>0</v>
      </c>
      <c r="Q450" t="n">
        <v>0</v>
      </c>
      <c r="R450" s="2" t="inlineStr"/>
    </row>
    <row r="451" ht="15" customHeight="1">
      <c r="A451" t="inlineStr">
        <is>
          <t>A 46173-2019</t>
        </is>
      </c>
      <c r="B451" s="1" t="n">
        <v>43712</v>
      </c>
      <c r="C451" s="1" t="n">
        <v>45843</v>
      </c>
      <c r="D451" t="inlineStr">
        <is>
          <t>KALMAR LÄN</t>
        </is>
      </c>
      <c r="E451" t="inlineStr">
        <is>
          <t>VÄSTERVIK</t>
        </is>
      </c>
      <c r="G451" t="n">
        <v>4.2</v>
      </c>
      <c r="H451" t="n">
        <v>0</v>
      </c>
      <c r="I451" t="n">
        <v>0</v>
      </c>
      <c r="J451" t="n">
        <v>0</v>
      </c>
      <c r="K451" t="n">
        <v>0</v>
      </c>
      <c r="L451" t="n">
        <v>0</v>
      </c>
      <c r="M451" t="n">
        <v>0</v>
      </c>
      <c r="N451" t="n">
        <v>0</v>
      </c>
      <c r="O451" t="n">
        <v>0</v>
      </c>
      <c r="P451" t="n">
        <v>0</v>
      </c>
      <c r="Q451" t="n">
        <v>0</v>
      </c>
      <c r="R451" s="2" t="inlineStr"/>
    </row>
    <row r="452" ht="15" customHeight="1">
      <c r="A452" t="inlineStr">
        <is>
          <t>A 45162-2019</t>
        </is>
      </c>
      <c r="B452" s="1" t="n">
        <v>43713</v>
      </c>
      <c r="C452" s="1" t="n">
        <v>45843</v>
      </c>
      <c r="D452" t="inlineStr">
        <is>
          <t>KALMAR LÄN</t>
        </is>
      </c>
      <c r="E452" t="inlineStr">
        <is>
          <t>VÄSTERVIK</t>
        </is>
      </c>
      <c r="F452" t="inlineStr">
        <is>
          <t>Holmen skog AB</t>
        </is>
      </c>
      <c r="G452" t="n">
        <v>0.8</v>
      </c>
      <c r="H452" t="n">
        <v>0</v>
      </c>
      <c r="I452" t="n">
        <v>0</v>
      </c>
      <c r="J452" t="n">
        <v>0</v>
      </c>
      <c r="K452" t="n">
        <v>0</v>
      </c>
      <c r="L452" t="n">
        <v>0</v>
      </c>
      <c r="M452" t="n">
        <v>0</v>
      </c>
      <c r="N452" t="n">
        <v>0</v>
      </c>
      <c r="O452" t="n">
        <v>0</v>
      </c>
      <c r="P452" t="n">
        <v>0</v>
      </c>
      <c r="Q452" t="n">
        <v>0</v>
      </c>
      <c r="R452" s="2" t="inlineStr"/>
    </row>
    <row r="453" ht="15" customHeight="1">
      <c r="A453" t="inlineStr">
        <is>
          <t>A 45379-2019</t>
        </is>
      </c>
      <c r="B453" s="1" t="n">
        <v>43713</v>
      </c>
      <c r="C453" s="1" t="n">
        <v>45843</v>
      </c>
      <c r="D453" t="inlineStr">
        <is>
          <t>KALMAR LÄN</t>
        </is>
      </c>
      <c r="E453" t="inlineStr">
        <is>
          <t>VÄSTERVIK</t>
        </is>
      </c>
      <c r="G453" t="n">
        <v>6.3</v>
      </c>
      <c r="H453" t="n">
        <v>0</v>
      </c>
      <c r="I453" t="n">
        <v>0</v>
      </c>
      <c r="J453" t="n">
        <v>0</v>
      </c>
      <c r="K453" t="n">
        <v>0</v>
      </c>
      <c r="L453" t="n">
        <v>0</v>
      </c>
      <c r="M453" t="n">
        <v>0</v>
      </c>
      <c r="N453" t="n">
        <v>0</v>
      </c>
      <c r="O453" t="n">
        <v>0</v>
      </c>
      <c r="P453" t="n">
        <v>0</v>
      </c>
      <c r="Q453" t="n">
        <v>0</v>
      </c>
      <c r="R453" s="2" t="inlineStr"/>
    </row>
    <row r="454" ht="15" customHeight="1">
      <c r="A454" t="inlineStr">
        <is>
          <t>A 45386-2019</t>
        </is>
      </c>
      <c r="B454" s="1" t="n">
        <v>43713</v>
      </c>
      <c r="C454" s="1" t="n">
        <v>45843</v>
      </c>
      <c r="D454" t="inlineStr">
        <is>
          <t>KALMAR LÄN</t>
        </is>
      </c>
      <c r="E454" t="inlineStr">
        <is>
          <t>VÄSTERVIK</t>
        </is>
      </c>
      <c r="G454" t="n">
        <v>11</v>
      </c>
      <c r="H454" t="n">
        <v>0</v>
      </c>
      <c r="I454" t="n">
        <v>0</v>
      </c>
      <c r="J454" t="n">
        <v>0</v>
      </c>
      <c r="K454" t="n">
        <v>0</v>
      </c>
      <c r="L454" t="n">
        <v>0</v>
      </c>
      <c r="M454" t="n">
        <v>0</v>
      </c>
      <c r="N454" t="n">
        <v>0</v>
      </c>
      <c r="O454" t="n">
        <v>0</v>
      </c>
      <c r="P454" t="n">
        <v>0</v>
      </c>
      <c r="Q454" t="n">
        <v>0</v>
      </c>
      <c r="R454" s="2" t="inlineStr"/>
    </row>
    <row r="455" ht="15" customHeight="1">
      <c r="A455" t="inlineStr">
        <is>
          <t>A 45757-2019</t>
        </is>
      </c>
      <c r="B455" s="1" t="n">
        <v>43717</v>
      </c>
      <c r="C455" s="1" t="n">
        <v>45843</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45772-2019</t>
        </is>
      </c>
      <c r="B456" s="1" t="n">
        <v>43717</v>
      </c>
      <c r="C456" s="1" t="n">
        <v>45843</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45897-2019</t>
        </is>
      </c>
      <c r="B457" s="1" t="n">
        <v>43717</v>
      </c>
      <c r="C457" s="1" t="n">
        <v>45843</v>
      </c>
      <c r="D457" t="inlineStr">
        <is>
          <t>KALMAR LÄN</t>
        </is>
      </c>
      <c r="E457" t="inlineStr">
        <is>
          <t>VÄSTERVIK</t>
        </is>
      </c>
      <c r="G457" t="n">
        <v>1.7</v>
      </c>
      <c r="H457" t="n">
        <v>0</v>
      </c>
      <c r="I457" t="n">
        <v>0</v>
      </c>
      <c r="J457" t="n">
        <v>0</v>
      </c>
      <c r="K457" t="n">
        <v>0</v>
      </c>
      <c r="L457" t="n">
        <v>0</v>
      </c>
      <c r="M457" t="n">
        <v>0</v>
      </c>
      <c r="N457" t="n">
        <v>0</v>
      </c>
      <c r="O457" t="n">
        <v>0</v>
      </c>
      <c r="P457" t="n">
        <v>0</v>
      </c>
      <c r="Q457" t="n">
        <v>0</v>
      </c>
      <c r="R457" s="2" t="inlineStr"/>
    </row>
    <row r="458" ht="15" customHeight="1">
      <c r="A458" t="inlineStr">
        <is>
          <t>A 46333-2019</t>
        </is>
      </c>
      <c r="B458" s="1" t="n">
        <v>43718</v>
      </c>
      <c r="C458" s="1" t="n">
        <v>45843</v>
      </c>
      <c r="D458" t="inlineStr">
        <is>
          <t>KALMAR LÄN</t>
        </is>
      </c>
      <c r="E458" t="inlineStr">
        <is>
          <t>VÄSTERVIK</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46942-2019</t>
        </is>
      </c>
      <c r="B459" s="1" t="n">
        <v>43719</v>
      </c>
      <c r="C459" s="1" t="n">
        <v>45843</v>
      </c>
      <c r="D459" t="inlineStr">
        <is>
          <t>KALMAR LÄN</t>
        </is>
      </c>
      <c r="E459" t="inlineStr">
        <is>
          <t>VÄSTERVIK</t>
        </is>
      </c>
      <c r="G459" t="n">
        <v>0.6</v>
      </c>
      <c r="H459" t="n">
        <v>0</v>
      </c>
      <c r="I459" t="n">
        <v>0</v>
      </c>
      <c r="J459" t="n">
        <v>0</v>
      </c>
      <c r="K459" t="n">
        <v>0</v>
      </c>
      <c r="L459" t="n">
        <v>0</v>
      </c>
      <c r="M459" t="n">
        <v>0</v>
      </c>
      <c r="N459" t="n">
        <v>0</v>
      </c>
      <c r="O459" t="n">
        <v>0</v>
      </c>
      <c r="P459" t="n">
        <v>0</v>
      </c>
      <c r="Q459" t="n">
        <v>0</v>
      </c>
      <c r="R459" s="2" t="inlineStr"/>
    </row>
    <row r="460" ht="15" customHeight="1">
      <c r="A460" t="inlineStr">
        <is>
          <t>A 47434-2019</t>
        </is>
      </c>
      <c r="B460" s="1" t="n">
        <v>43723</v>
      </c>
      <c r="C460" s="1" t="n">
        <v>45843</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47435-2019</t>
        </is>
      </c>
      <c r="B461" s="1" t="n">
        <v>43723</v>
      </c>
      <c r="C461" s="1" t="n">
        <v>45843</v>
      </c>
      <c r="D461" t="inlineStr">
        <is>
          <t>KALMAR LÄN</t>
        </is>
      </c>
      <c r="E461" t="inlineStr">
        <is>
          <t>VÄSTERVIK</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47438-2019</t>
        </is>
      </c>
      <c r="B462" s="1" t="n">
        <v>43723</v>
      </c>
      <c r="C462" s="1" t="n">
        <v>45843</v>
      </c>
      <c r="D462" t="inlineStr">
        <is>
          <t>KALMAR LÄN</t>
        </is>
      </c>
      <c r="E462" t="inlineStr">
        <is>
          <t>VÄSTERVIK</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47956-2019</t>
        </is>
      </c>
      <c r="B463" s="1" t="n">
        <v>43725</v>
      </c>
      <c r="C463" s="1" t="n">
        <v>45843</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47954-2019</t>
        </is>
      </c>
      <c r="B464" s="1" t="n">
        <v>43725</v>
      </c>
      <c r="C464" s="1" t="n">
        <v>45843</v>
      </c>
      <c r="D464" t="inlineStr">
        <is>
          <t>KALMAR LÄN</t>
        </is>
      </c>
      <c r="E464" t="inlineStr">
        <is>
          <t>VÄSTERVIK</t>
        </is>
      </c>
      <c r="G464" t="n">
        <v>6.8</v>
      </c>
      <c r="H464" t="n">
        <v>0</v>
      </c>
      <c r="I464" t="n">
        <v>0</v>
      </c>
      <c r="J464" t="n">
        <v>0</v>
      </c>
      <c r="K464" t="n">
        <v>0</v>
      </c>
      <c r="L464" t="n">
        <v>0</v>
      </c>
      <c r="M464" t="n">
        <v>0</v>
      </c>
      <c r="N464" t="n">
        <v>0</v>
      </c>
      <c r="O464" t="n">
        <v>0</v>
      </c>
      <c r="P464" t="n">
        <v>0</v>
      </c>
      <c r="Q464" t="n">
        <v>0</v>
      </c>
      <c r="R464" s="2" t="inlineStr"/>
    </row>
    <row r="465" ht="15" customHeight="1">
      <c r="A465" t="inlineStr">
        <is>
          <t>A 48357-2019</t>
        </is>
      </c>
      <c r="B465" s="1" t="n">
        <v>43726</v>
      </c>
      <c r="C465" s="1" t="n">
        <v>45843</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48982-2019</t>
        </is>
      </c>
      <c r="B466" s="1" t="n">
        <v>43729</v>
      </c>
      <c r="C466" s="1" t="n">
        <v>45843</v>
      </c>
      <c r="D466" t="inlineStr">
        <is>
          <t>KALMAR LÄN</t>
        </is>
      </c>
      <c r="E466" t="inlineStr">
        <is>
          <t>VÄSTERVIK</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48981-2019</t>
        </is>
      </c>
      <c r="B467" s="1" t="n">
        <v>43729</v>
      </c>
      <c r="C467" s="1" t="n">
        <v>45843</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48983-2019</t>
        </is>
      </c>
      <c r="B468" s="1" t="n">
        <v>43729</v>
      </c>
      <c r="C468" s="1" t="n">
        <v>45843</v>
      </c>
      <c r="D468" t="inlineStr">
        <is>
          <t>KALMAR LÄN</t>
        </is>
      </c>
      <c r="E468" t="inlineStr">
        <is>
          <t>VÄSTERVIK</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50461-2019</t>
        </is>
      </c>
      <c r="B469" s="1" t="n">
        <v>43735</v>
      </c>
      <c r="C469" s="1" t="n">
        <v>45843</v>
      </c>
      <c r="D469" t="inlineStr">
        <is>
          <t>KALMAR LÄN</t>
        </is>
      </c>
      <c r="E469" t="inlineStr">
        <is>
          <t>VÄSTERVIK</t>
        </is>
      </c>
      <c r="G469" t="n">
        <v>5.1</v>
      </c>
      <c r="H469" t="n">
        <v>0</v>
      </c>
      <c r="I469" t="n">
        <v>0</v>
      </c>
      <c r="J469" t="n">
        <v>0</v>
      </c>
      <c r="K469" t="n">
        <v>0</v>
      </c>
      <c r="L469" t="n">
        <v>0</v>
      </c>
      <c r="M469" t="n">
        <v>0</v>
      </c>
      <c r="N469" t="n">
        <v>0</v>
      </c>
      <c r="O469" t="n">
        <v>0</v>
      </c>
      <c r="P469" t="n">
        <v>0</v>
      </c>
      <c r="Q469" t="n">
        <v>0</v>
      </c>
      <c r="R469" s="2" t="inlineStr"/>
    </row>
    <row r="470" ht="15" customHeight="1">
      <c r="A470" t="inlineStr">
        <is>
          <t>A 50627-2019</t>
        </is>
      </c>
      <c r="B470" s="1" t="n">
        <v>43736</v>
      </c>
      <c r="C470" s="1" t="n">
        <v>45843</v>
      </c>
      <c r="D470" t="inlineStr">
        <is>
          <t>KALMAR LÄN</t>
        </is>
      </c>
      <c r="E470" t="inlineStr">
        <is>
          <t>VÄSTERVIK</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50626-2019</t>
        </is>
      </c>
      <c r="B471" s="1" t="n">
        <v>43736</v>
      </c>
      <c r="C471" s="1" t="n">
        <v>45843</v>
      </c>
      <c r="D471" t="inlineStr">
        <is>
          <t>KALMAR LÄN</t>
        </is>
      </c>
      <c r="E471" t="inlineStr">
        <is>
          <t>VÄSTERVIK</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51408-2019</t>
        </is>
      </c>
      <c r="B472" s="1" t="n">
        <v>43740</v>
      </c>
      <c r="C472" s="1" t="n">
        <v>45843</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52292-2019</t>
        </is>
      </c>
      <c r="B473" s="1" t="n">
        <v>43744</v>
      </c>
      <c r="C473" s="1" t="n">
        <v>45843</v>
      </c>
      <c r="D473" t="inlineStr">
        <is>
          <t>KALMAR LÄN</t>
        </is>
      </c>
      <c r="E473" t="inlineStr">
        <is>
          <t>VÄSTERVIK</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52527-2019</t>
        </is>
      </c>
      <c r="B474" s="1" t="n">
        <v>43745</v>
      </c>
      <c r="C474" s="1" t="n">
        <v>45843</v>
      </c>
      <c r="D474" t="inlineStr">
        <is>
          <t>KALMAR LÄN</t>
        </is>
      </c>
      <c r="E474" t="inlineStr">
        <is>
          <t>VÄSTERVIK</t>
        </is>
      </c>
      <c r="G474" t="n">
        <v>0.3</v>
      </c>
      <c r="H474" t="n">
        <v>0</v>
      </c>
      <c r="I474" t="n">
        <v>0</v>
      </c>
      <c r="J474" t="n">
        <v>0</v>
      </c>
      <c r="K474" t="n">
        <v>0</v>
      </c>
      <c r="L474" t="n">
        <v>0</v>
      </c>
      <c r="M474" t="n">
        <v>0</v>
      </c>
      <c r="N474" t="n">
        <v>0</v>
      </c>
      <c r="O474" t="n">
        <v>0</v>
      </c>
      <c r="P474" t="n">
        <v>0</v>
      </c>
      <c r="Q474" t="n">
        <v>0</v>
      </c>
      <c r="R474" s="2" t="inlineStr"/>
    </row>
    <row r="475" ht="15" customHeight="1">
      <c r="A475" t="inlineStr">
        <is>
          <t>A 53714-2019</t>
        </is>
      </c>
      <c r="B475" s="1" t="n">
        <v>43749</v>
      </c>
      <c r="C475" s="1" t="n">
        <v>45843</v>
      </c>
      <c r="D475" t="inlineStr">
        <is>
          <t>KALMAR LÄN</t>
        </is>
      </c>
      <c r="E475" t="inlineStr">
        <is>
          <t>VÄSTERVIK</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53546-2019</t>
        </is>
      </c>
      <c r="B476" s="1" t="n">
        <v>43749</v>
      </c>
      <c r="C476" s="1" t="n">
        <v>45843</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54591-2019</t>
        </is>
      </c>
      <c r="B477" s="1" t="n">
        <v>43754</v>
      </c>
      <c r="C477" s="1" t="n">
        <v>45843</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54597-2019</t>
        </is>
      </c>
      <c r="B478" s="1" t="n">
        <v>43754</v>
      </c>
      <c r="C478" s="1" t="n">
        <v>45843</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57650-2019</t>
        </is>
      </c>
      <c r="B479" s="1" t="n">
        <v>43761</v>
      </c>
      <c r="C479" s="1" t="n">
        <v>45843</v>
      </c>
      <c r="D479" t="inlineStr">
        <is>
          <t>KALMAR LÄN</t>
        </is>
      </c>
      <c r="E479" t="inlineStr">
        <is>
          <t>VÄSTERVIK</t>
        </is>
      </c>
      <c r="G479" t="n">
        <v>1.3</v>
      </c>
      <c r="H479" t="n">
        <v>0</v>
      </c>
      <c r="I479" t="n">
        <v>0</v>
      </c>
      <c r="J479" t="n">
        <v>0</v>
      </c>
      <c r="K479" t="n">
        <v>0</v>
      </c>
      <c r="L479" t="n">
        <v>0</v>
      </c>
      <c r="M479" t="n">
        <v>0</v>
      </c>
      <c r="N479" t="n">
        <v>0</v>
      </c>
      <c r="O479" t="n">
        <v>0</v>
      </c>
      <c r="P479" t="n">
        <v>0</v>
      </c>
      <c r="Q479" t="n">
        <v>0</v>
      </c>
      <c r="R479" s="2" t="inlineStr"/>
    </row>
    <row r="480" ht="15" customHeight="1">
      <c r="A480" t="inlineStr">
        <is>
          <t>A 57654-2019</t>
        </is>
      </c>
      <c r="B480" s="1" t="n">
        <v>43761</v>
      </c>
      <c r="C480" s="1" t="n">
        <v>45843</v>
      </c>
      <c r="D480" t="inlineStr">
        <is>
          <t>KALMAR LÄN</t>
        </is>
      </c>
      <c r="E480" t="inlineStr">
        <is>
          <t>VÄSTERVIK</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56580-2019</t>
        </is>
      </c>
      <c r="B481" s="1" t="n">
        <v>43763</v>
      </c>
      <c r="C481" s="1" t="n">
        <v>45843</v>
      </c>
      <c r="D481" t="inlineStr">
        <is>
          <t>KALMAR LÄN</t>
        </is>
      </c>
      <c r="E481" t="inlineStr">
        <is>
          <t>VÄSTERVIK</t>
        </is>
      </c>
      <c r="F481" t="inlineStr">
        <is>
          <t>Övriga Aktiebolag</t>
        </is>
      </c>
      <c r="G481" t="n">
        <v>2.4</v>
      </c>
      <c r="H481" t="n">
        <v>0</v>
      </c>
      <c r="I481" t="n">
        <v>0</v>
      </c>
      <c r="J481" t="n">
        <v>0</v>
      </c>
      <c r="K481" t="n">
        <v>0</v>
      </c>
      <c r="L481" t="n">
        <v>0</v>
      </c>
      <c r="M481" t="n">
        <v>0</v>
      </c>
      <c r="N481" t="n">
        <v>0</v>
      </c>
      <c r="O481" t="n">
        <v>0</v>
      </c>
      <c r="P481" t="n">
        <v>0</v>
      </c>
      <c r="Q481" t="n">
        <v>0</v>
      </c>
      <c r="R481" s="2" t="inlineStr"/>
    </row>
    <row r="482" ht="15" customHeight="1">
      <c r="A482" t="inlineStr">
        <is>
          <t>A 57770-2019</t>
        </is>
      </c>
      <c r="B482" s="1" t="n">
        <v>43768</v>
      </c>
      <c r="C482" s="1" t="n">
        <v>45843</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58323-2019</t>
        </is>
      </c>
      <c r="B483" s="1" t="n">
        <v>43770</v>
      </c>
      <c r="C483" s="1" t="n">
        <v>45843</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58386-2019</t>
        </is>
      </c>
      <c r="B484" s="1" t="n">
        <v>43772</v>
      </c>
      <c r="C484" s="1" t="n">
        <v>45843</v>
      </c>
      <c r="D484" t="inlineStr">
        <is>
          <t>KALMAR LÄN</t>
        </is>
      </c>
      <c r="E484" t="inlineStr">
        <is>
          <t>VÄSTERVIK</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58658-2019</t>
        </is>
      </c>
      <c r="B485" s="1" t="n">
        <v>43773</v>
      </c>
      <c r="C485" s="1" t="n">
        <v>45843</v>
      </c>
      <c r="D485" t="inlineStr">
        <is>
          <t>KALMAR LÄN</t>
        </is>
      </c>
      <c r="E485" t="inlineStr">
        <is>
          <t>VÄSTERVIK</t>
        </is>
      </c>
      <c r="F485" t="inlineStr">
        <is>
          <t>Kyrkan</t>
        </is>
      </c>
      <c r="G485" t="n">
        <v>2.9</v>
      </c>
      <c r="H485" t="n">
        <v>0</v>
      </c>
      <c r="I485" t="n">
        <v>0</v>
      </c>
      <c r="J485" t="n">
        <v>0</v>
      </c>
      <c r="K485" t="n">
        <v>0</v>
      </c>
      <c r="L485" t="n">
        <v>0</v>
      </c>
      <c r="M485" t="n">
        <v>0</v>
      </c>
      <c r="N485" t="n">
        <v>0</v>
      </c>
      <c r="O485" t="n">
        <v>0</v>
      </c>
      <c r="P485" t="n">
        <v>0</v>
      </c>
      <c r="Q485" t="n">
        <v>0</v>
      </c>
      <c r="R485" s="2" t="inlineStr"/>
    </row>
    <row r="486" ht="15" customHeight="1">
      <c r="A486" t="inlineStr">
        <is>
          <t>A 59753-2019</t>
        </is>
      </c>
      <c r="B486" s="1" t="n">
        <v>43776</v>
      </c>
      <c r="C486" s="1" t="n">
        <v>45843</v>
      </c>
      <c r="D486" t="inlineStr">
        <is>
          <t>KALMAR LÄN</t>
        </is>
      </c>
      <c r="E486" t="inlineStr">
        <is>
          <t>VÄSTERVIK</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59898-2019</t>
        </is>
      </c>
      <c r="B487" s="1" t="n">
        <v>43777</v>
      </c>
      <c r="C487" s="1" t="n">
        <v>45843</v>
      </c>
      <c r="D487" t="inlineStr">
        <is>
          <t>KALMAR LÄN</t>
        </is>
      </c>
      <c r="E487" t="inlineStr">
        <is>
          <t>VÄSTERVIK</t>
        </is>
      </c>
      <c r="G487" t="n">
        <v>3.6</v>
      </c>
      <c r="H487" t="n">
        <v>0</v>
      </c>
      <c r="I487" t="n">
        <v>0</v>
      </c>
      <c r="J487" t="n">
        <v>0</v>
      </c>
      <c r="K487" t="n">
        <v>0</v>
      </c>
      <c r="L487" t="n">
        <v>0</v>
      </c>
      <c r="M487" t="n">
        <v>0</v>
      </c>
      <c r="N487" t="n">
        <v>0</v>
      </c>
      <c r="O487" t="n">
        <v>0</v>
      </c>
      <c r="P487" t="n">
        <v>0</v>
      </c>
      <c r="Q487" t="n">
        <v>0</v>
      </c>
      <c r="R487" s="2" t="inlineStr"/>
    </row>
    <row r="488" ht="15" customHeight="1">
      <c r="A488" t="inlineStr">
        <is>
          <t>A 59892-2019</t>
        </is>
      </c>
      <c r="B488" s="1" t="n">
        <v>43777</v>
      </c>
      <c r="C488" s="1" t="n">
        <v>45843</v>
      </c>
      <c r="D488" t="inlineStr">
        <is>
          <t>KALMAR LÄN</t>
        </is>
      </c>
      <c r="E488" t="inlineStr">
        <is>
          <t>VÄSTERVIK</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59937-2019</t>
        </is>
      </c>
      <c r="B489" s="1" t="n">
        <v>43777</v>
      </c>
      <c r="C489" s="1" t="n">
        <v>45843</v>
      </c>
      <c r="D489" t="inlineStr">
        <is>
          <t>KALMAR LÄN</t>
        </is>
      </c>
      <c r="E489" t="inlineStr">
        <is>
          <t>VÄSTERVIK</t>
        </is>
      </c>
      <c r="G489" t="n">
        <v>4.8</v>
      </c>
      <c r="H489" t="n">
        <v>0</v>
      </c>
      <c r="I489" t="n">
        <v>0</v>
      </c>
      <c r="J489" t="n">
        <v>0</v>
      </c>
      <c r="K489" t="n">
        <v>0</v>
      </c>
      <c r="L489" t="n">
        <v>0</v>
      </c>
      <c r="M489" t="n">
        <v>0</v>
      </c>
      <c r="N489" t="n">
        <v>0</v>
      </c>
      <c r="O489" t="n">
        <v>0</v>
      </c>
      <c r="P489" t="n">
        <v>0</v>
      </c>
      <c r="Q489" t="n">
        <v>0</v>
      </c>
      <c r="R489" s="2" t="inlineStr"/>
    </row>
    <row r="490" ht="15" customHeight="1">
      <c r="A490" t="inlineStr">
        <is>
          <t>A 60707-2019</t>
        </is>
      </c>
      <c r="B490" s="1" t="n">
        <v>43781</v>
      </c>
      <c r="C490" s="1" t="n">
        <v>45843</v>
      </c>
      <c r="D490" t="inlineStr">
        <is>
          <t>KALMAR LÄN</t>
        </is>
      </c>
      <c r="E490" t="inlineStr">
        <is>
          <t>VÄSTERVIK</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61055-2019</t>
        </is>
      </c>
      <c r="B491" s="1" t="n">
        <v>43782</v>
      </c>
      <c r="C491" s="1" t="n">
        <v>45843</v>
      </c>
      <c r="D491" t="inlineStr">
        <is>
          <t>KALMAR LÄN</t>
        </is>
      </c>
      <c r="E491" t="inlineStr">
        <is>
          <t>VÄSTERVIK</t>
        </is>
      </c>
      <c r="G491" t="n">
        <v>2.8</v>
      </c>
      <c r="H491" t="n">
        <v>0</v>
      </c>
      <c r="I491" t="n">
        <v>0</v>
      </c>
      <c r="J491" t="n">
        <v>0</v>
      </c>
      <c r="K491" t="n">
        <v>0</v>
      </c>
      <c r="L491" t="n">
        <v>0</v>
      </c>
      <c r="M491" t="n">
        <v>0</v>
      </c>
      <c r="N491" t="n">
        <v>0</v>
      </c>
      <c r="O491" t="n">
        <v>0</v>
      </c>
      <c r="P491" t="n">
        <v>0</v>
      </c>
      <c r="Q491" t="n">
        <v>0</v>
      </c>
      <c r="R491" s="2" t="inlineStr"/>
    </row>
    <row r="492" ht="15" customHeight="1">
      <c r="A492" t="inlineStr">
        <is>
          <t>A 61708-2019</t>
        </is>
      </c>
      <c r="B492" s="1" t="n">
        <v>43784</v>
      </c>
      <c r="C492" s="1" t="n">
        <v>45843</v>
      </c>
      <c r="D492" t="inlineStr">
        <is>
          <t>KALMAR LÄN</t>
        </is>
      </c>
      <c r="E492" t="inlineStr">
        <is>
          <t>VÄSTERVIK</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62093-2019</t>
        </is>
      </c>
      <c r="B493" s="1" t="n">
        <v>43787</v>
      </c>
      <c r="C493" s="1" t="n">
        <v>45843</v>
      </c>
      <c r="D493" t="inlineStr">
        <is>
          <t>KALMAR LÄN</t>
        </is>
      </c>
      <c r="E493" t="inlineStr">
        <is>
          <t>VÄSTERVIK</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62046-2019</t>
        </is>
      </c>
      <c r="B494" s="1" t="n">
        <v>43787</v>
      </c>
      <c r="C494" s="1" t="n">
        <v>45843</v>
      </c>
      <c r="D494" t="inlineStr">
        <is>
          <t>KALMAR LÄN</t>
        </is>
      </c>
      <c r="E494" t="inlineStr">
        <is>
          <t>VÄSTERVIK</t>
        </is>
      </c>
      <c r="G494" t="n">
        <v>2.7</v>
      </c>
      <c r="H494" t="n">
        <v>0</v>
      </c>
      <c r="I494" t="n">
        <v>0</v>
      </c>
      <c r="J494" t="n">
        <v>0</v>
      </c>
      <c r="K494" t="n">
        <v>0</v>
      </c>
      <c r="L494" t="n">
        <v>0</v>
      </c>
      <c r="M494" t="n">
        <v>0</v>
      </c>
      <c r="N494" t="n">
        <v>0</v>
      </c>
      <c r="O494" t="n">
        <v>0</v>
      </c>
      <c r="P494" t="n">
        <v>0</v>
      </c>
      <c r="Q494" t="n">
        <v>0</v>
      </c>
      <c r="R494" s="2" t="inlineStr"/>
    </row>
    <row r="495" ht="15" customHeight="1">
      <c r="A495" t="inlineStr">
        <is>
          <t>A 62473-2019</t>
        </is>
      </c>
      <c r="B495" s="1" t="n">
        <v>43788</v>
      </c>
      <c r="C495" s="1" t="n">
        <v>45843</v>
      </c>
      <c r="D495" t="inlineStr">
        <is>
          <t>KALMAR LÄN</t>
        </is>
      </c>
      <c r="E495" t="inlineStr">
        <is>
          <t>VÄSTERVIK</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62660-2019</t>
        </is>
      </c>
      <c r="B496" s="1" t="n">
        <v>43789</v>
      </c>
      <c r="C496" s="1" t="n">
        <v>45843</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63090-2019</t>
        </is>
      </c>
      <c r="B497" s="1" t="n">
        <v>43791</v>
      </c>
      <c r="C497" s="1" t="n">
        <v>45843</v>
      </c>
      <c r="D497" t="inlineStr">
        <is>
          <t>KALMAR LÄN</t>
        </is>
      </c>
      <c r="E497" t="inlineStr">
        <is>
          <t>VÄSTERVIK</t>
        </is>
      </c>
      <c r="F497" t="inlineStr">
        <is>
          <t>Övriga Aktiebolag</t>
        </is>
      </c>
      <c r="G497" t="n">
        <v>5.8</v>
      </c>
      <c r="H497" t="n">
        <v>0</v>
      </c>
      <c r="I497" t="n">
        <v>0</v>
      </c>
      <c r="J497" t="n">
        <v>0</v>
      </c>
      <c r="K497" t="n">
        <v>0</v>
      </c>
      <c r="L497" t="n">
        <v>0</v>
      </c>
      <c r="M497" t="n">
        <v>0</v>
      </c>
      <c r="N497" t="n">
        <v>0</v>
      </c>
      <c r="O497" t="n">
        <v>0</v>
      </c>
      <c r="P497" t="n">
        <v>0</v>
      </c>
      <c r="Q497" t="n">
        <v>0</v>
      </c>
      <c r="R497" s="2" t="inlineStr"/>
    </row>
    <row r="498" ht="15" customHeight="1">
      <c r="A498" t="inlineStr">
        <is>
          <t>A 63385-2019</t>
        </is>
      </c>
      <c r="B498" s="1" t="n">
        <v>43794</v>
      </c>
      <c r="C498" s="1" t="n">
        <v>45843</v>
      </c>
      <c r="D498" t="inlineStr">
        <is>
          <t>KALMAR LÄN</t>
        </is>
      </c>
      <c r="E498" t="inlineStr">
        <is>
          <t>VÄSTERVIK</t>
        </is>
      </c>
      <c r="G498" t="n">
        <v>5.1</v>
      </c>
      <c r="H498" t="n">
        <v>0</v>
      </c>
      <c r="I498" t="n">
        <v>0</v>
      </c>
      <c r="J498" t="n">
        <v>0</v>
      </c>
      <c r="K498" t="n">
        <v>0</v>
      </c>
      <c r="L498" t="n">
        <v>0</v>
      </c>
      <c r="M498" t="n">
        <v>0</v>
      </c>
      <c r="N498" t="n">
        <v>0</v>
      </c>
      <c r="O498" t="n">
        <v>0</v>
      </c>
      <c r="P498" t="n">
        <v>0</v>
      </c>
      <c r="Q498" t="n">
        <v>0</v>
      </c>
      <c r="R498" s="2" t="inlineStr"/>
    </row>
    <row r="499" ht="15" customHeight="1">
      <c r="A499" t="inlineStr">
        <is>
          <t>A 64610-2019</t>
        </is>
      </c>
      <c r="B499" s="1" t="n">
        <v>43798</v>
      </c>
      <c r="C499" s="1" t="n">
        <v>45843</v>
      </c>
      <c r="D499" t="inlineStr">
        <is>
          <t>KALMAR LÄN</t>
        </is>
      </c>
      <c r="E499" t="inlineStr">
        <is>
          <t>VÄSTERVIK</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65604-2019</t>
        </is>
      </c>
      <c r="B500" s="1" t="n">
        <v>43804</v>
      </c>
      <c r="C500" s="1" t="n">
        <v>45843</v>
      </c>
      <c r="D500" t="inlineStr">
        <is>
          <t>KALMAR LÄN</t>
        </is>
      </c>
      <c r="E500" t="inlineStr">
        <is>
          <t>VÄSTERVIK</t>
        </is>
      </c>
      <c r="G500" t="n">
        <v>3.8</v>
      </c>
      <c r="H500" t="n">
        <v>0</v>
      </c>
      <c r="I500" t="n">
        <v>0</v>
      </c>
      <c r="J500" t="n">
        <v>0</v>
      </c>
      <c r="K500" t="n">
        <v>0</v>
      </c>
      <c r="L500" t="n">
        <v>0</v>
      </c>
      <c r="M500" t="n">
        <v>0</v>
      </c>
      <c r="N500" t="n">
        <v>0</v>
      </c>
      <c r="O500" t="n">
        <v>0</v>
      </c>
      <c r="P500" t="n">
        <v>0</v>
      </c>
      <c r="Q500" t="n">
        <v>0</v>
      </c>
      <c r="R500" s="2" t="inlineStr"/>
    </row>
    <row r="501" ht="15" customHeight="1">
      <c r="A501" t="inlineStr">
        <is>
          <t>A 66743-2019</t>
        </is>
      </c>
      <c r="B501" s="1" t="n">
        <v>43804</v>
      </c>
      <c r="C501" s="1" t="n">
        <v>45843</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c r="U501">
        <f>HYPERLINK("https://klasma.github.io/Logging_0883/knärot/A 66743-2019 karta knärot.png", "A 66743-2019")</f>
        <v/>
      </c>
      <c r="V501">
        <f>HYPERLINK("https://klasma.github.io/Logging_0883/klagomål/A 66743-2019 FSC-klagomål.docx", "A 66743-2019")</f>
        <v/>
      </c>
      <c r="W501">
        <f>HYPERLINK("https://klasma.github.io/Logging_0883/klagomålsmail/A 66743-2019 FSC-klagomål mail.docx", "A 66743-2019")</f>
        <v/>
      </c>
      <c r="X501">
        <f>HYPERLINK("https://klasma.github.io/Logging_0883/tillsyn/A 66743-2019 tillsynsbegäran.docx", "A 66743-2019")</f>
        <v/>
      </c>
      <c r="Y501">
        <f>HYPERLINK("https://klasma.github.io/Logging_0883/tillsynsmail/A 66743-2019 tillsynsbegäran mail.docx", "A 66743-2019")</f>
        <v/>
      </c>
    </row>
    <row r="502" ht="15" customHeight="1">
      <c r="A502" t="inlineStr">
        <is>
          <t>A 66279-2019</t>
        </is>
      </c>
      <c r="B502" s="1" t="n">
        <v>43808</v>
      </c>
      <c r="C502" s="1" t="n">
        <v>45843</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66232-2019</t>
        </is>
      </c>
      <c r="B503" s="1" t="n">
        <v>43808</v>
      </c>
      <c r="C503" s="1" t="n">
        <v>45843</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67407-2019</t>
        </is>
      </c>
      <c r="B504" s="1" t="n">
        <v>43812</v>
      </c>
      <c r="C504" s="1" t="n">
        <v>45843</v>
      </c>
      <c r="D504" t="inlineStr">
        <is>
          <t>KALMAR LÄN</t>
        </is>
      </c>
      <c r="E504" t="inlineStr">
        <is>
          <t>VÄSTERVIK</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68494-2019</t>
        </is>
      </c>
      <c r="B505" s="1" t="n">
        <v>43818</v>
      </c>
      <c r="C505" s="1" t="n">
        <v>45843</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68764-2019</t>
        </is>
      </c>
      <c r="B506" s="1" t="n">
        <v>43819</v>
      </c>
      <c r="C506" s="1" t="n">
        <v>45843</v>
      </c>
      <c r="D506" t="inlineStr">
        <is>
          <t>KALMAR LÄN</t>
        </is>
      </c>
      <c r="E506" t="inlineStr">
        <is>
          <t>VÄSTERVIK</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483-2020</t>
        </is>
      </c>
      <c r="B507" s="1" t="n">
        <v>43837</v>
      </c>
      <c r="C507" s="1" t="n">
        <v>45843</v>
      </c>
      <c r="D507" t="inlineStr">
        <is>
          <t>KALMAR LÄN</t>
        </is>
      </c>
      <c r="E507" t="inlineStr">
        <is>
          <t>VÄSTERVIK</t>
        </is>
      </c>
      <c r="G507" t="n">
        <v>0.5</v>
      </c>
      <c r="H507" t="n">
        <v>0</v>
      </c>
      <c r="I507" t="n">
        <v>0</v>
      </c>
      <c r="J507" t="n">
        <v>0</v>
      </c>
      <c r="K507" t="n">
        <v>0</v>
      </c>
      <c r="L507" t="n">
        <v>0</v>
      </c>
      <c r="M507" t="n">
        <v>0</v>
      </c>
      <c r="N507" t="n">
        <v>0</v>
      </c>
      <c r="O507" t="n">
        <v>0</v>
      </c>
      <c r="P507" t="n">
        <v>0</v>
      </c>
      <c r="Q507" t="n">
        <v>0</v>
      </c>
      <c r="R507" s="2" t="inlineStr"/>
    </row>
    <row r="508" ht="15" customHeight="1">
      <c r="A508" t="inlineStr">
        <is>
          <t>A 777-2020</t>
        </is>
      </c>
      <c r="B508" s="1" t="n">
        <v>43838</v>
      </c>
      <c r="C508" s="1" t="n">
        <v>45843</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776-2020</t>
        </is>
      </c>
      <c r="B509" s="1" t="n">
        <v>43838</v>
      </c>
      <c r="C509" s="1" t="n">
        <v>45843</v>
      </c>
      <c r="D509" t="inlineStr">
        <is>
          <t>KALMAR LÄN</t>
        </is>
      </c>
      <c r="E509" t="inlineStr">
        <is>
          <t>VÄSTERVIK</t>
        </is>
      </c>
      <c r="G509" t="n">
        <v>2.2</v>
      </c>
      <c r="H509" t="n">
        <v>0</v>
      </c>
      <c r="I509" t="n">
        <v>0</v>
      </c>
      <c r="J509" t="n">
        <v>0</v>
      </c>
      <c r="K509" t="n">
        <v>0</v>
      </c>
      <c r="L509" t="n">
        <v>0</v>
      </c>
      <c r="M509" t="n">
        <v>0</v>
      </c>
      <c r="N509" t="n">
        <v>0</v>
      </c>
      <c r="O509" t="n">
        <v>0</v>
      </c>
      <c r="P509" t="n">
        <v>0</v>
      </c>
      <c r="Q509" t="n">
        <v>0</v>
      </c>
      <c r="R509" s="2" t="inlineStr"/>
    </row>
    <row r="510" ht="15" customHeight="1">
      <c r="A510" t="inlineStr">
        <is>
          <t>A 1989-2020</t>
        </is>
      </c>
      <c r="B510" s="1" t="n">
        <v>43838</v>
      </c>
      <c r="C510" s="1" t="n">
        <v>45843</v>
      </c>
      <c r="D510" t="inlineStr">
        <is>
          <t>KALMAR LÄN</t>
        </is>
      </c>
      <c r="E510" t="inlineStr">
        <is>
          <t>VÄSTERVIK</t>
        </is>
      </c>
      <c r="G510" t="n">
        <v>3.7</v>
      </c>
      <c r="H510" t="n">
        <v>0</v>
      </c>
      <c r="I510" t="n">
        <v>0</v>
      </c>
      <c r="J510" t="n">
        <v>0</v>
      </c>
      <c r="K510" t="n">
        <v>0</v>
      </c>
      <c r="L510" t="n">
        <v>0</v>
      </c>
      <c r="M510" t="n">
        <v>0</v>
      </c>
      <c r="N510" t="n">
        <v>0</v>
      </c>
      <c r="O510" t="n">
        <v>0</v>
      </c>
      <c r="P510" t="n">
        <v>0</v>
      </c>
      <c r="Q510" t="n">
        <v>0</v>
      </c>
      <c r="R510" s="2" t="inlineStr"/>
    </row>
    <row r="511" ht="15" customHeight="1">
      <c r="A511" t="inlineStr">
        <is>
          <t>A 2494-2020</t>
        </is>
      </c>
      <c r="B511" s="1" t="n">
        <v>43847</v>
      </c>
      <c r="C511" s="1" t="n">
        <v>45843</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3739-2020</t>
        </is>
      </c>
      <c r="B512" s="1" t="n">
        <v>43853</v>
      </c>
      <c r="C512" s="1" t="n">
        <v>45843</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3934-2020</t>
        </is>
      </c>
      <c r="B513" s="1" t="n">
        <v>43854</v>
      </c>
      <c r="C513" s="1" t="n">
        <v>45843</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row>
    <row r="514" ht="15" customHeight="1">
      <c r="A514" t="inlineStr">
        <is>
          <t>A 4786-2020</t>
        </is>
      </c>
      <c r="B514" s="1" t="n">
        <v>43859</v>
      </c>
      <c r="C514" s="1" t="n">
        <v>45843</v>
      </c>
      <c r="D514" t="inlineStr">
        <is>
          <t>KALMAR LÄN</t>
        </is>
      </c>
      <c r="E514" t="inlineStr">
        <is>
          <t>VÄSTERVIK</t>
        </is>
      </c>
      <c r="G514" t="n">
        <v>1.3</v>
      </c>
      <c r="H514" t="n">
        <v>0</v>
      </c>
      <c r="I514" t="n">
        <v>0</v>
      </c>
      <c r="J514" t="n">
        <v>0</v>
      </c>
      <c r="K514" t="n">
        <v>0</v>
      </c>
      <c r="L514" t="n">
        <v>0</v>
      </c>
      <c r="M514" t="n">
        <v>0</v>
      </c>
      <c r="N514" t="n">
        <v>0</v>
      </c>
      <c r="O514" t="n">
        <v>0</v>
      </c>
      <c r="P514" t="n">
        <v>0</v>
      </c>
      <c r="Q514" t="n">
        <v>0</v>
      </c>
      <c r="R514" s="2" t="inlineStr"/>
    </row>
    <row r="515" ht="15" customHeight="1">
      <c r="A515" t="inlineStr">
        <is>
          <t>A 4954-2020</t>
        </is>
      </c>
      <c r="B515" s="1" t="n">
        <v>43859</v>
      </c>
      <c r="C515" s="1" t="n">
        <v>45843</v>
      </c>
      <c r="D515" t="inlineStr">
        <is>
          <t>KALMAR LÄN</t>
        </is>
      </c>
      <c r="E515" t="inlineStr">
        <is>
          <t>VÄSTERVIK</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4992-2020</t>
        </is>
      </c>
      <c r="B516" s="1" t="n">
        <v>43859</v>
      </c>
      <c r="C516" s="1" t="n">
        <v>45843</v>
      </c>
      <c r="D516" t="inlineStr">
        <is>
          <t>KALMAR LÄN</t>
        </is>
      </c>
      <c r="E516" t="inlineStr">
        <is>
          <t>VÄSTERVIK</t>
        </is>
      </c>
      <c r="G516" t="n">
        <v>1.4</v>
      </c>
      <c r="H516" t="n">
        <v>0</v>
      </c>
      <c r="I516" t="n">
        <v>0</v>
      </c>
      <c r="J516" t="n">
        <v>0</v>
      </c>
      <c r="K516" t="n">
        <v>0</v>
      </c>
      <c r="L516" t="n">
        <v>0</v>
      </c>
      <c r="M516" t="n">
        <v>0</v>
      </c>
      <c r="N516" t="n">
        <v>0</v>
      </c>
      <c r="O516" t="n">
        <v>0</v>
      </c>
      <c r="P516" t="n">
        <v>0</v>
      </c>
      <c r="Q516" t="n">
        <v>0</v>
      </c>
      <c r="R516" s="2" t="inlineStr"/>
    </row>
    <row r="517" ht="15" customHeight="1">
      <c r="A517" t="inlineStr">
        <is>
          <t>A 4939-2020</t>
        </is>
      </c>
      <c r="B517" s="1" t="n">
        <v>43859</v>
      </c>
      <c r="C517" s="1" t="n">
        <v>45843</v>
      </c>
      <c r="D517" t="inlineStr">
        <is>
          <t>KALMAR LÄN</t>
        </is>
      </c>
      <c r="E517" t="inlineStr">
        <is>
          <t>VÄSTERVIK</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5622-2020</t>
        </is>
      </c>
      <c r="B518" s="1" t="n">
        <v>43860</v>
      </c>
      <c r="C518" s="1" t="n">
        <v>45843</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5637-2020</t>
        </is>
      </c>
      <c r="B519" s="1" t="n">
        <v>43860</v>
      </c>
      <c r="C519" s="1" t="n">
        <v>45843</v>
      </c>
      <c r="D519" t="inlineStr">
        <is>
          <t>KALMAR LÄN</t>
        </is>
      </c>
      <c r="E519" t="inlineStr">
        <is>
          <t>VÄSTERVIK</t>
        </is>
      </c>
      <c r="G519" t="n">
        <v>3.2</v>
      </c>
      <c r="H519" t="n">
        <v>0</v>
      </c>
      <c r="I519" t="n">
        <v>0</v>
      </c>
      <c r="J519" t="n">
        <v>0</v>
      </c>
      <c r="K519" t="n">
        <v>0</v>
      </c>
      <c r="L519" t="n">
        <v>0</v>
      </c>
      <c r="M519" t="n">
        <v>0</v>
      </c>
      <c r="N519" t="n">
        <v>0</v>
      </c>
      <c r="O519" t="n">
        <v>0</v>
      </c>
      <c r="P519" t="n">
        <v>0</v>
      </c>
      <c r="Q519" t="n">
        <v>0</v>
      </c>
      <c r="R519" s="2" t="inlineStr"/>
    </row>
    <row r="520" ht="15" customHeight="1">
      <c r="A520" t="inlineStr">
        <is>
          <t>A 5629-2020</t>
        </is>
      </c>
      <c r="B520" s="1" t="n">
        <v>43860</v>
      </c>
      <c r="C520" s="1" t="n">
        <v>45843</v>
      </c>
      <c r="D520" t="inlineStr">
        <is>
          <t>KALMAR LÄN</t>
        </is>
      </c>
      <c r="E520" t="inlineStr">
        <is>
          <t>VÄSTERVIK</t>
        </is>
      </c>
      <c r="G520" t="n">
        <v>3.8</v>
      </c>
      <c r="H520" t="n">
        <v>0</v>
      </c>
      <c r="I520" t="n">
        <v>0</v>
      </c>
      <c r="J520" t="n">
        <v>0</v>
      </c>
      <c r="K520" t="n">
        <v>0</v>
      </c>
      <c r="L520" t="n">
        <v>0</v>
      </c>
      <c r="M520" t="n">
        <v>0</v>
      </c>
      <c r="N520" t="n">
        <v>0</v>
      </c>
      <c r="O520" t="n">
        <v>0</v>
      </c>
      <c r="P520" t="n">
        <v>0</v>
      </c>
      <c r="Q520" t="n">
        <v>0</v>
      </c>
      <c r="R520" s="2" t="inlineStr"/>
    </row>
    <row r="521" ht="15" customHeight="1">
      <c r="A521" t="inlineStr">
        <is>
          <t>A 5583-2020</t>
        </is>
      </c>
      <c r="B521" s="1" t="n">
        <v>43861</v>
      </c>
      <c r="C521" s="1" t="n">
        <v>45843</v>
      </c>
      <c r="D521" t="inlineStr">
        <is>
          <t>KALMAR LÄN</t>
        </is>
      </c>
      <c r="E521" t="inlineStr">
        <is>
          <t>VÄSTERVIK</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5594-2020</t>
        </is>
      </c>
      <c r="B522" s="1" t="n">
        <v>43861</v>
      </c>
      <c r="C522" s="1" t="n">
        <v>45843</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5697-2020</t>
        </is>
      </c>
      <c r="B523" s="1" t="n">
        <v>43861</v>
      </c>
      <c r="C523" s="1" t="n">
        <v>45843</v>
      </c>
      <c r="D523" t="inlineStr">
        <is>
          <t>KALMAR LÄN</t>
        </is>
      </c>
      <c r="E523" t="inlineStr">
        <is>
          <t>VÄSTERVIK</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5822-2020</t>
        </is>
      </c>
      <c r="B524" s="1" t="n">
        <v>43864</v>
      </c>
      <c r="C524" s="1" t="n">
        <v>45843</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6425-2020</t>
        </is>
      </c>
      <c r="B525" s="1" t="n">
        <v>43865</v>
      </c>
      <c r="C525" s="1" t="n">
        <v>45843</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6391-2020</t>
        </is>
      </c>
      <c r="B526" s="1" t="n">
        <v>43866</v>
      </c>
      <c r="C526" s="1" t="n">
        <v>45843</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6387-2020</t>
        </is>
      </c>
      <c r="B527" s="1" t="n">
        <v>43866</v>
      </c>
      <c r="C527" s="1" t="n">
        <v>45843</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7290-2020</t>
        </is>
      </c>
      <c r="B528" s="1" t="n">
        <v>43871</v>
      </c>
      <c r="C528" s="1" t="n">
        <v>45843</v>
      </c>
      <c r="D528" t="inlineStr">
        <is>
          <t>KALMAR LÄN</t>
        </is>
      </c>
      <c r="E528" t="inlineStr">
        <is>
          <t>VÄSTERVIK</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7660-2020</t>
        </is>
      </c>
      <c r="B529" s="1" t="n">
        <v>43872</v>
      </c>
      <c r="C529" s="1" t="n">
        <v>45843</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7652-2020</t>
        </is>
      </c>
      <c r="B530" s="1" t="n">
        <v>43872</v>
      </c>
      <c r="C530" s="1" t="n">
        <v>45843</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7727-2020</t>
        </is>
      </c>
      <c r="B531" s="1" t="n">
        <v>43872</v>
      </c>
      <c r="C531" s="1" t="n">
        <v>45843</v>
      </c>
      <c r="D531" t="inlineStr">
        <is>
          <t>KALMAR LÄN</t>
        </is>
      </c>
      <c r="E531" t="inlineStr">
        <is>
          <t>VÄSTERVIK</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8075-2020</t>
        </is>
      </c>
      <c r="B532" s="1" t="n">
        <v>43874</v>
      </c>
      <c r="C532" s="1" t="n">
        <v>45843</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8072-2020</t>
        </is>
      </c>
      <c r="B533" s="1" t="n">
        <v>43874</v>
      </c>
      <c r="C533" s="1" t="n">
        <v>45843</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9168-2020</t>
        </is>
      </c>
      <c r="B534" s="1" t="n">
        <v>43879</v>
      </c>
      <c r="C534" s="1" t="n">
        <v>45843</v>
      </c>
      <c r="D534" t="inlineStr">
        <is>
          <t>KALMAR LÄN</t>
        </is>
      </c>
      <c r="E534" t="inlineStr">
        <is>
          <t>VÄSTERVIK</t>
        </is>
      </c>
      <c r="G534" t="n">
        <v>1.5</v>
      </c>
      <c r="H534" t="n">
        <v>0</v>
      </c>
      <c r="I534" t="n">
        <v>0</v>
      </c>
      <c r="J534" t="n">
        <v>0</v>
      </c>
      <c r="K534" t="n">
        <v>0</v>
      </c>
      <c r="L534" t="n">
        <v>0</v>
      </c>
      <c r="M534" t="n">
        <v>0</v>
      </c>
      <c r="N534" t="n">
        <v>0</v>
      </c>
      <c r="O534" t="n">
        <v>0</v>
      </c>
      <c r="P534" t="n">
        <v>0</v>
      </c>
      <c r="Q534" t="n">
        <v>0</v>
      </c>
      <c r="R534" s="2" t="inlineStr"/>
    </row>
    <row r="535" ht="15" customHeight="1">
      <c r="A535" t="inlineStr">
        <is>
          <t>A 9166-2020</t>
        </is>
      </c>
      <c r="B535" s="1" t="n">
        <v>43879</v>
      </c>
      <c r="C535" s="1" t="n">
        <v>45843</v>
      </c>
      <c r="D535" t="inlineStr">
        <is>
          <t>KALMAR LÄN</t>
        </is>
      </c>
      <c r="E535" t="inlineStr">
        <is>
          <t>VÄSTERVIK</t>
        </is>
      </c>
      <c r="G535" t="n">
        <v>6.9</v>
      </c>
      <c r="H535" t="n">
        <v>0</v>
      </c>
      <c r="I535" t="n">
        <v>0</v>
      </c>
      <c r="J535" t="n">
        <v>0</v>
      </c>
      <c r="K535" t="n">
        <v>0</v>
      </c>
      <c r="L535" t="n">
        <v>0</v>
      </c>
      <c r="M535" t="n">
        <v>0</v>
      </c>
      <c r="N535" t="n">
        <v>0</v>
      </c>
      <c r="O535" t="n">
        <v>0</v>
      </c>
      <c r="P535" t="n">
        <v>0</v>
      </c>
      <c r="Q535" t="n">
        <v>0</v>
      </c>
      <c r="R535" s="2" t="inlineStr"/>
    </row>
    <row r="536" ht="15" customHeight="1">
      <c r="A536" t="inlineStr">
        <is>
          <t>A 9332-2020</t>
        </is>
      </c>
      <c r="B536" s="1" t="n">
        <v>43880</v>
      </c>
      <c r="C536" s="1" t="n">
        <v>45843</v>
      </c>
      <c r="D536" t="inlineStr">
        <is>
          <t>KALMAR LÄN</t>
        </is>
      </c>
      <c r="E536" t="inlineStr">
        <is>
          <t>VÄSTERVIK</t>
        </is>
      </c>
      <c r="G536" t="n">
        <v>1.4</v>
      </c>
      <c r="H536" t="n">
        <v>0</v>
      </c>
      <c r="I536" t="n">
        <v>0</v>
      </c>
      <c r="J536" t="n">
        <v>0</v>
      </c>
      <c r="K536" t="n">
        <v>0</v>
      </c>
      <c r="L536" t="n">
        <v>0</v>
      </c>
      <c r="M536" t="n">
        <v>0</v>
      </c>
      <c r="N536" t="n">
        <v>0</v>
      </c>
      <c r="O536" t="n">
        <v>0</v>
      </c>
      <c r="P536" t="n">
        <v>0</v>
      </c>
      <c r="Q536" t="n">
        <v>0</v>
      </c>
      <c r="R536" s="2" t="inlineStr"/>
    </row>
    <row r="537" ht="15" customHeight="1">
      <c r="A537" t="inlineStr">
        <is>
          <t>A 10373-2020</t>
        </is>
      </c>
      <c r="B537" s="1" t="n">
        <v>43885</v>
      </c>
      <c r="C537" s="1" t="n">
        <v>45843</v>
      </c>
      <c r="D537" t="inlineStr">
        <is>
          <t>KALMAR LÄN</t>
        </is>
      </c>
      <c r="E537" t="inlineStr">
        <is>
          <t>VÄSTERVIK</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11067-2020</t>
        </is>
      </c>
      <c r="B538" s="1" t="n">
        <v>43885</v>
      </c>
      <c r="C538" s="1" t="n">
        <v>45843</v>
      </c>
      <c r="D538" t="inlineStr">
        <is>
          <t>KALMAR LÄN</t>
        </is>
      </c>
      <c r="E538" t="inlineStr">
        <is>
          <t>VÄSTERVIK</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10482-2020</t>
        </is>
      </c>
      <c r="B539" s="1" t="n">
        <v>43886</v>
      </c>
      <c r="C539" s="1" t="n">
        <v>45843</v>
      </c>
      <c r="D539" t="inlineStr">
        <is>
          <t>KALMAR LÄN</t>
        </is>
      </c>
      <c r="E539" t="inlineStr">
        <is>
          <t>VÄSTERVIK</t>
        </is>
      </c>
      <c r="G539" t="n">
        <v>1.2</v>
      </c>
      <c r="H539" t="n">
        <v>0</v>
      </c>
      <c r="I539" t="n">
        <v>0</v>
      </c>
      <c r="J539" t="n">
        <v>0</v>
      </c>
      <c r="K539" t="n">
        <v>0</v>
      </c>
      <c r="L539" t="n">
        <v>0</v>
      </c>
      <c r="M539" t="n">
        <v>0</v>
      </c>
      <c r="N539" t="n">
        <v>0</v>
      </c>
      <c r="O539" t="n">
        <v>0</v>
      </c>
      <c r="P539" t="n">
        <v>0</v>
      </c>
      <c r="Q539" t="n">
        <v>0</v>
      </c>
      <c r="R539" s="2" t="inlineStr"/>
    </row>
    <row r="540" ht="15" customHeight="1">
      <c r="A540" t="inlineStr">
        <is>
          <t>A 10173-2020</t>
        </is>
      </c>
      <c r="B540" s="1" t="n">
        <v>43886</v>
      </c>
      <c r="C540" s="1" t="n">
        <v>45843</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11253-2020</t>
        </is>
      </c>
      <c r="B541" s="1" t="n">
        <v>43892</v>
      </c>
      <c r="C541" s="1" t="n">
        <v>45843</v>
      </c>
      <c r="D541" t="inlineStr">
        <is>
          <t>KALMAR LÄN</t>
        </is>
      </c>
      <c r="E541" t="inlineStr">
        <is>
          <t>VÄSTERVIK</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11248-2020</t>
        </is>
      </c>
      <c r="B542" s="1" t="n">
        <v>43892</v>
      </c>
      <c r="C542" s="1" t="n">
        <v>45843</v>
      </c>
      <c r="D542" t="inlineStr">
        <is>
          <t>KALMAR LÄN</t>
        </is>
      </c>
      <c r="E542" t="inlineStr">
        <is>
          <t>VÄSTERVIK</t>
        </is>
      </c>
      <c r="F542" t="inlineStr">
        <is>
          <t>Övriga Aktiebolag</t>
        </is>
      </c>
      <c r="G542" t="n">
        <v>1.7</v>
      </c>
      <c r="H542" t="n">
        <v>0</v>
      </c>
      <c r="I542" t="n">
        <v>0</v>
      </c>
      <c r="J542" t="n">
        <v>0</v>
      </c>
      <c r="K542" t="n">
        <v>0</v>
      </c>
      <c r="L542" t="n">
        <v>0</v>
      </c>
      <c r="M542" t="n">
        <v>0</v>
      </c>
      <c r="N542" t="n">
        <v>0</v>
      </c>
      <c r="O542" t="n">
        <v>0</v>
      </c>
      <c r="P542" t="n">
        <v>0</v>
      </c>
      <c r="Q542" t="n">
        <v>0</v>
      </c>
      <c r="R542" s="2" t="inlineStr"/>
    </row>
    <row r="543" ht="15" customHeight="1">
      <c r="A543" t="inlineStr">
        <is>
          <t>A 11246-2020</t>
        </is>
      </c>
      <c r="B543" s="1" t="n">
        <v>43892</v>
      </c>
      <c r="C543" s="1" t="n">
        <v>45843</v>
      </c>
      <c r="D543" t="inlineStr">
        <is>
          <t>KALMAR LÄN</t>
        </is>
      </c>
      <c r="E543" t="inlineStr">
        <is>
          <t>VÄSTERVIK</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12430-2020</t>
        </is>
      </c>
      <c r="B544" s="1" t="n">
        <v>43896</v>
      </c>
      <c r="C544" s="1" t="n">
        <v>45843</v>
      </c>
      <c r="D544" t="inlineStr">
        <is>
          <t>KALMAR LÄN</t>
        </is>
      </c>
      <c r="E544" t="inlineStr">
        <is>
          <t>VÄSTERVIK</t>
        </is>
      </c>
      <c r="G544" t="n">
        <v>2.1</v>
      </c>
      <c r="H544" t="n">
        <v>0</v>
      </c>
      <c r="I544" t="n">
        <v>0</v>
      </c>
      <c r="J544" t="n">
        <v>0</v>
      </c>
      <c r="K544" t="n">
        <v>0</v>
      </c>
      <c r="L544" t="n">
        <v>0</v>
      </c>
      <c r="M544" t="n">
        <v>0</v>
      </c>
      <c r="N544" t="n">
        <v>0</v>
      </c>
      <c r="O544" t="n">
        <v>0</v>
      </c>
      <c r="P544" t="n">
        <v>0</v>
      </c>
      <c r="Q544" t="n">
        <v>0</v>
      </c>
      <c r="R544" s="2" t="inlineStr"/>
    </row>
    <row r="545" ht="15" customHeight="1">
      <c r="A545" t="inlineStr">
        <is>
          <t>A 12965-2020</t>
        </is>
      </c>
      <c r="B545" s="1" t="n">
        <v>43900</v>
      </c>
      <c r="C545" s="1" t="n">
        <v>45843</v>
      </c>
      <c r="D545" t="inlineStr">
        <is>
          <t>KALMAR LÄN</t>
        </is>
      </c>
      <c r="E545" t="inlineStr">
        <is>
          <t>VÄSTERVIK</t>
        </is>
      </c>
      <c r="G545" t="n">
        <v>1.1</v>
      </c>
      <c r="H545" t="n">
        <v>0</v>
      </c>
      <c r="I545" t="n">
        <v>0</v>
      </c>
      <c r="J545" t="n">
        <v>0</v>
      </c>
      <c r="K545" t="n">
        <v>0</v>
      </c>
      <c r="L545" t="n">
        <v>0</v>
      </c>
      <c r="M545" t="n">
        <v>0</v>
      </c>
      <c r="N545" t="n">
        <v>0</v>
      </c>
      <c r="O545" t="n">
        <v>0</v>
      </c>
      <c r="P545" t="n">
        <v>0</v>
      </c>
      <c r="Q545" t="n">
        <v>0</v>
      </c>
      <c r="R545" s="2" t="inlineStr"/>
    </row>
    <row r="546" ht="15" customHeight="1">
      <c r="A546" t="inlineStr">
        <is>
          <t>A 13514-2020</t>
        </is>
      </c>
      <c r="B546" s="1" t="n">
        <v>43902</v>
      </c>
      <c r="C546" s="1" t="n">
        <v>45843</v>
      </c>
      <c r="D546" t="inlineStr">
        <is>
          <t>KALMAR LÄN</t>
        </is>
      </c>
      <c r="E546" t="inlineStr">
        <is>
          <t>VÄSTERVIK</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13526-2020</t>
        </is>
      </c>
      <c r="B547" s="1" t="n">
        <v>43902</v>
      </c>
      <c r="C547" s="1" t="n">
        <v>45843</v>
      </c>
      <c r="D547" t="inlineStr">
        <is>
          <t>KALMAR LÄN</t>
        </is>
      </c>
      <c r="E547" t="inlineStr">
        <is>
          <t>VÄSTERVIK</t>
        </is>
      </c>
      <c r="F547" t="inlineStr">
        <is>
          <t>Holmen skog AB</t>
        </is>
      </c>
      <c r="G547" t="n">
        <v>18.6</v>
      </c>
      <c r="H547" t="n">
        <v>0</v>
      </c>
      <c r="I547" t="n">
        <v>0</v>
      </c>
      <c r="J547" t="n">
        <v>0</v>
      </c>
      <c r="K547" t="n">
        <v>0</v>
      </c>
      <c r="L547" t="n">
        <v>0</v>
      </c>
      <c r="M547" t="n">
        <v>0</v>
      </c>
      <c r="N547" t="n">
        <v>0</v>
      </c>
      <c r="O547" t="n">
        <v>0</v>
      </c>
      <c r="P547" t="n">
        <v>0</v>
      </c>
      <c r="Q547" t="n">
        <v>0</v>
      </c>
      <c r="R547" s="2" t="inlineStr"/>
    </row>
    <row r="548" ht="15" customHeight="1">
      <c r="A548" t="inlineStr">
        <is>
          <t>A 13523-2020</t>
        </is>
      </c>
      <c r="B548" s="1" t="n">
        <v>43902</v>
      </c>
      <c r="C548" s="1" t="n">
        <v>45843</v>
      </c>
      <c r="D548" t="inlineStr">
        <is>
          <t>KALMAR LÄN</t>
        </is>
      </c>
      <c r="E548" t="inlineStr">
        <is>
          <t>VÄSTERVIK</t>
        </is>
      </c>
      <c r="F548" t="inlineStr">
        <is>
          <t>Holmen skog AB</t>
        </is>
      </c>
      <c r="G548" t="n">
        <v>3.8</v>
      </c>
      <c r="H548" t="n">
        <v>0</v>
      </c>
      <c r="I548" t="n">
        <v>0</v>
      </c>
      <c r="J548" t="n">
        <v>0</v>
      </c>
      <c r="K548" t="n">
        <v>0</v>
      </c>
      <c r="L548" t="n">
        <v>0</v>
      </c>
      <c r="M548" t="n">
        <v>0</v>
      </c>
      <c r="N548" t="n">
        <v>0</v>
      </c>
      <c r="O548" t="n">
        <v>0</v>
      </c>
      <c r="P548" t="n">
        <v>0</v>
      </c>
      <c r="Q548" t="n">
        <v>0</v>
      </c>
      <c r="R548" s="2" t="inlineStr"/>
    </row>
    <row r="549" ht="15" customHeight="1">
      <c r="A549" t="inlineStr">
        <is>
          <t>A 14889-2020</t>
        </is>
      </c>
      <c r="B549" s="1" t="n">
        <v>43906</v>
      </c>
      <c r="C549" s="1" t="n">
        <v>45843</v>
      </c>
      <c r="D549" t="inlineStr">
        <is>
          <t>KALMAR LÄN</t>
        </is>
      </c>
      <c r="E549" t="inlineStr">
        <is>
          <t>VÄSTERVIK</t>
        </is>
      </c>
      <c r="G549" t="n">
        <v>2.4</v>
      </c>
      <c r="H549" t="n">
        <v>0</v>
      </c>
      <c r="I549" t="n">
        <v>0</v>
      </c>
      <c r="J549" t="n">
        <v>0</v>
      </c>
      <c r="K549" t="n">
        <v>0</v>
      </c>
      <c r="L549" t="n">
        <v>0</v>
      </c>
      <c r="M549" t="n">
        <v>0</v>
      </c>
      <c r="N549" t="n">
        <v>0</v>
      </c>
      <c r="O549" t="n">
        <v>0</v>
      </c>
      <c r="P549" t="n">
        <v>0</v>
      </c>
      <c r="Q549" t="n">
        <v>0</v>
      </c>
      <c r="R549" s="2" t="inlineStr"/>
    </row>
    <row r="550" ht="15" customHeight="1">
      <c r="A550" t="inlineStr">
        <is>
          <t>A 14887-2020</t>
        </is>
      </c>
      <c r="B550" s="1" t="n">
        <v>43906</v>
      </c>
      <c r="C550" s="1" t="n">
        <v>45843</v>
      </c>
      <c r="D550" t="inlineStr">
        <is>
          <t>KALMAR LÄN</t>
        </is>
      </c>
      <c r="E550" t="inlineStr">
        <is>
          <t>VÄSTERVIK</t>
        </is>
      </c>
      <c r="G550" t="n">
        <v>3.3</v>
      </c>
      <c r="H550" t="n">
        <v>0</v>
      </c>
      <c r="I550" t="n">
        <v>0</v>
      </c>
      <c r="J550" t="n">
        <v>0</v>
      </c>
      <c r="K550" t="n">
        <v>0</v>
      </c>
      <c r="L550" t="n">
        <v>0</v>
      </c>
      <c r="M550" t="n">
        <v>0</v>
      </c>
      <c r="N550" t="n">
        <v>0</v>
      </c>
      <c r="O550" t="n">
        <v>0</v>
      </c>
      <c r="P550" t="n">
        <v>0</v>
      </c>
      <c r="Q550" t="n">
        <v>0</v>
      </c>
      <c r="R550" s="2" t="inlineStr"/>
    </row>
    <row r="551" ht="15" customHeight="1">
      <c r="A551" t="inlineStr">
        <is>
          <t>A 14891-2020</t>
        </is>
      </c>
      <c r="B551" s="1" t="n">
        <v>43906</v>
      </c>
      <c r="C551" s="1" t="n">
        <v>45843</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14456-2020</t>
        </is>
      </c>
      <c r="B552" s="1" t="n">
        <v>43908</v>
      </c>
      <c r="C552" s="1" t="n">
        <v>45843</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16580-2020</t>
        </is>
      </c>
      <c r="B553" s="1" t="n">
        <v>43908</v>
      </c>
      <c r="C553" s="1" t="n">
        <v>45843</v>
      </c>
      <c r="D553" t="inlineStr">
        <is>
          <t>KALMAR LÄN</t>
        </is>
      </c>
      <c r="E553" t="inlineStr">
        <is>
          <t>VÄSTERVIK</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19422-2020</t>
        </is>
      </c>
      <c r="B554" s="1" t="n">
        <v>43938</v>
      </c>
      <c r="C554" s="1" t="n">
        <v>45843</v>
      </c>
      <c r="D554" t="inlineStr">
        <is>
          <t>KALMAR LÄN</t>
        </is>
      </c>
      <c r="E554" t="inlineStr">
        <is>
          <t>VÄSTERVIK</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19437-2020</t>
        </is>
      </c>
      <c r="B555" s="1" t="n">
        <v>43938</v>
      </c>
      <c r="C555" s="1" t="n">
        <v>45843</v>
      </c>
      <c r="D555" t="inlineStr">
        <is>
          <t>KALMAR LÄN</t>
        </is>
      </c>
      <c r="E555" t="inlineStr">
        <is>
          <t>VÄSTERVIK</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19829-2020</t>
        </is>
      </c>
      <c r="B556" s="1" t="n">
        <v>43942</v>
      </c>
      <c r="C556" s="1" t="n">
        <v>45843</v>
      </c>
      <c r="D556" t="inlineStr">
        <is>
          <t>KALMAR LÄN</t>
        </is>
      </c>
      <c r="E556" t="inlineStr">
        <is>
          <t>VÄSTERVIK</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20408-2020</t>
        </is>
      </c>
      <c r="B557" s="1" t="n">
        <v>43945</v>
      </c>
      <c r="C557" s="1" t="n">
        <v>45843</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20411-2020</t>
        </is>
      </c>
      <c r="B558" s="1" t="n">
        <v>43945</v>
      </c>
      <c r="C558" s="1" t="n">
        <v>45843</v>
      </c>
      <c r="D558" t="inlineStr">
        <is>
          <t>KALMAR LÄN</t>
        </is>
      </c>
      <c r="E558" t="inlineStr">
        <is>
          <t>VÄSTERVIK</t>
        </is>
      </c>
      <c r="G558" t="n">
        <v>2</v>
      </c>
      <c r="H558" t="n">
        <v>0</v>
      </c>
      <c r="I558" t="n">
        <v>0</v>
      </c>
      <c r="J558" t="n">
        <v>0</v>
      </c>
      <c r="K558" t="n">
        <v>0</v>
      </c>
      <c r="L558" t="n">
        <v>0</v>
      </c>
      <c r="M558" t="n">
        <v>0</v>
      </c>
      <c r="N558" t="n">
        <v>0</v>
      </c>
      <c r="O558" t="n">
        <v>0</v>
      </c>
      <c r="P558" t="n">
        <v>0</v>
      </c>
      <c r="Q558" t="n">
        <v>0</v>
      </c>
      <c r="R558" s="2" t="inlineStr"/>
    </row>
    <row r="559" ht="15" customHeight="1">
      <c r="A559" t="inlineStr">
        <is>
          <t>A 20694-2020</t>
        </is>
      </c>
      <c r="B559" s="1" t="n">
        <v>43949</v>
      </c>
      <c r="C559" s="1" t="n">
        <v>45843</v>
      </c>
      <c r="D559" t="inlineStr">
        <is>
          <t>KALMAR LÄN</t>
        </is>
      </c>
      <c r="E559" t="inlineStr">
        <is>
          <t>VÄSTERVIK</t>
        </is>
      </c>
      <c r="F559" t="inlineStr">
        <is>
          <t>Holmen skog AB</t>
        </is>
      </c>
      <c r="G559" t="n">
        <v>1.1</v>
      </c>
      <c r="H559" t="n">
        <v>0</v>
      </c>
      <c r="I559" t="n">
        <v>0</v>
      </c>
      <c r="J559" t="n">
        <v>0</v>
      </c>
      <c r="K559" t="n">
        <v>0</v>
      </c>
      <c r="L559" t="n">
        <v>0</v>
      </c>
      <c r="M559" t="n">
        <v>0</v>
      </c>
      <c r="N559" t="n">
        <v>0</v>
      </c>
      <c r="O559" t="n">
        <v>0</v>
      </c>
      <c r="P559" t="n">
        <v>0</v>
      </c>
      <c r="Q559" t="n">
        <v>0</v>
      </c>
      <c r="R559" s="2" t="inlineStr"/>
    </row>
    <row r="560" ht="15" customHeight="1">
      <c r="A560" t="inlineStr">
        <is>
          <t>A 22643-2020</t>
        </is>
      </c>
      <c r="B560" s="1" t="n">
        <v>43963</v>
      </c>
      <c r="C560" s="1" t="n">
        <v>45843</v>
      </c>
      <c r="D560" t="inlineStr">
        <is>
          <t>KALMAR LÄN</t>
        </is>
      </c>
      <c r="E560" t="inlineStr">
        <is>
          <t>VÄSTERVIK</t>
        </is>
      </c>
      <c r="G560" t="n">
        <v>2</v>
      </c>
      <c r="H560" t="n">
        <v>0</v>
      </c>
      <c r="I560" t="n">
        <v>0</v>
      </c>
      <c r="J560" t="n">
        <v>0</v>
      </c>
      <c r="K560" t="n">
        <v>0</v>
      </c>
      <c r="L560" t="n">
        <v>0</v>
      </c>
      <c r="M560" t="n">
        <v>0</v>
      </c>
      <c r="N560" t="n">
        <v>0</v>
      </c>
      <c r="O560" t="n">
        <v>0</v>
      </c>
      <c r="P560" t="n">
        <v>0</v>
      </c>
      <c r="Q560" t="n">
        <v>0</v>
      </c>
      <c r="R560" s="2" t="inlineStr"/>
    </row>
    <row r="561" ht="15" customHeight="1">
      <c r="A561" t="inlineStr">
        <is>
          <t>A 22882-2020</t>
        </is>
      </c>
      <c r="B561" s="1" t="n">
        <v>43964</v>
      </c>
      <c r="C561" s="1" t="n">
        <v>45843</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22880-2020</t>
        </is>
      </c>
      <c r="B562" s="1" t="n">
        <v>43964</v>
      </c>
      <c r="C562" s="1" t="n">
        <v>45843</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22803-2020</t>
        </is>
      </c>
      <c r="B563" s="1" t="n">
        <v>43964</v>
      </c>
      <c r="C563" s="1" t="n">
        <v>45843</v>
      </c>
      <c r="D563" t="inlineStr">
        <is>
          <t>KALMAR LÄN</t>
        </is>
      </c>
      <c r="E563" t="inlineStr">
        <is>
          <t>VÄSTERVIK</t>
        </is>
      </c>
      <c r="G563" t="n">
        <v>1.5</v>
      </c>
      <c r="H563" t="n">
        <v>0</v>
      </c>
      <c r="I563" t="n">
        <v>0</v>
      </c>
      <c r="J563" t="n">
        <v>0</v>
      </c>
      <c r="K563" t="n">
        <v>0</v>
      </c>
      <c r="L563" t="n">
        <v>0</v>
      </c>
      <c r="M563" t="n">
        <v>0</v>
      </c>
      <c r="N563" t="n">
        <v>0</v>
      </c>
      <c r="O563" t="n">
        <v>0</v>
      </c>
      <c r="P563" t="n">
        <v>0</v>
      </c>
      <c r="Q563" t="n">
        <v>0</v>
      </c>
      <c r="R563" s="2" t="inlineStr"/>
    </row>
    <row r="564" ht="15" customHeight="1">
      <c r="A564" t="inlineStr">
        <is>
          <t>A 24366-2020</t>
        </is>
      </c>
      <c r="B564" s="1" t="n">
        <v>43973</v>
      </c>
      <c r="C564" s="1" t="n">
        <v>45843</v>
      </c>
      <c r="D564" t="inlineStr">
        <is>
          <t>KALMAR LÄN</t>
        </is>
      </c>
      <c r="E564" t="inlineStr">
        <is>
          <t>VÄSTERVIK</t>
        </is>
      </c>
      <c r="G564" t="n">
        <v>6.9</v>
      </c>
      <c r="H564" t="n">
        <v>0</v>
      </c>
      <c r="I564" t="n">
        <v>0</v>
      </c>
      <c r="J564" t="n">
        <v>0</v>
      </c>
      <c r="K564" t="n">
        <v>0</v>
      </c>
      <c r="L564" t="n">
        <v>0</v>
      </c>
      <c r="M564" t="n">
        <v>0</v>
      </c>
      <c r="N564" t="n">
        <v>0</v>
      </c>
      <c r="O564" t="n">
        <v>0</v>
      </c>
      <c r="P564" t="n">
        <v>0</v>
      </c>
      <c r="Q564" t="n">
        <v>0</v>
      </c>
      <c r="R564" s="2" t="inlineStr"/>
    </row>
    <row r="565" ht="15" customHeight="1">
      <c r="A565" t="inlineStr">
        <is>
          <t>A 24575-2020</t>
        </is>
      </c>
      <c r="B565" s="1" t="n">
        <v>43977</v>
      </c>
      <c r="C565" s="1" t="n">
        <v>45843</v>
      </c>
      <c r="D565" t="inlineStr">
        <is>
          <t>KALMAR LÄN</t>
        </is>
      </c>
      <c r="E565" t="inlineStr">
        <is>
          <t>VÄSTERVIK</t>
        </is>
      </c>
      <c r="G565" t="n">
        <v>0.5</v>
      </c>
      <c r="H565" t="n">
        <v>0</v>
      </c>
      <c r="I565" t="n">
        <v>0</v>
      </c>
      <c r="J565" t="n">
        <v>0</v>
      </c>
      <c r="K565" t="n">
        <v>0</v>
      </c>
      <c r="L565" t="n">
        <v>0</v>
      </c>
      <c r="M565" t="n">
        <v>0</v>
      </c>
      <c r="N565" t="n">
        <v>0</v>
      </c>
      <c r="O565" t="n">
        <v>0</v>
      </c>
      <c r="P565" t="n">
        <v>0</v>
      </c>
      <c r="Q565" t="n">
        <v>0</v>
      </c>
      <c r="R565" s="2" t="inlineStr"/>
    </row>
    <row r="566" ht="15" customHeight="1">
      <c r="A566" t="inlineStr">
        <is>
          <t>A 24570-2020</t>
        </is>
      </c>
      <c r="B566" s="1" t="n">
        <v>43977</v>
      </c>
      <c r="C566" s="1" t="n">
        <v>45843</v>
      </c>
      <c r="D566" t="inlineStr">
        <is>
          <t>KALMAR LÄN</t>
        </is>
      </c>
      <c r="E566" t="inlineStr">
        <is>
          <t>VÄSTERVIK</t>
        </is>
      </c>
      <c r="G566" t="n">
        <v>0.9</v>
      </c>
      <c r="H566" t="n">
        <v>0</v>
      </c>
      <c r="I566" t="n">
        <v>0</v>
      </c>
      <c r="J566" t="n">
        <v>0</v>
      </c>
      <c r="K566" t="n">
        <v>0</v>
      </c>
      <c r="L566" t="n">
        <v>0</v>
      </c>
      <c r="M566" t="n">
        <v>0</v>
      </c>
      <c r="N566" t="n">
        <v>0</v>
      </c>
      <c r="O566" t="n">
        <v>0</v>
      </c>
      <c r="P566" t="n">
        <v>0</v>
      </c>
      <c r="Q566" t="n">
        <v>0</v>
      </c>
      <c r="R566" s="2" t="inlineStr"/>
    </row>
    <row r="567" ht="15" customHeight="1">
      <c r="A567" t="inlineStr">
        <is>
          <t>A 24677-2020</t>
        </is>
      </c>
      <c r="B567" s="1" t="n">
        <v>43978</v>
      </c>
      <c r="C567" s="1" t="n">
        <v>45843</v>
      </c>
      <c r="D567" t="inlineStr">
        <is>
          <t>KALMAR LÄN</t>
        </is>
      </c>
      <c r="E567" t="inlineStr">
        <is>
          <t>VÄSTERVIK</t>
        </is>
      </c>
      <c r="G567" t="n">
        <v>2.7</v>
      </c>
      <c r="H567" t="n">
        <v>0</v>
      </c>
      <c r="I567" t="n">
        <v>0</v>
      </c>
      <c r="J567" t="n">
        <v>0</v>
      </c>
      <c r="K567" t="n">
        <v>0</v>
      </c>
      <c r="L567" t="n">
        <v>0</v>
      </c>
      <c r="M567" t="n">
        <v>0</v>
      </c>
      <c r="N567" t="n">
        <v>0</v>
      </c>
      <c r="O567" t="n">
        <v>0</v>
      </c>
      <c r="P567" t="n">
        <v>0</v>
      </c>
      <c r="Q567" t="n">
        <v>0</v>
      </c>
      <c r="R567" s="2" t="inlineStr"/>
    </row>
    <row r="568" ht="15" customHeight="1">
      <c r="A568" t="inlineStr">
        <is>
          <t>A 25241-2020</t>
        </is>
      </c>
      <c r="B568" s="1" t="n">
        <v>43980</v>
      </c>
      <c r="C568" s="1" t="n">
        <v>45843</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row>
    <row r="569" ht="15" customHeight="1">
      <c r="A569" t="inlineStr">
        <is>
          <t>A 26226-2020</t>
        </is>
      </c>
      <c r="B569" s="1" t="n">
        <v>43985</v>
      </c>
      <c r="C569" s="1" t="n">
        <v>45843</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26129-2020</t>
        </is>
      </c>
      <c r="B570" s="1" t="n">
        <v>43985</v>
      </c>
      <c r="C570" s="1" t="n">
        <v>45843</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26842-2020</t>
        </is>
      </c>
      <c r="B571" s="1" t="n">
        <v>43987</v>
      </c>
      <c r="C571" s="1" t="n">
        <v>45843</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29093-2020</t>
        </is>
      </c>
      <c r="B572" s="1" t="n">
        <v>44002</v>
      </c>
      <c r="C572" s="1" t="n">
        <v>45843</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29264-2020</t>
        </is>
      </c>
      <c r="B573" s="1" t="n">
        <v>44004</v>
      </c>
      <c r="C573" s="1" t="n">
        <v>45843</v>
      </c>
      <c r="D573" t="inlineStr">
        <is>
          <t>KALMAR LÄN</t>
        </is>
      </c>
      <c r="E573" t="inlineStr">
        <is>
          <t>VÄSTERVIK</t>
        </is>
      </c>
      <c r="G573" t="n">
        <v>5.5</v>
      </c>
      <c r="H573" t="n">
        <v>0</v>
      </c>
      <c r="I573" t="n">
        <v>0</v>
      </c>
      <c r="J573" t="n">
        <v>0</v>
      </c>
      <c r="K573" t="n">
        <v>0</v>
      </c>
      <c r="L573" t="n">
        <v>0</v>
      </c>
      <c r="M573" t="n">
        <v>0</v>
      </c>
      <c r="N573" t="n">
        <v>0</v>
      </c>
      <c r="O573" t="n">
        <v>0</v>
      </c>
      <c r="P573" t="n">
        <v>0</v>
      </c>
      <c r="Q573" t="n">
        <v>0</v>
      </c>
      <c r="R573" s="2" t="inlineStr"/>
    </row>
    <row r="574" ht="15" customHeight="1">
      <c r="A574" t="inlineStr">
        <is>
          <t>A 30581-2020</t>
        </is>
      </c>
      <c r="B574" s="1" t="n">
        <v>44008</v>
      </c>
      <c r="C574" s="1" t="n">
        <v>45843</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30578-2020</t>
        </is>
      </c>
      <c r="B575" s="1" t="n">
        <v>44008</v>
      </c>
      <c r="C575" s="1" t="n">
        <v>45843</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31587-2020</t>
        </is>
      </c>
      <c r="B576" s="1" t="n">
        <v>44012</v>
      </c>
      <c r="C576" s="1" t="n">
        <v>45843</v>
      </c>
      <c r="D576" t="inlineStr">
        <is>
          <t>KALMAR LÄN</t>
        </is>
      </c>
      <c r="E576" t="inlineStr">
        <is>
          <t>VÄSTERVIK</t>
        </is>
      </c>
      <c r="G576" t="n">
        <v>2.5</v>
      </c>
      <c r="H576" t="n">
        <v>0</v>
      </c>
      <c r="I576" t="n">
        <v>0</v>
      </c>
      <c r="J576" t="n">
        <v>0</v>
      </c>
      <c r="K576" t="n">
        <v>0</v>
      </c>
      <c r="L576" t="n">
        <v>0</v>
      </c>
      <c r="M576" t="n">
        <v>0</v>
      </c>
      <c r="N576" t="n">
        <v>0</v>
      </c>
      <c r="O576" t="n">
        <v>0</v>
      </c>
      <c r="P576" t="n">
        <v>0</v>
      </c>
      <c r="Q576" t="n">
        <v>0</v>
      </c>
      <c r="R576" s="2" t="inlineStr"/>
    </row>
    <row r="577" ht="15" customHeight="1">
      <c r="A577" t="inlineStr">
        <is>
          <t>A 32807-2020</t>
        </is>
      </c>
      <c r="B577" s="1" t="n">
        <v>44018</v>
      </c>
      <c r="C577" s="1" t="n">
        <v>45843</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33137-2020</t>
        </is>
      </c>
      <c r="B578" s="1" t="n">
        <v>44021</v>
      </c>
      <c r="C578" s="1" t="n">
        <v>45843</v>
      </c>
      <c r="D578" t="inlineStr">
        <is>
          <t>KALMAR LÄN</t>
        </is>
      </c>
      <c r="E578" t="inlineStr">
        <is>
          <t>VÄSTERVIK</t>
        </is>
      </c>
      <c r="G578" t="n">
        <v>0.9</v>
      </c>
      <c r="H578" t="n">
        <v>0</v>
      </c>
      <c r="I578" t="n">
        <v>0</v>
      </c>
      <c r="J578" t="n">
        <v>0</v>
      </c>
      <c r="K578" t="n">
        <v>0</v>
      </c>
      <c r="L578" t="n">
        <v>0</v>
      </c>
      <c r="M578" t="n">
        <v>0</v>
      </c>
      <c r="N578" t="n">
        <v>0</v>
      </c>
      <c r="O578" t="n">
        <v>0</v>
      </c>
      <c r="P578" t="n">
        <v>0</v>
      </c>
      <c r="Q578" t="n">
        <v>0</v>
      </c>
      <c r="R578" s="2" t="inlineStr"/>
    </row>
    <row r="579" ht="15" customHeight="1">
      <c r="A579" t="inlineStr">
        <is>
          <t>A 34775-2020</t>
        </is>
      </c>
      <c r="B579" s="1" t="n">
        <v>44035</v>
      </c>
      <c r="C579" s="1" t="n">
        <v>45843</v>
      </c>
      <c r="D579" t="inlineStr">
        <is>
          <t>KALMAR LÄN</t>
        </is>
      </c>
      <c r="E579" t="inlineStr">
        <is>
          <t>VÄSTERVIK</t>
        </is>
      </c>
      <c r="G579" t="n">
        <v>3.5</v>
      </c>
      <c r="H579" t="n">
        <v>0</v>
      </c>
      <c r="I579" t="n">
        <v>0</v>
      </c>
      <c r="J579" t="n">
        <v>0</v>
      </c>
      <c r="K579" t="n">
        <v>0</v>
      </c>
      <c r="L579" t="n">
        <v>0</v>
      </c>
      <c r="M579" t="n">
        <v>0</v>
      </c>
      <c r="N579" t="n">
        <v>0</v>
      </c>
      <c r="O579" t="n">
        <v>0</v>
      </c>
      <c r="P579" t="n">
        <v>0</v>
      </c>
      <c r="Q579" t="n">
        <v>0</v>
      </c>
      <c r="R579" s="2" t="inlineStr"/>
    </row>
    <row r="580" ht="15" customHeight="1">
      <c r="A580" t="inlineStr">
        <is>
          <t>A 35150-2020</t>
        </is>
      </c>
      <c r="B580" s="1" t="n">
        <v>44040</v>
      </c>
      <c r="C580" s="1" t="n">
        <v>45843</v>
      </c>
      <c r="D580" t="inlineStr">
        <is>
          <t>KALMAR LÄN</t>
        </is>
      </c>
      <c r="E580" t="inlineStr">
        <is>
          <t>VÄSTERVIK</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35655-2020</t>
        </is>
      </c>
      <c r="B581" s="1" t="n">
        <v>44046</v>
      </c>
      <c r="C581" s="1" t="n">
        <v>45843</v>
      </c>
      <c r="D581" t="inlineStr">
        <is>
          <t>KALMAR LÄN</t>
        </is>
      </c>
      <c r="E581" t="inlineStr">
        <is>
          <t>VÄSTERVIK</t>
        </is>
      </c>
      <c r="F581" t="inlineStr">
        <is>
          <t>Övriga Aktiebolag</t>
        </is>
      </c>
      <c r="G581" t="n">
        <v>3.2</v>
      </c>
      <c r="H581" t="n">
        <v>0</v>
      </c>
      <c r="I581" t="n">
        <v>0</v>
      </c>
      <c r="J581" t="n">
        <v>0</v>
      </c>
      <c r="K581" t="n">
        <v>0</v>
      </c>
      <c r="L581" t="n">
        <v>0</v>
      </c>
      <c r="M581" t="n">
        <v>0</v>
      </c>
      <c r="N581" t="n">
        <v>0</v>
      </c>
      <c r="O581" t="n">
        <v>0</v>
      </c>
      <c r="P581" t="n">
        <v>0</v>
      </c>
      <c r="Q581" t="n">
        <v>0</v>
      </c>
      <c r="R581" s="2" t="inlineStr"/>
    </row>
    <row r="582" ht="15" customHeight="1">
      <c r="A582" t="inlineStr">
        <is>
          <t>A 35689-2020</t>
        </is>
      </c>
      <c r="B582" s="1" t="n">
        <v>44046</v>
      </c>
      <c r="C582" s="1" t="n">
        <v>45843</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35868-2020</t>
        </is>
      </c>
      <c r="B583" s="1" t="n">
        <v>44047</v>
      </c>
      <c r="C583" s="1" t="n">
        <v>45843</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37146-2020</t>
        </is>
      </c>
      <c r="B584" s="1" t="n">
        <v>44054</v>
      </c>
      <c r="C584" s="1" t="n">
        <v>45843</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37156-2020</t>
        </is>
      </c>
      <c r="B585" s="1" t="n">
        <v>44054</v>
      </c>
      <c r="C585" s="1" t="n">
        <v>45843</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37163-2020</t>
        </is>
      </c>
      <c r="B586" s="1" t="n">
        <v>44054</v>
      </c>
      <c r="C586" s="1" t="n">
        <v>45843</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37162-2020</t>
        </is>
      </c>
      <c r="B587" s="1" t="n">
        <v>44054</v>
      </c>
      <c r="C587" s="1" t="n">
        <v>45843</v>
      </c>
      <c r="D587" t="inlineStr">
        <is>
          <t>KALMAR LÄN</t>
        </is>
      </c>
      <c r="E587" t="inlineStr">
        <is>
          <t>VÄSTERVIK</t>
        </is>
      </c>
      <c r="G587" t="n">
        <v>1.4</v>
      </c>
      <c r="H587" t="n">
        <v>0</v>
      </c>
      <c r="I587" t="n">
        <v>0</v>
      </c>
      <c r="J587" t="n">
        <v>0</v>
      </c>
      <c r="K587" t="n">
        <v>0</v>
      </c>
      <c r="L587" t="n">
        <v>0</v>
      </c>
      <c r="M587" t="n">
        <v>0</v>
      </c>
      <c r="N587" t="n">
        <v>0</v>
      </c>
      <c r="O587" t="n">
        <v>0</v>
      </c>
      <c r="P587" t="n">
        <v>0</v>
      </c>
      <c r="Q587" t="n">
        <v>0</v>
      </c>
      <c r="R587" s="2" t="inlineStr"/>
    </row>
    <row r="588" ht="15" customHeight="1">
      <c r="A588" t="inlineStr">
        <is>
          <t>A 37113-2020</t>
        </is>
      </c>
      <c r="B588" s="1" t="n">
        <v>44054</v>
      </c>
      <c r="C588" s="1" t="n">
        <v>45843</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37122-2020</t>
        </is>
      </c>
      <c r="B589" s="1" t="n">
        <v>44054</v>
      </c>
      <c r="C589" s="1" t="n">
        <v>45843</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37149-2020</t>
        </is>
      </c>
      <c r="B590" s="1" t="n">
        <v>44054</v>
      </c>
      <c r="C590" s="1" t="n">
        <v>45843</v>
      </c>
      <c r="D590" t="inlineStr">
        <is>
          <t>KALMAR LÄN</t>
        </is>
      </c>
      <c r="E590" t="inlineStr">
        <is>
          <t>VÄSTERVIK</t>
        </is>
      </c>
      <c r="G590" t="n">
        <v>4.6</v>
      </c>
      <c r="H590" t="n">
        <v>0</v>
      </c>
      <c r="I590" t="n">
        <v>0</v>
      </c>
      <c r="J590" t="n">
        <v>0</v>
      </c>
      <c r="K590" t="n">
        <v>0</v>
      </c>
      <c r="L590" t="n">
        <v>0</v>
      </c>
      <c r="M590" t="n">
        <v>0</v>
      </c>
      <c r="N590" t="n">
        <v>0</v>
      </c>
      <c r="O590" t="n">
        <v>0</v>
      </c>
      <c r="P590" t="n">
        <v>0</v>
      </c>
      <c r="Q590" t="n">
        <v>0</v>
      </c>
      <c r="R590" s="2" t="inlineStr"/>
    </row>
    <row r="591" ht="15" customHeight="1">
      <c r="A591" t="inlineStr">
        <is>
          <t>A 37166-2020</t>
        </is>
      </c>
      <c r="B591" s="1" t="n">
        <v>44054</v>
      </c>
      <c r="C591" s="1" t="n">
        <v>45843</v>
      </c>
      <c r="D591" t="inlineStr">
        <is>
          <t>KALMAR LÄN</t>
        </is>
      </c>
      <c r="E591" t="inlineStr">
        <is>
          <t>VÄSTERVIK</t>
        </is>
      </c>
      <c r="G591" t="n">
        <v>1.6</v>
      </c>
      <c r="H591" t="n">
        <v>0</v>
      </c>
      <c r="I591" t="n">
        <v>0</v>
      </c>
      <c r="J591" t="n">
        <v>0</v>
      </c>
      <c r="K591" t="n">
        <v>0</v>
      </c>
      <c r="L591" t="n">
        <v>0</v>
      </c>
      <c r="M591" t="n">
        <v>0</v>
      </c>
      <c r="N591" t="n">
        <v>0</v>
      </c>
      <c r="O591" t="n">
        <v>0</v>
      </c>
      <c r="P591" t="n">
        <v>0</v>
      </c>
      <c r="Q591" t="n">
        <v>0</v>
      </c>
      <c r="R591" s="2" t="inlineStr"/>
    </row>
    <row r="592" ht="15" customHeight="1">
      <c r="A592" t="inlineStr">
        <is>
          <t>A 37114-2020</t>
        </is>
      </c>
      <c r="B592" s="1" t="n">
        <v>44054</v>
      </c>
      <c r="C592" s="1" t="n">
        <v>45843</v>
      </c>
      <c r="D592" t="inlineStr">
        <is>
          <t>KALMAR LÄN</t>
        </is>
      </c>
      <c r="E592" t="inlineStr">
        <is>
          <t>VÄSTERVIK</t>
        </is>
      </c>
      <c r="G592" t="n">
        <v>2.8</v>
      </c>
      <c r="H592" t="n">
        <v>0</v>
      </c>
      <c r="I592" t="n">
        <v>0</v>
      </c>
      <c r="J592" t="n">
        <v>0</v>
      </c>
      <c r="K592" t="n">
        <v>0</v>
      </c>
      <c r="L592" t="n">
        <v>0</v>
      </c>
      <c r="M592" t="n">
        <v>0</v>
      </c>
      <c r="N592" t="n">
        <v>0</v>
      </c>
      <c r="O592" t="n">
        <v>0</v>
      </c>
      <c r="P592" t="n">
        <v>0</v>
      </c>
      <c r="Q592" t="n">
        <v>0</v>
      </c>
      <c r="R592" s="2" t="inlineStr"/>
    </row>
    <row r="593" ht="15" customHeight="1">
      <c r="A593" t="inlineStr">
        <is>
          <t>A 39153-2020</t>
        </is>
      </c>
      <c r="B593" s="1" t="n">
        <v>44063</v>
      </c>
      <c r="C593" s="1" t="n">
        <v>45843</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39779-2020</t>
        </is>
      </c>
      <c r="B594" s="1" t="n">
        <v>44064</v>
      </c>
      <c r="C594" s="1" t="n">
        <v>45843</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39859-2020</t>
        </is>
      </c>
      <c r="B595" s="1" t="n">
        <v>44064</v>
      </c>
      <c r="C595" s="1" t="n">
        <v>45843</v>
      </c>
      <c r="D595" t="inlineStr">
        <is>
          <t>KALMAR LÄN</t>
        </is>
      </c>
      <c r="E595" t="inlineStr">
        <is>
          <t>VÄSTERVIK</t>
        </is>
      </c>
      <c r="G595" t="n">
        <v>29.6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45843</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45843</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45843</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45843</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45843</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45843</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45843</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45843</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45843</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45843</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45843</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45843</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45843</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45843</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45843</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45843</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45843</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45843</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45843</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45843</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45843</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45843</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45843</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45843</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45843</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45843</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45843</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45843</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45843</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45843</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45843</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45843</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45843</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45843</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45843</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45843</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45843</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45843</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45843</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45843</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45843</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45843</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45843</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45843</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45843</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45843</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45843</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45843</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45843</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45843</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45843</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45843</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45843</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45843</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45843</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45843</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45843</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45843</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45843</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45843</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45843</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45843</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45843</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45843</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45843</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45843</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45843</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45843</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45843</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45843</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45843</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45843</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45843</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45843</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45843</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45843</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45843</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45843</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45843</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45843</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45843</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45843</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45843</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45843</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45843</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45843</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45843</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45843</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45843</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45843</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45843</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45843</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45843</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45843</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45843</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45843</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45843</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45843</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45843</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45843</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45843</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45843</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45843</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45843</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45843</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45843</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45843</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45843</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45843</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45843</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45843</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45843</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45843</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45843</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45843</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45843</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45843</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45843</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45843</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45843</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45843</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45843</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45843</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45843</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45843</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45843</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45843</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45843</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45843</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45843</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45843</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45843</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45843</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45843</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45843</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45843</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45843</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45843</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45843</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45843</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45843</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45843</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45843</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45843</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45843</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45843</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45843</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45843</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45843</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45843</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45843</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45843</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45843</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45843</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45843</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45843</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45843</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45843</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45843</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45843</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45843</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45843</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45843</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45843</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45843</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45843</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45843</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45843</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45843</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45843</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45843</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45843</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45843</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45843</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45843</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45843</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45843</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45843</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45843</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45843</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45843</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45843</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45843</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45843</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45843</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45843</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45843</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45843</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45843</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45843</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45843</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45843</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45843</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45843</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45843</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45843</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45843</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45843</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45843</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45843</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45843</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45843</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45843</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45843</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45843</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45843</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45843</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45843</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45843</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45843</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45843</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45843</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45843</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45843</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45843</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45843</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45843</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45843</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45843</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45843</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45843</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45843</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45843</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45843</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45843</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45843</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45843</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45843</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45843</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45843</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45843</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45843</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45843</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45843</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45843</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45843</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45843</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45843</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45843</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45843</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45843</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45843</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45843</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45843</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45843</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45843</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45843</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45843</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45843</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45843</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45843</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45843</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45843</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45843</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45843</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45843</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45843</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45843</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45843</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45843</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45843</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45843</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45843</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45843</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45843</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45843</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45843</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45843</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45843</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45843</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45843</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45843</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45843</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45843</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45843</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45843</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45843</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45843</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45843</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45843</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45843</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45843</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45843</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45843</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45843</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45843</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45843</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45843</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45843</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45843</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45843</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45843</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45843</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45843</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45843</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45843</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45843</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45843</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45843</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45843</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45843</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45843</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45843</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45843</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45843</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45843</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45843</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45843</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45843</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45843</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45843</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45843</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45843</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45843</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45843</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45843</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45843</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45843</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45843</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45843</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45843</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45843</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45843</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45843</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45843</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45843</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45843</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45843</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45843</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45843</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45843</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45843</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45843</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45843</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45843</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45843</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45843</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45843</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45843</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45843</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45843</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45843</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45843</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45843</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45843</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45843</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45843</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45843</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45843</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45843</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45843</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45843</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45843</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45843</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45843</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45843</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45843</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45843</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45843</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45843</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45843</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45843</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45843</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45843</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45843</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45843</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45843</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45843</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45843</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45843</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45843</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45843</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45843</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45843</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45843</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45843</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45843</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45843</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45843</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45843</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45843</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45843</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45843</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45843</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45843</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45843</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45843</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45843</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45843</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45843</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45843</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45843</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45843</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45843</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45843</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45843</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45843</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45843</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45843</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45843</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45843</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45843</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45843</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45843</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45843</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45843</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45843</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45843</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45843</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45843</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45843</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45843</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45843</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45843</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45843</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45843</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45843</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45843</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45843</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45843</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45843</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45843</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45843</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45843</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45843</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45843</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45843</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45843</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45843</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45843</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45843</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45843</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45843</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45843</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45843</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45843</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45843</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45843</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45843</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45843</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45843</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45843</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45843</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45843</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45843</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45843</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45843</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45843</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45843</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45843</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45843</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45843</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45843</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45843</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45843</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45843</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45843</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45843</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45843</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45843</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45843</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45843</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45843</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45843</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45843</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45843</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45843</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45843</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45843</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45843</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45843</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45843</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45843</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45843</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45843</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45843</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45843</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45843</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45843</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45843</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45843</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45843</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45843</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45843</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45843</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45843</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45843</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45843</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45843</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45843</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45843</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45843</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45843</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45843</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45843</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45843</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45843</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45843</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45843</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45843</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45843</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45843</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45843</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45843</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45843</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45843</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45843</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45843</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45843</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45843</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45843</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45843</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45843</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45843</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45843</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45843</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45843</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45843</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45843</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45843</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45843</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45843</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45843</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45843</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45843</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45843</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45843</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45843</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45843</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45843</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45843</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45843</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45843</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45843</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45843</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45843</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45843</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45843</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45843</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45843</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45843</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45843</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45843</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45843</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45843</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45843</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45843</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45843</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45843</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45843</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45843</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45843</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45843</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45843</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45843</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45843</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45843</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45843</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45843</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45843</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45843</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45843</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45843</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45843</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45843</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45843</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45843</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45843</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45843</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45843</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45843</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45843</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45843</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45843</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45843</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45843</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45843</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45843</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45843</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45843</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45843</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45843</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45843</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45843</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45843</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45843</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45843</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45843</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45843</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45843</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45843</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45843</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45843</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45843</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45843</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45843</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45843</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45843</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45843</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45843</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45843</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45843</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45843</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45843</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45843</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45843</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45843</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45843</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45843</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45843</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45843</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45843</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45843</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45843</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45843</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45843</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45843</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45843</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45843</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45843</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45843</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45843</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45843</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45843</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45843</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45843</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45843</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45843</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45843</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45843</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45843</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45843</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45843</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45843</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45843</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45843</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45843</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45843</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45843</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45843</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45843</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45843</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45843</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45843</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45843</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45843</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45843</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45843</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45843</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45843</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45843</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45843</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45843</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45843</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45843</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45843</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45843</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45843</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45843</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45843</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45843</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45843</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45843</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45843</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45843</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45843</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45843</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45843</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45843</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45843</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45843</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45843</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45843</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45843</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45843</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45843</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45843</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45843</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45843</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45843</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45843</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45843</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45843</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45843</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45843</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45843</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45843</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45843</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45843</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45843</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45843</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45843</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45843</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45843</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45843</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45843</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45843</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45843</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45843</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45843</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45843</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45843</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45843</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45843</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45843</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45843</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45843</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45843</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45843</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45843</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45843</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45843</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45843</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45843</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45843</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45843</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45843</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45843</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45843</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45843</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45843</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45843</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45843</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45843</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45843</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45843</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45843</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45843</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45843</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45843</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45843</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45843</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45843</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45843</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45843</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45843</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45843</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45843</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45843</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45843</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45843</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45843</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45843</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45843</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45843</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45843</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45843</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45843</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45843</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45843</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45843</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45843</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45843</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45843</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45843</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45843</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45843</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45843</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45843</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45843</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45843</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45843</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45843</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45843</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45843</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45843</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45843</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45843</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45843</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45843</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45843</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45843</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45843</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45843</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45843</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45843</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45843</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45843</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45843</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45843</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45843</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45843</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45843</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45843</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45843</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45843</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45843</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45843</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45843</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45843</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45843</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45843</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45843</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45843</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45843</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45843</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45843</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45843</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45843</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45843</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45843</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45843</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45843</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45843</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45843</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45843</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45843</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45843</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45843</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45843</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45843</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45843</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45843</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45843</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45843</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45843</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45843</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45843</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45843</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45843</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45843</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45843</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45843</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45843</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45843</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45843</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45843</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45843</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45843</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45843</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45843</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45843</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45843</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45843</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45843</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45843</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45843</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45843</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45843</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45843</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45843</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45843</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45843</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45843</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45843</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45843</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45843</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45843</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45843</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45843</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45843</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45843</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45843</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45843</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45843</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45843</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45843</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45843</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45843</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45843</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45843</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45843</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45843</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45843</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45843</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45843</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45843</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45843</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45843</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45843</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45843</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45843</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45843</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45843</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45843</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45843</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45843</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45843</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45843</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45843</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45843</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45843</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45843</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45843</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45843</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45843</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45843</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45843</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45843</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45843</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45843</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45843</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45843</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45843</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45843</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45843</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45843</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45843</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45843</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45843</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45843</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45843</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45843</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45843</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45843</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45843</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45843</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45843</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45843</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45843</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45843</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45843</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45843</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45843</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45843</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45843</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45843</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45843</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45843</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45843</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45843</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45843</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45843</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45843</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45843</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45843</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45843</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45843</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45843</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45843</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45843</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45843</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45843</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45843</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45843</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45843</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45843</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45843</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45843</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45843</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45843</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45843</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45843</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45843</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45843</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45843</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45843</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45843</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45843</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45843</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45843</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45843</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45843</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45843</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45843</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45843</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45843</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45843</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45843</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45843</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45843</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45843</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45843</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45843</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45843</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45843</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45843</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45843</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45843</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45843</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45843</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45843</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45843</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45843</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45843</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45843</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45843</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45843</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45843</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45843</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45843</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45843</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45843</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45843</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45843</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45843</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45843</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45843</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45843</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45843</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45843</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45843</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45843</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45843</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45843</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45843</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45843</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45843</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45843</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45843</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45843</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45843</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45843</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45843</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45843</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45843</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45843</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45843</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45843</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45843</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45843</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45843</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45843</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45843</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45843</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45843</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45843</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45843</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45843</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45843</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45843</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45843</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45843</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45843</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45843</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45843</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45843</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45843</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45843</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45843</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45843</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45843</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45843</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45843</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45843</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45843</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45843</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45843</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45843</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45843</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45843</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45843</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45843</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45843</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45843</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45843</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45843</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45843</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45843</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45843</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45843</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45843</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45843</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45843</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45843</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45843</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45843</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45843</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45843</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45843</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45843</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45843</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45843</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45843</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45843</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45843</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45843</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45843</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45843</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45843</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45843</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45843</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45843</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45843</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45843</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45843</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45843</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45843</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45843</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45843</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45843</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45843</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45843</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45843</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45843</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45843</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45843</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45843</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45843</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45843</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45843</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45843</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45843</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45843</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45843</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45843</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45843</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45843</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45843</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45843</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45843</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45843</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45843</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45843</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45843</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45843</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45843</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45843</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45843</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45843</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45843</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45843</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45843</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45843</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45843</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45843</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45843</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45843</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45843</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45843</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45843</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45843</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45843</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45843</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45843</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45843</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45843</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45843</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45843</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45843</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45843</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45843</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45843</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45843</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45843</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45843</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45843</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45843</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45843</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45843</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45843</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45843</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45843</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45843</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45843</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45843</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45843</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45843</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45843</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45843</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45843</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45843</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45843</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45843</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45843</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45843</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45843</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45843</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45843</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45843</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45843</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45843</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45843</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45843</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45843</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45843</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45843</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45843</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45843</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45843</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45843</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45843</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45843</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45843</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45843</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45843</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45843</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45843</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45843</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45843</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45843</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45843</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45843</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45843</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45843</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45843</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45843</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45843</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45843</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45843</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45843</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45843</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45843</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45843</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45843</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45843</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45843</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45843</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45843</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45843</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45843</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45843</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45843</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45843</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45843</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45843</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45843</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45843</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45843</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45843</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45843</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45843</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45843</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45843</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45843</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45843</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45843</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45843</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45843</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45843</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45843</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45843</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45843</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45843</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45843</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45843</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45843</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45843</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45843</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45843</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45843</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45843</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45843</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45843</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45843</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45843</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45843</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45843</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45843</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45843</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45843</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45843</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45843</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45843</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45843</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45843</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45843</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45843</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45843</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45843</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45843</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45843</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45843</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45843</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45843</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45843</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45843</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45843</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45843</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45843</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45843</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45843</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45843</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45843</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45843</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45843</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45843</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45843</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45843</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45843</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45843</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45843</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45843</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45843</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45843</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45843</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45843</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45843</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45843</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45843</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45843</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45843</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45843</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45843</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45843</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45843</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45843</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45843</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45843</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45843</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45843</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45843</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45843</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45843</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45843</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45843</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45843</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45843</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45843</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45843</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45843</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45843</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45843</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45843</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45843</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45843</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45843</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45843</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45843</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45843</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45843</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45843</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45843</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45843</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45843</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45843</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45843</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45843</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45843</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45843</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45843</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45843</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45843</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45843</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45843</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45843</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45843</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45843</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45843</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45843</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45843</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45843</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45843</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45843</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45843</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45843</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45843</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45843</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45843</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45843</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45843</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45843</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45843</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45843</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45843</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45843</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45843</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45843</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45843</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45843</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45843</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45843</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45843</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45843</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45843</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45843</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45843</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45843</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45843</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45843</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45843</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45843</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45843</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45843</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45843</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45843</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45843</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45843</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45843</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45843</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45843</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45843</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45843</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45843</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45843</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45843</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45843</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45843</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45843</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27974-2025</t>
        </is>
      </c>
      <c r="B1975" s="1" t="n">
        <v>45817</v>
      </c>
      <c r="C1975" s="1" t="n">
        <v>45843</v>
      </c>
      <c r="D1975" t="inlineStr">
        <is>
          <t>KALMAR LÄN</t>
        </is>
      </c>
      <c r="E1975" t="inlineStr">
        <is>
          <t>VÄSTERVIK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45843</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45843</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27991-2025</t>
        </is>
      </c>
      <c r="B1978" s="1" t="n">
        <v>45817</v>
      </c>
      <c r="C1978" s="1" t="n">
        <v>45843</v>
      </c>
      <c r="D1978" t="inlineStr">
        <is>
          <t>KALMAR LÄN</t>
        </is>
      </c>
      <c r="E1978" t="inlineStr">
        <is>
          <t>VÄSTERVIK</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45843</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45843</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45843</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45843</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28260-2025</t>
        </is>
      </c>
      <c r="B1983" s="1" t="n">
        <v>45818</v>
      </c>
      <c r="C1983" s="1" t="n">
        <v>45843</v>
      </c>
      <c r="D1983" t="inlineStr">
        <is>
          <t>KALMAR LÄN</t>
        </is>
      </c>
      <c r="E1983" t="inlineStr">
        <is>
          <t>VÄSTERVIK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45843</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29678-2025</t>
        </is>
      </c>
      <c r="B1985" s="1" t="n">
        <v>45825</v>
      </c>
      <c r="C1985" s="1" t="n">
        <v>45843</v>
      </c>
      <c r="D1985" t="inlineStr">
        <is>
          <t>KALMAR LÄN</t>
        </is>
      </c>
      <c r="E1985" t="inlineStr">
        <is>
          <t>VÄSTERVIK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29719-2025</t>
        </is>
      </c>
      <c r="B1986" s="1" t="n">
        <v>45825</v>
      </c>
      <c r="C1986" s="1" t="n">
        <v>45843</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29722-2025</t>
        </is>
      </c>
      <c r="B1987" s="1" t="n">
        <v>45825</v>
      </c>
      <c r="C1987" s="1" t="n">
        <v>45843</v>
      </c>
      <c r="D1987" t="inlineStr">
        <is>
          <t>KALMAR LÄN</t>
        </is>
      </c>
      <c r="E1987" t="inlineStr">
        <is>
          <t>VÄSTERVIK</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45843</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30648-2025</t>
        </is>
      </c>
      <c r="B1989" s="1" t="n">
        <v>45831</v>
      </c>
      <c r="C1989" s="1" t="n">
        <v>45843</v>
      </c>
      <c r="D1989" t="inlineStr">
        <is>
          <t>KALMAR LÄN</t>
        </is>
      </c>
      <c r="E1989" t="inlineStr">
        <is>
          <t>VÄSTERVIK</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30690-2025</t>
        </is>
      </c>
      <c r="B1990" s="1" t="n">
        <v>45831</v>
      </c>
      <c r="C1990" s="1" t="n">
        <v>45843</v>
      </c>
      <c r="D1990" t="inlineStr">
        <is>
          <t>KALMAR LÄN</t>
        </is>
      </c>
      <c r="E1990" t="inlineStr">
        <is>
          <t>VÄSTERVIK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30789-2025</t>
        </is>
      </c>
      <c r="B1991" s="1" t="n">
        <v>45831</v>
      </c>
      <c r="C1991" s="1" t="n">
        <v>45843</v>
      </c>
      <c r="D1991" t="inlineStr">
        <is>
          <t>KALMAR LÄN</t>
        </is>
      </c>
      <c r="E1991" t="inlineStr">
        <is>
          <t>VÄSTERVIK</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30811-2025</t>
        </is>
      </c>
      <c r="B1992" s="1" t="n">
        <v>45831</v>
      </c>
      <c r="C1992" s="1" t="n">
        <v>45843</v>
      </c>
      <c r="D1992" t="inlineStr">
        <is>
          <t>KALMAR LÄN</t>
        </is>
      </c>
      <c r="E1992" t="inlineStr">
        <is>
          <t>VÄSTERVIK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30794-2025</t>
        </is>
      </c>
      <c r="B1993" s="1" t="n">
        <v>45831</v>
      </c>
      <c r="C1993" s="1" t="n">
        <v>45843</v>
      </c>
      <c r="D1993" t="inlineStr">
        <is>
          <t>KALMAR LÄN</t>
        </is>
      </c>
      <c r="E1993" t="inlineStr">
        <is>
          <t>VÄSTERVIK</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30800-2025</t>
        </is>
      </c>
      <c r="B1994" s="1" t="n">
        <v>45831</v>
      </c>
      <c r="C1994" s="1" t="n">
        <v>45843</v>
      </c>
      <c r="D1994" t="inlineStr">
        <is>
          <t>KALMAR LÄN</t>
        </is>
      </c>
      <c r="E1994" t="inlineStr">
        <is>
          <t>VÄSTERVIK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45843</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31600-2025</t>
        </is>
      </c>
      <c r="B1996" s="1" t="n">
        <v>45833</v>
      </c>
      <c r="C1996" s="1" t="n">
        <v>45843</v>
      </c>
      <c r="D1996" t="inlineStr">
        <is>
          <t>KALMAR LÄN</t>
        </is>
      </c>
      <c r="E1996" t="inlineStr">
        <is>
          <t>VÄSTERVIK</t>
        </is>
      </c>
      <c r="F1996" t="inlineStr">
        <is>
          <t>Holmen skog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31576-2025</t>
        </is>
      </c>
      <c r="B1997" s="1" t="n">
        <v>45833</v>
      </c>
      <c r="C1997" s="1" t="n">
        <v>45843</v>
      </c>
      <c r="D1997" t="inlineStr">
        <is>
          <t>KALMAR LÄN</t>
        </is>
      </c>
      <c r="E1997" t="inlineStr">
        <is>
          <t>VÄSTERVIK</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31419-2025</t>
        </is>
      </c>
      <c r="B1998" s="1" t="n">
        <v>45833</v>
      </c>
      <c r="C1998" s="1" t="n">
        <v>45843</v>
      </c>
      <c r="D1998" t="inlineStr">
        <is>
          <t>KALMAR LÄN</t>
        </is>
      </c>
      <c r="E1998" t="inlineStr">
        <is>
          <t>VÄSTERVIK</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31854-2025</t>
        </is>
      </c>
      <c r="B1999" s="1" t="n">
        <v>45834</v>
      </c>
      <c r="C1999" s="1" t="n">
        <v>45843</v>
      </c>
      <c r="D1999" t="inlineStr">
        <is>
          <t>KALMAR LÄN</t>
        </is>
      </c>
      <c r="E1999" t="inlineStr">
        <is>
          <t>VÄSTERVIK</t>
        </is>
      </c>
      <c r="F1999" t="inlineStr">
        <is>
          <t>Holmen skog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31857-2025</t>
        </is>
      </c>
      <c r="B2000" s="1" t="n">
        <v>45834</v>
      </c>
      <c r="C2000" s="1" t="n">
        <v>45843</v>
      </c>
      <c r="D2000" t="inlineStr">
        <is>
          <t>KALMAR LÄN</t>
        </is>
      </c>
      <c r="E2000" t="inlineStr">
        <is>
          <t>VÄSTERVIK</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31843-2025</t>
        </is>
      </c>
      <c r="B2001" s="1" t="n">
        <v>45834</v>
      </c>
      <c r="C2001" s="1" t="n">
        <v>45843</v>
      </c>
      <c r="D2001" t="inlineStr">
        <is>
          <t>KALMAR LÄN</t>
        </is>
      </c>
      <c r="E2001" t="inlineStr">
        <is>
          <t>VÄSTERVIK</t>
        </is>
      </c>
      <c r="F2001" t="inlineStr">
        <is>
          <t>Holmen skog AB</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31826-2025</t>
        </is>
      </c>
      <c r="B2002" s="1" t="n">
        <v>45834</v>
      </c>
      <c r="C2002" s="1" t="n">
        <v>45843</v>
      </c>
      <c r="D2002" t="inlineStr">
        <is>
          <t>KALMAR LÄN</t>
        </is>
      </c>
      <c r="E2002" t="inlineStr">
        <is>
          <t>VÄSTERVIK</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31886-2025</t>
        </is>
      </c>
      <c r="B2003" s="1" t="n">
        <v>45834</v>
      </c>
      <c r="C2003" s="1" t="n">
        <v>45843</v>
      </c>
      <c r="D2003" t="inlineStr">
        <is>
          <t>KALMAR LÄN</t>
        </is>
      </c>
      <c r="E2003" t="inlineStr">
        <is>
          <t>VÄSTERVIK</t>
        </is>
      </c>
      <c r="F2003" t="inlineStr">
        <is>
          <t>Holmen skog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32018-2025</t>
        </is>
      </c>
      <c r="B2004" s="1" t="n">
        <v>45835</v>
      </c>
      <c r="C2004" s="1" t="n">
        <v>45843</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32495-2025</t>
        </is>
      </c>
      <c r="B2005" s="1" t="n">
        <v>45838</v>
      </c>
      <c r="C2005" s="1" t="n">
        <v>45843</v>
      </c>
      <c r="D2005" t="inlineStr">
        <is>
          <t>KALMAR LÄN</t>
        </is>
      </c>
      <c r="E2005" t="inlineStr">
        <is>
          <t>VÄSTERVIK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32400-2025</t>
        </is>
      </c>
      <c r="B2006" s="1" t="n">
        <v>45838</v>
      </c>
      <c r="C2006" s="1" t="n">
        <v>45843</v>
      </c>
      <c r="D2006" t="inlineStr">
        <is>
          <t>KALMAR LÄN</t>
        </is>
      </c>
      <c r="E2006" t="inlineStr">
        <is>
          <t>VÄSTERVIK</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32778-2025</t>
        </is>
      </c>
      <c r="B2007" s="1" t="n">
        <v>45839</v>
      </c>
      <c r="C2007" s="1" t="n">
        <v>45843</v>
      </c>
      <c r="D2007" t="inlineStr">
        <is>
          <t>KALMAR LÄN</t>
        </is>
      </c>
      <c r="E2007" t="inlineStr">
        <is>
          <t>VÄSTERVIK</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33184-2025</t>
        </is>
      </c>
      <c r="B2008" s="1" t="n">
        <v>45840</v>
      </c>
      <c r="C2008" s="1" t="n">
        <v>45843</v>
      </c>
      <c r="D2008" t="inlineStr">
        <is>
          <t>KALMAR LÄN</t>
        </is>
      </c>
      <c r="E2008" t="inlineStr">
        <is>
          <t>VÄSTERVIK</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33691-2025</t>
        </is>
      </c>
      <c r="B2009" s="1" t="n">
        <v>45841</v>
      </c>
      <c r="C2009" s="1" t="n">
        <v>45843</v>
      </c>
      <c r="D2009" t="inlineStr">
        <is>
          <t>KALMAR LÄN</t>
        </is>
      </c>
      <c r="E2009" t="inlineStr">
        <is>
          <t>VÄSTERVIK</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33687-2025</t>
        </is>
      </c>
      <c r="B2010" s="1" t="n">
        <v>45841</v>
      </c>
      <c r="C2010" s="1" t="n">
        <v>45843</v>
      </c>
      <c r="D2010" t="inlineStr">
        <is>
          <t>KALMAR LÄN</t>
        </is>
      </c>
      <c r="E2010" t="inlineStr">
        <is>
          <t>VÄSTERVIK</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33903-2025</t>
        </is>
      </c>
      <c r="B2011" s="1" t="n">
        <v>45842</v>
      </c>
      <c r="C2011" s="1" t="n">
        <v>45843</v>
      </c>
      <c r="D2011" t="inlineStr">
        <is>
          <t>KALMAR LÄN</t>
        </is>
      </c>
      <c r="E2011" t="inlineStr">
        <is>
          <t>VÄSTERVIK</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33907-2025</t>
        </is>
      </c>
      <c r="B2012" s="1" t="n">
        <v>45842</v>
      </c>
      <c r="C2012" s="1" t="n">
        <v>45843</v>
      </c>
      <c r="D2012" t="inlineStr">
        <is>
          <t>KALMAR LÄN</t>
        </is>
      </c>
      <c r="E2012" t="inlineStr">
        <is>
          <t>VÄSTERVIK</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33924-2025</t>
        </is>
      </c>
      <c r="B2013" s="1" t="n">
        <v>45842</v>
      </c>
      <c r="C2013" s="1" t="n">
        <v>45843</v>
      </c>
      <c r="D2013" t="inlineStr">
        <is>
          <t>KALMAR LÄN</t>
        </is>
      </c>
      <c r="E2013" t="inlineStr">
        <is>
          <t>VÄSTERVIK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33916-2025</t>
        </is>
      </c>
      <c r="B2014" s="1" t="n">
        <v>45842</v>
      </c>
      <c r="C2014" s="1" t="n">
        <v>45843</v>
      </c>
      <c r="D2014" t="inlineStr">
        <is>
          <t>KALMAR LÄN</t>
        </is>
      </c>
      <c r="E2014" t="inlineStr">
        <is>
          <t>VÄSTERVIK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33836-2025</t>
        </is>
      </c>
      <c r="B2015" s="1" t="n">
        <v>45842</v>
      </c>
      <c r="C2015" s="1" t="n">
        <v>45843</v>
      </c>
      <c r="D2015" t="inlineStr">
        <is>
          <t>KALMAR LÄN</t>
        </is>
      </c>
      <c r="E2015" t="inlineStr">
        <is>
          <t>VÄSTERVIK</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33922-2025</t>
        </is>
      </c>
      <c r="B2016" s="1" t="n">
        <v>45842</v>
      </c>
      <c r="C2016" s="1" t="n">
        <v>45843</v>
      </c>
      <c r="D2016" t="inlineStr">
        <is>
          <t>KALMAR LÄN</t>
        </is>
      </c>
      <c r="E2016" t="inlineStr">
        <is>
          <t>VÄSTERVIK</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33928-2025</t>
        </is>
      </c>
      <c r="B2017" s="1" t="n">
        <v>45842</v>
      </c>
      <c r="C2017" s="1" t="n">
        <v>45843</v>
      </c>
      <c r="D2017" t="inlineStr">
        <is>
          <t>KALMAR LÄN</t>
        </is>
      </c>
      <c r="E2017" t="inlineStr">
        <is>
          <t>VÄSTERVIK</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33842-2025</t>
        </is>
      </c>
      <c r="B2018" s="1" t="n">
        <v>45842</v>
      </c>
      <c r="C2018" s="1" t="n">
        <v>45843</v>
      </c>
      <c r="D2018" t="inlineStr">
        <is>
          <t>KALMAR LÄN</t>
        </is>
      </c>
      <c r="E2018" t="inlineStr">
        <is>
          <t>VÄSTERVIK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33931-2025</t>
        </is>
      </c>
      <c r="B2019" s="1" t="n">
        <v>45842</v>
      </c>
      <c r="C2019" s="1" t="n">
        <v>45843</v>
      </c>
      <c r="D2019" t="inlineStr">
        <is>
          <t>KALMAR LÄN</t>
        </is>
      </c>
      <c r="E2019" t="inlineStr">
        <is>
          <t>VÄSTERVIK</t>
        </is>
      </c>
      <c r="G2019" t="n">
        <v>1.6</v>
      </c>
      <c r="H2019" t="n">
        <v>0</v>
      </c>
      <c r="I2019" t="n">
        <v>0</v>
      </c>
      <c r="J2019" t="n">
        <v>0</v>
      </c>
      <c r="K2019" t="n">
        <v>0</v>
      </c>
      <c r="L2019" t="n">
        <v>0</v>
      </c>
      <c r="M2019" t="n">
        <v>0</v>
      </c>
      <c r="N2019" t="n">
        <v>0</v>
      </c>
      <c r="O2019" t="n">
        <v>0</v>
      </c>
      <c r="P2019" t="n">
        <v>0</v>
      </c>
      <c r="Q2019" t="n">
        <v>0</v>
      </c>
      <c r="R2019" s="2" t="inlineStr"/>
    </row>
    <row r="2020">
      <c r="A2020" t="inlineStr">
        <is>
          <t>A 33921-2025</t>
        </is>
      </c>
      <c r="B2020" s="1" t="n">
        <v>45842</v>
      </c>
      <c r="C2020" s="1" t="n">
        <v>45843</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2025-07-05T19:53:16Z</dcterms:created>
  <dcterms:modified xmlns:dcterms="http://purl.org/dc/terms/" xmlns:xsi="http://www.w3.org/2001/XMLSchema-instance" xsi:type="dcterms:W3CDTF">2025-07-05T19:53:18Z</dcterms:modified>
</cp:coreProperties>
</file>