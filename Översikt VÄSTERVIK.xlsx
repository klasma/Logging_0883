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45975</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45975</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45975</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45975</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45975</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45975</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45975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45975</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45975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45975</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45975</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45975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45975</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56737-2023</t>
        </is>
      </c>
      <c r="B17" s="1" t="n">
        <v>45244</v>
      </c>
      <c r="C17" s="1" t="n">
        <v>45975</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20094-2024</t>
        </is>
      </c>
      <c r="B18" s="1" t="n">
        <v>45434</v>
      </c>
      <c r="C18" s="1" t="n">
        <v>45975</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34414-2024</t>
        </is>
      </c>
      <c r="B19" s="1" t="n">
        <v>45525</v>
      </c>
      <c r="C19" s="1" t="n">
        <v>45975</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35134-2024</t>
        </is>
      </c>
      <c r="B20" s="1" t="n">
        <v>45530</v>
      </c>
      <c r="C20" s="1" t="n">
        <v>45975</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27378-2024</t>
        </is>
      </c>
      <c r="B21" s="1" t="n">
        <v>45473</v>
      </c>
      <c r="C21" s="1" t="n">
        <v>45975</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51234-2025</t>
        </is>
      </c>
      <c r="B22" s="1" t="n">
        <v>45947.6834837963</v>
      </c>
      <c r="C22" s="1" t="n">
        <v>45975</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14121-2025</t>
        </is>
      </c>
      <c r="B23" s="1" t="n">
        <v>45740.46803240741</v>
      </c>
      <c r="C23" s="1" t="n">
        <v>45975</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45975</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26281-2024</t>
        </is>
      </c>
      <c r="B25" s="1" t="n">
        <v>45468</v>
      </c>
      <c r="C25" s="1" t="n">
        <v>45975</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42888-2025</t>
        </is>
      </c>
      <c r="B26" s="1" t="n">
        <v>45908.65443287037</v>
      </c>
      <c r="C26" s="1" t="n">
        <v>45975</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51597-2024</t>
        </is>
      </c>
      <c r="B27" s="1" t="n">
        <v>45604</v>
      </c>
      <c r="C27" s="1" t="n">
        <v>45975</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48739-2025</t>
        </is>
      </c>
      <c r="B28" s="1" t="n">
        <v>45936.67719907407</v>
      </c>
      <c r="C28" s="1" t="n">
        <v>45975</v>
      </c>
      <c r="D28" t="inlineStr">
        <is>
          <t>KALMAR LÄN</t>
        </is>
      </c>
      <c r="E28" t="inlineStr">
        <is>
          <t>VÄSTERVIK</t>
        </is>
      </c>
      <c r="G28" t="n">
        <v>5.6</v>
      </c>
      <c r="H28" t="n">
        <v>4</v>
      </c>
      <c r="I28" t="n">
        <v>2</v>
      </c>
      <c r="J28" t="n">
        <v>2</v>
      </c>
      <c r="K28" t="n">
        <v>1</v>
      </c>
      <c r="L28" t="n">
        <v>0</v>
      </c>
      <c r="M28" t="n">
        <v>0</v>
      </c>
      <c r="N28" t="n">
        <v>0</v>
      </c>
      <c r="O28" t="n">
        <v>3</v>
      </c>
      <c r="P28" t="n">
        <v>1</v>
      </c>
      <c r="Q28" t="n">
        <v>7</v>
      </c>
      <c r="R28" s="2" t="inlineStr">
        <is>
          <t>Knärot
Motaggsvamp
Spillkråka
Blomkålssvamp
Dropptaggsvamp
Kungsfågel
Mattlummer</t>
        </is>
      </c>
      <c r="S28">
        <f>HYPERLINK("https://klasma.github.io/Logging_0883/artfynd/A 48739-2025 artfynd.xlsx", "A 48739-2025")</f>
        <v/>
      </c>
      <c r="T28">
        <f>HYPERLINK("https://klasma.github.io/Logging_0883/kartor/A 48739-2025 karta.png", "A 48739-2025")</f>
        <v/>
      </c>
      <c r="U28">
        <f>HYPERLINK("https://klasma.github.io/Logging_0883/knärot/A 48739-2025 karta knärot.png", "A 48739-2025")</f>
        <v/>
      </c>
      <c r="V28">
        <f>HYPERLINK("https://klasma.github.io/Logging_0883/klagomål/A 48739-2025 FSC-klagomål.docx", "A 48739-2025")</f>
        <v/>
      </c>
      <c r="W28">
        <f>HYPERLINK("https://klasma.github.io/Logging_0883/klagomålsmail/A 48739-2025 FSC-klagomål mail.docx", "A 48739-2025")</f>
        <v/>
      </c>
      <c r="X28">
        <f>HYPERLINK("https://klasma.github.io/Logging_0883/tillsyn/A 48739-2025 tillsynsbegäran.docx", "A 48739-2025")</f>
        <v/>
      </c>
      <c r="Y28">
        <f>HYPERLINK("https://klasma.github.io/Logging_0883/tillsynsmail/A 48739-2025 tillsynsbegäran mail.docx", "A 48739-2025")</f>
        <v/>
      </c>
      <c r="Z28">
        <f>HYPERLINK("https://klasma.github.io/Logging_0883/fåglar/A 48739-2025 prioriterade fågelarter.docx", "A 48739-2025")</f>
        <v/>
      </c>
    </row>
    <row r="29" ht="15" customHeight="1">
      <c r="A29" t="inlineStr">
        <is>
          <t>A 63850-2021</t>
        </is>
      </c>
      <c r="B29" s="1" t="n">
        <v>44505</v>
      </c>
      <c r="C29" s="1" t="n">
        <v>45975</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34624-2022</t>
        </is>
      </c>
      <c r="B30" s="1" t="n">
        <v>44795</v>
      </c>
      <c r="C30" s="1" t="n">
        <v>45975</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24839-2025</t>
        </is>
      </c>
      <c r="B31" s="1" t="n">
        <v>45799.4640625</v>
      </c>
      <c r="C31" s="1" t="n">
        <v>45975</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31082-2024</t>
        </is>
      </c>
      <c r="B32" s="1" t="n">
        <v>45502</v>
      </c>
      <c r="C32" s="1" t="n">
        <v>45975</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26574-2025</t>
        </is>
      </c>
      <c r="B33" s="1" t="n">
        <v>45807.68491898148</v>
      </c>
      <c r="C33" s="1" t="n">
        <v>45975</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4397-2025</t>
        </is>
      </c>
      <c r="B34" s="1" t="n">
        <v>45686</v>
      </c>
      <c r="C34" s="1" t="n">
        <v>45975</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45975</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45975</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45975</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45975</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63635-2020</t>
        </is>
      </c>
      <c r="B39" s="1" t="n">
        <v>44162</v>
      </c>
      <c r="C39" s="1" t="n">
        <v>45975</v>
      </c>
      <c r="D39" t="inlineStr">
        <is>
          <t>KALMAR LÄN</t>
        </is>
      </c>
      <c r="E39" t="inlineStr">
        <is>
          <t>VÄSTERVIK</t>
        </is>
      </c>
      <c r="G39" t="n">
        <v>1</v>
      </c>
      <c r="H39" t="n">
        <v>4</v>
      </c>
      <c r="I39" t="n">
        <v>0</v>
      </c>
      <c r="J39" t="n">
        <v>5</v>
      </c>
      <c r="K39" t="n">
        <v>1</v>
      </c>
      <c r="L39" t="n">
        <v>0</v>
      </c>
      <c r="M39" t="n">
        <v>0</v>
      </c>
      <c r="N39" t="n">
        <v>0</v>
      </c>
      <c r="O39" t="n">
        <v>6</v>
      </c>
      <c r="P39" t="n">
        <v>1</v>
      </c>
      <c r="Q39" t="n">
        <v>6</v>
      </c>
      <c r="R39" s="2" t="inlineStr">
        <is>
          <t>Knärot
Gränsticka
Järpe
Koralltaggsvamp
Spillkråka
Talltita</t>
        </is>
      </c>
      <c r="S39">
        <f>HYPERLINK("https://klasma.github.io/Logging_0883/artfynd/A 63635-2020 artfynd.xlsx", "A 63635-2020")</f>
        <v/>
      </c>
      <c r="T39">
        <f>HYPERLINK("https://klasma.github.io/Logging_0883/kartor/A 63635-2020 karta.png", "A 63635-2020")</f>
        <v/>
      </c>
      <c r="U39">
        <f>HYPERLINK("https://klasma.github.io/Logging_0883/knärot/A 63635-2020 karta knärot.png", "A 63635-2020")</f>
        <v/>
      </c>
      <c r="V39">
        <f>HYPERLINK("https://klasma.github.io/Logging_0883/klagomål/A 63635-2020 FSC-klagomål.docx", "A 63635-2020")</f>
        <v/>
      </c>
      <c r="W39">
        <f>HYPERLINK("https://klasma.github.io/Logging_0883/klagomålsmail/A 63635-2020 FSC-klagomål mail.docx", "A 63635-2020")</f>
        <v/>
      </c>
      <c r="X39">
        <f>HYPERLINK("https://klasma.github.io/Logging_0883/tillsyn/A 63635-2020 tillsynsbegäran.docx", "A 63635-2020")</f>
        <v/>
      </c>
      <c r="Y39">
        <f>HYPERLINK("https://klasma.github.io/Logging_0883/tillsynsmail/A 63635-2020 tillsynsbegäran mail.docx", "A 63635-2020")</f>
        <v/>
      </c>
      <c r="Z39">
        <f>HYPERLINK("https://klasma.github.io/Logging_0883/fåglar/A 63635-2020 prioriterade fågelarter.docx", "A 63635-2020")</f>
        <v/>
      </c>
    </row>
    <row r="40" ht="15" customHeight="1">
      <c r="A40" t="inlineStr">
        <is>
          <t>A 60996-2021</t>
        </is>
      </c>
      <c r="B40" s="1" t="n">
        <v>44497</v>
      </c>
      <c r="C40" s="1" t="n">
        <v>45975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55286-2023</t>
        </is>
      </c>
      <c r="B41" s="1" t="n">
        <v>45237</v>
      </c>
      <c r="C41" s="1" t="n">
        <v>45975</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11740-2023</t>
        </is>
      </c>
      <c r="B42" s="1" t="n">
        <v>44994</v>
      </c>
      <c r="C42" s="1" t="n">
        <v>45975</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27379-2024</t>
        </is>
      </c>
      <c r="B43" s="1" t="n">
        <v>45473</v>
      </c>
      <c r="C43" s="1" t="n">
        <v>45975</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974-2023</t>
        </is>
      </c>
      <c r="B44" s="1" t="n">
        <v>44935</v>
      </c>
      <c r="C44" s="1" t="n">
        <v>45975</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52046-2024</t>
        </is>
      </c>
      <c r="B45" s="1" t="n">
        <v>45608</v>
      </c>
      <c r="C45" s="1" t="n">
        <v>45975</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50650-2025</t>
        </is>
      </c>
      <c r="B46" s="1" t="n">
        <v>45945.66226851852</v>
      </c>
      <c r="C46" s="1" t="n">
        <v>45975</v>
      </c>
      <c r="D46" t="inlineStr">
        <is>
          <t>KALMAR LÄN</t>
        </is>
      </c>
      <c r="E46" t="inlineStr">
        <is>
          <t>VÄSTERVIK</t>
        </is>
      </c>
      <c r="G46" t="n">
        <v>2.4</v>
      </c>
      <c r="H46" t="n">
        <v>2</v>
      </c>
      <c r="I46" t="n">
        <v>2</v>
      </c>
      <c r="J46" t="n">
        <v>3</v>
      </c>
      <c r="K46" t="n">
        <v>1</v>
      </c>
      <c r="L46" t="n">
        <v>0</v>
      </c>
      <c r="M46" t="n">
        <v>0</v>
      </c>
      <c r="N46" t="n">
        <v>0</v>
      </c>
      <c r="O46" t="n">
        <v>4</v>
      </c>
      <c r="P46" t="n">
        <v>1</v>
      </c>
      <c r="Q46" t="n">
        <v>6</v>
      </c>
      <c r="R46" s="2" t="inlineStr">
        <is>
          <t>Knärot
Ekticka
Tallticka
Talltita
Blåmossa
Grönpyrola</t>
        </is>
      </c>
      <c r="S46">
        <f>HYPERLINK("https://klasma.github.io/Logging_0883/artfynd/A 50650-2025 artfynd.xlsx", "A 50650-2025")</f>
        <v/>
      </c>
      <c r="T46">
        <f>HYPERLINK("https://klasma.github.io/Logging_0883/kartor/A 50650-2025 karta.png", "A 50650-2025")</f>
        <v/>
      </c>
      <c r="U46">
        <f>HYPERLINK("https://klasma.github.io/Logging_0883/knärot/A 50650-2025 karta knärot.png", "A 50650-2025")</f>
        <v/>
      </c>
      <c r="V46">
        <f>HYPERLINK("https://klasma.github.io/Logging_0883/klagomål/A 50650-2025 FSC-klagomål.docx", "A 50650-2025")</f>
        <v/>
      </c>
      <c r="W46">
        <f>HYPERLINK("https://klasma.github.io/Logging_0883/klagomålsmail/A 50650-2025 FSC-klagomål mail.docx", "A 50650-2025")</f>
        <v/>
      </c>
      <c r="X46">
        <f>HYPERLINK("https://klasma.github.io/Logging_0883/tillsyn/A 50650-2025 tillsynsbegäran.docx", "A 50650-2025")</f>
        <v/>
      </c>
      <c r="Y46">
        <f>HYPERLINK("https://klasma.github.io/Logging_0883/tillsynsmail/A 50650-2025 tillsynsbegäran mail.docx", "A 50650-2025")</f>
        <v/>
      </c>
      <c r="Z46">
        <f>HYPERLINK("https://klasma.github.io/Logging_0883/fåglar/A 50650-2025 prioriterade fågelarter.docx", "A 50650-2025")</f>
        <v/>
      </c>
    </row>
    <row r="47" ht="15" customHeight="1">
      <c r="A47" t="inlineStr">
        <is>
          <t>A 5922-2024</t>
        </is>
      </c>
      <c r="B47" s="1" t="n">
        <v>45335</v>
      </c>
      <c r="C47" s="1" t="n">
        <v>45975</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5067-2025</t>
        </is>
      </c>
      <c r="B48" s="1" t="n">
        <v>45691</v>
      </c>
      <c r="C48" s="1" t="n">
        <v>45975</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45975</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2806-2025</t>
        </is>
      </c>
      <c r="B50" s="1" t="n">
        <v>45677</v>
      </c>
      <c r="C50" s="1" t="n">
        <v>45975</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34642-2025</t>
        </is>
      </c>
      <c r="B51" s="1" t="n">
        <v>45848.32703703704</v>
      </c>
      <c r="C51" s="1" t="n">
        <v>45975</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45975</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47774-2025</t>
        </is>
      </c>
      <c r="B53" s="1" t="n">
        <v>45931.72415509259</v>
      </c>
      <c r="C53" s="1" t="n">
        <v>45975</v>
      </c>
      <c r="D53" t="inlineStr">
        <is>
          <t>KALMAR LÄN</t>
        </is>
      </c>
      <c r="E53" t="inlineStr">
        <is>
          <t>VÄSTERVIK</t>
        </is>
      </c>
      <c r="G53" t="n">
        <v>2.8</v>
      </c>
      <c r="H53" t="n">
        <v>2</v>
      </c>
      <c r="I53" t="n">
        <v>2</v>
      </c>
      <c r="J53" t="n">
        <v>3</v>
      </c>
      <c r="K53" t="n">
        <v>1</v>
      </c>
      <c r="L53" t="n">
        <v>0</v>
      </c>
      <c r="M53" t="n">
        <v>0</v>
      </c>
      <c r="N53" t="n">
        <v>0</v>
      </c>
      <c r="O53" t="n">
        <v>4</v>
      </c>
      <c r="P53" t="n">
        <v>1</v>
      </c>
      <c r="Q53" t="n">
        <v>6</v>
      </c>
      <c r="R53" s="2" t="inlineStr">
        <is>
          <t>Rynkskinn
Spillkråka
Talltita
Vaddporing
Fjällig taggsvamp s.str.
Grovticka</t>
        </is>
      </c>
      <c r="S53">
        <f>HYPERLINK("https://klasma.github.io/Logging_0883/artfynd/A 47774-2025 artfynd.xlsx", "A 47774-2025")</f>
        <v/>
      </c>
      <c r="T53">
        <f>HYPERLINK("https://klasma.github.io/Logging_0883/kartor/A 47774-2025 karta.png", "A 47774-2025")</f>
        <v/>
      </c>
      <c r="V53">
        <f>HYPERLINK("https://klasma.github.io/Logging_0883/klagomål/A 47774-2025 FSC-klagomål.docx", "A 47774-2025")</f>
        <v/>
      </c>
      <c r="W53">
        <f>HYPERLINK("https://klasma.github.io/Logging_0883/klagomålsmail/A 47774-2025 FSC-klagomål mail.docx", "A 47774-2025")</f>
        <v/>
      </c>
      <c r="X53">
        <f>HYPERLINK("https://klasma.github.io/Logging_0883/tillsyn/A 47774-2025 tillsynsbegäran.docx", "A 47774-2025")</f>
        <v/>
      </c>
      <c r="Y53">
        <f>HYPERLINK("https://klasma.github.io/Logging_0883/tillsynsmail/A 47774-2025 tillsynsbegäran mail.docx", "A 47774-2025")</f>
        <v/>
      </c>
      <c r="Z53">
        <f>HYPERLINK("https://klasma.github.io/Logging_0883/fåglar/A 47774-2025 prioriterade fågelarter.docx", "A 47774-2025")</f>
        <v/>
      </c>
    </row>
    <row r="54" ht="15" customHeight="1">
      <c r="A54" t="inlineStr">
        <is>
          <t>A 12335-2025</t>
        </is>
      </c>
      <c r="B54" s="1" t="n">
        <v>45730</v>
      </c>
      <c r="C54" s="1" t="n">
        <v>45975</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27380-2024</t>
        </is>
      </c>
      <c r="B55" s="1" t="n">
        <v>45473</v>
      </c>
      <c r="C55" s="1" t="n">
        <v>45975</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54334-2024</t>
        </is>
      </c>
      <c r="B56" s="1" t="n">
        <v>45617.38247685185</v>
      </c>
      <c r="C56" s="1" t="n">
        <v>45975</v>
      </c>
      <c r="D56" t="inlineStr">
        <is>
          <t>KALMAR LÄN</t>
        </is>
      </c>
      <c r="E56" t="inlineStr">
        <is>
          <t>VÄSTERVIK</t>
        </is>
      </c>
      <c r="F56" t="inlineStr">
        <is>
          <t>Kyrkan</t>
        </is>
      </c>
      <c r="G56" t="n">
        <v>2.6</v>
      </c>
      <c r="H56" t="n">
        <v>3</v>
      </c>
      <c r="I56" t="n">
        <v>3</v>
      </c>
      <c r="J56" t="n">
        <v>1</v>
      </c>
      <c r="K56" t="n">
        <v>1</v>
      </c>
      <c r="L56" t="n">
        <v>0</v>
      </c>
      <c r="M56" t="n">
        <v>0</v>
      </c>
      <c r="N56" t="n">
        <v>0</v>
      </c>
      <c r="O56" t="n">
        <v>2</v>
      </c>
      <c r="P56" t="n">
        <v>1</v>
      </c>
      <c r="Q56" t="n">
        <v>5</v>
      </c>
      <c r="R56" s="2" t="inlineStr">
        <is>
          <t>Knärot
Spillkråka
Fjällig taggsvamp s.str.
Grön sköldmossa
Grönpyrola</t>
        </is>
      </c>
      <c r="S56">
        <f>HYPERLINK("https://klasma.github.io/Logging_0883/artfynd/A 54334-2024 artfynd.xlsx", "A 54334-2024")</f>
        <v/>
      </c>
      <c r="T56">
        <f>HYPERLINK("https://klasma.github.io/Logging_0883/kartor/A 54334-2024 karta.png", "A 54334-2024")</f>
        <v/>
      </c>
      <c r="U56">
        <f>HYPERLINK("https://klasma.github.io/Logging_0883/knärot/A 54334-2024 karta knärot.png", "A 54334-2024")</f>
        <v/>
      </c>
      <c r="V56">
        <f>HYPERLINK("https://klasma.github.io/Logging_0883/klagomål/A 54334-2024 FSC-klagomål.docx", "A 54334-2024")</f>
        <v/>
      </c>
      <c r="W56">
        <f>HYPERLINK("https://klasma.github.io/Logging_0883/klagomålsmail/A 54334-2024 FSC-klagomål mail.docx", "A 54334-2024")</f>
        <v/>
      </c>
      <c r="X56">
        <f>HYPERLINK("https://klasma.github.io/Logging_0883/tillsyn/A 54334-2024 tillsynsbegäran.docx", "A 54334-2024")</f>
        <v/>
      </c>
      <c r="Y56">
        <f>HYPERLINK("https://klasma.github.io/Logging_0883/tillsynsmail/A 54334-2024 tillsynsbegäran mail.docx", "A 54334-2024")</f>
        <v/>
      </c>
      <c r="Z56">
        <f>HYPERLINK("https://klasma.github.io/Logging_0883/fåglar/A 54334-2024 prioriterade fågelarter.docx", "A 54334-2024")</f>
        <v/>
      </c>
    </row>
    <row r="57" ht="15" customHeight="1">
      <c r="A57" t="inlineStr">
        <is>
          <t>A 58727-2024</t>
        </is>
      </c>
      <c r="B57" s="1" t="n">
        <v>45635</v>
      </c>
      <c r="C57" s="1" t="n">
        <v>45975</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781-2023</t>
        </is>
      </c>
      <c r="B58" s="1" t="n">
        <v>44931</v>
      </c>
      <c r="C58" s="1" t="n">
        <v>45975</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31431-2024</t>
        </is>
      </c>
      <c r="B59" s="1" t="n">
        <v>45505</v>
      </c>
      <c r="C59" s="1" t="n">
        <v>45975</v>
      </c>
      <c r="D59" t="inlineStr">
        <is>
          <t>KALMAR LÄN</t>
        </is>
      </c>
      <c r="E59" t="inlineStr">
        <is>
          <t>VÄSTERVIK</t>
        </is>
      </c>
      <c r="G59" t="n">
        <v>1.3</v>
      </c>
      <c r="H59" t="n">
        <v>0</v>
      </c>
      <c r="I59" t="n">
        <v>3</v>
      </c>
      <c r="J59" t="n">
        <v>2</v>
      </c>
      <c r="K59" t="n">
        <v>0</v>
      </c>
      <c r="L59" t="n">
        <v>0</v>
      </c>
      <c r="M59" t="n">
        <v>0</v>
      </c>
      <c r="N59" t="n">
        <v>0</v>
      </c>
      <c r="O59" t="n">
        <v>2</v>
      </c>
      <c r="P59" t="n">
        <v>0</v>
      </c>
      <c r="Q59" t="n">
        <v>5</v>
      </c>
      <c r="R59" s="2" t="inlineStr">
        <is>
          <t>Ekticka
Skeppsvarvsfluga
Fällmossa
Myskmadra
Trädporella</t>
        </is>
      </c>
      <c r="S59">
        <f>HYPERLINK("https://klasma.github.io/Logging_0883/artfynd/A 31431-2024 artfynd.xlsx", "A 31431-2024")</f>
        <v/>
      </c>
      <c r="T59">
        <f>HYPERLINK("https://klasma.github.io/Logging_0883/kartor/A 31431-2024 karta.png", "A 31431-2024")</f>
        <v/>
      </c>
      <c r="V59">
        <f>HYPERLINK("https://klasma.github.io/Logging_0883/klagomål/A 31431-2024 FSC-klagomål.docx", "A 31431-2024")</f>
        <v/>
      </c>
      <c r="W59">
        <f>HYPERLINK("https://klasma.github.io/Logging_0883/klagomålsmail/A 31431-2024 FSC-klagomål mail.docx", "A 31431-2024")</f>
        <v/>
      </c>
      <c r="X59">
        <f>HYPERLINK("https://klasma.github.io/Logging_0883/tillsyn/A 31431-2024 tillsynsbegäran.docx", "A 31431-2024")</f>
        <v/>
      </c>
      <c r="Y59">
        <f>HYPERLINK("https://klasma.github.io/Logging_0883/tillsynsmail/A 31431-2024 tillsynsbegäran mail.docx", "A 31431-2024")</f>
        <v/>
      </c>
    </row>
    <row r="60" ht="15" customHeight="1">
      <c r="A60" t="inlineStr">
        <is>
          <t>A 49412-2025</t>
        </is>
      </c>
      <c r="B60" s="1" t="n">
        <v>45938.68405092593</v>
      </c>
      <c r="C60" s="1" t="n">
        <v>45975</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27737-2024</t>
        </is>
      </c>
      <c r="B61" s="1" t="n">
        <v>45475</v>
      </c>
      <c r="C61" s="1" t="n">
        <v>45975</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27727-2024</t>
        </is>
      </c>
      <c r="B62" s="1" t="n">
        <v>45475</v>
      </c>
      <c r="C62" s="1" t="n">
        <v>45975</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31060-2024</t>
        </is>
      </c>
      <c r="B63" s="1" t="n">
        <v>45502</v>
      </c>
      <c r="C63" s="1" t="n">
        <v>45975</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51923-2022</t>
        </is>
      </c>
      <c r="B64" s="1" t="n">
        <v>44868</v>
      </c>
      <c r="C64" s="1" t="n">
        <v>45975</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48724-2024</t>
        </is>
      </c>
      <c r="B65" s="1" t="n">
        <v>45593.55731481482</v>
      </c>
      <c r="C65" s="1" t="n">
        <v>45975</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1779-2025</t>
        </is>
      </c>
      <c r="B66" s="1" t="n">
        <v>45671</v>
      </c>
      <c r="C66" s="1" t="n">
        <v>45975</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55518-2025</t>
        </is>
      </c>
      <c r="B67" s="1" t="n">
        <v>45971.60497685185</v>
      </c>
      <c r="C67" s="1" t="n">
        <v>45975</v>
      </c>
      <c r="D67" t="inlineStr">
        <is>
          <t>KALMAR LÄN</t>
        </is>
      </c>
      <c r="E67" t="inlineStr">
        <is>
          <t>VÄSTERVIK</t>
        </is>
      </c>
      <c r="F67" t="inlineStr">
        <is>
          <t>Holmen skog AB</t>
        </is>
      </c>
      <c r="G67" t="n">
        <v>15</v>
      </c>
      <c r="H67" t="n">
        <v>1</v>
      </c>
      <c r="I67" t="n">
        <v>0</v>
      </c>
      <c r="J67" t="n">
        <v>3</v>
      </c>
      <c r="K67" t="n">
        <v>1</v>
      </c>
      <c r="L67" t="n">
        <v>0</v>
      </c>
      <c r="M67" t="n">
        <v>0</v>
      </c>
      <c r="N67" t="n">
        <v>0</v>
      </c>
      <c r="O67" t="n">
        <v>4</v>
      </c>
      <c r="P67" t="n">
        <v>1</v>
      </c>
      <c r="Q67" t="n">
        <v>5</v>
      </c>
      <c r="R67" s="2" t="inlineStr">
        <is>
          <t>Ljungsnärja
Korskovall
Krusfrö
Vippärt
Grönvit nattviol</t>
        </is>
      </c>
      <c r="S67">
        <f>HYPERLINK("https://klasma.github.io/Logging_0883/artfynd/A 55518-2025 artfynd.xlsx", "A 55518-2025")</f>
        <v/>
      </c>
      <c r="T67">
        <f>HYPERLINK("https://klasma.github.io/Logging_0883/kartor/A 55518-2025 karta.png", "A 55518-2025")</f>
        <v/>
      </c>
      <c r="V67">
        <f>HYPERLINK("https://klasma.github.io/Logging_0883/klagomål/A 55518-2025 FSC-klagomål.docx", "A 55518-2025")</f>
        <v/>
      </c>
      <c r="W67">
        <f>HYPERLINK("https://klasma.github.io/Logging_0883/klagomålsmail/A 55518-2025 FSC-klagomål mail.docx", "A 55518-2025")</f>
        <v/>
      </c>
      <c r="X67">
        <f>HYPERLINK("https://klasma.github.io/Logging_0883/tillsyn/A 55518-2025 tillsynsbegäran.docx", "A 55518-2025")</f>
        <v/>
      </c>
      <c r="Y67">
        <f>HYPERLINK("https://klasma.github.io/Logging_0883/tillsynsmail/A 55518-2025 tillsynsbegäran mail.docx", "A 55518-2025")</f>
        <v/>
      </c>
    </row>
    <row r="68" ht="15" customHeight="1">
      <c r="A68" t="inlineStr">
        <is>
          <t>A 35939-2024</t>
        </is>
      </c>
      <c r="B68" s="1" t="n">
        <v>45533.45459490741</v>
      </c>
      <c r="C68" s="1" t="n">
        <v>45975</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54233-2023</t>
        </is>
      </c>
      <c r="B69" s="1" t="n">
        <v>45232</v>
      </c>
      <c r="C69" s="1" t="n">
        <v>45975</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31914-2025</t>
        </is>
      </c>
      <c r="B70" s="1" t="n">
        <v>45834</v>
      </c>
      <c r="C70" s="1" t="n">
        <v>45975</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63366-2023</t>
        </is>
      </c>
      <c r="B71" s="1" t="n">
        <v>45274</v>
      </c>
      <c r="C71" s="1" t="n">
        <v>45975</v>
      </c>
      <c r="D71" t="inlineStr">
        <is>
          <t>KALMAR LÄN</t>
        </is>
      </c>
      <c r="E71" t="inlineStr">
        <is>
          <t>VÄSTERVIK</t>
        </is>
      </c>
      <c r="G71" t="n">
        <v>4.1</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63366-2023 artfynd.xlsx", "A 63366-2023")</f>
        <v/>
      </c>
      <c r="T71">
        <f>HYPERLINK("https://klasma.github.io/Logging_0883/kartor/A 63366-2023 karta.png", "A 63366-2023")</f>
        <v/>
      </c>
      <c r="U71">
        <f>HYPERLINK("https://klasma.github.io/Logging_0883/knärot/A 63366-2023 karta knärot.png", "A 63366-2023")</f>
        <v/>
      </c>
      <c r="V71">
        <f>HYPERLINK("https://klasma.github.io/Logging_0883/klagomål/A 63366-2023 FSC-klagomål.docx", "A 63366-2023")</f>
        <v/>
      </c>
      <c r="W71">
        <f>HYPERLINK("https://klasma.github.io/Logging_0883/klagomålsmail/A 63366-2023 FSC-klagomål mail.docx", "A 63366-2023")</f>
        <v/>
      </c>
      <c r="X71">
        <f>HYPERLINK("https://klasma.github.io/Logging_0883/tillsyn/A 63366-2023 tillsynsbegäran.docx", "A 63366-2023")</f>
        <v/>
      </c>
      <c r="Y71">
        <f>HYPERLINK("https://klasma.github.io/Logging_0883/tillsynsmail/A 63366-2023 tillsynsbegäran mail.docx", "A 63366-2023")</f>
        <v/>
      </c>
      <c r="Z71">
        <f>HYPERLINK("https://klasma.github.io/Logging_0883/fåglar/A 63366-2023 prioriterade fågelarter.docx", "A 63366-2023")</f>
        <v/>
      </c>
    </row>
    <row r="72" ht="15" customHeight="1">
      <c r="A72" t="inlineStr">
        <is>
          <t>A 25280-2021</t>
        </is>
      </c>
      <c r="B72" s="1" t="n">
        <v>44342</v>
      </c>
      <c r="C72" s="1" t="n">
        <v>45975</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3781-2025</t>
        </is>
      </c>
      <c r="B73" s="1" t="n">
        <v>45681.62086805556</v>
      </c>
      <c r="C73" s="1" t="n">
        <v>45975</v>
      </c>
      <c r="D73" t="inlineStr">
        <is>
          <t>KALMAR LÄN</t>
        </is>
      </c>
      <c r="E73" t="inlineStr">
        <is>
          <t>VÄSTERVIK</t>
        </is>
      </c>
      <c r="G73" t="n">
        <v>1.4</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3781-2025 artfynd.xlsx", "A 3781-2025")</f>
        <v/>
      </c>
      <c r="T73">
        <f>HYPERLINK("https://klasma.github.io/Logging_0883/kartor/A 3781-2025 karta.png", "A 3781-2025")</f>
        <v/>
      </c>
      <c r="V73">
        <f>HYPERLINK("https://klasma.github.io/Logging_0883/klagomål/A 3781-2025 FSC-klagomål.docx", "A 3781-2025")</f>
        <v/>
      </c>
      <c r="W73">
        <f>HYPERLINK("https://klasma.github.io/Logging_0883/klagomålsmail/A 3781-2025 FSC-klagomål mail.docx", "A 3781-2025")</f>
        <v/>
      </c>
      <c r="X73">
        <f>HYPERLINK("https://klasma.github.io/Logging_0883/tillsyn/A 3781-2025 tillsynsbegäran.docx", "A 3781-2025")</f>
        <v/>
      </c>
      <c r="Y73">
        <f>HYPERLINK("https://klasma.github.io/Logging_0883/tillsynsmail/A 3781-2025 tillsynsbegäran mail.docx", "A 3781-2025")</f>
        <v/>
      </c>
      <c r="Z73">
        <f>HYPERLINK("https://klasma.github.io/Logging_0883/fåglar/A 3781-2025 prioriterade fågelarter.docx", "A 3781-2025")</f>
        <v/>
      </c>
    </row>
    <row r="74" ht="15" customHeight="1">
      <c r="A74" t="inlineStr">
        <is>
          <t>A 35214-2025</t>
        </is>
      </c>
      <c r="B74" s="1" t="n">
        <v>45853.47163194444</v>
      </c>
      <c r="C74" s="1" t="n">
        <v>45975</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37438-2021</t>
        </is>
      </c>
      <c r="B75" s="1" t="n">
        <v>44398</v>
      </c>
      <c r="C75" s="1" t="n">
        <v>45975</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29455-2021</t>
        </is>
      </c>
      <c r="B76" s="1" t="n">
        <v>44361</v>
      </c>
      <c r="C76" s="1" t="n">
        <v>45975</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45975</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20366-2024</t>
        </is>
      </c>
      <c r="B78" s="1" t="n">
        <v>45435</v>
      </c>
      <c r="C78" s="1" t="n">
        <v>45975</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26985-2025</t>
        </is>
      </c>
      <c r="B79" s="1" t="n">
        <v>45811</v>
      </c>
      <c r="C79" s="1" t="n">
        <v>45975</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18397-2024</t>
        </is>
      </c>
      <c r="B80" s="1" t="n">
        <v>45425</v>
      </c>
      <c r="C80" s="1" t="n">
        <v>45975</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44635-2021</t>
        </is>
      </c>
      <c r="B81" s="1" t="n">
        <v>44437</v>
      </c>
      <c r="C81" s="1" t="n">
        <v>45975</v>
      </c>
      <c r="D81" t="inlineStr">
        <is>
          <t>KALMAR LÄN</t>
        </is>
      </c>
      <c r="E81" t="inlineStr">
        <is>
          <t>VÄSTERVIK</t>
        </is>
      </c>
      <c r="G81" t="n">
        <v>0.9</v>
      </c>
      <c r="H81" t="n">
        <v>1</v>
      </c>
      <c r="I81" t="n">
        <v>2</v>
      </c>
      <c r="J81" t="n">
        <v>1</v>
      </c>
      <c r="K81" t="n">
        <v>1</v>
      </c>
      <c r="L81" t="n">
        <v>0</v>
      </c>
      <c r="M81" t="n">
        <v>0</v>
      </c>
      <c r="N81" t="n">
        <v>0</v>
      </c>
      <c r="O81" t="n">
        <v>2</v>
      </c>
      <c r="P81" t="n">
        <v>1</v>
      </c>
      <c r="Q81" t="n">
        <v>4</v>
      </c>
      <c r="R81" s="2" t="inlineStr">
        <is>
          <t>Gräddporing
Spillkråka
Blodticka
Brandticka</t>
        </is>
      </c>
      <c r="S81">
        <f>HYPERLINK("https://klasma.github.io/Logging_0883/artfynd/A 44635-2021 artfynd.xlsx", "A 44635-2021")</f>
        <v/>
      </c>
      <c r="T81">
        <f>HYPERLINK("https://klasma.github.io/Logging_0883/kartor/A 44635-2021 karta.png", "A 44635-2021")</f>
        <v/>
      </c>
      <c r="V81">
        <f>HYPERLINK("https://klasma.github.io/Logging_0883/klagomål/A 44635-2021 FSC-klagomål.docx", "A 44635-2021")</f>
        <v/>
      </c>
      <c r="W81">
        <f>HYPERLINK("https://klasma.github.io/Logging_0883/klagomålsmail/A 44635-2021 FSC-klagomål mail.docx", "A 44635-2021")</f>
        <v/>
      </c>
      <c r="X81">
        <f>HYPERLINK("https://klasma.github.io/Logging_0883/tillsyn/A 44635-2021 tillsynsbegäran.docx", "A 44635-2021")</f>
        <v/>
      </c>
      <c r="Y81">
        <f>HYPERLINK("https://klasma.github.io/Logging_0883/tillsynsmail/A 44635-2021 tillsynsbegäran mail.docx", "A 44635-2021")</f>
        <v/>
      </c>
      <c r="Z81">
        <f>HYPERLINK("https://klasma.github.io/Logging_0883/fåglar/A 44635-2021 prioriterade fågelarter.docx", "A 44635-2021")</f>
        <v/>
      </c>
    </row>
    <row r="82" ht="15" customHeight="1">
      <c r="A82" t="inlineStr">
        <is>
          <t>A 41571-2024</t>
        </is>
      </c>
      <c r="B82" s="1" t="n">
        <v>45560</v>
      </c>
      <c r="C82" s="1" t="n">
        <v>45975</v>
      </c>
      <c r="D82" t="inlineStr">
        <is>
          <t>KALMAR LÄN</t>
        </is>
      </c>
      <c r="E82" t="inlineStr">
        <is>
          <t>VÄSTERVIK</t>
        </is>
      </c>
      <c r="G82" t="n">
        <v>5.2</v>
      </c>
      <c r="H82" t="n">
        <v>1</v>
      </c>
      <c r="I82" t="n">
        <v>2</v>
      </c>
      <c r="J82" t="n">
        <v>2</v>
      </c>
      <c r="K82" t="n">
        <v>0</v>
      </c>
      <c r="L82" t="n">
        <v>0</v>
      </c>
      <c r="M82" t="n">
        <v>0</v>
      </c>
      <c r="N82" t="n">
        <v>0</v>
      </c>
      <c r="O82" t="n">
        <v>2</v>
      </c>
      <c r="P82" t="n">
        <v>0</v>
      </c>
      <c r="Q82" t="n">
        <v>4</v>
      </c>
      <c r="R82" s="2" t="inlineStr">
        <is>
          <t>Tallticka
Talltita
Blåmossa
Dropptaggsvamp</t>
        </is>
      </c>
      <c r="S82">
        <f>HYPERLINK("https://klasma.github.io/Logging_0883/artfynd/A 41571-2024 artfynd.xlsx", "A 41571-2024")</f>
        <v/>
      </c>
      <c r="T82">
        <f>HYPERLINK("https://klasma.github.io/Logging_0883/kartor/A 41571-2024 karta.png", "A 41571-2024")</f>
        <v/>
      </c>
      <c r="U82">
        <f>HYPERLINK("https://klasma.github.io/Logging_0883/knärot/A 41571-2024 karta knärot.png", "A 41571-2024")</f>
        <v/>
      </c>
      <c r="V82">
        <f>HYPERLINK("https://klasma.github.io/Logging_0883/klagomål/A 41571-2024 FSC-klagomål.docx", "A 41571-2024")</f>
        <v/>
      </c>
      <c r="W82">
        <f>HYPERLINK("https://klasma.github.io/Logging_0883/klagomålsmail/A 41571-2024 FSC-klagomål mail.docx", "A 41571-2024")</f>
        <v/>
      </c>
      <c r="X82">
        <f>HYPERLINK("https://klasma.github.io/Logging_0883/tillsyn/A 41571-2024 tillsynsbegäran.docx", "A 41571-2024")</f>
        <v/>
      </c>
      <c r="Y82">
        <f>HYPERLINK("https://klasma.github.io/Logging_0883/tillsynsmail/A 41571-2024 tillsynsbegäran mail.docx", "A 41571-2024")</f>
        <v/>
      </c>
      <c r="Z82">
        <f>HYPERLINK("https://klasma.github.io/Logging_0883/fåglar/A 41571-2024 prioriterade fågelarter.docx", "A 41571-2024")</f>
        <v/>
      </c>
    </row>
    <row r="83" ht="15" customHeight="1">
      <c r="A83" t="inlineStr">
        <is>
          <t>A 10781-2025</t>
        </is>
      </c>
      <c r="B83" s="1" t="n">
        <v>45722</v>
      </c>
      <c r="C83" s="1" t="n">
        <v>45975</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53842-2025</t>
        </is>
      </c>
      <c r="B84" s="1" t="n">
        <v>45961.36251157407</v>
      </c>
      <c r="C84" s="1" t="n">
        <v>45975</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58955-2022</t>
        </is>
      </c>
      <c r="B85" s="1" t="n">
        <v>44896</v>
      </c>
      <c r="C85" s="1" t="n">
        <v>45975</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53846-2025</t>
        </is>
      </c>
      <c r="B86" s="1" t="n">
        <v>45961.36716435185</v>
      </c>
      <c r="C86" s="1" t="n">
        <v>45975</v>
      </c>
      <c r="D86" t="inlineStr">
        <is>
          <t>KALMAR LÄN</t>
        </is>
      </c>
      <c r="E86" t="inlineStr">
        <is>
          <t>VÄSTERVIK</t>
        </is>
      </c>
      <c r="F86" t="inlineStr">
        <is>
          <t>Sveaskog</t>
        </is>
      </c>
      <c r="G86" t="n">
        <v>2.1</v>
      </c>
      <c r="H86" t="n">
        <v>1</v>
      </c>
      <c r="I86" t="n">
        <v>2</v>
      </c>
      <c r="J86" t="n">
        <v>1</v>
      </c>
      <c r="K86" t="n">
        <v>0</v>
      </c>
      <c r="L86" t="n">
        <v>0</v>
      </c>
      <c r="M86" t="n">
        <v>0</v>
      </c>
      <c r="N86" t="n">
        <v>0</v>
      </c>
      <c r="O86" t="n">
        <v>1</v>
      </c>
      <c r="P86" t="n">
        <v>0</v>
      </c>
      <c r="Q86" t="n">
        <v>4</v>
      </c>
      <c r="R86" s="2" t="inlineStr">
        <is>
          <t>Tallticka
Flagellkvastmossa
Fällmossa
Blåsippa</t>
        </is>
      </c>
      <c r="S86">
        <f>HYPERLINK("https://klasma.github.io/Logging_0883/artfynd/A 53846-2025 artfynd.xlsx", "A 53846-2025")</f>
        <v/>
      </c>
      <c r="T86">
        <f>HYPERLINK("https://klasma.github.io/Logging_0883/kartor/A 53846-2025 karta.png", "A 53846-2025")</f>
        <v/>
      </c>
      <c r="V86">
        <f>HYPERLINK("https://klasma.github.io/Logging_0883/klagomål/A 53846-2025 FSC-klagomål.docx", "A 53846-2025")</f>
        <v/>
      </c>
      <c r="W86">
        <f>HYPERLINK("https://klasma.github.io/Logging_0883/klagomålsmail/A 53846-2025 FSC-klagomål mail.docx", "A 53846-2025")</f>
        <v/>
      </c>
      <c r="X86">
        <f>HYPERLINK("https://klasma.github.io/Logging_0883/tillsyn/A 53846-2025 tillsynsbegäran.docx", "A 53846-2025")</f>
        <v/>
      </c>
      <c r="Y86">
        <f>HYPERLINK("https://klasma.github.io/Logging_0883/tillsynsmail/A 53846-2025 tillsynsbegäran mail.docx", "A 53846-2025")</f>
        <v/>
      </c>
    </row>
    <row r="87" ht="15" customHeight="1">
      <c r="A87" t="inlineStr">
        <is>
          <t>A 37524-2025</t>
        </is>
      </c>
      <c r="B87" s="1" t="n">
        <v>45877</v>
      </c>
      <c r="C87" s="1" t="n">
        <v>45975</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51590-2024</t>
        </is>
      </c>
      <c r="B88" s="1" t="n">
        <v>45604</v>
      </c>
      <c r="C88" s="1" t="n">
        <v>45975</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34644-2025</t>
        </is>
      </c>
      <c r="B89" s="1" t="n">
        <v>45848.33202546297</v>
      </c>
      <c r="C89" s="1" t="n">
        <v>45975</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25534-2024</t>
        </is>
      </c>
      <c r="B90" s="1" t="n">
        <v>45463</v>
      </c>
      <c r="C90" s="1" t="n">
        <v>45975</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6472-2025</t>
        </is>
      </c>
      <c r="B91" s="1" t="n">
        <v>45699</v>
      </c>
      <c r="C91" s="1" t="n">
        <v>45975</v>
      </c>
      <c r="D91" t="inlineStr">
        <is>
          <t>KALMAR LÄN</t>
        </is>
      </c>
      <c r="E91" t="inlineStr">
        <is>
          <t>VÄSTERVIK</t>
        </is>
      </c>
      <c r="F91" t="inlineStr">
        <is>
          <t>Holmen skog AB</t>
        </is>
      </c>
      <c r="G91" t="n">
        <v>4.3</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36109-2025</t>
        </is>
      </c>
      <c r="B92" s="1" t="n">
        <v>45866.56780092593</v>
      </c>
      <c r="C92" s="1" t="n">
        <v>45975</v>
      </c>
      <c r="D92" t="inlineStr">
        <is>
          <t>KALMAR LÄN</t>
        </is>
      </c>
      <c r="E92" t="inlineStr">
        <is>
          <t>VÄSTERVIK</t>
        </is>
      </c>
      <c r="G92" t="n">
        <v>12.5</v>
      </c>
      <c r="H92" t="n">
        <v>1</v>
      </c>
      <c r="I92" t="n">
        <v>3</v>
      </c>
      <c r="J92" t="n">
        <v>0</v>
      </c>
      <c r="K92" t="n">
        <v>1</v>
      </c>
      <c r="L92" t="n">
        <v>0</v>
      </c>
      <c r="M92" t="n">
        <v>0</v>
      </c>
      <c r="N92" t="n">
        <v>0</v>
      </c>
      <c r="O92" t="n">
        <v>1</v>
      </c>
      <c r="P92" t="n">
        <v>1</v>
      </c>
      <c r="Q92" t="n">
        <v>4</v>
      </c>
      <c r="R92" s="2" t="inlineStr">
        <is>
          <t>Knärot
Blodticka
Blåmossa
Grönpyrola</t>
        </is>
      </c>
      <c r="S92">
        <f>HYPERLINK("https://klasma.github.io/Logging_0883/artfynd/A 36109-2025 artfynd.xlsx", "A 36109-2025")</f>
        <v/>
      </c>
      <c r="T92">
        <f>HYPERLINK("https://klasma.github.io/Logging_0883/kartor/A 36109-2025 karta.png", "A 36109-2025")</f>
        <v/>
      </c>
      <c r="U92">
        <f>HYPERLINK("https://klasma.github.io/Logging_0883/knärot/A 36109-2025 karta knärot.png", "A 36109-2025")</f>
        <v/>
      </c>
      <c r="V92">
        <f>HYPERLINK("https://klasma.github.io/Logging_0883/klagomål/A 36109-2025 FSC-klagomål.docx", "A 36109-2025")</f>
        <v/>
      </c>
      <c r="W92">
        <f>HYPERLINK("https://klasma.github.io/Logging_0883/klagomålsmail/A 36109-2025 FSC-klagomål mail.docx", "A 36109-2025")</f>
        <v/>
      </c>
      <c r="X92">
        <f>HYPERLINK("https://klasma.github.io/Logging_0883/tillsyn/A 36109-2025 tillsynsbegäran.docx", "A 36109-2025")</f>
        <v/>
      </c>
      <c r="Y92">
        <f>HYPERLINK("https://klasma.github.io/Logging_0883/tillsynsmail/A 36109-2025 tillsynsbegäran mail.docx", "A 36109-2025")</f>
        <v/>
      </c>
    </row>
    <row r="93" ht="15" customHeight="1">
      <c r="A93" t="inlineStr">
        <is>
          <t>A 938-2024</t>
        </is>
      </c>
      <c r="B93" s="1" t="n">
        <v>45301</v>
      </c>
      <c r="C93" s="1" t="n">
        <v>45975</v>
      </c>
      <c r="D93" t="inlineStr">
        <is>
          <t>KALMAR LÄN</t>
        </is>
      </c>
      <c r="E93" t="inlineStr">
        <is>
          <t>VÄSTERVIK</t>
        </is>
      </c>
      <c r="G93" t="n">
        <v>10</v>
      </c>
      <c r="H93" t="n">
        <v>1</v>
      </c>
      <c r="I93" t="n">
        <v>0</v>
      </c>
      <c r="J93" t="n">
        <v>3</v>
      </c>
      <c r="K93" t="n">
        <v>0</v>
      </c>
      <c r="L93" t="n">
        <v>0</v>
      </c>
      <c r="M93" t="n">
        <v>0</v>
      </c>
      <c r="N93" t="n">
        <v>0</v>
      </c>
      <c r="O93" t="n">
        <v>3</v>
      </c>
      <c r="P93" t="n">
        <v>0</v>
      </c>
      <c r="Q93" t="n">
        <v>4</v>
      </c>
      <c r="R93" s="2" t="inlineStr">
        <is>
          <t>Reliktbock
Tallticka
Vintertagging
Tjäder</t>
        </is>
      </c>
      <c r="S93">
        <f>HYPERLINK("https://klasma.github.io/Logging_0883/artfynd/A 938-2024 artfynd.xlsx", "A 938-2024")</f>
        <v/>
      </c>
      <c r="T93">
        <f>HYPERLINK("https://klasma.github.io/Logging_0883/kartor/A 938-2024 karta.png", "A 938-2024")</f>
        <v/>
      </c>
      <c r="V93">
        <f>HYPERLINK("https://klasma.github.io/Logging_0883/klagomål/A 938-2024 FSC-klagomål.docx", "A 938-2024")</f>
        <v/>
      </c>
      <c r="W93">
        <f>HYPERLINK("https://klasma.github.io/Logging_0883/klagomålsmail/A 938-2024 FSC-klagomål mail.docx", "A 938-2024")</f>
        <v/>
      </c>
      <c r="X93">
        <f>HYPERLINK("https://klasma.github.io/Logging_0883/tillsyn/A 938-2024 tillsynsbegäran.docx", "A 938-2024")</f>
        <v/>
      </c>
      <c r="Y93">
        <f>HYPERLINK("https://klasma.github.io/Logging_0883/tillsynsmail/A 938-2024 tillsynsbegäran mail.docx", "A 938-2024")</f>
        <v/>
      </c>
      <c r="Z93">
        <f>HYPERLINK("https://klasma.github.io/Logging_0883/fåglar/A 938-2024 prioriterade fågelarter.docx", "A 938-2024")</f>
        <v/>
      </c>
    </row>
    <row r="94" ht="15" customHeight="1">
      <c r="A94" t="inlineStr">
        <is>
          <t>A 59319-2023</t>
        </is>
      </c>
      <c r="B94" s="1" t="n">
        <v>45253</v>
      </c>
      <c r="C94" s="1" t="n">
        <v>45975</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9097-2021</t>
        </is>
      </c>
      <c r="B95" s="1" t="n">
        <v>44249</v>
      </c>
      <c r="C95" s="1" t="n">
        <v>45975</v>
      </c>
      <c r="D95" t="inlineStr">
        <is>
          <t>KALMAR LÄN</t>
        </is>
      </c>
      <c r="E95" t="inlineStr">
        <is>
          <t>VÄSTERVIK</t>
        </is>
      </c>
      <c r="F95" t="inlineStr">
        <is>
          <t>Sveaskog</t>
        </is>
      </c>
      <c r="G95" t="n">
        <v>1.9</v>
      </c>
      <c r="H95" t="n">
        <v>0</v>
      </c>
      <c r="I95" t="n">
        <v>1</v>
      </c>
      <c r="J95" t="n">
        <v>2</v>
      </c>
      <c r="K95" t="n">
        <v>0</v>
      </c>
      <c r="L95" t="n">
        <v>0</v>
      </c>
      <c r="M95" t="n">
        <v>0</v>
      </c>
      <c r="N95" t="n">
        <v>0</v>
      </c>
      <c r="O95" t="n">
        <v>2</v>
      </c>
      <c r="P95" t="n">
        <v>0</v>
      </c>
      <c r="Q95" t="n">
        <v>3</v>
      </c>
      <c r="R95" s="2" t="inlineStr">
        <is>
          <t>Tallticka
Vedskivlav
Vätteros</t>
        </is>
      </c>
      <c r="S95">
        <f>HYPERLINK("https://klasma.github.io/Logging_0883/artfynd/A 9097-2021 artfynd.xlsx", "A 9097-2021")</f>
        <v/>
      </c>
      <c r="T95">
        <f>HYPERLINK("https://klasma.github.io/Logging_0883/kartor/A 9097-2021 karta.png", "A 9097-2021")</f>
        <v/>
      </c>
      <c r="V95">
        <f>HYPERLINK("https://klasma.github.io/Logging_0883/klagomål/A 9097-2021 FSC-klagomål.docx", "A 9097-2021")</f>
        <v/>
      </c>
      <c r="W95">
        <f>HYPERLINK("https://klasma.github.io/Logging_0883/klagomålsmail/A 9097-2021 FSC-klagomål mail.docx", "A 9097-2021")</f>
        <v/>
      </c>
      <c r="X95">
        <f>HYPERLINK("https://klasma.github.io/Logging_0883/tillsyn/A 9097-2021 tillsynsbegäran.docx", "A 9097-2021")</f>
        <v/>
      </c>
      <c r="Y95">
        <f>HYPERLINK("https://klasma.github.io/Logging_0883/tillsynsmail/A 9097-2021 tillsynsbegäran mail.docx", "A 9097-2021")</f>
        <v/>
      </c>
    </row>
    <row r="96" ht="15" customHeight="1">
      <c r="A96" t="inlineStr">
        <is>
          <t>A 55506-2022</t>
        </is>
      </c>
      <c r="B96" s="1" t="n">
        <v>44887</v>
      </c>
      <c r="C96" s="1" t="n">
        <v>45975</v>
      </c>
      <c r="D96" t="inlineStr">
        <is>
          <t>KALMAR LÄN</t>
        </is>
      </c>
      <c r="E96" t="inlineStr">
        <is>
          <t>VÄSTERVIK</t>
        </is>
      </c>
      <c r="G96" t="n">
        <v>3.4</v>
      </c>
      <c r="H96" t="n">
        <v>0</v>
      </c>
      <c r="I96" t="n">
        <v>1</v>
      </c>
      <c r="J96" t="n">
        <v>2</v>
      </c>
      <c r="K96" t="n">
        <v>0</v>
      </c>
      <c r="L96" t="n">
        <v>0</v>
      </c>
      <c r="M96" t="n">
        <v>0</v>
      </c>
      <c r="N96" t="n">
        <v>0</v>
      </c>
      <c r="O96" t="n">
        <v>2</v>
      </c>
      <c r="P96" t="n">
        <v>0</v>
      </c>
      <c r="Q96" t="n">
        <v>3</v>
      </c>
      <c r="R96" s="2" t="inlineStr">
        <is>
          <t>Tallticka
Ullticka
Trädporella</t>
        </is>
      </c>
      <c r="S96">
        <f>HYPERLINK("https://klasma.github.io/Logging_0883/artfynd/A 55506-2022 artfynd.xlsx", "A 55506-2022")</f>
        <v/>
      </c>
      <c r="T96">
        <f>HYPERLINK("https://klasma.github.io/Logging_0883/kartor/A 55506-2022 karta.png", "A 55506-2022")</f>
        <v/>
      </c>
      <c r="V96">
        <f>HYPERLINK("https://klasma.github.io/Logging_0883/klagomål/A 55506-2022 FSC-klagomål.docx", "A 55506-2022")</f>
        <v/>
      </c>
      <c r="W96">
        <f>HYPERLINK("https://klasma.github.io/Logging_0883/klagomålsmail/A 55506-2022 FSC-klagomål mail.docx", "A 55506-2022")</f>
        <v/>
      </c>
      <c r="X96">
        <f>HYPERLINK("https://klasma.github.io/Logging_0883/tillsyn/A 55506-2022 tillsynsbegäran.docx", "A 55506-2022")</f>
        <v/>
      </c>
      <c r="Y96">
        <f>HYPERLINK("https://klasma.github.io/Logging_0883/tillsynsmail/A 55506-2022 tillsynsbegäran mail.docx", "A 55506-2022")</f>
        <v/>
      </c>
    </row>
    <row r="97" ht="15" customHeight="1">
      <c r="A97" t="inlineStr">
        <is>
          <t>A 27700-2024</t>
        </is>
      </c>
      <c r="B97" s="1" t="n">
        <v>45475.35597222222</v>
      </c>
      <c r="C97" s="1" t="n">
        <v>45975</v>
      </c>
      <c r="D97" t="inlineStr">
        <is>
          <t>KALMAR LÄN</t>
        </is>
      </c>
      <c r="E97" t="inlineStr">
        <is>
          <t>VÄSTERVIK</t>
        </is>
      </c>
      <c r="F97" t="inlineStr">
        <is>
          <t>Holmen skog AB</t>
        </is>
      </c>
      <c r="G97" t="n">
        <v>1.1</v>
      </c>
      <c r="H97" t="n">
        <v>1</v>
      </c>
      <c r="I97" t="n">
        <v>2</v>
      </c>
      <c r="J97" t="n">
        <v>1</v>
      </c>
      <c r="K97" t="n">
        <v>0</v>
      </c>
      <c r="L97" t="n">
        <v>0</v>
      </c>
      <c r="M97" t="n">
        <v>0</v>
      </c>
      <c r="N97" t="n">
        <v>0</v>
      </c>
      <c r="O97" t="n">
        <v>1</v>
      </c>
      <c r="P97" t="n">
        <v>0</v>
      </c>
      <c r="Q97" t="n">
        <v>3</v>
      </c>
      <c r="R97" s="2" t="inlineStr">
        <is>
          <t>Spillkråka
Blåmossa
Zontaggsvamp</t>
        </is>
      </c>
      <c r="S97">
        <f>HYPERLINK("https://klasma.github.io/Logging_0883/artfynd/A 27700-2024 artfynd.xlsx", "A 27700-2024")</f>
        <v/>
      </c>
      <c r="T97">
        <f>HYPERLINK("https://klasma.github.io/Logging_0883/kartor/A 27700-2024 karta.png", "A 27700-2024")</f>
        <v/>
      </c>
      <c r="V97">
        <f>HYPERLINK("https://klasma.github.io/Logging_0883/klagomål/A 27700-2024 FSC-klagomål.docx", "A 27700-2024")</f>
        <v/>
      </c>
      <c r="W97">
        <f>HYPERLINK("https://klasma.github.io/Logging_0883/klagomålsmail/A 27700-2024 FSC-klagomål mail.docx", "A 27700-2024")</f>
        <v/>
      </c>
      <c r="X97">
        <f>HYPERLINK("https://klasma.github.io/Logging_0883/tillsyn/A 27700-2024 tillsynsbegäran.docx", "A 27700-2024")</f>
        <v/>
      </c>
      <c r="Y97">
        <f>HYPERLINK("https://klasma.github.io/Logging_0883/tillsynsmail/A 27700-2024 tillsynsbegäran mail.docx", "A 27700-2024")</f>
        <v/>
      </c>
      <c r="Z97">
        <f>HYPERLINK("https://klasma.github.io/Logging_0883/fåglar/A 27700-2024 prioriterade fågelarter.docx", "A 27700-2024")</f>
        <v/>
      </c>
    </row>
    <row r="98" ht="15" customHeight="1">
      <c r="A98" t="inlineStr">
        <is>
          <t>A 52992-2024</t>
        </is>
      </c>
      <c r="B98" s="1" t="n">
        <v>45611</v>
      </c>
      <c r="C98" s="1" t="n">
        <v>45975</v>
      </c>
      <c r="D98" t="inlineStr">
        <is>
          <t>KALMAR LÄN</t>
        </is>
      </c>
      <c r="E98" t="inlineStr">
        <is>
          <t>VÄSTERVIK</t>
        </is>
      </c>
      <c r="F98" t="inlineStr">
        <is>
          <t>Holmen skog AB</t>
        </is>
      </c>
      <c r="G98" t="n">
        <v>5.5</v>
      </c>
      <c r="H98" t="n">
        <v>2</v>
      </c>
      <c r="I98" t="n">
        <v>1</v>
      </c>
      <c r="J98" t="n">
        <v>2</v>
      </c>
      <c r="K98" t="n">
        <v>0</v>
      </c>
      <c r="L98" t="n">
        <v>0</v>
      </c>
      <c r="M98" t="n">
        <v>0</v>
      </c>
      <c r="N98" t="n">
        <v>0</v>
      </c>
      <c r="O98" t="n">
        <v>2</v>
      </c>
      <c r="P98" t="n">
        <v>0</v>
      </c>
      <c r="Q98" t="n">
        <v>3</v>
      </c>
      <c r="R98" s="2" t="inlineStr">
        <is>
          <t>Spillkråka
Talltita
Brandticka</t>
        </is>
      </c>
      <c r="S98">
        <f>HYPERLINK("https://klasma.github.io/Logging_0883/artfynd/A 52992-2024 artfynd.xlsx", "A 52992-2024")</f>
        <v/>
      </c>
      <c r="T98">
        <f>HYPERLINK("https://klasma.github.io/Logging_0883/kartor/A 52992-2024 karta.png", "A 52992-2024")</f>
        <v/>
      </c>
      <c r="V98">
        <f>HYPERLINK("https://klasma.github.io/Logging_0883/klagomål/A 52992-2024 FSC-klagomål.docx", "A 52992-2024")</f>
        <v/>
      </c>
      <c r="W98">
        <f>HYPERLINK("https://klasma.github.io/Logging_0883/klagomålsmail/A 52992-2024 FSC-klagomål mail.docx", "A 52992-2024")</f>
        <v/>
      </c>
      <c r="X98">
        <f>HYPERLINK("https://klasma.github.io/Logging_0883/tillsyn/A 52992-2024 tillsynsbegäran.docx", "A 52992-2024")</f>
        <v/>
      </c>
      <c r="Y98">
        <f>HYPERLINK("https://klasma.github.io/Logging_0883/tillsynsmail/A 52992-2024 tillsynsbegäran mail.docx", "A 52992-2024")</f>
        <v/>
      </c>
      <c r="Z98">
        <f>HYPERLINK("https://klasma.github.io/Logging_0883/fåglar/A 52992-2024 prioriterade fågelarter.docx", "A 52992-2024")</f>
        <v/>
      </c>
    </row>
    <row r="99" ht="15" customHeight="1">
      <c r="A99" t="inlineStr">
        <is>
          <t>A 21084-2025</t>
        </is>
      </c>
      <c r="B99" s="1" t="n">
        <v>45777.6084837963</v>
      </c>
      <c r="C99" s="1" t="n">
        <v>45975</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Grönpyrola</t>
        </is>
      </c>
      <c r="S99">
        <f>HYPERLINK("https://klasma.github.io/Logging_0883/artfynd/A 21084-2025 artfynd.xlsx", "A 21084-2025")</f>
        <v/>
      </c>
      <c r="T99">
        <f>HYPERLINK("https://klasma.github.io/Logging_0883/kartor/A 21084-2025 karta.png", "A 21084-2025")</f>
        <v/>
      </c>
      <c r="V99">
        <f>HYPERLINK("https://klasma.github.io/Logging_0883/klagomål/A 21084-2025 FSC-klagomål.docx", "A 21084-2025")</f>
        <v/>
      </c>
      <c r="W99">
        <f>HYPERLINK("https://klasma.github.io/Logging_0883/klagomålsmail/A 21084-2025 FSC-klagomål mail.docx", "A 21084-2025")</f>
        <v/>
      </c>
      <c r="X99">
        <f>HYPERLINK("https://klasma.github.io/Logging_0883/tillsyn/A 21084-2025 tillsynsbegäran.docx", "A 21084-2025")</f>
        <v/>
      </c>
      <c r="Y99">
        <f>HYPERLINK("https://klasma.github.io/Logging_0883/tillsynsmail/A 21084-2025 tillsynsbegäran mail.docx", "A 21084-2025")</f>
        <v/>
      </c>
      <c r="Z99">
        <f>HYPERLINK("https://klasma.github.io/Logging_0883/fåglar/A 21084-2025 prioriterade fågelarter.docx", "A 21084-2025")</f>
        <v/>
      </c>
    </row>
    <row r="100" ht="15" customHeight="1">
      <c r="A100" t="inlineStr">
        <is>
          <t>A 16948-2024</t>
        </is>
      </c>
      <c r="B100" s="1" t="n">
        <v>45411</v>
      </c>
      <c r="C100" s="1" t="n">
        <v>45975</v>
      </c>
      <c r="D100" t="inlineStr">
        <is>
          <t>KALMAR LÄN</t>
        </is>
      </c>
      <c r="E100" t="inlineStr">
        <is>
          <t>VÄSTERVIK</t>
        </is>
      </c>
      <c r="G100" t="n">
        <v>13.3</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16948-2024 artfynd.xlsx", "A 16948-2024")</f>
        <v/>
      </c>
      <c r="T100">
        <f>HYPERLINK("https://klasma.github.io/Logging_0883/kartor/A 16948-2024 karta.png", "A 16948-2024")</f>
        <v/>
      </c>
      <c r="U100">
        <f>HYPERLINK("https://klasma.github.io/Logging_0883/knärot/A 16948-2024 karta knärot.png", "A 16948-2024")</f>
        <v/>
      </c>
      <c r="V100">
        <f>HYPERLINK("https://klasma.github.io/Logging_0883/klagomål/A 16948-2024 FSC-klagomål.docx", "A 16948-2024")</f>
        <v/>
      </c>
      <c r="W100">
        <f>HYPERLINK("https://klasma.github.io/Logging_0883/klagomålsmail/A 16948-2024 FSC-klagomål mail.docx", "A 16948-2024")</f>
        <v/>
      </c>
      <c r="X100">
        <f>HYPERLINK("https://klasma.github.io/Logging_0883/tillsyn/A 16948-2024 tillsynsbegäran.docx", "A 16948-2024")</f>
        <v/>
      </c>
      <c r="Y100">
        <f>HYPERLINK("https://klasma.github.io/Logging_0883/tillsynsmail/A 16948-2024 tillsynsbegäran mail.docx", "A 16948-2024")</f>
        <v/>
      </c>
      <c r="Z100">
        <f>HYPERLINK("https://klasma.github.io/Logging_0883/fåglar/A 16948-2024 prioriterade fågelarter.docx", "A 16948-2024")</f>
        <v/>
      </c>
    </row>
    <row r="101" ht="15" customHeight="1">
      <c r="A101" t="inlineStr">
        <is>
          <t>A 58750-2024</t>
        </is>
      </c>
      <c r="B101" s="1" t="n">
        <v>45635.71747685185</v>
      </c>
      <c r="C101" s="1" t="n">
        <v>45975</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12708-2023</t>
        </is>
      </c>
      <c r="B102" s="1" t="n">
        <v>45000</v>
      </c>
      <c r="C102" s="1" t="n">
        <v>45975</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27067-2024</t>
        </is>
      </c>
      <c r="B103" s="1" t="n">
        <v>45471</v>
      </c>
      <c r="C103" s="1" t="n">
        <v>45975</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49607-2025</t>
        </is>
      </c>
      <c r="B104" s="1" t="n">
        <v>45939.5674074074</v>
      </c>
      <c r="C104" s="1" t="n">
        <v>45975</v>
      </c>
      <c r="D104" t="inlineStr">
        <is>
          <t>KALMAR LÄN</t>
        </is>
      </c>
      <c r="E104" t="inlineStr">
        <is>
          <t>VÄSTERVIK</t>
        </is>
      </c>
      <c r="F104" t="inlineStr">
        <is>
          <t>Holmen skog AB</t>
        </is>
      </c>
      <c r="G104" t="n">
        <v>1.2</v>
      </c>
      <c r="H104" t="n">
        <v>3</v>
      </c>
      <c r="I104" t="n">
        <v>0</v>
      </c>
      <c r="J104" t="n">
        <v>2</v>
      </c>
      <c r="K104" t="n">
        <v>0</v>
      </c>
      <c r="L104" t="n">
        <v>0</v>
      </c>
      <c r="M104" t="n">
        <v>0</v>
      </c>
      <c r="N104" t="n">
        <v>0</v>
      </c>
      <c r="O104" t="n">
        <v>2</v>
      </c>
      <c r="P104" t="n">
        <v>0</v>
      </c>
      <c r="Q104" t="n">
        <v>3</v>
      </c>
      <c r="R104" s="2" t="inlineStr">
        <is>
          <t>Spillkråka
Talltita
Tjäder</t>
        </is>
      </c>
      <c r="S104">
        <f>HYPERLINK("https://klasma.github.io/Logging_0883/artfynd/A 49607-2025 artfynd.xlsx", "A 49607-2025")</f>
        <v/>
      </c>
      <c r="T104">
        <f>HYPERLINK("https://klasma.github.io/Logging_0883/kartor/A 49607-2025 karta.png", "A 49607-2025")</f>
        <v/>
      </c>
      <c r="V104">
        <f>HYPERLINK("https://klasma.github.io/Logging_0883/klagomål/A 49607-2025 FSC-klagomål.docx", "A 49607-2025")</f>
        <v/>
      </c>
      <c r="W104">
        <f>HYPERLINK("https://klasma.github.io/Logging_0883/klagomålsmail/A 49607-2025 FSC-klagomål mail.docx", "A 49607-2025")</f>
        <v/>
      </c>
      <c r="X104">
        <f>HYPERLINK("https://klasma.github.io/Logging_0883/tillsyn/A 49607-2025 tillsynsbegäran.docx", "A 49607-2025")</f>
        <v/>
      </c>
      <c r="Y104">
        <f>HYPERLINK("https://klasma.github.io/Logging_0883/tillsynsmail/A 49607-2025 tillsynsbegäran mail.docx", "A 49607-2025")</f>
        <v/>
      </c>
      <c r="Z104">
        <f>HYPERLINK("https://klasma.github.io/Logging_0883/fåglar/A 49607-2025 prioriterade fågelarter.docx", "A 49607-2025")</f>
        <v/>
      </c>
    </row>
    <row r="105" ht="15" customHeight="1">
      <c r="A105" t="inlineStr">
        <is>
          <t>A 49560-2025</t>
        </is>
      </c>
      <c r="B105" s="1" t="n">
        <v>45939.46140046296</v>
      </c>
      <c r="C105" s="1" t="n">
        <v>45975</v>
      </c>
      <c r="D105" t="inlineStr">
        <is>
          <t>KALMAR LÄN</t>
        </is>
      </c>
      <c r="E105" t="inlineStr">
        <is>
          <t>VÄSTERVIK</t>
        </is>
      </c>
      <c r="F105" t="inlineStr">
        <is>
          <t>Holmen skog AB</t>
        </is>
      </c>
      <c r="G105" t="n">
        <v>1.9</v>
      </c>
      <c r="H105" t="n">
        <v>2</v>
      </c>
      <c r="I105" t="n">
        <v>1</v>
      </c>
      <c r="J105" t="n">
        <v>1</v>
      </c>
      <c r="K105" t="n">
        <v>1</v>
      </c>
      <c r="L105" t="n">
        <v>0</v>
      </c>
      <c r="M105" t="n">
        <v>0</v>
      </c>
      <c r="N105" t="n">
        <v>0</v>
      </c>
      <c r="O105" t="n">
        <v>2</v>
      </c>
      <c r="P105" t="n">
        <v>1</v>
      </c>
      <c r="Q105" t="n">
        <v>3</v>
      </c>
      <c r="R105" s="2" t="inlineStr">
        <is>
          <t>Knärot
Spillkråka
Dropptaggsvamp</t>
        </is>
      </c>
      <c r="S105">
        <f>HYPERLINK("https://klasma.github.io/Logging_0883/artfynd/A 49560-2025 artfynd.xlsx", "A 49560-2025")</f>
        <v/>
      </c>
      <c r="T105">
        <f>HYPERLINK("https://klasma.github.io/Logging_0883/kartor/A 49560-2025 karta.png", "A 49560-2025")</f>
        <v/>
      </c>
      <c r="U105">
        <f>HYPERLINK("https://klasma.github.io/Logging_0883/knärot/A 49560-2025 karta knärot.png", "A 49560-2025")</f>
        <v/>
      </c>
      <c r="V105">
        <f>HYPERLINK("https://klasma.github.io/Logging_0883/klagomål/A 49560-2025 FSC-klagomål.docx", "A 49560-2025")</f>
        <v/>
      </c>
      <c r="W105">
        <f>HYPERLINK("https://klasma.github.io/Logging_0883/klagomålsmail/A 49560-2025 FSC-klagomål mail.docx", "A 49560-2025")</f>
        <v/>
      </c>
      <c r="X105">
        <f>HYPERLINK("https://klasma.github.io/Logging_0883/tillsyn/A 49560-2025 tillsynsbegäran.docx", "A 49560-2025")</f>
        <v/>
      </c>
      <c r="Y105">
        <f>HYPERLINK("https://klasma.github.io/Logging_0883/tillsynsmail/A 49560-2025 tillsynsbegäran mail.docx", "A 49560-2025")</f>
        <v/>
      </c>
      <c r="Z105">
        <f>HYPERLINK("https://klasma.github.io/Logging_0883/fåglar/A 49560-2025 prioriterade fågelarter.docx", "A 49560-2025")</f>
        <v/>
      </c>
    </row>
    <row r="106" ht="15" customHeight="1">
      <c r="A106" t="inlineStr">
        <is>
          <t>A 2657-2024</t>
        </is>
      </c>
      <c r="B106" s="1" t="n">
        <v>45314</v>
      </c>
      <c r="C106" s="1" t="n">
        <v>45975</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41312-2025</t>
        </is>
      </c>
      <c r="B107" s="1" t="n">
        <v>45898.80314814814</v>
      </c>
      <c r="C107" s="1" t="n">
        <v>45975</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39190-2024</t>
        </is>
      </c>
      <c r="B108" s="1" t="n">
        <v>45548</v>
      </c>
      <c r="C108" s="1" t="n">
        <v>45975</v>
      </c>
      <c r="D108" t="inlineStr">
        <is>
          <t>KALMAR LÄN</t>
        </is>
      </c>
      <c r="E108" t="inlineStr">
        <is>
          <t>VÄSTERVIK</t>
        </is>
      </c>
      <c r="G108" t="n">
        <v>1.7</v>
      </c>
      <c r="H108" t="n">
        <v>2</v>
      </c>
      <c r="I108" t="n">
        <v>0</v>
      </c>
      <c r="J108" t="n">
        <v>2</v>
      </c>
      <c r="K108" t="n">
        <v>1</v>
      </c>
      <c r="L108" t="n">
        <v>0</v>
      </c>
      <c r="M108" t="n">
        <v>0</v>
      </c>
      <c r="N108" t="n">
        <v>0</v>
      </c>
      <c r="O108" t="n">
        <v>3</v>
      </c>
      <c r="P108" t="n">
        <v>1</v>
      </c>
      <c r="Q108" t="n">
        <v>3</v>
      </c>
      <c r="R108" s="2" t="inlineStr">
        <is>
          <t>Knärot
Svart taggsvamp
Talltita</t>
        </is>
      </c>
      <c r="S108">
        <f>HYPERLINK("https://klasma.github.io/Logging_0883/artfynd/A 39190-2024 artfynd.xlsx", "A 39190-2024")</f>
        <v/>
      </c>
      <c r="T108">
        <f>HYPERLINK("https://klasma.github.io/Logging_0883/kartor/A 39190-2024 karta.png", "A 39190-2024")</f>
        <v/>
      </c>
      <c r="U108">
        <f>HYPERLINK("https://klasma.github.io/Logging_0883/knärot/A 39190-2024 karta knärot.png", "A 39190-2024")</f>
        <v/>
      </c>
      <c r="V108">
        <f>HYPERLINK("https://klasma.github.io/Logging_0883/klagomål/A 39190-2024 FSC-klagomål.docx", "A 39190-2024")</f>
        <v/>
      </c>
      <c r="W108">
        <f>HYPERLINK("https://klasma.github.io/Logging_0883/klagomålsmail/A 39190-2024 FSC-klagomål mail.docx", "A 39190-2024")</f>
        <v/>
      </c>
      <c r="X108">
        <f>HYPERLINK("https://klasma.github.io/Logging_0883/tillsyn/A 39190-2024 tillsynsbegäran.docx", "A 39190-2024")</f>
        <v/>
      </c>
      <c r="Y108">
        <f>HYPERLINK("https://klasma.github.io/Logging_0883/tillsynsmail/A 39190-2024 tillsynsbegäran mail.docx", "A 39190-2024")</f>
        <v/>
      </c>
      <c r="Z108">
        <f>HYPERLINK("https://klasma.github.io/Logging_0883/fåglar/A 39190-2024 prioriterade fågelarter.docx", "A 39190-2024")</f>
        <v/>
      </c>
    </row>
    <row r="109" ht="15" customHeight="1">
      <c r="A109" t="inlineStr">
        <is>
          <t>A 804-2023</t>
        </is>
      </c>
      <c r="B109" s="1" t="n">
        <v>44931</v>
      </c>
      <c r="C109" s="1" t="n">
        <v>45975</v>
      </c>
      <c r="D109" t="inlineStr">
        <is>
          <t>KALMAR LÄN</t>
        </is>
      </c>
      <c r="E109" t="inlineStr">
        <is>
          <t>VÄSTERVIK</t>
        </is>
      </c>
      <c r="F109" t="inlineStr">
        <is>
          <t>Holmen skog AB</t>
        </is>
      </c>
      <c r="G109" t="n">
        <v>5.2</v>
      </c>
      <c r="H109" t="n">
        <v>1</v>
      </c>
      <c r="I109" t="n">
        <v>1</v>
      </c>
      <c r="J109" t="n">
        <v>1</v>
      </c>
      <c r="K109" t="n">
        <v>1</v>
      </c>
      <c r="L109" t="n">
        <v>0</v>
      </c>
      <c r="M109" t="n">
        <v>0</v>
      </c>
      <c r="N109" t="n">
        <v>0</v>
      </c>
      <c r="O109" t="n">
        <v>2</v>
      </c>
      <c r="P109" t="n">
        <v>1</v>
      </c>
      <c r="Q109" t="n">
        <v>3</v>
      </c>
      <c r="R109" s="2" t="inlineStr">
        <is>
          <t>Violett fingersvamp
Ekticka
Ekoxe</t>
        </is>
      </c>
      <c r="S109">
        <f>HYPERLINK("https://klasma.github.io/Logging_0883/artfynd/A 804-2023 artfynd.xlsx", "A 804-2023")</f>
        <v/>
      </c>
      <c r="T109">
        <f>HYPERLINK("https://klasma.github.io/Logging_0883/kartor/A 804-2023 karta.png", "A 804-2023")</f>
        <v/>
      </c>
      <c r="V109">
        <f>HYPERLINK("https://klasma.github.io/Logging_0883/klagomål/A 804-2023 FSC-klagomål.docx", "A 804-2023")</f>
        <v/>
      </c>
      <c r="W109">
        <f>HYPERLINK("https://klasma.github.io/Logging_0883/klagomålsmail/A 804-2023 FSC-klagomål mail.docx", "A 804-2023")</f>
        <v/>
      </c>
      <c r="X109">
        <f>HYPERLINK("https://klasma.github.io/Logging_0883/tillsyn/A 804-2023 tillsynsbegäran.docx", "A 804-2023")</f>
        <v/>
      </c>
      <c r="Y109">
        <f>HYPERLINK("https://klasma.github.io/Logging_0883/tillsynsmail/A 804-2023 tillsynsbegäran mail.docx", "A 804-2023")</f>
        <v/>
      </c>
    </row>
    <row r="110" ht="15" customHeight="1">
      <c r="A110" t="inlineStr">
        <is>
          <t>A 42353-2023</t>
        </is>
      </c>
      <c r="B110" s="1" t="n">
        <v>45180</v>
      </c>
      <c r="C110" s="1" t="n">
        <v>45975</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4454-2025</t>
        </is>
      </c>
      <c r="B111" s="1" t="n">
        <v>45686</v>
      </c>
      <c r="C111" s="1" t="n">
        <v>45975</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53849-2025</t>
        </is>
      </c>
      <c r="B112" s="1" t="n">
        <v>45961.36885416666</v>
      </c>
      <c r="C112" s="1" t="n">
        <v>45975</v>
      </c>
      <c r="D112" t="inlineStr">
        <is>
          <t>KALMAR LÄN</t>
        </is>
      </c>
      <c r="E112" t="inlineStr">
        <is>
          <t>VÄSTERVIK</t>
        </is>
      </c>
      <c r="F112" t="inlineStr">
        <is>
          <t>Sveaskog</t>
        </is>
      </c>
      <c r="G112" t="n">
        <v>3.4</v>
      </c>
      <c r="H112" t="n">
        <v>1</v>
      </c>
      <c r="I112" t="n">
        <v>2</v>
      </c>
      <c r="J112" t="n">
        <v>0</v>
      </c>
      <c r="K112" t="n">
        <v>0</v>
      </c>
      <c r="L112" t="n">
        <v>0</v>
      </c>
      <c r="M112" t="n">
        <v>0</v>
      </c>
      <c r="N112" t="n">
        <v>0</v>
      </c>
      <c r="O112" t="n">
        <v>0</v>
      </c>
      <c r="P112" t="n">
        <v>0</v>
      </c>
      <c r="Q112" t="n">
        <v>3</v>
      </c>
      <c r="R112" s="2" t="inlineStr">
        <is>
          <t>Fällmossa
Murgröna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row>
    <row r="113" ht="15" customHeight="1">
      <c r="A113" t="inlineStr">
        <is>
          <t>A 1763-2025</t>
        </is>
      </c>
      <c r="B113" s="1" t="n">
        <v>45671</v>
      </c>
      <c r="C113" s="1" t="n">
        <v>45975</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31854-2025</t>
        </is>
      </c>
      <c r="B114" s="1" t="n">
        <v>45834</v>
      </c>
      <c r="C114" s="1" t="n">
        <v>45975</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1764-2025</t>
        </is>
      </c>
      <c r="B115" s="1" t="n">
        <v>45671</v>
      </c>
      <c r="C115" s="1" t="n">
        <v>45975</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21658-2025</t>
        </is>
      </c>
      <c r="B116" s="1" t="n">
        <v>45783.45474537037</v>
      </c>
      <c r="C116" s="1" t="n">
        <v>45975</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13956-2025</t>
        </is>
      </c>
      <c r="B117" s="1" t="n">
        <v>45737</v>
      </c>
      <c r="C117" s="1" t="n">
        <v>45975</v>
      </c>
      <c r="D117" t="inlineStr">
        <is>
          <t>KALMAR LÄN</t>
        </is>
      </c>
      <c r="E117" t="inlineStr">
        <is>
          <t>VÄSTERVIK</t>
        </is>
      </c>
      <c r="G117" t="n">
        <v>2.5</v>
      </c>
      <c r="H117" t="n">
        <v>2</v>
      </c>
      <c r="I117" t="n">
        <v>1</v>
      </c>
      <c r="J117" t="n">
        <v>1</v>
      </c>
      <c r="K117" t="n">
        <v>1</v>
      </c>
      <c r="L117" t="n">
        <v>0</v>
      </c>
      <c r="M117" t="n">
        <v>0</v>
      </c>
      <c r="N117" t="n">
        <v>0</v>
      </c>
      <c r="O117" t="n">
        <v>2</v>
      </c>
      <c r="P117" t="n">
        <v>1</v>
      </c>
      <c r="Q117" t="n">
        <v>3</v>
      </c>
      <c r="R117" s="2" t="inlineStr">
        <is>
          <t>Knärot
Mindre hackspett
Grönpyrola</t>
        </is>
      </c>
      <c r="S117">
        <f>HYPERLINK("https://klasma.github.io/Logging_0883/artfynd/A 13956-2025 artfynd.xlsx", "A 13956-2025")</f>
        <v/>
      </c>
      <c r="T117">
        <f>HYPERLINK("https://klasma.github.io/Logging_0883/kartor/A 13956-2025 karta.png", "A 13956-2025")</f>
        <v/>
      </c>
      <c r="U117">
        <f>HYPERLINK("https://klasma.github.io/Logging_0883/knärot/A 13956-2025 karta knärot.png", "A 13956-2025")</f>
        <v/>
      </c>
      <c r="V117">
        <f>HYPERLINK("https://klasma.github.io/Logging_0883/klagomål/A 13956-2025 FSC-klagomål.docx", "A 13956-2025")</f>
        <v/>
      </c>
      <c r="W117">
        <f>HYPERLINK("https://klasma.github.io/Logging_0883/klagomålsmail/A 13956-2025 FSC-klagomål mail.docx", "A 13956-2025")</f>
        <v/>
      </c>
      <c r="X117">
        <f>HYPERLINK("https://klasma.github.io/Logging_0883/tillsyn/A 13956-2025 tillsynsbegäran.docx", "A 13956-2025")</f>
        <v/>
      </c>
      <c r="Y117">
        <f>HYPERLINK("https://klasma.github.io/Logging_0883/tillsynsmail/A 13956-2025 tillsynsbegäran mail.docx", "A 13956-2025")</f>
        <v/>
      </c>
      <c r="Z117">
        <f>HYPERLINK("https://klasma.github.io/Logging_0883/fåglar/A 13956-2025 prioriterade fågelarter.docx", "A 13956-2025")</f>
        <v/>
      </c>
    </row>
    <row r="118" ht="15" customHeight="1">
      <c r="A118" t="inlineStr">
        <is>
          <t>A 35705-2025</t>
        </is>
      </c>
      <c r="B118" s="1" t="n">
        <v>45860.36769675926</v>
      </c>
      <c r="C118" s="1" t="n">
        <v>45975</v>
      </c>
      <c r="D118" t="inlineStr">
        <is>
          <t>KALMAR LÄN</t>
        </is>
      </c>
      <c r="E118" t="inlineStr">
        <is>
          <t>VÄSTERVIK</t>
        </is>
      </c>
      <c r="G118" t="n">
        <v>2.5</v>
      </c>
      <c r="H118" t="n">
        <v>2</v>
      </c>
      <c r="I118" t="n">
        <v>1</v>
      </c>
      <c r="J118" t="n">
        <v>1</v>
      </c>
      <c r="K118" t="n">
        <v>0</v>
      </c>
      <c r="L118" t="n">
        <v>0</v>
      </c>
      <c r="M118" t="n">
        <v>0</v>
      </c>
      <c r="N118" t="n">
        <v>0</v>
      </c>
      <c r="O118" t="n">
        <v>1</v>
      </c>
      <c r="P118" t="n">
        <v>0</v>
      </c>
      <c r="Q118" t="n">
        <v>3</v>
      </c>
      <c r="R118" s="2" t="inlineStr">
        <is>
          <t>Talltita
Grovticka
Kungsfågel</t>
        </is>
      </c>
      <c r="S118">
        <f>HYPERLINK("https://klasma.github.io/Logging_0883/artfynd/A 35705-2025 artfynd.xlsx", "A 35705-2025")</f>
        <v/>
      </c>
      <c r="T118">
        <f>HYPERLINK("https://klasma.github.io/Logging_0883/kartor/A 35705-2025 karta.png", "A 35705-2025")</f>
        <v/>
      </c>
      <c r="U118">
        <f>HYPERLINK("https://klasma.github.io/Logging_0883/knärot/A 35705-2025 karta knärot.png", "A 35705-2025")</f>
        <v/>
      </c>
      <c r="V118">
        <f>HYPERLINK("https://klasma.github.io/Logging_0883/klagomål/A 35705-2025 FSC-klagomål.docx", "A 35705-2025")</f>
        <v/>
      </c>
      <c r="W118">
        <f>HYPERLINK("https://klasma.github.io/Logging_0883/klagomålsmail/A 35705-2025 FSC-klagomål mail.docx", "A 35705-2025")</f>
        <v/>
      </c>
      <c r="X118">
        <f>HYPERLINK("https://klasma.github.io/Logging_0883/tillsyn/A 35705-2025 tillsynsbegäran.docx", "A 35705-2025")</f>
        <v/>
      </c>
      <c r="Y118">
        <f>HYPERLINK("https://klasma.github.io/Logging_0883/tillsynsmail/A 35705-2025 tillsynsbegäran mail.docx", "A 35705-2025")</f>
        <v/>
      </c>
      <c r="Z118">
        <f>HYPERLINK("https://klasma.github.io/Logging_0883/fåglar/A 35705-2025 prioriterade fågelarter.docx", "A 35705-2025")</f>
        <v/>
      </c>
    </row>
    <row r="119" ht="15" customHeight="1">
      <c r="A119" t="inlineStr">
        <is>
          <t>A 8620-2024</t>
        </is>
      </c>
      <c r="B119" s="1" t="n">
        <v>45355.74270833333</v>
      </c>
      <c r="C119" s="1" t="n">
        <v>45975</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45975</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45975</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15595-2021</t>
        </is>
      </c>
      <c r="B122" s="1" t="n">
        <v>44285.66680555556</v>
      </c>
      <c r="C122" s="1" t="n">
        <v>45975</v>
      </c>
      <c r="D122" t="inlineStr">
        <is>
          <t>KALMAR LÄN</t>
        </is>
      </c>
      <c r="E122" t="inlineStr">
        <is>
          <t>VÄSTERVIK</t>
        </is>
      </c>
      <c r="G122" t="n">
        <v>0.6</v>
      </c>
      <c r="H122" t="n">
        <v>1</v>
      </c>
      <c r="I122" t="n">
        <v>0</v>
      </c>
      <c r="J122" t="n">
        <v>2</v>
      </c>
      <c r="K122" t="n">
        <v>0</v>
      </c>
      <c r="L122" t="n">
        <v>0</v>
      </c>
      <c r="M122" t="n">
        <v>0</v>
      </c>
      <c r="N122" t="n">
        <v>0</v>
      </c>
      <c r="O122" t="n">
        <v>2</v>
      </c>
      <c r="P122" t="n">
        <v>0</v>
      </c>
      <c r="Q122" t="n">
        <v>2</v>
      </c>
      <c r="R122" s="2" t="inlineStr">
        <is>
          <t>Spillkråka
Spindelört</t>
        </is>
      </c>
      <c r="S122">
        <f>HYPERLINK("https://klasma.github.io/Logging_0883/artfynd/A 15595-2021 artfynd.xlsx", "A 15595-2021")</f>
        <v/>
      </c>
      <c r="T122">
        <f>HYPERLINK("https://klasma.github.io/Logging_0883/kartor/A 15595-2021 karta.png", "A 15595-2021")</f>
        <v/>
      </c>
      <c r="V122">
        <f>HYPERLINK("https://klasma.github.io/Logging_0883/klagomål/A 15595-2021 FSC-klagomål.docx", "A 15595-2021")</f>
        <v/>
      </c>
      <c r="W122">
        <f>HYPERLINK("https://klasma.github.io/Logging_0883/klagomålsmail/A 15595-2021 FSC-klagomål mail.docx", "A 15595-2021")</f>
        <v/>
      </c>
      <c r="X122">
        <f>HYPERLINK("https://klasma.github.io/Logging_0883/tillsyn/A 15595-2021 tillsynsbegäran.docx", "A 15595-2021")</f>
        <v/>
      </c>
      <c r="Y122">
        <f>HYPERLINK("https://klasma.github.io/Logging_0883/tillsynsmail/A 15595-2021 tillsynsbegäran mail.docx", "A 15595-2021")</f>
        <v/>
      </c>
      <c r="Z122">
        <f>HYPERLINK("https://klasma.github.io/Logging_0883/fåglar/A 15595-2021 prioriterade fågelarter.docx", "A 15595-2021")</f>
        <v/>
      </c>
    </row>
    <row r="123" ht="15" customHeight="1">
      <c r="A123" t="inlineStr">
        <is>
          <t>A 3173-2023</t>
        </is>
      </c>
      <c r="B123" s="1" t="n">
        <v>44946</v>
      </c>
      <c r="C123" s="1" t="n">
        <v>45975</v>
      </c>
      <c r="D123" t="inlineStr">
        <is>
          <t>KALMAR LÄN</t>
        </is>
      </c>
      <c r="E123" t="inlineStr">
        <is>
          <t>VÄSTERVIK</t>
        </is>
      </c>
      <c r="G123" t="n">
        <v>4</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3173-2023 artfynd.xlsx", "A 3173-2023")</f>
        <v/>
      </c>
      <c r="T123">
        <f>HYPERLINK("https://klasma.github.io/Logging_0883/kartor/A 3173-2023 karta.png", "A 3173-2023")</f>
        <v/>
      </c>
      <c r="U123">
        <f>HYPERLINK("https://klasma.github.io/Logging_0883/knärot/A 3173-2023 karta knärot.png", "A 3173-2023")</f>
        <v/>
      </c>
      <c r="V123">
        <f>HYPERLINK("https://klasma.github.io/Logging_0883/klagomål/A 3173-2023 FSC-klagomål.docx", "A 3173-2023")</f>
        <v/>
      </c>
      <c r="W123">
        <f>HYPERLINK("https://klasma.github.io/Logging_0883/klagomålsmail/A 3173-2023 FSC-klagomål mail.docx", "A 3173-2023")</f>
        <v/>
      </c>
      <c r="X123">
        <f>HYPERLINK("https://klasma.github.io/Logging_0883/tillsyn/A 3173-2023 tillsynsbegäran.docx", "A 3173-2023")</f>
        <v/>
      </c>
      <c r="Y123">
        <f>HYPERLINK("https://klasma.github.io/Logging_0883/tillsynsmail/A 3173-2023 tillsynsbegäran mail.docx", "A 3173-2023")</f>
        <v/>
      </c>
    </row>
    <row r="124" ht="15" customHeight="1">
      <c r="A124" t="inlineStr">
        <is>
          <t>A 3658-2024</t>
        </is>
      </c>
      <c r="B124" s="1" t="n">
        <v>45321</v>
      </c>
      <c r="C124" s="1" t="n">
        <v>45975</v>
      </c>
      <c r="D124" t="inlineStr">
        <is>
          <t>KALMAR LÄN</t>
        </is>
      </c>
      <c r="E124" t="inlineStr">
        <is>
          <t>VÄSTERVIK</t>
        </is>
      </c>
      <c r="G124" t="n">
        <v>2.6</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3658-2024 artfynd.xlsx", "A 3658-2024")</f>
        <v/>
      </c>
      <c r="T124">
        <f>HYPERLINK("https://klasma.github.io/Logging_0883/kartor/A 3658-2024 karta.png", "A 3658-2024")</f>
        <v/>
      </c>
      <c r="U124">
        <f>HYPERLINK("https://klasma.github.io/Logging_0883/knärot/A 3658-2024 karta knärot.png", "A 3658-2024")</f>
        <v/>
      </c>
      <c r="V124">
        <f>HYPERLINK("https://klasma.github.io/Logging_0883/klagomål/A 3658-2024 FSC-klagomål.docx", "A 3658-2024")</f>
        <v/>
      </c>
      <c r="W124">
        <f>HYPERLINK("https://klasma.github.io/Logging_0883/klagomålsmail/A 3658-2024 FSC-klagomål mail.docx", "A 3658-2024")</f>
        <v/>
      </c>
      <c r="X124">
        <f>HYPERLINK("https://klasma.github.io/Logging_0883/tillsyn/A 3658-2024 tillsynsbegäran.docx", "A 3658-2024")</f>
        <v/>
      </c>
      <c r="Y124">
        <f>HYPERLINK("https://klasma.github.io/Logging_0883/tillsynsmail/A 3658-2024 tillsynsbegäran mail.docx", "A 3658-2024")</f>
        <v/>
      </c>
    </row>
    <row r="125" ht="15" customHeight="1">
      <c r="A125" t="inlineStr">
        <is>
          <t>A 8618-2024</t>
        </is>
      </c>
      <c r="B125" s="1" t="n">
        <v>45355.73453703704</v>
      </c>
      <c r="C125" s="1" t="n">
        <v>45975</v>
      </c>
      <c r="D125" t="inlineStr">
        <is>
          <t>KALMAR LÄN</t>
        </is>
      </c>
      <c r="E125" t="inlineStr">
        <is>
          <t>VÄSTERVIK</t>
        </is>
      </c>
      <c r="G125" t="n">
        <v>4.3</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8618-2024 artfynd.xlsx", "A 8618-2024")</f>
        <v/>
      </c>
      <c r="T125">
        <f>HYPERLINK("https://klasma.github.io/Logging_0883/kartor/A 8618-2024 karta.png", "A 8618-2024")</f>
        <v/>
      </c>
      <c r="U125">
        <f>HYPERLINK("https://klasma.github.io/Logging_0883/knärot/A 8618-2024 karta knärot.png", "A 8618-2024")</f>
        <v/>
      </c>
      <c r="V125">
        <f>HYPERLINK("https://klasma.github.io/Logging_0883/klagomål/A 8618-2024 FSC-klagomål.docx", "A 8618-2024")</f>
        <v/>
      </c>
      <c r="W125">
        <f>HYPERLINK("https://klasma.github.io/Logging_0883/klagomålsmail/A 8618-2024 FSC-klagomål mail.docx", "A 8618-2024")</f>
        <v/>
      </c>
      <c r="X125">
        <f>HYPERLINK("https://klasma.github.io/Logging_0883/tillsyn/A 8618-2024 tillsynsbegäran.docx", "A 8618-2024")</f>
        <v/>
      </c>
      <c r="Y125">
        <f>HYPERLINK("https://klasma.github.io/Logging_0883/tillsynsmail/A 8618-2024 tillsynsbegäran mail.docx", "A 8618-2024")</f>
        <v/>
      </c>
    </row>
    <row r="126" ht="15" customHeight="1">
      <c r="A126" t="inlineStr">
        <is>
          <t>A 32649-2023</t>
        </is>
      </c>
      <c r="B126" s="1" t="n">
        <v>45121</v>
      </c>
      <c r="C126" s="1" t="n">
        <v>45975</v>
      </c>
      <c r="D126" t="inlineStr">
        <is>
          <t>KALMAR LÄN</t>
        </is>
      </c>
      <c r="E126" t="inlineStr">
        <is>
          <t>VÄSTERVIK</t>
        </is>
      </c>
      <c r="G126" t="n">
        <v>1.7</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32649-2023 artfynd.xlsx", "A 32649-2023")</f>
        <v/>
      </c>
      <c r="T126">
        <f>HYPERLINK("https://klasma.github.io/Logging_0883/kartor/A 32649-2023 karta.png", "A 32649-2023")</f>
        <v/>
      </c>
      <c r="U126">
        <f>HYPERLINK("https://klasma.github.io/Logging_0883/knärot/A 32649-2023 karta knärot.png", "A 32649-2023")</f>
        <v/>
      </c>
      <c r="V126">
        <f>HYPERLINK("https://klasma.github.io/Logging_0883/klagomål/A 32649-2023 FSC-klagomål.docx", "A 32649-2023")</f>
        <v/>
      </c>
      <c r="W126">
        <f>HYPERLINK("https://klasma.github.io/Logging_0883/klagomålsmail/A 32649-2023 FSC-klagomål mail.docx", "A 32649-2023")</f>
        <v/>
      </c>
      <c r="X126">
        <f>HYPERLINK("https://klasma.github.io/Logging_0883/tillsyn/A 32649-2023 tillsynsbegäran.docx", "A 32649-2023")</f>
        <v/>
      </c>
      <c r="Y126">
        <f>HYPERLINK("https://klasma.github.io/Logging_0883/tillsynsmail/A 32649-2023 tillsynsbegäran mail.docx", "A 32649-2023")</f>
        <v/>
      </c>
    </row>
    <row r="127" ht="15" customHeight="1">
      <c r="A127" t="inlineStr">
        <is>
          <t>A 51833-2021</t>
        </is>
      </c>
      <c r="B127" s="1" t="n">
        <v>44462</v>
      </c>
      <c r="C127" s="1" t="n">
        <v>45975</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9040-2023</t>
        </is>
      </c>
      <c r="B128" s="1" t="n">
        <v>44979</v>
      </c>
      <c r="C128" s="1" t="n">
        <v>45975</v>
      </c>
      <c r="D128" t="inlineStr">
        <is>
          <t>KALMAR LÄN</t>
        </is>
      </c>
      <c r="E128" t="inlineStr">
        <is>
          <t>VÄSTERVIK</t>
        </is>
      </c>
      <c r="G128" t="n">
        <v>5.1</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9040-2023 artfynd.xlsx", "A 9040-2023")</f>
        <v/>
      </c>
      <c r="T128">
        <f>HYPERLINK("https://klasma.github.io/Logging_0883/kartor/A 9040-2023 karta.png", "A 9040-2023")</f>
        <v/>
      </c>
      <c r="U128">
        <f>HYPERLINK("https://klasma.github.io/Logging_0883/knärot/A 9040-2023 karta knärot.png", "A 9040-2023")</f>
        <v/>
      </c>
      <c r="V128">
        <f>HYPERLINK("https://klasma.github.io/Logging_0883/klagomål/A 9040-2023 FSC-klagomål.docx", "A 9040-2023")</f>
        <v/>
      </c>
      <c r="W128">
        <f>HYPERLINK("https://klasma.github.io/Logging_0883/klagomålsmail/A 9040-2023 FSC-klagomål mail.docx", "A 9040-2023")</f>
        <v/>
      </c>
      <c r="X128">
        <f>HYPERLINK("https://klasma.github.io/Logging_0883/tillsyn/A 9040-2023 tillsynsbegäran.docx", "A 9040-2023")</f>
        <v/>
      </c>
      <c r="Y128">
        <f>HYPERLINK("https://klasma.github.io/Logging_0883/tillsynsmail/A 9040-2023 tillsynsbegäran mail.docx", "A 9040-2023")</f>
        <v/>
      </c>
    </row>
    <row r="129" ht="15" customHeight="1">
      <c r="A129" t="inlineStr">
        <is>
          <t>A 11849-2024</t>
        </is>
      </c>
      <c r="B129" s="1" t="n">
        <v>45376.41797453703</v>
      </c>
      <c r="C129" s="1" t="n">
        <v>45975</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45975</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34119-2023</t>
        </is>
      </c>
      <c r="B131" s="1" t="n">
        <v>45135</v>
      </c>
      <c r="C131" s="1" t="n">
        <v>45975</v>
      </c>
      <c r="D131" t="inlineStr">
        <is>
          <t>KALMAR LÄN</t>
        </is>
      </c>
      <c r="E131" t="inlineStr">
        <is>
          <t>VÄSTERVIK</t>
        </is>
      </c>
      <c r="G131" t="n">
        <v>3.1</v>
      </c>
      <c r="H131" t="n">
        <v>1</v>
      </c>
      <c r="I131" t="n">
        <v>1</v>
      </c>
      <c r="J131" t="n">
        <v>0</v>
      </c>
      <c r="K131" t="n">
        <v>1</v>
      </c>
      <c r="L131" t="n">
        <v>0</v>
      </c>
      <c r="M131" t="n">
        <v>0</v>
      </c>
      <c r="N131" t="n">
        <v>0</v>
      </c>
      <c r="O131" t="n">
        <v>1</v>
      </c>
      <c r="P131" t="n">
        <v>1</v>
      </c>
      <c r="Q131" t="n">
        <v>2</v>
      </c>
      <c r="R131" s="2" t="inlineStr">
        <is>
          <t>Knärot
Blomkålssvamp</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9770-2024</t>
        </is>
      </c>
      <c r="B132" s="1" t="n">
        <v>45362.63960648148</v>
      </c>
      <c r="C132" s="1" t="n">
        <v>45975</v>
      </c>
      <c r="D132" t="inlineStr">
        <is>
          <t>KALMAR LÄN</t>
        </is>
      </c>
      <c r="E132" t="inlineStr">
        <is>
          <t>VÄSTERVIK</t>
        </is>
      </c>
      <c r="G132" t="n">
        <v>2.6</v>
      </c>
      <c r="H132" t="n">
        <v>2</v>
      </c>
      <c r="I132" t="n">
        <v>0</v>
      </c>
      <c r="J132" t="n">
        <v>1</v>
      </c>
      <c r="K132" t="n">
        <v>0</v>
      </c>
      <c r="L132" t="n">
        <v>0</v>
      </c>
      <c r="M132" t="n">
        <v>0</v>
      </c>
      <c r="N132" t="n">
        <v>0</v>
      </c>
      <c r="O132" t="n">
        <v>1</v>
      </c>
      <c r="P132" t="n">
        <v>0</v>
      </c>
      <c r="Q132" t="n">
        <v>2</v>
      </c>
      <c r="R132" s="2" t="inlineStr">
        <is>
          <t>Talltita
Tjäder</t>
        </is>
      </c>
      <c r="S132">
        <f>HYPERLINK("https://klasma.github.io/Logging_0883/artfynd/A 9770-2024 artfynd.xlsx", "A 9770-2024")</f>
        <v/>
      </c>
      <c r="T132">
        <f>HYPERLINK("https://klasma.github.io/Logging_0883/kartor/A 9770-2024 karta.png", "A 9770-2024")</f>
        <v/>
      </c>
      <c r="V132">
        <f>HYPERLINK("https://klasma.github.io/Logging_0883/klagomål/A 9770-2024 FSC-klagomål.docx", "A 9770-2024")</f>
        <v/>
      </c>
      <c r="W132">
        <f>HYPERLINK("https://klasma.github.io/Logging_0883/klagomålsmail/A 9770-2024 FSC-klagomål mail.docx", "A 9770-2024")</f>
        <v/>
      </c>
      <c r="X132">
        <f>HYPERLINK("https://klasma.github.io/Logging_0883/tillsyn/A 9770-2024 tillsynsbegäran.docx", "A 9770-2024")</f>
        <v/>
      </c>
      <c r="Y132">
        <f>HYPERLINK("https://klasma.github.io/Logging_0883/tillsynsmail/A 9770-2024 tillsynsbegäran mail.docx", "A 9770-2024")</f>
        <v/>
      </c>
      <c r="Z132">
        <f>HYPERLINK("https://klasma.github.io/Logging_0883/fåglar/A 9770-2024 prioriterade fågelarter.docx", "A 9770-2024")</f>
        <v/>
      </c>
    </row>
    <row r="133" ht="15" customHeight="1">
      <c r="A133" t="inlineStr">
        <is>
          <t>A 46552-2022</t>
        </is>
      </c>
      <c r="B133" s="1" t="n">
        <v>44848</v>
      </c>
      <c r="C133" s="1" t="n">
        <v>45975</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72945-2021</t>
        </is>
      </c>
      <c r="B134" s="1" t="n">
        <v>44547.90868055556</v>
      </c>
      <c r="C134" s="1" t="n">
        <v>45975</v>
      </c>
      <c r="D134" t="inlineStr">
        <is>
          <t>KALMAR LÄN</t>
        </is>
      </c>
      <c r="E134" t="inlineStr">
        <is>
          <t>VÄSTERVIK</t>
        </is>
      </c>
      <c r="G134" t="n">
        <v>1.6</v>
      </c>
      <c r="H134" t="n">
        <v>0</v>
      </c>
      <c r="I134" t="n">
        <v>1</v>
      </c>
      <c r="J134" t="n">
        <v>1</v>
      </c>
      <c r="K134" t="n">
        <v>0</v>
      </c>
      <c r="L134" t="n">
        <v>0</v>
      </c>
      <c r="M134" t="n">
        <v>0</v>
      </c>
      <c r="N134" t="n">
        <v>0</v>
      </c>
      <c r="O134" t="n">
        <v>1</v>
      </c>
      <c r="P134" t="n">
        <v>0</v>
      </c>
      <c r="Q134" t="n">
        <v>2</v>
      </c>
      <c r="R134" s="2" t="inlineStr">
        <is>
          <t>Veckticka
Rävticka</t>
        </is>
      </c>
      <c r="S134">
        <f>HYPERLINK("https://klasma.github.io/Logging_0883/artfynd/A 72945-2021 artfynd.xlsx", "A 72945-2021")</f>
        <v/>
      </c>
      <c r="T134">
        <f>HYPERLINK("https://klasma.github.io/Logging_0883/kartor/A 72945-2021 karta.png", "A 72945-2021")</f>
        <v/>
      </c>
      <c r="V134">
        <f>HYPERLINK("https://klasma.github.io/Logging_0883/klagomål/A 72945-2021 FSC-klagomål.docx", "A 72945-2021")</f>
        <v/>
      </c>
      <c r="W134">
        <f>HYPERLINK("https://klasma.github.io/Logging_0883/klagomålsmail/A 72945-2021 FSC-klagomål mail.docx", "A 72945-2021")</f>
        <v/>
      </c>
      <c r="X134">
        <f>HYPERLINK("https://klasma.github.io/Logging_0883/tillsyn/A 72945-2021 tillsynsbegäran.docx", "A 72945-2021")</f>
        <v/>
      </c>
      <c r="Y134">
        <f>HYPERLINK("https://klasma.github.io/Logging_0883/tillsynsmail/A 72945-2021 tillsynsbegäran mail.docx", "A 72945-2021")</f>
        <v/>
      </c>
    </row>
    <row r="135" ht="15" customHeight="1">
      <c r="A135" t="inlineStr">
        <is>
          <t>A 40331-2024</t>
        </is>
      </c>
      <c r="B135" s="1" t="n">
        <v>45555.31039351852</v>
      </c>
      <c r="C135" s="1" t="n">
        <v>45975</v>
      </c>
      <c r="D135" t="inlineStr">
        <is>
          <t>KALMAR LÄN</t>
        </is>
      </c>
      <c r="E135" t="inlineStr">
        <is>
          <t>VÄSTERVIK</t>
        </is>
      </c>
      <c r="G135" t="n">
        <v>1.5</v>
      </c>
      <c r="H135" t="n">
        <v>1</v>
      </c>
      <c r="I135" t="n">
        <v>1</v>
      </c>
      <c r="J135" t="n">
        <v>0</v>
      </c>
      <c r="K135" t="n">
        <v>0</v>
      </c>
      <c r="L135" t="n">
        <v>0</v>
      </c>
      <c r="M135" t="n">
        <v>0</v>
      </c>
      <c r="N135" t="n">
        <v>0</v>
      </c>
      <c r="O135" t="n">
        <v>0</v>
      </c>
      <c r="P135" t="n">
        <v>0</v>
      </c>
      <c r="Q135" t="n">
        <v>2</v>
      </c>
      <c r="R135" s="2" t="inlineStr">
        <is>
          <t>Murgröna
Blåsippa</t>
        </is>
      </c>
      <c r="S135">
        <f>HYPERLINK("https://klasma.github.io/Logging_0883/artfynd/A 40331-2024 artfynd.xlsx", "A 40331-2024")</f>
        <v/>
      </c>
      <c r="T135">
        <f>HYPERLINK("https://klasma.github.io/Logging_0883/kartor/A 40331-2024 karta.png", "A 40331-2024")</f>
        <v/>
      </c>
      <c r="V135">
        <f>HYPERLINK("https://klasma.github.io/Logging_0883/klagomål/A 40331-2024 FSC-klagomål.docx", "A 40331-2024")</f>
        <v/>
      </c>
      <c r="W135">
        <f>HYPERLINK("https://klasma.github.io/Logging_0883/klagomålsmail/A 40331-2024 FSC-klagomål mail.docx", "A 40331-2024")</f>
        <v/>
      </c>
      <c r="X135">
        <f>HYPERLINK("https://klasma.github.io/Logging_0883/tillsyn/A 40331-2024 tillsynsbegäran.docx", "A 40331-2024")</f>
        <v/>
      </c>
      <c r="Y135">
        <f>HYPERLINK("https://klasma.github.io/Logging_0883/tillsynsmail/A 40331-2024 tillsynsbegäran mail.docx", "A 40331-2024")</f>
        <v/>
      </c>
    </row>
    <row r="136" ht="15" customHeight="1">
      <c r="A136" t="inlineStr">
        <is>
          <t>A 46787-2022</t>
        </is>
      </c>
      <c r="B136" s="1" t="n">
        <v>44851</v>
      </c>
      <c r="C136" s="1" t="n">
        <v>45975</v>
      </c>
      <c r="D136" t="inlineStr">
        <is>
          <t>KALMAR LÄN</t>
        </is>
      </c>
      <c r="E136" t="inlineStr">
        <is>
          <t>VÄSTERVIK</t>
        </is>
      </c>
      <c r="G136" t="n">
        <v>4.4</v>
      </c>
      <c r="H136" t="n">
        <v>0</v>
      </c>
      <c r="I136" t="n">
        <v>0</v>
      </c>
      <c r="J136" t="n">
        <v>2</v>
      </c>
      <c r="K136" t="n">
        <v>0</v>
      </c>
      <c r="L136" t="n">
        <v>0</v>
      </c>
      <c r="M136" t="n">
        <v>0</v>
      </c>
      <c r="N136" t="n">
        <v>0</v>
      </c>
      <c r="O136" t="n">
        <v>2</v>
      </c>
      <c r="P136" t="n">
        <v>0</v>
      </c>
      <c r="Q136" t="n">
        <v>2</v>
      </c>
      <c r="R136" s="2" t="inlineStr">
        <is>
          <t>Motaggsvamp
Tallticka</t>
        </is>
      </c>
      <c r="S136">
        <f>HYPERLINK("https://klasma.github.io/Logging_0883/artfynd/A 46787-2022 artfynd.xlsx", "A 46787-2022")</f>
        <v/>
      </c>
      <c r="T136">
        <f>HYPERLINK("https://klasma.github.io/Logging_0883/kartor/A 46787-2022 karta.png", "A 46787-2022")</f>
        <v/>
      </c>
      <c r="V136">
        <f>HYPERLINK("https://klasma.github.io/Logging_0883/klagomål/A 46787-2022 FSC-klagomål.docx", "A 46787-2022")</f>
        <v/>
      </c>
      <c r="W136">
        <f>HYPERLINK("https://klasma.github.io/Logging_0883/klagomålsmail/A 46787-2022 FSC-klagomål mail.docx", "A 46787-2022")</f>
        <v/>
      </c>
      <c r="X136">
        <f>HYPERLINK("https://klasma.github.io/Logging_0883/tillsyn/A 46787-2022 tillsynsbegäran.docx", "A 46787-2022")</f>
        <v/>
      </c>
      <c r="Y136">
        <f>HYPERLINK("https://klasma.github.io/Logging_0883/tillsynsmail/A 46787-2022 tillsynsbegäran mail.docx", "A 46787-2022")</f>
        <v/>
      </c>
    </row>
    <row r="137" ht="15" customHeight="1">
      <c r="A137" t="inlineStr">
        <is>
          <t>A 61804-2023</t>
        </is>
      </c>
      <c r="B137" s="1" t="n">
        <v>45266</v>
      </c>
      <c r="C137" s="1" t="n">
        <v>45975</v>
      </c>
      <c r="D137" t="inlineStr">
        <is>
          <t>KALMAR LÄN</t>
        </is>
      </c>
      <c r="E137" t="inlineStr">
        <is>
          <t>VÄSTERVIK</t>
        </is>
      </c>
      <c r="G137" t="n">
        <v>2.3</v>
      </c>
      <c r="H137" t="n">
        <v>0</v>
      </c>
      <c r="I137" t="n">
        <v>0</v>
      </c>
      <c r="J137" t="n">
        <v>2</v>
      </c>
      <c r="K137" t="n">
        <v>0</v>
      </c>
      <c r="L137" t="n">
        <v>0</v>
      </c>
      <c r="M137" t="n">
        <v>0</v>
      </c>
      <c r="N137" t="n">
        <v>0</v>
      </c>
      <c r="O137" t="n">
        <v>2</v>
      </c>
      <c r="P137" t="n">
        <v>0</v>
      </c>
      <c r="Q137" t="n">
        <v>2</v>
      </c>
      <c r="R137" s="2" t="inlineStr">
        <is>
          <t>Bredbrämad bastardsvärmare
Smalsprötad bastardsvärmare</t>
        </is>
      </c>
      <c r="S137">
        <f>HYPERLINK("https://klasma.github.io/Logging_0883/artfynd/A 61804-2023 artfynd.xlsx", "A 61804-2023")</f>
        <v/>
      </c>
      <c r="T137">
        <f>HYPERLINK("https://klasma.github.io/Logging_0883/kartor/A 61804-2023 karta.png", "A 61804-2023")</f>
        <v/>
      </c>
      <c r="V137">
        <f>HYPERLINK("https://klasma.github.io/Logging_0883/klagomål/A 61804-2023 FSC-klagomål.docx", "A 61804-2023")</f>
        <v/>
      </c>
      <c r="W137">
        <f>HYPERLINK("https://klasma.github.io/Logging_0883/klagomålsmail/A 61804-2023 FSC-klagomål mail.docx", "A 61804-2023")</f>
        <v/>
      </c>
      <c r="X137">
        <f>HYPERLINK("https://klasma.github.io/Logging_0883/tillsyn/A 61804-2023 tillsynsbegäran.docx", "A 61804-2023")</f>
        <v/>
      </c>
      <c r="Y137">
        <f>HYPERLINK("https://klasma.github.io/Logging_0883/tillsynsmail/A 61804-2023 tillsynsbegäran mail.docx", "A 61804-2023")</f>
        <v/>
      </c>
    </row>
    <row r="138" ht="15" customHeight="1">
      <c r="A138" t="inlineStr">
        <is>
          <t>A 2126-2024</t>
        </is>
      </c>
      <c r="B138" s="1" t="n">
        <v>45309</v>
      </c>
      <c r="C138" s="1" t="n">
        <v>45975</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25439-2021</t>
        </is>
      </c>
      <c r="B139" s="1" t="n">
        <v>44342</v>
      </c>
      <c r="C139" s="1" t="n">
        <v>45975</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2515-2023</t>
        </is>
      </c>
      <c r="B140" s="1" t="n">
        <v>44943</v>
      </c>
      <c r="C140" s="1" t="n">
        <v>45975</v>
      </c>
      <c r="D140" t="inlineStr">
        <is>
          <t>KALMAR LÄN</t>
        </is>
      </c>
      <c r="E140" t="inlineStr">
        <is>
          <t>VÄSTERVIK</t>
        </is>
      </c>
      <c r="G140" t="n">
        <v>1.3</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2515-2023 artfynd.xlsx", "A 2515-2023")</f>
        <v/>
      </c>
      <c r="T140">
        <f>HYPERLINK("https://klasma.github.io/Logging_0883/kartor/A 2515-2023 karta.png", "A 2515-2023")</f>
        <v/>
      </c>
      <c r="U140">
        <f>HYPERLINK("https://klasma.github.io/Logging_0883/knärot/A 2515-2023 karta knärot.png", "A 2515-2023")</f>
        <v/>
      </c>
      <c r="V140">
        <f>HYPERLINK("https://klasma.github.io/Logging_0883/klagomål/A 2515-2023 FSC-klagomål.docx", "A 2515-2023")</f>
        <v/>
      </c>
      <c r="W140">
        <f>HYPERLINK("https://klasma.github.io/Logging_0883/klagomålsmail/A 2515-2023 FSC-klagomål mail.docx", "A 2515-2023")</f>
        <v/>
      </c>
      <c r="X140">
        <f>HYPERLINK("https://klasma.github.io/Logging_0883/tillsyn/A 2515-2023 tillsynsbegäran.docx", "A 2515-2023")</f>
        <v/>
      </c>
      <c r="Y140">
        <f>HYPERLINK("https://klasma.github.io/Logging_0883/tillsynsmail/A 2515-2023 tillsynsbegäran mail.docx", "A 2515-2023")</f>
        <v/>
      </c>
    </row>
    <row r="141" ht="15" customHeight="1">
      <c r="A141" t="inlineStr">
        <is>
          <t>A 56857-2023</t>
        </is>
      </c>
      <c r="B141" s="1" t="n">
        <v>45244</v>
      </c>
      <c r="C141" s="1" t="n">
        <v>45975</v>
      </c>
      <c r="D141" t="inlineStr">
        <is>
          <t>KALMAR LÄN</t>
        </is>
      </c>
      <c r="E141" t="inlineStr">
        <is>
          <t>VÄSTERVIK</t>
        </is>
      </c>
      <c r="F141" t="inlineStr">
        <is>
          <t>Kyrkan</t>
        </is>
      </c>
      <c r="G141" t="n">
        <v>7.5</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56857-2023 artfynd.xlsx", "A 56857-2023")</f>
        <v/>
      </c>
      <c r="T141">
        <f>HYPERLINK("https://klasma.github.io/Logging_0883/kartor/A 56857-2023 karta.png", "A 56857-2023")</f>
        <v/>
      </c>
      <c r="U141">
        <f>HYPERLINK("https://klasma.github.io/Logging_0883/knärot/A 56857-2023 karta knärot.png", "A 56857-2023")</f>
        <v/>
      </c>
      <c r="V141">
        <f>HYPERLINK("https://klasma.github.io/Logging_0883/klagomål/A 56857-2023 FSC-klagomål.docx", "A 56857-2023")</f>
        <v/>
      </c>
      <c r="W141">
        <f>HYPERLINK("https://klasma.github.io/Logging_0883/klagomålsmail/A 56857-2023 FSC-klagomål mail.docx", "A 56857-2023")</f>
        <v/>
      </c>
      <c r="X141">
        <f>HYPERLINK("https://klasma.github.io/Logging_0883/tillsyn/A 56857-2023 tillsynsbegäran.docx", "A 56857-2023")</f>
        <v/>
      </c>
      <c r="Y141">
        <f>HYPERLINK("https://klasma.github.io/Logging_0883/tillsynsmail/A 56857-2023 tillsynsbegäran mail.docx", "A 56857-2023")</f>
        <v/>
      </c>
    </row>
    <row r="142" ht="15" customHeight="1">
      <c r="A142" t="inlineStr">
        <is>
          <t>A 35236-2024</t>
        </is>
      </c>
      <c r="B142" s="1" t="n">
        <v>45530.54184027778</v>
      </c>
      <c r="C142" s="1" t="n">
        <v>45975</v>
      </c>
      <c r="D142" t="inlineStr">
        <is>
          <t>KALMAR LÄN</t>
        </is>
      </c>
      <c r="E142" t="inlineStr">
        <is>
          <t>VÄSTERVIK</t>
        </is>
      </c>
      <c r="G142" t="n">
        <v>0.9</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35236-2024 artfynd.xlsx", "A 35236-2024")</f>
        <v/>
      </c>
      <c r="T142">
        <f>HYPERLINK("https://klasma.github.io/Logging_0883/kartor/A 35236-2024 karta.png", "A 35236-2024")</f>
        <v/>
      </c>
      <c r="U142">
        <f>HYPERLINK("https://klasma.github.io/Logging_0883/knärot/A 35236-2024 karta knärot.png", "A 35236-2024")</f>
        <v/>
      </c>
      <c r="V142">
        <f>HYPERLINK("https://klasma.github.io/Logging_0883/klagomål/A 35236-2024 FSC-klagomål.docx", "A 35236-2024")</f>
        <v/>
      </c>
      <c r="W142">
        <f>HYPERLINK("https://klasma.github.io/Logging_0883/klagomålsmail/A 35236-2024 FSC-klagomål mail.docx", "A 35236-2024")</f>
        <v/>
      </c>
      <c r="X142">
        <f>HYPERLINK("https://klasma.github.io/Logging_0883/tillsyn/A 35236-2024 tillsynsbegäran.docx", "A 35236-2024")</f>
        <v/>
      </c>
      <c r="Y142">
        <f>HYPERLINK("https://klasma.github.io/Logging_0883/tillsynsmail/A 35236-2024 tillsynsbegäran mail.docx", "A 35236-2024")</f>
        <v/>
      </c>
    </row>
    <row r="143" ht="15" customHeight="1">
      <c r="A143" t="inlineStr">
        <is>
          <t>A 38373-2022</t>
        </is>
      </c>
      <c r="B143" s="1" t="n">
        <v>44812</v>
      </c>
      <c r="C143" s="1" t="n">
        <v>45975</v>
      </c>
      <c r="D143" t="inlineStr">
        <is>
          <t>KALMAR LÄN</t>
        </is>
      </c>
      <c r="E143" t="inlineStr">
        <is>
          <t>VÄSTERVIK</t>
        </is>
      </c>
      <c r="G143" t="n">
        <v>3.1</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38373-2022 artfynd.xlsx", "A 38373-2022")</f>
        <v/>
      </c>
      <c r="T143">
        <f>HYPERLINK("https://klasma.github.io/Logging_0883/kartor/A 38373-2022 karta.png", "A 38373-2022")</f>
        <v/>
      </c>
      <c r="U143">
        <f>HYPERLINK("https://klasma.github.io/Logging_0883/knärot/A 38373-2022 karta knärot.png", "A 38373-2022")</f>
        <v/>
      </c>
      <c r="V143">
        <f>HYPERLINK("https://klasma.github.io/Logging_0883/klagomål/A 38373-2022 FSC-klagomål.docx", "A 38373-2022")</f>
        <v/>
      </c>
      <c r="W143">
        <f>HYPERLINK("https://klasma.github.io/Logging_0883/klagomålsmail/A 38373-2022 FSC-klagomål mail.docx", "A 38373-2022")</f>
        <v/>
      </c>
      <c r="X143">
        <f>HYPERLINK("https://klasma.github.io/Logging_0883/tillsyn/A 38373-2022 tillsynsbegäran.docx", "A 38373-2022")</f>
        <v/>
      </c>
      <c r="Y143">
        <f>HYPERLINK("https://klasma.github.io/Logging_0883/tillsynsmail/A 38373-2022 tillsynsbegäran mail.docx", "A 38373-2022")</f>
        <v/>
      </c>
    </row>
    <row r="144" ht="15" customHeight="1">
      <c r="A144" t="inlineStr">
        <is>
          <t>A 958-2025</t>
        </is>
      </c>
      <c r="B144" s="1" t="n">
        <v>45666</v>
      </c>
      <c r="C144" s="1" t="n">
        <v>45975</v>
      </c>
      <c r="D144" t="inlineStr">
        <is>
          <t>KALMAR LÄN</t>
        </is>
      </c>
      <c r="E144" t="inlineStr">
        <is>
          <t>VÄSTERVIK</t>
        </is>
      </c>
      <c r="G144" t="n">
        <v>2.8</v>
      </c>
      <c r="H144" t="n">
        <v>1</v>
      </c>
      <c r="I144" t="n">
        <v>0</v>
      </c>
      <c r="J144" t="n">
        <v>2</v>
      </c>
      <c r="K144" t="n">
        <v>0</v>
      </c>
      <c r="L144" t="n">
        <v>0</v>
      </c>
      <c r="M144" t="n">
        <v>0</v>
      </c>
      <c r="N144" t="n">
        <v>0</v>
      </c>
      <c r="O144" t="n">
        <v>2</v>
      </c>
      <c r="P144" t="n">
        <v>0</v>
      </c>
      <c r="Q144" t="n">
        <v>2</v>
      </c>
      <c r="R144" s="2" t="inlineStr">
        <is>
          <t>Orange taggsvamp
Spillkråka</t>
        </is>
      </c>
      <c r="S144">
        <f>HYPERLINK("https://klasma.github.io/Logging_0883/artfynd/A 958-2025 artfynd.xlsx", "A 958-2025")</f>
        <v/>
      </c>
      <c r="T144">
        <f>HYPERLINK("https://klasma.github.io/Logging_0883/kartor/A 958-2025 karta.png", "A 958-2025")</f>
        <v/>
      </c>
      <c r="V144">
        <f>HYPERLINK("https://klasma.github.io/Logging_0883/klagomål/A 958-2025 FSC-klagomål.docx", "A 958-2025")</f>
        <v/>
      </c>
      <c r="W144">
        <f>HYPERLINK("https://klasma.github.io/Logging_0883/klagomålsmail/A 958-2025 FSC-klagomål mail.docx", "A 958-2025")</f>
        <v/>
      </c>
      <c r="X144">
        <f>HYPERLINK("https://klasma.github.io/Logging_0883/tillsyn/A 958-2025 tillsynsbegäran.docx", "A 958-2025")</f>
        <v/>
      </c>
      <c r="Y144">
        <f>HYPERLINK("https://klasma.github.io/Logging_0883/tillsynsmail/A 958-2025 tillsynsbegäran mail.docx", "A 958-2025")</f>
        <v/>
      </c>
      <c r="Z144">
        <f>HYPERLINK("https://klasma.github.io/Logging_0883/fåglar/A 958-2025 prioriterade fågelarter.docx", "A 958-2025")</f>
        <v/>
      </c>
    </row>
    <row r="145" ht="15" customHeight="1">
      <c r="A145" t="inlineStr">
        <is>
          <t>A 62008-2023</t>
        </is>
      </c>
      <c r="B145" s="1" t="n">
        <v>45266</v>
      </c>
      <c r="C145" s="1" t="n">
        <v>45975</v>
      </c>
      <c r="D145" t="inlineStr">
        <is>
          <t>KALMAR LÄN</t>
        </is>
      </c>
      <c r="E145" t="inlineStr">
        <is>
          <t>VÄSTERVIK</t>
        </is>
      </c>
      <c r="G145" t="n">
        <v>4</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62008-2023 artfynd.xlsx", "A 62008-2023")</f>
        <v/>
      </c>
      <c r="T145">
        <f>HYPERLINK("https://klasma.github.io/Logging_0883/kartor/A 62008-2023 karta.png", "A 62008-2023")</f>
        <v/>
      </c>
      <c r="U145">
        <f>HYPERLINK("https://klasma.github.io/Logging_0883/knärot/A 62008-2023 karta knärot.png", "A 62008-2023")</f>
        <v/>
      </c>
      <c r="V145">
        <f>HYPERLINK("https://klasma.github.io/Logging_0883/klagomål/A 62008-2023 FSC-klagomål.docx", "A 62008-2023")</f>
        <v/>
      </c>
      <c r="W145">
        <f>HYPERLINK("https://klasma.github.io/Logging_0883/klagomålsmail/A 62008-2023 FSC-klagomål mail.docx", "A 62008-2023")</f>
        <v/>
      </c>
      <c r="X145">
        <f>HYPERLINK("https://klasma.github.io/Logging_0883/tillsyn/A 62008-2023 tillsynsbegäran.docx", "A 62008-2023")</f>
        <v/>
      </c>
      <c r="Y145">
        <f>HYPERLINK("https://klasma.github.io/Logging_0883/tillsynsmail/A 62008-2023 tillsynsbegäran mail.docx", "A 62008-2023")</f>
        <v/>
      </c>
      <c r="Z145">
        <f>HYPERLINK("https://klasma.github.io/Logging_0883/fåglar/A 62008-2023 prioriterade fågelarter.docx", "A 62008-2023")</f>
        <v/>
      </c>
    </row>
    <row r="146" ht="15" customHeight="1">
      <c r="A146" t="inlineStr">
        <is>
          <t>A 25435-2023</t>
        </is>
      </c>
      <c r="B146" s="1" t="n">
        <v>45089</v>
      </c>
      <c r="C146" s="1" t="n">
        <v>45975</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33687-2025</t>
        </is>
      </c>
      <c r="B147" s="1" t="n">
        <v>45841.69072916666</v>
      </c>
      <c r="C147" s="1" t="n">
        <v>45975</v>
      </c>
      <c r="D147" t="inlineStr">
        <is>
          <t>KALMAR LÄN</t>
        </is>
      </c>
      <c r="E147" t="inlineStr">
        <is>
          <t>VÄSTERVIK</t>
        </is>
      </c>
      <c r="G147" t="n">
        <v>1.7</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33687-2025 artfynd.xlsx", "A 33687-2025")</f>
        <v/>
      </c>
      <c r="T147">
        <f>HYPERLINK("https://klasma.github.io/Logging_0883/kartor/A 33687-2025 karta.png", "A 33687-2025")</f>
        <v/>
      </c>
      <c r="U147">
        <f>HYPERLINK("https://klasma.github.io/Logging_0883/knärot/A 33687-2025 karta knärot.png", "A 33687-2025")</f>
        <v/>
      </c>
      <c r="V147">
        <f>HYPERLINK("https://klasma.github.io/Logging_0883/klagomål/A 33687-2025 FSC-klagomål.docx", "A 33687-2025")</f>
        <v/>
      </c>
      <c r="W147">
        <f>HYPERLINK("https://klasma.github.io/Logging_0883/klagomålsmail/A 33687-2025 FSC-klagomål mail.docx", "A 33687-2025")</f>
        <v/>
      </c>
      <c r="X147">
        <f>HYPERLINK("https://klasma.github.io/Logging_0883/tillsyn/A 33687-2025 tillsynsbegäran.docx", "A 33687-2025")</f>
        <v/>
      </c>
      <c r="Y147">
        <f>HYPERLINK("https://klasma.github.io/Logging_0883/tillsynsmail/A 33687-2025 tillsynsbegäran mail.docx", "A 33687-2025")</f>
        <v/>
      </c>
      <c r="Z147">
        <f>HYPERLINK("https://klasma.github.io/Logging_0883/fåglar/A 33687-2025 prioriterade fågelarter.docx", "A 33687-2025")</f>
        <v/>
      </c>
    </row>
    <row r="148" ht="15" customHeight="1">
      <c r="A148" t="inlineStr">
        <is>
          <t>A 49414-2025</t>
        </is>
      </c>
      <c r="B148" s="1" t="n">
        <v>45938.68725694445</v>
      </c>
      <c r="C148" s="1" t="n">
        <v>45975</v>
      </c>
      <c r="D148" t="inlineStr">
        <is>
          <t>KALMAR LÄN</t>
        </is>
      </c>
      <c r="E148" t="inlineStr">
        <is>
          <t>VÄSTERVIK</t>
        </is>
      </c>
      <c r="G148" t="n">
        <v>1.3</v>
      </c>
      <c r="H148" t="n">
        <v>2</v>
      </c>
      <c r="I148" t="n">
        <v>0</v>
      </c>
      <c r="J148" t="n">
        <v>1</v>
      </c>
      <c r="K148" t="n">
        <v>0</v>
      </c>
      <c r="L148" t="n">
        <v>0</v>
      </c>
      <c r="M148" t="n">
        <v>0</v>
      </c>
      <c r="N148" t="n">
        <v>0</v>
      </c>
      <c r="O148" t="n">
        <v>1</v>
      </c>
      <c r="P148" t="n">
        <v>0</v>
      </c>
      <c r="Q148" t="n">
        <v>2</v>
      </c>
      <c r="R148" s="2" t="inlineStr">
        <is>
          <t>Spillkråka
Revlummer</t>
        </is>
      </c>
      <c r="S148">
        <f>HYPERLINK("https://klasma.github.io/Logging_0883/artfynd/A 49414-2025 artfynd.xlsx", "A 49414-2025")</f>
        <v/>
      </c>
      <c r="T148">
        <f>HYPERLINK("https://klasma.github.io/Logging_0883/kartor/A 49414-2025 karta.png", "A 49414-2025")</f>
        <v/>
      </c>
      <c r="V148">
        <f>HYPERLINK("https://klasma.github.io/Logging_0883/klagomål/A 49414-2025 FSC-klagomål.docx", "A 49414-2025")</f>
        <v/>
      </c>
      <c r="W148">
        <f>HYPERLINK("https://klasma.github.io/Logging_0883/klagomålsmail/A 49414-2025 FSC-klagomål mail.docx", "A 49414-2025")</f>
        <v/>
      </c>
      <c r="X148">
        <f>HYPERLINK("https://klasma.github.io/Logging_0883/tillsyn/A 49414-2025 tillsynsbegäran.docx", "A 49414-2025")</f>
        <v/>
      </c>
      <c r="Y148">
        <f>HYPERLINK("https://klasma.github.io/Logging_0883/tillsynsmail/A 49414-2025 tillsynsbegäran mail.docx", "A 49414-2025")</f>
        <v/>
      </c>
      <c r="Z148">
        <f>HYPERLINK("https://klasma.github.io/Logging_0883/fåglar/A 49414-2025 prioriterade fågelarter.docx", "A 49414-2025")</f>
        <v/>
      </c>
    </row>
    <row r="149" ht="15" customHeight="1">
      <c r="A149" t="inlineStr">
        <is>
          <t>A 48892-2025</t>
        </is>
      </c>
      <c r="B149" s="1" t="n">
        <v>45937.47267361111</v>
      </c>
      <c r="C149" s="1" t="n">
        <v>45975</v>
      </c>
      <c r="D149" t="inlineStr">
        <is>
          <t>KALMAR LÄN</t>
        </is>
      </c>
      <c r="E149" t="inlineStr">
        <is>
          <t>VÄSTERVIK</t>
        </is>
      </c>
      <c r="F149" t="inlineStr">
        <is>
          <t>Sveaskog</t>
        </is>
      </c>
      <c r="G149" t="n">
        <v>1.4</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48892-2025 artfynd.xlsx", "A 48892-2025")</f>
        <v/>
      </c>
      <c r="T149">
        <f>HYPERLINK("https://klasma.github.io/Logging_0883/kartor/A 48892-2025 karta.png", "A 48892-2025")</f>
        <v/>
      </c>
      <c r="V149">
        <f>HYPERLINK("https://klasma.github.io/Logging_0883/klagomål/A 48892-2025 FSC-klagomål.docx", "A 48892-2025")</f>
        <v/>
      </c>
      <c r="W149">
        <f>HYPERLINK("https://klasma.github.io/Logging_0883/klagomålsmail/A 48892-2025 FSC-klagomål mail.docx", "A 48892-2025")</f>
        <v/>
      </c>
      <c r="X149">
        <f>HYPERLINK("https://klasma.github.io/Logging_0883/tillsyn/A 48892-2025 tillsynsbegäran.docx", "A 48892-2025")</f>
        <v/>
      </c>
      <c r="Y149">
        <f>HYPERLINK("https://klasma.github.io/Logging_0883/tillsynsmail/A 48892-2025 tillsynsbegäran mail.docx", "A 48892-2025")</f>
        <v/>
      </c>
    </row>
    <row r="150" ht="15" customHeight="1">
      <c r="A150" t="inlineStr">
        <is>
          <t>A 48877-2025</t>
        </is>
      </c>
      <c r="B150" s="1" t="n">
        <v>45937.4565162037</v>
      </c>
      <c r="C150" s="1" t="n">
        <v>45975</v>
      </c>
      <c r="D150" t="inlineStr">
        <is>
          <t>KALMAR LÄN</t>
        </is>
      </c>
      <c r="E150" t="inlineStr">
        <is>
          <t>VÄSTERVIK</t>
        </is>
      </c>
      <c r="F150" t="inlineStr">
        <is>
          <t>Sveaskog</t>
        </is>
      </c>
      <c r="G150" t="n">
        <v>1.9</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48877-2025 artfynd.xlsx", "A 48877-2025")</f>
        <v/>
      </c>
      <c r="T150">
        <f>HYPERLINK("https://klasma.github.io/Logging_0883/kartor/A 48877-2025 karta.png", "A 48877-2025")</f>
        <v/>
      </c>
      <c r="V150">
        <f>HYPERLINK("https://klasma.github.io/Logging_0883/klagomål/A 48877-2025 FSC-klagomål.docx", "A 48877-2025")</f>
        <v/>
      </c>
      <c r="W150">
        <f>HYPERLINK("https://klasma.github.io/Logging_0883/klagomålsmail/A 48877-2025 FSC-klagomål mail.docx", "A 48877-2025")</f>
        <v/>
      </c>
      <c r="X150">
        <f>HYPERLINK("https://klasma.github.io/Logging_0883/tillsyn/A 48877-2025 tillsynsbegäran.docx", "A 48877-2025")</f>
        <v/>
      </c>
      <c r="Y150">
        <f>HYPERLINK("https://klasma.github.io/Logging_0883/tillsynsmail/A 48877-2025 tillsynsbegäran mail.docx", "A 48877-2025")</f>
        <v/>
      </c>
    </row>
    <row r="151" ht="15" customHeight="1">
      <c r="A151" t="inlineStr">
        <is>
          <t>A 14090-2025</t>
        </is>
      </c>
      <c r="B151" s="1" t="n">
        <v>45740.44487268518</v>
      </c>
      <c r="C151" s="1" t="n">
        <v>45975</v>
      </c>
      <c r="D151" t="inlineStr">
        <is>
          <t>KALMAR LÄN</t>
        </is>
      </c>
      <c r="E151" t="inlineStr">
        <is>
          <t>VÄSTERVIK</t>
        </is>
      </c>
      <c r="F151" t="inlineStr">
        <is>
          <t>Sveaskog</t>
        </is>
      </c>
      <c r="G151" t="n">
        <v>1</v>
      </c>
      <c r="H151" t="n">
        <v>2</v>
      </c>
      <c r="I151" t="n">
        <v>0</v>
      </c>
      <c r="J151" t="n">
        <v>1</v>
      </c>
      <c r="K151" t="n">
        <v>0</v>
      </c>
      <c r="L151" t="n">
        <v>0</v>
      </c>
      <c r="M151" t="n">
        <v>0</v>
      </c>
      <c r="N151" t="n">
        <v>0</v>
      </c>
      <c r="O151" t="n">
        <v>1</v>
      </c>
      <c r="P151" t="n">
        <v>0</v>
      </c>
      <c r="Q151" t="n">
        <v>2</v>
      </c>
      <c r="R151" s="2" t="inlineStr">
        <is>
          <t>Grönsångare
Åkergroda</t>
        </is>
      </c>
      <c r="S151">
        <f>HYPERLINK("https://klasma.github.io/Logging_0883/artfynd/A 14090-2025 artfynd.xlsx", "A 14090-2025")</f>
        <v/>
      </c>
      <c r="T151">
        <f>HYPERLINK("https://klasma.github.io/Logging_0883/kartor/A 14090-2025 karta.png", "A 14090-2025")</f>
        <v/>
      </c>
      <c r="V151">
        <f>HYPERLINK("https://klasma.github.io/Logging_0883/klagomål/A 14090-2025 FSC-klagomål.docx", "A 14090-2025")</f>
        <v/>
      </c>
      <c r="W151">
        <f>HYPERLINK("https://klasma.github.io/Logging_0883/klagomålsmail/A 14090-2025 FSC-klagomål mail.docx", "A 14090-2025")</f>
        <v/>
      </c>
      <c r="X151">
        <f>HYPERLINK("https://klasma.github.io/Logging_0883/tillsyn/A 14090-2025 tillsynsbegäran.docx", "A 14090-2025")</f>
        <v/>
      </c>
      <c r="Y151">
        <f>HYPERLINK("https://klasma.github.io/Logging_0883/tillsynsmail/A 14090-2025 tillsynsbegäran mail.docx", "A 14090-2025")</f>
        <v/>
      </c>
      <c r="Z151">
        <f>HYPERLINK("https://klasma.github.io/Logging_0883/fåglar/A 14090-2025 prioriterade fågelarter.docx", "A 14090-2025")</f>
        <v/>
      </c>
    </row>
    <row r="152" ht="15" customHeight="1">
      <c r="A152" t="inlineStr">
        <is>
          <t>A 25145-2022</t>
        </is>
      </c>
      <c r="B152" s="1" t="n">
        <v>44729</v>
      </c>
      <c r="C152" s="1" t="n">
        <v>45975</v>
      </c>
      <c r="D152" t="inlineStr">
        <is>
          <t>KALMAR LÄN</t>
        </is>
      </c>
      <c r="E152" t="inlineStr">
        <is>
          <t>VÄSTERVIK</t>
        </is>
      </c>
      <c r="G152" t="n">
        <v>1.3</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25145-2022 artfynd.xlsx", "A 25145-2022")</f>
        <v/>
      </c>
      <c r="T152">
        <f>HYPERLINK("https://klasma.github.io/Logging_0883/kartor/A 25145-2022 karta.png", "A 25145-2022")</f>
        <v/>
      </c>
      <c r="U152">
        <f>HYPERLINK("https://klasma.github.io/Logging_0883/knärot/A 25145-2022 karta knärot.png", "A 25145-2022")</f>
        <v/>
      </c>
      <c r="V152">
        <f>HYPERLINK("https://klasma.github.io/Logging_0883/klagomål/A 25145-2022 FSC-klagomål.docx", "A 25145-2022")</f>
        <v/>
      </c>
      <c r="W152">
        <f>HYPERLINK("https://klasma.github.io/Logging_0883/klagomålsmail/A 25145-2022 FSC-klagomål mail.docx", "A 25145-2022")</f>
        <v/>
      </c>
      <c r="X152">
        <f>HYPERLINK("https://klasma.github.io/Logging_0883/tillsyn/A 25145-2022 tillsynsbegäran.docx", "A 25145-2022")</f>
        <v/>
      </c>
      <c r="Y152">
        <f>HYPERLINK("https://klasma.github.io/Logging_0883/tillsynsmail/A 25145-2022 tillsynsbegäran mail.docx", "A 25145-2022")</f>
        <v/>
      </c>
    </row>
    <row r="153" ht="15" customHeight="1">
      <c r="A153" t="inlineStr">
        <is>
          <t>A 28401-2024</t>
        </is>
      </c>
      <c r="B153" s="1" t="n">
        <v>45477</v>
      </c>
      <c r="C153" s="1" t="n">
        <v>45975</v>
      </c>
      <c r="D153" t="inlineStr">
        <is>
          <t>KALMAR LÄN</t>
        </is>
      </c>
      <c r="E153" t="inlineStr">
        <is>
          <t>VÄSTERVIK</t>
        </is>
      </c>
      <c r="F153" t="inlineStr">
        <is>
          <t>Holmen skog AB</t>
        </is>
      </c>
      <c r="G153" t="n">
        <v>2.4</v>
      </c>
      <c r="H153" t="n">
        <v>2</v>
      </c>
      <c r="I153" t="n">
        <v>0</v>
      </c>
      <c r="J153" t="n">
        <v>1</v>
      </c>
      <c r="K153" t="n">
        <v>0</v>
      </c>
      <c r="L153" t="n">
        <v>0</v>
      </c>
      <c r="M153" t="n">
        <v>0</v>
      </c>
      <c r="N153" t="n">
        <v>0</v>
      </c>
      <c r="O153" t="n">
        <v>1</v>
      </c>
      <c r="P153" t="n">
        <v>0</v>
      </c>
      <c r="Q153" t="n">
        <v>2</v>
      </c>
      <c r="R153" s="2" t="inlineStr">
        <is>
          <t>Talltita
Revlummer</t>
        </is>
      </c>
      <c r="S153">
        <f>HYPERLINK("https://klasma.github.io/Logging_0883/artfynd/A 28401-2024 artfynd.xlsx", "A 28401-2024")</f>
        <v/>
      </c>
      <c r="T153">
        <f>HYPERLINK("https://klasma.github.io/Logging_0883/kartor/A 28401-2024 karta.png", "A 28401-2024")</f>
        <v/>
      </c>
      <c r="V153">
        <f>HYPERLINK("https://klasma.github.io/Logging_0883/klagomål/A 28401-2024 FSC-klagomål.docx", "A 28401-2024")</f>
        <v/>
      </c>
      <c r="W153">
        <f>HYPERLINK("https://klasma.github.io/Logging_0883/klagomålsmail/A 28401-2024 FSC-klagomål mail.docx", "A 28401-2024")</f>
        <v/>
      </c>
      <c r="X153">
        <f>HYPERLINK("https://klasma.github.io/Logging_0883/tillsyn/A 28401-2024 tillsynsbegäran.docx", "A 28401-2024")</f>
        <v/>
      </c>
      <c r="Y153">
        <f>HYPERLINK("https://klasma.github.io/Logging_0883/tillsynsmail/A 28401-2024 tillsynsbegäran mail.docx", "A 28401-2024")</f>
        <v/>
      </c>
      <c r="Z153">
        <f>HYPERLINK("https://klasma.github.io/Logging_0883/fåglar/A 28401-2024 prioriterade fågelarter.docx", "A 28401-2024")</f>
        <v/>
      </c>
    </row>
    <row r="154" ht="15" customHeight="1">
      <c r="A154" t="inlineStr">
        <is>
          <t>A 16700-2025</t>
        </is>
      </c>
      <c r="B154" s="1" t="n">
        <v>45754.46833333333</v>
      </c>
      <c r="C154" s="1" t="n">
        <v>45975</v>
      </c>
      <c r="D154" t="inlineStr">
        <is>
          <t>KALMAR LÄN</t>
        </is>
      </c>
      <c r="E154" t="inlineStr">
        <is>
          <t>VÄSTERVIK</t>
        </is>
      </c>
      <c r="F154" t="inlineStr">
        <is>
          <t>Sveaskog</t>
        </is>
      </c>
      <c r="G154" t="n">
        <v>1.7</v>
      </c>
      <c r="H154" t="n">
        <v>2</v>
      </c>
      <c r="I154" t="n">
        <v>0</v>
      </c>
      <c r="J154" t="n">
        <v>1</v>
      </c>
      <c r="K154" t="n">
        <v>0</v>
      </c>
      <c r="L154" t="n">
        <v>0</v>
      </c>
      <c r="M154" t="n">
        <v>0</v>
      </c>
      <c r="N154" t="n">
        <v>0</v>
      </c>
      <c r="O154" t="n">
        <v>1</v>
      </c>
      <c r="P154" t="n">
        <v>0</v>
      </c>
      <c r="Q154" t="n">
        <v>2</v>
      </c>
      <c r="R154" s="2" t="inlineStr">
        <is>
          <t>Spillkråka
Kungsfågel</t>
        </is>
      </c>
      <c r="S154">
        <f>HYPERLINK("https://klasma.github.io/Logging_0883/artfynd/A 16700-2025 artfynd.xlsx", "A 16700-2025")</f>
        <v/>
      </c>
      <c r="T154">
        <f>HYPERLINK("https://klasma.github.io/Logging_0883/kartor/A 16700-2025 karta.png", "A 16700-2025")</f>
        <v/>
      </c>
      <c r="V154">
        <f>HYPERLINK("https://klasma.github.io/Logging_0883/klagomål/A 16700-2025 FSC-klagomål.docx", "A 16700-2025")</f>
        <v/>
      </c>
      <c r="W154">
        <f>HYPERLINK("https://klasma.github.io/Logging_0883/klagomålsmail/A 16700-2025 FSC-klagomål mail.docx", "A 16700-2025")</f>
        <v/>
      </c>
      <c r="X154">
        <f>HYPERLINK("https://klasma.github.io/Logging_0883/tillsyn/A 16700-2025 tillsynsbegäran.docx", "A 16700-2025")</f>
        <v/>
      </c>
      <c r="Y154">
        <f>HYPERLINK("https://klasma.github.io/Logging_0883/tillsynsmail/A 16700-2025 tillsynsbegäran mail.docx", "A 16700-2025")</f>
        <v/>
      </c>
      <c r="Z154">
        <f>HYPERLINK("https://klasma.github.io/Logging_0883/fåglar/A 16700-2025 prioriterade fågelarter.docx", "A 16700-2025")</f>
        <v/>
      </c>
    </row>
    <row r="155" ht="15" customHeight="1">
      <c r="A155" t="inlineStr">
        <is>
          <t>A 26992-2024</t>
        </is>
      </c>
      <c r="B155" s="1" t="n">
        <v>45471</v>
      </c>
      <c r="C155" s="1" t="n">
        <v>45975</v>
      </c>
      <c r="D155" t="inlineStr">
        <is>
          <t>KALMAR LÄN</t>
        </is>
      </c>
      <c r="E155" t="inlineStr">
        <is>
          <t>VÄSTERVIK</t>
        </is>
      </c>
      <c r="F155" t="inlineStr">
        <is>
          <t>Holmen skog AB</t>
        </is>
      </c>
      <c r="G155" t="n">
        <v>4.6</v>
      </c>
      <c r="H155" t="n">
        <v>2</v>
      </c>
      <c r="I155" t="n">
        <v>0</v>
      </c>
      <c r="J155" t="n">
        <v>2</v>
      </c>
      <c r="K155" t="n">
        <v>0</v>
      </c>
      <c r="L155" t="n">
        <v>0</v>
      </c>
      <c r="M155" t="n">
        <v>0</v>
      </c>
      <c r="N155" t="n">
        <v>0</v>
      </c>
      <c r="O155" t="n">
        <v>2</v>
      </c>
      <c r="P155" t="n">
        <v>0</v>
      </c>
      <c r="Q155" t="n">
        <v>2</v>
      </c>
      <c r="R155" s="2" t="inlineStr">
        <is>
          <t>Mindre hackspett
Talltita</t>
        </is>
      </c>
      <c r="S155">
        <f>HYPERLINK("https://klasma.github.io/Logging_0883/artfynd/A 26992-2024 artfynd.xlsx", "A 26992-2024")</f>
        <v/>
      </c>
      <c r="T155">
        <f>HYPERLINK("https://klasma.github.io/Logging_0883/kartor/A 26992-2024 karta.png", "A 26992-2024")</f>
        <v/>
      </c>
      <c r="V155">
        <f>HYPERLINK("https://klasma.github.io/Logging_0883/klagomål/A 26992-2024 FSC-klagomål.docx", "A 26992-2024")</f>
        <v/>
      </c>
      <c r="W155">
        <f>HYPERLINK("https://klasma.github.io/Logging_0883/klagomålsmail/A 26992-2024 FSC-klagomål mail.docx", "A 26992-2024")</f>
        <v/>
      </c>
      <c r="X155">
        <f>HYPERLINK("https://klasma.github.io/Logging_0883/tillsyn/A 26992-2024 tillsynsbegäran.docx", "A 26992-2024")</f>
        <v/>
      </c>
      <c r="Y155">
        <f>HYPERLINK("https://klasma.github.io/Logging_0883/tillsynsmail/A 26992-2024 tillsynsbegäran mail.docx", "A 26992-2024")</f>
        <v/>
      </c>
      <c r="Z155">
        <f>HYPERLINK("https://klasma.github.io/Logging_0883/fåglar/A 26992-2024 prioriterade fågelarter.docx", "A 26992-2024")</f>
        <v/>
      </c>
    </row>
    <row r="156" ht="15" customHeight="1">
      <c r="A156" t="inlineStr">
        <is>
          <t>A 14086-2025</t>
        </is>
      </c>
      <c r="B156" s="1" t="n">
        <v>45740.44130787037</v>
      </c>
      <c r="C156" s="1" t="n">
        <v>45975</v>
      </c>
      <c r="D156" t="inlineStr">
        <is>
          <t>KALMAR LÄN</t>
        </is>
      </c>
      <c r="E156" t="inlineStr">
        <is>
          <t>VÄSTERVIK</t>
        </is>
      </c>
      <c r="F156" t="inlineStr">
        <is>
          <t>Sveaskog</t>
        </is>
      </c>
      <c r="G156" t="n">
        <v>3.2</v>
      </c>
      <c r="H156" t="n">
        <v>1</v>
      </c>
      <c r="I156" t="n">
        <v>1</v>
      </c>
      <c r="J156" t="n">
        <v>0</v>
      </c>
      <c r="K156" t="n">
        <v>0</v>
      </c>
      <c r="L156" t="n">
        <v>0</v>
      </c>
      <c r="M156" t="n">
        <v>0</v>
      </c>
      <c r="N156" t="n">
        <v>0</v>
      </c>
      <c r="O156" t="n">
        <v>0</v>
      </c>
      <c r="P156" t="n">
        <v>0</v>
      </c>
      <c r="Q156" t="n">
        <v>2</v>
      </c>
      <c r="R156" s="2" t="inlineStr">
        <is>
          <t>Skogsbräsma
Åkergroda</t>
        </is>
      </c>
      <c r="S156">
        <f>HYPERLINK("https://klasma.github.io/Logging_0883/artfynd/A 14086-2025 artfynd.xlsx", "A 14086-2025")</f>
        <v/>
      </c>
      <c r="T156">
        <f>HYPERLINK("https://klasma.github.io/Logging_0883/kartor/A 14086-2025 karta.png", "A 14086-2025")</f>
        <v/>
      </c>
      <c r="V156">
        <f>HYPERLINK("https://klasma.github.io/Logging_0883/klagomål/A 14086-2025 FSC-klagomål.docx", "A 14086-2025")</f>
        <v/>
      </c>
      <c r="W156">
        <f>HYPERLINK("https://klasma.github.io/Logging_0883/klagomålsmail/A 14086-2025 FSC-klagomål mail.docx", "A 14086-2025")</f>
        <v/>
      </c>
      <c r="X156">
        <f>HYPERLINK("https://klasma.github.io/Logging_0883/tillsyn/A 14086-2025 tillsynsbegäran.docx", "A 14086-2025")</f>
        <v/>
      </c>
      <c r="Y156">
        <f>HYPERLINK("https://klasma.github.io/Logging_0883/tillsynsmail/A 14086-2025 tillsynsbegäran mail.docx", "A 14086-2025")</f>
        <v/>
      </c>
    </row>
    <row r="157" ht="15" customHeight="1">
      <c r="A157" t="inlineStr">
        <is>
          <t>A 14089-2025</t>
        </is>
      </c>
      <c r="B157" s="1" t="n">
        <v>45740.44363425926</v>
      </c>
      <c r="C157" s="1" t="n">
        <v>45975</v>
      </c>
      <c r="D157" t="inlineStr">
        <is>
          <t>KALMAR LÄN</t>
        </is>
      </c>
      <c r="E157" t="inlineStr">
        <is>
          <t>VÄSTERVIK</t>
        </is>
      </c>
      <c r="F157" t="inlineStr">
        <is>
          <t>Sveaskog</t>
        </is>
      </c>
      <c r="G157" t="n">
        <v>1.3</v>
      </c>
      <c r="H157" t="n">
        <v>2</v>
      </c>
      <c r="I157" t="n">
        <v>0</v>
      </c>
      <c r="J157" t="n">
        <v>2</v>
      </c>
      <c r="K157" t="n">
        <v>0</v>
      </c>
      <c r="L157" t="n">
        <v>0</v>
      </c>
      <c r="M157" t="n">
        <v>0</v>
      </c>
      <c r="N157" t="n">
        <v>0</v>
      </c>
      <c r="O157" t="n">
        <v>2</v>
      </c>
      <c r="P157" t="n">
        <v>0</v>
      </c>
      <c r="Q157" t="n">
        <v>2</v>
      </c>
      <c r="R157" s="2" t="inlineStr">
        <is>
          <t>Mindre hackspett
Spillkråka</t>
        </is>
      </c>
      <c r="S157">
        <f>HYPERLINK("https://klasma.github.io/Logging_0883/artfynd/A 14089-2025 artfynd.xlsx", "A 14089-2025")</f>
        <v/>
      </c>
      <c r="T157">
        <f>HYPERLINK("https://klasma.github.io/Logging_0883/kartor/A 14089-2025 karta.png", "A 14089-2025")</f>
        <v/>
      </c>
      <c r="V157">
        <f>HYPERLINK("https://klasma.github.io/Logging_0883/klagomål/A 14089-2025 FSC-klagomål.docx", "A 14089-2025")</f>
        <v/>
      </c>
      <c r="W157">
        <f>HYPERLINK("https://klasma.github.io/Logging_0883/klagomålsmail/A 14089-2025 FSC-klagomål mail.docx", "A 14089-2025")</f>
        <v/>
      </c>
      <c r="X157">
        <f>HYPERLINK("https://klasma.github.io/Logging_0883/tillsyn/A 14089-2025 tillsynsbegäran.docx", "A 14089-2025")</f>
        <v/>
      </c>
      <c r="Y157">
        <f>HYPERLINK("https://klasma.github.io/Logging_0883/tillsynsmail/A 14089-2025 tillsynsbegäran mail.docx", "A 14089-2025")</f>
        <v/>
      </c>
      <c r="Z157">
        <f>HYPERLINK("https://klasma.github.io/Logging_0883/fåglar/A 14089-2025 prioriterade fågelarter.docx", "A 14089-2025")</f>
        <v/>
      </c>
    </row>
    <row r="158" ht="15" customHeight="1">
      <c r="A158" t="inlineStr">
        <is>
          <t>A 47935-2023</t>
        </is>
      </c>
      <c r="B158" s="1" t="n">
        <v>45204</v>
      </c>
      <c r="C158" s="1" t="n">
        <v>45975</v>
      </c>
      <c r="D158" t="inlineStr">
        <is>
          <t>KALMAR LÄN</t>
        </is>
      </c>
      <c r="E158" t="inlineStr">
        <is>
          <t>VÄSTERVIK</t>
        </is>
      </c>
      <c r="G158" t="n">
        <v>4.3</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47935-2023 artfynd.xlsx", "A 47935-2023")</f>
        <v/>
      </c>
      <c r="T158">
        <f>HYPERLINK("https://klasma.github.io/Logging_0883/kartor/A 47935-2023 karta.png", "A 47935-2023")</f>
        <v/>
      </c>
      <c r="V158">
        <f>HYPERLINK("https://klasma.github.io/Logging_0883/klagomål/A 47935-2023 FSC-klagomål.docx", "A 47935-2023")</f>
        <v/>
      </c>
      <c r="W158">
        <f>HYPERLINK("https://klasma.github.io/Logging_0883/klagomålsmail/A 47935-2023 FSC-klagomål mail.docx", "A 47935-2023")</f>
        <v/>
      </c>
      <c r="X158">
        <f>HYPERLINK("https://klasma.github.io/Logging_0883/tillsyn/A 47935-2023 tillsynsbegäran.docx", "A 47935-2023")</f>
        <v/>
      </c>
      <c r="Y158">
        <f>HYPERLINK("https://klasma.github.io/Logging_0883/tillsynsmail/A 47935-2023 tillsynsbegäran mail.docx", "A 47935-2023")</f>
        <v/>
      </c>
    </row>
    <row r="159" ht="15" customHeight="1">
      <c r="A159" t="inlineStr">
        <is>
          <t>A 52723-2024</t>
        </is>
      </c>
      <c r="B159" s="1" t="n">
        <v>45610.44008101852</v>
      </c>
      <c r="C159" s="1" t="n">
        <v>45975</v>
      </c>
      <c r="D159" t="inlineStr">
        <is>
          <t>KALMAR LÄN</t>
        </is>
      </c>
      <c r="E159" t="inlineStr">
        <is>
          <t>VÄSTERVIK</t>
        </is>
      </c>
      <c r="F159" t="inlineStr">
        <is>
          <t>Holmen skog AB</t>
        </is>
      </c>
      <c r="G159" t="n">
        <v>6.5</v>
      </c>
      <c r="H159" t="n">
        <v>2</v>
      </c>
      <c r="I159" t="n">
        <v>1</v>
      </c>
      <c r="J159" t="n">
        <v>1</v>
      </c>
      <c r="K159" t="n">
        <v>0</v>
      </c>
      <c r="L159" t="n">
        <v>0</v>
      </c>
      <c r="M159" t="n">
        <v>0</v>
      </c>
      <c r="N159" t="n">
        <v>0</v>
      </c>
      <c r="O159" t="n">
        <v>1</v>
      </c>
      <c r="P159" t="n">
        <v>0</v>
      </c>
      <c r="Q159" t="n">
        <v>2</v>
      </c>
      <c r="R159" s="2" t="inlineStr">
        <is>
          <t>Talltita
Ekoxe</t>
        </is>
      </c>
      <c r="S159">
        <f>HYPERLINK("https://klasma.github.io/Logging_0883/artfynd/A 52723-2024 artfynd.xlsx", "A 52723-2024")</f>
        <v/>
      </c>
      <c r="T159">
        <f>HYPERLINK("https://klasma.github.io/Logging_0883/kartor/A 52723-2024 karta.png", "A 52723-2024")</f>
        <v/>
      </c>
      <c r="V159">
        <f>HYPERLINK("https://klasma.github.io/Logging_0883/klagomål/A 52723-2024 FSC-klagomål.docx", "A 52723-2024")</f>
        <v/>
      </c>
      <c r="W159">
        <f>HYPERLINK("https://klasma.github.io/Logging_0883/klagomålsmail/A 52723-2024 FSC-klagomål mail.docx", "A 52723-2024")</f>
        <v/>
      </c>
      <c r="X159">
        <f>HYPERLINK("https://klasma.github.io/Logging_0883/tillsyn/A 52723-2024 tillsynsbegäran.docx", "A 52723-2024")</f>
        <v/>
      </c>
      <c r="Y159">
        <f>HYPERLINK("https://klasma.github.io/Logging_0883/tillsynsmail/A 52723-2024 tillsynsbegäran mail.docx", "A 52723-2024")</f>
        <v/>
      </c>
      <c r="Z159">
        <f>HYPERLINK("https://klasma.github.io/Logging_0883/fåglar/A 52723-2024 prioriterade fågelarter.docx", "A 52723-2024")</f>
        <v/>
      </c>
    </row>
    <row r="160" ht="15" customHeight="1">
      <c r="A160" t="inlineStr">
        <is>
          <t>A 56036-2024</t>
        </is>
      </c>
      <c r="B160" s="1" t="n">
        <v>45624</v>
      </c>
      <c r="C160" s="1" t="n">
        <v>45975</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21081-2025</t>
        </is>
      </c>
      <c r="B161" s="1" t="n">
        <v>45777.60479166666</v>
      </c>
      <c r="C161" s="1" t="n">
        <v>45975</v>
      </c>
      <c r="D161" t="inlineStr">
        <is>
          <t>KALMAR LÄN</t>
        </is>
      </c>
      <c r="E161" t="inlineStr">
        <is>
          <t>VÄSTERVIK</t>
        </is>
      </c>
      <c r="G161" t="n">
        <v>1</v>
      </c>
      <c r="H161" t="n">
        <v>1</v>
      </c>
      <c r="I161" t="n">
        <v>0</v>
      </c>
      <c r="J161" t="n">
        <v>1</v>
      </c>
      <c r="K161" t="n">
        <v>1</v>
      </c>
      <c r="L161" t="n">
        <v>0</v>
      </c>
      <c r="M161" t="n">
        <v>0</v>
      </c>
      <c r="N161" t="n">
        <v>0</v>
      </c>
      <c r="O161" t="n">
        <v>2</v>
      </c>
      <c r="P161" t="n">
        <v>1</v>
      </c>
      <c r="Q161" t="n">
        <v>2</v>
      </c>
      <c r="R161" s="2" t="inlineStr">
        <is>
          <t>Knärot
Ullticka</t>
        </is>
      </c>
      <c r="S161">
        <f>HYPERLINK("https://klasma.github.io/Logging_0883/artfynd/A 21081-2025 artfynd.xlsx", "A 21081-2025")</f>
        <v/>
      </c>
      <c r="T161">
        <f>HYPERLINK("https://klasma.github.io/Logging_0883/kartor/A 21081-2025 karta.png", "A 21081-2025")</f>
        <v/>
      </c>
      <c r="U161">
        <f>HYPERLINK("https://klasma.github.io/Logging_0883/knärot/A 21081-2025 karta knärot.png", "A 21081-2025")</f>
        <v/>
      </c>
      <c r="V161">
        <f>HYPERLINK("https://klasma.github.io/Logging_0883/klagomål/A 21081-2025 FSC-klagomål.docx", "A 21081-2025")</f>
        <v/>
      </c>
      <c r="W161">
        <f>HYPERLINK("https://klasma.github.io/Logging_0883/klagomålsmail/A 21081-2025 FSC-klagomål mail.docx", "A 21081-2025")</f>
        <v/>
      </c>
      <c r="X161">
        <f>HYPERLINK("https://klasma.github.io/Logging_0883/tillsyn/A 21081-2025 tillsynsbegäran.docx", "A 21081-2025")</f>
        <v/>
      </c>
      <c r="Y161">
        <f>HYPERLINK("https://klasma.github.io/Logging_0883/tillsynsmail/A 21081-2025 tillsynsbegäran mail.docx", "A 21081-2025")</f>
        <v/>
      </c>
    </row>
    <row r="162" ht="15" customHeight="1">
      <c r="A162" t="inlineStr">
        <is>
          <t>A 50647-2025</t>
        </is>
      </c>
      <c r="B162" s="1" t="n">
        <v>45945.65792824074</v>
      </c>
      <c r="C162" s="1" t="n">
        <v>45975</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42900-2025</t>
        </is>
      </c>
      <c r="B163" s="1" t="n">
        <v>45908.67556712963</v>
      </c>
      <c r="C163" s="1" t="n">
        <v>45975</v>
      </c>
      <c r="D163" t="inlineStr">
        <is>
          <t>KALMAR LÄN</t>
        </is>
      </c>
      <c r="E163" t="inlineStr">
        <is>
          <t>VÄSTERVIK</t>
        </is>
      </c>
      <c r="F163" t="inlineStr">
        <is>
          <t>Holmen skog AB</t>
        </is>
      </c>
      <c r="G163" t="n">
        <v>2.6</v>
      </c>
      <c r="H163" t="n">
        <v>2</v>
      </c>
      <c r="I163" t="n">
        <v>0</v>
      </c>
      <c r="J163" t="n">
        <v>2</v>
      </c>
      <c r="K163" t="n">
        <v>0</v>
      </c>
      <c r="L163" t="n">
        <v>0</v>
      </c>
      <c r="M163" t="n">
        <v>0</v>
      </c>
      <c r="N163" t="n">
        <v>0</v>
      </c>
      <c r="O163" t="n">
        <v>2</v>
      </c>
      <c r="P163" t="n">
        <v>0</v>
      </c>
      <c r="Q163" t="n">
        <v>2</v>
      </c>
      <c r="R163" s="2" t="inlineStr">
        <is>
          <t>Havsörn
Spillkråka</t>
        </is>
      </c>
      <c r="S163">
        <f>HYPERLINK("https://klasma.github.io/Logging_0883/artfynd/A 42900-2025 artfynd.xlsx", "A 42900-2025")</f>
        <v/>
      </c>
      <c r="T163">
        <f>HYPERLINK("https://klasma.github.io/Logging_0883/kartor/A 42900-2025 karta.png", "A 42900-2025")</f>
        <v/>
      </c>
      <c r="V163">
        <f>HYPERLINK("https://klasma.github.io/Logging_0883/klagomål/A 42900-2025 FSC-klagomål.docx", "A 42900-2025")</f>
        <v/>
      </c>
      <c r="W163">
        <f>HYPERLINK("https://klasma.github.io/Logging_0883/klagomålsmail/A 42900-2025 FSC-klagomål mail.docx", "A 42900-2025")</f>
        <v/>
      </c>
      <c r="X163">
        <f>HYPERLINK("https://klasma.github.io/Logging_0883/tillsyn/A 42900-2025 tillsynsbegäran.docx", "A 42900-2025")</f>
        <v/>
      </c>
      <c r="Y163">
        <f>HYPERLINK("https://klasma.github.io/Logging_0883/tillsynsmail/A 42900-2025 tillsynsbegäran mail.docx", "A 42900-2025")</f>
        <v/>
      </c>
      <c r="Z163">
        <f>HYPERLINK("https://klasma.github.io/Logging_0883/fåglar/A 42900-2025 prioriterade fågelarter.docx", "A 42900-2025")</f>
        <v/>
      </c>
    </row>
    <row r="164" ht="15" customHeight="1">
      <c r="A164" t="inlineStr">
        <is>
          <t>A 932-2024</t>
        </is>
      </c>
      <c r="B164" s="1" t="n">
        <v>45301</v>
      </c>
      <c r="C164" s="1" t="n">
        <v>45975</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941-2024</t>
        </is>
      </c>
      <c r="B165" s="1" t="n">
        <v>45301</v>
      </c>
      <c r="C165" s="1" t="n">
        <v>45975</v>
      </c>
      <c r="D165" t="inlineStr">
        <is>
          <t>KALMAR LÄN</t>
        </is>
      </c>
      <c r="E165" t="inlineStr">
        <is>
          <t>VÄSTERVIK</t>
        </is>
      </c>
      <c r="G165" t="n">
        <v>2.7</v>
      </c>
      <c r="H165" t="n">
        <v>1</v>
      </c>
      <c r="I165" t="n">
        <v>0</v>
      </c>
      <c r="J165" t="n">
        <v>1</v>
      </c>
      <c r="K165" t="n">
        <v>1</v>
      </c>
      <c r="L165" t="n">
        <v>0</v>
      </c>
      <c r="M165" t="n">
        <v>0</v>
      </c>
      <c r="N165" t="n">
        <v>0</v>
      </c>
      <c r="O165" t="n">
        <v>2</v>
      </c>
      <c r="P165" t="n">
        <v>1</v>
      </c>
      <c r="Q165" t="n">
        <v>2</v>
      </c>
      <c r="R165" s="2" t="inlineStr">
        <is>
          <t>Knärot
Svinrot</t>
        </is>
      </c>
      <c r="S165">
        <f>HYPERLINK("https://klasma.github.io/Logging_0883/artfynd/A 941-2024 artfynd.xlsx", "A 941-2024")</f>
        <v/>
      </c>
      <c r="T165">
        <f>HYPERLINK("https://klasma.github.io/Logging_0883/kartor/A 941-2024 karta.png", "A 941-2024")</f>
        <v/>
      </c>
      <c r="U165">
        <f>HYPERLINK("https://klasma.github.io/Logging_0883/knärot/A 941-2024 karta knärot.png", "A 941-2024")</f>
        <v/>
      </c>
      <c r="V165">
        <f>HYPERLINK("https://klasma.github.io/Logging_0883/klagomål/A 941-2024 FSC-klagomål.docx", "A 941-2024")</f>
        <v/>
      </c>
      <c r="W165">
        <f>HYPERLINK("https://klasma.github.io/Logging_0883/klagomålsmail/A 941-2024 FSC-klagomål mail.docx", "A 941-2024")</f>
        <v/>
      </c>
      <c r="X165">
        <f>HYPERLINK("https://klasma.github.io/Logging_0883/tillsyn/A 941-2024 tillsynsbegäran.docx", "A 941-2024")</f>
        <v/>
      </c>
      <c r="Y165">
        <f>HYPERLINK("https://klasma.github.io/Logging_0883/tillsynsmail/A 941-2024 tillsynsbegäran mail.docx", "A 941-2024")</f>
        <v/>
      </c>
    </row>
    <row r="166" ht="15" customHeight="1">
      <c r="A166" t="inlineStr">
        <is>
          <t>A 4778-2025</t>
        </is>
      </c>
      <c r="B166" s="1" t="n">
        <v>45688</v>
      </c>
      <c r="C166" s="1" t="n">
        <v>45975</v>
      </c>
      <c r="D166" t="inlineStr">
        <is>
          <t>KALMAR LÄN</t>
        </is>
      </c>
      <c r="E166" t="inlineStr">
        <is>
          <t>VÄSTERVIK</t>
        </is>
      </c>
      <c r="F166" t="inlineStr">
        <is>
          <t>Holmen skog AB</t>
        </is>
      </c>
      <c r="G166" t="n">
        <v>3.8</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4778-2025 artfynd.xlsx", "A 4778-2025")</f>
        <v/>
      </c>
      <c r="T166">
        <f>HYPERLINK("https://klasma.github.io/Logging_0883/kartor/A 4778-2025 karta.png", "A 4778-2025")</f>
        <v/>
      </c>
      <c r="U166">
        <f>HYPERLINK("https://klasma.github.io/Logging_0883/knärot/A 4778-2025 karta knärot.png", "A 4778-2025")</f>
        <v/>
      </c>
      <c r="V166">
        <f>HYPERLINK("https://klasma.github.io/Logging_0883/klagomål/A 4778-2025 FSC-klagomål.docx", "A 4778-2025")</f>
        <v/>
      </c>
      <c r="W166">
        <f>HYPERLINK("https://klasma.github.io/Logging_0883/klagomålsmail/A 4778-2025 FSC-klagomål mail.docx", "A 4778-2025")</f>
        <v/>
      </c>
      <c r="X166">
        <f>HYPERLINK("https://klasma.github.io/Logging_0883/tillsyn/A 4778-2025 tillsynsbegäran.docx", "A 4778-2025")</f>
        <v/>
      </c>
      <c r="Y166">
        <f>HYPERLINK("https://klasma.github.io/Logging_0883/tillsynsmail/A 4778-2025 tillsynsbegäran mail.docx", "A 4778-2025")</f>
        <v/>
      </c>
      <c r="Z166">
        <f>HYPERLINK("https://klasma.github.io/Logging_0883/fåglar/A 4778-2025 prioriterade fågelarter.docx", "A 4778-2025")</f>
        <v/>
      </c>
    </row>
    <row r="167" ht="15" customHeight="1">
      <c r="A167" t="inlineStr">
        <is>
          <t>A 55408-2023</t>
        </is>
      </c>
      <c r="B167" s="1" t="n">
        <v>45238</v>
      </c>
      <c r="C167" s="1" t="n">
        <v>45975</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52030-2025</t>
        </is>
      </c>
      <c r="B168" s="1" t="n">
        <v>45952.60846064815</v>
      </c>
      <c r="C168" s="1" t="n">
        <v>45975</v>
      </c>
      <c r="D168" t="inlineStr">
        <is>
          <t>KALMAR LÄN</t>
        </is>
      </c>
      <c r="E168" t="inlineStr">
        <is>
          <t>VÄSTERVIK</t>
        </is>
      </c>
      <c r="F168" t="inlineStr">
        <is>
          <t>Holmen skog AB</t>
        </is>
      </c>
      <c r="G168" t="n">
        <v>7.3</v>
      </c>
      <c r="H168" t="n">
        <v>0</v>
      </c>
      <c r="I168" t="n">
        <v>0</v>
      </c>
      <c r="J168" t="n">
        <v>2</v>
      </c>
      <c r="K168" t="n">
        <v>0</v>
      </c>
      <c r="L168" t="n">
        <v>0</v>
      </c>
      <c r="M168" t="n">
        <v>0</v>
      </c>
      <c r="N168" t="n">
        <v>0</v>
      </c>
      <c r="O168" t="n">
        <v>2</v>
      </c>
      <c r="P168" t="n">
        <v>0</v>
      </c>
      <c r="Q168" t="n">
        <v>2</v>
      </c>
      <c r="R168" s="2" t="inlineStr">
        <is>
          <t>Ekticka
Oxtungssvamp</t>
        </is>
      </c>
      <c r="S168">
        <f>HYPERLINK("https://klasma.github.io/Logging_0883/artfynd/A 52030-2025 artfynd.xlsx", "A 52030-2025")</f>
        <v/>
      </c>
      <c r="T168">
        <f>HYPERLINK("https://klasma.github.io/Logging_0883/kartor/A 52030-2025 karta.png", "A 52030-2025")</f>
        <v/>
      </c>
      <c r="V168">
        <f>HYPERLINK("https://klasma.github.io/Logging_0883/klagomål/A 52030-2025 FSC-klagomål.docx", "A 52030-2025")</f>
        <v/>
      </c>
      <c r="W168">
        <f>HYPERLINK("https://klasma.github.io/Logging_0883/klagomålsmail/A 52030-2025 FSC-klagomål mail.docx", "A 52030-2025")</f>
        <v/>
      </c>
      <c r="X168">
        <f>HYPERLINK("https://klasma.github.io/Logging_0883/tillsyn/A 52030-2025 tillsynsbegäran.docx", "A 52030-2025")</f>
        <v/>
      </c>
      <c r="Y168">
        <f>HYPERLINK("https://klasma.github.io/Logging_0883/tillsynsmail/A 52030-2025 tillsynsbegäran mail.docx", "A 52030-2025")</f>
        <v/>
      </c>
    </row>
    <row r="169" ht="15" customHeight="1">
      <c r="A169" t="inlineStr">
        <is>
          <t>A 911-2024</t>
        </is>
      </c>
      <c r="B169" s="1" t="n">
        <v>45301</v>
      </c>
      <c r="C169" s="1" t="n">
        <v>45975</v>
      </c>
      <c r="D169" t="inlineStr">
        <is>
          <t>KALMAR LÄN</t>
        </is>
      </c>
      <c r="E169" t="inlineStr">
        <is>
          <t>VÄSTERVIK</t>
        </is>
      </c>
      <c r="G169" t="n">
        <v>5.6</v>
      </c>
      <c r="H169" t="n">
        <v>1</v>
      </c>
      <c r="I169" t="n">
        <v>1</v>
      </c>
      <c r="J169" t="n">
        <v>1</v>
      </c>
      <c r="K169" t="n">
        <v>0</v>
      </c>
      <c r="L169" t="n">
        <v>0</v>
      </c>
      <c r="M169" t="n">
        <v>0</v>
      </c>
      <c r="N169" t="n">
        <v>0</v>
      </c>
      <c r="O169" t="n">
        <v>1</v>
      </c>
      <c r="P169" t="n">
        <v>0</v>
      </c>
      <c r="Q169" t="n">
        <v>2</v>
      </c>
      <c r="R169" s="2" t="inlineStr">
        <is>
          <t>Talltita
Blodticka</t>
        </is>
      </c>
      <c r="S169">
        <f>HYPERLINK("https://klasma.github.io/Logging_0883/artfynd/A 911-2024 artfynd.xlsx", "A 911-2024")</f>
        <v/>
      </c>
      <c r="T169">
        <f>HYPERLINK("https://klasma.github.io/Logging_0883/kartor/A 911-2024 karta.png", "A 911-2024")</f>
        <v/>
      </c>
      <c r="V169">
        <f>HYPERLINK("https://klasma.github.io/Logging_0883/klagomål/A 911-2024 FSC-klagomål.docx", "A 911-2024")</f>
        <v/>
      </c>
      <c r="W169">
        <f>HYPERLINK("https://klasma.github.io/Logging_0883/klagomålsmail/A 911-2024 FSC-klagomål mail.docx", "A 911-2024")</f>
        <v/>
      </c>
      <c r="X169">
        <f>HYPERLINK("https://klasma.github.io/Logging_0883/tillsyn/A 911-2024 tillsynsbegäran.docx", "A 911-2024")</f>
        <v/>
      </c>
      <c r="Y169">
        <f>HYPERLINK("https://klasma.github.io/Logging_0883/tillsynsmail/A 911-2024 tillsynsbegäran mail.docx", "A 911-2024")</f>
        <v/>
      </c>
      <c r="Z169">
        <f>HYPERLINK("https://klasma.github.io/Logging_0883/fåglar/A 911-2024 prioriterade fågelarter.docx", "A 911-2024")</f>
        <v/>
      </c>
    </row>
    <row r="170" ht="15" customHeight="1">
      <c r="A170" t="inlineStr">
        <is>
          <t>A 59940-2021</t>
        </is>
      </c>
      <c r="B170" s="1" t="n">
        <v>44494</v>
      </c>
      <c r="C170" s="1" t="n">
        <v>45975</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3182-2025</t>
        </is>
      </c>
      <c r="B171" s="1" t="n">
        <v>45679</v>
      </c>
      <c r="C171" s="1" t="n">
        <v>45975</v>
      </c>
      <c r="D171" t="inlineStr">
        <is>
          <t>KALMAR LÄN</t>
        </is>
      </c>
      <c r="E171" t="inlineStr">
        <is>
          <t>VÄSTERVIK</t>
        </is>
      </c>
      <c r="G171" t="n">
        <v>1.2</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3182-2025 artfynd.xlsx", "A 3182-2025")</f>
        <v/>
      </c>
      <c r="T171">
        <f>HYPERLINK("https://klasma.github.io/Logging_0883/kartor/A 3182-2025 karta.png", "A 3182-2025")</f>
        <v/>
      </c>
      <c r="U171">
        <f>HYPERLINK("https://klasma.github.io/Logging_0883/knärot/A 3182-2025 karta knärot.png", "A 3182-2025")</f>
        <v/>
      </c>
      <c r="V171">
        <f>HYPERLINK("https://klasma.github.io/Logging_0883/klagomål/A 3182-2025 FSC-klagomål.docx", "A 3182-2025")</f>
        <v/>
      </c>
      <c r="W171">
        <f>HYPERLINK("https://klasma.github.io/Logging_0883/klagomålsmail/A 3182-2025 FSC-klagomål mail.docx", "A 3182-2025")</f>
        <v/>
      </c>
      <c r="X171">
        <f>HYPERLINK("https://klasma.github.io/Logging_0883/tillsyn/A 3182-2025 tillsynsbegäran.docx", "A 3182-2025")</f>
        <v/>
      </c>
      <c r="Y171">
        <f>HYPERLINK("https://klasma.github.io/Logging_0883/tillsynsmail/A 3182-2025 tillsynsbegäran mail.docx", "A 3182-2025")</f>
        <v/>
      </c>
      <c r="Z171">
        <f>HYPERLINK("https://klasma.github.io/Logging_0883/fåglar/A 3182-2025 prioriterade fågelarter.docx", "A 3182-2025")</f>
        <v/>
      </c>
    </row>
    <row r="172" ht="15" customHeight="1">
      <c r="A172" t="inlineStr">
        <is>
          <t>A 14126-2025</t>
        </is>
      </c>
      <c r="B172" s="1" t="n">
        <v>45740.47012731482</v>
      </c>
      <c r="C172" s="1" t="n">
        <v>45975</v>
      </c>
      <c r="D172" t="inlineStr">
        <is>
          <t>KALMAR LÄN</t>
        </is>
      </c>
      <c r="E172" t="inlineStr">
        <is>
          <t>VÄSTERVIK</t>
        </is>
      </c>
      <c r="F172" t="inlineStr">
        <is>
          <t>Sveaskog</t>
        </is>
      </c>
      <c r="G172" t="n">
        <v>1.3</v>
      </c>
      <c r="H172" t="n">
        <v>2</v>
      </c>
      <c r="I172" t="n">
        <v>0</v>
      </c>
      <c r="J172" t="n">
        <v>1</v>
      </c>
      <c r="K172" t="n">
        <v>0</v>
      </c>
      <c r="L172" t="n">
        <v>0</v>
      </c>
      <c r="M172" t="n">
        <v>0</v>
      </c>
      <c r="N172" t="n">
        <v>0</v>
      </c>
      <c r="O172" t="n">
        <v>1</v>
      </c>
      <c r="P172" t="n">
        <v>0</v>
      </c>
      <c r="Q172" t="n">
        <v>2</v>
      </c>
      <c r="R172" s="2" t="inlineStr">
        <is>
          <t>Grönsångare
Blåsippa</t>
        </is>
      </c>
      <c r="S172">
        <f>HYPERLINK("https://klasma.github.io/Logging_0883/artfynd/A 14126-2025 artfynd.xlsx", "A 14126-2025")</f>
        <v/>
      </c>
      <c r="T172">
        <f>HYPERLINK("https://klasma.github.io/Logging_0883/kartor/A 14126-2025 karta.png", "A 14126-2025")</f>
        <v/>
      </c>
      <c r="V172">
        <f>HYPERLINK("https://klasma.github.io/Logging_0883/klagomål/A 14126-2025 FSC-klagomål.docx", "A 14126-2025")</f>
        <v/>
      </c>
      <c r="W172">
        <f>HYPERLINK("https://klasma.github.io/Logging_0883/klagomålsmail/A 14126-2025 FSC-klagomål mail.docx", "A 14126-2025")</f>
        <v/>
      </c>
      <c r="X172">
        <f>HYPERLINK("https://klasma.github.io/Logging_0883/tillsyn/A 14126-2025 tillsynsbegäran.docx", "A 14126-2025")</f>
        <v/>
      </c>
      <c r="Y172">
        <f>HYPERLINK("https://klasma.github.io/Logging_0883/tillsynsmail/A 14126-2025 tillsynsbegäran mail.docx", "A 14126-2025")</f>
        <v/>
      </c>
      <c r="Z172">
        <f>HYPERLINK("https://klasma.github.io/Logging_0883/fåglar/A 14126-2025 prioriterade fågelarter.docx", "A 14126-2025")</f>
        <v/>
      </c>
    </row>
    <row r="173" ht="15" customHeight="1">
      <c r="A173" t="inlineStr">
        <is>
          <t>A 17438-2024</t>
        </is>
      </c>
      <c r="B173" s="1" t="n">
        <v>45415</v>
      </c>
      <c r="C173" s="1" t="n">
        <v>45975</v>
      </c>
      <c r="D173" t="inlineStr">
        <is>
          <t>KALMAR LÄN</t>
        </is>
      </c>
      <c r="E173" t="inlineStr">
        <is>
          <t>VÄSTERVIK</t>
        </is>
      </c>
      <c r="G173" t="n">
        <v>3.8</v>
      </c>
      <c r="H173" t="n">
        <v>2</v>
      </c>
      <c r="I173" t="n">
        <v>0</v>
      </c>
      <c r="J173" t="n">
        <v>1</v>
      </c>
      <c r="K173" t="n">
        <v>1</v>
      </c>
      <c r="L173" t="n">
        <v>0</v>
      </c>
      <c r="M173" t="n">
        <v>0</v>
      </c>
      <c r="N173" t="n">
        <v>0</v>
      </c>
      <c r="O173" t="n">
        <v>2</v>
      </c>
      <c r="P173" t="n">
        <v>1</v>
      </c>
      <c r="Q173" t="n">
        <v>2</v>
      </c>
      <c r="R173" s="2" t="inlineStr">
        <is>
          <t>Knärot
Spillkråka</t>
        </is>
      </c>
      <c r="S173">
        <f>HYPERLINK("https://klasma.github.io/Logging_0883/artfynd/A 17438-2024 artfynd.xlsx", "A 17438-2024")</f>
        <v/>
      </c>
      <c r="T173">
        <f>HYPERLINK("https://klasma.github.io/Logging_0883/kartor/A 17438-2024 karta.png", "A 17438-2024")</f>
        <v/>
      </c>
      <c r="U173">
        <f>HYPERLINK("https://klasma.github.io/Logging_0883/knärot/A 17438-2024 karta knärot.png", "A 17438-2024")</f>
        <v/>
      </c>
      <c r="V173">
        <f>HYPERLINK("https://klasma.github.io/Logging_0883/klagomål/A 17438-2024 FSC-klagomål.docx", "A 17438-2024")</f>
        <v/>
      </c>
      <c r="W173">
        <f>HYPERLINK("https://klasma.github.io/Logging_0883/klagomålsmail/A 17438-2024 FSC-klagomål mail.docx", "A 17438-2024")</f>
        <v/>
      </c>
      <c r="X173">
        <f>HYPERLINK("https://klasma.github.io/Logging_0883/tillsyn/A 17438-2024 tillsynsbegäran.docx", "A 17438-2024")</f>
        <v/>
      </c>
      <c r="Y173">
        <f>HYPERLINK("https://klasma.github.io/Logging_0883/tillsynsmail/A 17438-2024 tillsynsbegäran mail.docx", "A 17438-2024")</f>
        <v/>
      </c>
      <c r="Z173">
        <f>HYPERLINK("https://klasma.github.io/Logging_0883/fåglar/A 17438-2024 prioriterade fågelarter.docx", "A 17438-2024")</f>
        <v/>
      </c>
    </row>
    <row r="174" ht="15" customHeight="1">
      <c r="A174" t="inlineStr">
        <is>
          <t>A 41573-2024</t>
        </is>
      </c>
      <c r="B174" s="1" t="n">
        <v>45560</v>
      </c>
      <c r="C174" s="1" t="n">
        <v>45975</v>
      </c>
      <c r="D174" t="inlineStr">
        <is>
          <t>KALMAR LÄN</t>
        </is>
      </c>
      <c r="E174" t="inlineStr">
        <is>
          <t>VÄSTERVIK</t>
        </is>
      </c>
      <c r="G174" t="n">
        <v>1.6</v>
      </c>
      <c r="H174" t="n">
        <v>1</v>
      </c>
      <c r="I174" t="n">
        <v>1</v>
      </c>
      <c r="J174" t="n">
        <v>0</v>
      </c>
      <c r="K174" t="n">
        <v>1</v>
      </c>
      <c r="L174" t="n">
        <v>0</v>
      </c>
      <c r="M174" t="n">
        <v>0</v>
      </c>
      <c r="N174" t="n">
        <v>0</v>
      </c>
      <c r="O174" t="n">
        <v>1</v>
      </c>
      <c r="P174" t="n">
        <v>1</v>
      </c>
      <c r="Q174" t="n">
        <v>2</v>
      </c>
      <c r="R174" s="2" t="inlineStr">
        <is>
          <t>Knärot
Blåmossa</t>
        </is>
      </c>
      <c r="S174">
        <f>HYPERLINK("https://klasma.github.io/Logging_0883/artfynd/A 41573-2024 artfynd.xlsx", "A 41573-2024")</f>
        <v/>
      </c>
      <c r="T174">
        <f>HYPERLINK("https://klasma.github.io/Logging_0883/kartor/A 41573-2024 karta.png", "A 41573-2024")</f>
        <v/>
      </c>
      <c r="U174">
        <f>HYPERLINK("https://klasma.github.io/Logging_0883/knärot/A 41573-2024 karta knärot.png", "A 41573-2024")</f>
        <v/>
      </c>
      <c r="V174">
        <f>HYPERLINK("https://klasma.github.io/Logging_0883/klagomål/A 41573-2024 FSC-klagomål.docx", "A 41573-2024")</f>
        <v/>
      </c>
      <c r="W174">
        <f>HYPERLINK("https://klasma.github.io/Logging_0883/klagomålsmail/A 41573-2024 FSC-klagomål mail.docx", "A 41573-2024")</f>
        <v/>
      </c>
      <c r="X174">
        <f>HYPERLINK("https://klasma.github.io/Logging_0883/tillsyn/A 41573-2024 tillsynsbegäran.docx", "A 41573-2024")</f>
        <v/>
      </c>
      <c r="Y174">
        <f>HYPERLINK("https://klasma.github.io/Logging_0883/tillsynsmail/A 41573-2024 tillsynsbegäran mail.docx", "A 41573-2024")</f>
        <v/>
      </c>
    </row>
    <row r="175" ht="15" customHeight="1">
      <c r="A175" t="inlineStr">
        <is>
          <t>A 59231-2022</t>
        </is>
      </c>
      <c r="B175" s="1" t="n">
        <v>44904.55646990741</v>
      </c>
      <c r="C175" s="1" t="n">
        <v>45975</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14301-2023</t>
        </is>
      </c>
      <c r="B176" s="1" t="n">
        <v>45011</v>
      </c>
      <c r="C176" s="1" t="n">
        <v>45975</v>
      </c>
      <c r="D176" t="inlineStr">
        <is>
          <t>KALMAR LÄN</t>
        </is>
      </c>
      <c r="E176" t="inlineStr">
        <is>
          <t>VÄSTERVIK</t>
        </is>
      </c>
      <c r="G176" t="n">
        <v>4.4</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14301-2023 artfynd.xlsx", "A 14301-2023")</f>
        <v/>
      </c>
      <c r="T176">
        <f>HYPERLINK("https://klasma.github.io/Logging_0883/kartor/A 14301-2023 karta.png", "A 14301-2023")</f>
        <v/>
      </c>
      <c r="U176">
        <f>HYPERLINK("https://klasma.github.io/Logging_0883/knärot/A 14301-2023 karta knärot.png", "A 14301-2023")</f>
        <v/>
      </c>
      <c r="V176">
        <f>HYPERLINK("https://klasma.github.io/Logging_0883/klagomål/A 14301-2023 FSC-klagomål.docx", "A 14301-2023")</f>
        <v/>
      </c>
      <c r="W176">
        <f>HYPERLINK("https://klasma.github.io/Logging_0883/klagomålsmail/A 14301-2023 FSC-klagomål mail.docx", "A 14301-2023")</f>
        <v/>
      </c>
      <c r="X176">
        <f>HYPERLINK("https://klasma.github.io/Logging_0883/tillsyn/A 14301-2023 tillsynsbegäran.docx", "A 14301-2023")</f>
        <v/>
      </c>
      <c r="Y176">
        <f>HYPERLINK("https://klasma.github.io/Logging_0883/tillsynsmail/A 14301-2023 tillsynsbegäran mail.docx", "A 14301-2023")</f>
        <v/>
      </c>
    </row>
    <row r="177" ht="15" customHeight="1">
      <c r="A177" t="inlineStr">
        <is>
          <t>A 10784-2025</t>
        </is>
      </c>
      <c r="B177" s="1" t="n">
        <v>45722</v>
      </c>
      <c r="C177" s="1" t="n">
        <v>45975</v>
      </c>
      <c r="D177" t="inlineStr">
        <is>
          <t>KALMAR LÄN</t>
        </is>
      </c>
      <c r="E177" t="inlineStr">
        <is>
          <t>VÄSTERVIK</t>
        </is>
      </c>
      <c r="G177" t="n">
        <v>2.1</v>
      </c>
      <c r="H177" t="n">
        <v>2</v>
      </c>
      <c r="I177" t="n">
        <v>0</v>
      </c>
      <c r="J177" t="n">
        <v>1</v>
      </c>
      <c r="K177" t="n">
        <v>0</v>
      </c>
      <c r="L177" t="n">
        <v>0</v>
      </c>
      <c r="M177" t="n">
        <v>0</v>
      </c>
      <c r="N177" t="n">
        <v>0</v>
      </c>
      <c r="O177" t="n">
        <v>1</v>
      </c>
      <c r="P177" t="n">
        <v>0</v>
      </c>
      <c r="Q177" t="n">
        <v>2</v>
      </c>
      <c r="R177" s="2" t="inlineStr">
        <is>
          <t>Talltita
Kungsfågel</t>
        </is>
      </c>
      <c r="S177">
        <f>HYPERLINK("https://klasma.github.io/Logging_0883/artfynd/A 10784-2025 artfynd.xlsx", "A 10784-2025")</f>
        <v/>
      </c>
      <c r="T177">
        <f>HYPERLINK("https://klasma.github.io/Logging_0883/kartor/A 10784-2025 karta.png", "A 10784-2025")</f>
        <v/>
      </c>
      <c r="V177">
        <f>HYPERLINK("https://klasma.github.io/Logging_0883/klagomål/A 10784-2025 FSC-klagomål.docx", "A 10784-2025")</f>
        <v/>
      </c>
      <c r="W177">
        <f>HYPERLINK("https://klasma.github.io/Logging_0883/klagomålsmail/A 10784-2025 FSC-klagomål mail.docx", "A 10784-2025")</f>
        <v/>
      </c>
      <c r="X177">
        <f>HYPERLINK("https://klasma.github.io/Logging_0883/tillsyn/A 10784-2025 tillsynsbegäran.docx", "A 10784-2025")</f>
        <v/>
      </c>
      <c r="Y177">
        <f>HYPERLINK("https://klasma.github.io/Logging_0883/tillsynsmail/A 10784-2025 tillsynsbegäran mail.docx", "A 10784-2025")</f>
        <v/>
      </c>
      <c r="Z177">
        <f>HYPERLINK("https://klasma.github.io/Logging_0883/fåglar/A 10784-2025 prioriterade fågelarter.docx", "A 10784-2025")</f>
        <v/>
      </c>
    </row>
    <row r="178" ht="15" customHeight="1">
      <c r="A178" t="inlineStr">
        <is>
          <t>A 15534-2024</t>
        </is>
      </c>
      <c r="B178" s="1" t="n">
        <v>45401</v>
      </c>
      <c r="C178" s="1" t="n">
        <v>45975</v>
      </c>
      <c r="D178" t="inlineStr">
        <is>
          <t>KALMAR LÄN</t>
        </is>
      </c>
      <c r="E178" t="inlineStr">
        <is>
          <t>VÄSTERVIK</t>
        </is>
      </c>
      <c r="F178" t="inlineStr">
        <is>
          <t>Holmen skog AB</t>
        </is>
      </c>
      <c r="G178" t="n">
        <v>5.1</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15534-2024 artfynd.xlsx", "A 15534-2024")</f>
        <v/>
      </c>
      <c r="T178">
        <f>HYPERLINK("https://klasma.github.io/Logging_0883/kartor/A 15534-2024 karta.png", "A 15534-2024")</f>
        <v/>
      </c>
      <c r="U178">
        <f>HYPERLINK("https://klasma.github.io/Logging_0883/knärot/A 15534-2024 karta knärot.png", "A 15534-2024")</f>
        <v/>
      </c>
      <c r="V178">
        <f>HYPERLINK("https://klasma.github.io/Logging_0883/klagomål/A 15534-2024 FSC-klagomål.docx", "A 15534-2024")</f>
        <v/>
      </c>
      <c r="W178">
        <f>HYPERLINK("https://klasma.github.io/Logging_0883/klagomålsmail/A 15534-2024 FSC-klagomål mail.docx", "A 15534-2024")</f>
        <v/>
      </c>
      <c r="X178">
        <f>HYPERLINK("https://klasma.github.io/Logging_0883/tillsyn/A 15534-2024 tillsynsbegäran.docx", "A 15534-2024")</f>
        <v/>
      </c>
      <c r="Y178">
        <f>HYPERLINK("https://klasma.github.io/Logging_0883/tillsynsmail/A 15534-2024 tillsynsbegäran mail.docx", "A 15534-2024")</f>
        <v/>
      </c>
    </row>
    <row r="179" ht="15" customHeight="1">
      <c r="A179" t="inlineStr">
        <is>
          <t>A 46157-2025</t>
        </is>
      </c>
      <c r="B179" s="1" t="n">
        <v>45924.63246527778</v>
      </c>
      <c r="C179" s="1" t="n">
        <v>45975</v>
      </c>
      <c r="D179" t="inlineStr">
        <is>
          <t>KALMAR LÄN</t>
        </is>
      </c>
      <c r="E179" t="inlineStr">
        <is>
          <t>VÄSTERVIK</t>
        </is>
      </c>
      <c r="G179" t="n">
        <v>3.1</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46157-2025 artfynd.xlsx", "A 46157-2025")</f>
        <v/>
      </c>
      <c r="T179">
        <f>HYPERLINK("https://klasma.github.io/Logging_0883/kartor/A 46157-2025 karta.png", "A 46157-2025")</f>
        <v/>
      </c>
      <c r="V179">
        <f>HYPERLINK("https://klasma.github.io/Logging_0883/klagomål/A 46157-2025 FSC-klagomål.docx", "A 46157-2025")</f>
        <v/>
      </c>
      <c r="W179">
        <f>HYPERLINK("https://klasma.github.io/Logging_0883/klagomålsmail/A 46157-2025 FSC-klagomål mail.docx", "A 46157-2025")</f>
        <v/>
      </c>
      <c r="X179">
        <f>HYPERLINK("https://klasma.github.io/Logging_0883/tillsyn/A 46157-2025 tillsynsbegäran.docx", "A 46157-2025")</f>
        <v/>
      </c>
      <c r="Y179">
        <f>HYPERLINK("https://klasma.github.io/Logging_0883/tillsynsmail/A 46157-2025 tillsynsbegäran mail.docx", "A 46157-2025")</f>
        <v/>
      </c>
      <c r="Z179">
        <f>HYPERLINK("https://klasma.github.io/Logging_0883/fåglar/A 46157-2025 prioriterade fågelarter.docx", "A 46157-2025")</f>
        <v/>
      </c>
    </row>
    <row r="180" ht="15" customHeight="1">
      <c r="A180" t="inlineStr">
        <is>
          <t>A 1767-2025</t>
        </is>
      </c>
      <c r="B180" s="1" t="n">
        <v>45671</v>
      </c>
      <c r="C180" s="1" t="n">
        <v>45975</v>
      </c>
      <c r="D180" t="inlineStr">
        <is>
          <t>KALMAR LÄN</t>
        </is>
      </c>
      <c r="E180" t="inlineStr">
        <is>
          <t>VÄSTERVIK</t>
        </is>
      </c>
      <c r="G180" t="n">
        <v>1.4</v>
      </c>
      <c r="H180" t="n">
        <v>1</v>
      </c>
      <c r="I180" t="n">
        <v>0</v>
      </c>
      <c r="J180" t="n">
        <v>2</v>
      </c>
      <c r="K180" t="n">
        <v>0</v>
      </c>
      <c r="L180" t="n">
        <v>0</v>
      </c>
      <c r="M180" t="n">
        <v>0</v>
      </c>
      <c r="N180" t="n">
        <v>0</v>
      </c>
      <c r="O180" t="n">
        <v>2</v>
      </c>
      <c r="P180" t="n">
        <v>0</v>
      </c>
      <c r="Q180" t="n">
        <v>2</v>
      </c>
      <c r="R180" s="2" t="inlineStr">
        <is>
          <t>Garnlav
Spillkråka</t>
        </is>
      </c>
      <c r="S180">
        <f>HYPERLINK("https://klasma.github.io/Logging_0883/artfynd/A 1767-2025 artfynd.xlsx", "A 1767-2025")</f>
        <v/>
      </c>
      <c r="T180">
        <f>HYPERLINK("https://klasma.github.io/Logging_0883/kartor/A 1767-2025 karta.png", "A 1767-2025")</f>
        <v/>
      </c>
      <c r="U180">
        <f>HYPERLINK("https://klasma.github.io/Logging_0883/knärot/A 1767-2025 karta knärot.png", "A 1767-2025")</f>
        <v/>
      </c>
      <c r="V180">
        <f>HYPERLINK("https://klasma.github.io/Logging_0883/klagomål/A 1767-2025 FSC-klagomål.docx", "A 1767-2025")</f>
        <v/>
      </c>
      <c r="W180">
        <f>HYPERLINK("https://klasma.github.io/Logging_0883/klagomålsmail/A 1767-2025 FSC-klagomål mail.docx", "A 1767-2025")</f>
        <v/>
      </c>
      <c r="X180">
        <f>HYPERLINK("https://klasma.github.io/Logging_0883/tillsyn/A 1767-2025 tillsynsbegäran.docx", "A 1767-2025")</f>
        <v/>
      </c>
      <c r="Y180">
        <f>HYPERLINK("https://klasma.github.io/Logging_0883/tillsynsmail/A 1767-2025 tillsynsbegäran mail.docx", "A 1767-2025")</f>
        <v/>
      </c>
      <c r="Z180">
        <f>HYPERLINK("https://klasma.github.io/Logging_0883/fåglar/A 1767-2025 prioriterade fågelarter.docx", "A 1767-2025")</f>
        <v/>
      </c>
    </row>
    <row r="181" ht="15" customHeight="1">
      <c r="A181" t="inlineStr">
        <is>
          <t>A 41271-2025</t>
        </is>
      </c>
      <c r="B181" s="1" t="n">
        <v>45898.62226851852</v>
      </c>
      <c r="C181" s="1" t="n">
        <v>45975</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948-2024</t>
        </is>
      </c>
      <c r="B182" s="1" t="n">
        <v>45301</v>
      </c>
      <c r="C182" s="1" t="n">
        <v>45975</v>
      </c>
      <c r="D182" t="inlineStr">
        <is>
          <t>KALMAR LÄN</t>
        </is>
      </c>
      <c r="E182" t="inlineStr">
        <is>
          <t>VÄSTERVIK</t>
        </is>
      </c>
      <c r="G182" t="n">
        <v>4.5</v>
      </c>
      <c r="H182" t="n">
        <v>1</v>
      </c>
      <c r="I182" t="n">
        <v>1</v>
      </c>
      <c r="J182" t="n">
        <v>0</v>
      </c>
      <c r="K182" t="n">
        <v>0</v>
      </c>
      <c r="L182" t="n">
        <v>0</v>
      </c>
      <c r="M182" t="n">
        <v>0</v>
      </c>
      <c r="N182" t="n">
        <v>0</v>
      </c>
      <c r="O182" t="n">
        <v>0</v>
      </c>
      <c r="P182" t="n">
        <v>0</v>
      </c>
      <c r="Q182" t="n">
        <v>2</v>
      </c>
      <c r="R182" s="2" t="inlineStr">
        <is>
          <t>Dropptaggsvamp
Tjäder</t>
        </is>
      </c>
      <c r="S182">
        <f>HYPERLINK("https://klasma.github.io/Logging_0883/artfynd/A 948-2024 artfynd.xlsx", "A 948-2024")</f>
        <v/>
      </c>
      <c r="T182">
        <f>HYPERLINK("https://klasma.github.io/Logging_0883/kartor/A 948-2024 karta.png", "A 948-2024")</f>
        <v/>
      </c>
      <c r="V182">
        <f>HYPERLINK("https://klasma.github.io/Logging_0883/klagomål/A 948-2024 FSC-klagomål.docx", "A 948-2024")</f>
        <v/>
      </c>
      <c r="W182">
        <f>HYPERLINK("https://klasma.github.io/Logging_0883/klagomålsmail/A 948-2024 FSC-klagomål mail.docx", "A 948-2024")</f>
        <v/>
      </c>
      <c r="X182">
        <f>HYPERLINK("https://klasma.github.io/Logging_0883/tillsyn/A 948-2024 tillsynsbegäran.docx", "A 948-2024")</f>
        <v/>
      </c>
      <c r="Y182">
        <f>HYPERLINK("https://klasma.github.io/Logging_0883/tillsynsmail/A 948-2024 tillsynsbegäran mail.docx", "A 948-2024")</f>
        <v/>
      </c>
      <c r="Z182">
        <f>HYPERLINK("https://klasma.github.io/Logging_0883/fåglar/A 948-2024 prioriterade fågelarter.docx", "A 948-2024")</f>
        <v/>
      </c>
    </row>
    <row r="183" ht="15" customHeight="1">
      <c r="A183" t="inlineStr">
        <is>
          <t>A 34292-2025</t>
        </is>
      </c>
      <c r="B183" s="1" t="n">
        <v>45846.34083333334</v>
      </c>
      <c r="C183" s="1" t="n">
        <v>45975</v>
      </c>
      <c r="D183" t="inlineStr">
        <is>
          <t>KALMAR LÄN</t>
        </is>
      </c>
      <c r="E183" t="inlineStr">
        <is>
          <t>VÄSTERVIK</t>
        </is>
      </c>
      <c r="G183" t="n">
        <v>3.4</v>
      </c>
      <c r="H183" t="n">
        <v>0</v>
      </c>
      <c r="I183" t="n">
        <v>1</v>
      </c>
      <c r="J183" t="n">
        <v>1</v>
      </c>
      <c r="K183" t="n">
        <v>0</v>
      </c>
      <c r="L183" t="n">
        <v>0</v>
      </c>
      <c r="M183" t="n">
        <v>0</v>
      </c>
      <c r="N183" t="n">
        <v>0</v>
      </c>
      <c r="O183" t="n">
        <v>1</v>
      </c>
      <c r="P183" t="n">
        <v>0</v>
      </c>
      <c r="Q183" t="n">
        <v>2</v>
      </c>
      <c r="R183" s="2" t="inlineStr">
        <is>
          <t>Tallticka
Blåmossa</t>
        </is>
      </c>
      <c r="S183">
        <f>HYPERLINK("https://klasma.github.io/Logging_0883/artfynd/A 34292-2025 artfynd.xlsx", "A 34292-2025")</f>
        <v/>
      </c>
      <c r="T183">
        <f>HYPERLINK("https://klasma.github.io/Logging_0883/kartor/A 34292-2025 karta.png", "A 34292-2025")</f>
        <v/>
      </c>
      <c r="V183">
        <f>HYPERLINK("https://klasma.github.io/Logging_0883/klagomål/A 34292-2025 FSC-klagomål.docx", "A 34292-2025")</f>
        <v/>
      </c>
      <c r="W183">
        <f>HYPERLINK("https://klasma.github.io/Logging_0883/klagomålsmail/A 34292-2025 FSC-klagomål mail.docx", "A 34292-2025")</f>
        <v/>
      </c>
      <c r="X183">
        <f>HYPERLINK("https://klasma.github.io/Logging_0883/tillsyn/A 34292-2025 tillsynsbegäran.docx", "A 34292-2025")</f>
        <v/>
      </c>
      <c r="Y183">
        <f>HYPERLINK("https://klasma.github.io/Logging_0883/tillsynsmail/A 34292-2025 tillsynsbegäran mail.docx", "A 34292-2025")</f>
        <v/>
      </c>
    </row>
    <row r="184" ht="15" customHeight="1">
      <c r="A184" t="inlineStr">
        <is>
          <t>A 1373-2024</t>
        </is>
      </c>
      <c r="B184" s="1" t="n">
        <v>45303</v>
      </c>
      <c r="C184" s="1" t="n">
        <v>45975</v>
      </c>
      <c r="D184" t="inlineStr">
        <is>
          <t>KALMAR LÄN</t>
        </is>
      </c>
      <c r="E184" t="inlineStr">
        <is>
          <t>VÄSTERVIK</t>
        </is>
      </c>
      <c r="G184" t="n">
        <v>1.2</v>
      </c>
      <c r="H184" t="n">
        <v>1</v>
      </c>
      <c r="I184" t="n">
        <v>0</v>
      </c>
      <c r="J184" t="n">
        <v>2</v>
      </c>
      <c r="K184" t="n">
        <v>0</v>
      </c>
      <c r="L184" t="n">
        <v>0</v>
      </c>
      <c r="M184" t="n">
        <v>0</v>
      </c>
      <c r="N184" t="n">
        <v>0</v>
      </c>
      <c r="O184" t="n">
        <v>2</v>
      </c>
      <c r="P184" t="n">
        <v>0</v>
      </c>
      <c r="Q184" t="n">
        <v>2</v>
      </c>
      <c r="R184" s="2" t="inlineStr">
        <is>
          <t>Tallticka
Talltita</t>
        </is>
      </c>
      <c r="S184">
        <f>HYPERLINK("https://klasma.github.io/Logging_0883/artfynd/A 1373-2024 artfynd.xlsx", "A 1373-2024")</f>
        <v/>
      </c>
      <c r="T184">
        <f>HYPERLINK("https://klasma.github.io/Logging_0883/kartor/A 1373-2024 karta.png", "A 1373-2024")</f>
        <v/>
      </c>
      <c r="V184">
        <f>HYPERLINK("https://klasma.github.io/Logging_0883/klagomål/A 1373-2024 FSC-klagomål.docx", "A 1373-2024")</f>
        <v/>
      </c>
      <c r="W184">
        <f>HYPERLINK("https://klasma.github.io/Logging_0883/klagomålsmail/A 1373-2024 FSC-klagomål mail.docx", "A 1373-2024")</f>
        <v/>
      </c>
      <c r="X184">
        <f>HYPERLINK("https://klasma.github.io/Logging_0883/tillsyn/A 1373-2024 tillsynsbegäran.docx", "A 1373-2024")</f>
        <v/>
      </c>
      <c r="Y184">
        <f>HYPERLINK("https://klasma.github.io/Logging_0883/tillsynsmail/A 1373-2024 tillsynsbegäran mail.docx", "A 1373-2024")</f>
        <v/>
      </c>
      <c r="Z184">
        <f>HYPERLINK("https://klasma.github.io/Logging_0883/fåglar/A 1373-2024 prioriterade fågelarter.docx", "A 1373-2024")</f>
        <v/>
      </c>
    </row>
    <row r="185" ht="15" customHeight="1">
      <c r="A185" t="inlineStr">
        <is>
          <t>A 53769-2021</t>
        </is>
      </c>
      <c r="B185" s="1" t="n">
        <v>44467</v>
      </c>
      <c r="C185" s="1" t="n">
        <v>45975</v>
      </c>
      <c r="D185" t="inlineStr">
        <is>
          <t>KALMAR LÄN</t>
        </is>
      </c>
      <c r="E185" t="inlineStr">
        <is>
          <t>VÄSTERVIK</t>
        </is>
      </c>
      <c r="G185" t="n">
        <v>2.2</v>
      </c>
      <c r="H185" t="n">
        <v>1</v>
      </c>
      <c r="I185" t="n">
        <v>2</v>
      </c>
      <c r="J185" t="n">
        <v>0</v>
      </c>
      <c r="K185" t="n">
        <v>0</v>
      </c>
      <c r="L185" t="n">
        <v>0</v>
      </c>
      <c r="M185" t="n">
        <v>0</v>
      </c>
      <c r="N185" t="n">
        <v>0</v>
      </c>
      <c r="O185" t="n">
        <v>0</v>
      </c>
      <c r="P185" t="n">
        <v>0</v>
      </c>
      <c r="Q185" t="n">
        <v>2</v>
      </c>
      <c r="R185" s="2" t="inlineStr">
        <is>
          <t>Grön sköldmossa
Stubbspretmossa</t>
        </is>
      </c>
      <c r="S185">
        <f>HYPERLINK("https://klasma.github.io/Logging_0883/artfynd/A 53769-2021 artfynd.xlsx", "A 53769-2021")</f>
        <v/>
      </c>
      <c r="T185">
        <f>HYPERLINK("https://klasma.github.io/Logging_0883/kartor/A 53769-2021 karta.png", "A 53769-2021")</f>
        <v/>
      </c>
      <c r="V185">
        <f>HYPERLINK("https://klasma.github.io/Logging_0883/klagomål/A 53769-2021 FSC-klagomål.docx", "A 53769-2021")</f>
        <v/>
      </c>
      <c r="W185">
        <f>HYPERLINK("https://klasma.github.io/Logging_0883/klagomålsmail/A 53769-2021 FSC-klagomål mail.docx", "A 53769-2021")</f>
        <v/>
      </c>
      <c r="X185">
        <f>HYPERLINK("https://klasma.github.io/Logging_0883/tillsyn/A 53769-2021 tillsynsbegäran.docx", "A 53769-2021")</f>
        <v/>
      </c>
      <c r="Y185">
        <f>HYPERLINK("https://klasma.github.io/Logging_0883/tillsynsmail/A 53769-2021 tillsynsbegäran mail.docx", "A 53769-2021")</f>
        <v/>
      </c>
    </row>
    <row r="186" ht="15" customHeight="1">
      <c r="A186" t="inlineStr">
        <is>
          <t>A 1955-2021</t>
        </is>
      </c>
      <c r="B186" s="1" t="n">
        <v>44210</v>
      </c>
      <c r="C186" s="1" t="n">
        <v>45975</v>
      </c>
      <c r="D186" t="inlineStr">
        <is>
          <t>KALMAR LÄN</t>
        </is>
      </c>
      <c r="E186" t="inlineStr">
        <is>
          <t>VÄSTERVIK</t>
        </is>
      </c>
      <c r="G186" t="n">
        <v>5.3</v>
      </c>
      <c r="H186" t="n">
        <v>2</v>
      </c>
      <c r="I186" t="n">
        <v>0</v>
      </c>
      <c r="J186" t="n">
        <v>2</v>
      </c>
      <c r="K186" t="n">
        <v>0</v>
      </c>
      <c r="L186" t="n">
        <v>0</v>
      </c>
      <c r="M186" t="n">
        <v>0</v>
      </c>
      <c r="N186" t="n">
        <v>0</v>
      </c>
      <c r="O186" t="n">
        <v>2</v>
      </c>
      <c r="P186" t="n">
        <v>0</v>
      </c>
      <c r="Q186" t="n">
        <v>2</v>
      </c>
      <c r="R186" s="2" t="inlineStr">
        <is>
          <t>Spillkråka
Talltita</t>
        </is>
      </c>
      <c r="S186">
        <f>HYPERLINK("https://klasma.github.io/Logging_0883/artfynd/A 1955-2021 artfynd.xlsx", "A 1955-2021")</f>
        <v/>
      </c>
      <c r="T186">
        <f>HYPERLINK("https://klasma.github.io/Logging_0883/kartor/A 1955-2021 karta.png", "A 1955-2021")</f>
        <v/>
      </c>
      <c r="V186">
        <f>HYPERLINK("https://klasma.github.io/Logging_0883/klagomål/A 1955-2021 FSC-klagomål.docx", "A 1955-2021")</f>
        <v/>
      </c>
      <c r="W186">
        <f>HYPERLINK("https://klasma.github.io/Logging_0883/klagomålsmail/A 1955-2021 FSC-klagomål mail.docx", "A 1955-2021")</f>
        <v/>
      </c>
      <c r="X186">
        <f>HYPERLINK("https://klasma.github.io/Logging_0883/tillsyn/A 1955-2021 tillsynsbegäran.docx", "A 1955-2021")</f>
        <v/>
      </c>
      <c r="Y186">
        <f>HYPERLINK("https://klasma.github.io/Logging_0883/tillsynsmail/A 1955-2021 tillsynsbegäran mail.docx", "A 1955-2021")</f>
        <v/>
      </c>
      <c r="Z186">
        <f>HYPERLINK("https://klasma.github.io/Logging_0883/fåglar/A 1955-2021 prioriterade fågelarter.docx", "A 1955-2021")</f>
        <v/>
      </c>
    </row>
    <row r="187" ht="15" customHeight="1">
      <c r="A187" t="inlineStr">
        <is>
          <t>A 12598-2024</t>
        </is>
      </c>
      <c r="B187" s="1" t="n">
        <v>45380</v>
      </c>
      <c r="C187" s="1" t="n">
        <v>45975</v>
      </c>
      <c r="D187" t="inlineStr">
        <is>
          <t>KALMAR LÄN</t>
        </is>
      </c>
      <c r="E187" t="inlineStr">
        <is>
          <t>VÄSTERVIK</t>
        </is>
      </c>
      <c r="F187" t="inlineStr">
        <is>
          <t>Holmen skog AB</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12598-2024 artfynd.xlsx", "A 12598-2024")</f>
        <v/>
      </c>
      <c r="T187">
        <f>HYPERLINK("https://klasma.github.io/Logging_0883/kartor/A 12598-2024 karta.png", "A 12598-2024")</f>
        <v/>
      </c>
      <c r="U187">
        <f>HYPERLINK("https://klasma.github.io/Logging_0883/knärot/A 12598-2024 karta knärot.png", "A 12598-2024")</f>
        <v/>
      </c>
      <c r="V187">
        <f>HYPERLINK("https://klasma.github.io/Logging_0883/klagomål/A 12598-2024 FSC-klagomål.docx", "A 12598-2024")</f>
        <v/>
      </c>
      <c r="W187">
        <f>HYPERLINK("https://klasma.github.io/Logging_0883/klagomålsmail/A 12598-2024 FSC-klagomål mail.docx", "A 12598-2024")</f>
        <v/>
      </c>
      <c r="X187">
        <f>HYPERLINK("https://klasma.github.io/Logging_0883/tillsyn/A 12598-2024 tillsynsbegäran.docx", "A 12598-2024")</f>
        <v/>
      </c>
      <c r="Y187">
        <f>HYPERLINK("https://klasma.github.io/Logging_0883/tillsynsmail/A 12598-2024 tillsynsbegäran mail.docx", "A 12598-2024")</f>
        <v/>
      </c>
    </row>
    <row r="188" ht="15" customHeight="1">
      <c r="A188" t="inlineStr">
        <is>
          <t>A 16419-2024</t>
        </is>
      </c>
      <c r="B188" s="1" t="n">
        <v>45407</v>
      </c>
      <c r="C188" s="1" t="n">
        <v>45975</v>
      </c>
      <c r="D188" t="inlineStr">
        <is>
          <t>KALMAR LÄN</t>
        </is>
      </c>
      <c r="E188" t="inlineStr">
        <is>
          <t>VÄSTERVIK</t>
        </is>
      </c>
      <c r="F188" t="inlineStr">
        <is>
          <t>Holmen skog AB</t>
        </is>
      </c>
      <c r="G188" t="n">
        <v>1.8</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16419-2024 artfynd.xlsx", "A 16419-2024")</f>
        <v/>
      </c>
      <c r="T188">
        <f>HYPERLINK("https://klasma.github.io/Logging_0883/kartor/A 16419-2024 karta.png", "A 16419-2024")</f>
        <v/>
      </c>
      <c r="U188">
        <f>HYPERLINK("https://klasma.github.io/Logging_0883/knärot/A 16419-2024 karta knärot.png", "A 16419-2024")</f>
        <v/>
      </c>
      <c r="V188">
        <f>HYPERLINK("https://klasma.github.io/Logging_0883/klagomål/A 16419-2024 FSC-klagomål.docx", "A 16419-2024")</f>
        <v/>
      </c>
      <c r="W188">
        <f>HYPERLINK("https://klasma.github.io/Logging_0883/klagomålsmail/A 16419-2024 FSC-klagomål mail.docx", "A 16419-2024")</f>
        <v/>
      </c>
      <c r="X188">
        <f>HYPERLINK("https://klasma.github.io/Logging_0883/tillsyn/A 16419-2024 tillsynsbegäran.docx", "A 16419-2024")</f>
        <v/>
      </c>
      <c r="Y188">
        <f>HYPERLINK("https://klasma.github.io/Logging_0883/tillsynsmail/A 16419-2024 tillsynsbegäran mail.docx", "A 16419-2024")</f>
        <v/>
      </c>
      <c r="Z188">
        <f>HYPERLINK("https://klasma.github.io/Logging_0883/fåglar/A 16419-2024 prioriterade fågelarter.docx", "A 16419-2024")</f>
        <v/>
      </c>
    </row>
    <row r="189" ht="15" customHeight="1">
      <c r="A189" t="inlineStr">
        <is>
          <t>A 50977-2021</t>
        </is>
      </c>
      <c r="B189" s="1" t="n">
        <v>44460.68069444445</v>
      </c>
      <c r="C189" s="1" t="n">
        <v>45975</v>
      </c>
      <c r="D189" t="inlineStr">
        <is>
          <t>KALMAR LÄN</t>
        </is>
      </c>
      <c r="E189" t="inlineStr">
        <is>
          <t>VÄSTERVIK</t>
        </is>
      </c>
      <c r="G189" t="n">
        <v>0.8</v>
      </c>
      <c r="H189" t="n">
        <v>1</v>
      </c>
      <c r="I189" t="n">
        <v>0</v>
      </c>
      <c r="J189" t="n">
        <v>1</v>
      </c>
      <c r="K189" t="n">
        <v>0</v>
      </c>
      <c r="L189" t="n">
        <v>0</v>
      </c>
      <c r="M189" t="n">
        <v>0</v>
      </c>
      <c r="N189" t="n">
        <v>0</v>
      </c>
      <c r="O189" t="n">
        <v>1</v>
      </c>
      <c r="P189" t="n">
        <v>0</v>
      </c>
      <c r="Q189" t="n">
        <v>1</v>
      </c>
      <c r="R189" s="2" t="inlineStr">
        <is>
          <t>Entita</t>
        </is>
      </c>
      <c r="S189">
        <f>HYPERLINK("https://klasma.github.io/Logging_0883/artfynd/A 50977-2021 artfynd.xlsx", "A 50977-2021")</f>
        <v/>
      </c>
      <c r="T189">
        <f>HYPERLINK("https://klasma.github.io/Logging_0883/kartor/A 50977-2021 karta.png", "A 50977-2021")</f>
        <v/>
      </c>
      <c r="V189">
        <f>HYPERLINK("https://klasma.github.io/Logging_0883/klagomål/A 50977-2021 FSC-klagomål.docx", "A 50977-2021")</f>
        <v/>
      </c>
      <c r="W189">
        <f>HYPERLINK("https://klasma.github.io/Logging_0883/klagomålsmail/A 50977-2021 FSC-klagomål mail.docx", "A 50977-2021")</f>
        <v/>
      </c>
      <c r="X189">
        <f>HYPERLINK("https://klasma.github.io/Logging_0883/tillsyn/A 50977-2021 tillsynsbegäran.docx", "A 50977-2021")</f>
        <v/>
      </c>
      <c r="Y189">
        <f>HYPERLINK("https://klasma.github.io/Logging_0883/tillsynsmail/A 50977-2021 tillsynsbegäran mail.docx", "A 50977-2021")</f>
        <v/>
      </c>
      <c r="Z189">
        <f>HYPERLINK("https://klasma.github.io/Logging_0883/fåglar/A 50977-2021 prioriterade fågelarter.docx", "A 50977-2021")</f>
        <v/>
      </c>
    </row>
    <row r="190" ht="15" customHeight="1">
      <c r="A190" t="inlineStr">
        <is>
          <t>A 69632-2020</t>
        </is>
      </c>
      <c r="B190" s="1" t="n">
        <v>44195</v>
      </c>
      <c r="C190" s="1" t="n">
        <v>45975</v>
      </c>
      <c r="D190" t="inlineStr">
        <is>
          <t>KALMAR LÄN</t>
        </is>
      </c>
      <c r="E190" t="inlineStr">
        <is>
          <t>VÄSTERVIK</t>
        </is>
      </c>
      <c r="G190" t="n">
        <v>2.5</v>
      </c>
      <c r="H190" t="n">
        <v>0</v>
      </c>
      <c r="I190" t="n">
        <v>0</v>
      </c>
      <c r="J190" t="n">
        <v>1</v>
      </c>
      <c r="K190" t="n">
        <v>0</v>
      </c>
      <c r="L190" t="n">
        <v>0</v>
      </c>
      <c r="M190" t="n">
        <v>0</v>
      </c>
      <c r="N190" t="n">
        <v>0</v>
      </c>
      <c r="O190" t="n">
        <v>1</v>
      </c>
      <c r="P190" t="n">
        <v>0</v>
      </c>
      <c r="Q190" t="n">
        <v>1</v>
      </c>
      <c r="R190" s="2" t="inlineStr">
        <is>
          <t>Tallticka</t>
        </is>
      </c>
      <c r="S190">
        <f>HYPERLINK("https://klasma.github.io/Logging_0883/artfynd/A 69632-2020 artfynd.xlsx", "A 69632-2020")</f>
        <v/>
      </c>
      <c r="T190">
        <f>HYPERLINK("https://klasma.github.io/Logging_0883/kartor/A 69632-2020 karta.png", "A 69632-2020")</f>
        <v/>
      </c>
      <c r="V190">
        <f>HYPERLINK("https://klasma.github.io/Logging_0883/klagomål/A 69632-2020 FSC-klagomål.docx", "A 69632-2020")</f>
        <v/>
      </c>
      <c r="W190">
        <f>HYPERLINK("https://klasma.github.io/Logging_0883/klagomålsmail/A 69632-2020 FSC-klagomål mail.docx", "A 69632-2020")</f>
        <v/>
      </c>
      <c r="X190">
        <f>HYPERLINK("https://klasma.github.io/Logging_0883/tillsyn/A 69632-2020 tillsynsbegäran.docx", "A 69632-2020")</f>
        <v/>
      </c>
      <c r="Y190">
        <f>HYPERLINK("https://klasma.github.io/Logging_0883/tillsynsmail/A 69632-2020 tillsynsbegäran mail.docx", "A 69632-2020")</f>
        <v/>
      </c>
    </row>
    <row r="191" ht="15" customHeight="1">
      <c r="A191" t="inlineStr">
        <is>
          <t>A 52831-2021</t>
        </is>
      </c>
      <c r="B191" s="1" t="n">
        <v>44467</v>
      </c>
      <c r="C191" s="1" t="n">
        <v>45975</v>
      </c>
      <c r="D191" t="inlineStr">
        <is>
          <t>KALMAR LÄN</t>
        </is>
      </c>
      <c r="E191" t="inlineStr">
        <is>
          <t>VÄSTERVIK</t>
        </is>
      </c>
      <c r="G191" t="n">
        <v>0.8</v>
      </c>
      <c r="H191" t="n">
        <v>0</v>
      </c>
      <c r="I191" t="n">
        <v>0</v>
      </c>
      <c r="J191" t="n">
        <v>1</v>
      </c>
      <c r="K191" t="n">
        <v>0</v>
      </c>
      <c r="L191" t="n">
        <v>0</v>
      </c>
      <c r="M191" t="n">
        <v>0</v>
      </c>
      <c r="N191" t="n">
        <v>0</v>
      </c>
      <c r="O191" t="n">
        <v>1</v>
      </c>
      <c r="P191" t="n">
        <v>0</v>
      </c>
      <c r="Q191" t="n">
        <v>1</v>
      </c>
      <c r="R191" s="2" t="inlineStr">
        <is>
          <t>Tallticka</t>
        </is>
      </c>
      <c r="S191">
        <f>HYPERLINK("https://klasma.github.io/Logging_0883/artfynd/A 52831-2021 artfynd.xlsx", "A 52831-2021")</f>
        <v/>
      </c>
      <c r="T191">
        <f>HYPERLINK("https://klasma.github.io/Logging_0883/kartor/A 52831-2021 karta.png", "A 52831-2021")</f>
        <v/>
      </c>
      <c r="V191">
        <f>HYPERLINK("https://klasma.github.io/Logging_0883/klagomål/A 52831-2021 FSC-klagomål.docx", "A 52831-2021")</f>
        <v/>
      </c>
      <c r="W191">
        <f>HYPERLINK("https://klasma.github.io/Logging_0883/klagomålsmail/A 52831-2021 FSC-klagomål mail.docx", "A 52831-2021")</f>
        <v/>
      </c>
      <c r="X191">
        <f>HYPERLINK("https://klasma.github.io/Logging_0883/tillsyn/A 52831-2021 tillsynsbegäran.docx", "A 52831-2021")</f>
        <v/>
      </c>
      <c r="Y191">
        <f>HYPERLINK("https://klasma.github.io/Logging_0883/tillsynsmail/A 52831-2021 tillsynsbegäran mail.docx", "A 52831-2021")</f>
        <v/>
      </c>
    </row>
    <row r="192" ht="15" customHeight="1">
      <c r="A192" t="inlineStr">
        <is>
          <t>A 66752-2020</t>
        </is>
      </c>
      <c r="B192" s="1" t="n">
        <v>44175</v>
      </c>
      <c r="C192" s="1" t="n">
        <v>45975</v>
      </c>
      <c r="D192" t="inlineStr">
        <is>
          <t>KALMAR LÄN</t>
        </is>
      </c>
      <c r="E192" t="inlineStr">
        <is>
          <t>VÄSTERVIK</t>
        </is>
      </c>
      <c r="G192" t="n">
        <v>0.7</v>
      </c>
      <c r="H192" t="n">
        <v>0</v>
      </c>
      <c r="I192" t="n">
        <v>0</v>
      </c>
      <c r="J192" t="n">
        <v>1</v>
      </c>
      <c r="K192" t="n">
        <v>0</v>
      </c>
      <c r="L192" t="n">
        <v>0</v>
      </c>
      <c r="M192" t="n">
        <v>0</v>
      </c>
      <c r="N192" t="n">
        <v>0</v>
      </c>
      <c r="O192" t="n">
        <v>1</v>
      </c>
      <c r="P192" t="n">
        <v>0</v>
      </c>
      <c r="Q192" t="n">
        <v>1</v>
      </c>
      <c r="R192" s="2" t="inlineStr">
        <is>
          <t>Tallticka</t>
        </is>
      </c>
      <c r="S192">
        <f>HYPERLINK("https://klasma.github.io/Logging_0883/artfynd/A 66752-2020 artfynd.xlsx", "A 66752-2020")</f>
        <v/>
      </c>
      <c r="T192">
        <f>HYPERLINK("https://klasma.github.io/Logging_0883/kartor/A 66752-2020 karta.png", "A 66752-2020")</f>
        <v/>
      </c>
      <c r="V192">
        <f>HYPERLINK("https://klasma.github.io/Logging_0883/klagomål/A 66752-2020 FSC-klagomål.docx", "A 66752-2020")</f>
        <v/>
      </c>
      <c r="W192">
        <f>HYPERLINK("https://klasma.github.io/Logging_0883/klagomålsmail/A 66752-2020 FSC-klagomål mail.docx", "A 66752-2020")</f>
        <v/>
      </c>
      <c r="X192">
        <f>HYPERLINK("https://klasma.github.io/Logging_0883/tillsyn/A 66752-2020 tillsynsbegäran.docx", "A 66752-2020")</f>
        <v/>
      </c>
      <c r="Y192">
        <f>HYPERLINK("https://klasma.github.io/Logging_0883/tillsynsmail/A 66752-2020 tillsynsbegäran mail.docx", "A 66752-2020")</f>
        <v/>
      </c>
    </row>
    <row r="193" ht="15" customHeight="1">
      <c r="A193" t="inlineStr">
        <is>
          <t>A 6025-2024</t>
        </is>
      </c>
      <c r="B193" s="1" t="n">
        <v>45336</v>
      </c>
      <c r="C193" s="1" t="n">
        <v>45975</v>
      </c>
      <c r="D193" t="inlineStr">
        <is>
          <t>KALMAR LÄN</t>
        </is>
      </c>
      <c r="E193" t="inlineStr">
        <is>
          <t>VÄSTERVIK</t>
        </is>
      </c>
      <c r="G193" t="n">
        <v>2.8</v>
      </c>
      <c r="H193" t="n">
        <v>0</v>
      </c>
      <c r="I193" t="n">
        <v>0</v>
      </c>
      <c r="J193" t="n">
        <v>1</v>
      </c>
      <c r="K193" t="n">
        <v>0</v>
      </c>
      <c r="L193" t="n">
        <v>0</v>
      </c>
      <c r="M193" t="n">
        <v>0</v>
      </c>
      <c r="N193" t="n">
        <v>0</v>
      </c>
      <c r="O193" t="n">
        <v>1</v>
      </c>
      <c r="P193" t="n">
        <v>0</v>
      </c>
      <c r="Q193" t="n">
        <v>1</v>
      </c>
      <c r="R193" s="2" t="inlineStr">
        <is>
          <t>Tallticka</t>
        </is>
      </c>
      <c r="S193">
        <f>HYPERLINK("https://klasma.github.io/Logging_0883/artfynd/A 6025-2024 artfynd.xlsx", "A 6025-2024")</f>
        <v/>
      </c>
      <c r="T193">
        <f>HYPERLINK("https://klasma.github.io/Logging_0883/kartor/A 6025-2024 karta.png", "A 6025-2024")</f>
        <v/>
      </c>
      <c r="V193">
        <f>HYPERLINK("https://klasma.github.io/Logging_0883/klagomål/A 6025-2024 FSC-klagomål.docx", "A 6025-2024")</f>
        <v/>
      </c>
      <c r="W193">
        <f>HYPERLINK("https://klasma.github.io/Logging_0883/klagomålsmail/A 6025-2024 FSC-klagomål mail.docx", "A 6025-2024")</f>
        <v/>
      </c>
      <c r="X193">
        <f>HYPERLINK("https://klasma.github.io/Logging_0883/tillsyn/A 6025-2024 tillsynsbegäran.docx", "A 6025-2024")</f>
        <v/>
      </c>
      <c r="Y193">
        <f>HYPERLINK("https://klasma.github.io/Logging_0883/tillsynsmail/A 6025-2024 tillsynsbegäran mail.docx", "A 6025-2024")</f>
        <v/>
      </c>
    </row>
    <row r="194" ht="15" customHeight="1">
      <c r="A194" t="inlineStr">
        <is>
          <t>A 32653-2023</t>
        </is>
      </c>
      <c r="B194" s="1" t="n">
        <v>45121</v>
      </c>
      <c r="C194" s="1" t="n">
        <v>45975</v>
      </c>
      <c r="D194" t="inlineStr">
        <is>
          <t>KALMAR LÄN</t>
        </is>
      </c>
      <c r="E194" t="inlineStr">
        <is>
          <t>VÄSTERVIK</t>
        </is>
      </c>
      <c r="G194" t="n">
        <v>1.4</v>
      </c>
      <c r="H194" t="n">
        <v>1</v>
      </c>
      <c r="I194" t="n">
        <v>0</v>
      </c>
      <c r="J194" t="n">
        <v>0</v>
      </c>
      <c r="K194" t="n">
        <v>1</v>
      </c>
      <c r="L194" t="n">
        <v>0</v>
      </c>
      <c r="M194" t="n">
        <v>0</v>
      </c>
      <c r="N194" t="n">
        <v>0</v>
      </c>
      <c r="O194" t="n">
        <v>1</v>
      </c>
      <c r="P194" t="n">
        <v>1</v>
      </c>
      <c r="Q194" t="n">
        <v>1</v>
      </c>
      <c r="R194" s="2" t="inlineStr">
        <is>
          <t>Knärot</t>
        </is>
      </c>
      <c r="S194">
        <f>HYPERLINK("https://klasma.github.io/Logging_0883/artfynd/A 32653-2023 artfynd.xlsx", "A 32653-2023")</f>
        <v/>
      </c>
      <c r="T194">
        <f>HYPERLINK("https://klasma.github.io/Logging_0883/kartor/A 32653-2023 karta.png", "A 32653-2023")</f>
        <v/>
      </c>
      <c r="U194">
        <f>HYPERLINK("https://klasma.github.io/Logging_0883/knärot/A 32653-2023 karta knärot.png", "A 32653-2023")</f>
        <v/>
      </c>
      <c r="V194">
        <f>HYPERLINK("https://klasma.github.io/Logging_0883/klagomål/A 32653-2023 FSC-klagomål.docx", "A 32653-2023")</f>
        <v/>
      </c>
      <c r="W194">
        <f>HYPERLINK("https://klasma.github.io/Logging_0883/klagomålsmail/A 32653-2023 FSC-klagomål mail.docx", "A 32653-2023")</f>
        <v/>
      </c>
      <c r="X194">
        <f>HYPERLINK("https://klasma.github.io/Logging_0883/tillsyn/A 32653-2023 tillsynsbegäran.docx", "A 32653-2023")</f>
        <v/>
      </c>
      <c r="Y194">
        <f>HYPERLINK("https://klasma.github.io/Logging_0883/tillsynsmail/A 32653-2023 tillsynsbegäran mail.docx", "A 32653-2023")</f>
        <v/>
      </c>
    </row>
    <row r="195" ht="15" customHeight="1">
      <c r="A195" t="inlineStr">
        <is>
          <t>A 46559-2022</t>
        </is>
      </c>
      <c r="B195" s="1" t="n">
        <v>44848</v>
      </c>
      <c r="C195" s="1" t="n">
        <v>45975</v>
      </c>
      <c r="D195" t="inlineStr">
        <is>
          <t>KALMAR LÄN</t>
        </is>
      </c>
      <c r="E195" t="inlineStr">
        <is>
          <t>VÄSTERVIK</t>
        </is>
      </c>
      <c r="F195" t="inlineStr">
        <is>
          <t>Sveaskog</t>
        </is>
      </c>
      <c r="G195" t="n">
        <v>2.2</v>
      </c>
      <c r="H195" t="n">
        <v>1</v>
      </c>
      <c r="I195" t="n">
        <v>0</v>
      </c>
      <c r="J195" t="n">
        <v>0</v>
      </c>
      <c r="K195" t="n">
        <v>0</v>
      </c>
      <c r="L195" t="n">
        <v>0</v>
      </c>
      <c r="M195" t="n">
        <v>0</v>
      </c>
      <c r="N195" t="n">
        <v>0</v>
      </c>
      <c r="O195" t="n">
        <v>0</v>
      </c>
      <c r="P195" t="n">
        <v>0</v>
      </c>
      <c r="Q195" t="n">
        <v>1</v>
      </c>
      <c r="R195" s="2" t="inlineStr">
        <is>
          <t>Blåsippa</t>
        </is>
      </c>
      <c r="S195">
        <f>HYPERLINK("https://klasma.github.io/Logging_0883/artfynd/A 46559-2022 artfynd.xlsx", "A 46559-2022")</f>
        <v/>
      </c>
      <c r="T195">
        <f>HYPERLINK("https://klasma.github.io/Logging_0883/kartor/A 46559-2022 karta.png", "A 46559-2022")</f>
        <v/>
      </c>
      <c r="V195">
        <f>HYPERLINK("https://klasma.github.io/Logging_0883/klagomål/A 46559-2022 FSC-klagomål.docx", "A 46559-2022")</f>
        <v/>
      </c>
      <c r="W195">
        <f>HYPERLINK("https://klasma.github.io/Logging_0883/klagomålsmail/A 46559-2022 FSC-klagomål mail.docx", "A 46559-2022")</f>
        <v/>
      </c>
      <c r="X195">
        <f>HYPERLINK("https://klasma.github.io/Logging_0883/tillsyn/A 46559-2022 tillsynsbegäran.docx", "A 46559-2022")</f>
        <v/>
      </c>
      <c r="Y195">
        <f>HYPERLINK("https://klasma.github.io/Logging_0883/tillsynsmail/A 46559-2022 tillsynsbegäran mail.docx", "A 46559-2022")</f>
        <v/>
      </c>
    </row>
    <row r="196" ht="15" customHeight="1">
      <c r="A196" t="inlineStr">
        <is>
          <t>A 59178-2022</t>
        </is>
      </c>
      <c r="B196" s="1" t="n">
        <v>44904</v>
      </c>
      <c r="C196" s="1" t="n">
        <v>45975</v>
      </c>
      <c r="D196" t="inlineStr">
        <is>
          <t>KALMAR LÄN</t>
        </is>
      </c>
      <c r="E196" t="inlineStr">
        <is>
          <t>VÄSTERVIK</t>
        </is>
      </c>
      <c r="G196" t="n">
        <v>3.3</v>
      </c>
      <c r="H196" t="n">
        <v>0</v>
      </c>
      <c r="I196" t="n">
        <v>0</v>
      </c>
      <c r="J196" t="n">
        <v>1</v>
      </c>
      <c r="K196" t="n">
        <v>0</v>
      </c>
      <c r="L196" t="n">
        <v>0</v>
      </c>
      <c r="M196" t="n">
        <v>0</v>
      </c>
      <c r="N196" t="n">
        <v>0</v>
      </c>
      <c r="O196" t="n">
        <v>1</v>
      </c>
      <c r="P196" t="n">
        <v>0</v>
      </c>
      <c r="Q196" t="n">
        <v>1</v>
      </c>
      <c r="R196" s="2" t="inlineStr">
        <is>
          <t>Tallticka</t>
        </is>
      </c>
      <c r="S196">
        <f>HYPERLINK("https://klasma.github.io/Logging_0883/artfynd/A 59178-2022 artfynd.xlsx", "A 59178-2022")</f>
        <v/>
      </c>
      <c r="T196">
        <f>HYPERLINK("https://klasma.github.io/Logging_0883/kartor/A 59178-2022 karta.png", "A 59178-2022")</f>
        <v/>
      </c>
      <c r="V196">
        <f>HYPERLINK("https://klasma.github.io/Logging_0883/klagomål/A 59178-2022 FSC-klagomål.docx", "A 59178-2022")</f>
        <v/>
      </c>
      <c r="W196">
        <f>HYPERLINK("https://klasma.github.io/Logging_0883/klagomålsmail/A 59178-2022 FSC-klagomål mail.docx", "A 59178-2022")</f>
        <v/>
      </c>
      <c r="X196">
        <f>HYPERLINK("https://klasma.github.io/Logging_0883/tillsyn/A 59178-2022 tillsynsbegäran.docx", "A 59178-2022")</f>
        <v/>
      </c>
      <c r="Y196">
        <f>HYPERLINK("https://klasma.github.io/Logging_0883/tillsynsmail/A 59178-2022 tillsynsbegäran mail.docx", "A 59178-2022")</f>
        <v/>
      </c>
    </row>
    <row r="197" ht="15" customHeight="1">
      <c r="A197" t="inlineStr">
        <is>
          <t>A 25594-2021</t>
        </is>
      </c>
      <c r="B197" s="1" t="n">
        <v>44343</v>
      </c>
      <c r="C197" s="1" t="n">
        <v>45975</v>
      </c>
      <c r="D197" t="inlineStr">
        <is>
          <t>KALMAR LÄN</t>
        </is>
      </c>
      <c r="E197" t="inlineStr">
        <is>
          <t>VÄSTERVIK</t>
        </is>
      </c>
      <c r="F197" t="inlineStr">
        <is>
          <t>Holmen skog AB</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HYPERLINK("https://klasma.github.io/Logging_0883/artfynd/A 25594-2021 artfynd.xlsx", "A 25594-2021")</f>
        <v/>
      </c>
      <c r="T197">
        <f>HYPERLINK("https://klasma.github.io/Logging_0883/kartor/A 25594-2021 karta.png", "A 25594-2021")</f>
        <v/>
      </c>
      <c r="U197">
        <f>HYPERLINK("https://klasma.github.io/Logging_0883/knärot/A 25594-2021 karta knärot.png", "A 25594-2021")</f>
        <v/>
      </c>
      <c r="V197">
        <f>HYPERLINK("https://klasma.github.io/Logging_0883/klagomål/A 25594-2021 FSC-klagomål.docx", "A 25594-2021")</f>
        <v/>
      </c>
      <c r="W197">
        <f>HYPERLINK("https://klasma.github.io/Logging_0883/klagomålsmail/A 25594-2021 FSC-klagomål mail.docx", "A 25594-2021")</f>
        <v/>
      </c>
      <c r="X197">
        <f>HYPERLINK("https://klasma.github.io/Logging_0883/tillsyn/A 25594-2021 tillsynsbegäran.docx", "A 25594-2021")</f>
        <v/>
      </c>
      <c r="Y197">
        <f>HYPERLINK("https://klasma.github.io/Logging_0883/tillsynsmail/A 25594-2021 tillsynsbegäran mail.docx", "A 25594-2021")</f>
        <v/>
      </c>
    </row>
    <row r="198" ht="15" customHeight="1">
      <c r="A198" t="inlineStr">
        <is>
          <t>A 12662-2022</t>
        </is>
      </c>
      <c r="B198" s="1" t="n">
        <v>44641</v>
      </c>
      <c r="C198" s="1" t="n">
        <v>45975</v>
      </c>
      <c r="D198" t="inlineStr">
        <is>
          <t>KALMAR LÄN</t>
        </is>
      </c>
      <c r="E198" t="inlineStr">
        <is>
          <t>VÄSTERVIK</t>
        </is>
      </c>
      <c r="G198" t="n">
        <v>2.1</v>
      </c>
      <c r="H198" t="n">
        <v>0</v>
      </c>
      <c r="I198" t="n">
        <v>1</v>
      </c>
      <c r="J198" t="n">
        <v>0</v>
      </c>
      <c r="K198" t="n">
        <v>0</v>
      </c>
      <c r="L198" t="n">
        <v>0</v>
      </c>
      <c r="M198" t="n">
        <v>0</v>
      </c>
      <c r="N198" t="n">
        <v>0</v>
      </c>
      <c r="O198" t="n">
        <v>0</v>
      </c>
      <c r="P198" t="n">
        <v>0</v>
      </c>
      <c r="Q198" t="n">
        <v>1</v>
      </c>
      <c r="R198" s="2" t="inlineStr">
        <is>
          <t>Blåmossa</t>
        </is>
      </c>
      <c r="S198">
        <f>HYPERLINK("https://klasma.github.io/Logging_0883/artfynd/A 12662-2022 artfynd.xlsx", "A 12662-2022")</f>
        <v/>
      </c>
      <c r="T198">
        <f>HYPERLINK("https://klasma.github.io/Logging_0883/kartor/A 12662-2022 karta.png", "A 12662-2022")</f>
        <v/>
      </c>
      <c r="V198">
        <f>HYPERLINK("https://klasma.github.io/Logging_0883/klagomål/A 12662-2022 FSC-klagomål.docx", "A 12662-2022")</f>
        <v/>
      </c>
      <c r="W198">
        <f>HYPERLINK("https://klasma.github.io/Logging_0883/klagomålsmail/A 12662-2022 FSC-klagomål mail.docx", "A 12662-2022")</f>
        <v/>
      </c>
      <c r="X198">
        <f>HYPERLINK("https://klasma.github.io/Logging_0883/tillsyn/A 12662-2022 tillsynsbegäran.docx", "A 12662-2022")</f>
        <v/>
      </c>
      <c r="Y198">
        <f>HYPERLINK("https://klasma.github.io/Logging_0883/tillsynsmail/A 12662-2022 tillsynsbegäran mail.docx", "A 12662-2022")</f>
        <v/>
      </c>
    </row>
    <row r="199" ht="15" customHeight="1">
      <c r="A199" t="inlineStr">
        <is>
          <t>A 5575-2021</t>
        </is>
      </c>
      <c r="B199" s="1" t="n">
        <v>44230</v>
      </c>
      <c r="C199" s="1" t="n">
        <v>45975</v>
      </c>
      <c r="D199" t="inlineStr">
        <is>
          <t>KALMAR LÄN</t>
        </is>
      </c>
      <c r="E199" t="inlineStr">
        <is>
          <t>VÄSTERVIK</t>
        </is>
      </c>
      <c r="G199" t="n">
        <v>2.6</v>
      </c>
      <c r="H199" t="n">
        <v>1</v>
      </c>
      <c r="I199" t="n">
        <v>1</v>
      </c>
      <c r="J199" t="n">
        <v>0</v>
      </c>
      <c r="K199" t="n">
        <v>0</v>
      </c>
      <c r="L199" t="n">
        <v>0</v>
      </c>
      <c r="M199" t="n">
        <v>0</v>
      </c>
      <c r="N199" t="n">
        <v>0</v>
      </c>
      <c r="O199" t="n">
        <v>0</v>
      </c>
      <c r="P199" t="n">
        <v>0</v>
      </c>
      <c r="Q199" t="n">
        <v>1</v>
      </c>
      <c r="R199" s="2" t="inlineStr">
        <is>
          <t>Ekoxe</t>
        </is>
      </c>
      <c r="S199">
        <f>HYPERLINK("https://klasma.github.io/Logging_0883/artfynd/A 5575-2021 artfynd.xlsx", "A 5575-2021")</f>
        <v/>
      </c>
      <c r="T199">
        <f>HYPERLINK("https://klasma.github.io/Logging_0883/kartor/A 5575-2021 karta.png", "A 5575-2021")</f>
        <v/>
      </c>
      <c r="V199">
        <f>HYPERLINK("https://klasma.github.io/Logging_0883/klagomål/A 5575-2021 FSC-klagomål.docx", "A 5575-2021")</f>
        <v/>
      </c>
      <c r="W199">
        <f>HYPERLINK("https://klasma.github.io/Logging_0883/klagomålsmail/A 5575-2021 FSC-klagomål mail.docx", "A 5575-2021")</f>
        <v/>
      </c>
      <c r="X199">
        <f>HYPERLINK("https://klasma.github.io/Logging_0883/tillsyn/A 5575-2021 tillsynsbegäran.docx", "A 5575-2021")</f>
        <v/>
      </c>
      <c r="Y199">
        <f>HYPERLINK("https://klasma.github.io/Logging_0883/tillsynsmail/A 5575-2021 tillsynsbegäran mail.docx", "A 5575-2021")</f>
        <v/>
      </c>
    </row>
    <row r="200" ht="15" customHeight="1">
      <c r="A200" t="inlineStr">
        <is>
          <t>A 46556-2022</t>
        </is>
      </c>
      <c r="B200" s="1" t="n">
        <v>44848</v>
      </c>
      <c r="C200" s="1" t="n">
        <v>45975</v>
      </c>
      <c r="D200" t="inlineStr">
        <is>
          <t>KALMAR LÄN</t>
        </is>
      </c>
      <c r="E200" t="inlineStr">
        <is>
          <t>VÄSTERVIK</t>
        </is>
      </c>
      <c r="F200" t="inlineStr">
        <is>
          <t>Sveaskog</t>
        </is>
      </c>
      <c r="G200" t="n">
        <v>1.5</v>
      </c>
      <c r="H200" t="n">
        <v>0</v>
      </c>
      <c r="I200" t="n">
        <v>1</v>
      </c>
      <c r="J200" t="n">
        <v>0</v>
      </c>
      <c r="K200" t="n">
        <v>0</v>
      </c>
      <c r="L200" t="n">
        <v>0</v>
      </c>
      <c r="M200" t="n">
        <v>0</v>
      </c>
      <c r="N200" t="n">
        <v>0</v>
      </c>
      <c r="O200" t="n">
        <v>0</v>
      </c>
      <c r="P200" t="n">
        <v>0</v>
      </c>
      <c r="Q200" t="n">
        <v>1</v>
      </c>
      <c r="R200" s="2" t="inlineStr">
        <is>
          <t>Fjällig taggsvamp s.str.</t>
        </is>
      </c>
      <c r="S200">
        <f>HYPERLINK("https://klasma.github.io/Logging_0883/artfynd/A 46556-2022 artfynd.xlsx", "A 46556-2022")</f>
        <v/>
      </c>
      <c r="T200">
        <f>HYPERLINK("https://klasma.github.io/Logging_0883/kartor/A 46556-2022 karta.png", "A 46556-2022")</f>
        <v/>
      </c>
      <c r="V200">
        <f>HYPERLINK("https://klasma.github.io/Logging_0883/klagomål/A 46556-2022 FSC-klagomål.docx", "A 46556-2022")</f>
        <v/>
      </c>
      <c r="W200">
        <f>HYPERLINK("https://klasma.github.io/Logging_0883/klagomålsmail/A 46556-2022 FSC-klagomål mail.docx", "A 46556-2022")</f>
        <v/>
      </c>
      <c r="X200">
        <f>HYPERLINK("https://klasma.github.io/Logging_0883/tillsyn/A 46556-2022 tillsynsbegäran.docx", "A 46556-2022")</f>
        <v/>
      </c>
      <c r="Y200">
        <f>HYPERLINK("https://klasma.github.io/Logging_0883/tillsynsmail/A 46556-2022 tillsynsbegäran mail.docx", "A 46556-2022")</f>
        <v/>
      </c>
    </row>
    <row r="201" ht="15" customHeight="1">
      <c r="A201" t="inlineStr">
        <is>
          <t>A 33815-2023</t>
        </is>
      </c>
      <c r="B201" s="1" t="n">
        <v>45133.59306712963</v>
      </c>
      <c r="C201" s="1" t="n">
        <v>45975</v>
      </c>
      <c r="D201" t="inlineStr">
        <is>
          <t>KALMAR LÄN</t>
        </is>
      </c>
      <c r="E201" t="inlineStr">
        <is>
          <t>VÄSTERVIK</t>
        </is>
      </c>
      <c r="G201" t="n">
        <v>3.4</v>
      </c>
      <c r="H201" t="n">
        <v>0</v>
      </c>
      <c r="I201" t="n">
        <v>1</v>
      </c>
      <c r="J201" t="n">
        <v>0</v>
      </c>
      <c r="K201" t="n">
        <v>0</v>
      </c>
      <c r="L201" t="n">
        <v>0</v>
      </c>
      <c r="M201" t="n">
        <v>0</v>
      </c>
      <c r="N201" t="n">
        <v>0</v>
      </c>
      <c r="O201" t="n">
        <v>0</v>
      </c>
      <c r="P201" t="n">
        <v>0</v>
      </c>
      <c r="Q201" t="n">
        <v>1</v>
      </c>
      <c r="R201" s="2" t="inlineStr">
        <is>
          <t>Grönpyrola</t>
        </is>
      </c>
      <c r="S201">
        <f>HYPERLINK("https://klasma.github.io/Logging_0883/artfynd/A 33815-2023 artfynd.xlsx", "A 33815-2023")</f>
        <v/>
      </c>
      <c r="T201">
        <f>HYPERLINK("https://klasma.github.io/Logging_0883/kartor/A 33815-2023 karta.png", "A 33815-2023")</f>
        <v/>
      </c>
      <c r="V201">
        <f>HYPERLINK("https://klasma.github.io/Logging_0883/klagomål/A 33815-2023 FSC-klagomål.docx", "A 33815-2023")</f>
        <v/>
      </c>
      <c r="W201">
        <f>HYPERLINK("https://klasma.github.io/Logging_0883/klagomålsmail/A 33815-2023 FSC-klagomål mail.docx", "A 33815-2023")</f>
        <v/>
      </c>
      <c r="X201">
        <f>HYPERLINK("https://klasma.github.io/Logging_0883/tillsyn/A 33815-2023 tillsynsbegäran.docx", "A 33815-2023")</f>
        <v/>
      </c>
      <c r="Y201">
        <f>HYPERLINK("https://klasma.github.io/Logging_0883/tillsynsmail/A 33815-2023 tillsynsbegäran mail.docx", "A 33815-2023")</f>
        <v/>
      </c>
    </row>
    <row r="202" ht="15" customHeight="1">
      <c r="A202" t="inlineStr">
        <is>
          <t>A 33816-2023</t>
        </is>
      </c>
      <c r="B202" s="1" t="n">
        <v>45133.59490740741</v>
      </c>
      <c r="C202" s="1" t="n">
        <v>45975</v>
      </c>
      <c r="D202" t="inlineStr">
        <is>
          <t>KALMAR LÄN</t>
        </is>
      </c>
      <c r="E202" t="inlineStr">
        <is>
          <t>VÄSTERVIK</t>
        </is>
      </c>
      <c r="G202" t="n">
        <v>4.9</v>
      </c>
      <c r="H202" t="n">
        <v>0</v>
      </c>
      <c r="I202" t="n">
        <v>0</v>
      </c>
      <c r="J202" t="n">
        <v>1</v>
      </c>
      <c r="K202" t="n">
        <v>0</v>
      </c>
      <c r="L202" t="n">
        <v>0</v>
      </c>
      <c r="M202" t="n">
        <v>0</v>
      </c>
      <c r="N202" t="n">
        <v>0</v>
      </c>
      <c r="O202" t="n">
        <v>1</v>
      </c>
      <c r="P202" t="n">
        <v>0</v>
      </c>
      <c r="Q202" t="n">
        <v>1</v>
      </c>
      <c r="R202" s="2" t="inlineStr">
        <is>
          <t>Tallticka</t>
        </is>
      </c>
      <c r="S202">
        <f>HYPERLINK("https://klasma.github.io/Logging_0883/artfynd/A 33816-2023 artfynd.xlsx", "A 33816-2023")</f>
        <v/>
      </c>
      <c r="T202">
        <f>HYPERLINK("https://klasma.github.io/Logging_0883/kartor/A 33816-2023 karta.png", "A 33816-2023")</f>
        <v/>
      </c>
      <c r="V202">
        <f>HYPERLINK("https://klasma.github.io/Logging_0883/klagomål/A 33816-2023 FSC-klagomål.docx", "A 33816-2023")</f>
        <v/>
      </c>
      <c r="W202">
        <f>HYPERLINK("https://klasma.github.io/Logging_0883/klagomålsmail/A 33816-2023 FSC-klagomål mail.docx", "A 33816-2023")</f>
        <v/>
      </c>
      <c r="X202">
        <f>HYPERLINK("https://klasma.github.io/Logging_0883/tillsyn/A 33816-2023 tillsynsbegäran.docx", "A 33816-2023")</f>
        <v/>
      </c>
      <c r="Y202">
        <f>HYPERLINK("https://klasma.github.io/Logging_0883/tillsynsmail/A 33816-2023 tillsynsbegäran mail.docx", "A 33816-2023")</f>
        <v/>
      </c>
    </row>
    <row r="203" ht="15" customHeight="1">
      <c r="A203" t="inlineStr">
        <is>
          <t>A 1775-2025</t>
        </is>
      </c>
      <c r="B203" s="1" t="n">
        <v>45671.44059027778</v>
      </c>
      <c r="C203" s="1" t="n">
        <v>45975</v>
      </c>
      <c r="D203" t="inlineStr">
        <is>
          <t>KALMAR LÄN</t>
        </is>
      </c>
      <c r="E203" t="inlineStr">
        <is>
          <t>VÄSTERVIK</t>
        </is>
      </c>
      <c r="G203" t="n">
        <v>0.9</v>
      </c>
      <c r="H203" t="n">
        <v>1</v>
      </c>
      <c r="I203" t="n">
        <v>0</v>
      </c>
      <c r="J203" t="n">
        <v>0</v>
      </c>
      <c r="K203" t="n">
        <v>0</v>
      </c>
      <c r="L203" t="n">
        <v>0</v>
      </c>
      <c r="M203" t="n">
        <v>0</v>
      </c>
      <c r="N203" t="n">
        <v>0</v>
      </c>
      <c r="O203" t="n">
        <v>0</v>
      </c>
      <c r="P203" t="n">
        <v>0</v>
      </c>
      <c r="Q203" t="n">
        <v>1</v>
      </c>
      <c r="R203" s="2" t="inlineStr">
        <is>
          <t>Kungsfågel</t>
        </is>
      </c>
      <c r="S203">
        <f>HYPERLINK("https://klasma.github.io/Logging_0883/artfynd/A 1775-2025 artfynd.xlsx", "A 1775-2025")</f>
        <v/>
      </c>
      <c r="T203">
        <f>HYPERLINK("https://klasma.github.io/Logging_0883/kartor/A 1775-2025 karta.png", "A 1775-2025")</f>
        <v/>
      </c>
      <c r="V203">
        <f>HYPERLINK("https://klasma.github.io/Logging_0883/klagomål/A 1775-2025 FSC-klagomål.docx", "A 1775-2025")</f>
        <v/>
      </c>
      <c r="W203">
        <f>HYPERLINK("https://klasma.github.io/Logging_0883/klagomålsmail/A 1775-2025 FSC-klagomål mail.docx", "A 1775-2025")</f>
        <v/>
      </c>
      <c r="X203">
        <f>HYPERLINK("https://klasma.github.io/Logging_0883/tillsyn/A 1775-2025 tillsynsbegäran.docx", "A 1775-2025")</f>
        <v/>
      </c>
      <c r="Y203">
        <f>HYPERLINK("https://klasma.github.io/Logging_0883/tillsynsmail/A 1775-2025 tillsynsbegäran mail.docx", "A 1775-2025")</f>
        <v/>
      </c>
      <c r="Z203">
        <f>HYPERLINK("https://klasma.github.io/Logging_0883/fåglar/A 1775-2025 prioriterade fågelarter.docx", "A 1775-2025")</f>
        <v/>
      </c>
    </row>
    <row r="204" ht="15" customHeight="1">
      <c r="A204" t="inlineStr">
        <is>
          <t>A 43788-2023</t>
        </is>
      </c>
      <c r="B204" s="1" t="n">
        <v>45187.53707175926</v>
      </c>
      <c r="C204" s="1" t="n">
        <v>45975</v>
      </c>
      <c r="D204" t="inlineStr">
        <is>
          <t>KALMAR LÄN</t>
        </is>
      </c>
      <c r="E204" t="inlineStr">
        <is>
          <t>VÄSTERVIK</t>
        </is>
      </c>
      <c r="G204" t="n">
        <v>4.5</v>
      </c>
      <c r="H204" t="n">
        <v>0</v>
      </c>
      <c r="I204" t="n">
        <v>0</v>
      </c>
      <c r="J204" t="n">
        <v>1</v>
      </c>
      <c r="K204" t="n">
        <v>0</v>
      </c>
      <c r="L204" t="n">
        <v>0</v>
      </c>
      <c r="M204" t="n">
        <v>0</v>
      </c>
      <c r="N204" t="n">
        <v>0</v>
      </c>
      <c r="O204" t="n">
        <v>1</v>
      </c>
      <c r="P204" t="n">
        <v>0</v>
      </c>
      <c r="Q204" t="n">
        <v>1</v>
      </c>
      <c r="R204" s="2" t="inlineStr">
        <is>
          <t>Motaggsvamp</t>
        </is>
      </c>
      <c r="S204">
        <f>HYPERLINK("https://klasma.github.io/Logging_0883/artfynd/A 43788-2023 artfynd.xlsx", "A 43788-2023")</f>
        <v/>
      </c>
      <c r="T204">
        <f>HYPERLINK("https://klasma.github.io/Logging_0883/kartor/A 43788-2023 karta.png", "A 43788-2023")</f>
        <v/>
      </c>
      <c r="V204">
        <f>HYPERLINK("https://klasma.github.io/Logging_0883/klagomål/A 43788-2023 FSC-klagomål.docx", "A 43788-2023")</f>
        <v/>
      </c>
      <c r="W204">
        <f>HYPERLINK("https://klasma.github.io/Logging_0883/klagomålsmail/A 43788-2023 FSC-klagomål mail.docx", "A 43788-2023")</f>
        <v/>
      </c>
      <c r="X204">
        <f>HYPERLINK("https://klasma.github.io/Logging_0883/tillsyn/A 43788-2023 tillsynsbegäran.docx", "A 43788-2023")</f>
        <v/>
      </c>
      <c r="Y204">
        <f>HYPERLINK("https://klasma.github.io/Logging_0883/tillsynsmail/A 43788-2023 tillsynsbegäran mail.docx", "A 43788-2023")</f>
        <v/>
      </c>
    </row>
    <row r="205" ht="15" customHeight="1">
      <c r="A205" t="inlineStr">
        <is>
          <t>A 51514-2024</t>
        </is>
      </c>
      <c r="B205" s="1" t="n">
        <v>45604.5640625</v>
      </c>
      <c r="C205" s="1" t="n">
        <v>45975</v>
      </c>
      <c r="D205" t="inlineStr">
        <is>
          <t>KALMAR LÄN</t>
        </is>
      </c>
      <c r="E205" t="inlineStr">
        <is>
          <t>VÄSTERVIK</t>
        </is>
      </c>
      <c r="F205" t="inlineStr">
        <is>
          <t>Övriga Aktiebolag</t>
        </is>
      </c>
      <c r="G205" t="n">
        <v>2.4</v>
      </c>
      <c r="H205" t="n">
        <v>1</v>
      </c>
      <c r="I205" t="n">
        <v>0</v>
      </c>
      <c r="J205" t="n">
        <v>1</v>
      </c>
      <c r="K205" t="n">
        <v>0</v>
      </c>
      <c r="L205" t="n">
        <v>0</v>
      </c>
      <c r="M205" t="n">
        <v>0</v>
      </c>
      <c r="N205" t="n">
        <v>0</v>
      </c>
      <c r="O205" t="n">
        <v>1</v>
      </c>
      <c r="P205" t="n">
        <v>0</v>
      </c>
      <c r="Q205" t="n">
        <v>1</v>
      </c>
      <c r="R205" s="2" t="inlineStr">
        <is>
          <t>Havsörn</t>
        </is>
      </c>
      <c r="S205">
        <f>HYPERLINK("https://klasma.github.io/Logging_0883/artfynd/A 51514-2024 artfynd.xlsx", "A 51514-2024")</f>
        <v/>
      </c>
      <c r="T205">
        <f>HYPERLINK("https://klasma.github.io/Logging_0883/kartor/A 51514-2024 karta.png", "A 51514-2024")</f>
        <v/>
      </c>
      <c r="V205">
        <f>HYPERLINK("https://klasma.github.io/Logging_0883/klagomål/A 51514-2024 FSC-klagomål.docx", "A 51514-2024")</f>
        <v/>
      </c>
      <c r="W205">
        <f>HYPERLINK("https://klasma.github.io/Logging_0883/klagomålsmail/A 51514-2024 FSC-klagomål mail.docx", "A 51514-2024")</f>
        <v/>
      </c>
      <c r="X205">
        <f>HYPERLINK("https://klasma.github.io/Logging_0883/tillsyn/A 51514-2024 tillsynsbegäran.docx", "A 51514-2024")</f>
        <v/>
      </c>
      <c r="Y205">
        <f>HYPERLINK("https://klasma.github.io/Logging_0883/tillsynsmail/A 51514-2024 tillsynsbegäran mail.docx", "A 51514-2024")</f>
        <v/>
      </c>
      <c r="Z205">
        <f>HYPERLINK("https://klasma.github.io/Logging_0883/fåglar/A 51514-2024 prioriterade fågelarter.docx", "A 51514-2024")</f>
        <v/>
      </c>
    </row>
    <row r="206" ht="15" customHeight="1">
      <c r="A206" t="inlineStr">
        <is>
          <t>A 975-2023</t>
        </is>
      </c>
      <c r="B206" s="1" t="n">
        <v>44935</v>
      </c>
      <c r="C206" s="1" t="n">
        <v>45975</v>
      </c>
      <c r="D206" t="inlineStr">
        <is>
          <t>KALMAR LÄN</t>
        </is>
      </c>
      <c r="E206" t="inlineStr">
        <is>
          <t>VÄSTERVIK</t>
        </is>
      </c>
      <c r="G206" t="n">
        <v>1.7</v>
      </c>
      <c r="H206" t="n">
        <v>1</v>
      </c>
      <c r="I206" t="n">
        <v>0</v>
      </c>
      <c r="J206" t="n">
        <v>0</v>
      </c>
      <c r="K206" t="n">
        <v>1</v>
      </c>
      <c r="L206" t="n">
        <v>0</v>
      </c>
      <c r="M206" t="n">
        <v>0</v>
      </c>
      <c r="N206" t="n">
        <v>0</v>
      </c>
      <c r="O206" t="n">
        <v>1</v>
      </c>
      <c r="P206" t="n">
        <v>1</v>
      </c>
      <c r="Q206" t="n">
        <v>1</v>
      </c>
      <c r="R206" s="2" t="inlineStr">
        <is>
          <t>Läderbagge</t>
        </is>
      </c>
      <c r="S206">
        <f>HYPERLINK("https://klasma.github.io/Logging_0883/artfynd/A 975-2023 artfynd.xlsx", "A 975-2023")</f>
        <v/>
      </c>
      <c r="T206">
        <f>HYPERLINK("https://klasma.github.io/Logging_0883/kartor/A 975-2023 karta.png", "A 975-2023")</f>
        <v/>
      </c>
      <c r="V206">
        <f>HYPERLINK("https://klasma.github.io/Logging_0883/klagomål/A 975-2023 FSC-klagomål.docx", "A 975-2023")</f>
        <v/>
      </c>
      <c r="W206">
        <f>HYPERLINK("https://klasma.github.io/Logging_0883/klagomålsmail/A 975-2023 FSC-klagomål mail.docx", "A 975-2023")</f>
        <v/>
      </c>
      <c r="X206">
        <f>HYPERLINK("https://klasma.github.io/Logging_0883/tillsyn/A 975-2023 tillsynsbegäran.docx", "A 975-2023")</f>
        <v/>
      </c>
      <c r="Y206">
        <f>HYPERLINK("https://klasma.github.io/Logging_0883/tillsynsmail/A 975-2023 tillsynsbegäran mail.docx", "A 975-2023")</f>
        <v/>
      </c>
    </row>
    <row r="207" ht="15" customHeight="1">
      <c r="A207" t="inlineStr">
        <is>
          <t>A 14082-2025</t>
        </is>
      </c>
      <c r="B207" s="1" t="n">
        <v>45740.43934027778</v>
      </c>
      <c r="C207" s="1" t="n">
        <v>45975</v>
      </c>
      <c r="D207" t="inlineStr">
        <is>
          <t>KALMAR LÄN</t>
        </is>
      </c>
      <c r="E207" t="inlineStr">
        <is>
          <t>VÄSTERVIK</t>
        </is>
      </c>
      <c r="F207" t="inlineStr">
        <is>
          <t>Sveaskog</t>
        </is>
      </c>
      <c r="G207" t="n">
        <v>1.2</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HYPERLINK("https://klasma.github.io/Logging_0883/artfynd/A 14082-2025 artfynd.xlsx", "A 14082-2025")</f>
        <v/>
      </c>
      <c r="T207">
        <f>HYPERLINK("https://klasma.github.io/Logging_0883/kartor/A 14082-2025 karta.png", "A 14082-2025")</f>
        <v/>
      </c>
      <c r="V207">
        <f>HYPERLINK("https://klasma.github.io/Logging_0883/klagomål/A 14082-2025 FSC-klagomål.docx", "A 14082-2025")</f>
        <v/>
      </c>
      <c r="W207">
        <f>HYPERLINK("https://klasma.github.io/Logging_0883/klagomålsmail/A 14082-2025 FSC-klagomål mail.docx", "A 14082-2025")</f>
        <v/>
      </c>
      <c r="X207">
        <f>HYPERLINK("https://klasma.github.io/Logging_0883/tillsyn/A 14082-2025 tillsynsbegäran.docx", "A 14082-2025")</f>
        <v/>
      </c>
      <c r="Y207">
        <f>HYPERLINK("https://klasma.github.io/Logging_0883/tillsynsmail/A 14082-2025 tillsynsbegäran mail.docx", "A 14082-2025")</f>
        <v/>
      </c>
    </row>
    <row r="208" ht="15" customHeight="1">
      <c r="A208" t="inlineStr">
        <is>
          <t>A 61319-2021</t>
        </is>
      </c>
      <c r="B208" s="1" t="n">
        <v>44498</v>
      </c>
      <c r="C208" s="1" t="n">
        <v>45975</v>
      </c>
      <c r="D208" t="inlineStr">
        <is>
          <t>KALMAR LÄN</t>
        </is>
      </c>
      <c r="E208" t="inlineStr">
        <is>
          <t>VÄSTERVIK</t>
        </is>
      </c>
      <c r="G208" t="n">
        <v>2.2</v>
      </c>
      <c r="H208" t="n">
        <v>1</v>
      </c>
      <c r="I208" t="n">
        <v>1</v>
      </c>
      <c r="J208" t="n">
        <v>0</v>
      </c>
      <c r="K208" t="n">
        <v>0</v>
      </c>
      <c r="L208" t="n">
        <v>0</v>
      </c>
      <c r="M208" t="n">
        <v>0</v>
      </c>
      <c r="N208" t="n">
        <v>0</v>
      </c>
      <c r="O208" t="n">
        <v>0</v>
      </c>
      <c r="P208" t="n">
        <v>0</v>
      </c>
      <c r="Q208" t="n">
        <v>1</v>
      </c>
      <c r="R208" s="2" t="inlineStr">
        <is>
          <t>Ekoxe</t>
        </is>
      </c>
      <c r="S208">
        <f>HYPERLINK("https://klasma.github.io/Logging_0883/artfynd/A 61319-2021 artfynd.xlsx", "A 61319-2021")</f>
        <v/>
      </c>
      <c r="T208">
        <f>HYPERLINK("https://klasma.github.io/Logging_0883/kartor/A 61319-2021 karta.png", "A 61319-2021")</f>
        <v/>
      </c>
      <c r="V208">
        <f>HYPERLINK("https://klasma.github.io/Logging_0883/klagomål/A 61319-2021 FSC-klagomål.docx", "A 61319-2021")</f>
        <v/>
      </c>
      <c r="W208">
        <f>HYPERLINK("https://klasma.github.io/Logging_0883/klagomålsmail/A 61319-2021 FSC-klagomål mail.docx", "A 61319-2021")</f>
        <v/>
      </c>
      <c r="X208">
        <f>HYPERLINK("https://klasma.github.io/Logging_0883/tillsyn/A 61319-2021 tillsynsbegäran.docx", "A 61319-2021")</f>
        <v/>
      </c>
      <c r="Y208">
        <f>HYPERLINK("https://klasma.github.io/Logging_0883/tillsynsmail/A 61319-2021 tillsynsbegäran mail.docx", "A 61319-2021")</f>
        <v/>
      </c>
    </row>
    <row r="209" ht="15" customHeight="1">
      <c r="A209" t="inlineStr">
        <is>
          <t>A 47112-2023</t>
        </is>
      </c>
      <c r="B209" s="1" t="n">
        <v>45201</v>
      </c>
      <c r="C209" s="1" t="n">
        <v>45975</v>
      </c>
      <c r="D209" t="inlineStr">
        <is>
          <t>KALMAR LÄN</t>
        </is>
      </c>
      <c r="E209" t="inlineStr">
        <is>
          <t>VÄSTERVIK</t>
        </is>
      </c>
      <c r="G209" t="n">
        <v>1</v>
      </c>
      <c r="H209" t="n">
        <v>0</v>
      </c>
      <c r="I209" t="n">
        <v>0</v>
      </c>
      <c r="J209" t="n">
        <v>1</v>
      </c>
      <c r="K209" t="n">
        <v>0</v>
      </c>
      <c r="L209" t="n">
        <v>0</v>
      </c>
      <c r="M209" t="n">
        <v>0</v>
      </c>
      <c r="N209" t="n">
        <v>0</v>
      </c>
      <c r="O209" t="n">
        <v>1</v>
      </c>
      <c r="P209" t="n">
        <v>0</v>
      </c>
      <c r="Q209" t="n">
        <v>1</v>
      </c>
      <c r="R209" s="2" t="inlineStr">
        <is>
          <t>Tallticka</t>
        </is>
      </c>
      <c r="S209">
        <f>HYPERLINK("https://klasma.github.io/Logging_0883/artfynd/A 47112-2023 artfynd.xlsx", "A 47112-2023")</f>
        <v/>
      </c>
      <c r="T209">
        <f>HYPERLINK("https://klasma.github.io/Logging_0883/kartor/A 47112-2023 karta.png", "A 47112-2023")</f>
        <v/>
      </c>
      <c r="V209">
        <f>HYPERLINK("https://klasma.github.io/Logging_0883/klagomål/A 47112-2023 FSC-klagomål.docx", "A 47112-2023")</f>
        <v/>
      </c>
      <c r="W209">
        <f>HYPERLINK("https://klasma.github.io/Logging_0883/klagomålsmail/A 47112-2023 FSC-klagomål mail.docx", "A 47112-2023")</f>
        <v/>
      </c>
      <c r="X209">
        <f>HYPERLINK("https://klasma.github.io/Logging_0883/tillsyn/A 47112-2023 tillsynsbegäran.docx", "A 47112-2023")</f>
        <v/>
      </c>
      <c r="Y209">
        <f>HYPERLINK("https://klasma.github.io/Logging_0883/tillsynsmail/A 47112-2023 tillsynsbegäran mail.docx", "A 47112-2023")</f>
        <v/>
      </c>
    </row>
    <row r="210" ht="15" customHeight="1">
      <c r="A210" t="inlineStr">
        <is>
          <t>A 9265-2025</t>
        </is>
      </c>
      <c r="B210" s="1" t="n">
        <v>45714.61153935185</v>
      </c>
      <c r="C210" s="1" t="n">
        <v>45975</v>
      </c>
      <c r="D210" t="inlineStr">
        <is>
          <t>KALMAR LÄN</t>
        </is>
      </c>
      <c r="E210" t="inlineStr">
        <is>
          <t>VÄSTERVIK</t>
        </is>
      </c>
      <c r="F210" t="inlineStr">
        <is>
          <t>Sveaskog</t>
        </is>
      </c>
      <c r="G210" t="n">
        <v>2.2</v>
      </c>
      <c r="H210" t="n">
        <v>1</v>
      </c>
      <c r="I210" t="n">
        <v>0</v>
      </c>
      <c r="J210" t="n">
        <v>1</v>
      </c>
      <c r="K210" t="n">
        <v>0</v>
      </c>
      <c r="L210" t="n">
        <v>0</v>
      </c>
      <c r="M210" t="n">
        <v>0</v>
      </c>
      <c r="N210" t="n">
        <v>0</v>
      </c>
      <c r="O210" t="n">
        <v>1</v>
      </c>
      <c r="P210" t="n">
        <v>0</v>
      </c>
      <c r="Q210" t="n">
        <v>1</v>
      </c>
      <c r="R210" s="2" t="inlineStr">
        <is>
          <t>Havsörn</t>
        </is>
      </c>
      <c r="S210">
        <f>HYPERLINK("https://klasma.github.io/Logging_0883/artfynd/A 9265-2025 artfynd.xlsx", "A 9265-2025")</f>
        <v/>
      </c>
      <c r="T210">
        <f>HYPERLINK("https://klasma.github.io/Logging_0883/kartor/A 9265-2025 karta.png", "A 9265-2025")</f>
        <v/>
      </c>
      <c r="V210">
        <f>HYPERLINK("https://klasma.github.io/Logging_0883/klagomål/A 9265-2025 FSC-klagomål.docx", "A 9265-2025")</f>
        <v/>
      </c>
      <c r="W210">
        <f>HYPERLINK("https://klasma.github.io/Logging_0883/klagomålsmail/A 9265-2025 FSC-klagomål mail.docx", "A 9265-2025")</f>
        <v/>
      </c>
      <c r="X210">
        <f>HYPERLINK("https://klasma.github.io/Logging_0883/tillsyn/A 9265-2025 tillsynsbegäran.docx", "A 9265-2025")</f>
        <v/>
      </c>
      <c r="Y210">
        <f>HYPERLINK("https://klasma.github.io/Logging_0883/tillsynsmail/A 9265-2025 tillsynsbegäran mail.docx", "A 9265-2025")</f>
        <v/>
      </c>
      <c r="Z210">
        <f>HYPERLINK("https://klasma.github.io/Logging_0883/fåglar/A 9265-2025 prioriterade fågelarter.docx", "A 9265-2025")</f>
        <v/>
      </c>
    </row>
    <row r="211" ht="15" customHeight="1">
      <c r="A211" t="inlineStr">
        <is>
          <t>A 56439-2024</t>
        </is>
      </c>
      <c r="B211" s="1" t="n">
        <v>45625.4175</v>
      </c>
      <c r="C211" s="1" t="n">
        <v>45975</v>
      </c>
      <c r="D211" t="inlineStr">
        <is>
          <t>KALMAR LÄN</t>
        </is>
      </c>
      <c r="E211" t="inlineStr">
        <is>
          <t>VÄSTERVIK</t>
        </is>
      </c>
      <c r="F211" t="inlineStr">
        <is>
          <t>Övriga Aktiebolag</t>
        </is>
      </c>
      <c r="G211" t="n">
        <v>3.3</v>
      </c>
      <c r="H211" t="n">
        <v>0</v>
      </c>
      <c r="I211" t="n">
        <v>1</v>
      </c>
      <c r="J211" t="n">
        <v>0</v>
      </c>
      <c r="K211" t="n">
        <v>0</v>
      </c>
      <c r="L211" t="n">
        <v>0</v>
      </c>
      <c r="M211" t="n">
        <v>0</v>
      </c>
      <c r="N211" t="n">
        <v>0</v>
      </c>
      <c r="O211" t="n">
        <v>0</v>
      </c>
      <c r="P211" t="n">
        <v>0</v>
      </c>
      <c r="Q211" t="n">
        <v>1</v>
      </c>
      <c r="R211" s="2" t="inlineStr">
        <is>
          <t>Hasselticka</t>
        </is>
      </c>
      <c r="S211">
        <f>HYPERLINK("https://klasma.github.io/Logging_0883/artfynd/A 56439-2024 artfynd.xlsx", "A 56439-2024")</f>
        <v/>
      </c>
      <c r="T211">
        <f>HYPERLINK("https://klasma.github.io/Logging_0883/kartor/A 56439-2024 karta.png", "A 56439-2024")</f>
        <v/>
      </c>
      <c r="V211">
        <f>HYPERLINK("https://klasma.github.io/Logging_0883/klagomål/A 56439-2024 FSC-klagomål.docx", "A 56439-2024")</f>
        <v/>
      </c>
      <c r="W211">
        <f>HYPERLINK("https://klasma.github.io/Logging_0883/klagomålsmail/A 56439-2024 FSC-klagomål mail.docx", "A 56439-2024")</f>
        <v/>
      </c>
      <c r="X211">
        <f>HYPERLINK("https://klasma.github.io/Logging_0883/tillsyn/A 56439-2024 tillsynsbegäran.docx", "A 56439-2024")</f>
        <v/>
      </c>
      <c r="Y211">
        <f>HYPERLINK("https://klasma.github.io/Logging_0883/tillsynsmail/A 56439-2024 tillsynsbegäran mail.docx", "A 56439-2024")</f>
        <v/>
      </c>
    </row>
    <row r="212" ht="15" customHeight="1">
      <c r="A212" t="inlineStr">
        <is>
          <t>A 28495-2023</t>
        </is>
      </c>
      <c r="B212" s="1" t="n">
        <v>45103</v>
      </c>
      <c r="C212" s="1" t="n">
        <v>45975</v>
      </c>
      <c r="D212" t="inlineStr">
        <is>
          <t>KALMAR LÄN</t>
        </is>
      </c>
      <c r="E212" t="inlineStr">
        <is>
          <t>VÄSTERVIK</t>
        </is>
      </c>
      <c r="G212" t="n">
        <v>3.1</v>
      </c>
      <c r="H212" t="n">
        <v>1</v>
      </c>
      <c r="I212" t="n">
        <v>0</v>
      </c>
      <c r="J212" t="n">
        <v>0</v>
      </c>
      <c r="K212" t="n">
        <v>1</v>
      </c>
      <c r="L212" t="n">
        <v>0</v>
      </c>
      <c r="M212" t="n">
        <v>0</v>
      </c>
      <c r="N212" t="n">
        <v>0</v>
      </c>
      <c r="O212" t="n">
        <v>1</v>
      </c>
      <c r="P212" t="n">
        <v>1</v>
      </c>
      <c r="Q212" t="n">
        <v>1</v>
      </c>
      <c r="R212" s="2" t="inlineStr">
        <is>
          <t>Knärot</t>
        </is>
      </c>
      <c r="S212">
        <f>HYPERLINK("https://klasma.github.io/Logging_0883/artfynd/A 28495-2023 artfynd.xlsx", "A 28495-2023")</f>
        <v/>
      </c>
      <c r="T212">
        <f>HYPERLINK("https://klasma.github.io/Logging_0883/kartor/A 28495-2023 karta.png", "A 28495-2023")</f>
        <v/>
      </c>
      <c r="U212">
        <f>HYPERLINK("https://klasma.github.io/Logging_0883/knärot/A 28495-2023 karta knärot.png", "A 28495-2023")</f>
        <v/>
      </c>
      <c r="V212">
        <f>HYPERLINK("https://klasma.github.io/Logging_0883/klagomål/A 28495-2023 FSC-klagomål.docx", "A 28495-2023")</f>
        <v/>
      </c>
      <c r="W212">
        <f>HYPERLINK("https://klasma.github.io/Logging_0883/klagomålsmail/A 28495-2023 FSC-klagomål mail.docx", "A 28495-2023")</f>
        <v/>
      </c>
      <c r="X212">
        <f>HYPERLINK("https://klasma.github.io/Logging_0883/tillsyn/A 28495-2023 tillsynsbegäran.docx", "A 28495-2023")</f>
        <v/>
      </c>
      <c r="Y212">
        <f>HYPERLINK("https://klasma.github.io/Logging_0883/tillsynsmail/A 28495-2023 tillsynsbegäran mail.docx", "A 28495-2023")</f>
        <v/>
      </c>
    </row>
    <row r="213" ht="15" customHeight="1">
      <c r="A213" t="inlineStr">
        <is>
          <t>A 26056-2022</t>
        </is>
      </c>
      <c r="B213" s="1" t="n">
        <v>44734</v>
      </c>
      <c r="C213" s="1" t="n">
        <v>45975</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14103-2025</t>
        </is>
      </c>
      <c r="B214" s="1" t="n">
        <v>45740.45232638889</v>
      </c>
      <c r="C214" s="1" t="n">
        <v>45975</v>
      </c>
      <c r="D214" t="inlineStr">
        <is>
          <t>KALMAR LÄN</t>
        </is>
      </c>
      <c r="E214" t="inlineStr">
        <is>
          <t>VÄSTERVIK</t>
        </is>
      </c>
      <c r="F214" t="inlineStr">
        <is>
          <t>Sveaskog</t>
        </is>
      </c>
      <c r="G214" t="n">
        <v>0.8</v>
      </c>
      <c r="H214" t="n">
        <v>1</v>
      </c>
      <c r="I214" t="n">
        <v>0</v>
      </c>
      <c r="J214" t="n">
        <v>0</v>
      </c>
      <c r="K214" t="n">
        <v>0</v>
      </c>
      <c r="L214" t="n">
        <v>0</v>
      </c>
      <c r="M214" t="n">
        <v>0</v>
      </c>
      <c r="N214" t="n">
        <v>0</v>
      </c>
      <c r="O214" t="n">
        <v>0</v>
      </c>
      <c r="P214" t="n">
        <v>0</v>
      </c>
      <c r="Q214" t="n">
        <v>1</v>
      </c>
      <c r="R214" s="2" t="inlineStr">
        <is>
          <t>Grönvit nattviol</t>
        </is>
      </c>
      <c r="S214">
        <f>HYPERLINK("https://klasma.github.io/Logging_0883/artfynd/A 14103-2025 artfynd.xlsx", "A 14103-2025")</f>
        <v/>
      </c>
      <c r="T214">
        <f>HYPERLINK("https://klasma.github.io/Logging_0883/kartor/A 14103-2025 karta.png", "A 14103-2025")</f>
        <v/>
      </c>
      <c r="V214">
        <f>HYPERLINK("https://klasma.github.io/Logging_0883/klagomål/A 14103-2025 FSC-klagomål.docx", "A 14103-2025")</f>
        <v/>
      </c>
      <c r="W214">
        <f>HYPERLINK("https://klasma.github.io/Logging_0883/klagomålsmail/A 14103-2025 FSC-klagomål mail.docx", "A 14103-2025")</f>
        <v/>
      </c>
      <c r="X214">
        <f>HYPERLINK("https://klasma.github.io/Logging_0883/tillsyn/A 14103-2025 tillsynsbegäran.docx", "A 14103-2025")</f>
        <v/>
      </c>
      <c r="Y214">
        <f>HYPERLINK("https://klasma.github.io/Logging_0883/tillsynsmail/A 14103-2025 tillsynsbegäran mail.docx", "A 14103-2025")</f>
        <v/>
      </c>
    </row>
    <row r="215" ht="15" customHeight="1">
      <c r="A215" t="inlineStr">
        <is>
          <t>A 40924-2022</t>
        </is>
      </c>
      <c r="B215" s="1" t="n">
        <v>44825</v>
      </c>
      <c r="C215" s="1" t="n">
        <v>45975</v>
      </c>
      <c r="D215" t="inlineStr">
        <is>
          <t>KALMAR LÄN</t>
        </is>
      </c>
      <c r="E215" t="inlineStr">
        <is>
          <t>VÄSTERVIK</t>
        </is>
      </c>
      <c r="F215" t="inlineStr">
        <is>
          <t>Sveaskog</t>
        </is>
      </c>
      <c r="G215" t="n">
        <v>0.5</v>
      </c>
      <c r="H215" t="n">
        <v>1</v>
      </c>
      <c r="I215" t="n">
        <v>0</v>
      </c>
      <c r="J215" t="n">
        <v>1</v>
      </c>
      <c r="K215" t="n">
        <v>0</v>
      </c>
      <c r="L215" t="n">
        <v>0</v>
      </c>
      <c r="M215" t="n">
        <v>0</v>
      </c>
      <c r="N215" t="n">
        <v>0</v>
      </c>
      <c r="O215" t="n">
        <v>1</v>
      </c>
      <c r="P215" t="n">
        <v>0</v>
      </c>
      <c r="Q215" t="n">
        <v>1</v>
      </c>
      <c r="R215" s="2" t="inlineStr">
        <is>
          <t>Barbastell</t>
        </is>
      </c>
      <c r="S215">
        <f>HYPERLINK("https://klasma.github.io/Logging_0883/artfynd/A 40924-2022 artfynd.xlsx", "A 40924-2022")</f>
        <v/>
      </c>
      <c r="T215">
        <f>HYPERLINK("https://klasma.github.io/Logging_0883/kartor/A 40924-2022 karta.png", "A 40924-2022")</f>
        <v/>
      </c>
      <c r="V215">
        <f>HYPERLINK("https://klasma.github.io/Logging_0883/klagomål/A 40924-2022 FSC-klagomål.docx", "A 40924-2022")</f>
        <v/>
      </c>
      <c r="W215">
        <f>HYPERLINK("https://klasma.github.io/Logging_0883/klagomålsmail/A 40924-2022 FSC-klagomål mail.docx", "A 40924-2022")</f>
        <v/>
      </c>
      <c r="X215">
        <f>HYPERLINK("https://klasma.github.io/Logging_0883/tillsyn/A 40924-2022 tillsynsbegäran.docx", "A 40924-2022")</f>
        <v/>
      </c>
      <c r="Y215">
        <f>HYPERLINK("https://klasma.github.io/Logging_0883/tillsynsmail/A 40924-2022 tillsynsbegäran mail.docx", "A 40924-2022")</f>
        <v/>
      </c>
    </row>
    <row r="216" ht="15" customHeight="1">
      <c r="A216" t="inlineStr">
        <is>
          <t>A 59368-2023</t>
        </is>
      </c>
      <c r="B216" s="1" t="n">
        <v>45253</v>
      </c>
      <c r="C216" s="1" t="n">
        <v>45975</v>
      </c>
      <c r="D216" t="inlineStr">
        <is>
          <t>KALMAR LÄN</t>
        </is>
      </c>
      <c r="E216" t="inlineStr">
        <is>
          <t>VÄSTERVIK</t>
        </is>
      </c>
      <c r="G216" t="n">
        <v>2.4</v>
      </c>
      <c r="H216" t="n">
        <v>1</v>
      </c>
      <c r="I216" t="n">
        <v>0</v>
      </c>
      <c r="J216" t="n">
        <v>0</v>
      </c>
      <c r="K216" t="n">
        <v>1</v>
      </c>
      <c r="L216" t="n">
        <v>0</v>
      </c>
      <c r="M216" t="n">
        <v>0</v>
      </c>
      <c r="N216" t="n">
        <v>0</v>
      </c>
      <c r="O216" t="n">
        <v>1</v>
      </c>
      <c r="P216" t="n">
        <v>1</v>
      </c>
      <c r="Q216" t="n">
        <v>1</v>
      </c>
      <c r="R216" s="2" t="inlineStr">
        <is>
          <t>Knärot</t>
        </is>
      </c>
      <c r="S216">
        <f>HYPERLINK("https://klasma.github.io/Logging_0883/artfynd/A 59368-2023 artfynd.xlsx", "A 59368-2023")</f>
        <v/>
      </c>
      <c r="T216">
        <f>HYPERLINK("https://klasma.github.io/Logging_0883/kartor/A 59368-2023 karta.png", "A 59368-2023")</f>
        <v/>
      </c>
      <c r="U216">
        <f>HYPERLINK("https://klasma.github.io/Logging_0883/knärot/A 59368-2023 karta knärot.png", "A 59368-2023")</f>
        <v/>
      </c>
      <c r="V216">
        <f>HYPERLINK("https://klasma.github.io/Logging_0883/klagomål/A 59368-2023 FSC-klagomål.docx", "A 59368-2023")</f>
        <v/>
      </c>
      <c r="W216">
        <f>HYPERLINK("https://klasma.github.io/Logging_0883/klagomålsmail/A 59368-2023 FSC-klagomål mail.docx", "A 59368-2023")</f>
        <v/>
      </c>
      <c r="X216">
        <f>HYPERLINK("https://klasma.github.io/Logging_0883/tillsyn/A 59368-2023 tillsynsbegäran.docx", "A 59368-2023")</f>
        <v/>
      </c>
      <c r="Y216">
        <f>HYPERLINK("https://klasma.github.io/Logging_0883/tillsynsmail/A 59368-2023 tillsynsbegäran mail.docx", "A 59368-2023")</f>
        <v/>
      </c>
    </row>
    <row r="217" ht="15" customHeight="1">
      <c r="A217" t="inlineStr">
        <is>
          <t>A 55360-2024</t>
        </is>
      </c>
      <c r="B217" s="1" t="n">
        <v>45621.8252199074</v>
      </c>
      <c r="C217" s="1" t="n">
        <v>45975</v>
      </c>
      <c r="D217" t="inlineStr">
        <is>
          <t>KALMAR LÄN</t>
        </is>
      </c>
      <c r="E217" t="inlineStr">
        <is>
          <t>VÄSTERVIK</t>
        </is>
      </c>
      <c r="F217" t="inlineStr">
        <is>
          <t>Sveaskog</t>
        </is>
      </c>
      <c r="G217" t="n">
        <v>11.1</v>
      </c>
      <c r="H217" t="n">
        <v>0</v>
      </c>
      <c r="I217" t="n">
        <v>0</v>
      </c>
      <c r="J217" t="n">
        <v>1</v>
      </c>
      <c r="K217" t="n">
        <v>0</v>
      </c>
      <c r="L217" t="n">
        <v>0</v>
      </c>
      <c r="M217" t="n">
        <v>0</v>
      </c>
      <c r="N217" t="n">
        <v>0</v>
      </c>
      <c r="O217" t="n">
        <v>1</v>
      </c>
      <c r="P217" t="n">
        <v>0</v>
      </c>
      <c r="Q217" t="n">
        <v>1</v>
      </c>
      <c r="R217" s="2" t="inlineStr">
        <is>
          <t>Vårstarr</t>
        </is>
      </c>
      <c r="S217">
        <f>HYPERLINK("https://klasma.github.io/Logging_0883/artfynd/A 55360-2024 artfynd.xlsx", "A 55360-2024")</f>
        <v/>
      </c>
      <c r="T217">
        <f>HYPERLINK("https://klasma.github.io/Logging_0883/kartor/A 55360-2024 karta.png", "A 55360-2024")</f>
        <v/>
      </c>
      <c r="V217">
        <f>HYPERLINK("https://klasma.github.io/Logging_0883/klagomål/A 55360-2024 FSC-klagomål.docx", "A 55360-2024")</f>
        <v/>
      </c>
      <c r="W217">
        <f>HYPERLINK("https://klasma.github.io/Logging_0883/klagomålsmail/A 55360-2024 FSC-klagomål mail.docx", "A 55360-2024")</f>
        <v/>
      </c>
      <c r="X217">
        <f>HYPERLINK("https://klasma.github.io/Logging_0883/tillsyn/A 55360-2024 tillsynsbegäran.docx", "A 55360-2024")</f>
        <v/>
      </c>
      <c r="Y217">
        <f>HYPERLINK("https://klasma.github.io/Logging_0883/tillsynsmail/A 55360-2024 tillsynsbegäran mail.docx", "A 55360-2024")</f>
        <v/>
      </c>
    </row>
    <row r="218" ht="15" customHeight="1">
      <c r="A218" t="inlineStr">
        <is>
          <t>A 9571-2025</t>
        </is>
      </c>
      <c r="B218" s="1" t="n">
        <v>45715.61996527778</v>
      </c>
      <c r="C218" s="1" t="n">
        <v>45975</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61806-2023</t>
        </is>
      </c>
      <c r="B219" s="1" t="n">
        <v>45266.27928240741</v>
      </c>
      <c r="C219" s="1" t="n">
        <v>45975</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Veckticka</t>
        </is>
      </c>
      <c r="S219">
        <f>HYPERLINK("https://klasma.github.io/Logging_0883/artfynd/A 61806-2023 artfynd.xlsx", "A 61806-2023")</f>
        <v/>
      </c>
      <c r="T219">
        <f>HYPERLINK("https://klasma.github.io/Logging_0883/kartor/A 61806-2023 karta.png", "A 61806-2023")</f>
        <v/>
      </c>
      <c r="V219">
        <f>HYPERLINK("https://klasma.github.io/Logging_0883/klagomål/A 61806-2023 FSC-klagomål.docx", "A 61806-2023")</f>
        <v/>
      </c>
      <c r="W219">
        <f>HYPERLINK("https://klasma.github.io/Logging_0883/klagomålsmail/A 61806-2023 FSC-klagomål mail.docx", "A 61806-2023")</f>
        <v/>
      </c>
      <c r="X219">
        <f>HYPERLINK("https://klasma.github.io/Logging_0883/tillsyn/A 61806-2023 tillsynsbegäran.docx", "A 61806-2023")</f>
        <v/>
      </c>
      <c r="Y219">
        <f>HYPERLINK("https://klasma.github.io/Logging_0883/tillsynsmail/A 61806-2023 tillsynsbegäran mail.docx", "A 61806-2023")</f>
        <v/>
      </c>
    </row>
    <row r="220" ht="15" customHeight="1">
      <c r="A220" t="inlineStr">
        <is>
          <t>A 9261-2025</t>
        </is>
      </c>
      <c r="B220" s="1" t="n">
        <v>45714.60472222222</v>
      </c>
      <c r="C220" s="1" t="n">
        <v>45975</v>
      </c>
      <c r="D220" t="inlineStr">
        <is>
          <t>KALMAR LÄN</t>
        </is>
      </c>
      <c r="E220" t="inlineStr">
        <is>
          <t>VÄSTERVIK</t>
        </is>
      </c>
      <c r="F220" t="inlineStr">
        <is>
          <t>Sveaskog</t>
        </is>
      </c>
      <c r="G220" t="n">
        <v>4.9</v>
      </c>
      <c r="H220" t="n">
        <v>1</v>
      </c>
      <c r="I220" t="n">
        <v>0</v>
      </c>
      <c r="J220" t="n">
        <v>1</v>
      </c>
      <c r="K220" t="n">
        <v>0</v>
      </c>
      <c r="L220" t="n">
        <v>0</v>
      </c>
      <c r="M220" t="n">
        <v>0</v>
      </c>
      <c r="N220" t="n">
        <v>0</v>
      </c>
      <c r="O220" t="n">
        <v>1</v>
      </c>
      <c r="P220" t="n">
        <v>0</v>
      </c>
      <c r="Q220" t="n">
        <v>1</v>
      </c>
      <c r="R220" s="2" t="inlineStr">
        <is>
          <t>Havsörn</t>
        </is>
      </c>
      <c r="S220">
        <f>HYPERLINK("https://klasma.github.io/Logging_0883/artfynd/A 9261-2025 artfynd.xlsx", "A 9261-2025")</f>
        <v/>
      </c>
      <c r="T220">
        <f>HYPERLINK("https://klasma.github.io/Logging_0883/kartor/A 9261-2025 karta.png", "A 9261-2025")</f>
        <v/>
      </c>
      <c r="V220">
        <f>HYPERLINK("https://klasma.github.io/Logging_0883/klagomål/A 9261-2025 FSC-klagomål.docx", "A 9261-2025")</f>
        <v/>
      </c>
      <c r="W220">
        <f>HYPERLINK("https://klasma.github.io/Logging_0883/klagomålsmail/A 9261-2025 FSC-klagomål mail.docx", "A 9261-2025")</f>
        <v/>
      </c>
      <c r="X220">
        <f>HYPERLINK("https://klasma.github.io/Logging_0883/tillsyn/A 9261-2025 tillsynsbegäran.docx", "A 9261-2025")</f>
        <v/>
      </c>
      <c r="Y220">
        <f>HYPERLINK("https://klasma.github.io/Logging_0883/tillsynsmail/A 9261-2025 tillsynsbegäran mail.docx", "A 9261-2025")</f>
        <v/>
      </c>
      <c r="Z220">
        <f>HYPERLINK("https://klasma.github.io/Logging_0883/fåglar/A 9261-2025 prioriterade fågelarter.docx", "A 9261-2025")</f>
        <v/>
      </c>
    </row>
    <row r="221" ht="15" customHeight="1">
      <c r="A221" t="inlineStr">
        <is>
          <t>A 21409-2025</t>
        </is>
      </c>
      <c r="B221" s="1" t="n">
        <v>45782</v>
      </c>
      <c r="C221" s="1" t="n">
        <v>45975</v>
      </c>
      <c r="D221" t="inlineStr">
        <is>
          <t>KALMAR LÄN</t>
        </is>
      </c>
      <c r="E221" t="inlineStr">
        <is>
          <t>VÄSTERVIK</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HYPERLINK("https://klasma.github.io/Logging_0883/artfynd/A 21409-2025 artfynd.xlsx", "A 21409-2025")</f>
        <v/>
      </c>
      <c r="T221">
        <f>HYPERLINK("https://klasma.github.io/Logging_0883/kartor/A 21409-2025 karta.png", "A 21409-2025")</f>
        <v/>
      </c>
      <c r="V221">
        <f>HYPERLINK("https://klasma.github.io/Logging_0883/klagomål/A 21409-2025 FSC-klagomål.docx", "A 21409-2025")</f>
        <v/>
      </c>
      <c r="W221">
        <f>HYPERLINK("https://klasma.github.io/Logging_0883/klagomålsmail/A 21409-2025 FSC-klagomål mail.docx", "A 21409-2025")</f>
        <v/>
      </c>
      <c r="X221">
        <f>HYPERLINK("https://klasma.github.io/Logging_0883/tillsyn/A 21409-2025 tillsynsbegäran.docx", "A 21409-2025")</f>
        <v/>
      </c>
      <c r="Y221">
        <f>HYPERLINK("https://klasma.github.io/Logging_0883/tillsynsmail/A 21409-2025 tillsynsbegäran mail.docx", "A 21409-2025")</f>
        <v/>
      </c>
    </row>
    <row r="222" ht="15" customHeight="1">
      <c r="A222" t="inlineStr">
        <is>
          <t>A 55616-2024</t>
        </is>
      </c>
      <c r="B222" s="1" t="n">
        <v>45622.5916087963</v>
      </c>
      <c r="C222" s="1" t="n">
        <v>45975</v>
      </c>
      <c r="D222" t="inlineStr">
        <is>
          <t>KALMAR LÄN</t>
        </is>
      </c>
      <c r="E222" t="inlineStr">
        <is>
          <t>VÄSTERVIK</t>
        </is>
      </c>
      <c r="G222" t="n">
        <v>0.5</v>
      </c>
      <c r="H222" t="n">
        <v>1</v>
      </c>
      <c r="I222" t="n">
        <v>0</v>
      </c>
      <c r="J222" t="n">
        <v>1</v>
      </c>
      <c r="K222" t="n">
        <v>0</v>
      </c>
      <c r="L222" t="n">
        <v>0</v>
      </c>
      <c r="M222" t="n">
        <v>0</v>
      </c>
      <c r="N222" t="n">
        <v>0</v>
      </c>
      <c r="O222" t="n">
        <v>1</v>
      </c>
      <c r="P222" t="n">
        <v>0</v>
      </c>
      <c r="Q222" t="n">
        <v>1</v>
      </c>
      <c r="R222" s="2" t="inlineStr">
        <is>
          <t>Entita</t>
        </is>
      </c>
      <c r="S222">
        <f>HYPERLINK("https://klasma.github.io/Logging_0883/artfynd/A 55616-2024 artfynd.xlsx", "A 55616-2024")</f>
        <v/>
      </c>
      <c r="T222">
        <f>HYPERLINK("https://klasma.github.io/Logging_0883/kartor/A 55616-2024 karta.png", "A 55616-2024")</f>
        <v/>
      </c>
      <c r="V222">
        <f>HYPERLINK("https://klasma.github.io/Logging_0883/klagomål/A 55616-2024 FSC-klagomål.docx", "A 55616-2024")</f>
        <v/>
      </c>
      <c r="W222">
        <f>HYPERLINK("https://klasma.github.io/Logging_0883/klagomålsmail/A 55616-2024 FSC-klagomål mail.docx", "A 55616-2024")</f>
        <v/>
      </c>
      <c r="X222">
        <f>HYPERLINK("https://klasma.github.io/Logging_0883/tillsyn/A 55616-2024 tillsynsbegäran.docx", "A 55616-2024")</f>
        <v/>
      </c>
      <c r="Y222">
        <f>HYPERLINK("https://klasma.github.io/Logging_0883/tillsynsmail/A 55616-2024 tillsynsbegäran mail.docx", "A 55616-2024")</f>
        <v/>
      </c>
      <c r="Z222">
        <f>HYPERLINK("https://klasma.github.io/Logging_0883/fåglar/A 55616-2024 prioriterade fågelarter.docx", "A 55616-2024")</f>
        <v/>
      </c>
    </row>
    <row r="223" ht="15" customHeight="1">
      <c r="A223" t="inlineStr">
        <is>
          <t>A 21653-2025</t>
        </is>
      </c>
      <c r="B223" s="1" t="n">
        <v>45783.45039351852</v>
      </c>
      <c r="C223" s="1" t="n">
        <v>45975</v>
      </c>
      <c r="D223" t="inlineStr">
        <is>
          <t>KALMAR LÄN</t>
        </is>
      </c>
      <c r="E223" t="inlineStr">
        <is>
          <t>VÄSTERVIK</t>
        </is>
      </c>
      <c r="F223" t="inlineStr">
        <is>
          <t>Sveaskog</t>
        </is>
      </c>
      <c r="G223" t="n">
        <v>2.8</v>
      </c>
      <c r="H223" t="n">
        <v>1</v>
      </c>
      <c r="I223" t="n">
        <v>0</v>
      </c>
      <c r="J223" t="n">
        <v>1</v>
      </c>
      <c r="K223" t="n">
        <v>0</v>
      </c>
      <c r="L223" t="n">
        <v>0</v>
      </c>
      <c r="M223" t="n">
        <v>0</v>
      </c>
      <c r="N223" t="n">
        <v>0</v>
      </c>
      <c r="O223" t="n">
        <v>1</v>
      </c>
      <c r="P223" t="n">
        <v>0</v>
      </c>
      <c r="Q223" t="n">
        <v>1</v>
      </c>
      <c r="R223" s="2" t="inlineStr">
        <is>
          <t>Entita</t>
        </is>
      </c>
      <c r="S223">
        <f>HYPERLINK("https://klasma.github.io/Logging_0883/artfynd/A 21653-2025 artfynd.xlsx", "A 21653-2025")</f>
        <v/>
      </c>
      <c r="T223">
        <f>HYPERLINK("https://klasma.github.io/Logging_0883/kartor/A 21653-2025 karta.png", "A 21653-2025")</f>
        <v/>
      </c>
      <c r="V223">
        <f>HYPERLINK("https://klasma.github.io/Logging_0883/klagomål/A 21653-2025 FSC-klagomål.docx", "A 21653-2025")</f>
        <v/>
      </c>
      <c r="W223">
        <f>HYPERLINK("https://klasma.github.io/Logging_0883/klagomålsmail/A 21653-2025 FSC-klagomål mail.docx", "A 21653-2025")</f>
        <v/>
      </c>
      <c r="X223">
        <f>HYPERLINK("https://klasma.github.io/Logging_0883/tillsyn/A 21653-2025 tillsynsbegäran.docx", "A 21653-2025")</f>
        <v/>
      </c>
      <c r="Y223">
        <f>HYPERLINK("https://klasma.github.io/Logging_0883/tillsynsmail/A 21653-2025 tillsynsbegäran mail.docx", "A 21653-2025")</f>
        <v/>
      </c>
      <c r="Z223">
        <f>HYPERLINK("https://klasma.github.io/Logging_0883/fåglar/A 21653-2025 prioriterade fågelarter.docx", "A 21653-2025")</f>
        <v/>
      </c>
    </row>
    <row r="224" ht="15" customHeight="1">
      <c r="A224" t="inlineStr">
        <is>
          <t>A 25436-2023</t>
        </is>
      </c>
      <c r="B224" s="1" t="n">
        <v>45089</v>
      </c>
      <c r="C224" s="1" t="n">
        <v>45975</v>
      </c>
      <c r="D224" t="inlineStr">
        <is>
          <t>KALMAR LÄN</t>
        </is>
      </c>
      <c r="E224" t="inlineStr">
        <is>
          <t>VÄSTERVIK</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HYPERLINK("https://klasma.github.io/Logging_0883/artfynd/A 25436-2023 artfynd.xlsx", "A 25436-2023")</f>
        <v/>
      </c>
      <c r="T224">
        <f>HYPERLINK("https://klasma.github.io/Logging_0883/kartor/A 25436-2023 karta.png", "A 25436-2023")</f>
        <v/>
      </c>
      <c r="U224">
        <f>HYPERLINK("https://klasma.github.io/Logging_0883/knärot/A 25436-2023 karta knärot.png", "A 25436-2023")</f>
        <v/>
      </c>
      <c r="V224">
        <f>HYPERLINK("https://klasma.github.io/Logging_0883/klagomål/A 25436-2023 FSC-klagomål.docx", "A 25436-2023")</f>
        <v/>
      </c>
      <c r="W224">
        <f>HYPERLINK("https://klasma.github.io/Logging_0883/klagomålsmail/A 25436-2023 FSC-klagomål mail.docx", "A 25436-2023")</f>
        <v/>
      </c>
      <c r="X224">
        <f>HYPERLINK("https://klasma.github.io/Logging_0883/tillsyn/A 25436-2023 tillsynsbegäran.docx", "A 25436-2023")</f>
        <v/>
      </c>
      <c r="Y224">
        <f>HYPERLINK("https://klasma.github.io/Logging_0883/tillsynsmail/A 25436-2023 tillsynsbegäran mail.docx", "A 25436-2023")</f>
        <v/>
      </c>
    </row>
    <row r="225" ht="15" customHeight="1">
      <c r="A225" t="inlineStr">
        <is>
          <t>A 11609-2022</t>
        </is>
      </c>
      <c r="B225" s="1" t="n">
        <v>44631</v>
      </c>
      <c r="C225" s="1" t="n">
        <v>45975</v>
      </c>
      <c r="D225" t="inlineStr">
        <is>
          <t>KALMAR LÄN</t>
        </is>
      </c>
      <c r="E225" t="inlineStr">
        <is>
          <t>VÄSTERVIK</t>
        </is>
      </c>
      <c r="F225" t="inlineStr">
        <is>
          <t>Holmen skog AB</t>
        </is>
      </c>
      <c r="G225" t="n">
        <v>3.2</v>
      </c>
      <c r="H225" t="n">
        <v>0</v>
      </c>
      <c r="I225" t="n">
        <v>0</v>
      </c>
      <c r="J225" t="n">
        <v>1</v>
      </c>
      <c r="K225" t="n">
        <v>0</v>
      </c>
      <c r="L225" t="n">
        <v>0</v>
      </c>
      <c r="M225" t="n">
        <v>0</v>
      </c>
      <c r="N225" t="n">
        <v>0</v>
      </c>
      <c r="O225" t="n">
        <v>1</v>
      </c>
      <c r="P225" t="n">
        <v>0</v>
      </c>
      <c r="Q225" t="n">
        <v>1</v>
      </c>
      <c r="R225" s="2" t="inlineStr">
        <is>
          <t>Tallticka</t>
        </is>
      </c>
      <c r="S225">
        <f>HYPERLINK("https://klasma.github.io/Logging_0883/artfynd/A 11609-2022 artfynd.xlsx", "A 11609-2022")</f>
        <v/>
      </c>
      <c r="T225">
        <f>HYPERLINK("https://klasma.github.io/Logging_0883/kartor/A 11609-2022 karta.png", "A 11609-2022")</f>
        <v/>
      </c>
      <c r="U225">
        <f>HYPERLINK("https://klasma.github.io/Logging_0883/knärot/A 11609-2022 karta knärot.png", "A 11609-2022")</f>
        <v/>
      </c>
      <c r="V225">
        <f>HYPERLINK("https://klasma.github.io/Logging_0883/klagomål/A 11609-2022 FSC-klagomål.docx", "A 11609-2022")</f>
        <v/>
      </c>
      <c r="W225">
        <f>HYPERLINK("https://klasma.github.io/Logging_0883/klagomålsmail/A 11609-2022 FSC-klagomål mail.docx", "A 11609-2022")</f>
        <v/>
      </c>
      <c r="X225">
        <f>HYPERLINK("https://klasma.github.io/Logging_0883/tillsyn/A 11609-2022 tillsynsbegäran.docx", "A 11609-2022")</f>
        <v/>
      </c>
      <c r="Y225">
        <f>HYPERLINK("https://klasma.github.io/Logging_0883/tillsynsmail/A 11609-2022 tillsynsbegäran mail.docx", "A 11609-2022")</f>
        <v/>
      </c>
    </row>
    <row r="226" ht="15" customHeight="1">
      <c r="A226" t="inlineStr">
        <is>
          <t>A 53075-2024</t>
        </is>
      </c>
      <c r="B226" s="1" t="n">
        <v>45611</v>
      </c>
      <c r="C226" s="1" t="n">
        <v>45975</v>
      </c>
      <c r="D226" t="inlineStr">
        <is>
          <t>KALMAR LÄN</t>
        </is>
      </c>
      <c r="E226" t="inlineStr">
        <is>
          <t>VÄSTERVIK</t>
        </is>
      </c>
      <c r="F226" t="inlineStr">
        <is>
          <t>Holmen skog AB</t>
        </is>
      </c>
      <c r="G226" t="n">
        <v>8.5</v>
      </c>
      <c r="H226" t="n">
        <v>1</v>
      </c>
      <c r="I226" t="n">
        <v>0</v>
      </c>
      <c r="J226" t="n">
        <v>1</v>
      </c>
      <c r="K226" t="n">
        <v>0</v>
      </c>
      <c r="L226" t="n">
        <v>0</v>
      </c>
      <c r="M226" t="n">
        <v>0</v>
      </c>
      <c r="N226" t="n">
        <v>0</v>
      </c>
      <c r="O226" t="n">
        <v>1</v>
      </c>
      <c r="P226" t="n">
        <v>0</v>
      </c>
      <c r="Q226" t="n">
        <v>1</v>
      </c>
      <c r="R226" s="2" t="inlineStr">
        <is>
          <t>Talltita</t>
        </is>
      </c>
      <c r="S226">
        <f>HYPERLINK("https://klasma.github.io/Logging_0883/artfynd/A 53075-2024 artfynd.xlsx", "A 53075-2024")</f>
        <v/>
      </c>
      <c r="T226">
        <f>HYPERLINK("https://klasma.github.io/Logging_0883/kartor/A 53075-2024 karta.png", "A 53075-2024")</f>
        <v/>
      </c>
      <c r="V226">
        <f>HYPERLINK("https://klasma.github.io/Logging_0883/klagomål/A 53075-2024 FSC-klagomål.docx", "A 53075-2024")</f>
        <v/>
      </c>
      <c r="W226">
        <f>HYPERLINK("https://klasma.github.io/Logging_0883/klagomålsmail/A 53075-2024 FSC-klagomål mail.docx", "A 53075-2024")</f>
        <v/>
      </c>
      <c r="X226">
        <f>HYPERLINK("https://klasma.github.io/Logging_0883/tillsyn/A 53075-2024 tillsynsbegäran.docx", "A 53075-2024")</f>
        <v/>
      </c>
      <c r="Y226">
        <f>HYPERLINK("https://klasma.github.io/Logging_0883/tillsynsmail/A 53075-2024 tillsynsbegäran mail.docx", "A 53075-2024")</f>
        <v/>
      </c>
      <c r="Z226">
        <f>HYPERLINK("https://klasma.github.io/Logging_0883/fåglar/A 53075-2024 prioriterade fågelarter.docx", "A 53075-2024")</f>
        <v/>
      </c>
    </row>
    <row r="227" ht="15" customHeight="1">
      <c r="A227" t="inlineStr">
        <is>
          <t>A 6634-2025</t>
        </is>
      </c>
      <c r="B227" s="1" t="n">
        <v>45700.38141203704</v>
      </c>
      <c r="C227" s="1" t="n">
        <v>45975</v>
      </c>
      <c r="D227" t="inlineStr">
        <is>
          <t>KALMAR LÄN</t>
        </is>
      </c>
      <c r="E227" t="inlineStr">
        <is>
          <t>VÄSTERVIK</t>
        </is>
      </c>
      <c r="G227" t="n">
        <v>2.2</v>
      </c>
      <c r="H227" t="n">
        <v>0</v>
      </c>
      <c r="I227" t="n">
        <v>1</v>
      </c>
      <c r="J227" t="n">
        <v>0</v>
      </c>
      <c r="K227" t="n">
        <v>0</v>
      </c>
      <c r="L227" t="n">
        <v>0</v>
      </c>
      <c r="M227" t="n">
        <v>0</v>
      </c>
      <c r="N227" t="n">
        <v>0</v>
      </c>
      <c r="O227" t="n">
        <v>0</v>
      </c>
      <c r="P227" t="n">
        <v>0</v>
      </c>
      <c r="Q227" t="n">
        <v>1</v>
      </c>
      <c r="R227" s="2" t="inlineStr">
        <is>
          <t>Ögonpyrola</t>
        </is>
      </c>
      <c r="S227">
        <f>HYPERLINK("https://klasma.github.io/Logging_0883/artfynd/A 6634-2025 artfynd.xlsx", "A 6634-2025")</f>
        <v/>
      </c>
      <c r="T227">
        <f>HYPERLINK("https://klasma.github.io/Logging_0883/kartor/A 6634-2025 karta.png", "A 6634-2025")</f>
        <v/>
      </c>
      <c r="V227">
        <f>HYPERLINK("https://klasma.github.io/Logging_0883/klagomål/A 6634-2025 FSC-klagomål.docx", "A 6634-2025")</f>
        <v/>
      </c>
      <c r="W227">
        <f>HYPERLINK("https://klasma.github.io/Logging_0883/klagomålsmail/A 6634-2025 FSC-klagomål mail.docx", "A 6634-2025")</f>
        <v/>
      </c>
      <c r="X227">
        <f>HYPERLINK("https://klasma.github.io/Logging_0883/tillsyn/A 6634-2025 tillsynsbegäran.docx", "A 6634-2025")</f>
        <v/>
      </c>
      <c r="Y227">
        <f>HYPERLINK("https://klasma.github.io/Logging_0883/tillsynsmail/A 6634-2025 tillsynsbegäran mail.docx", "A 6634-2025")</f>
        <v/>
      </c>
    </row>
    <row r="228" ht="15" customHeight="1">
      <c r="A228" t="inlineStr">
        <is>
          <t>A 46722-2023</t>
        </is>
      </c>
      <c r="B228" s="1" t="n">
        <v>45194</v>
      </c>
      <c r="C228" s="1" t="n">
        <v>45975</v>
      </c>
      <c r="D228" t="inlineStr">
        <is>
          <t>KALMAR LÄN</t>
        </is>
      </c>
      <c r="E228" t="inlineStr">
        <is>
          <t>VÄSTERVIK</t>
        </is>
      </c>
      <c r="G228" t="n">
        <v>0.9</v>
      </c>
      <c r="H228" t="n">
        <v>1</v>
      </c>
      <c r="I228" t="n">
        <v>0</v>
      </c>
      <c r="J228" t="n">
        <v>0</v>
      </c>
      <c r="K228" t="n">
        <v>1</v>
      </c>
      <c r="L228" t="n">
        <v>0</v>
      </c>
      <c r="M228" t="n">
        <v>0</v>
      </c>
      <c r="N228" t="n">
        <v>0</v>
      </c>
      <c r="O228" t="n">
        <v>1</v>
      </c>
      <c r="P228" t="n">
        <v>1</v>
      </c>
      <c r="Q228" t="n">
        <v>1</v>
      </c>
      <c r="R228" s="2" t="inlineStr">
        <is>
          <t>Knärot</t>
        </is>
      </c>
      <c r="S228">
        <f>HYPERLINK("https://klasma.github.io/Logging_0883/artfynd/A 46722-2023 artfynd.xlsx", "A 46722-2023")</f>
        <v/>
      </c>
      <c r="T228">
        <f>HYPERLINK("https://klasma.github.io/Logging_0883/kartor/A 46722-2023 karta.png", "A 46722-2023")</f>
        <v/>
      </c>
      <c r="U228">
        <f>HYPERLINK("https://klasma.github.io/Logging_0883/knärot/A 46722-2023 karta knärot.png", "A 46722-2023")</f>
        <v/>
      </c>
      <c r="V228">
        <f>HYPERLINK("https://klasma.github.io/Logging_0883/klagomål/A 46722-2023 FSC-klagomål.docx", "A 46722-2023")</f>
        <v/>
      </c>
      <c r="W228">
        <f>HYPERLINK("https://klasma.github.io/Logging_0883/klagomålsmail/A 46722-2023 FSC-klagomål mail.docx", "A 46722-2023")</f>
        <v/>
      </c>
      <c r="X228">
        <f>HYPERLINK("https://klasma.github.io/Logging_0883/tillsyn/A 46722-2023 tillsynsbegäran.docx", "A 46722-2023")</f>
        <v/>
      </c>
      <c r="Y228">
        <f>HYPERLINK("https://klasma.github.io/Logging_0883/tillsynsmail/A 46722-2023 tillsynsbegäran mail.docx", "A 46722-2023")</f>
        <v/>
      </c>
    </row>
    <row r="229" ht="15" customHeight="1">
      <c r="A229" t="inlineStr">
        <is>
          <t>A 3600-2025</t>
        </is>
      </c>
      <c r="B229" s="1" t="n">
        <v>45681.34420138889</v>
      </c>
      <c r="C229" s="1" t="n">
        <v>45975</v>
      </c>
      <c r="D229" t="inlineStr">
        <is>
          <t>KALMAR LÄN</t>
        </is>
      </c>
      <c r="E229" t="inlineStr">
        <is>
          <t>VÄSTERVIK</t>
        </is>
      </c>
      <c r="G229" t="n">
        <v>1</v>
      </c>
      <c r="H229" t="n">
        <v>1</v>
      </c>
      <c r="I229" t="n">
        <v>0</v>
      </c>
      <c r="J229" t="n">
        <v>1</v>
      </c>
      <c r="K229" t="n">
        <v>0</v>
      </c>
      <c r="L229" t="n">
        <v>0</v>
      </c>
      <c r="M229" t="n">
        <v>0</v>
      </c>
      <c r="N229" t="n">
        <v>0</v>
      </c>
      <c r="O229" t="n">
        <v>1</v>
      </c>
      <c r="P229" t="n">
        <v>0</v>
      </c>
      <c r="Q229" t="n">
        <v>1</v>
      </c>
      <c r="R229" s="2" t="inlineStr">
        <is>
          <t>Spillkråka</t>
        </is>
      </c>
      <c r="S229">
        <f>HYPERLINK("https://klasma.github.io/Logging_0883/artfynd/A 3600-2025 artfynd.xlsx", "A 3600-2025")</f>
        <v/>
      </c>
      <c r="T229">
        <f>HYPERLINK("https://klasma.github.io/Logging_0883/kartor/A 3600-2025 karta.png", "A 3600-2025")</f>
        <v/>
      </c>
      <c r="V229">
        <f>HYPERLINK("https://klasma.github.io/Logging_0883/klagomål/A 3600-2025 FSC-klagomål.docx", "A 3600-2025")</f>
        <v/>
      </c>
      <c r="W229">
        <f>HYPERLINK("https://klasma.github.io/Logging_0883/klagomålsmail/A 3600-2025 FSC-klagomål mail.docx", "A 3600-2025")</f>
        <v/>
      </c>
      <c r="X229">
        <f>HYPERLINK("https://klasma.github.io/Logging_0883/tillsyn/A 3600-2025 tillsynsbegäran.docx", "A 3600-2025")</f>
        <v/>
      </c>
      <c r="Y229">
        <f>HYPERLINK("https://klasma.github.io/Logging_0883/tillsynsmail/A 3600-2025 tillsynsbegäran mail.docx", "A 3600-2025")</f>
        <v/>
      </c>
      <c r="Z229">
        <f>HYPERLINK("https://klasma.github.io/Logging_0883/fåglar/A 3600-2025 prioriterade fågelarter.docx", "A 3600-2025")</f>
        <v/>
      </c>
    </row>
    <row r="230" ht="15" customHeight="1">
      <c r="A230" t="inlineStr">
        <is>
          <t>A 11729-2023</t>
        </is>
      </c>
      <c r="B230" s="1" t="n">
        <v>44994</v>
      </c>
      <c r="C230" s="1" t="n">
        <v>45975</v>
      </c>
      <c r="D230" t="inlineStr">
        <is>
          <t>KALMAR LÄN</t>
        </is>
      </c>
      <c r="E230" t="inlineStr">
        <is>
          <t>VÄSTERVIK</t>
        </is>
      </c>
      <c r="F230" t="inlineStr">
        <is>
          <t>Sveaskog</t>
        </is>
      </c>
      <c r="G230" t="n">
        <v>4.1</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HYPERLINK("https://klasma.github.io/Logging_0883/artfynd/A 11729-2023 artfynd.xlsx", "A 11729-2023")</f>
        <v/>
      </c>
      <c r="T230">
        <f>HYPERLINK("https://klasma.github.io/Logging_0883/kartor/A 11729-2023 karta.png", "A 11729-2023")</f>
        <v/>
      </c>
      <c r="V230">
        <f>HYPERLINK("https://klasma.github.io/Logging_0883/klagomål/A 11729-2023 FSC-klagomål.docx", "A 11729-2023")</f>
        <v/>
      </c>
      <c r="W230">
        <f>HYPERLINK("https://klasma.github.io/Logging_0883/klagomålsmail/A 11729-2023 FSC-klagomål mail.docx", "A 11729-2023")</f>
        <v/>
      </c>
      <c r="X230">
        <f>HYPERLINK("https://klasma.github.io/Logging_0883/tillsyn/A 11729-2023 tillsynsbegäran.docx", "A 11729-2023")</f>
        <v/>
      </c>
      <c r="Y230">
        <f>HYPERLINK("https://klasma.github.io/Logging_0883/tillsynsmail/A 11729-2023 tillsynsbegäran mail.docx", "A 11729-2023")</f>
        <v/>
      </c>
    </row>
    <row r="231" ht="15" customHeight="1">
      <c r="A231" t="inlineStr">
        <is>
          <t>A 23186-2025</t>
        </is>
      </c>
      <c r="B231" s="1" t="n">
        <v>45791.44415509259</v>
      </c>
      <c r="C231" s="1" t="n">
        <v>45975</v>
      </c>
      <c r="D231" t="inlineStr">
        <is>
          <t>KALMAR LÄN</t>
        </is>
      </c>
      <c r="E231" t="inlineStr">
        <is>
          <t>VÄSTERVIK</t>
        </is>
      </c>
      <c r="G231" t="n">
        <v>1.4</v>
      </c>
      <c r="H231" t="n">
        <v>0</v>
      </c>
      <c r="I231" t="n">
        <v>0</v>
      </c>
      <c r="J231" t="n">
        <v>1</v>
      </c>
      <c r="K231" t="n">
        <v>0</v>
      </c>
      <c r="L231" t="n">
        <v>0</v>
      </c>
      <c r="M231" t="n">
        <v>0</v>
      </c>
      <c r="N231" t="n">
        <v>0</v>
      </c>
      <c r="O231" t="n">
        <v>1</v>
      </c>
      <c r="P231" t="n">
        <v>0</v>
      </c>
      <c r="Q231" t="n">
        <v>1</v>
      </c>
      <c r="R231" s="2" t="inlineStr">
        <is>
          <t>Krusfrö</t>
        </is>
      </c>
      <c r="S231">
        <f>HYPERLINK("https://klasma.github.io/Logging_0883/artfynd/A 23186-2025 artfynd.xlsx", "A 23186-2025")</f>
        <v/>
      </c>
      <c r="T231">
        <f>HYPERLINK("https://klasma.github.io/Logging_0883/kartor/A 23186-2025 karta.png", "A 23186-2025")</f>
        <v/>
      </c>
      <c r="V231">
        <f>HYPERLINK("https://klasma.github.io/Logging_0883/klagomål/A 23186-2025 FSC-klagomål.docx", "A 23186-2025")</f>
        <v/>
      </c>
      <c r="W231">
        <f>HYPERLINK("https://klasma.github.io/Logging_0883/klagomålsmail/A 23186-2025 FSC-klagomål mail.docx", "A 23186-2025")</f>
        <v/>
      </c>
      <c r="X231">
        <f>HYPERLINK("https://klasma.github.io/Logging_0883/tillsyn/A 23186-2025 tillsynsbegäran.docx", "A 23186-2025")</f>
        <v/>
      </c>
      <c r="Y231">
        <f>HYPERLINK("https://klasma.github.io/Logging_0883/tillsynsmail/A 23186-2025 tillsynsbegäran mail.docx", "A 23186-2025")</f>
        <v/>
      </c>
    </row>
    <row r="232" ht="15" customHeight="1">
      <c r="A232" t="inlineStr">
        <is>
          <t>A 48897-2025</t>
        </is>
      </c>
      <c r="B232" s="1" t="n">
        <v>45937.47533564815</v>
      </c>
      <c r="C232" s="1" t="n">
        <v>45975</v>
      </c>
      <c r="D232" t="inlineStr">
        <is>
          <t>KALMAR LÄN</t>
        </is>
      </c>
      <c r="E232" t="inlineStr">
        <is>
          <t>VÄSTERVIK</t>
        </is>
      </c>
      <c r="F232" t="inlineStr">
        <is>
          <t>Sveaskog</t>
        </is>
      </c>
      <c r="G232" t="n">
        <v>4.9</v>
      </c>
      <c r="H232" t="n">
        <v>1</v>
      </c>
      <c r="I232" t="n">
        <v>0</v>
      </c>
      <c r="J232" t="n">
        <v>0</v>
      </c>
      <c r="K232" t="n">
        <v>0</v>
      </c>
      <c r="L232" t="n">
        <v>0</v>
      </c>
      <c r="M232" t="n">
        <v>0</v>
      </c>
      <c r="N232" t="n">
        <v>0</v>
      </c>
      <c r="O232" t="n">
        <v>0</v>
      </c>
      <c r="P232" t="n">
        <v>0</v>
      </c>
      <c r="Q232" t="n">
        <v>1</v>
      </c>
      <c r="R232" s="2" t="inlineStr">
        <is>
          <t>Blåsippa</t>
        </is>
      </c>
      <c r="S232">
        <f>HYPERLINK("https://klasma.github.io/Logging_0883/artfynd/A 48897-2025 artfynd.xlsx", "A 48897-2025")</f>
        <v/>
      </c>
      <c r="T232">
        <f>HYPERLINK("https://klasma.github.io/Logging_0883/kartor/A 48897-2025 karta.png", "A 48897-2025")</f>
        <v/>
      </c>
      <c r="V232">
        <f>HYPERLINK("https://klasma.github.io/Logging_0883/klagomål/A 48897-2025 FSC-klagomål.docx", "A 48897-2025")</f>
        <v/>
      </c>
      <c r="W232">
        <f>HYPERLINK("https://klasma.github.io/Logging_0883/klagomålsmail/A 48897-2025 FSC-klagomål mail.docx", "A 48897-2025")</f>
        <v/>
      </c>
      <c r="X232">
        <f>HYPERLINK("https://klasma.github.io/Logging_0883/tillsyn/A 48897-2025 tillsynsbegäran.docx", "A 48897-2025")</f>
        <v/>
      </c>
      <c r="Y232">
        <f>HYPERLINK("https://klasma.github.io/Logging_0883/tillsynsmail/A 48897-2025 tillsynsbegäran mail.docx", "A 48897-2025")</f>
        <v/>
      </c>
    </row>
    <row r="233" ht="15" customHeight="1">
      <c r="A233" t="inlineStr">
        <is>
          <t>A 23192-2025</t>
        </is>
      </c>
      <c r="B233" s="1" t="n">
        <v>45791.45371527778</v>
      </c>
      <c r="C233" s="1" t="n">
        <v>45975</v>
      </c>
      <c r="D233" t="inlineStr">
        <is>
          <t>KALMAR LÄN</t>
        </is>
      </c>
      <c r="E233" t="inlineStr">
        <is>
          <t>VÄSTERVIK</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HYPERLINK("https://klasma.github.io/Logging_0883/artfynd/A 23192-2025 artfynd.xlsx", "A 23192-2025")</f>
        <v/>
      </c>
      <c r="T233">
        <f>HYPERLINK("https://klasma.github.io/Logging_0883/kartor/A 23192-2025 karta.png", "A 23192-2025")</f>
        <v/>
      </c>
      <c r="V233">
        <f>HYPERLINK("https://klasma.github.io/Logging_0883/klagomål/A 23192-2025 FSC-klagomål.docx", "A 23192-2025")</f>
        <v/>
      </c>
      <c r="W233">
        <f>HYPERLINK("https://klasma.github.io/Logging_0883/klagomålsmail/A 23192-2025 FSC-klagomål mail.docx", "A 23192-2025")</f>
        <v/>
      </c>
      <c r="X233">
        <f>HYPERLINK("https://klasma.github.io/Logging_0883/tillsyn/A 23192-2025 tillsynsbegäran.docx", "A 23192-2025")</f>
        <v/>
      </c>
      <c r="Y233">
        <f>HYPERLINK("https://klasma.github.io/Logging_0883/tillsynsmail/A 23192-2025 tillsynsbegäran mail.docx", "A 23192-2025")</f>
        <v/>
      </c>
      <c r="Z233">
        <f>HYPERLINK("https://klasma.github.io/Logging_0883/fåglar/A 23192-2025 prioriterade fågelarter.docx", "A 23192-2025")</f>
        <v/>
      </c>
    </row>
    <row r="234" ht="15" customHeight="1">
      <c r="A234" t="inlineStr">
        <is>
          <t>A 23199-2025</t>
        </is>
      </c>
      <c r="B234" s="1" t="n">
        <v>45791.45887731481</v>
      </c>
      <c r="C234" s="1" t="n">
        <v>45975</v>
      </c>
      <c r="D234" t="inlineStr">
        <is>
          <t>KALMAR LÄN</t>
        </is>
      </c>
      <c r="E234" t="inlineStr">
        <is>
          <t>VÄSTERVIK</t>
        </is>
      </c>
      <c r="G234" t="n">
        <v>2.1</v>
      </c>
      <c r="H234" t="n">
        <v>0</v>
      </c>
      <c r="I234" t="n">
        <v>1</v>
      </c>
      <c r="J234" t="n">
        <v>0</v>
      </c>
      <c r="K234" t="n">
        <v>0</v>
      </c>
      <c r="L234" t="n">
        <v>0</v>
      </c>
      <c r="M234" t="n">
        <v>0</v>
      </c>
      <c r="N234" t="n">
        <v>0</v>
      </c>
      <c r="O234" t="n">
        <v>0</v>
      </c>
      <c r="P234" t="n">
        <v>0</v>
      </c>
      <c r="Q234" t="n">
        <v>1</v>
      </c>
      <c r="R234" s="2" t="inlineStr">
        <is>
          <t>Blåmossa</t>
        </is>
      </c>
      <c r="S234">
        <f>HYPERLINK("https://klasma.github.io/Logging_0883/artfynd/A 23199-2025 artfynd.xlsx", "A 23199-2025")</f>
        <v/>
      </c>
      <c r="T234">
        <f>HYPERLINK("https://klasma.github.io/Logging_0883/kartor/A 23199-2025 karta.png", "A 23199-2025")</f>
        <v/>
      </c>
      <c r="V234">
        <f>HYPERLINK("https://klasma.github.io/Logging_0883/klagomål/A 23199-2025 FSC-klagomål.docx", "A 23199-2025")</f>
        <v/>
      </c>
      <c r="W234">
        <f>HYPERLINK("https://klasma.github.io/Logging_0883/klagomålsmail/A 23199-2025 FSC-klagomål mail.docx", "A 23199-2025")</f>
        <v/>
      </c>
      <c r="X234">
        <f>HYPERLINK("https://klasma.github.io/Logging_0883/tillsyn/A 23199-2025 tillsynsbegäran.docx", "A 23199-2025")</f>
        <v/>
      </c>
      <c r="Y234">
        <f>HYPERLINK("https://klasma.github.io/Logging_0883/tillsynsmail/A 23199-2025 tillsynsbegäran mail.docx", "A 23199-2025")</f>
        <v/>
      </c>
    </row>
    <row r="235" ht="15" customHeight="1">
      <c r="A235" t="inlineStr">
        <is>
          <t>A 34563-2023</t>
        </is>
      </c>
      <c r="B235" s="1" t="n">
        <v>45140.52086805556</v>
      </c>
      <c r="C235" s="1" t="n">
        <v>45975</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20233-2021</t>
        </is>
      </c>
      <c r="B236" s="1" t="n">
        <v>44314</v>
      </c>
      <c r="C236" s="1" t="n">
        <v>45975</v>
      </c>
      <c r="D236" t="inlineStr">
        <is>
          <t>KALMAR LÄN</t>
        </is>
      </c>
      <c r="E236" t="inlineStr">
        <is>
          <t>VÄSTERVIK</t>
        </is>
      </c>
      <c r="F236" t="inlineStr">
        <is>
          <t>Holmen skog AB</t>
        </is>
      </c>
      <c r="G236" t="n">
        <v>11.8</v>
      </c>
      <c r="H236" t="n">
        <v>0</v>
      </c>
      <c r="I236" t="n">
        <v>0</v>
      </c>
      <c r="J236" t="n">
        <v>1</v>
      </c>
      <c r="K236" t="n">
        <v>0</v>
      </c>
      <c r="L236" t="n">
        <v>0</v>
      </c>
      <c r="M236" t="n">
        <v>0</v>
      </c>
      <c r="N236" t="n">
        <v>0</v>
      </c>
      <c r="O236" t="n">
        <v>1</v>
      </c>
      <c r="P236" t="n">
        <v>0</v>
      </c>
      <c r="Q236" t="n">
        <v>1</v>
      </c>
      <c r="R236" s="2" t="inlineStr">
        <is>
          <t>Skogsklocka</t>
        </is>
      </c>
      <c r="S236">
        <f>HYPERLINK("https://klasma.github.io/Logging_0883/artfynd/A 20233-2021 artfynd.xlsx", "A 20233-2021")</f>
        <v/>
      </c>
      <c r="T236">
        <f>HYPERLINK("https://klasma.github.io/Logging_0883/kartor/A 20233-2021 karta.png", "A 20233-2021")</f>
        <v/>
      </c>
      <c r="V236">
        <f>HYPERLINK("https://klasma.github.io/Logging_0883/klagomål/A 20233-2021 FSC-klagomål.docx", "A 20233-2021")</f>
        <v/>
      </c>
      <c r="W236">
        <f>HYPERLINK("https://klasma.github.io/Logging_0883/klagomålsmail/A 20233-2021 FSC-klagomål mail.docx", "A 20233-2021")</f>
        <v/>
      </c>
      <c r="X236">
        <f>HYPERLINK("https://klasma.github.io/Logging_0883/tillsyn/A 20233-2021 tillsynsbegäran.docx", "A 20233-2021")</f>
        <v/>
      </c>
      <c r="Y236">
        <f>HYPERLINK("https://klasma.github.io/Logging_0883/tillsynsmail/A 20233-2021 tillsynsbegäran mail.docx", "A 20233-2021")</f>
        <v/>
      </c>
    </row>
    <row r="237" ht="15" customHeight="1">
      <c r="A237" t="inlineStr">
        <is>
          <t>A 25447-2021</t>
        </is>
      </c>
      <c r="B237" s="1" t="n">
        <v>44342</v>
      </c>
      <c r="C237" s="1" t="n">
        <v>45975</v>
      </c>
      <c r="D237" t="inlineStr">
        <is>
          <t>KALMAR LÄN</t>
        </is>
      </c>
      <c r="E237" t="inlineStr">
        <is>
          <t>VÄSTERVIK</t>
        </is>
      </c>
      <c r="F237" t="inlineStr">
        <is>
          <t>Holmen skog AB</t>
        </is>
      </c>
      <c r="G237" t="n">
        <v>9</v>
      </c>
      <c r="H237" t="n">
        <v>1</v>
      </c>
      <c r="I237" t="n">
        <v>0</v>
      </c>
      <c r="J237" t="n">
        <v>0</v>
      </c>
      <c r="K237" t="n">
        <v>1</v>
      </c>
      <c r="L237" t="n">
        <v>0</v>
      </c>
      <c r="M237" t="n">
        <v>0</v>
      </c>
      <c r="N237" t="n">
        <v>0</v>
      </c>
      <c r="O237" t="n">
        <v>1</v>
      </c>
      <c r="P237" t="n">
        <v>1</v>
      </c>
      <c r="Q237" t="n">
        <v>1</v>
      </c>
      <c r="R237" s="2" t="inlineStr">
        <is>
          <t>Knärot</t>
        </is>
      </c>
      <c r="S237">
        <f>HYPERLINK("https://klasma.github.io/Logging_0883/artfynd/A 25447-2021 artfynd.xlsx", "A 25447-2021")</f>
        <v/>
      </c>
      <c r="T237">
        <f>HYPERLINK("https://klasma.github.io/Logging_0883/kartor/A 25447-2021 karta.png", "A 25447-2021")</f>
        <v/>
      </c>
      <c r="U237">
        <f>HYPERLINK("https://klasma.github.io/Logging_0883/knärot/A 25447-2021 karta knärot.png", "A 25447-2021")</f>
        <v/>
      </c>
      <c r="V237">
        <f>HYPERLINK("https://klasma.github.io/Logging_0883/klagomål/A 25447-2021 FSC-klagomål.docx", "A 25447-2021")</f>
        <v/>
      </c>
      <c r="W237">
        <f>HYPERLINK("https://klasma.github.io/Logging_0883/klagomålsmail/A 25447-2021 FSC-klagomål mail.docx", "A 25447-2021")</f>
        <v/>
      </c>
      <c r="X237">
        <f>HYPERLINK("https://klasma.github.io/Logging_0883/tillsyn/A 25447-2021 tillsynsbegäran.docx", "A 25447-2021")</f>
        <v/>
      </c>
      <c r="Y237">
        <f>HYPERLINK("https://klasma.github.io/Logging_0883/tillsynsmail/A 25447-2021 tillsynsbegäran mail.docx", "A 25447-2021")</f>
        <v/>
      </c>
    </row>
    <row r="238" ht="15" customHeight="1">
      <c r="A238" t="inlineStr">
        <is>
          <t>A 27708-2024</t>
        </is>
      </c>
      <c r="B238" s="1" t="n">
        <v>45475</v>
      </c>
      <c r="C238" s="1" t="n">
        <v>45975</v>
      </c>
      <c r="D238" t="inlineStr">
        <is>
          <t>KALMAR LÄN</t>
        </is>
      </c>
      <c r="E238" t="inlineStr">
        <is>
          <t>VÄSTERVIK</t>
        </is>
      </c>
      <c r="F238" t="inlineStr">
        <is>
          <t>Holmen skog AB</t>
        </is>
      </c>
      <c r="G238" t="n">
        <v>1.7</v>
      </c>
      <c r="H238" t="n">
        <v>1</v>
      </c>
      <c r="I238" t="n">
        <v>0</v>
      </c>
      <c r="J238" t="n">
        <v>1</v>
      </c>
      <c r="K238" t="n">
        <v>0</v>
      </c>
      <c r="L238" t="n">
        <v>0</v>
      </c>
      <c r="M238" t="n">
        <v>0</v>
      </c>
      <c r="N238" t="n">
        <v>0</v>
      </c>
      <c r="O238" t="n">
        <v>1</v>
      </c>
      <c r="P238" t="n">
        <v>0</v>
      </c>
      <c r="Q238" t="n">
        <v>1</v>
      </c>
      <c r="R238" s="2" t="inlineStr">
        <is>
          <t>Spillkråka</t>
        </is>
      </c>
      <c r="S238">
        <f>HYPERLINK("https://klasma.github.io/Logging_0883/artfynd/A 27708-2024 artfynd.xlsx", "A 27708-2024")</f>
        <v/>
      </c>
      <c r="T238">
        <f>HYPERLINK("https://klasma.github.io/Logging_0883/kartor/A 27708-2024 karta.png", "A 27708-2024")</f>
        <v/>
      </c>
      <c r="V238">
        <f>HYPERLINK("https://klasma.github.io/Logging_0883/klagomål/A 27708-2024 FSC-klagomål.docx", "A 27708-2024")</f>
        <v/>
      </c>
      <c r="W238">
        <f>HYPERLINK("https://klasma.github.io/Logging_0883/klagomålsmail/A 27708-2024 FSC-klagomål mail.docx", "A 27708-2024")</f>
        <v/>
      </c>
      <c r="X238">
        <f>HYPERLINK("https://klasma.github.io/Logging_0883/tillsyn/A 27708-2024 tillsynsbegäran.docx", "A 27708-2024")</f>
        <v/>
      </c>
      <c r="Y238">
        <f>HYPERLINK("https://klasma.github.io/Logging_0883/tillsynsmail/A 27708-2024 tillsynsbegäran mail.docx", "A 27708-2024")</f>
        <v/>
      </c>
      <c r="Z238">
        <f>HYPERLINK("https://klasma.github.io/Logging_0883/fåglar/A 27708-2024 prioriterade fågelarter.docx", "A 27708-2024")</f>
        <v/>
      </c>
    </row>
    <row r="239" ht="15" customHeight="1">
      <c r="A239" t="inlineStr">
        <is>
          <t>A 10768-2025</t>
        </is>
      </c>
      <c r="B239" s="1" t="n">
        <v>45722.46649305556</v>
      </c>
      <c r="C239" s="1" t="n">
        <v>45975</v>
      </c>
      <c r="D239" t="inlineStr">
        <is>
          <t>KALMAR LÄN</t>
        </is>
      </c>
      <c r="E239" t="inlineStr">
        <is>
          <t>VÄSTERVIK</t>
        </is>
      </c>
      <c r="G239" t="n">
        <v>0.9</v>
      </c>
      <c r="H239" t="n">
        <v>1</v>
      </c>
      <c r="I239" t="n">
        <v>0</v>
      </c>
      <c r="J239" t="n">
        <v>1</v>
      </c>
      <c r="K239" t="n">
        <v>0</v>
      </c>
      <c r="L239" t="n">
        <v>0</v>
      </c>
      <c r="M239" t="n">
        <v>0</v>
      </c>
      <c r="N239" t="n">
        <v>0</v>
      </c>
      <c r="O239" t="n">
        <v>1</v>
      </c>
      <c r="P239" t="n">
        <v>0</v>
      </c>
      <c r="Q239" t="n">
        <v>1</v>
      </c>
      <c r="R239" s="2" t="inlineStr">
        <is>
          <t>Talltita</t>
        </is>
      </c>
      <c r="S239">
        <f>HYPERLINK("https://klasma.github.io/Logging_0883/artfynd/A 10768-2025 artfynd.xlsx", "A 10768-2025")</f>
        <v/>
      </c>
      <c r="T239">
        <f>HYPERLINK("https://klasma.github.io/Logging_0883/kartor/A 10768-2025 karta.png", "A 10768-2025")</f>
        <v/>
      </c>
      <c r="V239">
        <f>HYPERLINK("https://klasma.github.io/Logging_0883/klagomål/A 10768-2025 FSC-klagomål.docx", "A 10768-2025")</f>
        <v/>
      </c>
      <c r="W239">
        <f>HYPERLINK("https://klasma.github.io/Logging_0883/klagomålsmail/A 10768-2025 FSC-klagomål mail.docx", "A 10768-2025")</f>
        <v/>
      </c>
      <c r="X239">
        <f>HYPERLINK("https://klasma.github.io/Logging_0883/tillsyn/A 10768-2025 tillsynsbegäran.docx", "A 10768-2025")</f>
        <v/>
      </c>
      <c r="Y239">
        <f>HYPERLINK("https://klasma.github.io/Logging_0883/tillsynsmail/A 10768-2025 tillsynsbegäran mail.docx", "A 10768-2025")</f>
        <v/>
      </c>
      <c r="Z239">
        <f>HYPERLINK("https://klasma.github.io/Logging_0883/fåglar/A 10768-2025 prioriterade fågelarter.docx", "A 10768-2025")</f>
        <v/>
      </c>
    </row>
    <row r="240" ht="15" customHeight="1">
      <c r="A240" t="inlineStr">
        <is>
          <t>A 3673-2025</t>
        </is>
      </c>
      <c r="B240" s="1" t="n">
        <v>45681.43706018518</v>
      </c>
      <c r="C240" s="1" t="n">
        <v>45975</v>
      </c>
      <c r="D240" t="inlineStr">
        <is>
          <t>KALMAR LÄN</t>
        </is>
      </c>
      <c r="E240" t="inlineStr">
        <is>
          <t>VÄSTERVIK</t>
        </is>
      </c>
      <c r="G240" t="n">
        <v>1.1</v>
      </c>
      <c r="H240" t="n">
        <v>0</v>
      </c>
      <c r="I240" t="n">
        <v>1</v>
      </c>
      <c r="J240" t="n">
        <v>0</v>
      </c>
      <c r="K240" t="n">
        <v>0</v>
      </c>
      <c r="L240" t="n">
        <v>0</v>
      </c>
      <c r="M240" t="n">
        <v>0</v>
      </c>
      <c r="N240" t="n">
        <v>0</v>
      </c>
      <c r="O240" t="n">
        <v>0</v>
      </c>
      <c r="P240" t="n">
        <v>0</v>
      </c>
      <c r="Q240" t="n">
        <v>1</v>
      </c>
      <c r="R240" s="2" t="inlineStr">
        <is>
          <t>Blodticka</t>
        </is>
      </c>
      <c r="S240">
        <f>HYPERLINK("https://klasma.github.io/Logging_0883/artfynd/A 3673-2025 artfynd.xlsx", "A 3673-2025")</f>
        <v/>
      </c>
      <c r="T240">
        <f>HYPERLINK("https://klasma.github.io/Logging_0883/kartor/A 3673-2025 karta.png", "A 3673-2025")</f>
        <v/>
      </c>
      <c r="V240">
        <f>HYPERLINK("https://klasma.github.io/Logging_0883/klagomål/A 3673-2025 FSC-klagomål.docx", "A 3673-2025")</f>
        <v/>
      </c>
      <c r="W240">
        <f>HYPERLINK("https://klasma.github.io/Logging_0883/klagomålsmail/A 3673-2025 FSC-klagomål mail.docx", "A 3673-2025")</f>
        <v/>
      </c>
      <c r="X240">
        <f>HYPERLINK("https://klasma.github.io/Logging_0883/tillsyn/A 3673-2025 tillsynsbegäran.docx", "A 3673-2025")</f>
        <v/>
      </c>
      <c r="Y240">
        <f>HYPERLINK("https://klasma.github.io/Logging_0883/tillsynsmail/A 3673-2025 tillsynsbegäran mail.docx", "A 3673-2025")</f>
        <v/>
      </c>
    </row>
    <row r="241" ht="15" customHeight="1">
      <c r="A241" t="inlineStr">
        <is>
          <t>A 24048-2021</t>
        </is>
      </c>
      <c r="B241" s="1" t="n">
        <v>44336</v>
      </c>
      <c r="C241" s="1" t="n">
        <v>45975</v>
      </c>
      <c r="D241" t="inlineStr">
        <is>
          <t>KALMAR LÄN</t>
        </is>
      </c>
      <c r="E241" t="inlineStr">
        <is>
          <t>VÄSTERVIK</t>
        </is>
      </c>
      <c r="G241" t="n">
        <v>3.5</v>
      </c>
      <c r="H241" t="n">
        <v>1</v>
      </c>
      <c r="I241" t="n">
        <v>0</v>
      </c>
      <c r="J241" t="n">
        <v>0</v>
      </c>
      <c r="K241" t="n">
        <v>1</v>
      </c>
      <c r="L241" t="n">
        <v>0</v>
      </c>
      <c r="M241" t="n">
        <v>0</v>
      </c>
      <c r="N241" t="n">
        <v>0</v>
      </c>
      <c r="O241" t="n">
        <v>1</v>
      </c>
      <c r="P241" t="n">
        <v>1</v>
      </c>
      <c r="Q241" t="n">
        <v>1</v>
      </c>
      <c r="R241" s="2" t="inlineStr">
        <is>
          <t>Knärot</t>
        </is>
      </c>
      <c r="S241">
        <f>HYPERLINK("https://klasma.github.io/Logging_0883/artfynd/A 24048-2021 artfynd.xlsx", "A 24048-2021")</f>
        <v/>
      </c>
      <c r="T241">
        <f>HYPERLINK("https://klasma.github.io/Logging_0883/kartor/A 24048-2021 karta.png", "A 24048-2021")</f>
        <v/>
      </c>
      <c r="U241">
        <f>HYPERLINK("https://klasma.github.io/Logging_0883/knärot/A 24048-2021 karta knärot.png", "A 24048-2021")</f>
        <v/>
      </c>
      <c r="V241">
        <f>HYPERLINK("https://klasma.github.io/Logging_0883/klagomål/A 24048-2021 FSC-klagomål.docx", "A 24048-2021")</f>
        <v/>
      </c>
      <c r="W241">
        <f>HYPERLINK("https://klasma.github.io/Logging_0883/klagomålsmail/A 24048-2021 FSC-klagomål mail.docx", "A 24048-2021")</f>
        <v/>
      </c>
      <c r="X241">
        <f>HYPERLINK("https://klasma.github.io/Logging_0883/tillsyn/A 24048-2021 tillsynsbegäran.docx", "A 24048-2021")</f>
        <v/>
      </c>
      <c r="Y241">
        <f>HYPERLINK("https://klasma.github.io/Logging_0883/tillsynsmail/A 24048-2021 tillsynsbegäran mail.docx", "A 24048-2021")</f>
        <v/>
      </c>
    </row>
    <row r="242" ht="15" customHeight="1">
      <c r="A242" t="inlineStr">
        <is>
          <t>A 24884-2025</t>
        </is>
      </c>
      <c r="B242" s="1" t="n">
        <v>45799.50620370371</v>
      </c>
      <c r="C242" s="1" t="n">
        <v>45975</v>
      </c>
      <c r="D242" t="inlineStr">
        <is>
          <t>KALMAR LÄN</t>
        </is>
      </c>
      <c r="E242" t="inlineStr">
        <is>
          <t>VÄSTERVIK</t>
        </is>
      </c>
      <c r="F242" t="inlineStr">
        <is>
          <t>Holmen skog AB</t>
        </is>
      </c>
      <c r="G242" t="n">
        <v>5.1</v>
      </c>
      <c r="H242" t="n">
        <v>0</v>
      </c>
      <c r="I242" t="n">
        <v>1</v>
      </c>
      <c r="J242" t="n">
        <v>0</v>
      </c>
      <c r="K242" t="n">
        <v>0</v>
      </c>
      <c r="L242" t="n">
        <v>0</v>
      </c>
      <c r="M242" t="n">
        <v>0</v>
      </c>
      <c r="N242" t="n">
        <v>0</v>
      </c>
      <c r="O242" t="n">
        <v>0</v>
      </c>
      <c r="P242" t="n">
        <v>0</v>
      </c>
      <c r="Q242" t="n">
        <v>1</v>
      </c>
      <c r="R242" s="2" t="inlineStr">
        <is>
          <t>Strävlosta</t>
        </is>
      </c>
      <c r="S242">
        <f>HYPERLINK("https://klasma.github.io/Logging_0883/artfynd/A 24884-2025 artfynd.xlsx", "A 24884-2025")</f>
        <v/>
      </c>
      <c r="T242">
        <f>HYPERLINK("https://klasma.github.io/Logging_0883/kartor/A 24884-2025 karta.png", "A 24884-2025")</f>
        <v/>
      </c>
      <c r="V242">
        <f>HYPERLINK("https://klasma.github.io/Logging_0883/klagomål/A 24884-2025 FSC-klagomål.docx", "A 24884-2025")</f>
        <v/>
      </c>
      <c r="W242">
        <f>HYPERLINK("https://klasma.github.io/Logging_0883/klagomålsmail/A 24884-2025 FSC-klagomål mail.docx", "A 24884-2025")</f>
        <v/>
      </c>
      <c r="X242">
        <f>HYPERLINK("https://klasma.github.io/Logging_0883/tillsyn/A 24884-2025 tillsynsbegäran.docx", "A 24884-2025")</f>
        <v/>
      </c>
      <c r="Y242">
        <f>HYPERLINK("https://klasma.github.io/Logging_0883/tillsynsmail/A 24884-2025 tillsynsbegäran mail.docx", "A 24884-2025")</f>
        <v/>
      </c>
    </row>
    <row r="243" ht="15" customHeight="1">
      <c r="A243" t="inlineStr">
        <is>
          <t>A 50172-2025</t>
        </is>
      </c>
      <c r="B243" s="1" t="n">
        <v>45943.60153935185</v>
      </c>
      <c r="C243" s="1" t="n">
        <v>45975</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1176-2024</t>
        </is>
      </c>
      <c r="B244" s="1" t="n">
        <v>45302</v>
      </c>
      <c r="C244" s="1" t="n">
        <v>45975</v>
      </c>
      <c r="D244" t="inlineStr">
        <is>
          <t>KALMAR LÄN</t>
        </is>
      </c>
      <c r="E244" t="inlineStr">
        <is>
          <t>VÄSTERVIK</t>
        </is>
      </c>
      <c r="G244" t="n">
        <v>2.5</v>
      </c>
      <c r="H244" t="n">
        <v>0</v>
      </c>
      <c r="I244" t="n">
        <v>0</v>
      </c>
      <c r="J244" t="n">
        <v>1</v>
      </c>
      <c r="K244" t="n">
        <v>0</v>
      </c>
      <c r="L244" t="n">
        <v>0</v>
      </c>
      <c r="M244" t="n">
        <v>0</v>
      </c>
      <c r="N244" t="n">
        <v>0</v>
      </c>
      <c r="O244" t="n">
        <v>1</v>
      </c>
      <c r="P244" t="n">
        <v>0</v>
      </c>
      <c r="Q244" t="n">
        <v>1</v>
      </c>
      <c r="R244" s="2" t="inlineStr">
        <is>
          <t>Tallticka</t>
        </is>
      </c>
      <c r="S244">
        <f>HYPERLINK("https://klasma.github.io/Logging_0883/artfynd/A 1176-2024 artfynd.xlsx", "A 1176-2024")</f>
        <v/>
      </c>
      <c r="T244">
        <f>HYPERLINK("https://klasma.github.io/Logging_0883/kartor/A 1176-2024 karta.png", "A 1176-2024")</f>
        <v/>
      </c>
      <c r="V244">
        <f>HYPERLINK("https://klasma.github.io/Logging_0883/klagomål/A 1176-2024 FSC-klagomål.docx", "A 1176-2024")</f>
        <v/>
      </c>
      <c r="W244">
        <f>HYPERLINK("https://klasma.github.io/Logging_0883/klagomålsmail/A 1176-2024 FSC-klagomål mail.docx", "A 1176-2024")</f>
        <v/>
      </c>
      <c r="X244">
        <f>HYPERLINK("https://klasma.github.io/Logging_0883/tillsyn/A 1176-2024 tillsynsbegäran.docx", "A 1176-2024")</f>
        <v/>
      </c>
      <c r="Y244">
        <f>HYPERLINK("https://klasma.github.io/Logging_0883/tillsynsmail/A 1176-2024 tillsynsbegäran mail.docx", "A 1176-2024")</f>
        <v/>
      </c>
    </row>
    <row r="245" ht="15" customHeight="1">
      <c r="A245" t="inlineStr">
        <is>
          <t>A 26516-2025</t>
        </is>
      </c>
      <c r="B245" s="1" t="n">
        <v>45807.55402777778</v>
      </c>
      <c r="C245" s="1" t="n">
        <v>45975</v>
      </c>
      <c r="D245" t="inlineStr">
        <is>
          <t>KALMAR LÄN</t>
        </is>
      </c>
      <c r="E245" t="inlineStr">
        <is>
          <t>VÄSTERVIK</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HYPERLINK("https://klasma.github.io/Logging_0883/artfynd/A 26516-2025 artfynd.xlsx", "A 26516-2025")</f>
        <v/>
      </c>
      <c r="T245">
        <f>HYPERLINK("https://klasma.github.io/Logging_0883/kartor/A 26516-2025 karta.png", "A 26516-2025")</f>
        <v/>
      </c>
      <c r="V245">
        <f>HYPERLINK("https://klasma.github.io/Logging_0883/klagomål/A 26516-2025 FSC-klagomål.docx", "A 26516-2025")</f>
        <v/>
      </c>
      <c r="W245">
        <f>HYPERLINK("https://klasma.github.io/Logging_0883/klagomålsmail/A 26516-2025 FSC-klagomål mail.docx", "A 26516-2025")</f>
        <v/>
      </c>
      <c r="X245">
        <f>HYPERLINK("https://klasma.github.io/Logging_0883/tillsyn/A 26516-2025 tillsynsbegäran.docx", "A 26516-2025")</f>
        <v/>
      </c>
      <c r="Y245">
        <f>HYPERLINK("https://klasma.github.io/Logging_0883/tillsynsmail/A 26516-2025 tillsynsbegäran mail.docx", "A 26516-2025")</f>
        <v/>
      </c>
      <c r="Z245">
        <f>HYPERLINK("https://klasma.github.io/Logging_0883/fåglar/A 26516-2025 prioriterade fågelarter.docx", "A 26516-2025")</f>
        <v/>
      </c>
    </row>
    <row r="246" ht="15" customHeight="1">
      <c r="A246" t="inlineStr">
        <is>
          <t>A 14131-2025</t>
        </is>
      </c>
      <c r="B246" s="1" t="n">
        <v>45740.47480324074</v>
      </c>
      <c r="C246" s="1" t="n">
        <v>45975</v>
      </c>
      <c r="D246" t="inlineStr">
        <is>
          <t>KALMAR LÄN</t>
        </is>
      </c>
      <c r="E246" t="inlineStr">
        <is>
          <t>VÄSTERVIK</t>
        </is>
      </c>
      <c r="F246" t="inlineStr">
        <is>
          <t>Sveaskog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HYPERLINK("https://klasma.github.io/Logging_0883/artfynd/A 14131-2025 artfynd.xlsx", "A 14131-2025")</f>
        <v/>
      </c>
      <c r="T246">
        <f>HYPERLINK("https://klasma.github.io/Logging_0883/kartor/A 14131-2025 karta.png", "A 14131-2025")</f>
        <v/>
      </c>
      <c r="V246">
        <f>HYPERLINK("https://klasma.github.io/Logging_0883/klagomål/A 14131-2025 FSC-klagomål.docx", "A 14131-2025")</f>
        <v/>
      </c>
      <c r="W246">
        <f>HYPERLINK("https://klasma.github.io/Logging_0883/klagomålsmail/A 14131-2025 FSC-klagomål mail.docx", "A 14131-2025")</f>
        <v/>
      </c>
      <c r="X246">
        <f>HYPERLINK("https://klasma.github.io/Logging_0883/tillsyn/A 14131-2025 tillsynsbegäran.docx", "A 14131-2025")</f>
        <v/>
      </c>
      <c r="Y246">
        <f>HYPERLINK("https://klasma.github.io/Logging_0883/tillsynsmail/A 14131-2025 tillsynsbegäran mail.docx", "A 14131-2025")</f>
        <v/>
      </c>
    </row>
    <row r="247" ht="15" customHeight="1">
      <c r="A247" t="inlineStr">
        <is>
          <t>A 6657-2025</t>
        </is>
      </c>
      <c r="B247" s="1" t="n">
        <v>45700</v>
      </c>
      <c r="C247" s="1" t="n">
        <v>45975</v>
      </c>
      <c r="D247" t="inlineStr">
        <is>
          <t>KALMAR LÄN</t>
        </is>
      </c>
      <c r="E247" t="inlineStr">
        <is>
          <t>VÄSTERVIK</t>
        </is>
      </c>
      <c r="F247" t="inlineStr">
        <is>
          <t>Holmen skog AB</t>
        </is>
      </c>
      <c r="G247" t="n">
        <v>3</v>
      </c>
      <c r="H247" t="n">
        <v>1</v>
      </c>
      <c r="I247" t="n">
        <v>0</v>
      </c>
      <c r="J247" t="n">
        <v>0</v>
      </c>
      <c r="K247" t="n">
        <v>1</v>
      </c>
      <c r="L247" t="n">
        <v>0</v>
      </c>
      <c r="M247" t="n">
        <v>0</v>
      </c>
      <c r="N247" t="n">
        <v>0</v>
      </c>
      <c r="O247" t="n">
        <v>1</v>
      </c>
      <c r="P247" t="n">
        <v>1</v>
      </c>
      <c r="Q247" t="n">
        <v>1</v>
      </c>
      <c r="R247" s="2" t="inlineStr">
        <is>
          <t>Knärot</t>
        </is>
      </c>
      <c r="S247">
        <f>HYPERLINK("https://klasma.github.io/Logging_0883/artfynd/A 6657-2025 artfynd.xlsx", "A 6657-2025")</f>
        <v/>
      </c>
      <c r="T247">
        <f>HYPERLINK("https://klasma.github.io/Logging_0883/kartor/A 6657-2025 karta.png", "A 6657-2025")</f>
        <v/>
      </c>
      <c r="U247">
        <f>HYPERLINK("https://klasma.github.io/Logging_0883/knärot/A 6657-2025 karta knärot.png", "A 6657-2025")</f>
        <v/>
      </c>
      <c r="V247">
        <f>HYPERLINK("https://klasma.github.io/Logging_0883/klagomål/A 6657-2025 FSC-klagomål.docx", "A 6657-2025")</f>
        <v/>
      </c>
      <c r="W247">
        <f>HYPERLINK("https://klasma.github.io/Logging_0883/klagomålsmail/A 6657-2025 FSC-klagomål mail.docx", "A 6657-2025")</f>
        <v/>
      </c>
      <c r="X247">
        <f>HYPERLINK("https://klasma.github.io/Logging_0883/tillsyn/A 6657-2025 tillsynsbegäran.docx", "A 6657-2025")</f>
        <v/>
      </c>
      <c r="Y247">
        <f>HYPERLINK("https://klasma.github.io/Logging_0883/tillsynsmail/A 6657-2025 tillsynsbegäran mail.docx", "A 6657-2025")</f>
        <v/>
      </c>
    </row>
    <row r="248" ht="15" customHeight="1">
      <c r="A248" t="inlineStr">
        <is>
          <t>A 4750-2025</t>
        </is>
      </c>
      <c r="B248" s="1" t="n">
        <v>45688</v>
      </c>
      <c r="C248" s="1" t="n">
        <v>45975</v>
      </c>
      <c r="D248" t="inlineStr">
        <is>
          <t>KALMAR LÄN</t>
        </is>
      </c>
      <c r="E248" t="inlineStr">
        <is>
          <t>VÄSTERVIK</t>
        </is>
      </c>
      <c r="F248" t="inlineStr">
        <is>
          <t>Holmen skog AB</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4750-2025 artfynd.xlsx", "A 4750-2025")</f>
        <v/>
      </c>
      <c r="T248">
        <f>HYPERLINK("https://klasma.github.io/Logging_0883/kartor/A 4750-2025 karta.png", "A 4750-2025")</f>
        <v/>
      </c>
      <c r="V248">
        <f>HYPERLINK("https://klasma.github.io/Logging_0883/klagomål/A 4750-2025 FSC-klagomål.docx", "A 4750-2025")</f>
        <v/>
      </c>
      <c r="W248">
        <f>HYPERLINK("https://klasma.github.io/Logging_0883/klagomålsmail/A 4750-2025 FSC-klagomål mail.docx", "A 4750-2025")</f>
        <v/>
      </c>
      <c r="X248">
        <f>HYPERLINK("https://klasma.github.io/Logging_0883/tillsyn/A 4750-2025 tillsynsbegäran.docx", "A 4750-2025")</f>
        <v/>
      </c>
      <c r="Y248">
        <f>HYPERLINK("https://klasma.github.io/Logging_0883/tillsynsmail/A 4750-2025 tillsynsbegäran mail.docx", "A 4750-2025")</f>
        <v/>
      </c>
      <c r="Z248">
        <f>HYPERLINK("https://klasma.github.io/Logging_0883/fåglar/A 4750-2025 prioriterade fågelarter.docx", "A 4750-2025")</f>
        <v/>
      </c>
    </row>
    <row r="249" ht="15" customHeight="1">
      <c r="A249" t="inlineStr">
        <is>
          <t>A 27426-2025</t>
        </is>
      </c>
      <c r="B249" s="1" t="n">
        <v>45813</v>
      </c>
      <c r="C249" s="1" t="n">
        <v>45975</v>
      </c>
      <c r="D249" t="inlineStr">
        <is>
          <t>KALMAR LÄN</t>
        </is>
      </c>
      <c r="E249" t="inlineStr">
        <is>
          <t>VÄSTERVIK</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HYPERLINK("https://klasma.github.io/Logging_0883/artfynd/A 27426-2025 artfynd.xlsx", "A 27426-2025")</f>
        <v/>
      </c>
      <c r="T249">
        <f>HYPERLINK("https://klasma.github.io/Logging_0883/kartor/A 27426-2025 karta.png", "A 27426-2025")</f>
        <v/>
      </c>
      <c r="V249">
        <f>HYPERLINK("https://klasma.github.io/Logging_0883/klagomål/A 27426-2025 FSC-klagomål.docx", "A 27426-2025")</f>
        <v/>
      </c>
      <c r="W249">
        <f>HYPERLINK("https://klasma.github.io/Logging_0883/klagomålsmail/A 27426-2025 FSC-klagomål mail.docx", "A 27426-2025")</f>
        <v/>
      </c>
      <c r="X249">
        <f>HYPERLINK("https://klasma.github.io/Logging_0883/tillsyn/A 27426-2025 tillsynsbegäran.docx", "A 27426-2025")</f>
        <v/>
      </c>
      <c r="Y249">
        <f>HYPERLINK("https://klasma.github.io/Logging_0883/tillsynsmail/A 27426-2025 tillsynsbegäran mail.docx", "A 27426-2025")</f>
        <v/>
      </c>
    </row>
    <row r="250" ht="15" customHeight="1">
      <c r="A250" t="inlineStr">
        <is>
          <t>A 16695-2025</t>
        </is>
      </c>
      <c r="B250" s="1" t="n">
        <v>45754.46579861111</v>
      </c>
      <c r="C250" s="1" t="n">
        <v>45975</v>
      </c>
      <c r="D250" t="inlineStr">
        <is>
          <t>KALMAR LÄN</t>
        </is>
      </c>
      <c r="E250" t="inlineStr">
        <is>
          <t>VÄSTERVIK</t>
        </is>
      </c>
      <c r="F250" t="inlineStr">
        <is>
          <t>Sveaskog</t>
        </is>
      </c>
      <c r="G250" t="n">
        <v>1.8</v>
      </c>
      <c r="H250" t="n">
        <v>1</v>
      </c>
      <c r="I250" t="n">
        <v>0</v>
      </c>
      <c r="J250" t="n">
        <v>0</v>
      </c>
      <c r="K250" t="n">
        <v>0</v>
      </c>
      <c r="L250" t="n">
        <v>0</v>
      </c>
      <c r="M250" t="n">
        <v>0</v>
      </c>
      <c r="N250" t="n">
        <v>0</v>
      </c>
      <c r="O250" t="n">
        <v>0</v>
      </c>
      <c r="P250" t="n">
        <v>0</v>
      </c>
      <c r="Q250" t="n">
        <v>1</v>
      </c>
      <c r="R250" s="2" t="inlineStr">
        <is>
          <t>Kungsfågel</t>
        </is>
      </c>
      <c r="S250">
        <f>HYPERLINK("https://klasma.github.io/Logging_0883/artfynd/A 16695-2025 artfynd.xlsx", "A 16695-2025")</f>
        <v/>
      </c>
      <c r="T250">
        <f>HYPERLINK("https://klasma.github.io/Logging_0883/kartor/A 16695-2025 karta.png", "A 16695-2025")</f>
        <v/>
      </c>
      <c r="V250">
        <f>HYPERLINK("https://klasma.github.io/Logging_0883/klagomål/A 16695-2025 FSC-klagomål.docx", "A 16695-2025")</f>
        <v/>
      </c>
      <c r="W250">
        <f>HYPERLINK("https://klasma.github.io/Logging_0883/klagomålsmail/A 16695-2025 FSC-klagomål mail.docx", "A 16695-2025")</f>
        <v/>
      </c>
      <c r="X250">
        <f>HYPERLINK("https://klasma.github.io/Logging_0883/tillsyn/A 16695-2025 tillsynsbegäran.docx", "A 16695-2025")</f>
        <v/>
      </c>
      <c r="Y250">
        <f>HYPERLINK("https://klasma.github.io/Logging_0883/tillsynsmail/A 16695-2025 tillsynsbegäran mail.docx", "A 16695-2025")</f>
        <v/>
      </c>
      <c r="Z250">
        <f>HYPERLINK("https://klasma.github.io/Logging_0883/fåglar/A 16695-2025 prioriterade fågelarter.docx", "A 16695-2025")</f>
        <v/>
      </c>
    </row>
    <row r="251" ht="15" customHeight="1">
      <c r="A251" t="inlineStr">
        <is>
          <t>A 16697-2025</t>
        </is>
      </c>
      <c r="B251" s="1" t="n">
        <v>45754.46709490741</v>
      </c>
      <c r="C251" s="1" t="n">
        <v>45975</v>
      </c>
      <c r="D251" t="inlineStr">
        <is>
          <t>KALMAR LÄN</t>
        </is>
      </c>
      <c r="E251" t="inlineStr">
        <is>
          <t>VÄSTERVIK</t>
        </is>
      </c>
      <c r="F251" t="inlineStr">
        <is>
          <t>Sveaskog</t>
        </is>
      </c>
      <c r="G251" t="n">
        <v>1.3</v>
      </c>
      <c r="H251" t="n">
        <v>1</v>
      </c>
      <c r="I251" t="n">
        <v>0</v>
      </c>
      <c r="J251" t="n">
        <v>1</v>
      </c>
      <c r="K251" t="n">
        <v>0</v>
      </c>
      <c r="L251" t="n">
        <v>0</v>
      </c>
      <c r="M251" t="n">
        <v>0</v>
      </c>
      <c r="N251" t="n">
        <v>0</v>
      </c>
      <c r="O251" t="n">
        <v>1</v>
      </c>
      <c r="P251" t="n">
        <v>0</v>
      </c>
      <c r="Q251" t="n">
        <v>1</v>
      </c>
      <c r="R251" s="2" t="inlineStr">
        <is>
          <t>Spillkråka</t>
        </is>
      </c>
      <c r="S251">
        <f>HYPERLINK("https://klasma.github.io/Logging_0883/artfynd/A 16697-2025 artfynd.xlsx", "A 16697-2025")</f>
        <v/>
      </c>
      <c r="T251">
        <f>HYPERLINK("https://klasma.github.io/Logging_0883/kartor/A 16697-2025 karta.png", "A 16697-2025")</f>
        <v/>
      </c>
      <c r="V251">
        <f>HYPERLINK("https://klasma.github.io/Logging_0883/klagomål/A 16697-2025 FSC-klagomål.docx", "A 16697-2025")</f>
        <v/>
      </c>
      <c r="W251">
        <f>HYPERLINK("https://klasma.github.io/Logging_0883/klagomålsmail/A 16697-2025 FSC-klagomål mail.docx", "A 16697-2025")</f>
        <v/>
      </c>
      <c r="X251">
        <f>HYPERLINK("https://klasma.github.io/Logging_0883/tillsyn/A 16697-2025 tillsynsbegäran.docx", "A 16697-2025")</f>
        <v/>
      </c>
      <c r="Y251">
        <f>HYPERLINK("https://klasma.github.io/Logging_0883/tillsynsmail/A 16697-2025 tillsynsbegäran mail.docx", "A 16697-2025")</f>
        <v/>
      </c>
      <c r="Z251">
        <f>HYPERLINK("https://klasma.github.io/Logging_0883/fåglar/A 16697-2025 prioriterade fågelarter.docx", "A 16697-2025")</f>
        <v/>
      </c>
    </row>
    <row r="252" ht="15" customHeight="1">
      <c r="A252" t="inlineStr">
        <is>
          <t>A 35028-2024</t>
        </is>
      </c>
      <c r="B252" s="1" t="n">
        <v>45527.60524305556</v>
      </c>
      <c r="C252" s="1" t="n">
        <v>45975</v>
      </c>
      <c r="D252" t="inlineStr">
        <is>
          <t>KALMAR LÄN</t>
        </is>
      </c>
      <c r="E252" t="inlineStr">
        <is>
          <t>VÄSTERVIK</t>
        </is>
      </c>
      <c r="G252" t="n">
        <v>1.3</v>
      </c>
      <c r="H252" t="n">
        <v>0</v>
      </c>
      <c r="I252" t="n">
        <v>1</v>
      </c>
      <c r="J252" t="n">
        <v>0</v>
      </c>
      <c r="K252" t="n">
        <v>0</v>
      </c>
      <c r="L252" t="n">
        <v>0</v>
      </c>
      <c r="M252" t="n">
        <v>0</v>
      </c>
      <c r="N252" t="n">
        <v>0</v>
      </c>
      <c r="O252" t="n">
        <v>0</v>
      </c>
      <c r="P252" t="n">
        <v>0</v>
      </c>
      <c r="Q252" t="n">
        <v>1</v>
      </c>
      <c r="R252" s="2" t="inlineStr">
        <is>
          <t>Blomkålssvamp</t>
        </is>
      </c>
      <c r="S252">
        <f>HYPERLINK("https://klasma.github.io/Logging_0883/artfynd/A 35028-2024 artfynd.xlsx", "A 35028-2024")</f>
        <v/>
      </c>
      <c r="T252">
        <f>HYPERLINK("https://klasma.github.io/Logging_0883/kartor/A 35028-2024 karta.png", "A 35028-2024")</f>
        <v/>
      </c>
      <c r="V252">
        <f>HYPERLINK("https://klasma.github.io/Logging_0883/klagomål/A 35028-2024 FSC-klagomål.docx", "A 35028-2024")</f>
        <v/>
      </c>
      <c r="W252">
        <f>HYPERLINK("https://klasma.github.io/Logging_0883/klagomålsmail/A 35028-2024 FSC-klagomål mail.docx", "A 35028-2024")</f>
        <v/>
      </c>
      <c r="X252">
        <f>HYPERLINK("https://klasma.github.io/Logging_0883/tillsyn/A 35028-2024 tillsynsbegäran.docx", "A 35028-2024")</f>
        <v/>
      </c>
      <c r="Y252">
        <f>HYPERLINK("https://klasma.github.io/Logging_0883/tillsynsmail/A 35028-2024 tillsynsbegäran mail.docx", "A 35028-2024")</f>
        <v/>
      </c>
    </row>
    <row r="253" ht="15" customHeight="1">
      <c r="A253" t="inlineStr">
        <is>
          <t>A 51488-2024</t>
        </is>
      </c>
      <c r="B253" s="1" t="n">
        <v>45604</v>
      </c>
      <c r="C253" s="1" t="n">
        <v>45975</v>
      </c>
      <c r="D253" t="inlineStr">
        <is>
          <t>KALMAR LÄN</t>
        </is>
      </c>
      <c r="E253" t="inlineStr">
        <is>
          <t>VÄSTERVIK</t>
        </is>
      </c>
      <c r="F253" t="inlineStr">
        <is>
          <t>Övriga Aktiebolag</t>
        </is>
      </c>
      <c r="G253" t="n">
        <v>2.9</v>
      </c>
      <c r="H253" t="n">
        <v>1</v>
      </c>
      <c r="I253" t="n">
        <v>0</v>
      </c>
      <c r="J253" t="n">
        <v>1</v>
      </c>
      <c r="K253" t="n">
        <v>0</v>
      </c>
      <c r="L253" t="n">
        <v>0</v>
      </c>
      <c r="M253" t="n">
        <v>0</v>
      </c>
      <c r="N253" t="n">
        <v>0</v>
      </c>
      <c r="O253" t="n">
        <v>1</v>
      </c>
      <c r="P253" t="n">
        <v>0</v>
      </c>
      <c r="Q253" t="n">
        <v>1</v>
      </c>
      <c r="R253" s="2" t="inlineStr">
        <is>
          <t>Entita</t>
        </is>
      </c>
      <c r="S253">
        <f>HYPERLINK("https://klasma.github.io/Logging_0883/artfynd/A 51488-2024 artfynd.xlsx", "A 51488-2024")</f>
        <v/>
      </c>
      <c r="T253">
        <f>HYPERLINK("https://klasma.github.io/Logging_0883/kartor/A 51488-2024 karta.png", "A 51488-2024")</f>
        <v/>
      </c>
      <c r="V253">
        <f>HYPERLINK("https://klasma.github.io/Logging_0883/klagomål/A 51488-2024 FSC-klagomål.docx", "A 51488-2024")</f>
        <v/>
      </c>
      <c r="W253">
        <f>HYPERLINK("https://klasma.github.io/Logging_0883/klagomålsmail/A 51488-2024 FSC-klagomål mail.docx", "A 51488-2024")</f>
        <v/>
      </c>
      <c r="X253">
        <f>HYPERLINK("https://klasma.github.io/Logging_0883/tillsyn/A 51488-2024 tillsynsbegäran.docx", "A 51488-2024")</f>
        <v/>
      </c>
      <c r="Y253">
        <f>HYPERLINK("https://klasma.github.io/Logging_0883/tillsynsmail/A 51488-2024 tillsynsbegäran mail.docx", "A 51488-2024")</f>
        <v/>
      </c>
      <c r="Z253">
        <f>HYPERLINK("https://klasma.github.io/Logging_0883/fåglar/A 51488-2024 prioriterade fågelarter.docx", "A 51488-2024")</f>
        <v/>
      </c>
    </row>
    <row r="254" ht="15" customHeight="1">
      <c r="A254" t="inlineStr">
        <is>
          <t>A 31315-2021</t>
        </is>
      </c>
      <c r="B254" s="1" t="n">
        <v>44368</v>
      </c>
      <c r="C254" s="1" t="n">
        <v>45975</v>
      </c>
      <c r="D254" t="inlineStr">
        <is>
          <t>KALMAR LÄN</t>
        </is>
      </c>
      <c r="E254" t="inlineStr">
        <is>
          <t>VÄSTERVIK</t>
        </is>
      </c>
      <c r="G254" t="n">
        <v>3.3</v>
      </c>
      <c r="H254" t="n">
        <v>1</v>
      </c>
      <c r="I254" t="n">
        <v>0</v>
      </c>
      <c r="J254" t="n">
        <v>0</v>
      </c>
      <c r="K254" t="n">
        <v>1</v>
      </c>
      <c r="L254" t="n">
        <v>0</v>
      </c>
      <c r="M254" t="n">
        <v>0</v>
      </c>
      <c r="N254" t="n">
        <v>0</v>
      </c>
      <c r="O254" t="n">
        <v>1</v>
      </c>
      <c r="P254" t="n">
        <v>1</v>
      </c>
      <c r="Q254" t="n">
        <v>1</v>
      </c>
      <c r="R254" s="2" t="inlineStr">
        <is>
          <t>Knärot</t>
        </is>
      </c>
      <c r="S254">
        <f>HYPERLINK("https://klasma.github.io/Logging_0883/artfynd/A 31315-2021 artfynd.xlsx", "A 31315-2021")</f>
        <v/>
      </c>
      <c r="T254">
        <f>HYPERLINK("https://klasma.github.io/Logging_0883/kartor/A 31315-2021 karta.png", "A 31315-2021")</f>
        <v/>
      </c>
      <c r="U254">
        <f>HYPERLINK("https://klasma.github.io/Logging_0883/knärot/A 31315-2021 karta knärot.png", "A 31315-2021")</f>
        <v/>
      </c>
      <c r="V254">
        <f>HYPERLINK("https://klasma.github.io/Logging_0883/klagomål/A 31315-2021 FSC-klagomål.docx", "A 31315-2021")</f>
        <v/>
      </c>
      <c r="W254">
        <f>HYPERLINK("https://klasma.github.io/Logging_0883/klagomålsmail/A 31315-2021 FSC-klagomål mail.docx", "A 31315-2021")</f>
        <v/>
      </c>
      <c r="X254">
        <f>HYPERLINK("https://klasma.github.io/Logging_0883/tillsyn/A 31315-2021 tillsynsbegäran.docx", "A 31315-2021")</f>
        <v/>
      </c>
      <c r="Y254">
        <f>HYPERLINK("https://klasma.github.io/Logging_0883/tillsynsmail/A 31315-2021 tillsynsbegäran mail.docx", "A 31315-2021")</f>
        <v/>
      </c>
    </row>
    <row r="255" ht="15" customHeight="1">
      <c r="A255" t="inlineStr">
        <is>
          <t>A 53129-2025</t>
        </is>
      </c>
      <c r="B255" s="1" t="n">
        <v>45958.46118055555</v>
      </c>
      <c r="C255" s="1" t="n">
        <v>45975</v>
      </c>
      <c r="D255" t="inlineStr">
        <is>
          <t>KALMAR LÄN</t>
        </is>
      </c>
      <c r="E255" t="inlineStr">
        <is>
          <t>VÄSTERVIK</t>
        </is>
      </c>
      <c r="G255" t="n">
        <v>4.1</v>
      </c>
      <c r="H255" t="n">
        <v>1</v>
      </c>
      <c r="I255" t="n">
        <v>1</v>
      </c>
      <c r="J255" t="n">
        <v>0</v>
      </c>
      <c r="K255" t="n">
        <v>0</v>
      </c>
      <c r="L255" t="n">
        <v>0</v>
      </c>
      <c r="M255" t="n">
        <v>0</v>
      </c>
      <c r="N255" t="n">
        <v>0</v>
      </c>
      <c r="O255" t="n">
        <v>0</v>
      </c>
      <c r="P255" t="n">
        <v>0</v>
      </c>
      <c r="Q255" t="n">
        <v>1</v>
      </c>
      <c r="R255" s="2" t="inlineStr">
        <is>
          <t>Skogsknipprot</t>
        </is>
      </c>
      <c r="S255">
        <f>HYPERLINK("https://klasma.github.io/Logging_0883/artfynd/A 53129-2025 artfynd.xlsx", "A 53129-2025")</f>
        <v/>
      </c>
      <c r="T255">
        <f>HYPERLINK("https://klasma.github.io/Logging_0883/kartor/A 53129-2025 karta.png", "A 53129-2025")</f>
        <v/>
      </c>
      <c r="V255">
        <f>HYPERLINK("https://klasma.github.io/Logging_0883/klagomål/A 53129-2025 FSC-klagomål.docx", "A 53129-2025")</f>
        <v/>
      </c>
      <c r="W255">
        <f>HYPERLINK("https://klasma.github.io/Logging_0883/klagomålsmail/A 53129-2025 FSC-klagomål mail.docx", "A 53129-2025")</f>
        <v/>
      </c>
      <c r="X255">
        <f>HYPERLINK("https://klasma.github.io/Logging_0883/tillsyn/A 53129-2025 tillsynsbegäran.docx", "A 53129-2025")</f>
        <v/>
      </c>
      <c r="Y255">
        <f>HYPERLINK("https://klasma.github.io/Logging_0883/tillsynsmail/A 53129-2025 tillsynsbegäran mail.docx", "A 53129-2025")</f>
        <v/>
      </c>
    </row>
    <row r="256" ht="15" customHeight="1">
      <c r="A256" t="inlineStr">
        <is>
          <t>A 17952-2025</t>
        </is>
      </c>
      <c r="B256" s="1" t="n">
        <v>45760.85842592592</v>
      </c>
      <c r="C256" s="1" t="n">
        <v>45975</v>
      </c>
      <c r="D256" t="inlineStr">
        <is>
          <t>KALMAR LÄN</t>
        </is>
      </c>
      <c r="E256" t="inlineStr">
        <is>
          <t>VÄSTERVIK</t>
        </is>
      </c>
      <c r="G256" t="n">
        <v>3.3</v>
      </c>
      <c r="H256" t="n">
        <v>1</v>
      </c>
      <c r="I256" t="n">
        <v>0</v>
      </c>
      <c r="J256" t="n">
        <v>0</v>
      </c>
      <c r="K256" t="n">
        <v>0</v>
      </c>
      <c r="L256" t="n">
        <v>0</v>
      </c>
      <c r="M256" t="n">
        <v>0</v>
      </c>
      <c r="N256" t="n">
        <v>0</v>
      </c>
      <c r="O256" t="n">
        <v>0</v>
      </c>
      <c r="P256" t="n">
        <v>0</v>
      </c>
      <c r="Q256" t="n">
        <v>1</v>
      </c>
      <c r="R256" s="2" t="inlineStr">
        <is>
          <t>Revlummer</t>
        </is>
      </c>
      <c r="S256">
        <f>HYPERLINK("https://klasma.github.io/Logging_0883/artfynd/A 17952-2025 artfynd.xlsx", "A 17952-2025")</f>
        <v/>
      </c>
      <c r="T256">
        <f>HYPERLINK("https://klasma.github.io/Logging_0883/kartor/A 17952-2025 karta.png", "A 17952-2025")</f>
        <v/>
      </c>
      <c r="V256">
        <f>HYPERLINK("https://klasma.github.io/Logging_0883/klagomål/A 17952-2025 FSC-klagomål.docx", "A 17952-2025")</f>
        <v/>
      </c>
      <c r="W256">
        <f>HYPERLINK("https://klasma.github.io/Logging_0883/klagomålsmail/A 17952-2025 FSC-klagomål mail.docx", "A 17952-2025")</f>
        <v/>
      </c>
      <c r="X256">
        <f>HYPERLINK("https://klasma.github.io/Logging_0883/tillsyn/A 17952-2025 tillsynsbegäran.docx", "A 17952-2025")</f>
        <v/>
      </c>
      <c r="Y256">
        <f>HYPERLINK("https://klasma.github.io/Logging_0883/tillsynsmail/A 17952-2025 tillsynsbegäran mail.docx", "A 17952-2025")</f>
        <v/>
      </c>
    </row>
    <row r="257" ht="15" customHeight="1">
      <c r="A257" t="inlineStr">
        <is>
          <t>A 30794-2025</t>
        </is>
      </c>
      <c r="B257" s="1" t="n">
        <v>45831.63834490741</v>
      </c>
      <c r="C257" s="1" t="n">
        <v>45975</v>
      </c>
      <c r="D257" t="inlineStr">
        <is>
          <t>KALMAR LÄN</t>
        </is>
      </c>
      <c r="E257" t="inlineStr">
        <is>
          <t>VÄSTERVIK</t>
        </is>
      </c>
      <c r="G257" t="n">
        <v>4.8</v>
      </c>
      <c r="H257" t="n">
        <v>0</v>
      </c>
      <c r="I257" t="n">
        <v>0</v>
      </c>
      <c r="J257" t="n">
        <v>1</v>
      </c>
      <c r="K257" t="n">
        <v>0</v>
      </c>
      <c r="L257" t="n">
        <v>0</v>
      </c>
      <c r="M257" t="n">
        <v>0</v>
      </c>
      <c r="N257" t="n">
        <v>0</v>
      </c>
      <c r="O257" t="n">
        <v>1</v>
      </c>
      <c r="P257" t="n">
        <v>0</v>
      </c>
      <c r="Q257" t="n">
        <v>1</v>
      </c>
      <c r="R257" s="2" t="inlineStr">
        <is>
          <t>Tallticka</t>
        </is>
      </c>
      <c r="S257">
        <f>HYPERLINK("https://klasma.github.io/Logging_0883/artfynd/A 30794-2025 artfynd.xlsx", "A 30794-2025")</f>
        <v/>
      </c>
      <c r="T257">
        <f>HYPERLINK("https://klasma.github.io/Logging_0883/kartor/A 30794-2025 karta.png", "A 30794-2025")</f>
        <v/>
      </c>
      <c r="V257">
        <f>HYPERLINK("https://klasma.github.io/Logging_0883/klagomål/A 30794-2025 FSC-klagomål.docx", "A 30794-2025")</f>
        <v/>
      </c>
      <c r="W257">
        <f>HYPERLINK("https://klasma.github.io/Logging_0883/klagomålsmail/A 30794-2025 FSC-klagomål mail.docx", "A 30794-2025")</f>
        <v/>
      </c>
      <c r="X257">
        <f>HYPERLINK("https://klasma.github.io/Logging_0883/tillsyn/A 30794-2025 tillsynsbegäran.docx", "A 30794-2025")</f>
        <v/>
      </c>
      <c r="Y257">
        <f>HYPERLINK("https://klasma.github.io/Logging_0883/tillsynsmail/A 30794-2025 tillsynsbegäran mail.docx", "A 30794-2025")</f>
        <v/>
      </c>
    </row>
    <row r="258" ht="15" customHeight="1">
      <c r="A258" t="inlineStr">
        <is>
          <t>A 44618-2025</t>
        </is>
      </c>
      <c r="B258" s="1" t="n">
        <v>45917.46385416666</v>
      </c>
      <c r="C258" s="1" t="n">
        <v>45975</v>
      </c>
      <c r="D258" t="inlineStr">
        <is>
          <t>KALMAR LÄN</t>
        </is>
      </c>
      <c r="E258" t="inlineStr">
        <is>
          <t>VÄSTERVIK</t>
        </is>
      </c>
      <c r="F258" t="inlineStr">
        <is>
          <t>Övriga Aktiebolag</t>
        </is>
      </c>
      <c r="G258" t="n">
        <v>6.9</v>
      </c>
      <c r="H258" t="n">
        <v>1</v>
      </c>
      <c r="I258" t="n">
        <v>0</v>
      </c>
      <c r="J258" t="n">
        <v>1</v>
      </c>
      <c r="K258" t="n">
        <v>0</v>
      </c>
      <c r="L258" t="n">
        <v>0</v>
      </c>
      <c r="M258" t="n">
        <v>0</v>
      </c>
      <c r="N258" t="n">
        <v>0</v>
      </c>
      <c r="O258" t="n">
        <v>1</v>
      </c>
      <c r="P258" t="n">
        <v>0</v>
      </c>
      <c r="Q258" t="n">
        <v>1</v>
      </c>
      <c r="R258" s="2" t="inlineStr">
        <is>
          <t>Havsörn</t>
        </is>
      </c>
      <c r="S258">
        <f>HYPERLINK("https://klasma.github.io/Logging_0883/artfynd/A 44618-2025 artfynd.xlsx", "A 44618-2025")</f>
        <v/>
      </c>
      <c r="T258">
        <f>HYPERLINK("https://klasma.github.io/Logging_0883/kartor/A 44618-2025 karta.png", "A 44618-2025")</f>
        <v/>
      </c>
      <c r="V258">
        <f>HYPERLINK("https://klasma.github.io/Logging_0883/klagomål/A 44618-2025 FSC-klagomål.docx", "A 44618-2025")</f>
        <v/>
      </c>
      <c r="W258">
        <f>HYPERLINK("https://klasma.github.io/Logging_0883/klagomålsmail/A 44618-2025 FSC-klagomål mail.docx", "A 44618-2025")</f>
        <v/>
      </c>
      <c r="X258">
        <f>HYPERLINK("https://klasma.github.io/Logging_0883/tillsyn/A 44618-2025 tillsynsbegäran.docx", "A 44618-2025")</f>
        <v/>
      </c>
      <c r="Y258">
        <f>HYPERLINK("https://klasma.github.io/Logging_0883/tillsynsmail/A 44618-2025 tillsynsbegäran mail.docx", "A 44618-2025")</f>
        <v/>
      </c>
      <c r="Z258">
        <f>HYPERLINK("https://klasma.github.io/Logging_0883/fåglar/A 44618-2025 prioriterade fågelarter.docx", "A 44618-2025")</f>
        <v/>
      </c>
    </row>
    <row r="259" ht="15" customHeight="1">
      <c r="A259" t="inlineStr">
        <is>
          <t>A 44865-2025</t>
        </is>
      </c>
      <c r="B259" s="1" t="n">
        <v>45918.46114583333</v>
      </c>
      <c r="C259" s="1" t="n">
        <v>45975</v>
      </c>
      <c r="D259" t="inlineStr">
        <is>
          <t>KALMAR LÄN</t>
        </is>
      </c>
      <c r="E259" t="inlineStr">
        <is>
          <t>VÄSTERVIK</t>
        </is>
      </c>
      <c r="G259" t="n">
        <v>1.1</v>
      </c>
      <c r="H259" t="n">
        <v>1</v>
      </c>
      <c r="I259" t="n">
        <v>0</v>
      </c>
      <c r="J259" t="n">
        <v>0</v>
      </c>
      <c r="K259" t="n">
        <v>1</v>
      </c>
      <c r="L259" t="n">
        <v>0</v>
      </c>
      <c r="M259" t="n">
        <v>0</v>
      </c>
      <c r="N259" t="n">
        <v>0</v>
      </c>
      <c r="O259" t="n">
        <v>1</v>
      </c>
      <c r="P259" t="n">
        <v>1</v>
      </c>
      <c r="Q259" t="n">
        <v>1</v>
      </c>
      <c r="R259" s="2" t="inlineStr">
        <is>
          <t>Knärot</t>
        </is>
      </c>
      <c r="S259">
        <f>HYPERLINK("https://klasma.github.io/Logging_0883/artfynd/A 44865-2025 artfynd.xlsx", "A 44865-2025")</f>
        <v/>
      </c>
      <c r="T259">
        <f>HYPERLINK("https://klasma.github.io/Logging_0883/kartor/A 44865-2025 karta.png", "A 44865-2025")</f>
        <v/>
      </c>
      <c r="U259">
        <f>HYPERLINK("https://klasma.github.io/Logging_0883/knärot/A 44865-2025 karta knärot.png", "A 44865-2025")</f>
        <v/>
      </c>
      <c r="V259">
        <f>HYPERLINK("https://klasma.github.io/Logging_0883/klagomål/A 44865-2025 FSC-klagomål.docx", "A 44865-2025")</f>
        <v/>
      </c>
      <c r="W259">
        <f>HYPERLINK("https://klasma.github.io/Logging_0883/klagomålsmail/A 44865-2025 FSC-klagomål mail.docx", "A 44865-2025")</f>
        <v/>
      </c>
      <c r="X259">
        <f>HYPERLINK("https://klasma.github.io/Logging_0883/tillsyn/A 44865-2025 tillsynsbegäran.docx", "A 44865-2025")</f>
        <v/>
      </c>
      <c r="Y259">
        <f>HYPERLINK("https://klasma.github.io/Logging_0883/tillsynsmail/A 44865-2025 tillsynsbegäran mail.docx", "A 44865-2025")</f>
        <v/>
      </c>
    </row>
    <row r="260" ht="15" customHeight="1">
      <c r="A260" t="inlineStr">
        <is>
          <t>A 51024-2022</t>
        </is>
      </c>
      <c r="B260" s="1" t="n">
        <v>44867</v>
      </c>
      <c r="C260" s="1" t="n">
        <v>45975</v>
      </c>
      <c r="D260" t="inlineStr">
        <is>
          <t>KALMAR LÄN</t>
        </is>
      </c>
      <c r="E260" t="inlineStr">
        <is>
          <t>VÄSTERVIK</t>
        </is>
      </c>
      <c r="F260" t="inlineStr">
        <is>
          <t>Holmen skog AB</t>
        </is>
      </c>
      <c r="G260" t="n">
        <v>7.6</v>
      </c>
      <c r="H260" t="n">
        <v>1</v>
      </c>
      <c r="I260" t="n">
        <v>0</v>
      </c>
      <c r="J260" t="n">
        <v>1</v>
      </c>
      <c r="K260" t="n">
        <v>0</v>
      </c>
      <c r="L260" t="n">
        <v>0</v>
      </c>
      <c r="M260" t="n">
        <v>0</v>
      </c>
      <c r="N260" t="n">
        <v>0</v>
      </c>
      <c r="O260" t="n">
        <v>1</v>
      </c>
      <c r="P260" t="n">
        <v>0</v>
      </c>
      <c r="Q260" t="n">
        <v>1</v>
      </c>
      <c r="R260" s="2" t="inlineStr">
        <is>
          <t>Talltita</t>
        </is>
      </c>
      <c r="S260">
        <f>HYPERLINK("https://klasma.github.io/Logging_0883/artfynd/A 51024-2022 artfynd.xlsx", "A 51024-2022")</f>
        <v/>
      </c>
      <c r="T260">
        <f>HYPERLINK("https://klasma.github.io/Logging_0883/kartor/A 51024-2022 karta.png", "A 51024-2022")</f>
        <v/>
      </c>
      <c r="V260">
        <f>HYPERLINK("https://klasma.github.io/Logging_0883/klagomål/A 51024-2022 FSC-klagomål.docx", "A 51024-2022")</f>
        <v/>
      </c>
      <c r="W260">
        <f>HYPERLINK("https://klasma.github.io/Logging_0883/klagomålsmail/A 51024-2022 FSC-klagomål mail.docx", "A 51024-2022")</f>
        <v/>
      </c>
      <c r="X260">
        <f>HYPERLINK("https://klasma.github.io/Logging_0883/tillsyn/A 51024-2022 tillsynsbegäran.docx", "A 51024-2022")</f>
        <v/>
      </c>
      <c r="Y260">
        <f>HYPERLINK("https://klasma.github.io/Logging_0883/tillsynsmail/A 51024-2022 tillsynsbegäran mail.docx", "A 51024-2022")</f>
        <v/>
      </c>
      <c r="Z260">
        <f>HYPERLINK("https://klasma.github.io/Logging_0883/fåglar/A 51024-2022 prioriterade fågelarter.docx", "A 51024-2022")</f>
        <v/>
      </c>
    </row>
    <row r="261" ht="15" customHeight="1">
      <c r="A261" t="inlineStr">
        <is>
          <t>A 3057-2025</t>
        </is>
      </c>
      <c r="B261" s="1" t="n">
        <v>45678</v>
      </c>
      <c r="C261" s="1" t="n">
        <v>45975</v>
      </c>
      <c r="D261" t="inlineStr">
        <is>
          <t>KALMAR LÄN</t>
        </is>
      </c>
      <c r="E261" t="inlineStr">
        <is>
          <t>VÄSTERVIK</t>
        </is>
      </c>
      <c r="G261" t="n">
        <v>1</v>
      </c>
      <c r="H261" t="n">
        <v>1</v>
      </c>
      <c r="I261" t="n">
        <v>0</v>
      </c>
      <c r="J261" t="n">
        <v>0</v>
      </c>
      <c r="K261" t="n">
        <v>1</v>
      </c>
      <c r="L261" t="n">
        <v>0</v>
      </c>
      <c r="M261" t="n">
        <v>0</v>
      </c>
      <c r="N261" t="n">
        <v>0</v>
      </c>
      <c r="O261" t="n">
        <v>1</v>
      </c>
      <c r="P261" t="n">
        <v>1</v>
      </c>
      <c r="Q261" t="n">
        <v>1</v>
      </c>
      <c r="R261" s="2" t="inlineStr">
        <is>
          <t>Knärot</t>
        </is>
      </c>
      <c r="S261">
        <f>HYPERLINK("https://klasma.github.io/Logging_0883/artfynd/A 3057-2025 artfynd.xlsx", "A 3057-2025")</f>
        <v/>
      </c>
      <c r="T261">
        <f>HYPERLINK("https://klasma.github.io/Logging_0883/kartor/A 3057-2025 karta.png", "A 3057-2025")</f>
        <v/>
      </c>
      <c r="U261">
        <f>HYPERLINK("https://klasma.github.io/Logging_0883/knärot/A 3057-2025 karta knärot.png", "A 3057-2025")</f>
        <v/>
      </c>
      <c r="V261">
        <f>HYPERLINK("https://klasma.github.io/Logging_0883/klagomål/A 3057-2025 FSC-klagomål.docx", "A 3057-2025")</f>
        <v/>
      </c>
      <c r="W261">
        <f>HYPERLINK("https://klasma.github.io/Logging_0883/klagomålsmail/A 3057-2025 FSC-klagomål mail.docx", "A 3057-2025")</f>
        <v/>
      </c>
      <c r="X261">
        <f>HYPERLINK("https://klasma.github.io/Logging_0883/tillsyn/A 3057-2025 tillsynsbegäran.docx", "A 3057-2025")</f>
        <v/>
      </c>
      <c r="Y261">
        <f>HYPERLINK("https://klasma.github.io/Logging_0883/tillsynsmail/A 3057-2025 tillsynsbegäran mail.docx", "A 3057-2025")</f>
        <v/>
      </c>
    </row>
    <row r="262" ht="15" customHeight="1">
      <c r="A262" t="inlineStr">
        <is>
          <t>A 53875-2025</t>
        </is>
      </c>
      <c r="B262" s="1" t="n">
        <v>45961.3937962963</v>
      </c>
      <c r="C262" s="1" t="n">
        <v>45975</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53875-2025 artfynd.xlsx", "A 53875-2025")</f>
        <v/>
      </c>
      <c r="T262">
        <f>HYPERLINK("https://klasma.github.io/Logging_0883/kartor/A 53875-2025 karta.png", "A 53875-2025")</f>
        <v/>
      </c>
      <c r="V262">
        <f>HYPERLINK("https://klasma.github.io/Logging_0883/klagomål/A 53875-2025 FSC-klagomål.docx", "A 53875-2025")</f>
        <v/>
      </c>
      <c r="W262">
        <f>HYPERLINK("https://klasma.github.io/Logging_0883/klagomålsmail/A 53875-2025 FSC-klagomål mail.docx", "A 53875-2025")</f>
        <v/>
      </c>
      <c r="X262">
        <f>HYPERLINK("https://klasma.github.io/Logging_0883/tillsyn/A 53875-2025 tillsynsbegäran.docx", "A 53875-2025")</f>
        <v/>
      </c>
      <c r="Y262">
        <f>HYPERLINK("https://klasma.github.io/Logging_0883/tillsynsmail/A 53875-2025 tillsynsbegäran mail.docx", "A 53875-2025")</f>
        <v/>
      </c>
    </row>
    <row r="263" ht="15" customHeight="1">
      <c r="A263" t="inlineStr">
        <is>
          <t>A 53860-2025</t>
        </is>
      </c>
      <c r="B263" s="1" t="n">
        <v>45961.37815972222</v>
      </c>
      <c r="C263" s="1" t="n">
        <v>45975</v>
      </c>
      <c r="D263" t="inlineStr">
        <is>
          <t>KALMAR LÄN</t>
        </is>
      </c>
      <c r="E263" t="inlineStr">
        <is>
          <t>VÄSTERVIK</t>
        </is>
      </c>
      <c r="F263" t="inlineStr">
        <is>
          <t>Sveaskog</t>
        </is>
      </c>
      <c r="G263" t="n">
        <v>1.7</v>
      </c>
      <c r="H263" t="n">
        <v>1</v>
      </c>
      <c r="I263" t="n">
        <v>0</v>
      </c>
      <c r="J263" t="n">
        <v>0</v>
      </c>
      <c r="K263" t="n">
        <v>0</v>
      </c>
      <c r="L263" t="n">
        <v>0</v>
      </c>
      <c r="M263" t="n">
        <v>0</v>
      </c>
      <c r="N263" t="n">
        <v>0</v>
      </c>
      <c r="O263" t="n">
        <v>0</v>
      </c>
      <c r="P263" t="n">
        <v>0</v>
      </c>
      <c r="Q263" t="n">
        <v>1</v>
      </c>
      <c r="R263" s="2" t="inlineStr">
        <is>
          <t>Blåsippa</t>
        </is>
      </c>
      <c r="S263">
        <f>HYPERLINK("https://klasma.github.io/Logging_0883/artfynd/A 53860-2025 artfynd.xlsx", "A 53860-2025")</f>
        <v/>
      </c>
      <c r="T263">
        <f>HYPERLINK("https://klasma.github.io/Logging_0883/kartor/A 53860-2025 karta.png", "A 53860-2025")</f>
        <v/>
      </c>
      <c r="V263">
        <f>HYPERLINK("https://klasma.github.io/Logging_0883/klagomål/A 53860-2025 FSC-klagomål.docx", "A 53860-2025")</f>
        <v/>
      </c>
      <c r="W263">
        <f>HYPERLINK("https://klasma.github.io/Logging_0883/klagomålsmail/A 53860-2025 FSC-klagomål mail.docx", "A 53860-2025")</f>
        <v/>
      </c>
      <c r="X263">
        <f>HYPERLINK("https://klasma.github.io/Logging_0883/tillsyn/A 53860-2025 tillsynsbegäran.docx", "A 53860-2025")</f>
        <v/>
      </c>
      <c r="Y263">
        <f>HYPERLINK("https://klasma.github.io/Logging_0883/tillsynsmail/A 53860-2025 tillsynsbegäran mail.docx", "A 53860-2025")</f>
        <v/>
      </c>
    </row>
    <row r="264" ht="15" customHeight="1">
      <c r="A264" t="inlineStr">
        <is>
          <t>A 53843-2025</t>
        </is>
      </c>
      <c r="B264" s="1" t="n">
        <v>45961.36483796296</v>
      </c>
      <c r="C264" s="1" t="n">
        <v>45975</v>
      </c>
      <c r="D264" t="inlineStr">
        <is>
          <t>KALMAR LÄN</t>
        </is>
      </c>
      <c r="E264" t="inlineStr">
        <is>
          <t>VÄSTERVIK</t>
        </is>
      </c>
      <c r="F264" t="inlineStr">
        <is>
          <t>Sveaskog</t>
        </is>
      </c>
      <c r="G264" t="n">
        <v>6</v>
      </c>
      <c r="H264" t="n">
        <v>1</v>
      </c>
      <c r="I264" t="n">
        <v>0</v>
      </c>
      <c r="J264" t="n">
        <v>0</v>
      </c>
      <c r="K264" t="n">
        <v>0</v>
      </c>
      <c r="L264" t="n">
        <v>0</v>
      </c>
      <c r="M264" t="n">
        <v>0</v>
      </c>
      <c r="N264" t="n">
        <v>0</v>
      </c>
      <c r="O264" t="n">
        <v>0</v>
      </c>
      <c r="P264" t="n">
        <v>0</v>
      </c>
      <c r="Q264" t="n">
        <v>1</v>
      </c>
      <c r="R264" s="2" t="inlineStr">
        <is>
          <t>Blåsippa</t>
        </is>
      </c>
      <c r="S264">
        <f>HYPERLINK("https://klasma.github.io/Logging_0883/artfynd/A 53843-2025 artfynd.xlsx", "A 53843-2025")</f>
        <v/>
      </c>
      <c r="T264">
        <f>HYPERLINK("https://klasma.github.io/Logging_0883/kartor/A 53843-2025 karta.png", "A 53843-2025")</f>
        <v/>
      </c>
      <c r="V264">
        <f>HYPERLINK("https://klasma.github.io/Logging_0883/klagomål/A 53843-2025 FSC-klagomål.docx", "A 53843-2025")</f>
        <v/>
      </c>
      <c r="W264">
        <f>HYPERLINK("https://klasma.github.io/Logging_0883/klagomålsmail/A 53843-2025 FSC-klagomål mail.docx", "A 53843-2025")</f>
        <v/>
      </c>
      <c r="X264">
        <f>HYPERLINK("https://klasma.github.io/Logging_0883/tillsyn/A 53843-2025 tillsynsbegäran.docx", "A 53843-2025")</f>
        <v/>
      </c>
      <c r="Y264">
        <f>HYPERLINK("https://klasma.github.io/Logging_0883/tillsynsmail/A 53843-2025 tillsynsbegäran mail.docx", "A 53843-2025")</f>
        <v/>
      </c>
    </row>
    <row r="265" ht="15" customHeight="1">
      <c r="A265" t="inlineStr">
        <is>
          <t>A 53877-2025</t>
        </is>
      </c>
      <c r="B265" s="1" t="n">
        <v>45961.39565972222</v>
      </c>
      <c r="C265" s="1" t="n">
        <v>45975</v>
      </c>
      <c r="D265" t="inlineStr">
        <is>
          <t>KALMAR LÄN</t>
        </is>
      </c>
      <c r="E265" t="inlineStr">
        <is>
          <t>VÄSTERVIK</t>
        </is>
      </c>
      <c r="F265" t="inlineStr">
        <is>
          <t>Sveaskog</t>
        </is>
      </c>
      <c r="G265" t="n">
        <v>2.2</v>
      </c>
      <c r="H265" t="n">
        <v>0</v>
      </c>
      <c r="I265" t="n">
        <v>0</v>
      </c>
      <c r="J265" t="n">
        <v>1</v>
      </c>
      <c r="K265" t="n">
        <v>0</v>
      </c>
      <c r="L265" t="n">
        <v>0</v>
      </c>
      <c r="M265" t="n">
        <v>0</v>
      </c>
      <c r="N265" t="n">
        <v>0</v>
      </c>
      <c r="O265" t="n">
        <v>1</v>
      </c>
      <c r="P265" t="n">
        <v>0</v>
      </c>
      <c r="Q265" t="n">
        <v>1</v>
      </c>
      <c r="R265" s="2" t="inlineStr">
        <is>
          <t>Pilblad</t>
        </is>
      </c>
      <c r="S265">
        <f>HYPERLINK("https://klasma.github.io/Logging_0883/artfynd/A 53877-2025 artfynd.xlsx", "A 53877-2025")</f>
        <v/>
      </c>
      <c r="T265">
        <f>HYPERLINK("https://klasma.github.io/Logging_0883/kartor/A 53877-2025 karta.png", "A 53877-2025")</f>
        <v/>
      </c>
      <c r="V265">
        <f>HYPERLINK("https://klasma.github.io/Logging_0883/klagomål/A 53877-2025 FSC-klagomål.docx", "A 53877-2025")</f>
        <v/>
      </c>
      <c r="W265">
        <f>HYPERLINK("https://klasma.github.io/Logging_0883/klagomålsmail/A 53877-2025 FSC-klagomål mail.docx", "A 53877-2025")</f>
        <v/>
      </c>
      <c r="X265">
        <f>HYPERLINK("https://klasma.github.io/Logging_0883/tillsyn/A 53877-2025 tillsynsbegäran.docx", "A 53877-2025")</f>
        <v/>
      </c>
      <c r="Y265">
        <f>HYPERLINK("https://klasma.github.io/Logging_0883/tillsynsmail/A 53877-2025 tillsynsbegäran mail.docx", "A 53877-2025")</f>
        <v/>
      </c>
    </row>
    <row r="266" ht="15" customHeight="1">
      <c r="A266" t="inlineStr">
        <is>
          <t>A 54859-2025</t>
        </is>
      </c>
      <c r="B266" s="1" t="n">
        <v>45966.75758101852</v>
      </c>
      <c r="C266" s="1" t="n">
        <v>45975</v>
      </c>
      <c r="D266" t="inlineStr">
        <is>
          <t>KALMAR LÄN</t>
        </is>
      </c>
      <c r="E266" t="inlineStr">
        <is>
          <t>VÄSTERVIK</t>
        </is>
      </c>
      <c r="F266" t="inlineStr">
        <is>
          <t>Sveaskog</t>
        </is>
      </c>
      <c r="G266" t="n">
        <v>4.2</v>
      </c>
      <c r="H266" t="n">
        <v>1</v>
      </c>
      <c r="I266" t="n">
        <v>0</v>
      </c>
      <c r="J266" t="n">
        <v>0</v>
      </c>
      <c r="K266" t="n">
        <v>0</v>
      </c>
      <c r="L266" t="n">
        <v>0</v>
      </c>
      <c r="M266" t="n">
        <v>0</v>
      </c>
      <c r="N266" t="n">
        <v>0</v>
      </c>
      <c r="O266" t="n">
        <v>0</v>
      </c>
      <c r="P266" t="n">
        <v>0</v>
      </c>
      <c r="Q266" t="n">
        <v>1</v>
      </c>
      <c r="R266" s="2" t="inlineStr">
        <is>
          <t>Blåsippa</t>
        </is>
      </c>
      <c r="S266">
        <f>HYPERLINK("https://klasma.github.io/Logging_0883/artfynd/A 54859-2025 artfynd.xlsx", "A 54859-2025")</f>
        <v/>
      </c>
      <c r="T266">
        <f>HYPERLINK("https://klasma.github.io/Logging_0883/kartor/A 54859-2025 karta.png", "A 54859-2025")</f>
        <v/>
      </c>
      <c r="V266">
        <f>HYPERLINK("https://klasma.github.io/Logging_0883/klagomål/A 54859-2025 FSC-klagomål.docx", "A 54859-2025")</f>
        <v/>
      </c>
      <c r="W266">
        <f>HYPERLINK("https://klasma.github.io/Logging_0883/klagomålsmail/A 54859-2025 FSC-klagomål mail.docx", "A 54859-2025")</f>
        <v/>
      </c>
      <c r="X266">
        <f>HYPERLINK("https://klasma.github.io/Logging_0883/tillsyn/A 54859-2025 tillsynsbegäran.docx", "A 54859-2025")</f>
        <v/>
      </c>
      <c r="Y266">
        <f>HYPERLINK("https://klasma.github.io/Logging_0883/tillsynsmail/A 54859-2025 tillsynsbegäran mail.docx", "A 54859-2025")</f>
        <v/>
      </c>
    </row>
    <row r="267" ht="15" customHeight="1">
      <c r="A267" t="inlineStr">
        <is>
          <t>A 33916-2025</t>
        </is>
      </c>
      <c r="B267" s="1" t="n">
        <v>45842.61306712963</v>
      </c>
      <c r="C267" s="1" t="n">
        <v>45975</v>
      </c>
      <c r="D267" t="inlineStr">
        <is>
          <t>KALMAR LÄN</t>
        </is>
      </c>
      <c r="E267" t="inlineStr">
        <is>
          <t>VÄSTERVIK</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HYPERLINK("https://klasma.github.io/Logging_0883/artfynd/A 33916-2025 artfynd.xlsx", "A 33916-2025")</f>
        <v/>
      </c>
      <c r="T267">
        <f>HYPERLINK("https://klasma.github.io/Logging_0883/kartor/A 33916-2025 karta.png", "A 33916-2025")</f>
        <v/>
      </c>
      <c r="V267">
        <f>HYPERLINK("https://klasma.github.io/Logging_0883/klagomål/A 33916-2025 FSC-klagomål.docx", "A 33916-2025")</f>
        <v/>
      </c>
      <c r="W267">
        <f>HYPERLINK("https://klasma.github.io/Logging_0883/klagomålsmail/A 33916-2025 FSC-klagomål mail.docx", "A 33916-2025")</f>
        <v/>
      </c>
      <c r="X267">
        <f>HYPERLINK("https://klasma.github.io/Logging_0883/tillsyn/A 33916-2025 tillsynsbegäran.docx", "A 33916-2025")</f>
        <v/>
      </c>
      <c r="Y267">
        <f>HYPERLINK("https://klasma.github.io/Logging_0883/tillsynsmail/A 33916-2025 tillsynsbegäran mail.docx", "A 33916-2025")</f>
        <v/>
      </c>
      <c r="Z267">
        <f>HYPERLINK("https://klasma.github.io/Logging_0883/fåglar/A 33916-2025 prioriterade fågelarter.docx", "A 33916-2025")</f>
        <v/>
      </c>
    </row>
    <row r="268" ht="15" customHeight="1">
      <c r="A268" t="inlineStr">
        <is>
          <t>A 11165-2024</t>
        </is>
      </c>
      <c r="B268" s="1" t="n">
        <v>45371</v>
      </c>
      <c r="C268" s="1" t="n">
        <v>45975</v>
      </c>
      <c r="D268" t="inlineStr">
        <is>
          <t>KALMAR LÄN</t>
        </is>
      </c>
      <c r="E268" t="inlineStr">
        <is>
          <t>VÄSTERVIK</t>
        </is>
      </c>
      <c r="G268" t="n">
        <v>3.7</v>
      </c>
      <c r="H268" t="n">
        <v>1</v>
      </c>
      <c r="I268" t="n">
        <v>0</v>
      </c>
      <c r="J268" t="n">
        <v>1</v>
      </c>
      <c r="K268" t="n">
        <v>0</v>
      </c>
      <c r="L268" t="n">
        <v>0</v>
      </c>
      <c r="M268" t="n">
        <v>0</v>
      </c>
      <c r="N268" t="n">
        <v>0</v>
      </c>
      <c r="O268" t="n">
        <v>1</v>
      </c>
      <c r="P268" t="n">
        <v>0</v>
      </c>
      <c r="Q268" t="n">
        <v>1</v>
      </c>
      <c r="R268" s="2" t="inlineStr">
        <is>
          <t>Spillkråka</t>
        </is>
      </c>
      <c r="S268">
        <f>HYPERLINK("https://klasma.github.io/Logging_0883/artfynd/A 11165-2024 artfynd.xlsx", "A 11165-2024")</f>
        <v/>
      </c>
      <c r="T268">
        <f>HYPERLINK("https://klasma.github.io/Logging_0883/kartor/A 11165-2024 karta.png", "A 11165-2024")</f>
        <v/>
      </c>
      <c r="V268">
        <f>HYPERLINK("https://klasma.github.io/Logging_0883/klagomål/A 11165-2024 FSC-klagomål.docx", "A 11165-2024")</f>
        <v/>
      </c>
      <c r="W268">
        <f>HYPERLINK("https://klasma.github.io/Logging_0883/klagomålsmail/A 11165-2024 FSC-klagomål mail.docx", "A 11165-2024")</f>
        <v/>
      </c>
      <c r="X268">
        <f>HYPERLINK("https://klasma.github.io/Logging_0883/tillsyn/A 11165-2024 tillsynsbegäran.docx", "A 11165-2024")</f>
        <v/>
      </c>
      <c r="Y268">
        <f>HYPERLINK("https://klasma.github.io/Logging_0883/tillsynsmail/A 11165-2024 tillsynsbegäran mail.docx", "A 11165-2024")</f>
        <v/>
      </c>
      <c r="Z268">
        <f>HYPERLINK("https://klasma.github.io/Logging_0883/fåglar/A 11165-2024 prioriterade fågelarter.docx", "A 11165-2024")</f>
        <v/>
      </c>
    </row>
    <row r="269" ht="15" customHeight="1">
      <c r="A269" t="inlineStr">
        <is>
          <t>A 55142-2025</t>
        </is>
      </c>
      <c r="B269" s="1" t="n">
        <v>45968</v>
      </c>
      <c r="C269" s="1" t="n">
        <v>45975</v>
      </c>
      <c r="D269" t="inlineStr">
        <is>
          <t>KALMAR LÄN</t>
        </is>
      </c>
      <c r="E269" t="inlineStr">
        <is>
          <t>VÄSTERVIK</t>
        </is>
      </c>
      <c r="G269" t="n">
        <v>1.3</v>
      </c>
      <c r="H269" t="n">
        <v>0</v>
      </c>
      <c r="I269" t="n">
        <v>1</v>
      </c>
      <c r="J269" t="n">
        <v>0</v>
      </c>
      <c r="K269" t="n">
        <v>0</v>
      </c>
      <c r="L269" t="n">
        <v>0</v>
      </c>
      <c r="M269" t="n">
        <v>0</v>
      </c>
      <c r="N269" t="n">
        <v>0</v>
      </c>
      <c r="O269" t="n">
        <v>0</v>
      </c>
      <c r="P269" t="n">
        <v>0</v>
      </c>
      <c r="Q269" t="n">
        <v>1</v>
      </c>
      <c r="R269" s="2" t="inlineStr">
        <is>
          <t>Hasselticka</t>
        </is>
      </c>
      <c r="S269">
        <f>HYPERLINK("https://klasma.github.io/Logging_0883/artfynd/A 55142-2025 artfynd.xlsx", "A 55142-2025")</f>
        <v/>
      </c>
      <c r="T269">
        <f>HYPERLINK("https://klasma.github.io/Logging_0883/kartor/A 55142-2025 karta.png", "A 55142-2025")</f>
        <v/>
      </c>
      <c r="V269">
        <f>HYPERLINK("https://klasma.github.io/Logging_0883/klagomål/A 55142-2025 FSC-klagomål.docx", "A 55142-2025")</f>
        <v/>
      </c>
      <c r="W269">
        <f>HYPERLINK("https://klasma.github.io/Logging_0883/klagomålsmail/A 55142-2025 FSC-klagomål mail.docx", "A 55142-2025")</f>
        <v/>
      </c>
      <c r="X269">
        <f>HYPERLINK("https://klasma.github.io/Logging_0883/tillsyn/A 55142-2025 tillsynsbegäran.docx", "A 55142-2025")</f>
        <v/>
      </c>
      <c r="Y269">
        <f>HYPERLINK("https://klasma.github.io/Logging_0883/tillsynsmail/A 55142-2025 tillsynsbegäran mail.docx", "A 55142-2025")</f>
        <v/>
      </c>
    </row>
    <row r="270" ht="15" customHeight="1">
      <c r="A270" t="inlineStr">
        <is>
          <t>A 1370-2024</t>
        </is>
      </c>
      <c r="B270" s="1" t="n">
        <v>45303</v>
      </c>
      <c r="C270" s="1" t="n">
        <v>45975</v>
      </c>
      <c r="D270" t="inlineStr">
        <is>
          <t>KALMAR LÄN</t>
        </is>
      </c>
      <c r="E270" t="inlineStr">
        <is>
          <t>VÄSTERVIK</t>
        </is>
      </c>
      <c r="G270" t="n">
        <v>0.4</v>
      </c>
      <c r="H270" t="n">
        <v>0</v>
      </c>
      <c r="I270" t="n">
        <v>1</v>
      </c>
      <c r="J270" t="n">
        <v>0</v>
      </c>
      <c r="K270" t="n">
        <v>0</v>
      </c>
      <c r="L270" t="n">
        <v>0</v>
      </c>
      <c r="M270" t="n">
        <v>0</v>
      </c>
      <c r="N270" t="n">
        <v>0</v>
      </c>
      <c r="O270" t="n">
        <v>0</v>
      </c>
      <c r="P270" t="n">
        <v>0</v>
      </c>
      <c r="Q270" t="n">
        <v>1</v>
      </c>
      <c r="R270" s="2" t="inlineStr">
        <is>
          <t>Brandticka</t>
        </is>
      </c>
      <c r="S270">
        <f>HYPERLINK("https://klasma.github.io/Logging_0883/artfynd/A 1370-2024 artfynd.xlsx", "A 1370-2024")</f>
        <v/>
      </c>
      <c r="T270">
        <f>HYPERLINK("https://klasma.github.io/Logging_0883/kartor/A 1370-2024 karta.png", "A 1370-2024")</f>
        <v/>
      </c>
      <c r="V270">
        <f>HYPERLINK("https://klasma.github.io/Logging_0883/klagomål/A 1370-2024 FSC-klagomål.docx", "A 1370-2024")</f>
        <v/>
      </c>
      <c r="W270">
        <f>HYPERLINK("https://klasma.github.io/Logging_0883/klagomålsmail/A 1370-2024 FSC-klagomål mail.docx", "A 1370-2024")</f>
        <v/>
      </c>
      <c r="X270">
        <f>HYPERLINK("https://klasma.github.io/Logging_0883/tillsyn/A 1370-2024 tillsynsbegäran.docx", "A 1370-2024")</f>
        <v/>
      </c>
      <c r="Y270">
        <f>HYPERLINK("https://klasma.github.io/Logging_0883/tillsynsmail/A 1370-2024 tillsynsbegäran mail.docx", "A 1370-2024")</f>
        <v/>
      </c>
    </row>
    <row r="271" ht="15" customHeight="1">
      <c r="A271" t="inlineStr">
        <is>
          <t>A 34168-2025</t>
        </is>
      </c>
      <c r="B271" s="1" t="n">
        <v>45845.58349537037</v>
      </c>
      <c r="C271" s="1" t="n">
        <v>45975</v>
      </c>
      <c r="D271" t="inlineStr">
        <is>
          <t>KALMAR LÄN</t>
        </is>
      </c>
      <c r="E271" t="inlineStr">
        <is>
          <t>VÄSTERVIK</t>
        </is>
      </c>
      <c r="G271" t="n">
        <v>2.7</v>
      </c>
      <c r="H271" t="n">
        <v>1</v>
      </c>
      <c r="I271" t="n">
        <v>0</v>
      </c>
      <c r="J271" t="n">
        <v>1</v>
      </c>
      <c r="K271" t="n">
        <v>0</v>
      </c>
      <c r="L271" t="n">
        <v>0</v>
      </c>
      <c r="M271" t="n">
        <v>0</v>
      </c>
      <c r="N271" t="n">
        <v>0</v>
      </c>
      <c r="O271" t="n">
        <v>1</v>
      </c>
      <c r="P271" t="n">
        <v>0</v>
      </c>
      <c r="Q271" t="n">
        <v>1</v>
      </c>
      <c r="R271" s="2" t="inlineStr">
        <is>
          <t>Grönsångare</t>
        </is>
      </c>
      <c r="S271">
        <f>HYPERLINK("https://klasma.github.io/Logging_0883/artfynd/A 34168-2025 artfynd.xlsx", "A 34168-2025")</f>
        <v/>
      </c>
      <c r="T271">
        <f>HYPERLINK("https://klasma.github.io/Logging_0883/kartor/A 34168-2025 karta.png", "A 34168-2025")</f>
        <v/>
      </c>
      <c r="V271">
        <f>HYPERLINK("https://klasma.github.io/Logging_0883/klagomål/A 34168-2025 FSC-klagomål.docx", "A 34168-2025")</f>
        <v/>
      </c>
      <c r="W271">
        <f>HYPERLINK("https://klasma.github.io/Logging_0883/klagomålsmail/A 34168-2025 FSC-klagomål mail.docx", "A 34168-2025")</f>
        <v/>
      </c>
      <c r="X271">
        <f>HYPERLINK("https://klasma.github.io/Logging_0883/tillsyn/A 34168-2025 tillsynsbegäran.docx", "A 34168-2025")</f>
        <v/>
      </c>
      <c r="Y271">
        <f>HYPERLINK("https://klasma.github.io/Logging_0883/tillsynsmail/A 34168-2025 tillsynsbegäran mail.docx", "A 34168-2025")</f>
        <v/>
      </c>
      <c r="Z271">
        <f>HYPERLINK("https://klasma.github.io/Logging_0883/fåglar/A 34168-2025 prioriterade fågelarter.docx", "A 34168-2025")</f>
        <v/>
      </c>
    </row>
    <row r="272" ht="15" customHeight="1">
      <c r="A272" t="inlineStr">
        <is>
          <t>A 34166-2025</t>
        </is>
      </c>
      <c r="B272" s="1" t="n">
        <v>45845.5819675926</v>
      </c>
      <c r="C272" s="1" t="n">
        <v>45975</v>
      </c>
      <c r="D272" t="inlineStr">
        <is>
          <t>KALMAR LÄN</t>
        </is>
      </c>
      <c r="E272" t="inlineStr">
        <is>
          <t>VÄSTERVIK</t>
        </is>
      </c>
      <c r="G272" t="n">
        <v>3.5</v>
      </c>
      <c r="H272" t="n">
        <v>0</v>
      </c>
      <c r="I272" t="n">
        <v>0</v>
      </c>
      <c r="J272" t="n">
        <v>0</v>
      </c>
      <c r="K272" t="n">
        <v>0</v>
      </c>
      <c r="L272" t="n">
        <v>0</v>
      </c>
      <c r="M272" t="n">
        <v>1</v>
      </c>
      <c r="N272" t="n">
        <v>0</v>
      </c>
      <c r="O272" t="n">
        <v>1</v>
      </c>
      <c r="P272" t="n">
        <v>1</v>
      </c>
      <c r="Q272" t="n">
        <v>1</v>
      </c>
      <c r="R272" s="2" t="inlineStr">
        <is>
          <t>Skogsalm</t>
        </is>
      </c>
      <c r="S272">
        <f>HYPERLINK("https://klasma.github.io/Logging_0883/artfynd/A 34166-2025 artfynd.xlsx", "A 34166-2025")</f>
        <v/>
      </c>
      <c r="T272">
        <f>HYPERLINK("https://klasma.github.io/Logging_0883/kartor/A 34166-2025 karta.png", "A 34166-2025")</f>
        <v/>
      </c>
      <c r="V272">
        <f>HYPERLINK("https://klasma.github.io/Logging_0883/klagomål/A 34166-2025 FSC-klagomål.docx", "A 34166-2025")</f>
        <v/>
      </c>
      <c r="W272">
        <f>HYPERLINK("https://klasma.github.io/Logging_0883/klagomålsmail/A 34166-2025 FSC-klagomål mail.docx", "A 34166-2025")</f>
        <v/>
      </c>
      <c r="X272">
        <f>HYPERLINK("https://klasma.github.io/Logging_0883/tillsyn/A 34166-2025 tillsynsbegäran.docx", "A 34166-2025")</f>
        <v/>
      </c>
      <c r="Y272">
        <f>HYPERLINK("https://klasma.github.io/Logging_0883/tillsynsmail/A 34166-2025 tillsynsbegäran mail.docx", "A 34166-2025")</f>
        <v/>
      </c>
    </row>
    <row r="273" ht="15" customHeight="1">
      <c r="A273" t="inlineStr">
        <is>
          <t>A 34212-2025</t>
        </is>
      </c>
      <c r="B273" s="1" t="n">
        <v>45845.64383101852</v>
      </c>
      <c r="C273" s="1" t="n">
        <v>45975</v>
      </c>
      <c r="D273" t="inlineStr">
        <is>
          <t>KALMAR LÄN</t>
        </is>
      </c>
      <c r="E273" t="inlineStr">
        <is>
          <t>VÄSTERVIK</t>
        </is>
      </c>
      <c r="G273" t="n">
        <v>6.4</v>
      </c>
      <c r="H273" t="n">
        <v>0</v>
      </c>
      <c r="I273" t="n">
        <v>1</v>
      </c>
      <c r="J273" t="n">
        <v>0</v>
      </c>
      <c r="K273" t="n">
        <v>0</v>
      </c>
      <c r="L273" t="n">
        <v>0</v>
      </c>
      <c r="M273" t="n">
        <v>0</v>
      </c>
      <c r="N273" t="n">
        <v>0</v>
      </c>
      <c r="O273" t="n">
        <v>0</v>
      </c>
      <c r="P273" t="n">
        <v>0</v>
      </c>
      <c r="Q273" t="n">
        <v>1</v>
      </c>
      <c r="R273" s="2" t="inlineStr">
        <is>
          <t>Blåmossa</t>
        </is>
      </c>
      <c r="S273">
        <f>HYPERLINK("https://klasma.github.io/Logging_0883/artfynd/A 34212-2025 artfynd.xlsx", "A 34212-2025")</f>
        <v/>
      </c>
      <c r="T273">
        <f>HYPERLINK("https://klasma.github.io/Logging_0883/kartor/A 34212-2025 karta.png", "A 34212-2025")</f>
        <v/>
      </c>
      <c r="V273">
        <f>HYPERLINK("https://klasma.github.io/Logging_0883/klagomål/A 34212-2025 FSC-klagomål.docx", "A 34212-2025")</f>
        <v/>
      </c>
      <c r="W273">
        <f>HYPERLINK("https://klasma.github.io/Logging_0883/klagomålsmail/A 34212-2025 FSC-klagomål mail.docx", "A 34212-2025")</f>
        <v/>
      </c>
      <c r="X273">
        <f>HYPERLINK("https://klasma.github.io/Logging_0883/tillsyn/A 34212-2025 tillsynsbegäran.docx", "A 34212-2025")</f>
        <v/>
      </c>
      <c r="Y273">
        <f>HYPERLINK("https://klasma.github.io/Logging_0883/tillsynsmail/A 34212-2025 tillsynsbegäran mail.docx", "A 34212-2025")</f>
        <v/>
      </c>
    </row>
    <row r="274" ht="15" customHeight="1">
      <c r="A274" t="inlineStr">
        <is>
          <t>A 11195-2024</t>
        </is>
      </c>
      <c r="B274" s="1" t="n">
        <v>45371</v>
      </c>
      <c r="C274" s="1" t="n">
        <v>45975</v>
      </c>
      <c r="D274" t="inlineStr">
        <is>
          <t>KALMAR LÄN</t>
        </is>
      </c>
      <c r="E274" t="inlineStr">
        <is>
          <t>VÄSTERVIK</t>
        </is>
      </c>
      <c r="G274" t="n">
        <v>1.9</v>
      </c>
      <c r="H274" t="n">
        <v>1</v>
      </c>
      <c r="I274" t="n">
        <v>0</v>
      </c>
      <c r="J274" t="n">
        <v>0</v>
      </c>
      <c r="K274" t="n">
        <v>1</v>
      </c>
      <c r="L274" t="n">
        <v>0</v>
      </c>
      <c r="M274" t="n">
        <v>0</v>
      </c>
      <c r="N274" t="n">
        <v>0</v>
      </c>
      <c r="O274" t="n">
        <v>1</v>
      </c>
      <c r="P274" t="n">
        <v>1</v>
      </c>
      <c r="Q274" t="n">
        <v>1</v>
      </c>
      <c r="R274" s="2" t="inlineStr">
        <is>
          <t>Knärot</t>
        </is>
      </c>
      <c r="S274">
        <f>HYPERLINK("https://klasma.github.io/Logging_0883/artfynd/A 11195-2024 artfynd.xlsx", "A 11195-2024")</f>
        <v/>
      </c>
      <c r="T274">
        <f>HYPERLINK("https://klasma.github.io/Logging_0883/kartor/A 11195-2024 karta.png", "A 11195-2024")</f>
        <v/>
      </c>
      <c r="U274">
        <f>HYPERLINK("https://klasma.github.io/Logging_0883/knärot/A 11195-2024 karta knärot.png", "A 11195-2024")</f>
        <v/>
      </c>
      <c r="V274">
        <f>HYPERLINK("https://klasma.github.io/Logging_0883/klagomål/A 11195-2024 FSC-klagomål.docx", "A 11195-2024")</f>
        <v/>
      </c>
      <c r="W274">
        <f>HYPERLINK("https://klasma.github.io/Logging_0883/klagomålsmail/A 11195-2024 FSC-klagomål mail.docx", "A 11195-2024")</f>
        <v/>
      </c>
      <c r="X274">
        <f>HYPERLINK("https://klasma.github.io/Logging_0883/tillsyn/A 11195-2024 tillsynsbegäran.docx", "A 11195-2024")</f>
        <v/>
      </c>
      <c r="Y274">
        <f>HYPERLINK("https://klasma.github.io/Logging_0883/tillsynsmail/A 11195-2024 tillsynsbegäran mail.docx", "A 11195-2024")</f>
        <v/>
      </c>
    </row>
    <row r="275" ht="15" customHeight="1">
      <c r="A275" t="inlineStr">
        <is>
          <t>A 56001-2025</t>
        </is>
      </c>
      <c r="B275" s="1" t="n">
        <v>45973.57685185185</v>
      </c>
      <c r="C275" s="1" t="n">
        <v>45975</v>
      </c>
      <c r="D275" t="inlineStr">
        <is>
          <t>KALMAR LÄN</t>
        </is>
      </c>
      <c r="E275" t="inlineStr">
        <is>
          <t>VÄSTERVIK</t>
        </is>
      </c>
      <c r="G275" t="n">
        <v>2.7</v>
      </c>
      <c r="H275" t="n">
        <v>1</v>
      </c>
      <c r="I275" t="n">
        <v>0</v>
      </c>
      <c r="J275" t="n">
        <v>0</v>
      </c>
      <c r="K275" t="n">
        <v>0</v>
      </c>
      <c r="L275" t="n">
        <v>0</v>
      </c>
      <c r="M275" t="n">
        <v>0</v>
      </c>
      <c r="N275" t="n">
        <v>0</v>
      </c>
      <c r="O275" t="n">
        <v>0</v>
      </c>
      <c r="P275" t="n">
        <v>0</v>
      </c>
      <c r="Q275" t="n">
        <v>1</v>
      </c>
      <c r="R275" s="2" t="inlineStr">
        <is>
          <t>Gullviva</t>
        </is>
      </c>
      <c r="S275">
        <f>HYPERLINK("https://klasma.github.io/Logging_0883/artfynd/A 56001-2025 artfynd.xlsx", "A 56001-2025")</f>
        <v/>
      </c>
      <c r="T275">
        <f>HYPERLINK("https://klasma.github.io/Logging_0883/kartor/A 56001-2025 karta.png", "A 56001-2025")</f>
        <v/>
      </c>
      <c r="V275">
        <f>HYPERLINK("https://klasma.github.io/Logging_0883/klagomål/A 56001-2025 FSC-klagomål.docx", "A 56001-2025")</f>
        <v/>
      </c>
      <c r="W275">
        <f>HYPERLINK("https://klasma.github.io/Logging_0883/klagomålsmail/A 56001-2025 FSC-klagomål mail.docx", "A 56001-2025")</f>
        <v/>
      </c>
      <c r="X275">
        <f>HYPERLINK("https://klasma.github.io/Logging_0883/tillsyn/A 56001-2025 tillsynsbegäran.docx", "A 56001-2025")</f>
        <v/>
      </c>
      <c r="Y275">
        <f>HYPERLINK("https://klasma.github.io/Logging_0883/tillsynsmail/A 56001-2025 tillsynsbegäran mail.docx", "A 56001-2025")</f>
        <v/>
      </c>
    </row>
    <row r="276" ht="15" customHeight="1">
      <c r="A276" t="inlineStr">
        <is>
          <t>A 12292-2025</t>
        </is>
      </c>
      <c r="B276" s="1" t="n">
        <v>45729.68322916667</v>
      </c>
      <c r="C276" s="1" t="n">
        <v>45975</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Knärot</t>
        </is>
      </c>
      <c r="S276">
        <f>HYPERLINK("https://klasma.github.io/Logging_0883/artfynd/A 12292-2025 artfynd.xlsx", "A 12292-2025")</f>
        <v/>
      </c>
      <c r="T276">
        <f>HYPERLINK("https://klasma.github.io/Logging_0883/kartor/A 12292-2025 karta.png", "A 12292-2025")</f>
        <v/>
      </c>
      <c r="U276">
        <f>HYPERLINK("https://klasma.github.io/Logging_0883/knärot/A 12292-2025 karta knärot.png", "A 12292-2025")</f>
        <v/>
      </c>
      <c r="V276">
        <f>HYPERLINK("https://klasma.github.io/Logging_0883/klagomål/A 12292-2025 FSC-klagomål.docx", "A 12292-2025")</f>
        <v/>
      </c>
      <c r="W276">
        <f>HYPERLINK("https://klasma.github.io/Logging_0883/klagomålsmail/A 12292-2025 FSC-klagomål mail.docx", "A 12292-2025")</f>
        <v/>
      </c>
      <c r="X276">
        <f>HYPERLINK("https://klasma.github.io/Logging_0883/tillsyn/A 12292-2025 tillsynsbegäran.docx", "A 12292-2025")</f>
        <v/>
      </c>
      <c r="Y276">
        <f>HYPERLINK("https://klasma.github.io/Logging_0883/tillsynsmail/A 12292-2025 tillsynsbegäran mail.docx", "A 12292-2025")</f>
        <v/>
      </c>
    </row>
    <row r="277" ht="15" customHeight="1">
      <c r="A277" t="inlineStr">
        <is>
          <t>A 36595-2025</t>
        </is>
      </c>
      <c r="B277" s="1" t="n">
        <v>45870.513125</v>
      </c>
      <c r="C277" s="1" t="n">
        <v>45975</v>
      </c>
      <c r="D277" t="inlineStr">
        <is>
          <t>KALMAR LÄN</t>
        </is>
      </c>
      <c r="E277" t="inlineStr">
        <is>
          <t>VÄSTERVIK</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HYPERLINK("https://klasma.github.io/Logging_0883/artfynd/A 36595-2025 artfynd.xlsx", "A 36595-2025")</f>
        <v/>
      </c>
      <c r="T277">
        <f>HYPERLINK("https://klasma.github.io/Logging_0883/kartor/A 36595-2025 karta.png", "A 36595-2025")</f>
        <v/>
      </c>
      <c r="V277">
        <f>HYPERLINK("https://klasma.github.io/Logging_0883/klagomål/A 36595-2025 FSC-klagomål.docx", "A 36595-2025")</f>
        <v/>
      </c>
      <c r="W277">
        <f>HYPERLINK("https://klasma.github.io/Logging_0883/klagomålsmail/A 36595-2025 FSC-klagomål mail.docx", "A 36595-2025")</f>
        <v/>
      </c>
      <c r="X277">
        <f>HYPERLINK("https://klasma.github.io/Logging_0883/tillsyn/A 36595-2025 tillsynsbegäran.docx", "A 36595-2025")</f>
        <v/>
      </c>
      <c r="Y277">
        <f>HYPERLINK("https://klasma.github.io/Logging_0883/tillsynsmail/A 36595-2025 tillsynsbegäran mail.docx", "A 36595-2025")</f>
        <v/>
      </c>
      <c r="Z277">
        <f>HYPERLINK("https://klasma.github.io/Logging_0883/fåglar/A 36595-2025 prioriterade fågelarter.docx", "A 36595-2025")</f>
        <v/>
      </c>
    </row>
    <row r="278" ht="15" customHeight="1">
      <c r="A278" t="inlineStr">
        <is>
          <t>A 19900-2022</t>
        </is>
      </c>
      <c r="B278" s="1" t="n">
        <v>44697</v>
      </c>
      <c r="C278" s="1" t="n">
        <v>45975</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1024-2023</t>
        </is>
      </c>
      <c r="B279" s="1" t="n">
        <v>44935</v>
      </c>
      <c r="C279" s="1" t="n">
        <v>45975</v>
      </c>
      <c r="D279" t="inlineStr">
        <is>
          <t>KALMAR LÄN</t>
        </is>
      </c>
      <c r="E279" t="inlineStr">
        <is>
          <t>VÄSTERVIK</t>
        </is>
      </c>
      <c r="F279" t="inlineStr">
        <is>
          <t>Holmen skog AB</t>
        </is>
      </c>
      <c r="G279" t="n">
        <v>1.9</v>
      </c>
      <c r="H279" t="n">
        <v>0</v>
      </c>
      <c r="I279" t="n">
        <v>0</v>
      </c>
      <c r="J279" t="n">
        <v>1</v>
      </c>
      <c r="K279" t="n">
        <v>0</v>
      </c>
      <c r="L279" t="n">
        <v>0</v>
      </c>
      <c r="M279" t="n">
        <v>0</v>
      </c>
      <c r="N279" t="n">
        <v>0</v>
      </c>
      <c r="O279" t="n">
        <v>1</v>
      </c>
      <c r="P279" t="n">
        <v>0</v>
      </c>
      <c r="Q279" t="n">
        <v>1</v>
      </c>
      <c r="R279" s="2" t="inlineStr">
        <is>
          <t>Ekticka</t>
        </is>
      </c>
      <c r="S279">
        <f>HYPERLINK("https://klasma.github.io/Logging_0883/artfynd/A 1024-2023 artfynd.xlsx", "A 1024-2023")</f>
        <v/>
      </c>
      <c r="T279">
        <f>HYPERLINK("https://klasma.github.io/Logging_0883/kartor/A 1024-2023 karta.png", "A 1024-2023")</f>
        <v/>
      </c>
      <c r="V279">
        <f>HYPERLINK("https://klasma.github.io/Logging_0883/klagomål/A 1024-2023 FSC-klagomål.docx", "A 1024-2023")</f>
        <v/>
      </c>
      <c r="W279">
        <f>HYPERLINK("https://klasma.github.io/Logging_0883/klagomålsmail/A 1024-2023 FSC-klagomål mail.docx", "A 1024-2023")</f>
        <v/>
      </c>
      <c r="X279">
        <f>HYPERLINK("https://klasma.github.io/Logging_0883/tillsyn/A 1024-2023 tillsynsbegäran.docx", "A 1024-2023")</f>
        <v/>
      </c>
      <c r="Y279">
        <f>HYPERLINK("https://klasma.github.io/Logging_0883/tillsynsmail/A 1024-2023 tillsynsbegäran mail.docx", "A 1024-2023")</f>
        <v/>
      </c>
    </row>
    <row r="280" ht="15" customHeight="1">
      <c r="A280" t="inlineStr">
        <is>
          <t>A 54272-2023</t>
        </is>
      </c>
      <c r="B280" s="1" t="n">
        <v>45232</v>
      </c>
      <c r="C280" s="1" t="n">
        <v>45975</v>
      </c>
      <c r="D280" t="inlineStr">
        <is>
          <t>KALMAR LÄN</t>
        </is>
      </c>
      <c r="E280" t="inlineStr">
        <is>
          <t>VÄSTERVIK</t>
        </is>
      </c>
      <c r="G280" t="n">
        <v>1</v>
      </c>
      <c r="H280" t="n">
        <v>0</v>
      </c>
      <c r="I280" t="n">
        <v>1</v>
      </c>
      <c r="J280" t="n">
        <v>0</v>
      </c>
      <c r="K280" t="n">
        <v>0</v>
      </c>
      <c r="L280" t="n">
        <v>0</v>
      </c>
      <c r="M280" t="n">
        <v>0</v>
      </c>
      <c r="N280" t="n">
        <v>0</v>
      </c>
      <c r="O280" t="n">
        <v>0</v>
      </c>
      <c r="P280" t="n">
        <v>0</v>
      </c>
      <c r="Q280" t="n">
        <v>1</v>
      </c>
      <c r="R280" s="2" t="inlineStr">
        <is>
          <t>Aprikosfingersvamp</t>
        </is>
      </c>
      <c r="S280">
        <f>HYPERLINK("https://klasma.github.io/Logging_0883/artfynd/A 54272-2023 artfynd.xlsx", "A 54272-2023")</f>
        <v/>
      </c>
      <c r="T280">
        <f>HYPERLINK("https://klasma.github.io/Logging_0883/kartor/A 54272-2023 karta.png", "A 54272-2023")</f>
        <v/>
      </c>
      <c r="V280">
        <f>HYPERLINK("https://klasma.github.io/Logging_0883/klagomål/A 54272-2023 FSC-klagomål.docx", "A 54272-2023")</f>
        <v/>
      </c>
      <c r="W280">
        <f>HYPERLINK("https://klasma.github.io/Logging_0883/klagomålsmail/A 54272-2023 FSC-klagomål mail.docx", "A 54272-2023")</f>
        <v/>
      </c>
      <c r="X280">
        <f>HYPERLINK("https://klasma.github.io/Logging_0883/tillsyn/A 54272-2023 tillsynsbegäran.docx", "A 54272-2023")</f>
        <v/>
      </c>
      <c r="Y280">
        <f>HYPERLINK("https://klasma.github.io/Logging_0883/tillsynsmail/A 54272-2023 tillsynsbegäran mail.docx", "A 54272-2023")</f>
        <v/>
      </c>
    </row>
    <row r="281" ht="15" customHeight="1">
      <c r="A281" t="inlineStr">
        <is>
          <t>A 1959-2021</t>
        </is>
      </c>
      <c r="B281" s="1" t="n">
        <v>44210.65167824074</v>
      </c>
      <c r="C281" s="1" t="n">
        <v>45975</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8074-2021</t>
        </is>
      </c>
      <c r="B282" s="1" t="n">
        <v>44243.6503125</v>
      </c>
      <c r="C282" s="1" t="n">
        <v>45975</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16697-2021</t>
        </is>
      </c>
      <c r="B283" s="1" t="n">
        <v>44294</v>
      </c>
      <c r="C283" s="1" t="n">
        <v>45975</v>
      </c>
      <c r="D283" t="inlineStr">
        <is>
          <t>KALMAR LÄN</t>
        </is>
      </c>
      <c r="E283" t="inlineStr">
        <is>
          <t>VÄSTERVIK</t>
        </is>
      </c>
      <c r="G283" t="n">
        <v>1.5</v>
      </c>
      <c r="H283" t="n">
        <v>0</v>
      </c>
      <c r="I283" t="n">
        <v>0</v>
      </c>
      <c r="J283" t="n">
        <v>0</v>
      </c>
      <c r="K283" t="n">
        <v>0</v>
      </c>
      <c r="L283" t="n">
        <v>0</v>
      </c>
      <c r="M283" t="n">
        <v>0</v>
      </c>
      <c r="N283" t="n">
        <v>0</v>
      </c>
      <c r="O283" t="n">
        <v>0</v>
      </c>
      <c r="P283" t="n">
        <v>0</v>
      </c>
      <c r="Q283" t="n">
        <v>0</v>
      </c>
      <c r="R283" s="2" t="inlineStr"/>
    </row>
    <row r="284" ht="15" customHeight="1">
      <c r="A284" t="inlineStr">
        <is>
          <t>A 23626-2021</t>
        </is>
      </c>
      <c r="B284" s="1" t="n">
        <v>44334</v>
      </c>
      <c r="C284" s="1" t="n">
        <v>45975</v>
      </c>
      <c r="D284" t="inlineStr">
        <is>
          <t>KALMAR LÄN</t>
        </is>
      </c>
      <c r="E284" t="inlineStr">
        <is>
          <t>VÄSTERVIK</t>
        </is>
      </c>
      <c r="G284" t="n">
        <v>9</v>
      </c>
      <c r="H284" t="n">
        <v>0</v>
      </c>
      <c r="I284" t="n">
        <v>0</v>
      </c>
      <c r="J284" t="n">
        <v>0</v>
      </c>
      <c r="K284" t="n">
        <v>0</v>
      </c>
      <c r="L284" t="n">
        <v>0</v>
      </c>
      <c r="M284" t="n">
        <v>0</v>
      </c>
      <c r="N284" t="n">
        <v>0</v>
      </c>
      <c r="O284" t="n">
        <v>0</v>
      </c>
      <c r="P284" t="n">
        <v>0</v>
      </c>
      <c r="Q284" t="n">
        <v>0</v>
      </c>
      <c r="R284" s="2" t="inlineStr"/>
    </row>
    <row r="285" ht="15" customHeight="1">
      <c r="A285" t="inlineStr">
        <is>
          <t>A 14317-2021</t>
        </is>
      </c>
      <c r="B285" s="1" t="n">
        <v>44278</v>
      </c>
      <c r="C285" s="1" t="n">
        <v>45975</v>
      </c>
      <c r="D285" t="inlineStr">
        <is>
          <t>KALMAR LÄN</t>
        </is>
      </c>
      <c r="E285" t="inlineStr">
        <is>
          <t>VÄSTERVIK</t>
        </is>
      </c>
      <c r="G285" t="n">
        <v>2.1</v>
      </c>
      <c r="H285" t="n">
        <v>0</v>
      </c>
      <c r="I285" t="n">
        <v>0</v>
      </c>
      <c r="J285" t="n">
        <v>0</v>
      </c>
      <c r="K285" t="n">
        <v>0</v>
      </c>
      <c r="L285" t="n">
        <v>0</v>
      </c>
      <c r="M285" t="n">
        <v>0</v>
      </c>
      <c r="N285" t="n">
        <v>0</v>
      </c>
      <c r="O285" t="n">
        <v>0</v>
      </c>
      <c r="P285" t="n">
        <v>0</v>
      </c>
      <c r="Q285" t="n">
        <v>0</v>
      </c>
      <c r="R285" s="2" t="inlineStr"/>
    </row>
    <row r="286" ht="15" customHeight="1">
      <c r="A286" t="inlineStr">
        <is>
          <t>A 19219-2021</t>
        </is>
      </c>
      <c r="B286" s="1" t="n">
        <v>44309</v>
      </c>
      <c r="C286" s="1" t="n">
        <v>45975</v>
      </c>
      <c r="D286" t="inlineStr">
        <is>
          <t>KALMAR LÄN</t>
        </is>
      </c>
      <c r="E286" t="inlineStr">
        <is>
          <t>VÄSTERVIK</t>
        </is>
      </c>
      <c r="G286" t="n">
        <v>0.9</v>
      </c>
      <c r="H286" t="n">
        <v>0</v>
      </c>
      <c r="I286" t="n">
        <v>0</v>
      </c>
      <c r="J286" t="n">
        <v>0</v>
      </c>
      <c r="K286" t="n">
        <v>0</v>
      </c>
      <c r="L286" t="n">
        <v>0</v>
      </c>
      <c r="M286" t="n">
        <v>0</v>
      </c>
      <c r="N286" t="n">
        <v>0</v>
      </c>
      <c r="O286" t="n">
        <v>0</v>
      </c>
      <c r="P286" t="n">
        <v>0</v>
      </c>
      <c r="Q286" t="n">
        <v>0</v>
      </c>
      <c r="R286" s="2" t="inlineStr"/>
    </row>
    <row r="287" ht="15" customHeight="1">
      <c r="A287" t="inlineStr">
        <is>
          <t>A 61696-2020</t>
        </is>
      </c>
      <c r="B287" s="1" t="n">
        <v>44158</v>
      </c>
      <c r="C287" s="1" t="n">
        <v>45975</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42164-2021</t>
        </is>
      </c>
      <c r="B288" s="1" t="n">
        <v>44426</v>
      </c>
      <c r="C288" s="1" t="n">
        <v>45975</v>
      </c>
      <c r="D288" t="inlineStr">
        <is>
          <t>KALMAR LÄN</t>
        </is>
      </c>
      <c r="E288" t="inlineStr">
        <is>
          <t>VÄSTERVIK</t>
        </is>
      </c>
      <c r="G288" t="n">
        <v>5.5</v>
      </c>
      <c r="H288" t="n">
        <v>0</v>
      </c>
      <c r="I288" t="n">
        <v>0</v>
      </c>
      <c r="J288" t="n">
        <v>0</v>
      </c>
      <c r="K288" t="n">
        <v>0</v>
      </c>
      <c r="L288" t="n">
        <v>0</v>
      </c>
      <c r="M288" t="n">
        <v>0</v>
      </c>
      <c r="N288" t="n">
        <v>0</v>
      </c>
      <c r="O288" t="n">
        <v>0</v>
      </c>
      <c r="P288" t="n">
        <v>0</v>
      </c>
      <c r="Q288" t="n">
        <v>0</v>
      </c>
      <c r="R288" s="2" t="inlineStr"/>
      <c r="U288">
        <f>HYPERLINK("https://klasma.github.io/Logging_0883/knärot/A 42164-2021 karta knärot.png", "A 42164-2021")</f>
        <v/>
      </c>
      <c r="V288">
        <f>HYPERLINK("https://klasma.github.io/Logging_0883/klagomål/A 42164-2021 FSC-klagomål.docx", "A 42164-2021")</f>
        <v/>
      </c>
      <c r="W288">
        <f>HYPERLINK("https://klasma.github.io/Logging_0883/klagomålsmail/A 42164-2021 FSC-klagomål mail.docx", "A 42164-2021")</f>
        <v/>
      </c>
      <c r="X288">
        <f>HYPERLINK("https://klasma.github.io/Logging_0883/tillsyn/A 42164-2021 tillsynsbegäran.docx", "A 42164-2021")</f>
        <v/>
      </c>
      <c r="Y288">
        <f>HYPERLINK("https://klasma.github.io/Logging_0883/tillsynsmail/A 42164-2021 tillsynsbegäran mail.docx", "A 42164-2021")</f>
        <v/>
      </c>
    </row>
    <row r="289" ht="15" customHeight="1">
      <c r="A289" t="inlineStr">
        <is>
          <t>A 16728-2021</t>
        </is>
      </c>
      <c r="B289" s="1" t="n">
        <v>44294.68079861111</v>
      </c>
      <c r="C289" s="1" t="n">
        <v>45975</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8196-2021</t>
        </is>
      </c>
      <c r="B290" s="1" t="n">
        <v>44244</v>
      </c>
      <c r="C290" s="1" t="n">
        <v>45975</v>
      </c>
      <c r="D290" t="inlineStr">
        <is>
          <t>KALMAR LÄN</t>
        </is>
      </c>
      <c r="E290" t="inlineStr">
        <is>
          <t>VÄSTERVIK</t>
        </is>
      </c>
      <c r="G290" t="n">
        <v>3.5</v>
      </c>
      <c r="H290" t="n">
        <v>0</v>
      </c>
      <c r="I290" t="n">
        <v>0</v>
      </c>
      <c r="J290" t="n">
        <v>0</v>
      </c>
      <c r="K290" t="n">
        <v>0</v>
      </c>
      <c r="L290" t="n">
        <v>0</v>
      </c>
      <c r="M290" t="n">
        <v>0</v>
      </c>
      <c r="N290" t="n">
        <v>0</v>
      </c>
      <c r="O290" t="n">
        <v>0</v>
      </c>
      <c r="P290" t="n">
        <v>0</v>
      </c>
      <c r="Q290" t="n">
        <v>0</v>
      </c>
      <c r="R290" s="2" t="inlineStr"/>
    </row>
    <row r="291" ht="15" customHeight="1">
      <c r="A291" t="inlineStr">
        <is>
          <t>A 37748-2021</t>
        </is>
      </c>
      <c r="B291" s="1" t="n">
        <v>44400.63459490741</v>
      </c>
      <c r="C291" s="1" t="n">
        <v>45975</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45975</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45975</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45975</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45975</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45975</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44873.67061342593</v>
      </c>
      <c r="C297" s="1" t="n">
        <v>45975</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45975</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45975</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45975</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64399-2020</t>
        </is>
      </c>
      <c r="B301" s="1" t="n">
        <v>44168.64150462963</v>
      </c>
      <c r="C301" s="1" t="n">
        <v>45975</v>
      </c>
      <c r="D301" t="inlineStr">
        <is>
          <t>KALMAR LÄN</t>
        </is>
      </c>
      <c r="E301" t="inlineStr">
        <is>
          <t>VÄSTERVIK</t>
        </is>
      </c>
      <c r="G301" t="n">
        <v>1.1</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44449.37518518518</v>
      </c>
      <c r="C302" s="1" t="n">
        <v>45975</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57808-2021</t>
        </is>
      </c>
      <c r="B303" s="1" t="n">
        <v>44484</v>
      </c>
      <c r="C303" s="1" t="n">
        <v>45975</v>
      </c>
      <c r="D303" t="inlineStr">
        <is>
          <t>KALMAR LÄN</t>
        </is>
      </c>
      <c r="E303" t="inlineStr">
        <is>
          <t>VÄSTERVIK</t>
        </is>
      </c>
      <c r="G303" t="n">
        <v>1</v>
      </c>
      <c r="H303" t="n">
        <v>0</v>
      </c>
      <c r="I303" t="n">
        <v>0</v>
      </c>
      <c r="J303" t="n">
        <v>0</v>
      </c>
      <c r="K303" t="n">
        <v>0</v>
      </c>
      <c r="L303" t="n">
        <v>0</v>
      </c>
      <c r="M303" t="n">
        <v>0</v>
      </c>
      <c r="N303" t="n">
        <v>0</v>
      </c>
      <c r="O303" t="n">
        <v>0</v>
      </c>
      <c r="P303" t="n">
        <v>0</v>
      </c>
      <c r="Q303" t="n">
        <v>0</v>
      </c>
      <c r="R303" s="2" t="inlineStr"/>
    </row>
    <row r="304" ht="15" customHeight="1">
      <c r="A304" t="inlineStr">
        <is>
          <t>A 13626-2021</t>
        </is>
      </c>
      <c r="B304" s="1" t="n">
        <v>44274.39513888889</v>
      </c>
      <c r="C304" s="1" t="n">
        <v>45975</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7754-2021</t>
        </is>
      </c>
      <c r="B305" s="1" t="n">
        <v>44239</v>
      </c>
      <c r="C305" s="1" t="n">
        <v>45975</v>
      </c>
      <c r="D305" t="inlineStr">
        <is>
          <t>KALMAR LÄN</t>
        </is>
      </c>
      <c r="E305" t="inlineStr">
        <is>
          <t>VÄSTERVIK</t>
        </is>
      </c>
      <c r="G305" t="n">
        <v>3.6</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45975</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45975</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45975</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45975</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48661-2021</t>
        </is>
      </c>
      <c r="B310" s="1" t="n">
        <v>44449</v>
      </c>
      <c r="C310" s="1" t="n">
        <v>45975</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29816-2022</t>
        </is>
      </c>
      <c r="B311" s="1" t="n">
        <v>44755</v>
      </c>
      <c r="C311" s="1" t="n">
        <v>45975</v>
      </c>
      <c r="D311" t="inlineStr">
        <is>
          <t>KALMAR LÄN</t>
        </is>
      </c>
      <c r="E311" t="inlineStr">
        <is>
          <t>VÄSTERVIK</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3553-2021</t>
        </is>
      </c>
      <c r="B312" s="1" t="n">
        <v>44218</v>
      </c>
      <c r="C312" s="1" t="n">
        <v>45975</v>
      </c>
      <c r="D312" t="inlineStr">
        <is>
          <t>KALMAR LÄN</t>
        </is>
      </c>
      <c r="E312" t="inlineStr">
        <is>
          <t>VÄSTERVIK</t>
        </is>
      </c>
      <c r="G312" t="n">
        <v>1.6</v>
      </c>
      <c r="H312" t="n">
        <v>0</v>
      </c>
      <c r="I312" t="n">
        <v>0</v>
      </c>
      <c r="J312" t="n">
        <v>0</v>
      </c>
      <c r="K312" t="n">
        <v>0</v>
      </c>
      <c r="L312" t="n">
        <v>0</v>
      </c>
      <c r="M312" t="n">
        <v>0</v>
      </c>
      <c r="N312" t="n">
        <v>0</v>
      </c>
      <c r="O312" t="n">
        <v>0</v>
      </c>
      <c r="P312" t="n">
        <v>0</v>
      </c>
      <c r="Q312" t="n">
        <v>0</v>
      </c>
      <c r="R312" s="2" t="inlineStr"/>
    </row>
    <row r="313" ht="15" customHeight="1">
      <c r="A313" t="inlineStr">
        <is>
          <t>A 17954-2022</t>
        </is>
      </c>
      <c r="B313" s="1" t="n">
        <v>44683</v>
      </c>
      <c r="C313" s="1" t="n">
        <v>45975</v>
      </c>
      <c r="D313" t="inlineStr">
        <is>
          <t>KALMAR LÄN</t>
        </is>
      </c>
      <c r="E313" t="inlineStr">
        <is>
          <t>VÄSTERVIK</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58555-2021</t>
        </is>
      </c>
      <c r="B314" s="1" t="n">
        <v>44488</v>
      </c>
      <c r="C314" s="1" t="n">
        <v>45975</v>
      </c>
      <c r="D314" t="inlineStr">
        <is>
          <t>KALMAR LÄN</t>
        </is>
      </c>
      <c r="E314" t="inlineStr">
        <is>
          <t>VÄSTERVIK</t>
        </is>
      </c>
      <c r="G314" t="n">
        <v>2.2</v>
      </c>
      <c r="H314" t="n">
        <v>0</v>
      </c>
      <c r="I314" t="n">
        <v>0</v>
      </c>
      <c r="J314" t="n">
        <v>0</v>
      </c>
      <c r="K314" t="n">
        <v>0</v>
      </c>
      <c r="L314" t="n">
        <v>0</v>
      </c>
      <c r="M314" t="n">
        <v>0</v>
      </c>
      <c r="N314" t="n">
        <v>0</v>
      </c>
      <c r="O314" t="n">
        <v>0</v>
      </c>
      <c r="P314" t="n">
        <v>0</v>
      </c>
      <c r="Q314" t="n">
        <v>0</v>
      </c>
      <c r="R314" s="2" t="inlineStr"/>
    </row>
    <row r="315" ht="15" customHeight="1">
      <c r="A315" t="inlineStr">
        <is>
          <t>A 37545-2021</t>
        </is>
      </c>
      <c r="B315" s="1" t="n">
        <v>44399</v>
      </c>
      <c r="C315" s="1" t="n">
        <v>45975</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43808-2021</t>
        </is>
      </c>
      <c r="B316" s="1" t="n">
        <v>44433</v>
      </c>
      <c r="C316" s="1" t="n">
        <v>45975</v>
      </c>
      <c r="D316" t="inlineStr">
        <is>
          <t>KALMAR LÄN</t>
        </is>
      </c>
      <c r="E316" t="inlineStr">
        <is>
          <t>VÄSTERVIK</t>
        </is>
      </c>
      <c r="G316" t="n">
        <v>3.1</v>
      </c>
      <c r="H316" t="n">
        <v>0</v>
      </c>
      <c r="I316" t="n">
        <v>0</v>
      </c>
      <c r="J316" t="n">
        <v>0</v>
      </c>
      <c r="K316" t="n">
        <v>0</v>
      </c>
      <c r="L316" t="n">
        <v>0</v>
      </c>
      <c r="M316" t="n">
        <v>0</v>
      </c>
      <c r="N316" t="n">
        <v>0</v>
      </c>
      <c r="O316" t="n">
        <v>0</v>
      </c>
      <c r="P316" t="n">
        <v>0</v>
      </c>
      <c r="Q316" t="n">
        <v>0</v>
      </c>
      <c r="R316" s="2" t="inlineStr"/>
    </row>
    <row r="317" ht="15" customHeight="1">
      <c r="A317" t="inlineStr">
        <is>
          <t>A 42137-2021</t>
        </is>
      </c>
      <c r="B317" s="1" t="n">
        <v>44426</v>
      </c>
      <c r="C317" s="1" t="n">
        <v>45975</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48021-2021</t>
        </is>
      </c>
      <c r="B318" s="1" t="n">
        <v>44449</v>
      </c>
      <c r="C318" s="1" t="n">
        <v>45975</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43805-2021</t>
        </is>
      </c>
      <c r="B319" s="1" t="n">
        <v>44433</v>
      </c>
      <c r="C319" s="1" t="n">
        <v>45975</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43810-2021</t>
        </is>
      </c>
      <c r="B320" s="1" t="n">
        <v>44433</v>
      </c>
      <c r="C320" s="1" t="n">
        <v>45975</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8788-2021</t>
        </is>
      </c>
      <c r="B321" s="1" t="n">
        <v>44246</v>
      </c>
      <c r="C321" s="1" t="n">
        <v>45975</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42150-2021</t>
        </is>
      </c>
      <c r="B322" s="1" t="n">
        <v>44426</v>
      </c>
      <c r="C322" s="1" t="n">
        <v>45975</v>
      </c>
      <c r="D322" t="inlineStr">
        <is>
          <t>KALMAR LÄN</t>
        </is>
      </c>
      <c r="E322" t="inlineStr">
        <is>
          <t>VÄSTERVIK</t>
        </is>
      </c>
      <c r="G322" t="n">
        <v>0.3</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45975</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45975</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72733-2021</t>
        </is>
      </c>
      <c r="B325" s="1" t="n">
        <v>44546</v>
      </c>
      <c r="C325" s="1" t="n">
        <v>45975</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46781-2022</t>
        </is>
      </c>
      <c r="B326" s="1" t="n">
        <v>44851.49836805555</v>
      </c>
      <c r="C326" s="1" t="n">
        <v>45975</v>
      </c>
      <c r="D326" t="inlineStr">
        <is>
          <t>KALMAR LÄN</t>
        </is>
      </c>
      <c r="E326" t="inlineStr">
        <is>
          <t>VÄSTERVIK</t>
        </is>
      </c>
      <c r="G326" t="n">
        <v>13.2</v>
      </c>
      <c r="H326" t="n">
        <v>0</v>
      </c>
      <c r="I326" t="n">
        <v>0</v>
      </c>
      <c r="J326" t="n">
        <v>0</v>
      </c>
      <c r="K326" t="n">
        <v>0</v>
      </c>
      <c r="L326" t="n">
        <v>0</v>
      </c>
      <c r="M326" t="n">
        <v>0</v>
      </c>
      <c r="N326" t="n">
        <v>0</v>
      </c>
      <c r="O326" t="n">
        <v>0</v>
      </c>
      <c r="P326" t="n">
        <v>0</v>
      </c>
      <c r="Q326" t="n">
        <v>0</v>
      </c>
      <c r="R326" s="2" t="inlineStr"/>
    </row>
    <row r="327" ht="15" customHeight="1">
      <c r="A327" t="inlineStr">
        <is>
          <t>A 38613-2021</t>
        </is>
      </c>
      <c r="B327" s="1" t="n">
        <v>44409</v>
      </c>
      <c r="C327" s="1" t="n">
        <v>45975</v>
      </c>
      <c r="D327" t="inlineStr">
        <is>
          <t>KALMAR LÄN</t>
        </is>
      </c>
      <c r="E327" t="inlineStr">
        <is>
          <t>VÄSTERVIK</t>
        </is>
      </c>
      <c r="G327" t="n">
        <v>7</v>
      </c>
      <c r="H327" t="n">
        <v>0</v>
      </c>
      <c r="I327" t="n">
        <v>0</v>
      </c>
      <c r="J327" t="n">
        <v>0</v>
      </c>
      <c r="K327" t="n">
        <v>0</v>
      </c>
      <c r="L327" t="n">
        <v>0</v>
      </c>
      <c r="M327" t="n">
        <v>0</v>
      </c>
      <c r="N327" t="n">
        <v>0</v>
      </c>
      <c r="O327" t="n">
        <v>0</v>
      </c>
      <c r="P327" t="n">
        <v>0</v>
      </c>
      <c r="Q327" t="n">
        <v>0</v>
      </c>
      <c r="R327" s="2" t="inlineStr"/>
    </row>
    <row r="328" ht="15" customHeight="1">
      <c r="A328" t="inlineStr">
        <is>
          <t>A 15834-2021</t>
        </is>
      </c>
      <c r="B328" s="1" t="n">
        <v>44286</v>
      </c>
      <c r="C328" s="1" t="n">
        <v>45975</v>
      </c>
      <c r="D328" t="inlineStr">
        <is>
          <t>KALMAR LÄN</t>
        </is>
      </c>
      <c r="E328" t="inlineStr">
        <is>
          <t>VÄSTERVIK</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23997-2021</t>
        </is>
      </c>
      <c r="B329" s="1" t="n">
        <v>44335</v>
      </c>
      <c r="C329" s="1" t="n">
        <v>45975</v>
      </c>
      <c r="D329" t="inlineStr">
        <is>
          <t>KALMAR LÄN</t>
        </is>
      </c>
      <c r="E329" t="inlineStr">
        <is>
          <t>VÄSTERVIK</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45975</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45975</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45975</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16765-2022</t>
        </is>
      </c>
      <c r="B333" s="1" t="n">
        <v>44673.48178240741</v>
      </c>
      <c r="C333" s="1" t="n">
        <v>45975</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65647-2020</t>
        </is>
      </c>
      <c r="B334" s="1" t="n">
        <v>44174.32638888889</v>
      </c>
      <c r="C334" s="1" t="n">
        <v>45975</v>
      </c>
      <c r="D334" t="inlineStr">
        <is>
          <t>KALMAR LÄN</t>
        </is>
      </c>
      <c r="E334" t="inlineStr">
        <is>
          <t>VÄSTERVIK</t>
        </is>
      </c>
      <c r="G334" t="n">
        <v>1.1</v>
      </c>
      <c r="H334" t="n">
        <v>0</v>
      </c>
      <c r="I334" t="n">
        <v>0</v>
      </c>
      <c r="J334" t="n">
        <v>0</v>
      </c>
      <c r="K334" t="n">
        <v>0</v>
      </c>
      <c r="L334" t="n">
        <v>0</v>
      </c>
      <c r="M334" t="n">
        <v>0</v>
      </c>
      <c r="N334" t="n">
        <v>0</v>
      </c>
      <c r="O334" t="n">
        <v>0</v>
      </c>
      <c r="P334" t="n">
        <v>0</v>
      </c>
      <c r="Q334" t="n">
        <v>0</v>
      </c>
      <c r="R334" s="2" t="inlineStr"/>
    </row>
    <row r="335" ht="15" customHeight="1">
      <c r="A335" t="inlineStr">
        <is>
          <t>A 33206-2022</t>
        </is>
      </c>
      <c r="B335" s="1" t="n">
        <v>44785</v>
      </c>
      <c r="C335" s="1" t="n">
        <v>45975</v>
      </c>
      <c r="D335" t="inlineStr">
        <is>
          <t>KALMAR LÄN</t>
        </is>
      </c>
      <c r="E335" t="inlineStr">
        <is>
          <t>VÄSTERVIK</t>
        </is>
      </c>
      <c r="G335" t="n">
        <v>1.8</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45975</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45975</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45975</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15598-2021</t>
        </is>
      </c>
      <c r="B339" s="1" t="n">
        <v>44285.67078703704</v>
      </c>
      <c r="C339" s="1" t="n">
        <v>45975</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13761-2021</t>
        </is>
      </c>
      <c r="B340" s="1" t="n">
        <v>44274.71607638889</v>
      </c>
      <c r="C340" s="1" t="n">
        <v>45975</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31545-2021</t>
        </is>
      </c>
      <c r="B341" s="1" t="n">
        <v>44369</v>
      </c>
      <c r="C341" s="1" t="n">
        <v>45975</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35906-2021</t>
        </is>
      </c>
      <c r="B342" s="1" t="n">
        <v>44387.67591435185</v>
      </c>
      <c r="C342" s="1" t="n">
        <v>45975</v>
      </c>
      <c r="D342" t="inlineStr">
        <is>
          <t>KALMAR LÄN</t>
        </is>
      </c>
      <c r="E342" t="inlineStr">
        <is>
          <t>VÄSTERVIK</t>
        </is>
      </c>
      <c r="G342" t="n">
        <v>2.5</v>
      </c>
      <c r="H342" t="n">
        <v>0</v>
      </c>
      <c r="I342" t="n">
        <v>0</v>
      </c>
      <c r="J342" t="n">
        <v>0</v>
      </c>
      <c r="K342" t="n">
        <v>0</v>
      </c>
      <c r="L342" t="n">
        <v>0</v>
      </c>
      <c r="M342" t="n">
        <v>0</v>
      </c>
      <c r="N342" t="n">
        <v>0</v>
      </c>
      <c r="O342" t="n">
        <v>0</v>
      </c>
      <c r="P342" t="n">
        <v>0</v>
      </c>
      <c r="Q342" t="n">
        <v>0</v>
      </c>
      <c r="R342" s="2" t="inlineStr"/>
    </row>
    <row r="343" ht="15" customHeight="1">
      <c r="A343" t="inlineStr">
        <is>
          <t>A 18013-2021</t>
        </is>
      </c>
      <c r="B343" s="1" t="n">
        <v>44302</v>
      </c>
      <c r="C343" s="1" t="n">
        <v>45975</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55382-2022</t>
        </is>
      </c>
      <c r="B344" s="1" t="n">
        <v>44887</v>
      </c>
      <c r="C344" s="1" t="n">
        <v>45975</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3669-2021</t>
        </is>
      </c>
      <c r="B345" s="1" t="n">
        <v>44221</v>
      </c>
      <c r="C345" s="1" t="n">
        <v>45975</v>
      </c>
      <c r="D345" t="inlineStr">
        <is>
          <t>KALMAR LÄN</t>
        </is>
      </c>
      <c r="E345" t="inlineStr">
        <is>
          <t>VÄSTERVIK</t>
        </is>
      </c>
      <c r="G345" t="n">
        <v>2.7</v>
      </c>
      <c r="H345" t="n">
        <v>0</v>
      </c>
      <c r="I345" t="n">
        <v>0</v>
      </c>
      <c r="J345" t="n">
        <v>0</v>
      </c>
      <c r="K345" t="n">
        <v>0</v>
      </c>
      <c r="L345" t="n">
        <v>0</v>
      </c>
      <c r="M345" t="n">
        <v>0</v>
      </c>
      <c r="N345" t="n">
        <v>0</v>
      </c>
      <c r="O345" t="n">
        <v>0</v>
      </c>
      <c r="P345" t="n">
        <v>0</v>
      </c>
      <c r="Q345" t="n">
        <v>0</v>
      </c>
      <c r="R345" s="2" t="inlineStr"/>
    </row>
    <row r="346" ht="15" customHeight="1">
      <c r="A346" t="inlineStr">
        <is>
          <t>A 3718-2022</t>
        </is>
      </c>
      <c r="B346" s="1" t="n">
        <v>44586</v>
      </c>
      <c r="C346" s="1" t="n">
        <v>45975</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809-2021</t>
        </is>
      </c>
      <c r="B347" s="1" t="n">
        <v>44204</v>
      </c>
      <c r="C347" s="1" t="n">
        <v>45975</v>
      </c>
      <c r="D347" t="inlineStr">
        <is>
          <t>KALMAR LÄN</t>
        </is>
      </c>
      <c r="E347" t="inlineStr">
        <is>
          <t>VÄSTERVIK</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578-2021</t>
        </is>
      </c>
      <c r="B348" s="1" t="n">
        <v>44203</v>
      </c>
      <c r="C348" s="1" t="n">
        <v>45975</v>
      </c>
      <c r="D348" t="inlineStr">
        <is>
          <t>KALMAR LÄN</t>
        </is>
      </c>
      <c r="E348" t="inlineStr">
        <is>
          <t>VÄSTERVIK</t>
        </is>
      </c>
      <c r="G348" t="n">
        <v>3.5</v>
      </c>
      <c r="H348" t="n">
        <v>0</v>
      </c>
      <c r="I348" t="n">
        <v>0</v>
      </c>
      <c r="J348" t="n">
        <v>0</v>
      </c>
      <c r="K348" t="n">
        <v>0</v>
      </c>
      <c r="L348" t="n">
        <v>0</v>
      </c>
      <c r="M348" t="n">
        <v>0</v>
      </c>
      <c r="N348" t="n">
        <v>0</v>
      </c>
      <c r="O348" t="n">
        <v>0</v>
      </c>
      <c r="P348" t="n">
        <v>0</v>
      </c>
      <c r="Q348" t="n">
        <v>0</v>
      </c>
      <c r="R348" s="2" t="inlineStr"/>
    </row>
    <row r="349" ht="15" customHeight="1">
      <c r="A349" t="inlineStr">
        <is>
          <t>A 49377-2022</t>
        </is>
      </c>
      <c r="B349" s="1" t="n">
        <v>44861.60849537037</v>
      </c>
      <c r="C349" s="1" t="n">
        <v>45975</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12123-2021</t>
        </is>
      </c>
      <c r="B350" s="1" t="n">
        <v>44266.55212962963</v>
      </c>
      <c r="C350" s="1" t="n">
        <v>45975</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40925-2022</t>
        </is>
      </c>
      <c r="B351" s="1" t="n">
        <v>44825.41880787037</v>
      </c>
      <c r="C351" s="1" t="n">
        <v>45975</v>
      </c>
      <c r="D351" t="inlineStr">
        <is>
          <t>KALMAR LÄN</t>
        </is>
      </c>
      <c r="E351" t="inlineStr">
        <is>
          <t>VÄSTERVIK</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72378-2021</t>
        </is>
      </c>
      <c r="B352" s="1" t="n">
        <v>44545.56285879629</v>
      </c>
      <c r="C352" s="1" t="n">
        <v>45975</v>
      </c>
      <c r="D352" t="inlineStr">
        <is>
          <t>KALMAR LÄN</t>
        </is>
      </c>
      <c r="E352" t="inlineStr">
        <is>
          <t>VÄSTERVIK</t>
        </is>
      </c>
      <c r="G352" t="n">
        <v>4.4</v>
      </c>
      <c r="H352" t="n">
        <v>0</v>
      </c>
      <c r="I352" t="n">
        <v>0</v>
      </c>
      <c r="J352" t="n">
        <v>0</v>
      </c>
      <c r="K352" t="n">
        <v>0</v>
      </c>
      <c r="L352" t="n">
        <v>0</v>
      </c>
      <c r="M352" t="n">
        <v>0</v>
      </c>
      <c r="N352" t="n">
        <v>0</v>
      </c>
      <c r="O352" t="n">
        <v>0</v>
      </c>
      <c r="P352" t="n">
        <v>0</v>
      </c>
      <c r="Q352" t="n">
        <v>0</v>
      </c>
      <c r="R352" s="2" t="inlineStr"/>
    </row>
    <row r="353" ht="15" customHeight="1">
      <c r="A353" t="inlineStr">
        <is>
          <t>A 31317-2021</t>
        </is>
      </c>
      <c r="B353" s="1" t="n">
        <v>44368.90879629629</v>
      </c>
      <c r="C353" s="1" t="n">
        <v>45975</v>
      </c>
      <c r="D353" t="inlineStr">
        <is>
          <t>KALMAR LÄN</t>
        </is>
      </c>
      <c r="E353" t="inlineStr">
        <is>
          <t>VÄSTERVIK</t>
        </is>
      </c>
      <c r="G353" t="n">
        <v>2.3</v>
      </c>
      <c r="H353" t="n">
        <v>0</v>
      </c>
      <c r="I353" t="n">
        <v>0</v>
      </c>
      <c r="J353" t="n">
        <v>0</v>
      </c>
      <c r="K353" t="n">
        <v>0</v>
      </c>
      <c r="L353" t="n">
        <v>0</v>
      </c>
      <c r="M353" t="n">
        <v>0</v>
      </c>
      <c r="N353" t="n">
        <v>0</v>
      </c>
      <c r="O353" t="n">
        <v>0</v>
      </c>
      <c r="P353" t="n">
        <v>0</v>
      </c>
      <c r="Q353" t="n">
        <v>0</v>
      </c>
      <c r="R353" s="2" t="inlineStr"/>
    </row>
    <row r="354" ht="15" customHeight="1">
      <c r="A354" t="inlineStr">
        <is>
          <t>A 47530-2021</t>
        </is>
      </c>
      <c r="B354" s="1" t="n">
        <v>44447</v>
      </c>
      <c r="C354" s="1" t="n">
        <v>45975</v>
      </c>
      <c r="D354" t="inlineStr">
        <is>
          <t>KALMAR LÄN</t>
        </is>
      </c>
      <c r="E354" t="inlineStr">
        <is>
          <t>VÄSTERVIK</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56619-2021</t>
        </is>
      </c>
      <c r="B355" s="1" t="n">
        <v>44480.82696759259</v>
      </c>
      <c r="C355" s="1" t="n">
        <v>45975</v>
      </c>
      <c r="D355" t="inlineStr">
        <is>
          <t>KALMAR LÄN</t>
        </is>
      </c>
      <c r="E355" t="inlineStr">
        <is>
          <t>VÄSTERVIK</t>
        </is>
      </c>
      <c r="G355" t="n">
        <v>1.8</v>
      </c>
      <c r="H355" t="n">
        <v>0</v>
      </c>
      <c r="I355" t="n">
        <v>0</v>
      </c>
      <c r="J355" t="n">
        <v>0</v>
      </c>
      <c r="K355" t="n">
        <v>0</v>
      </c>
      <c r="L355" t="n">
        <v>0</v>
      </c>
      <c r="M355" t="n">
        <v>0</v>
      </c>
      <c r="N355" t="n">
        <v>0</v>
      </c>
      <c r="O355" t="n">
        <v>0</v>
      </c>
      <c r="P355" t="n">
        <v>0</v>
      </c>
      <c r="Q355" t="n">
        <v>0</v>
      </c>
      <c r="R355" s="2" t="inlineStr"/>
    </row>
    <row r="356" ht="15" customHeight="1">
      <c r="A356" t="inlineStr">
        <is>
          <t>A 66888-2020</t>
        </is>
      </c>
      <c r="B356" s="1" t="n">
        <v>44179</v>
      </c>
      <c r="C356" s="1" t="n">
        <v>45975</v>
      </c>
      <c r="D356" t="inlineStr">
        <is>
          <t>KALMAR LÄN</t>
        </is>
      </c>
      <c r="E356" t="inlineStr">
        <is>
          <t>VÄSTERVIK</t>
        </is>
      </c>
      <c r="G356" t="n">
        <v>0.3</v>
      </c>
      <c r="H356" t="n">
        <v>0</v>
      </c>
      <c r="I356" t="n">
        <v>0</v>
      </c>
      <c r="J356" t="n">
        <v>0</v>
      </c>
      <c r="K356" t="n">
        <v>0</v>
      </c>
      <c r="L356" t="n">
        <v>0</v>
      </c>
      <c r="M356" t="n">
        <v>0</v>
      </c>
      <c r="N356" t="n">
        <v>0</v>
      </c>
      <c r="O356" t="n">
        <v>0</v>
      </c>
      <c r="P356" t="n">
        <v>0</v>
      </c>
      <c r="Q356" t="n">
        <v>0</v>
      </c>
      <c r="R356" s="2" t="inlineStr"/>
    </row>
    <row r="357" ht="15" customHeight="1">
      <c r="A357" t="inlineStr">
        <is>
          <t>A 410-2021</t>
        </is>
      </c>
      <c r="B357" s="1" t="n">
        <v>44201.63928240741</v>
      </c>
      <c r="C357" s="1" t="n">
        <v>45975</v>
      </c>
      <c r="D357" t="inlineStr">
        <is>
          <t>KALMAR LÄN</t>
        </is>
      </c>
      <c r="E357" t="inlineStr">
        <is>
          <t>VÄSTERVIK</t>
        </is>
      </c>
      <c r="G357" t="n">
        <v>0.8</v>
      </c>
      <c r="H357" t="n">
        <v>0</v>
      </c>
      <c r="I357" t="n">
        <v>0</v>
      </c>
      <c r="J357" t="n">
        <v>0</v>
      </c>
      <c r="K357" t="n">
        <v>0</v>
      </c>
      <c r="L357" t="n">
        <v>0</v>
      </c>
      <c r="M357" t="n">
        <v>0</v>
      </c>
      <c r="N357" t="n">
        <v>0</v>
      </c>
      <c r="O357" t="n">
        <v>0</v>
      </c>
      <c r="P357" t="n">
        <v>0</v>
      </c>
      <c r="Q357" t="n">
        <v>0</v>
      </c>
      <c r="R357" s="2" t="inlineStr"/>
    </row>
    <row r="358" ht="15" customHeight="1">
      <c r="A358" t="inlineStr">
        <is>
          <t>A 61799-2020</t>
        </is>
      </c>
      <c r="B358" s="1" t="n">
        <v>44158</v>
      </c>
      <c r="C358" s="1" t="n">
        <v>45975</v>
      </c>
      <c r="D358" t="inlineStr">
        <is>
          <t>KALMAR LÄN</t>
        </is>
      </c>
      <c r="E358" t="inlineStr">
        <is>
          <t>VÄSTERVIK</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34644-2022</t>
        </is>
      </c>
      <c r="B359" s="1" t="n">
        <v>44795</v>
      </c>
      <c r="C359" s="1" t="n">
        <v>45975</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320-2022</t>
        </is>
      </c>
      <c r="B360" s="1" t="n">
        <v>44565</v>
      </c>
      <c r="C360" s="1" t="n">
        <v>45975</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45975</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51504-2021</t>
        </is>
      </c>
      <c r="B362" s="1" t="n">
        <v>44461</v>
      </c>
      <c r="C362" s="1" t="n">
        <v>45975</v>
      </c>
      <c r="D362" t="inlineStr">
        <is>
          <t>KALMAR LÄN</t>
        </is>
      </c>
      <c r="E362" t="inlineStr">
        <is>
          <t>VÄSTERVIK</t>
        </is>
      </c>
      <c r="G362" t="n">
        <v>6.4</v>
      </c>
      <c r="H362" t="n">
        <v>0</v>
      </c>
      <c r="I362" t="n">
        <v>0</v>
      </c>
      <c r="J362" t="n">
        <v>0</v>
      </c>
      <c r="K362" t="n">
        <v>0</v>
      </c>
      <c r="L362" t="n">
        <v>0</v>
      </c>
      <c r="M362" t="n">
        <v>0</v>
      </c>
      <c r="N362" t="n">
        <v>0</v>
      </c>
      <c r="O362" t="n">
        <v>0</v>
      </c>
      <c r="P362" t="n">
        <v>0</v>
      </c>
      <c r="Q362" t="n">
        <v>0</v>
      </c>
      <c r="R362" s="2" t="inlineStr"/>
    </row>
    <row r="363" ht="15" customHeight="1">
      <c r="A363" t="inlineStr">
        <is>
          <t>A 43759-2021</t>
        </is>
      </c>
      <c r="B363" s="1" t="n">
        <v>44433</v>
      </c>
      <c r="C363" s="1" t="n">
        <v>45975</v>
      </c>
      <c r="D363" t="inlineStr">
        <is>
          <t>KALMAR LÄN</t>
        </is>
      </c>
      <c r="E363" t="inlineStr">
        <is>
          <t>VÄSTERVIK</t>
        </is>
      </c>
      <c r="G363" t="n">
        <v>0.4</v>
      </c>
      <c r="H363" t="n">
        <v>0</v>
      </c>
      <c r="I363" t="n">
        <v>0</v>
      </c>
      <c r="J363" t="n">
        <v>0</v>
      </c>
      <c r="K363" t="n">
        <v>0</v>
      </c>
      <c r="L363" t="n">
        <v>0</v>
      </c>
      <c r="M363" t="n">
        <v>0</v>
      </c>
      <c r="N363" t="n">
        <v>0</v>
      </c>
      <c r="O363" t="n">
        <v>0</v>
      </c>
      <c r="P363" t="n">
        <v>0</v>
      </c>
      <c r="Q363" t="n">
        <v>0</v>
      </c>
      <c r="R363" s="2" t="inlineStr"/>
    </row>
    <row r="364" ht="15" customHeight="1">
      <c r="A364" t="inlineStr">
        <is>
          <t>A 43826-2021</t>
        </is>
      </c>
      <c r="B364" s="1" t="n">
        <v>44433</v>
      </c>
      <c r="C364" s="1" t="n">
        <v>45975</v>
      </c>
      <c r="D364" t="inlineStr">
        <is>
          <t>KALMAR LÄN</t>
        </is>
      </c>
      <c r="E364" t="inlineStr">
        <is>
          <t>VÄSTERVIK</t>
        </is>
      </c>
      <c r="G364" t="n">
        <v>4.2</v>
      </c>
      <c r="H364" t="n">
        <v>0</v>
      </c>
      <c r="I364" t="n">
        <v>0</v>
      </c>
      <c r="J364" t="n">
        <v>0</v>
      </c>
      <c r="K364" t="n">
        <v>0</v>
      </c>
      <c r="L364" t="n">
        <v>0</v>
      </c>
      <c r="M364" t="n">
        <v>0</v>
      </c>
      <c r="N364" t="n">
        <v>0</v>
      </c>
      <c r="O364" t="n">
        <v>0</v>
      </c>
      <c r="P364" t="n">
        <v>0</v>
      </c>
      <c r="Q364" t="n">
        <v>0</v>
      </c>
      <c r="R364" s="2" t="inlineStr"/>
    </row>
    <row r="365" ht="15" customHeight="1">
      <c r="A365" t="inlineStr">
        <is>
          <t>A 66748-2020</t>
        </is>
      </c>
      <c r="B365" s="1" t="n">
        <v>44175</v>
      </c>
      <c r="C365" s="1" t="n">
        <v>45975</v>
      </c>
      <c r="D365" t="inlineStr">
        <is>
          <t>KALMAR LÄN</t>
        </is>
      </c>
      <c r="E365" t="inlineStr">
        <is>
          <t>VÄSTERVIK</t>
        </is>
      </c>
      <c r="G365" t="n">
        <v>2.2</v>
      </c>
      <c r="H365" t="n">
        <v>0</v>
      </c>
      <c r="I365" t="n">
        <v>0</v>
      </c>
      <c r="J365" t="n">
        <v>0</v>
      </c>
      <c r="K365" t="n">
        <v>0</v>
      </c>
      <c r="L365" t="n">
        <v>0</v>
      </c>
      <c r="M365" t="n">
        <v>0</v>
      </c>
      <c r="N365" t="n">
        <v>0</v>
      </c>
      <c r="O365" t="n">
        <v>0</v>
      </c>
      <c r="P365" t="n">
        <v>0</v>
      </c>
      <c r="Q365" t="n">
        <v>0</v>
      </c>
      <c r="R365" s="2" t="inlineStr"/>
    </row>
    <row r="366" ht="15" customHeight="1">
      <c r="A366" t="inlineStr">
        <is>
          <t>A 29909-2022</t>
        </is>
      </c>
      <c r="B366" s="1" t="n">
        <v>44756</v>
      </c>
      <c r="C366" s="1" t="n">
        <v>45975</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46527-2022</t>
        </is>
      </c>
      <c r="B367" s="1" t="n">
        <v>44848.59880787037</v>
      </c>
      <c r="C367" s="1" t="n">
        <v>45975</v>
      </c>
      <c r="D367" t="inlineStr">
        <is>
          <t>KALMAR LÄN</t>
        </is>
      </c>
      <c r="E367" t="inlineStr">
        <is>
          <t>VÄSTERVIK</t>
        </is>
      </c>
      <c r="G367" t="n">
        <v>1.7</v>
      </c>
      <c r="H367" t="n">
        <v>0</v>
      </c>
      <c r="I367" t="n">
        <v>0</v>
      </c>
      <c r="J367" t="n">
        <v>0</v>
      </c>
      <c r="K367" t="n">
        <v>0</v>
      </c>
      <c r="L367" t="n">
        <v>0</v>
      </c>
      <c r="M367" t="n">
        <v>0</v>
      </c>
      <c r="N367" t="n">
        <v>0</v>
      </c>
      <c r="O367" t="n">
        <v>0</v>
      </c>
      <c r="P367" t="n">
        <v>0</v>
      </c>
      <c r="Q367" t="n">
        <v>0</v>
      </c>
      <c r="R367" s="2" t="inlineStr"/>
    </row>
    <row r="368" ht="15" customHeight="1">
      <c r="A368" t="inlineStr">
        <is>
          <t>A 10517-2021</t>
        </is>
      </c>
      <c r="B368" s="1" t="n">
        <v>44258</v>
      </c>
      <c r="C368" s="1" t="n">
        <v>45975</v>
      </c>
      <c r="D368" t="inlineStr">
        <is>
          <t>KALMAR LÄN</t>
        </is>
      </c>
      <c r="E368" t="inlineStr">
        <is>
          <t>VÄSTERVIK</t>
        </is>
      </c>
      <c r="G368" t="n">
        <v>3.6</v>
      </c>
      <c r="H368" t="n">
        <v>0</v>
      </c>
      <c r="I368" t="n">
        <v>0</v>
      </c>
      <c r="J368" t="n">
        <v>0</v>
      </c>
      <c r="K368" t="n">
        <v>0</v>
      </c>
      <c r="L368" t="n">
        <v>0</v>
      </c>
      <c r="M368" t="n">
        <v>0</v>
      </c>
      <c r="N368" t="n">
        <v>0</v>
      </c>
      <c r="O368" t="n">
        <v>0</v>
      </c>
      <c r="P368" t="n">
        <v>0</v>
      </c>
      <c r="Q368" t="n">
        <v>0</v>
      </c>
      <c r="R368" s="2" t="inlineStr"/>
    </row>
    <row r="369" ht="15" customHeight="1">
      <c r="A369" t="inlineStr">
        <is>
          <t>A 17216-2021</t>
        </is>
      </c>
      <c r="B369" s="1" t="n">
        <v>44298.49047453704</v>
      </c>
      <c r="C369" s="1" t="n">
        <v>45975</v>
      </c>
      <c r="D369" t="inlineStr">
        <is>
          <t>KALMAR LÄN</t>
        </is>
      </c>
      <c r="E369" t="inlineStr">
        <is>
          <t>VÄSTERVIK</t>
        </is>
      </c>
      <c r="G369" t="n">
        <v>1.4</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45975</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45975</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166-2022</t>
        </is>
      </c>
      <c r="B372" s="1" t="n">
        <v>44564</v>
      </c>
      <c r="C372" s="1" t="n">
        <v>45975</v>
      </c>
      <c r="D372" t="inlineStr">
        <is>
          <t>KALMAR LÄN</t>
        </is>
      </c>
      <c r="E372" t="inlineStr">
        <is>
          <t>VÄSTERVIK</t>
        </is>
      </c>
      <c r="G372" t="n">
        <v>1.5</v>
      </c>
      <c r="H372" t="n">
        <v>0</v>
      </c>
      <c r="I372" t="n">
        <v>0</v>
      </c>
      <c r="J372" t="n">
        <v>0</v>
      </c>
      <c r="K372" t="n">
        <v>0</v>
      </c>
      <c r="L372" t="n">
        <v>0</v>
      </c>
      <c r="M372" t="n">
        <v>0</v>
      </c>
      <c r="N372" t="n">
        <v>0</v>
      </c>
      <c r="O372" t="n">
        <v>0</v>
      </c>
      <c r="P372" t="n">
        <v>0</v>
      </c>
      <c r="Q372" t="n">
        <v>0</v>
      </c>
      <c r="R372" s="2" t="inlineStr"/>
    </row>
    <row r="373" ht="15" customHeight="1">
      <c r="A373" t="inlineStr">
        <is>
          <t>A 10119-2022</t>
        </is>
      </c>
      <c r="B373" s="1" t="n">
        <v>44621.91652777778</v>
      </c>
      <c r="C373" s="1" t="n">
        <v>45975</v>
      </c>
      <c r="D373" t="inlineStr">
        <is>
          <t>KALMAR LÄN</t>
        </is>
      </c>
      <c r="E373" t="inlineStr">
        <is>
          <t>VÄSTERVIK</t>
        </is>
      </c>
      <c r="G373" t="n">
        <v>0.9</v>
      </c>
      <c r="H373" t="n">
        <v>0</v>
      </c>
      <c r="I373" t="n">
        <v>0</v>
      </c>
      <c r="J373" t="n">
        <v>0</v>
      </c>
      <c r="K373" t="n">
        <v>0</v>
      </c>
      <c r="L373" t="n">
        <v>0</v>
      </c>
      <c r="M373" t="n">
        <v>0</v>
      </c>
      <c r="N373" t="n">
        <v>0</v>
      </c>
      <c r="O373" t="n">
        <v>0</v>
      </c>
      <c r="P373" t="n">
        <v>0</v>
      </c>
      <c r="Q373" t="n">
        <v>0</v>
      </c>
      <c r="R373" s="2" t="inlineStr"/>
    </row>
    <row r="374" ht="15" customHeight="1">
      <c r="A374" t="inlineStr">
        <is>
          <t>A 34953-2021</t>
        </is>
      </c>
      <c r="B374" s="1" t="n">
        <v>44383</v>
      </c>
      <c r="C374" s="1" t="n">
        <v>45975</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34836-2022</t>
        </is>
      </c>
      <c r="B375" s="1" t="n">
        <v>44796</v>
      </c>
      <c r="C375" s="1" t="n">
        <v>45975</v>
      </c>
      <c r="D375" t="inlineStr">
        <is>
          <t>KALMAR LÄN</t>
        </is>
      </c>
      <c r="E375" t="inlineStr">
        <is>
          <t>VÄSTERVIK</t>
        </is>
      </c>
      <c r="G375" t="n">
        <v>1.3</v>
      </c>
      <c r="H375" t="n">
        <v>0</v>
      </c>
      <c r="I375" t="n">
        <v>0</v>
      </c>
      <c r="J375" t="n">
        <v>0</v>
      </c>
      <c r="K375" t="n">
        <v>0</v>
      </c>
      <c r="L375" t="n">
        <v>0</v>
      </c>
      <c r="M375" t="n">
        <v>0</v>
      </c>
      <c r="N375" t="n">
        <v>0</v>
      </c>
      <c r="O375" t="n">
        <v>0</v>
      </c>
      <c r="P375" t="n">
        <v>0</v>
      </c>
      <c r="Q375" t="n">
        <v>0</v>
      </c>
      <c r="R375" s="2" t="inlineStr"/>
    </row>
    <row r="376" ht="15" customHeight="1">
      <c r="A376" t="inlineStr">
        <is>
          <t>A 47525-2021</t>
        </is>
      </c>
      <c r="B376" s="1" t="n">
        <v>44447</v>
      </c>
      <c r="C376" s="1" t="n">
        <v>45975</v>
      </c>
      <c r="D376" t="inlineStr">
        <is>
          <t>KALMAR LÄN</t>
        </is>
      </c>
      <c r="E376" t="inlineStr">
        <is>
          <t>VÄSTERVIK</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17124-2021</t>
        </is>
      </c>
      <c r="B377" s="1" t="n">
        <v>44298</v>
      </c>
      <c r="C377" s="1" t="n">
        <v>45975</v>
      </c>
      <c r="D377" t="inlineStr">
        <is>
          <t>KALMAR LÄN</t>
        </is>
      </c>
      <c r="E377" t="inlineStr">
        <is>
          <t>VÄSTERVIK</t>
        </is>
      </c>
      <c r="G377" t="n">
        <v>1.5</v>
      </c>
      <c r="H377" t="n">
        <v>0</v>
      </c>
      <c r="I377" t="n">
        <v>0</v>
      </c>
      <c r="J377" t="n">
        <v>0</v>
      </c>
      <c r="K377" t="n">
        <v>0</v>
      </c>
      <c r="L377" t="n">
        <v>0</v>
      </c>
      <c r="M377" t="n">
        <v>0</v>
      </c>
      <c r="N377" t="n">
        <v>0</v>
      </c>
      <c r="O377" t="n">
        <v>0</v>
      </c>
      <c r="P377" t="n">
        <v>0</v>
      </c>
      <c r="Q377" t="n">
        <v>0</v>
      </c>
      <c r="R377" s="2" t="inlineStr"/>
    </row>
    <row r="378" ht="15" customHeight="1">
      <c r="A378" t="inlineStr">
        <is>
          <t>A 64558-2021</t>
        </is>
      </c>
      <c r="B378" s="1" t="n">
        <v>44511</v>
      </c>
      <c r="C378" s="1" t="n">
        <v>45975</v>
      </c>
      <c r="D378" t="inlineStr">
        <is>
          <t>KALMAR LÄN</t>
        </is>
      </c>
      <c r="E378" t="inlineStr">
        <is>
          <t>VÄSTERVIK</t>
        </is>
      </c>
      <c r="F378" t="inlineStr">
        <is>
          <t>Övriga Aktiebolag</t>
        </is>
      </c>
      <c r="G378" t="n">
        <v>0.5</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45975</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31558-2021</t>
        </is>
      </c>
      <c r="B380" s="1" t="n">
        <v>44369</v>
      </c>
      <c r="C380" s="1" t="n">
        <v>45975</v>
      </c>
      <c r="D380" t="inlineStr">
        <is>
          <t>KALMAR LÄN</t>
        </is>
      </c>
      <c r="E380" t="inlineStr">
        <is>
          <t>VÄSTERVIK</t>
        </is>
      </c>
      <c r="G380" t="n">
        <v>22.9</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45975</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45975</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38399-2022</t>
        </is>
      </c>
      <c r="B383" s="1" t="n">
        <v>44812</v>
      </c>
      <c r="C383" s="1" t="n">
        <v>45975</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66149-2020</t>
        </is>
      </c>
      <c r="B384" s="1" t="n">
        <v>44173</v>
      </c>
      <c r="C384" s="1" t="n">
        <v>45975</v>
      </c>
      <c r="D384" t="inlineStr">
        <is>
          <t>KALMAR LÄN</t>
        </is>
      </c>
      <c r="E384" t="inlineStr">
        <is>
          <t>VÄSTERVIK</t>
        </is>
      </c>
      <c r="G384" t="n">
        <v>1.1</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45975</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24570-2021</t>
        </is>
      </c>
      <c r="B386" s="1" t="n">
        <v>44339</v>
      </c>
      <c r="C386" s="1" t="n">
        <v>45975</v>
      </c>
      <c r="D386" t="inlineStr">
        <is>
          <t>KALMAR LÄN</t>
        </is>
      </c>
      <c r="E386" t="inlineStr">
        <is>
          <t>VÄSTERVIK</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959-2022</t>
        </is>
      </c>
      <c r="B387" s="1" t="n">
        <v>44571</v>
      </c>
      <c r="C387" s="1" t="n">
        <v>45975</v>
      </c>
      <c r="D387" t="inlineStr">
        <is>
          <t>KALMAR LÄN</t>
        </is>
      </c>
      <c r="E387" t="inlineStr">
        <is>
          <t>VÄSTERVIK</t>
        </is>
      </c>
      <c r="G387" t="n">
        <v>2.5</v>
      </c>
      <c r="H387" t="n">
        <v>0</v>
      </c>
      <c r="I387" t="n">
        <v>0</v>
      </c>
      <c r="J387" t="n">
        <v>0</v>
      </c>
      <c r="K387" t="n">
        <v>0</v>
      </c>
      <c r="L387" t="n">
        <v>0</v>
      </c>
      <c r="M387" t="n">
        <v>0</v>
      </c>
      <c r="N387" t="n">
        <v>0</v>
      </c>
      <c r="O387" t="n">
        <v>0</v>
      </c>
      <c r="P387" t="n">
        <v>0</v>
      </c>
      <c r="Q387" t="n">
        <v>0</v>
      </c>
      <c r="R387" s="2" t="inlineStr"/>
    </row>
    <row r="388" ht="15" customHeight="1">
      <c r="A388" t="inlineStr">
        <is>
          <t>A 61584-2021</t>
        </is>
      </c>
      <c r="B388" s="1" t="n">
        <v>44501.45256944445</v>
      </c>
      <c r="C388" s="1" t="n">
        <v>45975</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34118-2021</t>
        </is>
      </c>
      <c r="B389" s="1" t="n">
        <v>44379.45400462963</v>
      </c>
      <c r="C389" s="1" t="n">
        <v>45975</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34125-2021</t>
        </is>
      </c>
      <c r="B390" s="1" t="n">
        <v>44379.4646875</v>
      </c>
      <c r="C390" s="1" t="n">
        <v>45975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47404-2021</t>
        </is>
      </c>
      <c r="B391" s="1" t="n">
        <v>44447</v>
      </c>
      <c r="C391" s="1" t="n">
        <v>45975</v>
      </c>
      <c r="D391" t="inlineStr">
        <is>
          <t>KALMAR LÄN</t>
        </is>
      </c>
      <c r="E391" t="inlineStr">
        <is>
          <t>VÄSTERVIK</t>
        </is>
      </c>
      <c r="G391" t="n">
        <v>1.5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45975</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49404-2021</t>
        </is>
      </c>
      <c r="B393" s="1" t="n">
        <v>44454.63494212963</v>
      </c>
      <c r="C393" s="1" t="n">
        <v>45975</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49407-2021</t>
        </is>
      </c>
      <c r="B394" s="1" t="n">
        <v>44454.63644675926</v>
      </c>
      <c r="C394" s="1" t="n">
        <v>45975</v>
      </c>
      <c r="D394" t="inlineStr">
        <is>
          <t>KALMAR LÄN</t>
        </is>
      </c>
      <c r="E394" t="inlineStr">
        <is>
          <t>VÄSTERVIK</t>
        </is>
      </c>
      <c r="G394" t="n">
        <v>1</v>
      </c>
      <c r="H394" t="n">
        <v>0</v>
      </c>
      <c r="I394" t="n">
        <v>0</v>
      </c>
      <c r="J394" t="n">
        <v>0</v>
      </c>
      <c r="K394" t="n">
        <v>0</v>
      </c>
      <c r="L394" t="n">
        <v>0</v>
      </c>
      <c r="M394" t="n">
        <v>0</v>
      </c>
      <c r="N394" t="n">
        <v>0</v>
      </c>
      <c r="O394" t="n">
        <v>0</v>
      </c>
      <c r="P394" t="n">
        <v>0</v>
      </c>
      <c r="Q394" t="n">
        <v>0</v>
      </c>
      <c r="R394" s="2" t="inlineStr"/>
    </row>
    <row r="395" ht="15" customHeight="1">
      <c r="A395" t="inlineStr">
        <is>
          <t>A 61317-2021</t>
        </is>
      </c>
      <c r="B395" s="1" t="n">
        <v>44498.65975694444</v>
      </c>
      <c r="C395" s="1" t="n">
        <v>45975</v>
      </c>
      <c r="D395" t="inlineStr">
        <is>
          <t>KALMAR LÄN</t>
        </is>
      </c>
      <c r="E395" t="inlineStr">
        <is>
          <t>VÄSTERVIK</t>
        </is>
      </c>
      <c r="G395" t="n">
        <v>0.6</v>
      </c>
      <c r="H395" t="n">
        <v>0</v>
      </c>
      <c r="I395" t="n">
        <v>0</v>
      </c>
      <c r="J395" t="n">
        <v>0</v>
      </c>
      <c r="K395" t="n">
        <v>0</v>
      </c>
      <c r="L395" t="n">
        <v>0</v>
      </c>
      <c r="M395" t="n">
        <v>0</v>
      </c>
      <c r="N395" t="n">
        <v>0</v>
      </c>
      <c r="O395" t="n">
        <v>0</v>
      </c>
      <c r="P395" t="n">
        <v>0</v>
      </c>
      <c r="Q395" t="n">
        <v>0</v>
      </c>
      <c r="R395" s="2" t="inlineStr"/>
    </row>
    <row r="396" ht="15" customHeight="1">
      <c r="A396" t="inlineStr">
        <is>
          <t>A 50691-2022</t>
        </is>
      </c>
      <c r="B396" s="1" t="n">
        <v>44867</v>
      </c>
      <c r="C396" s="1" t="n">
        <v>45975</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2106-2021</t>
        </is>
      </c>
      <c r="B397" s="1" t="n">
        <v>44211</v>
      </c>
      <c r="C397" s="1" t="n">
        <v>45975</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63212-2020</t>
        </is>
      </c>
      <c r="B398" s="1" t="n">
        <v>44163</v>
      </c>
      <c r="C398" s="1" t="n">
        <v>45975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59696-2023</t>
        </is>
      </c>
      <c r="B399" s="1" t="n">
        <v>45256.85211805555</v>
      </c>
      <c r="C399" s="1" t="n">
        <v>45975</v>
      </c>
      <c r="D399" t="inlineStr">
        <is>
          <t>KALMAR LÄN</t>
        </is>
      </c>
      <c r="E399" t="inlineStr">
        <is>
          <t>VÄSTERVIK</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61682-2020</t>
        </is>
      </c>
      <c r="B400" s="1" t="n">
        <v>44154</v>
      </c>
      <c r="C400" s="1" t="n">
        <v>45975</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18837-2021</t>
        </is>
      </c>
      <c r="B401" s="1" t="n">
        <v>44307</v>
      </c>
      <c r="C401" s="1" t="n">
        <v>45975</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15591-2021</t>
        </is>
      </c>
      <c r="B402" s="1" t="n">
        <v>44285.66303240741</v>
      </c>
      <c r="C402" s="1" t="n">
        <v>45975</v>
      </c>
      <c r="D402" t="inlineStr">
        <is>
          <t>KALMAR LÄN</t>
        </is>
      </c>
      <c r="E402" t="inlineStr">
        <is>
          <t>VÄSTERVIK</t>
        </is>
      </c>
      <c r="G402" t="n">
        <v>2.1</v>
      </c>
      <c r="H402" t="n">
        <v>0</v>
      </c>
      <c r="I402" t="n">
        <v>0</v>
      </c>
      <c r="J402" t="n">
        <v>0</v>
      </c>
      <c r="K402" t="n">
        <v>0</v>
      </c>
      <c r="L402" t="n">
        <v>0</v>
      </c>
      <c r="M402" t="n">
        <v>0</v>
      </c>
      <c r="N402" t="n">
        <v>0</v>
      </c>
      <c r="O402" t="n">
        <v>0</v>
      </c>
      <c r="P402" t="n">
        <v>0</v>
      </c>
      <c r="Q402" t="n">
        <v>0</v>
      </c>
      <c r="R402" s="2" t="inlineStr"/>
    </row>
    <row r="403" ht="15" customHeight="1">
      <c r="A403" t="inlineStr">
        <is>
          <t>A 60056-2023</t>
        </is>
      </c>
      <c r="B403" s="1" t="n">
        <v>45258</v>
      </c>
      <c r="C403" s="1" t="n">
        <v>45975</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49398-2021</t>
        </is>
      </c>
      <c r="B404" s="1" t="n">
        <v>44454.63141203704</v>
      </c>
      <c r="C404" s="1" t="n">
        <v>45975</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68811-2020</t>
        </is>
      </c>
      <c r="B405" s="1" t="n">
        <v>44187</v>
      </c>
      <c r="C405" s="1" t="n">
        <v>45975</v>
      </c>
      <c r="D405" t="inlineStr">
        <is>
          <t>KALMAR LÄN</t>
        </is>
      </c>
      <c r="E405" t="inlineStr">
        <is>
          <t>VÄSTERVIK</t>
        </is>
      </c>
      <c r="G405" t="n">
        <v>2.3</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45975</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789-2021</t>
        </is>
      </c>
      <c r="B407" s="1" t="n">
        <v>44204</v>
      </c>
      <c r="C407" s="1" t="n">
        <v>45975</v>
      </c>
      <c r="D407" t="inlineStr">
        <is>
          <t>KALMAR LÄN</t>
        </is>
      </c>
      <c r="E407" t="inlineStr">
        <is>
          <t>VÄSTERVIK</t>
        </is>
      </c>
      <c r="G407" t="n">
        <v>1.8</v>
      </c>
      <c r="H407" t="n">
        <v>0</v>
      </c>
      <c r="I407" t="n">
        <v>0</v>
      </c>
      <c r="J407" t="n">
        <v>0</v>
      </c>
      <c r="K407" t="n">
        <v>0</v>
      </c>
      <c r="L407" t="n">
        <v>0</v>
      </c>
      <c r="M407" t="n">
        <v>0</v>
      </c>
      <c r="N407" t="n">
        <v>0</v>
      </c>
      <c r="O407" t="n">
        <v>0</v>
      </c>
      <c r="P407" t="n">
        <v>0</v>
      </c>
      <c r="Q407" t="n">
        <v>0</v>
      </c>
      <c r="R407" s="2" t="inlineStr"/>
    </row>
    <row r="408" ht="15" customHeight="1">
      <c r="A408" t="inlineStr">
        <is>
          <t>A 43807-2021</t>
        </is>
      </c>
      <c r="B408" s="1" t="n">
        <v>44433</v>
      </c>
      <c r="C408" s="1" t="n">
        <v>45975</v>
      </c>
      <c r="D408" t="inlineStr">
        <is>
          <t>KALMAR LÄN</t>
        </is>
      </c>
      <c r="E408" t="inlineStr">
        <is>
          <t>VÄSTERVIK</t>
        </is>
      </c>
      <c r="G408" t="n">
        <v>3.2</v>
      </c>
      <c r="H408" t="n">
        <v>0</v>
      </c>
      <c r="I408" t="n">
        <v>0</v>
      </c>
      <c r="J408" t="n">
        <v>0</v>
      </c>
      <c r="K408" t="n">
        <v>0</v>
      </c>
      <c r="L408" t="n">
        <v>0</v>
      </c>
      <c r="M408" t="n">
        <v>0</v>
      </c>
      <c r="N408" t="n">
        <v>0</v>
      </c>
      <c r="O408" t="n">
        <v>0</v>
      </c>
      <c r="P408" t="n">
        <v>0</v>
      </c>
      <c r="Q408" t="n">
        <v>0</v>
      </c>
      <c r="R408" s="2" t="inlineStr"/>
    </row>
    <row r="409" ht="15" customHeight="1">
      <c r="A409" t="inlineStr">
        <is>
          <t>A 40920-2022</t>
        </is>
      </c>
      <c r="B409" s="1" t="n">
        <v>44825.40943287037</v>
      </c>
      <c r="C409" s="1" t="n">
        <v>45975</v>
      </c>
      <c r="D409" t="inlineStr">
        <is>
          <t>KALMAR LÄN</t>
        </is>
      </c>
      <c r="E409" t="inlineStr">
        <is>
          <t>VÄSTERVIK</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45975</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32388-2024</t>
        </is>
      </c>
      <c r="B411" s="1" t="n">
        <v>45512.63465277778</v>
      </c>
      <c r="C411" s="1" t="n">
        <v>45975</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32389-2024</t>
        </is>
      </c>
      <c r="B412" s="1" t="n">
        <v>45512.63642361111</v>
      </c>
      <c r="C412" s="1" t="n">
        <v>45975</v>
      </c>
      <c r="D412" t="inlineStr">
        <is>
          <t>KALMAR LÄN</t>
        </is>
      </c>
      <c r="E412" t="inlineStr">
        <is>
          <t>VÄSTERVIK</t>
        </is>
      </c>
      <c r="G412" t="n">
        <v>1.3</v>
      </c>
      <c r="H412" t="n">
        <v>0</v>
      </c>
      <c r="I412" t="n">
        <v>0</v>
      </c>
      <c r="J412" t="n">
        <v>0</v>
      </c>
      <c r="K412" t="n">
        <v>0</v>
      </c>
      <c r="L412" t="n">
        <v>0</v>
      </c>
      <c r="M412" t="n">
        <v>0</v>
      </c>
      <c r="N412" t="n">
        <v>0</v>
      </c>
      <c r="O412" t="n">
        <v>0</v>
      </c>
      <c r="P412" t="n">
        <v>0</v>
      </c>
      <c r="Q412" t="n">
        <v>0</v>
      </c>
      <c r="R412" s="2" t="inlineStr"/>
    </row>
    <row r="413" ht="15" customHeight="1">
      <c r="A413" t="inlineStr">
        <is>
          <t>A 54190-2022</t>
        </is>
      </c>
      <c r="B413" s="1" t="n">
        <v>44881.68282407407</v>
      </c>
      <c r="C413" s="1" t="n">
        <v>45975</v>
      </c>
      <c r="D413" t="inlineStr">
        <is>
          <t>KALMAR LÄN</t>
        </is>
      </c>
      <c r="E413" t="inlineStr">
        <is>
          <t>VÄSTERVIK</t>
        </is>
      </c>
      <c r="G413" t="n">
        <v>7.4</v>
      </c>
      <c r="H413" t="n">
        <v>0</v>
      </c>
      <c r="I413" t="n">
        <v>0</v>
      </c>
      <c r="J413" t="n">
        <v>0</v>
      </c>
      <c r="K413" t="n">
        <v>0</v>
      </c>
      <c r="L413" t="n">
        <v>0</v>
      </c>
      <c r="M413" t="n">
        <v>0</v>
      </c>
      <c r="N413" t="n">
        <v>0</v>
      </c>
      <c r="O413" t="n">
        <v>0</v>
      </c>
      <c r="P413" t="n">
        <v>0</v>
      </c>
      <c r="Q413" t="n">
        <v>0</v>
      </c>
      <c r="R413" s="2" t="inlineStr"/>
    </row>
    <row r="414" ht="15" customHeight="1">
      <c r="A414" t="inlineStr">
        <is>
          <t>A 19644-2021</t>
        </is>
      </c>
      <c r="B414" s="1" t="n">
        <v>44312</v>
      </c>
      <c r="C414" s="1" t="n">
        <v>45975</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36725-2024</t>
        </is>
      </c>
      <c r="B415" s="1" t="n">
        <v>45537.90300925926</v>
      </c>
      <c r="C415" s="1" t="n">
        <v>45975</v>
      </c>
      <c r="D415" t="inlineStr">
        <is>
          <t>KALMAR LÄN</t>
        </is>
      </c>
      <c r="E415" t="inlineStr">
        <is>
          <t>VÄSTERVIK</t>
        </is>
      </c>
      <c r="G415" t="n">
        <v>10.1</v>
      </c>
      <c r="H415" t="n">
        <v>0</v>
      </c>
      <c r="I415" t="n">
        <v>0</v>
      </c>
      <c r="J415" t="n">
        <v>0</v>
      </c>
      <c r="K415" t="n">
        <v>0</v>
      </c>
      <c r="L415" t="n">
        <v>0</v>
      </c>
      <c r="M415" t="n">
        <v>0</v>
      </c>
      <c r="N415" t="n">
        <v>0</v>
      </c>
      <c r="O415" t="n">
        <v>0</v>
      </c>
      <c r="P415" t="n">
        <v>0</v>
      </c>
      <c r="Q415" t="n">
        <v>0</v>
      </c>
      <c r="R415" s="2" t="inlineStr"/>
    </row>
    <row r="416" ht="15" customHeight="1">
      <c r="A416" t="inlineStr">
        <is>
          <t>A 18470-2021</t>
        </is>
      </c>
      <c r="B416" s="1" t="n">
        <v>44306.31681712963</v>
      </c>
      <c r="C416" s="1" t="n">
        <v>45975</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23996-2021</t>
        </is>
      </c>
      <c r="B417" s="1" t="n">
        <v>44335.88916666667</v>
      </c>
      <c r="C417" s="1" t="n">
        <v>45975</v>
      </c>
      <c r="D417" t="inlineStr">
        <is>
          <t>KALMAR LÄN</t>
        </is>
      </c>
      <c r="E417" t="inlineStr">
        <is>
          <t>VÄSTERVIK</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69064-2020</t>
        </is>
      </c>
      <c r="B418" s="1" t="n">
        <v>44188.47537037037</v>
      </c>
      <c r="C418" s="1" t="n">
        <v>45975</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13230-2021</t>
        </is>
      </c>
      <c r="B419" s="1" t="n">
        <v>44272</v>
      </c>
      <c r="C419" s="1" t="n">
        <v>45975</v>
      </c>
      <c r="D419" t="inlineStr">
        <is>
          <t>KALMAR LÄN</t>
        </is>
      </c>
      <c r="E419" t="inlineStr">
        <is>
          <t>VÄSTERVIK</t>
        </is>
      </c>
      <c r="G419" t="n">
        <v>7.2</v>
      </c>
      <c r="H419" t="n">
        <v>0</v>
      </c>
      <c r="I419" t="n">
        <v>0</v>
      </c>
      <c r="J419" t="n">
        <v>0</v>
      </c>
      <c r="K419" t="n">
        <v>0</v>
      </c>
      <c r="L419" t="n">
        <v>0</v>
      </c>
      <c r="M419" t="n">
        <v>0</v>
      </c>
      <c r="N419" t="n">
        <v>0</v>
      </c>
      <c r="O419" t="n">
        <v>0</v>
      </c>
      <c r="P419" t="n">
        <v>0</v>
      </c>
      <c r="Q419" t="n">
        <v>0</v>
      </c>
      <c r="R419" s="2" t="inlineStr"/>
    </row>
    <row r="420" ht="15" customHeight="1">
      <c r="A420" t="inlineStr">
        <is>
          <t>A 56620-2021</t>
        </is>
      </c>
      <c r="B420" s="1" t="n">
        <v>44480.82778935185</v>
      </c>
      <c r="C420" s="1" t="n">
        <v>45975</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19660-2021</t>
        </is>
      </c>
      <c r="B421" s="1" t="n">
        <v>44312</v>
      </c>
      <c r="C421" s="1" t="n">
        <v>45975</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55053-2024</t>
        </is>
      </c>
      <c r="B422" s="1" t="n">
        <v>45621.39938657408</v>
      </c>
      <c r="C422" s="1" t="n">
        <v>45975</v>
      </c>
      <c r="D422" t="inlineStr">
        <is>
          <t>KALMAR LÄN</t>
        </is>
      </c>
      <c r="E422" t="inlineStr">
        <is>
          <t>VÄSTERVIK</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46070-2023</t>
        </is>
      </c>
      <c r="B423" s="1" t="n">
        <v>45196</v>
      </c>
      <c r="C423" s="1" t="n">
        <v>45975</v>
      </c>
      <c r="D423" t="inlineStr">
        <is>
          <t>KALMAR LÄN</t>
        </is>
      </c>
      <c r="E423" t="inlineStr">
        <is>
          <t>VÄSTERVIK</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38174-2023</t>
        </is>
      </c>
      <c r="B424" s="1" t="n">
        <v>45161</v>
      </c>
      <c r="C424" s="1" t="n">
        <v>45975</v>
      </c>
      <c r="D424" t="inlineStr">
        <is>
          <t>KALMAR LÄN</t>
        </is>
      </c>
      <c r="E424" t="inlineStr">
        <is>
          <t>VÄSTERVIK</t>
        </is>
      </c>
      <c r="G424" t="n">
        <v>3.4</v>
      </c>
      <c r="H424" t="n">
        <v>0</v>
      </c>
      <c r="I424" t="n">
        <v>0</v>
      </c>
      <c r="J424" t="n">
        <v>0</v>
      </c>
      <c r="K424" t="n">
        <v>0</v>
      </c>
      <c r="L424" t="n">
        <v>0</v>
      </c>
      <c r="M424" t="n">
        <v>0</v>
      </c>
      <c r="N424" t="n">
        <v>0</v>
      </c>
      <c r="O424" t="n">
        <v>0</v>
      </c>
      <c r="P424" t="n">
        <v>0</v>
      </c>
      <c r="Q424" t="n">
        <v>0</v>
      </c>
      <c r="R424" s="2" t="inlineStr"/>
    </row>
    <row r="425" ht="15" customHeight="1">
      <c r="A425" t="inlineStr">
        <is>
          <t>A 29405-2024</t>
        </is>
      </c>
      <c r="B425" s="1" t="n">
        <v>45483</v>
      </c>
      <c r="C425" s="1" t="n">
        <v>45975</v>
      </c>
      <c r="D425" t="inlineStr">
        <is>
          <t>KALMAR LÄN</t>
        </is>
      </c>
      <c r="E425" t="inlineStr">
        <is>
          <t>VÄSTERVIK</t>
        </is>
      </c>
      <c r="G425" t="n">
        <v>1.8</v>
      </c>
      <c r="H425" t="n">
        <v>0</v>
      </c>
      <c r="I425" t="n">
        <v>0</v>
      </c>
      <c r="J425" t="n">
        <v>0</v>
      </c>
      <c r="K425" t="n">
        <v>0</v>
      </c>
      <c r="L425" t="n">
        <v>0</v>
      </c>
      <c r="M425" t="n">
        <v>0</v>
      </c>
      <c r="N425" t="n">
        <v>0</v>
      </c>
      <c r="O425" t="n">
        <v>0</v>
      </c>
      <c r="P425" t="n">
        <v>0</v>
      </c>
      <c r="Q425" t="n">
        <v>0</v>
      </c>
      <c r="R425" s="2" t="inlineStr"/>
    </row>
    <row r="426" ht="15" customHeight="1">
      <c r="A426" t="inlineStr">
        <is>
          <t>A 55023-2021</t>
        </is>
      </c>
      <c r="B426" s="1" t="n">
        <v>44474</v>
      </c>
      <c r="C426" s="1" t="n">
        <v>45975</v>
      </c>
      <c r="D426" t="inlineStr">
        <is>
          <t>KALMAR LÄN</t>
        </is>
      </c>
      <c r="E426" t="inlineStr">
        <is>
          <t>VÄSTERVIK</t>
        </is>
      </c>
      <c r="G426" t="n">
        <v>1.2</v>
      </c>
      <c r="H426" t="n">
        <v>0</v>
      </c>
      <c r="I426" t="n">
        <v>0</v>
      </c>
      <c r="J426" t="n">
        <v>0</v>
      </c>
      <c r="K426" t="n">
        <v>0</v>
      </c>
      <c r="L426" t="n">
        <v>0</v>
      </c>
      <c r="M426" t="n">
        <v>0</v>
      </c>
      <c r="N426" t="n">
        <v>0</v>
      </c>
      <c r="O426" t="n">
        <v>0</v>
      </c>
      <c r="P426" t="n">
        <v>0</v>
      </c>
      <c r="Q426" t="n">
        <v>0</v>
      </c>
      <c r="R426" s="2" t="inlineStr"/>
    </row>
    <row r="427" ht="15" customHeight="1">
      <c r="A427" t="inlineStr">
        <is>
          <t>A 3190-2023</t>
        </is>
      </c>
      <c r="B427" s="1" t="n">
        <v>44946.61086805556</v>
      </c>
      <c r="C427" s="1" t="n">
        <v>45975</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43759-2023</t>
        </is>
      </c>
      <c r="B428" s="1" t="n">
        <v>45187</v>
      </c>
      <c r="C428" s="1" t="n">
        <v>45975</v>
      </c>
      <c r="D428" t="inlineStr">
        <is>
          <t>KALMAR LÄN</t>
        </is>
      </c>
      <c r="E428" t="inlineStr">
        <is>
          <t>VÄSTERVIK</t>
        </is>
      </c>
      <c r="G428" t="n">
        <v>3.3</v>
      </c>
      <c r="H428" t="n">
        <v>0</v>
      </c>
      <c r="I428" t="n">
        <v>0</v>
      </c>
      <c r="J428" t="n">
        <v>0</v>
      </c>
      <c r="K428" t="n">
        <v>0</v>
      </c>
      <c r="L428" t="n">
        <v>0</v>
      </c>
      <c r="M428" t="n">
        <v>0</v>
      </c>
      <c r="N428" t="n">
        <v>0</v>
      </c>
      <c r="O428" t="n">
        <v>0</v>
      </c>
      <c r="P428" t="n">
        <v>0</v>
      </c>
      <c r="Q428" t="n">
        <v>0</v>
      </c>
      <c r="R428" s="2" t="inlineStr"/>
    </row>
    <row r="429" ht="15" customHeight="1">
      <c r="A429" t="inlineStr">
        <is>
          <t>A 37716-2023</t>
        </is>
      </c>
      <c r="B429" s="1" t="n">
        <v>45159</v>
      </c>
      <c r="C429" s="1" t="n">
        <v>45975</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44705-2023</t>
        </is>
      </c>
      <c r="B430" s="1" t="n">
        <v>45190</v>
      </c>
      <c r="C430" s="1" t="n">
        <v>45975</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58216-2022</t>
        </is>
      </c>
      <c r="B431" s="1" t="n">
        <v>44901.36292824074</v>
      </c>
      <c r="C431" s="1" t="n">
        <v>45975</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5234-2024</t>
        </is>
      </c>
      <c r="B432" s="1" t="n">
        <v>45330.80729166666</v>
      </c>
      <c r="C432" s="1" t="n">
        <v>45975</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12333-2025</t>
        </is>
      </c>
      <c r="B433" s="1" t="n">
        <v>45730</v>
      </c>
      <c r="C433" s="1" t="n">
        <v>45975</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55047-2024</t>
        </is>
      </c>
      <c r="B434" s="1" t="n">
        <v>45621.39516203704</v>
      </c>
      <c r="C434" s="1" t="n">
        <v>45975</v>
      </c>
      <c r="D434" t="inlineStr">
        <is>
          <t>KALMAR LÄN</t>
        </is>
      </c>
      <c r="E434" t="inlineStr">
        <is>
          <t>VÄSTERVIK</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13748-2024</t>
        </is>
      </c>
      <c r="B435" s="1" t="n">
        <v>45390</v>
      </c>
      <c r="C435" s="1" t="n">
        <v>45975</v>
      </c>
      <c r="D435" t="inlineStr">
        <is>
          <t>KALMAR LÄN</t>
        </is>
      </c>
      <c r="E435" t="inlineStr">
        <is>
          <t>VÄSTERVIK</t>
        </is>
      </c>
      <c r="G435" t="n">
        <v>2.2</v>
      </c>
      <c r="H435" t="n">
        <v>0</v>
      </c>
      <c r="I435" t="n">
        <v>0</v>
      </c>
      <c r="J435" t="n">
        <v>0</v>
      </c>
      <c r="K435" t="n">
        <v>0</v>
      </c>
      <c r="L435" t="n">
        <v>0</v>
      </c>
      <c r="M435" t="n">
        <v>0</v>
      </c>
      <c r="N435" t="n">
        <v>0</v>
      </c>
      <c r="O435" t="n">
        <v>0</v>
      </c>
      <c r="P435" t="n">
        <v>0</v>
      </c>
      <c r="Q435" t="n">
        <v>0</v>
      </c>
      <c r="R435" s="2" t="inlineStr"/>
    </row>
    <row r="436" ht="15" customHeight="1">
      <c r="A436" t="inlineStr">
        <is>
          <t>A 36888-2024</t>
        </is>
      </c>
      <c r="B436" s="1" t="n">
        <v>45538</v>
      </c>
      <c r="C436" s="1" t="n">
        <v>45975</v>
      </c>
      <c r="D436" t="inlineStr">
        <is>
          <t>KALMAR LÄN</t>
        </is>
      </c>
      <c r="E436" t="inlineStr">
        <is>
          <t>VÄSTERVIK</t>
        </is>
      </c>
      <c r="G436" t="n">
        <v>1.5</v>
      </c>
      <c r="H436" t="n">
        <v>0</v>
      </c>
      <c r="I436" t="n">
        <v>0</v>
      </c>
      <c r="J436" t="n">
        <v>0</v>
      </c>
      <c r="K436" t="n">
        <v>0</v>
      </c>
      <c r="L436" t="n">
        <v>0</v>
      </c>
      <c r="M436" t="n">
        <v>0</v>
      </c>
      <c r="N436" t="n">
        <v>0</v>
      </c>
      <c r="O436" t="n">
        <v>0</v>
      </c>
      <c r="P436" t="n">
        <v>0</v>
      </c>
      <c r="Q436" t="n">
        <v>0</v>
      </c>
      <c r="R436" s="2" t="inlineStr"/>
    </row>
    <row r="437" ht="15" customHeight="1">
      <c r="A437" t="inlineStr">
        <is>
          <t>A 37986-2023</t>
        </is>
      </c>
      <c r="B437" s="1" t="n">
        <v>45160.60331018519</v>
      </c>
      <c r="C437" s="1" t="n">
        <v>45975</v>
      </c>
      <c r="D437" t="inlineStr">
        <is>
          <t>KALMAR LÄN</t>
        </is>
      </c>
      <c r="E437" t="inlineStr">
        <is>
          <t>VÄSTERVIK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2746-2023</t>
        </is>
      </c>
      <c r="B438" s="1" t="n">
        <v>44944</v>
      </c>
      <c r="C438" s="1" t="n">
        <v>45975</v>
      </c>
      <c r="D438" t="inlineStr">
        <is>
          <t>KALMAR LÄN</t>
        </is>
      </c>
      <c r="E438" t="inlineStr">
        <is>
          <t>VÄSTERVIK</t>
        </is>
      </c>
      <c r="G438" t="n">
        <v>5.5</v>
      </c>
      <c r="H438" t="n">
        <v>0</v>
      </c>
      <c r="I438" t="n">
        <v>0</v>
      </c>
      <c r="J438" t="n">
        <v>0</v>
      </c>
      <c r="K438" t="n">
        <v>0</v>
      </c>
      <c r="L438" t="n">
        <v>0</v>
      </c>
      <c r="M438" t="n">
        <v>0</v>
      </c>
      <c r="N438" t="n">
        <v>0</v>
      </c>
      <c r="O438" t="n">
        <v>0</v>
      </c>
      <c r="P438" t="n">
        <v>0</v>
      </c>
      <c r="Q438" t="n">
        <v>0</v>
      </c>
      <c r="R438" s="2" t="inlineStr"/>
    </row>
    <row r="439" ht="15" customHeight="1">
      <c r="A439" t="inlineStr">
        <is>
          <t>A 35162-2024</t>
        </is>
      </c>
      <c r="B439" s="1" t="n">
        <v>45530.40025462963</v>
      </c>
      <c r="C439" s="1" t="n">
        <v>45975</v>
      </c>
      <c r="D439" t="inlineStr">
        <is>
          <t>KALMAR LÄN</t>
        </is>
      </c>
      <c r="E439" t="inlineStr">
        <is>
          <t>VÄSTERVIK</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58209-2022</t>
        </is>
      </c>
      <c r="B440" s="1" t="n">
        <v>44901</v>
      </c>
      <c r="C440" s="1" t="n">
        <v>45975</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52155-2021</t>
        </is>
      </c>
      <c r="B441" s="1" t="n">
        <v>44463</v>
      </c>
      <c r="C441" s="1" t="n">
        <v>45975</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1877-2025</t>
        </is>
      </c>
      <c r="B442" s="1" t="n">
        <v>45671.62141203704</v>
      </c>
      <c r="C442" s="1" t="n">
        <v>45975</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45450-2023</t>
        </is>
      </c>
      <c r="B443" s="1" t="n">
        <v>45194</v>
      </c>
      <c r="C443" s="1" t="n">
        <v>45975</v>
      </c>
      <c r="D443" t="inlineStr">
        <is>
          <t>KALMAR LÄN</t>
        </is>
      </c>
      <c r="E443" t="inlineStr">
        <is>
          <t>VÄSTERVIK</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45474-2023</t>
        </is>
      </c>
      <c r="B444" s="1" t="n">
        <v>45194</v>
      </c>
      <c r="C444" s="1" t="n">
        <v>45975</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52645-2021</t>
        </is>
      </c>
      <c r="B445" s="1" t="n">
        <v>44466</v>
      </c>
      <c r="C445" s="1" t="n">
        <v>45975</v>
      </c>
      <c r="D445" t="inlineStr">
        <is>
          <t>KALMAR LÄN</t>
        </is>
      </c>
      <c r="E445" t="inlineStr">
        <is>
          <t>VÄSTERVIK</t>
        </is>
      </c>
      <c r="G445" t="n">
        <v>5</v>
      </c>
      <c r="H445" t="n">
        <v>0</v>
      </c>
      <c r="I445" t="n">
        <v>0</v>
      </c>
      <c r="J445" t="n">
        <v>0</v>
      </c>
      <c r="K445" t="n">
        <v>0</v>
      </c>
      <c r="L445" t="n">
        <v>0</v>
      </c>
      <c r="M445" t="n">
        <v>0</v>
      </c>
      <c r="N445" t="n">
        <v>0</v>
      </c>
      <c r="O445" t="n">
        <v>0</v>
      </c>
      <c r="P445" t="n">
        <v>0</v>
      </c>
      <c r="Q445" t="n">
        <v>0</v>
      </c>
      <c r="R445" s="2" t="inlineStr"/>
    </row>
    <row r="446" ht="15" customHeight="1">
      <c r="A446" t="inlineStr">
        <is>
          <t>A 4520-2024</t>
        </is>
      </c>
      <c r="B446" s="1" t="n">
        <v>45327</v>
      </c>
      <c r="C446" s="1" t="n">
        <v>45975</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61448-2023</t>
        </is>
      </c>
      <c r="B447" s="1" t="n">
        <v>45264.81439814815</v>
      </c>
      <c r="C447" s="1" t="n">
        <v>45975</v>
      </c>
      <c r="D447" t="inlineStr">
        <is>
          <t>KALMAR LÄN</t>
        </is>
      </c>
      <c r="E447" t="inlineStr">
        <is>
          <t>VÄSTERVIK</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61449-2023</t>
        </is>
      </c>
      <c r="B448" s="1" t="n">
        <v>45264.81490740741</v>
      </c>
      <c r="C448" s="1" t="n">
        <v>45975</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1568-2023</t>
        </is>
      </c>
      <c r="B449" s="1" t="n">
        <v>44937</v>
      </c>
      <c r="C449" s="1" t="n">
        <v>45975</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4583-2023</t>
        </is>
      </c>
      <c r="B450" s="1" t="n">
        <v>44956</v>
      </c>
      <c r="C450" s="1" t="n">
        <v>45975</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11848-2024</t>
        </is>
      </c>
      <c r="B451" s="1" t="n">
        <v>45376.41653935185</v>
      </c>
      <c r="C451" s="1" t="n">
        <v>45975</v>
      </c>
      <c r="D451" t="inlineStr">
        <is>
          <t>KALMAR LÄN</t>
        </is>
      </c>
      <c r="E451" t="inlineStr">
        <is>
          <t>VÄSTERVIK</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24877-2023</t>
        </is>
      </c>
      <c r="B452" s="1" t="n">
        <v>45085.43271990741</v>
      </c>
      <c r="C452" s="1" t="n">
        <v>45975</v>
      </c>
      <c r="D452" t="inlineStr">
        <is>
          <t>KALMAR LÄN</t>
        </is>
      </c>
      <c r="E452" t="inlineStr">
        <is>
          <t>VÄSTERVIK</t>
        </is>
      </c>
      <c r="G452" t="n">
        <v>3.8</v>
      </c>
      <c r="H452" t="n">
        <v>0</v>
      </c>
      <c r="I452" t="n">
        <v>0</v>
      </c>
      <c r="J452" t="n">
        <v>0</v>
      </c>
      <c r="K452" t="n">
        <v>0</v>
      </c>
      <c r="L452" t="n">
        <v>0</v>
      </c>
      <c r="M452" t="n">
        <v>0</v>
      </c>
      <c r="N452" t="n">
        <v>0</v>
      </c>
      <c r="O452" t="n">
        <v>0</v>
      </c>
      <c r="P452" t="n">
        <v>0</v>
      </c>
      <c r="Q452" t="n">
        <v>0</v>
      </c>
      <c r="R452" s="2" t="inlineStr"/>
    </row>
    <row r="453" ht="15" customHeight="1">
      <c r="A453" t="inlineStr">
        <is>
          <t>A 29789-2024</t>
        </is>
      </c>
      <c r="B453" s="1" t="n">
        <v>45485.46721064814</v>
      </c>
      <c r="C453" s="1" t="n">
        <v>45975</v>
      </c>
      <c r="D453" t="inlineStr">
        <is>
          <t>KALMAR LÄN</t>
        </is>
      </c>
      <c r="E453" t="inlineStr">
        <is>
          <t>VÄSTERVIK</t>
        </is>
      </c>
      <c r="G453" t="n">
        <v>0.8</v>
      </c>
      <c r="H453" t="n">
        <v>0</v>
      </c>
      <c r="I453" t="n">
        <v>0</v>
      </c>
      <c r="J453" t="n">
        <v>0</v>
      </c>
      <c r="K453" t="n">
        <v>0</v>
      </c>
      <c r="L453" t="n">
        <v>0</v>
      </c>
      <c r="M453" t="n">
        <v>0</v>
      </c>
      <c r="N453" t="n">
        <v>0</v>
      </c>
      <c r="O453" t="n">
        <v>0</v>
      </c>
      <c r="P453" t="n">
        <v>0</v>
      </c>
      <c r="Q453" t="n">
        <v>0</v>
      </c>
      <c r="R453" s="2" t="inlineStr"/>
    </row>
    <row r="454" ht="15" customHeight="1">
      <c r="A454" t="inlineStr">
        <is>
          <t>A 45721-2022</t>
        </is>
      </c>
      <c r="B454" s="1" t="n">
        <v>44845</v>
      </c>
      <c r="C454" s="1" t="n">
        <v>45975</v>
      </c>
      <c r="D454" t="inlineStr">
        <is>
          <t>KALMAR LÄN</t>
        </is>
      </c>
      <c r="E454" t="inlineStr">
        <is>
          <t>VÄSTERVIK</t>
        </is>
      </c>
      <c r="F454" t="inlineStr">
        <is>
          <t>Holmen skog AB</t>
        </is>
      </c>
      <c r="G454" t="n">
        <v>3.3</v>
      </c>
      <c r="H454" t="n">
        <v>0</v>
      </c>
      <c r="I454" t="n">
        <v>0</v>
      </c>
      <c r="J454" t="n">
        <v>0</v>
      </c>
      <c r="K454" t="n">
        <v>0</v>
      </c>
      <c r="L454" t="n">
        <v>0</v>
      </c>
      <c r="M454" t="n">
        <v>0</v>
      </c>
      <c r="N454" t="n">
        <v>0</v>
      </c>
      <c r="O454" t="n">
        <v>0</v>
      </c>
      <c r="P454" t="n">
        <v>0</v>
      </c>
      <c r="Q454" t="n">
        <v>0</v>
      </c>
      <c r="R454" s="2" t="inlineStr"/>
      <c r="U454">
        <f>HYPERLINK("https://klasma.github.io/Logging_0883/knärot/A 45721-2022 karta knärot.png", "A 45721-2022")</f>
        <v/>
      </c>
      <c r="V454">
        <f>HYPERLINK("https://klasma.github.io/Logging_0883/klagomål/A 45721-2022 FSC-klagomål.docx", "A 45721-2022")</f>
        <v/>
      </c>
      <c r="W454">
        <f>HYPERLINK("https://klasma.github.io/Logging_0883/klagomålsmail/A 45721-2022 FSC-klagomål mail.docx", "A 45721-2022")</f>
        <v/>
      </c>
      <c r="X454">
        <f>HYPERLINK("https://klasma.github.io/Logging_0883/tillsyn/A 45721-2022 tillsynsbegäran.docx", "A 45721-2022")</f>
        <v/>
      </c>
      <c r="Y454">
        <f>HYPERLINK("https://klasma.github.io/Logging_0883/tillsynsmail/A 45721-2022 tillsynsbegäran mail.docx", "A 45721-2022")</f>
        <v/>
      </c>
    </row>
    <row r="455" ht="15" customHeight="1">
      <c r="A455" t="inlineStr">
        <is>
          <t>A 47120-2023</t>
        </is>
      </c>
      <c r="B455" s="1" t="n">
        <v>45201</v>
      </c>
      <c r="C455" s="1" t="n">
        <v>45975</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47123-2023</t>
        </is>
      </c>
      <c r="B456" s="1" t="n">
        <v>45201.68075231482</v>
      </c>
      <c r="C456" s="1" t="n">
        <v>45975</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46718-2023</t>
        </is>
      </c>
      <c r="B457" s="1" t="n">
        <v>45198</v>
      </c>
      <c r="C457" s="1" t="n">
        <v>45975</v>
      </c>
      <c r="D457" t="inlineStr">
        <is>
          <t>KALMAR LÄN</t>
        </is>
      </c>
      <c r="E457" t="inlineStr">
        <is>
          <t>VÄSTERVIK</t>
        </is>
      </c>
      <c r="G457" t="n">
        <v>0.4</v>
      </c>
      <c r="H457" t="n">
        <v>0</v>
      </c>
      <c r="I457" t="n">
        <v>0</v>
      </c>
      <c r="J457" t="n">
        <v>0</v>
      </c>
      <c r="K457" t="n">
        <v>0</v>
      </c>
      <c r="L457" t="n">
        <v>0</v>
      </c>
      <c r="M457" t="n">
        <v>0</v>
      </c>
      <c r="N457" t="n">
        <v>0</v>
      </c>
      <c r="O457" t="n">
        <v>0</v>
      </c>
      <c r="P457" t="n">
        <v>0</v>
      </c>
      <c r="Q457" t="n">
        <v>0</v>
      </c>
      <c r="R457" s="2" t="inlineStr"/>
    </row>
    <row r="458" ht="15" customHeight="1">
      <c r="A458" t="inlineStr">
        <is>
          <t>A 47363-2023</t>
        </is>
      </c>
      <c r="B458" s="1" t="n">
        <v>45202.59584490741</v>
      </c>
      <c r="C458" s="1" t="n">
        <v>45975</v>
      </c>
      <c r="D458" t="inlineStr">
        <is>
          <t>KALMAR LÄN</t>
        </is>
      </c>
      <c r="E458" t="inlineStr">
        <is>
          <t>VÄSTERVIK</t>
        </is>
      </c>
      <c r="G458" t="n">
        <v>2.5</v>
      </c>
      <c r="H458" t="n">
        <v>0</v>
      </c>
      <c r="I458" t="n">
        <v>0</v>
      </c>
      <c r="J458" t="n">
        <v>0</v>
      </c>
      <c r="K458" t="n">
        <v>0</v>
      </c>
      <c r="L458" t="n">
        <v>0</v>
      </c>
      <c r="M458" t="n">
        <v>0</v>
      </c>
      <c r="N458" t="n">
        <v>0</v>
      </c>
      <c r="O458" t="n">
        <v>0</v>
      </c>
      <c r="P458" t="n">
        <v>0</v>
      </c>
      <c r="Q458" t="n">
        <v>0</v>
      </c>
      <c r="R458" s="2" t="inlineStr"/>
    </row>
    <row r="459" ht="15" customHeight="1">
      <c r="A459" t="inlineStr">
        <is>
          <t>A 60263-2022</t>
        </is>
      </c>
      <c r="B459" s="1" t="n">
        <v>44910.48520833333</v>
      </c>
      <c r="C459" s="1" t="n">
        <v>45975</v>
      </c>
      <c r="D459" t="inlineStr">
        <is>
          <t>KALMAR LÄN</t>
        </is>
      </c>
      <c r="E459" t="inlineStr">
        <is>
          <t>VÄSTERVIK</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1798-2023</t>
        </is>
      </c>
      <c r="B460" s="1" t="n">
        <v>44938</v>
      </c>
      <c r="C460" s="1" t="n">
        <v>45975</v>
      </c>
      <c r="D460" t="inlineStr">
        <is>
          <t>KALMAR LÄN</t>
        </is>
      </c>
      <c r="E460" t="inlineStr">
        <is>
          <t>VÄSTERVIK</t>
        </is>
      </c>
      <c r="G460" t="n">
        <v>3.9</v>
      </c>
      <c r="H460" t="n">
        <v>0</v>
      </c>
      <c r="I460" t="n">
        <v>0</v>
      </c>
      <c r="J460" t="n">
        <v>0</v>
      </c>
      <c r="K460" t="n">
        <v>0</v>
      </c>
      <c r="L460" t="n">
        <v>0</v>
      </c>
      <c r="M460" t="n">
        <v>0</v>
      </c>
      <c r="N460" t="n">
        <v>0</v>
      </c>
      <c r="O460" t="n">
        <v>0</v>
      </c>
      <c r="P460" t="n">
        <v>0</v>
      </c>
      <c r="Q460" t="n">
        <v>0</v>
      </c>
      <c r="R460" s="2" t="inlineStr"/>
    </row>
    <row r="461" ht="15" customHeight="1">
      <c r="A461" t="inlineStr">
        <is>
          <t>A 26776-2023</t>
        </is>
      </c>
      <c r="B461" s="1" t="n">
        <v>45093</v>
      </c>
      <c r="C461" s="1" t="n">
        <v>45975</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52774-2024</t>
        </is>
      </c>
      <c r="B462" s="1" t="n">
        <v>45610.53413194444</v>
      </c>
      <c r="C462" s="1" t="n">
        <v>45975</v>
      </c>
      <c r="D462" t="inlineStr">
        <is>
          <t>KALMAR LÄN</t>
        </is>
      </c>
      <c r="E462" t="inlineStr">
        <is>
          <t>VÄSTERVIK</t>
        </is>
      </c>
      <c r="F462" t="inlineStr">
        <is>
          <t>Holmen skog AB</t>
        </is>
      </c>
      <c r="G462" t="n">
        <v>2.9</v>
      </c>
      <c r="H462" t="n">
        <v>0</v>
      </c>
      <c r="I462" t="n">
        <v>0</v>
      </c>
      <c r="J462" t="n">
        <v>0</v>
      </c>
      <c r="K462" t="n">
        <v>0</v>
      </c>
      <c r="L462" t="n">
        <v>0</v>
      </c>
      <c r="M462" t="n">
        <v>0</v>
      </c>
      <c r="N462" t="n">
        <v>0</v>
      </c>
      <c r="O462" t="n">
        <v>0</v>
      </c>
      <c r="P462" t="n">
        <v>0</v>
      </c>
      <c r="Q462" t="n">
        <v>0</v>
      </c>
      <c r="R462" s="2" t="inlineStr"/>
    </row>
    <row r="463" ht="15" customHeight="1">
      <c r="A463" t="inlineStr">
        <is>
          <t>A 352-2023</t>
        </is>
      </c>
      <c r="B463" s="1" t="n">
        <v>44929.51619212963</v>
      </c>
      <c r="C463" s="1" t="n">
        <v>45975</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13843-2024</t>
        </is>
      </c>
      <c r="B464" s="1" t="n">
        <v>45391.45087962963</v>
      </c>
      <c r="C464" s="1" t="n">
        <v>45975</v>
      </c>
      <c r="D464" t="inlineStr">
        <is>
          <t>KALMAR LÄN</t>
        </is>
      </c>
      <c r="E464" t="inlineStr">
        <is>
          <t>VÄSTERVIK</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57804-2021</t>
        </is>
      </c>
      <c r="B465" s="1" t="n">
        <v>44484</v>
      </c>
      <c r="C465" s="1" t="n">
        <v>45975</v>
      </c>
      <c r="D465" t="inlineStr">
        <is>
          <t>KALMAR LÄN</t>
        </is>
      </c>
      <c r="E465" t="inlineStr">
        <is>
          <t>VÄSTERVIK</t>
        </is>
      </c>
      <c r="G465" t="n">
        <v>1.6</v>
      </c>
      <c r="H465" t="n">
        <v>0</v>
      </c>
      <c r="I465" t="n">
        <v>0</v>
      </c>
      <c r="J465" t="n">
        <v>0</v>
      </c>
      <c r="K465" t="n">
        <v>0</v>
      </c>
      <c r="L465" t="n">
        <v>0</v>
      </c>
      <c r="M465" t="n">
        <v>0</v>
      </c>
      <c r="N465" t="n">
        <v>0</v>
      </c>
      <c r="O465" t="n">
        <v>0</v>
      </c>
      <c r="P465" t="n">
        <v>0</v>
      </c>
      <c r="Q465" t="n">
        <v>0</v>
      </c>
      <c r="R465" s="2" t="inlineStr"/>
    </row>
    <row r="466" ht="15" customHeight="1">
      <c r="A466" t="inlineStr">
        <is>
          <t>A 59675-2022</t>
        </is>
      </c>
      <c r="B466" s="1" t="n">
        <v>44908</v>
      </c>
      <c r="C466" s="1" t="n">
        <v>45975</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5355-2024</t>
        </is>
      </c>
      <c r="B467" s="1" t="n">
        <v>45331</v>
      </c>
      <c r="C467" s="1" t="n">
        <v>45975</v>
      </c>
      <c r="D467" t="inlineStr">
        <is>
          <t>KALMAR LÄN</t>
        </is>
      </c>
      <c r="E467" t="inlineStr">
        <is>
          <t>VÄSTERVIK</t>
        </is>
      </c>
      <c r="F467" t="inlineStr">
        <is>
          <t>Övriga Aktiebolag</t>
        </is>
      </c>
      <c r="G467" t="n">
        <v>1.8</v>
      </c>
      <c r="H467" t="n">
        <v>0</v>
      </c>
      <c r="I467" t="n">
        <v>0</v>
      </c>
      <c r="J467" t="n">
        <v>0</v>
      </c>
      <c r="K467" t="n">
        <v>0</v>
      </c>
      <c r="L467" t="n">
        <v>0</v>
      </c>
      <c r="M467" t="n">
        <v>0</v>
      </c>
      <c r="N467" t="n">
        <v>0</v>
      </c>
      <c r="O467" t="n">
        <v>0</v>
      </c>
      <c r="P467" t="n">
        <v>0</v>
      </c>
      <c r="Q467" t="n">
        <v>0</v>
      </c>
      <c r="R467" s="2" t="inlineStr"/>
    </row>
    <row r="468" ht="15" customHeight="1">
      <c r="A468" t="inlineStr">
        <is>
          <t>A 73640-2021</t>
        </is>
      </c>
      <c r="B468" s="1" t="n">
        <v>44552.43644675926</v>
      </c>
      <c r="C468" s="1" t="n">
        <v>45975</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40050-2022</t>
        </is>
      </c>
      <c r="B469" s="1" t="n">
        <v>44820.44106481481</v>
      </c>
      <c r="C469" s="1" t="n">
        <v>45975</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2738-2023</t>
        </is>
      </c>
      <c r="B470" s="1" t="n">
        <v>44944</v>
      </c>
      <c r="C470" s="1" t="n">
        <v>45975</v>
      </c>
      <c r="D470" t="inlineStr">
        <is>
          <t>KALMAR LÄN</t>
        </is>
      </c>
      <c r="E470" t="inlineStr">
        <is>
          <t>VÄSTERVIK</t>
        </is>
      </c>
      <c r="G470" t="n">
        <v>3</v>
      </c>
      <c r="H470" t="n">
        <v>0</v>
      </c>
      <c r="I470" t="n">
        <v>0</v>
      </c>
      <c r="J470" t="n">
        <v>0</v>
      </c>
      <c r="K470" t="n">
        <v>0</v>
      </c>
      <c r="L470" t="n">
        <v>0</v>
      </c>
      <c r="M470" t="n">
        <v>0</v>
      </c>
      <c r="N470" t="n">
        <v>0</v>
      </c>
      <c r="O470" t="n">
        <v>0</v>
      </c>
      <c r="P470" t="n">
        <v>0</v>
      </c>
      <c r="Q470" t="n">
        <v>0</v>
      </c>
      <c r="R470" s="2" t="inlineStr"/>
    </row>
    <row r="471" ht="15" customHeight="1">
      <c r="A471" t="inlineStr">
        <is>
          <t>A 55050-2024</t>
        </is>
      </c>
      <c r="B471" s="1" t="n">
        <v>45621.39759259259</v>
      </c>
      <c r="C471" s="1" t="n">
        <v>45975</v>
      </c>
      <c r="D471" t="inlineStr">
        <is>
          <t>KALMAR LÄN</t>
        </is>
      </c>
      <c r="E471" t="inlineStr">
        <is>
          <t>VÄSTERVIK</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21942-2023</t>
        </is>
      </c>
      <c r="B472" s="1" t="n">
        <v>45068</v>
      </c>
      <c r="C472" s="1" t="n">
        <v>45975</v>
      </c>
      <c r="D472" t="inlineStr">
        <is>
          <t>KALMAR LÄN</t>
        </is>
      </c>
      <c r="E472" t="inlineStr">
        <is>
          <t>VÄSTERVIK</t>
        </is>
      </c>
      <c r="G472" t="n">
        <v>1.3</v>
      </c>
      <c r="H472" t="n">
        <v>0</v>
      </c>
      <c r="I472" t="n">
        <v>0</v>
      </c>
      <c r="J472" t="n">
        <v>0</v>
      </c>
      <c r="K472" t="n">
        <v>0</v>
      </c>
      <c r="L472" t="n">
        <v>0</v>
      </c>
      <c r="M472" t="n">
        <v>0</v>
      </c>
      <c r="N472" t="n">
        <v>0</v>
      </c>
      <c r="O472" t="n">
        <v>0</v>
      </c>
      <c r="P472" t="n">
        <v>0</v>
      </c>
      <c r="Q472" t="n">
        <v>0</v>
      </c>
      <c r="R472" s="2" t="inlineStr"/>
    </row>
    <row r="473" ht="15" customHeight="1">
      <c r="A473" t="inlineStr">
        <is>
          <t>A 2314-2023</t>
        </is>
      </c>
      <c r="B473" s="1" t="n">
        <v>44942</v>
      </c>
      <c r="C473" s="1" t="n">
        <v>45975</v>
      </c>
      <c r="D473" t="inlineStr">
        <is>
          <t>KALMAR LÄN</t>
        </is>
      </c>
      <c r="E473" t="inlineStr">
        <is>
          <t>VÄSTERVIK</t>
        </is>
      </c>
      <c r="G473" t="n">
        <v>2.3</v>
      </c>
      <c r="H473" t="n">
        <v>0</v>
      </c>
      <c r="I473" t="n">
        <v>0</v>
      </c>
      <c r="J473" t="n">
        <v>0</v>
      </c>
      <c r="K473" t="n">
        <v>0</v>
      </c>
      <c r="L473" t="n">
        <v>0</v>
      </c>
      <c r="M473" t="n">
        <v>0</v>
      </c>
      <c r="N473" t="n">
        <v>0</v>
      </c>
      <c r="O473" t="n">
        <v>0</v>
      </c>
      <c r="P473" t="n">
        <v>0</v>
      </c>
      <c r="Q473" t="n">
        <v>0</v>
      </c>
      <c r="R473" s="2" t="inlineStr"/>
    </row>
    <row r="474" ht="15" customHeight="1">
      <c r="A474" t="inlineStr">
        <is>
          <t>A 170-2022</t>
        </is>
      </c>
      <c r="B474" s="1" t="n">
        <v>44564.62540509259</v>
      </c>
      <c r="C474" s="1" t="n">
        <v>45975</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174-2022</t>
        </is>
      </c>
      <c r="B475" s="1" t="n">
        <v>44564.62763888889</v>
      </c>
      <c r="C475" s="1" t="n">
        <v>45975</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39980-2024</t>
        </is>
      </c>
      <c r="B476" s="1" t="n">
        <v>45553.61098379629</v>
      </c>
      <c r="C476" s="1" t="n">
        <v>45975</v>
      </c>
      <c r="D476" t="inlineStr">
        <is>
          <t>KALMAR LÄN</t>
        </is>
      </c>
      <c r="E476" t="inlineStr">
        <is>
          <t>VÄSTERVIK</t>
        </is>
      </c>
      <c r="G476" t="n">
        <v>2.3</v>
      </c>
      <c r="H476" t="n">
        <v>0</v>
      </c>
      <c r="I476" t="n">
        <v>0</v>
      </c>
      <c r="J476" t="n">
        <v>0</v>
      </c>
      <c r="K476" t="n">
        <v>0</v>
      </c>
      <c r="L476" t="n">
        <v>0</v>
      </c>
      <c r="M476" t="n">
        <v>0</v>
      </c>
      <c r="N476" t="n">
        <v>0</v>
      </c>
      <c r="O476" t="n">
        <v>0</v>
      </c>
      <c r="P476" t="n">
        <v>0</v>
      </c>
      <c r="Q476" t="n">
        <v>0</v>
      </c>
      <c r="R476" s="2" t="inlineStr"/>
    </row>
    <row r="477" ht="15" customHeight="1">
      <c r="A477" t="inlineStr">
        <is>
          <t>A 39982-2024</t>
        </is>
      </c>
      <c r="B477" s="1" t="n">
        <v>45553.61355324074</v>
      </c>
      <c r="C477" s="1" t="n">
        <v>45975</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1568-2024</t>
        </is>
      </c>
      <c r="B478" s="1" t="n">
        <v>45306.53221064815</v>
      </c>
      <c r="C478" s="1" t="n">
        <v>45975</v>
      </c>
      <c r="D478" t="inlineStr">
        <is>
          <t>KALMAR LÄN</t>
        </is>
      </c>
      <c r="E478" t="inlineStr">
        <is>
          <t>VÄSTERVIK</t>
        </is>
      </c>
      <c r="G478" t="n">
        <v>3.4</v>
      </c>
      <c r="H478" t="n">
        <v>0</v>
      </c>
      <c r="I478" t="n">
        <v>0</v>
      </c>
      <c r="J478" t="n">
        <v>0</v>
      </c>
      <c r="K478" t="n">
        <v>0</v>
      </c>
      <c r="L478" t="n">
        <v>0</v>
      </c>
      <c r="M478" t="n">
        <v>0</v>
      </c>
      <c r="N478" t="n">
        <v>0</v>
      </c>
      <c r="O478" t="n">
        <v>0</v>
      </c>
      <c r="P478" t="n">
        <v>0</v>
      </c>
      <c r="Q478" t="n">
        <v>0</v>
      </c>
      <c r="R478" s="2" t="inlineStr"/>
    </row>
    <row r="479" ht="15" customHeight="1">
      <c r="A479" t="inlineStr">
        <is>
          <t>A 1572-2024</t>
        </is>
      </c>
      <c r="B479" s="1" t="n">
        <v>45306</v>
      </c>
      <c r="C479" s="1" t="n">
        <v>45975</v>
      </c>
      <c r="D479" t="inlineStr">
        <is>
          <t>KALMAR LÄN</t>
        </is>
      </c>
      <c r="E479" t="inlineStr">
        <is>
          <t>VÄSTERVIK</t>
        </is>
      </c>
      <c r="G479" t="n">
        <v>4.4</v>
      </c>
      <c r="H479" t="n">
        <v>0</v>
      </c>
      <c r="I479" t="n">
        <v>0</v>
      </c>
      <c r="J479" t="n">
        <v>0</v>
      </c>
      <c r="K479" t="n">
        <v>0</v>
      </c>
      <c r="L479" t="n">
        <v>0</v>
      </c>
      <c r="M479" t="n">
        <v>0</v>
      </c>
      <c r="N479" t="n">
        <v>0</v>
      </c>
      <c r="O479" t="n">
        <v>0</v>
      </c>
      <c r="P479" t="n">
        <v>0</v>
      </c>
      <c r="Q479" t="n">
        <v>0</v>
      </c>
      <c r="R479" s="2" t="inlineStr"/>
    </row>
    <row r="480" ht="15" customHeight="1">
      <c r="A480" t="inlineStr">
        <is>
          <t>A 21255-2021</t>
        </is>
      </c>
      <c r="B480" s="1" t="n">
        <v>44320.5672337963</v>
      </c>
      <c r="C480" s="1" t="n">
        <v>45975</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8619-2024</t>
        </is>
      </c>
      <c r="B481" s="1" t="n">
        <v>45355.73599537037</v>
      </c>
      <c r="C481" s="1" t="n">
        <v>45975</v>
      </c>
      <c r="D481" t="inlineStr">
        <is>
          <t>KALMAR LÄN</t>
        </is>
      </c>
      <c r="E481" t="inlineStr">
        <is>
          <t>VÄSTERVIK</t>
        </is>
      </c>
      <c r="G481" t="n">
        <v>1.6</v>
      </c>
      <c r="H481" t="n">
        <v>0</v>
      </c>
      <c r="I481" t="n">
        <v>0</v>
      </c>
      <c r="J481" t="n">
        <v>0</v>
      </c>
      <c r="K481" t="n">
        <v>0</v>
      </c>
      <c r="L481" t="n">
        <v>0</v>
      </c>
      <c r="M481" t="n">
        <v>0</v>
      </c>
      <c r="N481" t="n">
        <v>0</v>
      </c>
      <c r="O481" t="n">
        <v>0</v>
      </c>
      <c r="P481" t="n">
        <v>0</v>
      </c>
      <c r="Q481" t="n">
        <v>0</v>
      </c>
      <c r="R481" s="2" t="inlineStr"/>
    </row>
    <row r="482" ht="15" customHeight="1">
      <c r="A482" t="inlineStr">
        <is>
          <t>A 7934-2023</t>
        </is>
      </c>
      <c r="B482" s="1" t="n">
        <v>44973.65422453704</v>
      </c>
      <c r="C482" s="1" t="n">
        <v>45975</v>
      </c>
      <c r="D482" t="inlineStr">
        <is>
          <t>KALMAR LÄN</t>
        </is>
      </c>
      <c r="E482" t="inlineStr">
        <is>
          <t>VÄSTERVIK</t>
        </is>
      </c>
      <c r="G482" t="n">
        <v>4.1</v>
      </c>
      <c r="H482" t="n">
        <v>0</v>
      </c>
      <c r="I482" t="n">
        <v>0</v>
      </c>
      <c r="J482" t="n">
        <v>0</v>
      </c>
      <c r="K482" t="n">
        <v>0</v>
      </c>
      <c r="L482" t="n">
        <v>0</v>
      </c>
      <c r="M482" t="n">
        <v>0</v>
      </c>
      <c r="N482" t="n">
        <v>0</v>
      </c>
      <c r="O482" t="n">
        <v>0</v>
      </c>
      <c r="P482" t="n">
        <v>0</v>
      </c>
      <c r="Q482" t="n">
        <v>0</v>
      </c>
      <c r="R482" s="2" t="inlineStr"/>
    </row>
    <row r="483" ht="15" customHeight="1">
      <c r="A483" t="inlineStr">
        <is>
          <t>A 58731-2024</t>
        </is>
      </c>
      <c r="B483" s="1" t="n">
        <v>45635.67120370371</v>
      </c>
      <c r="C483" s="1" t="n">
        <v>45975</v>
      </c>
      <c r="D483" t="inlineStr">
        <is>
          <t>KALMAR LÄN</t>
        </is>
      </c>
      <c r="E483" t="inlineStr">
        <is>
          <t>VÄSTERVIK</t>
        </is>
      </c>
      <c r="G483" t="n">
        <v>2.3</v>
      </c>
      <c r="H483" t="n">
        <v>0</v>
      </c>
      <c r="I483" t="n">
        <v>0</v>
      </c>
      <c r="J483" t="n">
        <v>0</v>
      </c>
      <c r="K483" t="n">
        <v>0</v>
      </c>
      <c r="L483" t="n">
        <v>0</v>
      </c>
      <c r="M483" t="n">
        <v>0</v>
      </c>
      <c r="N483" t="n">
        <v>0</v>
      </c>
      <c r="O483" t="n">
        <v>0</v>
      </c>
      <c r="P483" t="n">
        <v>0</v>
      </c>
      <c r="Q483" t="n">
        <v>0</v>
      </c>
      <c r="R483" s="2" t="inlineStr"/>
    </row>
    <row r="484" ht="15" customHeight="1">
      <c r="A484" t="inlineStr">
        <is>
          <t>A 562-2023</t>
        </is>
      </c>
      <c r="B484" s="1" t="n">
        <v>44930</v>
      </c>
      <c r="C484" s="1" t="n">
        <v>45975</v>
      </c>
      <c r="D484" t="inlineStr">
        <is>
          <t>KALMAR LÄN</t>
        </is>
      </c>
      <c r="E484" t="inlineStr">
        <is>
          <t>VÄSTERVIK</t>
        </is>
      </c>
      <c r="G484" t="n">
        <v>0.4</v>
      </c>
      <c r="H484" t="n">
        <v>0</v>
      </c>
      <c r="I484" t="n">
        <v>0</v>
      </c>
      <c r="J484" t="n">
        <v>0</v>
      </c>
      <c r="K484" t="n">
        <v>0</v>
      </c>
      <c r="L484" t="n">
        <v>0</v>
      </c>
      <c r="M484" t="n">
        <v>0</v>
      </c>
      <c r="N484" t="n">
        <v>0</v>
      </c>
      <c r="O484" t="n">
        <v>0</v>
      </c>
      <c r="P484" t="n">
        <v>0</v>
      </c>
      <c r="Q484" t="n">
        <v>0</v>
      </c>
      <c r="R484" s="2" t="inlineStr"/>
    </row>
    <row r="485" ht="15" customHeight="1">
      <c r="A485" t="inlineStr">
        <is>
          <t>A 4463-2022</t>
        </is>
      </c>
      <c r="B485" s="1" t="n">
        <v>44589</v>
      </c>
      <c r="C485" s="1" t="n">
        <v>45975</v>
      </c>
      <c r="D485" t="inlineStr">
        <is>
          <t>KALMAR LÄN</t>
        </is>
      </c>
      <c r="E485" t="inlineStr">
        <is>
          <t>VÄSTERVIK</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38040-2023</t>
        </is>
      </c>
      <c r="B486" s="1" t="n">
        <v>45160.66336805555</v>
      </c>
      <c r="C486" s="1" t="n">
        <v>45975</v>
      </c>
      <c r="D486" t="inlineStr">
        <is>
          <t>KALMAR LÄN</t>
        </is>
      </c>
      <c r="E486" t="inlineStr">
        <is>
          <t>VÄSTERVIK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55609-2024</t>
        </is>
      </c>
      <c r="B487" s="1" t="n">
        <v>45622.58350694444</v>
      </c>
      <c r="C487" s="1" t="n">
        <v>45975</v>
      </c>
      <c r="D487" t="inlineStr">
        <is>
          <t>KALMAR LÄN</t>
        </is>
      </c>
      <c r="E487" t="inlineStr">
        <is>
          <t>VÄSTERVIK</t>
        </is>
      </c>
      <c r="G487" t="n">
        <v>1.1</v>
      </c>
      <c r="H487" t="n">
        <v>0</v>
      </c>
      <c r="I487" t="n">
        <v>0</v>
      </c>
      <c r="J487" t="n">
        <v>0</v>
      </c>
      <c r="K487" t="n">
        <v>0</v>
      </c>
      <c r="L487" t="n">
        <v>0</v>
      </c>
      <c r="M487" t="n">
        <v>0</v>
      </c>
      <c r="N487" t="n">
        <v>0</v>
      </c>
      <c r="O487" t="n">
        <v>0</v>
      </c>
      <c r="P487" t="n">
        <v>0</v>
      </c>
      <c r="Q487" t="n">
        <v>0</v>
      </c>
      <c r="R487" s="2" t="inlineStr"/>
    </row>
    <row r="488" ht="15" customHeight="1">
      <c r="A488" t="inlineStr">
        <is>
          <t>A 33208-2022</t>
        </is>
      </c>
      <c r="B488" s="1" t="n">
        <v>44785</v>
      </c>
      <c r="C488" s="1" t="n">
        <v>45975</v>
      </c>
      <c r="D488" t="inlineStr">
        <is>
          <t>KALMAR LÄN</t>
        </is>
      </c>
      <c r="E488" t="inlineStr">
        <is>
          <t>VÄSTERVIK</t>
        </is>
      </c>
      <c r="G488" t="n">
        <v>2.6</v>
      </c>
      <c r="H488" t="n">
        <v>0</v>
      </c>
      <c r="I488" t="n">
        <v>0</v>
      </c>
      <c r="J488" t="n">
        <v>0</v>
      </c>
      <c r="K488" t="n">
        <v>0</v>
      </c>
      <c r="L488" t="n">
        <v>0</v>
      </c>
      <c r="M488" t="n">
        <v>0</v>
      </c>
      <c r="N488" t="n">
        <v>0</v>
      </c>
      <c r="O488" t="n">
        <v>0</v>
      </c>
      <c r="P488" t="n">
        <v>0</v>
      </c>
      <c r="Q488" t="n">
        <v>0</v>
      </c>
      <c r="R488" s="2" t="inlineStr"/>
    </row>
    <row r="489" ht="15" customHeight="1">
      <c r="A489" t="inlineStr">
        <is>
          <t>A 17314-2023</t>
        </is>
      </c>
      <c r="B489" s="1" t="n">
        <v>45035</v>
      </c>
      <c r="C489" s="1" t="n">
        <v>45975</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8594-2023</t>
        </is>
      </c>
      <c r="B490" s="1" t="n">
        <v>44977</v>
      </c>
      <c r="C490" s="1" t="n">
        <v>45975</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row>
    <row r="491" ht="15" customHeight="1">
      <c r="A491" t="inlineStr">
        <is>
          <t>A 12652-2022</t>
        </is>
      </c>
      <c r="B491" s="1" t="n">
        <v>44641</v>
      </c>
      <c r="C491" s="1" t="n">
        <v>45975</v>
      </c>
      <c r="D491" t="inlineStr">
        <is>
          <t>KALMAR LÄN</t>
        </is>
      </c>
      <c r="E491" t="inlineStr">
        <is>
          <t>VÄSTERVIK</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28344-2024</t>
        </is>
      </c>
      <c r="B492" s="1" t="n">
        <v>45477.55280092593</v>
      </c>
      <c r="C492" s="1" t="n">
        <v>45975</v>
      </c>
      <c r="D492" t="inlineStr">
        <is>
          <t>KALMAR LÄN</t>
        </is>
      </c>
      <c r="E492" t="inlineStr">
        <is>
          <t>VÄSTERVIK</t>
        </is>
      </c>
      <c r="G492" t="n">
        <v>1.4</v>
      </c>
      <c r="H492" t="n">
        <v>0</v>
      </c>
      <c r="I492" t="n">
        <v>0</v>
      </c>
      <c r="J492" t="n">
        <v>0</v>
      </c>
      <c r="K492" t="n">
        <v>0</v>
      </c>
      <c r="L492" t="n">
        <v>0</v>
      </c>
      <c r="M492" t="n">
        <v>0</v>
      </c>
      <c r="N492" t="n">
        <v>0</v>
      </c>
      <c r="O492" t="n">
        <v>0</v>
      </c>
      <c r="P492" t="n">
        <v>0</v>
      </c>
      <c r="Q492" t="n">
        <v>0</v>
      </c>
      <c r="R492" s="2" t="inlineStr"/>
    </row>
    <row r="493" ht="15" customHeight="1">
      <c r="A493" t="inlineStr">
        <is>
          <t>A 12433-2024</t>
        </is>
      </c>
      <c r="B493" s="1" t="n">
        <v>45379.44450231481</v>
      </c>
      <c r="C493" s="1" t="n">
        <v>45975</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17307-2023</t>
        </is>
      </c>
      <c r="B494" s="1" t="n">
        <v>45035.53497685185</v>
      </c>
      <c r="C494" s="1" t="n">
        <v>45975</v>
      </c>
      <c r="D494" t="inlineStr">
        <is>
          <t>KALMAR LÄN</t>
        </is>
      </c>
      <c r="E494" t="inlineStr">
        <is>
          <t>VÄSTERVIK</t>
        </is>
      </c>
      <c r="G494" t="n">
        <v>0</v>
      </c>
      <c r="H494" t="n">
        <v>0</v>
      </c>
      <c r="I494" t="n">
        <v>0</v>
      </c>
      <c r="J494" t="n">
        <v>0</v>
      </c>
      <c r="K494" t="n">
        <v>0</v>
      </c>
      <c r="L494" t="n">
        <v>0</v>
      </c>
      <c r="M494" t="n">
        <v>0</v>
      </c>
      <c r="N494" t="n">
        <v>0</v>
      </c>
      <c r="O494" t="n">
        <v>0</v>
      </c>
      <c r="P494" t="n">
        <v>0</v>
      </c>
      <c r="Q494" t="n">
        <v>0</v>
      </c>
      <c r="R494" s="2" t="inlineStr"/>
    </row>
    <row r="495" ht="15" customHeight="1">
      <c r="A495" t="inlineStr">
        <is>
          <t>A 14068-2025</t>
        </is>
      </c>
      <c r="B495" s="1" t="n">
        <v>45740.42127314815</v>
      </c>
      <c r="C495" s="1" t="n">
        <v>45975</v>
      </c>
      <c r="D495" t="inlineStr">
        <is>
          <t>KALMAR LÄN</t>
        </is>
      </c>
      <c r="E495" t="inlineStr">
        <is>
          <t>VÄSTERVIK</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14071-2025</t>
        </is>
      </c>
      <c r="B496" s="1" t="n">
        <v>45740.42738425926</v>
      </c>
      <c r="C496" s="1" t="n">
        <v>45975</v>
      </c>
      <c r="D496" t="inlineStr">
        <is>
          <t>KALMAR LÄN</t>
        </is>
      </c>
      <c r="E496" t="inlineStr">
        <is>
          <t>VÄSTERVIK</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42746-2024</t>
        </is>
      </c>
      <c r="B497" s="1" t="n">
        <v>45566.48361111111</v>
      </c>
      <c r="C497" s="1" t="n">
        <v>45975</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23992-2021</t>
        </is>
      </c>
      <c r="B498" s="1" t="n">
        <v>44335</v>
      </c>
      <c r="C498" s="1" t="n">
        <v>45975</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24578-2024</t>
        </is>
      </c>
      <c r="B499" s="1" t="n">
        <v>45460</v>
      </c>
      <c r="C499" s="1" t="n">
        <v>45975</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17650-2023</t>
        </is>
      </c>
      <c r="B500" s="1" t="n">
        <v>45036.70215277778</v>
      </c>
      <c r="C500" s="1" t="n">
        <v>45975</v>
      </c>
      <c r="D500" t="inlineStr">
        <is>
          <t>KALMAR LÄN</t>
        </is>
      </c>
      <c r="E500" t="inlineStr">
        <is>
          <t>VÄSTERVIK</t>
        </is>
      </c>
      <c r="G500" t="n">
        <v>0.3</v>
      </c>
      <c r="H500" t="n">
        <v>0</v>
      </c>
      <c r="I500" t="n">
        <v>0</v>
      </c>
      <c r="J500" t="n">
        <v>0</v>
      </c>
      <c r="K500" t="n">
        <v>0</v>
      </c>
      <c r="L500" t="n">
        <v>0</v>
      </c>
      <c r="M500" t="n">
        <v>0</v>
      </c>
      <c r="N500" t="n">
        <v>0</v>
      </c>
      <c r="O500" t="n">
        <v>0</v>
      </c>
      <c r="P500" t="n">
        <v>0</v>
      </c>
      <c r="Q500" t="n">
        <v>0</v>
      </c>
      <c r="R500" s="2" t="inlineStr"/>
    </row>
    <row r="501" ht="15" customHeight="1">
      <c r="A501" t="inlineStr">
        <is>
          <t>A 61529-2022</t>
        </is>
      </c>
      <c r="B501" s="1" t="n">
        <v>44910</v>
      </c>
      <c r="C501" s="1" t="n">
        <v>45975</v>
      </c>
      <c r="D501" t="inlineStr">
        <is>
          <t>KALMAR LÄN</t>
        </is>
      </c>
      <c r="E501" t="inlineStr">
        <is>
          <t>VÄSTERVIK</t>
        </is>
      </c>
      <c r="G501" t="n">
        <v>6.5</v>
      </c>
      <c r="H501" t="n">
        <v>0</v>
      </c>
      <c r="I501" t="n">
        <v>0</v>
      </c>
      <c r="J501" t="n">
        <v>0</v>
      </c>
      <c r="K501" t="n">
        <v>0</v>
      </c>
      <c r="L501" t="n">
        <v>0</v>
      </c>
      <c r="M501" t="n">
        <v>0</v>
      </c>
      <c r="N501" t="n">
        <v>0</v>
      </c>
      <c r="O501" t="n">
        <v>0</v>
      </c>
      <c r="P501" t="n">
        <v>0</v>
      </c>
      <c r="Q501" t="n">
        <v>0</v>
      </c>
      <c r="R501" s="2" t="inlineStr"/>
    </row>
    <row r="502" ht="15" customHeight="1">
      <c r="A502" t="inlineStr">
        <is>
          <t>A 59331-2023</t>
        </is>
      </c>
      <c r="B502" s="1" t="n">
        <v>45253</v>
      </c>
      <c r="C502" s="1" t="n">
        <v>45975</v>
      </c>
      <c r="D502" t="inlineStr">
        <is>
          <t>KALMAR LÄN</t>
        </is>
      </c>
      <c r="E502" t="inlineStr">
        <is>
          <t>VÄSTERVIK</t>
        </is>
      </c>
      <c r="G502" t="n">
        <v>3.9</v>
      </c>
      <c r="H502" t="n">
        <v>0</v>
      </c>
      <c r="I502" t="n">
        <v>0</v>
      </c>
      <c r="J502" t="n">
        <v>0</v>
      </c>
      <c r="K502" t="n">
        <v>0</v>
      </c>
      <c r="L502" t="n">
        <v>0</v>
      </c>
      <c r="M502" t="n">
        <v>0</v>
      </c>
      <c r="N502" t="n">
        <v>0</v>
      </c>
      <c r="O502" t="n">
        <v>0</v>
      </c>
      <c r="P502" t="n">
        <v>0</v>
      </c>
      <c r="Q502" t="n">
        <v>0</v>
      </c>
      <c r="R502" s="2" t="inlineStr"/>
    </row>
    <row r="503" ht="15" customHeight="1">
      <c r="A503" t="inlineStr">
        <is>
          <t>A 53259-2021</t>
        </is>
      </c>
      <c r="B503" s="1" t="n">
        <v>44468.47153935185</v>
      </c>
      <c r="C503" s="1" t="n">
        <v>45975</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10116-2022</t>
        </is>
      </c>
      <c r="B504" s="1" t="n">
        <v>44621</v>
      </c>
      <c r="C504" s="1" t="n">
        <v>45975</v>
      </c>
      <c r="D504" t="inlineStr">
        <is>
          <t>KALMAR LÄN</t>
        </is>
      </c>
      <c r="E504" t="inlineStr">
        <is>
          <t>VÄSTERVIK</t>
        </is>
      </c>
      <c r="G504" t="n">
        <v>1.6</v>
      </c>
      <c r="H504" t="n">
        <v>0</v>
      </c>
      <c r="I504" t="n">
        <v>0</v>
      </c>
      <c r="J504" t="n">
        <v>0</v>
      </c>
      <c r="K504" t="n">
        <v>0</v>
      </c>
      <c r="L504" t="n">
        <v>0</v>
      </c>
      <c r="M504" t="n">
        <v>0</v>
      </c>
      <c r="N504" t="n">
        <v>0</v>
      </c>
      <c r="O504" t="n">
        <v>0</v>
      </c>
      <c r="P504" t="n">
        <v>0</v>
      </c>
      <c r="Q504" t="n">
        <v>0</v>
      </c>
      <c r="R504" s="2" t="inlineStr"/>
    </row>
    <row r="505" ht="15" customHeight="1">
      <c r="A505" t="inlineStr">
        <is>
          <t>A 36400-2024</t>
        </is>
      </c>
      <c r="B505" s="1" t="n">
        <v>45535.67180555555</v>
      </c>
      <c r="C505" s="1" t="n">
        <v>45975</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3776-2024</t>
        </is>
      </c>
      <c r="B506" s="1" t="n">
        <v>45321.58569444445</v>
      </c>
      <c r="C506" s="1" t="n">
        <v>45975</v>
      </c>
      <c r="D506" t="inlineStr">
        <is>
          <t>KALMAR LÄN</t>
        </is>
      </c>
      <c r="E506" t="inlineStr">
        <is>
          <t>VÄSTERVIK</t>
        </is>
      </c>
      <c r="G506" t="n">
        <v>4.8</v>
      </c>
      <c r="H506" t="n">
        <v>0</v>
      </c>
      <c r="I506" t="n">
        <v>0</v>
      </c>
      <c r="J506" t="n">
        <v>0</v>
      </c>
      <c r="K506" t="n">
        <v>0</v>
      </c>
      <c r="L506" t="n">
        <v>0</v>
      </c>
      <c r="M506" t="n">
        <v>0</v>
      </c>
      <c r="N506" t="n">
        <v>0</v>
      </c>
      <c r="O506" t="n">
        <v>0</v>
      </c>
      <c r="P506" t="n">
        <v>0</v>
      </c>
      <c r="Q506" t="n">
        <v>0</v>
      </c>
      <c r="R506" s="2" t="inlineStr"/>
    </row>
    <row r="507" ht="15" customHeight="1">
      <c r="A507" t="inlineStr">
        <is>
          <t>A 46267-2022</t>
        </is>
      </c>
      <c r="B507" s="1" t="n">
        <v>44847</v>
      </c>
      <c r="C507" s="1" t="n">
        <v>45975</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60710-2022</t>
        </is>
      </c>
      <c r="B508" s="1" t="n">
        <v>44912</v>
      </c>
      <c r="C508" s="1" t="n">
        <v>45975</v>
      </c>
      <c r="D508" t="inlineStr">
        <is>
          <t>KALMAR LÄN</t>
        </is>
      </c>
      <c r="E508" t="inlineStr">
        <is>
          <t>VÄSTERVIK</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60713-2022</t>
        </is>
      </c>
      <c r="B509" s="1" t="n">
        <v>44912</v>
      </c>
      <c r="C509" s="1" t="n">
        <v>45975</v>
      </c>
      <c r="D509" t="inlineStr">
        <is>
          <t>KALMAR LÄN</t>
        </is>
      </c>
      <c r="E509" t="inlineStr">
        <is>
          <t>VÄSTERVIK</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35667-2023</t>
        </is>
      </c>
      <c r="B510" s="1" t="n">
        <v>45147.60667824074</v>
      </c>
      <c r="C510" s="1" t="n">
        <v>45975</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31952-2021</t>
        </is>
      </c>
      <c r="B511" s="1" t="n">
        <v>44370</v>
      </c>
      <c r="C511" s="1" t="n">
        <v>45975</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15875-2023</t>
        </is>
      </c>
      <c r="B512" s="1" t="n">
        <v>45022.41916666667</v>
      </c>
      <c r="C512" s="1" t="n">
        <v>45975</v>
      </c>
      <c r="D512" t="inlineStr">
        <is>
          <t>KALMAR LÄN</t>
        </is>
      </c>
      <c r="E512" t="inlineStr">
        <is>
          <t>VÄSTERVIK</t>
        </is>
      </c>
      <c r="F512" t="inlineStr">
        <is>
          <t>Kyrkan</t>
        </is>
      </c>
      <c r="G512" t="n">
        <v>3.2</v>
      </c>
      <c r="H512" t="n">
        <v>0</v>
      </c>
      <c r="I512" t="n">
        <v>0</v>
      </c>
      <c r="J512" t="n">
        <v>0</v>
      </c>
      <c r="K512" t="n">
        <v>0</v>
      </c>
      <c r="L512" t="n">
        <v>0</v>
      </c>
      <c r="M512" t="n">
        <v>0</v>
      </c>
      <c r="N512" t="n">
        <v>0</v>
      </c>
      <c r="O512" t="n">
        <v>0</v>
      </c>
      <c r="P512" t="n">
        <v>0</v>
      </c>
      <c r="Q512" t="n">
        <v>0</v>
      </c>
      <c r="R512" s="2" t="inlineStr"/>
    </row>
    <row r="513" ht="15" customHeight="1">
      <c r="A513" t="inlineStr">
        <is>
          <t>A 54629-2024</t>
        </is>
      </c>
      <c r="B513" s="1" t="n">
        <v>45617.85399305556</v>
      </c>
      <c r="C513" s="1" t="n">
        <v>45975</v>
      </c>
      <c r="D513" t="inlineStr">
        <is>
          <t>KALMAR LÄN</t>
        </is>
      </c>
      <c r="E513" t="inlineStr">
        <is>
          <t>VÄSTERVIK</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60478-2024</t>
        </is>
      </c>
      <c r="B514" s="1" t="n">
        <v>45643</v>
      </c>
      <c r="C514" s="1" t="n">
        <v>45975</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46560-2022</t>
        </is>
      </c>
      <c r="B515" s="1" t="n">
        <v>44848</v>
      </c>
      <c r="C515" s="1" t="n">
        <v>45975</v>
      </c>
      <c r="D515" t="inlineStr">
        <is>
          <t>KALMAR LÄN</t>
        </is>
      </c>
      <c r="E515" t="inlineStr">
        <is>
          <t>VÄSTERVIK</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56440-2024</t>
        </is>
      </c>
      <c r="B516" s="1" t="n">
        <v>45625.41949074074</v>
      </c>
      <c r="C516" s="1" t="n">
        <v>45975</v>
      </c>
      <c r="D516" t="inlineStr">
        <is>
          <t>KALMAR LÄN</t>
        </is>
      </c>
      <c r="E516" t="inlineStr">
        <is>
          <t>VÄSTERVIK</t>
        </is>
      </c>
      <c r="F516" t="inlineStr">
        <is>
          <t>Övriga Aktiebolag</t>
        </is>
      </c>
      <c r="G516" t="n">
        <v>3</v>
      </c>
      <c r="H516" t="n">
        <v>0</v>
      </c>
      <c r="I516" t="n">
        <v>0</v>
      </c>
      <c r="J516" t="n">
        <v>0</v>
      </c>
      <c r="K516" t="n">
        <v>0</v>
      </c>
      <c r="L516" t="n">
        <v>0</v>
      </c>
      <c r="M516" t="n">
        <v>0</v>
      </c>
      <c r="N516" t="n">
        <v>0</v>
      </c>
      <c r="O516" t="n">
        <v>0</v>
      </c>
      <c r="P516" t="n">
        <v>0</v>
      </c>
      <c r="Q516" t="n">
        <v>0</v>
      </c>
      <c r="R516" s="2" t="inlineStr"/>
    </row>
    <row r="517" ht="15" customHeight="1">
      <c r="A517" t="inlineStr">
        <is>
          <t>A 29557-2024</t>
        </is>
      </c>
      <c r="B517" s="1" t="n">
        <v>45484.52023148148</v>
      </c>
      <c r="C517" s="1" t="n">
        <v>45975</v>
      </c>
      <c r="D517" t="inlineStr">
        <is>
          <t>KALMAR LÄN</t>
        </is>
      </c>
      <c r="E517" t="inlineStr">
        <is>
          <t>VÄSTERVIK</t>
        </is>
      </c>
      <c r="G517" t="n">
        <v>5.9</v>
      </c>
      <c r="H517" t="n">
        <v>0</v>
      </c>
      <c r="I517" t="n">
        <v>0</v>
      </c>
      <c r="J517" t="n">
        <v>0</v>
      </c>
      <c r="K517" t="n">
        <v>0</v>
      </c>
      <c r="L517" t="n">
        <v>0</v>
      </c>
      <c r="M517" t="n">
        <v>0</v>
      </c>
      <c r="N517" t="n">
        <v>0</v>
      </c>
      <c r="O517" t="n">
        <v>0</v>
      </c>
      <c r="P517" t="n">
        <v>0</v>
      </c>
      <c r="Q517" t="n">
        <v>0</v>
      </c>
      <c r="R517" s="2" t="inlineStr"/>
    </row>
    <row r="518" ht="15" customHeight="1">
      <c r="A518" t="inlineStr">
        <is>
          <t>A 13836-2024</t>
        </is>
      </c>
      <c r="B518" s="1" t="n">
        <v>45391.44385416667</v>
      </c>
      <c r="C518" s="1" t="n">
        <v>45975</v>
      </c>
      <c r="D518" t="inlineStr">
        <is>
          <t>KALMAR LÄN</t>
        </is>
      </c>
      <c r="E518" t="inlineStr">
        <is>
          <t>VÄSTERVIK</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14385-2023</t>
        </is>
      </c>
      <c r="B519" s="1" t="n">
        <v>45012</v>
      </c>
      <c r="C519" s="1" t="n">
        <v>45975</v>
      </c>
      <c r="D519" t="inlineStr">
        <is>
          <t>KALMAR LÄN</t>
        </is>
      </c>
      <c r="E519" t="inlineStr">
        <is>
          <t>VÄSTERVIK</t>
        </is>
      </c>
      <c r="G519" t="n">
        <v>0.9</v>
      </c>
      <c r="H519" t="n">
        <v>0</v>
      </c>
      <c r="I519" t="n">
        <v>0</v>
      </c>
      <c r="J519" t="n">
        <v>0</v>
      </c>
      <c r="K519" t="n">
        <v>0</v>
      </c>
      <c r="L519" t="n">
        <v>0</v>
      </c>
      <c r="M519" t="n">
        <v>0</v>
      </c>
      <c r="N519" t="n">
        <v>0</v>
      </c>
      <c r="O519" t="n">
        <v>0</v>
      </c>
      <c r="P519" t="n">
        <v>0</v>
      </c>
      <c r="Q519" t="n">
        <v>0</v>
      </c>
      <c r="R519" s="2" t="inlineStr"/>
    </row>
    <row r="520" ht="15" customHeight="1">
      <c r="A520" t="inlineStr">
        <is>
          <t>A 64920-2021</t>
        </is>
      </c>
      <c r="B520" s="1" t="n">
        <v>44512</v>
      </c>
      <c r="C520" s="1" t="n">
        <v>45975</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c r="U520">
        <f>HYPERLINK("https://klasma.github.io/Logging_0883/knärot/A 64920-2021 karta knärot.png", "A 64920-2021")</f>
        <v/>
      </c>
      <c r="V520">
        <f>HYPERLINK("https://klasma.github.io/Logging_0883/klagomål/A 64920-2021 FSC-klagomål.docx", "A 64920-2021")</f>
        <v/>
      </c>
      <c r="W520">
        <f>HYPERLINK("https://klasma.github.io/Logging_0883/klagomålsmail/A 64920-2021 FSC-klagomål mail.docx", "A 64920-2021")</f>
        <v/>
      </c>
      <c r="X520">
        <f>HYPERLINK("https://klasma.github.io/Logging_0883/tillsyn/A 64920-2021 tillsynsbegäran.docx", "A 64920-2021")</f>
        <v/>
      </c>
      <c r="Y520">
        <f>HYPERLINK("https://klasma.github.io/Logging_0883/tillsynsmail/A 64920-2021 tillsynsbegäran mail.docx", "A 64920-2021")</f>
        <v/>
      </c>
    </row>
    <row r="521" ht="15" customHeight="1">
      <c r="A521" t="inlineStr">
        <is>
          <t>A 50911-2022</t>
        </is>
      </c>
      <c r="B521" s="1" t="n">
        <v>44867.62262731481</v>
      </c>
      <c r="C521" s="1" t="n">
        <v>45975</v>
      </c>
      <c r="D521" t="inlineStr">
        <is>
          <t>KALMAR LÄN</t>
        </is>
      </c>
      <c r="E521" t="inlineStr">
        <is>
          <t>VÄSTERVIK</t>
        </is>
      </c>
      <c r="F521" t="inlineStr">
        <is>
          <t>Sveaskog</t>
        </is>
      </c>
      <c r="G521" t="n">
        <v>3</v>
      </c>
      <c r="H521" t="n">
        <v>0</v>
      </c>
      <c r="I521" t="n">
        <v>0</v>
      </c>
      <c r="J521" t="n">
        <v>0</v>
      </c>
      <c r="K521" t="n">
        <v>0</v>
      </c>
      <c r="L521" t="n">
        <v>0</v>
      </c>
      <c r="M521" t="n">
        <v>0</v>
      </c>
      <c r="N521" t="n">
        <v>0</v>
      </c>
      <c r="O521" t="n">
        <v>0</v>
      </c>
      <c r="P521" t="n">
        <v>0</v>
      </c>
      <c r="Q521" t="n">
        <v>0</v>
      </c>
      <c r="R521" s="2" t="inlineStr"/>
    </row>
    <row r="522" ht="15" customHeight="1">
      <c r="A522" t="inlineStr">
        <is>
          <t>A 36906-2024</t>
        </is>
      </c>
      <c r="B522" s="1" t="n">
        <v>45538</v>
      </c>
      <c r="C522" s="1" t="n">
        <v>45975</v>
      </c>
      <c r="D522" t="inlineStr">
        <is>
          <t>KALMAR LÄN</t>
        </is>
      </c>
      <c r="E522" t="inlineStr">
        <is>
          <t>VÄSTERVIK</t>
        </is>
      </c>
      <c r="G522" t="n">
        <v>2</v>
      </c>
      <c r="H522" t="n">
        <v>0</v>
      </c>
      <c r="I522" t="n">
        <v>0</v>
      </c>
      <c r="J522" t="n">
        <v>0</v>
      </c>
      <c r="K522" t="n">
        <v>0</v>
      </c>
      <c r="L522" t="n">
        <v>0</v>
      </c>
      <c r="M522" t="n">
        <v>0</v>
      </c>
      <c r="N522" t="n">
        <v>0</v>
      </c>
      <c r="O522" t="n">
        <v>0</v>
      </c>
      <c r="P522" t="n">
        <v>0</v>
      </c>
      <c r="Q522" t="n">
        <v>0</v>
      </c>
      <c r="R522" s="2" t="inlineStr"/>
    </row>
    <row r="523" ht="15" customHeight="1">
      <c r="A523" t="inlineStr">
        <is>
          <t>A 8382-2023</t>
        </is>
      </c>
      <c r="B523" s="1" t="n">
        <v>44977.40112268519</v>
      </c>
      <c r="C523" s="1" t="n">
        <v>45975</v>
      </c>
      <c r="D523" t="inlineStr">
        <is>
          <t>KALMAR LÄN</t>
        </is>
      </c>
      <c r="E523" t="inlineStr">
        <is>
          <t>VÄSTERVIK</t>
        </is>
      </c>
      <c r="G523" t="n">
        <v>1.1</v>
      </c>
      <c r="H523" t="n">
        <v>0</v>
      </c>
      <c r="I523" t="n">
        <v>0</v>
      </c>
      <c r="J523" t="n">
        <v>0</v>
      </c>
      <c r="K523" t="n">
        <v>0</v>
      </c>
      <c r="L523" t="n">
        <v>0</v>
      </c>
      <c r="M523" t="n">
        <v>0</v>
      </c>
      <c r="N523" t="n">
        <v>0</v>
      </c>
      <c r="O523" t="n">
        <v>0</v>
      </c>
      <c r="P523" t="n">
        <v>0</v>
      </c>
      <c r="Q523" t="n">
        <v>0</v>
      </c>
      <c r="R523" s="2" t="inlineStr"/>
    </row>
    <row r="524" ht="15" customHeight="1">
      <c r="A524" t="inlineStr">
        <is>
          <t>A 35959-2023</t>
        </is>
      </c>
      <c r="B524" s="1" t="n">
        <v>45148.84875</v>
      </c>
      <c r="C524" s="1" t="n">
        <v>45975</v>
      </c>
      <c r="D524" t="inlineStr">
        <is>
          <t>KALMAR LÄN</t>
        </is>
      </c>
      <c r="E524" t="inlineStr">
        <is>
          <t>VÄSTERVIK</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48446-2024</t>
        </is>
      </c>
      <c r="B525" s="1" t="n">
        <v>45590.69163194444</v>
      </c>
      <c r="C525" s="1" t="n">
        <v>45975</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60685-2024</t>
        </is>
      </c>
      <c r="B526" s="1" t="n">
        <v>45644.46804398148</v>
      </c>
      <c r="C526" s="1" t="n">
        <v>45975</v>
      </c>
      <c r="D526" t="inlineStr">
        <is>
          <t>KALMAR LÄN</t>
        </is>
      </c>
      <c r="E526" t="inlineStr">
        <is>
          <t>VÄSTERVIK</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33814-2023</t>
        </is>
      </c>
      <c r="B527" s="1" t="n">
        <v>45133.59230324074</v>
      </c>
      <c r="C527" s="1" t="n">
        <v>45975</v>
      </c>
      <c r="D527" t="inlineStr">
        <is>
          <t>KALMAR LÄN</t>
        </is>
      </c>
      <c r="E527" t="inlineStr">
        <is>
          <t>VÄSTERVIK</t>
        </is>
      </c>
      <c r="G527" t="n">
        <v>3.9</v>
      </c>
      <c r="H527" t="n">
        <v>0</v>
      </c>
      <c r="I527" t="n">
        <v>0</v>
      </c>
      <c r="J527" t="n">
        <v>0</v>
      </c>
      <c r="K527" t="n">
        <v>0</v>
      </c>
      <c r="L527" t="n">
        <v>0</v>
      </c>
      <c r="M527" t="n">
        <v>0</v>
      </c>
      <c r="N527" t="n">
        <v>0</v>
      </c>
      <c r="O527" t="n">
        <v>0</v>
      </c>
      <c r="P527" t="n">
        <v>0</v>
      </c>
      <c r="Q527" t="n">
        <v>0</v>
      </c>
      <c r="R527" s="2" t="inlineStr"/>
    </row>
    <row r="528" ht="15" customHeight="1">
      <c r="A528" t="inlineStr">
        <is>
          <t>A 12643-2024</t>
        </is>
      </c>
      <c r="B528" s="1" t="n">
        <v>45379</v>
      </c>
      <c r="C528" s="1" t="n">
        <v>45975</v>
      </c>
      <c r="D528" t="inlineStr">
        <is>
          <t>KALMAR LÄN</t>
        </is>
      </c>
      <c r="E528" t="inlineStr">
        <is>
          <t>VÄSTERVIK</t>
        </is>
      </c>
      <c r="F528" t="inlineStr">
        <is>
          <t>Kommuner</t>
        </is>
      </c>
      <c r="G528" t="n">
        <v>2.1</v>
      </c>
      <c r="H528" t="n">
        <v>0</v>
      </c>
      <c r="I528" t="n">
        <v>0</v>
      </c>
      <c r="J528" t="n">
        <v>0</v>
      </c>
      <c r="K528" t="n">
        <v>0</v>
      </c>
      <c r="L528" t="n">
        <v>0</v>
      </c>
      <c r="M528" t="n">
        <v>0</v>
      </c>
      <c r="N528" t="n">
        <v>0</v>
      </c>
      <c r="O528" t="n">
        <v>0</v>
      </c>
      <c r="P528" t="n">
        <v>0</v>
      </c>
      <c r="Q528" t="n">
        <v>0</v>
      </c>
      <c r="R528" s="2" t="inlineStr"/>
    </row>
    <row r="529" ht="15" customHeight="1">
      <c r="A529" t="inlineStr">
        <is>
          <t>A 1787-2025</t>
        </is>
      </c>
      <c r="B529" s="1" t="n">
        <v>45671.45357638889</v>
      </c>
      <c r="C529" s="1" t="n">
        <v>45975</v>
      </c>
      <c r="D529" t="inlineStr">
        <is>
          <t>KALMAR LÄN</t>
        </is>
      </c>
      <c r="E529" t="inlineStr">
        <is>
          <t>VÄSTERVIK</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23873-2024</t>
        </is>
      </c>
      <c r="B530" s="1" t="n">
        <v>45455</v>
      </c>
      <c r="C530" s="1" t="n">
        <v>45975</v>
      </c>
      <c r="D530" t="inlineStr">
        <is>
          <t>KALMAR LÄN</t>
        </is>
      </c>
      <c r="E530" t="inlineStr">
        <is>
          <t>VÄSTERVIK</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40674-2023</t>
        </is>
      </c>
      <c r="B531" s="1" t="n">
        <v>45170.59288194445</v>
      </c>
      <c r="C531" s="1" t="n">
        <v>45975</v>
      </c>
      <c r="D531" t="inlineStr">
        <is>
          <t>KALMAR LÄN</t>
        </is>
      </c>
      <c r="E531" t="inlineStr">
        <is>
          <t>VÄSTERVIK</t>
        </is>
      </c>
      <c r="G531" t="n">
        <v>4.2</v>
      </c>
      <c r="H531" t="n">
        <v>0</v>
      </c>
      <c r="I531" t="n">
        <v>0</v>
      </c>
      <c r="J531" t="n">
        <v>0</v>
      </c>
      <c r="K531" t="n">
        <v>0</v>
      </c>
      <c r="L531" t="n">
        <v>0</v>
      </c>
      <c r="M531" t="n">
        <v>0</v>
      </c>
      <c r="N531" t="n">
        <v>0</v>
      </c>
      <c r="O531" t="n">
        <v>0</v>
      </c>
      <c r="P531" t="n">
        <v>0</v>
      </c>
      <c r="Q531" t="n">
        <v>0</v>
      </c>
      <c r="R531" s="2" t="inlineStr"/>
    </row>
    <row r="532" ht="15" customHeight="1">
      <c r="A532" t="inlineStr">
        <is>
          <t>A 40677-2023</t>
        </is>
      </c>
      <c r="B532" s="1" t="n">
        <v>45170.59443287037</v>
      </c>
      <c r="C532" s="1" t="n">
        <v>45975</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57688-2024</t>
        </is>
      </c>
      <c r="B533" s="1" t="n">
        <v>45630.65180555556</v>
      </c>
      <c r="C533" s="1" t="n">
        <v>45975</v>
      </c>
      <c r="D533" t="inlineStr">
        <is>
          <t>KALMAR LÄN</t>
        </is>
      </c>
      <c r="E533" t="inlineStr">
        <is>
          <t>VÄSTERVIK</t>
        </is>
      </c>
      <c r="G533" t="n">
        <v>3.1</v>
      </c>
      <c r="H533" t="n">
        <v>0</v>
      </c>
      <c r="I533" t="n">
        <v>0</v>
      </c>
      <c r="J533" t="n">
        <v>0</v>
      </c>
      <c r="K533" t="n">
        <v>0</v>
      </c>
      <c r="L533" t="n">
        <v>0</v>
      </c>
      <c r="M533" t="n">
        <v>0</v>
      </c>
      <c r="N533" t="n">
        <v>0</v>
      </c>
      <c r="O533" t="n">
        <v>0</v>
      </c>
      <c r="P533" t="n">
        <v>0</v>
      </c>
      <c r="Q533" t="n">
        <v>0</v>
      </c>
      <c r="R533" s="2" t="inlineStr"/>
    </row>
    <row r="534" ht="15" customHeight="1">
      <c r="A534" t="inlineStr">
        <is>
          <t>A 5923-2024</t>
        </is>
      </c>
      <c r="B534" s="1" t="n">
        <v>45335</v>
      </c>
      <c r="C534" s="1" t="n">
        <v>45975</v>
      </c>
      <c r="D534" t="inlineStr">
        <is>
          <t>KALMAR LÄN</t>
        </is>
      </c>
      <c r="E534" t="inlineStr">
        <is>
          <t>VÄSTERVIK</t>
        </is>
      </c>
      <c r="F534" t="inlineStr">
        <is>
          <t>Holmen skog AB</t>
        </is>
      </c>
      <c r="G534" t="n">
        <v>2.7</v>
      </c>
      <c r="H534" t="n">
        <v>0</v>
      </c>
      <c r="I534" t="n">
        <v>0</v>
      </c>
      <c r="J534" t="n">
        <v>0</v>
      </c>
      <c r="K534" t="n">
        <v>0</v>
      </c>
      <c r="L534" t="n">
        <v>0</v>
      </c>
      <c r="M534" t="n">
        <v>0</v>
      </c>
      <c r="N534" t="n">
        <v>0</v>
      </c>
      <c r="O534" t="n">
        <v>0</v>
      </c>
      <c r="P534" t="n">
        <v>0</v>
      </c>
      <c r="Q534" t="n">
        <v>0</v>
      </c>
      <c r="R534" s="2" t="inlineStr"/>
    </row>
    <row r="535" ht="15" customHeight="1">
      <c r="A535" t="inlineStr">
        <is>
          <t>A 29784-2024</t>
        </is>
      </c>
      <c r="B535" s="1" t="n">
        <v>45485.46129629629</v>
      </c>
      <c r="C535" s="1" t="n">
        <v>45975</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24562-2024</t>
        </is>
      </c>
      <c r="B536" s="1" t="n">
        <v>45460</v>
      </c>
      <c r="C536" s="1" t="n">
        <v>45975</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55359-2024</t>
        </is>
      </c>
      <c r="B537" s="1" t="n">
        <v>45621.82230324074</v>
      </c>
      <c r="C537" s="1" t="n">
        <v>45975</v>
      </c>
      <c r="D537" t="inlineStr">
        <is>
          <t>KALMAR LÄN</t>
        </is>
      </c>
      <c r="E537" t="inlineStr">
        <is>
          <t>VÄSTERVIK</t>
        </is>
      </c>
      <c r="F537" t="inlineStr">
        <is>
          <t>Sveaskog</t>
        </is>
      </c>
      <c r="G537" t="n">
        <v>6.8</v>
      </c>
      <c r="H537" t="n">
        <v>0</v>
      </c>
      <c r="I537" t="n">
        <v>0</v>
      </c>
      <c r="J537" t="n">
        <v>0</v>
      </c>
      <c r="K537" t="n">
        <v>0</v>
      </c>
      <c r="L537" t="n">
        <v>0</v>
      </c>
      <c r="M537" t="n">
        <v>0</v>
      </c>
      <c r="N537" t="n">
        <v>0</v>
      </c>
      <c r="O537" t="n">
        <v>0</v>
      </c>
      <c r="P537" t="n">
        <v>0</v>
      </c>
      <c r="Q537" t="n">
        <v>0</v>
      </c>
      <c r="R537" s="2" t="inlineStr"/>
    </row>
    <row r="538" ht="15" customHeight="1">
      <c r="A538" t="inlineStr">
        <is>
          <t>A 10807-2023</t>
        </is>
      </c>
      <c r="B538" s="1" t="n">
        <v>44989.64261574074</v>
      </c>
      <c r="C538" s="1" t="n">
        <v>45975</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9110-2023</t>
        </is>
      </c>
      <c r="B539" s="1" t="n">
        <v>44979</v>
      </c>
      <c r="C539" s="1" t="n">
        <v>45975</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9112-2023</t>
        </is>
      </c>
      <c r="B540" s="1" t="n">
        <v>44979</v>
      </c>
      <c r="C540" s="1" t="n">
        <v>45975</v>
      </c>
      <c r="D540" t="inlineStr">
        <is>
          <t>KALMAR LÄN</t>
        </is>
      </c>
      <c r="E540" t="inlineStr">
        <is>
          <t>VÄSTERVIK</t>
        </is>
      </c>
      <c r="G540" t="n">
        <v>1.8</v>
      </c>
      <c r="H540" t="n">
        <v>0</v>
      </c>
      <c r="I540" t="n">
        <v>0</v>
      </c>
      <c r="J540" t="n">
        <v>0</v>
      </c>
      <c r="K540" t="n">
        <v>0</v>
      </c>
      <c r="L540" t="n">
        <v>0</v>
      </c>
      <c r="M540" t="n">
        <v>0</v>
      </c>
      <c r="N540" t="n">
        <v>0</v>
      </c>
      <c r="O540" t="n">
        <v>0</v>
      </c>
      <c r="P540" t="n">
        <v>0</v>
      </c>
      <c r="Q540" t="n">
        <v>0</v>
      </c>
      <c r="R540" s="2" t="inlineStr"/>
    </row>
    <row r="541" ht="15" customHeight="1">
      <c r="A541" t="inlineStr">
        <is>
          <t>A 9263-2025</t>
        </is>
      </c>
      <c r="B541" s="1" t="n">
        <v>45714.60927083333</v>
      </c>
      <c r="C541" s="1" t="n">
        <v>45975</v>
      </c>
      <c r="D541" t="inlineStr">
        <is>
          <t>KALMAR LÄN</t>
        </is>
      </c>
      <c r="E541" t="inlineStr">
        <is>
          <t>VÄSTERVIK</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38045-2023</t>
        </is>
      </c>
      <c r="B542" s="1" t="n">
        <v>45160.67251157408</v>
      </c>
      <c r="C542" s="1" t="n">
        <v>45975</v>
      </c>
      <c r="D542" t="inlineStr">
        <is>
          <t>KALMAR LÄN</t>
        </is>
      </c>
      <c r="E542" t="inlineStr">
        <is>
          <t>VÄSTERVIK</t>
        </is>
      </c>
      <c r="F542" t="inlineStr">
        <is>
          <t>Sveaskog</t>
        </is>
      </c>
      <c r="G542" t="n">
        <v>7.9</v>
      </c>
      <c r="H542" t="n">
        <v>0</v>
      </c>
      <c r="I542" t="n">
        <v>0</v>
      </c>
      <c r="J542" t="n">
        <v>0</v>
      </c>
      <c r="K542" t="n">
        <v>0</v>
      </c>
      <c r="L542" t="n">
        <v>0</v>
      </c>
      <c r="M542" t="n">
        <v>0</v>
      </c>
      <c r="N542" t="n">
        <v>0</v>
      </c>
      <c r="O542" t="n">
        <v>0</v>
      </c>
      <c r="P542" t="n">
        <v>0</v>
      </c>
      <c r="Q542" t="n">
        <v>0</v>
      </c>
      <c r="R542" s="2" t="inlineStr"/>
    </row>
    <row r="543" ht="15" customHeight="1">
      <c r="A543" t="inlineStr">
        <is>
          <t>A 1096-2024</t>
        </is>
      </c>
      <c r="B543" s="1" t="n">
        <v>45302</v>
      </c>
      <c r="C543" s="1" t="n">
        <v>45975</v>
      </c>
      <c r="D543" t="inlineStr">
        <is>
          <t>KALMAR LÄN</t>
        </is>
      </c>
      <c r="E543" t="inlineStr">
        <is>
          <t>VÄSTERVIK</t>
        </is>
      </c>
      <c r="G543" t="n">
        <v>2.6</v>
      </c>
      <c r="H543" t="n">
        <v>0</v>
      </c>
      <c r="I543" t="n">
        <v>0</v>
      </c>
      <c r="J543" t="n">
        <v>0</v>
      </c>
      <c r="K543" t="n">
        <v>0</v>
      </c>
      <c r="L543" t="n">
        <v>0</v>
      </c>
      <c r="M543" t="n">
        <v>0</v>
      </c>
      <c r="N543" t="n">
        <v>0</v>
      </c>
      <c r="O543" t="n">
        <v>0</v>
      </c>
      <c r="P543" t="n">
        <v>0</v>
      </c>
      <c r="Q543" t="n">
        <v>0</v>
      </c>
      <c r="R543" s="2" t="inlineStr"/>
    </row>
    <row r="544" ht="15" customHeight="1">
      <c r="A544" t="inlineStr">
        <is>
          <t>A 36555-2024</t>
        </is>
      </c>
      <c r="B544" s="1" t="n">
        <v>45537</v>
      </c>
      <c r="C544" s="1" t="n">
        <v>45975</v>
      </c>
      <c r="D544" t="inlineStr">
        <is>
          <t>KALMAR LÄN</t>
        </is>
      </c>
      <c r="E544" t="inlineStr">
        <is>
          <t>VÄSTERVIK</t>
        </is>
      </c>
      <c r="F544" t="inlineStr">
        <is>
          <t>Kommuner</t>
        </is>
      </c>
      <c r="G544" t="n">
        <v>0.8</v>
      </c>
      <c r="H544" t="n">
        <v>0</v>
      </c>
      <c r="I544" t="n">
        <v>0</v>
      </c>
      <c r="J544" t="n">
        <v>0</v>
      </c>
      <c r="K544" t="n">
        <v>0</v>
      </c>
      <c r="L544" t="n">
        <v>0</v>
      </c>
      <c r="M544" t="n">
        <v>0</v>
      </c>
      <c r="N544" t="n">
        <v>0</v>
      </c>
      <c r="O544" t="n">
        <v>0</v>
      </c>
      <c r="P544" t="n">
        <v>0</v>
      </c>
      <c r="Q544" t="n">
        <v>0</v>
      </c>
      <c r="R544" s="2" t="inlineStr"/>
    </row>
    <row r="545" ht="15" customHeight="1">
      <c r="A545" t="inlineStr">
        <is>
          <t>A 22740-2024</t>
        </is>
      </c>
      <c r="B545" s="1" t="n">
        <v>45448.39869212963</v>
      </c>
      <c r="C545" s="1" t="n">
        <v>45975</v>
      </c>
      <c r="D545" t="inlineStr">
        <is>
          <t>KALMAR LÄN</t>
        </is>
      </c>
      <c r="E545" t="inlineStr">
        <is>
          <t>VÄSTERVIK</t>
        </is>
      </c>
      <c r="F545" t="inlineStr">
        <is>
          <t>Holmen skog AB</t>
        </is>
      </c>
      <c r="G545" t="n">
        <v>2.5</v>
      </c>
      <c r="H545" t="n">
        <v>0</v>
      </c>
      <c r="I545" t="n">
        <v>0</v>
      </c>
      <c r="J545" t="n">
        <v>0</v>
      </c>
      <c r="K545" t="n">
        <v>0</v>
      </c>
      <c r="L545" t="n">
        <v>0</v>
      </c>
      <c r="M545" t="n">
        <v>0</v>
      </c>
      <c r="N545" t="n">
        <v>0</v>
      </c>
      <c r="O545" t="n">
        <v>0</v>
      </c>
      <c r="P545" t="n">
        <v>0</v>
      </c>
      <c r="Q545" t="n">
        <v>0</v>
      </c>
      <c r="R545" s="2" t="inlineStr"/>
    </row>
    <row r="546" ht="15" customHeight="1">
      <c r="A546" t="inlineStr">
        <is>
          <t>A 32763-2022</t>
        </is>
      </c>
      <c r="B546" s="1" t="n">
        <v>44783</v>
      </c>
      <c r="C546" s="1" t="n">
        <v>45975</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24829-2022</t>
        </is>
      </c>
      <c r="B547" s="1" t="n">
        <v>44728.45674768519</v>
      </c>
      <c r="C547" s="1" t="n">
        <v>45975</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24567-2024</t>
        </is>
      </c>
      <c r="B548" s="1" t="n">
        <v>45460.44732638889</v>
      </c>
      <c r="C548" s="1" t="n">
        <v>45975</v>
      </c>
      <c r="D548" t="inlineStr">
        <is>
          <t>KALMAR LÄN</t>
        </is>
      </c>
      <c r="E548" t="inlineStr">
        <is>
          <t>VÄSTERVIK</t>
        </is>
      </c>
      <c r="G548" t="n">
        <v>5.1</v>
      </c>
      <c r="H548" t="n">
        <v>0</v>
      </c>
      <c r="I548" t="n">
        <v>0</v>
      </c>
      <c r="J548" t="n">
        <v>0</v>
      </c>
      <c r="K548" t="n">
        <v>0</v>
      </c>
      <c r="L548" t="n">
        <v>0</v>
      </c>
      <c r="M548" t="n">
        <v>0</v>
      </c>
      <c r="N548" t="n">
        <v>0</v>
      </c>
      <c r="O548" t="n">
        <v>0</v>
      </c>
      <c r="P548" t="n">
        <v>0</v>
      </c>
      <c r="Q548" t="n">
        <v>0</v>
      </c>
      <c r="R548" s="2" t="inlineStr"/>
    </row>
    <row r="549" ht="15" customHeight="1">
      <c r="A549" t="inlineStr">
        <is>
          <t>A 62921-2023</t>
        </is>
      </c>
      <c r="B549" s="1" t="n">
        <v>45272</v>
      </c>
      <c r="C549" s="1" t="n">
        <v>45975</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25561-2024</t>
        </is>
      </c>
      <c r="B550" s="1" t="n">
        <v>45463.58467592593</v>
      </c>
      <c r="C550" s="1" t="n">
        <v>45975</v>
      </c>
      <c r="D550" t="inlineStr">
        <is>
          <t>KALMAR LÄN</t>
        </is>
      </c>
      <c r="E550" t="inlineStr">
        <is>
          <t>VÄSTERVIK</t>
        </is>
      </c>
      <c r="F550" t="inlineStr">
        <is>
          <t>Holmen skog AB</t>
        </is>
      </c>
      <c r="G550" t="n">
        <v>7.2</v>
      </c>
      <c r="H550" t="n">
        <v>0</v>
      </c>
      <c r="I550" t="n">
        <v>0</v>
      </c>
      <c r="J550" t="n">
        <v>0</v>
      </c>
      <c r="K550" t="n">
        <v>0</v>
      </c>
      <c r="L550" t="n">
        <v>0</v>
      </c>
      <c r="M550" t="n">
        <v>0</v>
      </c>
      <c r="N550" t="n">
        <v>0</v>
      </c>
      <c r="O550" t="n">
        <v>0</v>
      </c>
      <c r="P550" t="n">
        <v>0</v>
      </c>
      <c r="Q550" t="n">
        <v>0</v>
      </c>
      <c r="R550" s="2" t="inlineStr"/>
    </row>
    <row r="551" ht="15" customHeight="1">
      <c r="A551" t="inlineStr">
        <is>
          <t>A 2872-2025</t>
        </is>
      </c>
      <c r="B551" s="1" t="n">
        <v>45677.68357638889</v>
      </c>
      <c r="C551" s="1" t="n">
        <v>45975</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55361-2024</t>
        </is>
      </c>
      <c r="B552" s="1" t="n">
        <v>45621.83300925926</v>
      </c>
      <c r="C552" s="1" t="n">
        <v>45975</v>
      </c>
      <c r="D552" t="inlineStr">
        <is>
          <t>KALMAR LÄN</t>
        </is>
      </c>
      <c r="E552" t="inlineStr">
        <is>
          <t>VÄSTERVIK</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55362-2024</t>
        </is>
      </c>
      <c r="B553" s="1" t="n">
        <v>45621.83461805555</v>
      </c>
      <c r="C553" s="1" t="n">
        <v>45975</v>
      </c>
      <c r="D553" t="inlineStr">
        <is>
          <t>KALMAR LÄN</t>
        </is>
      </c>
      <c r="E553" t="inlineStr">
        <is>
          <t>VÄSTERVIK</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3041-2025</t>
        </is>
      </c>
      <c r="B554" s="1" t="n">
        <v>45678.60493055556</v>
      </c>
      <c r="C554" s="1" t="n">
        <v>45975</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c r="U554">
        <f>HYPERLINK("https://klasma.github.io/Logging_0883/knärot/A 3041-2025 karta knärot.png", "A 3041-2025")</f>
        <v/>
      </c>
      <c r="V554">
        <f>HYPERLINK("https://klasma.github.io/Logging_0883/klagomål/A 3041-2025 FSC-klagomål.docx", "A 3041-2025")</f>
        <v/>
      </c>
      <c r="W554">
        <f>HYPERLINK("https://klasma.github.io/Logging_0883/klagomålsmail/A 3041-2025 FSC-klagomål mail.docx", "A 3041-2025")</f>
        <v/>
      </c>
      <c r="X554">
        <f>HYPERLINK("https://klasma.github.io/Logging_0883/tillsyn/A 3041-2025 tillsynsbegäran.docx", "A 3041-2025")</f>
        <v/>
      </c>
      <c r="Y554">
        <f>HYPERLINK("https://klasma.github.io/Logging_0883/tillsynsmail/A 3041-2025 tillsynsbegäran mail.docx", "A 3041-2025")</f>
        <v/>
      </c>
    </row>
    <row r="555" ht="15" customHeight="1">
      <c r="A555" t="inlineStr">
        <is>
          <t>A 2360-2025</t>
        </is>
      </c>
      <c r="B555" s="1" t="n">
        <v>45673.69037037037</v>
      </c>
      <c r="C555" s="1" t="n">
        <v>45975</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18143-2024</t>
        </is>
      </c>
      <c r="B556" s="1" t="n">
        <v>45420</v>
      </c>
      <c r="C556" s="1" t="n">
        <v>45975</v>
      </c>
      <c r="D556" t="inlineStr">
        <is>
          <t>KALMAR LÄN</t>
        </is>
      </c>
      <c r="E556" t="inlineStr">
        <is>
          <t>VÄSTERVIK</t>
        </is>
      </c>
      <c r="G556" t="n">
        <v>3</v>
      </c>
      <c r="H556" t="n">
        <v>0</v>
      </c>
      <c r="I556" t="n">
        <v>0</v>
      </c>
      <c r="J556" t="n">
        <v>0</v>
      </c>
      <c r="K556" t="n">
        <v>0</v>
      </c>
      <c r="L556" t="n">
        <v>0</v>
      </c>
      <c r="M556" t="n">
        <v>0</v>
      </c>
      <c r="N556" t="n">
        <v>0</v>
      </c>
      <c r="O556" t="n">
        <v>0</v>
      </c>
      <c r="P556" t="n">
        <v>0</v>
      </c>
      <c r="Q556" t="n">
        <v>0</v>
      </c>
      <c r="R556" s="2" t="inlineStr"/>
    </row>
    <row r="557" ht="15" customHeight="1">
      <c r="A557" t="inlineStr">
        <is>
          <t>A 42816-2024</t>
        </is>
      </c>
      <c r="B557" s="1" t="n">
        <v>45566</v>
      </c>
      <c r="C557" s="1" t="n">
        <v>45975</v>
      </c>
      <c r="D557" t="inlineStr">
        <is>
          <t>KALMAR LÄN</t>
        </is>
      </c>
      <c r="E557" t="inlineStr">
        <is>
          <t>VÄSTERVIK</t>
        </is>
      </c>
      <c r="G557" t="n">
        <v>0.1</v>
      </c>
      <c r="H557" t="n">
        <v>0</v>
      </c>
      <c r="I557" t="n">
        <v>0</v>
      </c>
      <c r="J557" t="n">
        <v>0</v>
      </c>
      <c r="K557" t="n">
        <v>0</v>
      </c>
      <c r="L557" t="n">
        <v>0</v>
      </c>
      <c r="M557" t="n">
        <v>0</v>
      </c>
      <c r="N557" t="n">
        <v>0</v>
      </c>
      <c r="O557" t="n">
        <v>0</v>
      </c>
      <c r="P557" t="n">
        <v>0</v>
      </c>
      <c r="Q557" t="n">
        <v>0</v>
      </c>
      <c r="R557" s="2" t="inlineStr"/>
    </row>
    <row r="558" ht="15" customHeight="1">
      <c r="A558" t="inlineStr">
        <is>
          <t>A 5982-2023</t>
        </is>
      </c>
      <c r="B558" s="1" t="n">
        <v>44964.35730324074</v>
      </c>
      <c r="C558" s="1" t="n">
        <v>45975</v>
      </c>
      <c r="D558" t="inlineStr">
        <is>
          <t>KALMAR LÄN</t>
        </is>
      </c>
      <c r="E558" t="inlineStr">
        <is>
          <t>VÄSTERVIK</t>
        </is>
      </c>
      <c r="G558" t="n">
        <v>2.8</v>
      </c>
      <c r="H558" t="n">
        <v>0</v>
      </c>
      <c r="I558" t="n">
        <v>0</v>
      </c>
      <c r="J558" t="n">
        <v>0</v>
      </c>
      <c r="K558" t="n">
        <v>0</v>
      </c>
      <c r="L558" t="n">
        <v>0</v>
      </c>
      <c r="M558" t="n">
        <v>0</v>
      </c>
      <c r="N558" t="n">
        <v>0</v>
      </c>
      <c r="O558" t="n">
        <v>0</v>
      </c>
      <c r="P558" t="n">
        <v>0</v>
      </c>
      <c r="Q558" t="n">
        <v>0</v>
      </c>
      <c r="R558" s="2" t="inlineStr"/>
    </row>
    <row r="559" ht="15" customHeight="1">
      <c r="A559" t="inlineStr">
        <is>
          <t>A 31592-2021</t>
        </is>
      </c>
      <c r="B559" s="1" t="n">
        <v>44369.56576388889</v>
      </c>
      <c r="C559" s="1" t="n">
        <v>45975</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60453-2024</t>
        </is>
      </c>
      <c r="B560" s="1" t="n">
        <v>45643.60487268519</v>
      </c>
      <c r="C560" s="1" t="n">
        <v>45975</v>
      </c>
      <c r="D560" t="inlineStr">
        <is>
          <t>KALMAR LÄN</t>
        </is>
      </c>
      <c r="E560" t="inlineStr">
        <is>
          <t>VÄSTERVIK</t>
        </is>
      </c>
      <c r="G560" t="n">
        <v>7.1</v>
      </c>
      <c r="H560" t="n">
        <v>0</v>
      </c>
      <c r="I560" t="n">
        <v>0</v>
      </c>
      <c r="J560" t="n">
        <v>0</v>
      </c>
      <c r="K560" t="n">
        <v>0</v>
      </c>
      <c r="L560" t="n">
        <v>0</v>
      </c>
      <c r="M560" t="n">
        <v>0</v>
      </c>
      <c r="N560" t="n">
        <v>0</v>
      </c>
      <c r="O560" t="n">
        <v>0</v>
      </c>
      <c r="P560" t="n">
        <v>0</v>
      </c>
      <c r="Q560" t="n">
        <v>0</v>
      </c>
      <c r="R560" s="2" t="inlineStr"/>
    </row>
    <row r="561" ht="15" customHeight="1">
      <c r="A561" t="inlineStr">
        <is>
          <t>A 944-2024</t>
        </is>
      </c>
      <c r="B561" s="1" t="n">
        <v>45301.54230324074</v>
      </c>
      <c r="C561" s="1" t="n">
        <v>45975</v>
      </c>
      <c r="D561" t="inlineStr">
        <is>
          <t>KALMAR LÄN</t>
        </is>
      </c>
      <c r="E561" t="inlineStr">
        <is>
          <t>VÄSTERVIK</t>
        </is>
      </c>
      <c r="G561" t="n">
        <v>2.2</v>
      </c>
      <c r="H561" t="n">
        <v>0</v>
      </c>
      <c r="I561" t="n">
        <v>0</v>
      </c>
      <c r="J561" t="n">
        <v>0</v>
      </c>
      <c r="K561" t="n">
        <v>0</v>
      </c>
      <c r="L561" t="n">
        <v>0</v>
      </c>
      <c r="M561" t="n">
        <v>0</v>
      </c>
      <c r="N561" t="n">
        <v>0</v>
      </c>
      <c r="O561" t="n">
        <v>0</v>
      </c>
      <c r="P561" t="n">
        <v>0</v>
      </c>
      <c r="Q561" t="n">
        <v>0</v>
      </c>
      <c r="R561" s="2" t="inlineStr"/>
    </row>
    <row r="562" ht="15" customHeight="1">
      <c r="A562" t="inlineStr">
        <is>
          <t>A 946-2024</t>
        </is>
      </c>
      <c r="B562" s="1" t="n">
        <v>45301.54412037037</v>
      </c>
      <c r="C562" s="1" t="n">
        <v>45975</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57802-2024</t>
        </is>
      </c>
      <c r="B563" s="1" t="n">
        <v>45631.34590277778</v>
      </c>
      <c r="C563" s="1" t="n">
        <v>45975</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5079-2025</t>
        </is>
      </c>
      <c r="B564" s="1" t="n">
        <v>45691.50069444445</v>
      </c>
      <c r="C564" s="1" t="n">
        <v>45975</v>
      </c>
      <c r="D564" t="inlineStr">
        <is>
          <t>KALMAR LÄN</t>
        </is>
      </c>
      <c r="E564" t="inlineStr">
        <is>
          <t>VÄSTERVIK</t>
        </is>
      </c>
      <c r="F564" t="inlineStr">
        <is>
          <t>Holmen skog AB</t>
        </is>
      </c>
      <c r="G564" t="n">
        <v>3.3</v>
      </c>
      <c r="H564" t="n">
        <v>0</v>
      </c>
      <c r="I564" t="n">
        <v>0</v>
      </c>
      <c r="J564" t="n">
        <v>0</v>
      </c>
      <c r="K564" t="n">
        <v>0</v>
      </c>
      <c r="L564" t="n">
        <v>0</v>
      </c>
      <c r="M564" t="n">
        <v>0</v>
      </c>
      <c r="N564" t="n">
        <v>0</v>
      </c>
      <c r="O564" t="n">
        <v>0</v>
      </c>
      <c r="P564" t="n">
        <v>0</v>
      </c>
      <c r="Q564" t="n">
        <v>0</v>
      </c>
      <c r="R564" s="2" t="inlineStr"/>
    </row>
    <row r="565" ht="15" customHeight="1">
      <c r="A565" t="inlineStr">
        <is>
          <t>A 17214-2024</t>
        </is>
      </c>
      <c r="B565" s="1" t="n">
        <v>45414</v>
      </c>
      <c r="C565" s="1" t="n">
        <v>45975</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32137-2024</t>
        </is>
      </c>
      <c r="B566" s="1" t="n">
        <v>45511</v>
      </c>
      <c r="C566" s="1" t="n">
        <v>45975</v>
      </c>
      <c r="D566" t="inlineStr">
        <is>
          <t>KALMAR LÄN</t>
        </is>
      </c>
      <c r="E566" t="inlineStr">
        <is>
          <t>VÄSTERVIK</t>
        </is>
      </c>
      <c r="F566" t="inlineStr">
        <is>
          <t>Övriga Aktiebolag</t>
        </is>
      </c>
      <c r="G566" t="n">
        <v>1.4</v>
      </c>
      <c r="H566" t="n">
        <v>0</v>
      </c>
      <c r="I566" t="n">
        <v>0</v>
      </c>
      <c r="J566" t="n">
        <v>0</v>
      </c>
      <c r="K566" t="n">
        <v>0</v>
      </c>
      <c r="L566" t="n">
        <v>0</v>
      </c>
      <c r="M566" t="n">
        <v>0</v>
      </c>
      <c r="N566" t="n">
        <v>0</v>
      </c>
      <c r="O566" t="n">
        <v>0</v>
      </c>
      <c r="P566" t="n">
        <v>0</v>
      </c>
      <c r="Q566" t="n">
        <v>0</v>
      </c>
      <c r="R566" s="2" t="inlineStr"/>
    </row>
    <row r="567" ht="15" customHeight="1">
      <c r="A567" t="inlineStr">
        <is>
          <t>A 21752-2024</t>
        </is>
      </c>
      <c r="B567" s="1" t="n">
        <v>45442.58048611111</v>
      </c>
      <c r="C567" s="1" t="n">
        <v>45975</v>
      </c>
      <c r="D567" t="inlineStr">
        <is>
          <t>KALMAR LÄN</t>
        </is>
      </c>
      <c r="E567" t="inlineStr">
        <is>
          <t>VÄSTERVIK</t>
        </is>
      </c>
      <c r="F567" t="inlineStr">
        <is>
          <t>Holmen skog AB</t>
        </is>
      </c>
      <c r="G567" t="n">
        <v>2.3</v>
      </c>
      <c r="H567" t="n">
        <v>0</v>
      </c>
      <c r="I567" t="n">
        <v>0</v>
      </c>
      <c r="J567" t="n">
        <v>0</v>
      </c>
      <c r="K567" t="n">
        <v>0</v>
      </c>
      <c r="L567" t="n">
        <v>0</v>
      </c>
      <c r="M567" t="n">
        <v>0</v>
      </c>
      <c r="N567" t="n">
        <v>0</v>
      </c>
      <c r="O567" t="n">
        <v>0</v>
      </c>
      <c r="P567" t="n">
        <v>0</v>
      </c>
      <c r="Q567" t="n">
        <v>0</v>
      </c>
      <c r="R567" s="2" t="inlineStr"/>
    </row>
    <row r="568" ht="15" customHeight="1">
      <c r="A568" t="inlineStr">
        <is>
          <t>A 13837-2024</t>
        </is>
      </c>
      <c r="B568" s="1" t="n">
        <v>45391.4450462963</v>
      </c>
      <c r="C568" s="1" t="n">
        <v>45975</v>
      </c>
      <c r="D568" t="inlineStr">
        <is>
          <t>KALMAR LÄN</t>
        </is>
      </c>
      <c r="E568" t="inlineStr">
        <is>
          <t>VÄSTERVIK</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13839-2024</t>
        </is>
      </c>
      <c r="B569" s="1" t="n">
        <v>45391.44789351852</v>
      </c>
      <c r="C569" s="1" t="n">
        <v>45975</v>
      </c>
      <c r="D569" t="inlineStr">
        <is>
          <t>KALMAR LÄN</t>
        </is>
      </c>
      <c r="E569" t="inlineStr">
        <is>
          <t>VÄSTERVIK</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15021-2025</t>
        </is>
      </c>
      <c r="B570" s="1" t="n">
        <v>45743.64482638889</v>
      </c>
      <c r="C570" s="1" t="n">
        <v>45975</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5450-2022</t>
        </is>
      </c>
      <c r="B571" s="1" t="n">
        <v>44595</v>
      </c>
      <c r="C571" s="1" t="n">
        <v>45975</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35961-2023</t>
        </is>
      </c>
      <c r="B572" s="1" t="n">
        <v>45148.85041666667</v>
      </c>
      <c r="C572" s="1" t="n">
        <v>45975</v>
      </c>
      <c r="D572" t="inlineStr">
        <is>
          <t>KALMAR LÄN</t>
        </is>
      </c>
      <c r="E572" t="inlineStr">
        <is>
          <t>VÄSTERVIK</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31686-2023</t>
        </is>
      </c>
      <c r="B573" s="1" t="n">
        <v>45117</v>
      </c>
      <c r="C573" s="1" t="n">
        <v>45975</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21824-2023</t>
        </is>
      </c>
      <c r="B574" s="1" t="n">
        <v>45068</v>
      </c>
      <c r="C574" s="1" t="n">
        <v>45975</v>
      </c>
      <c r="D574" t="inlineStr">
        <is>
          <t>KALMAR LÄN</t>
        </is>
      </c>
      <c r="E574" t="inlineStr">
        <is>
          <t>VÄSTERVIK</t>
        </is>
      </c>
      <c r="G574" t="n">
        <v>1.7</v>
      </c>
      <c r="H574" t="n">
        <v>0</v>
      </c>
      <c r="I574" t="n">
        <v>0</v>
      </c>
      <c r="J574" t="n">
        <v>0</v>
      </c>
      <c r="K574" t="n">
        <v>0</v>
      </c>
      <c r="L574" t="n">
        <v>0</v>
      </c>
      <c r="M574" t="n">
        <v>0</v>
      </c>
      <c r="N574" t="n">
        <v>0</v>
      </c>
      <c r="O574" t="n">
        <v>0</v>
      </c>
      <c r="P574" t="n">
        <v>0</v>
      </c>
      <c r="Q574" t="n">
        <v>0</v>
      </c>
      <c r="R574" s="2" t="inlineStr"/>
    </row>
    <row r="575" ht="15" customHeight="1">
      <c r="A575" t="inlineStr">
        <is>
          <t>A 25180-2023</t>
        </is>
      </c>
      <c r="B575" s="1" t="n">
        <v>45086</v>
      </c>
      <c r="C575" s="1" t="n">
        <v>45975</v>
      </c>
      <c r="D575" t="inlineStr">
        <is>
          <t>KALMAR LÄN</t>
        </is>
      </c>
      <c r="E575" t="inlineStr">
        <is>
          <t>VÄSTERVIK</t>
        </is>
      </c>
      <c r="G575" t="n">
        <v>0.5</v>
      </c>
      <c r="H575" t="n">
        <v>0</v>
      </c>
      <c r="I575" t="n">
        <v>0</v>
      </c>
      <c r="J575" t="n">
        <v>0</v>
      </c>
      <c r="K575" t="n">
        <v>0</v>
      </c>
      <c r="L575" t="n">
        <v>0</v>
      </c>
      <c r="M575" t="n">
        <v>0</v>
      </c>
      <c r="N575" t="n">
        <v>0</v>
      </c>
      <c r="O575" t="n">
        <v>0</v>
      </c>
      <c r="P575" t="n">
        <v>0</v>
      </c>
      <c r="Q575" t="n">
        <v>0</v>
      </c>
      <c r="R575" s="2" t="inlineStr"/>
    </row>
    <row r="576" ht="15" customHeight="1">
      <c r="A576" t="inlineStr">
        <is>
          <t>A 10808-2025</t>
        </is>
      </c>
      <c r="B576" s="1" t="n">
        <v>45722.53427083333</v>
      </c>
      <c r="C576" s="1" t="n">
        <v>45975</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1788-2025</t>
        </is>
      </c>
      <c r="B577" s="1" t="n">
        <v>45671.45521990741</v>
      </c>
      <c r="C577" s="1" t="n">
        <v>45975</v>
      </c>
      <c r="D577" t="inlineStr">
        <is>
          <t>KALMAR LÄN</t>
        </is>
      </c>
      <c r="E577" t="inlineStr">
        <is>
          <t>VÄSTERVIK</t>
        </is>
      </c>
      <c r="F577" t="inlineStr">
        <is>
          <t>Sveaskog</t>
        </is>
      </c>
      <c r="G577" t="n">
        <v>2.7</v>
      </c>
      <c r="H577" t="n">
        <v>0</v>
      </c>
      <c r="I577" t="n">
        <v>0</v>
      </c>
      <c r="J577" t="n">
        <v>0</v>
      </c>
      <c r="K577" t="n">
        <v>0</v>
      </c>
      <c r="L577" t="n">
        <v>0</v>
      </c>
      <c r="M577" t="n">
        <v>0</v>
      </c>
      <c r="N577" t="n">
        <v>0</v>
      </c>
      <c r="O577" t="n">
        <v>0</v>
      </c>
      <c r="P577" t="n">
        <v>0</v>
      </c>
      <c r="Q577" t="n">
        <v>0</v>
      </c>
      <c r="R577" s="2" t="inlineStr"/>
    </row>
    <row r="578" ht="15" customHeight="1">
      <c r="A578" t="inlineStr">
        <is>
          <t>A 16586-2022</t>
        </is>
      </c>
      <c r="B578" s="1" t="n">
        <v>44672.47105324074</v>
      </c>
      <c r="C578" s="1" t="n">
        <v>45975</v>
      </c>
      <c r="D578" t="inlineStr">
        <is>
          <t>KALMAR LÄN</t>
        </is>
      </c>
      <c r="E578" t="inlineStr">
        <is>
          <t>VÄSTERVIK</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43199-2024</t>
        </is>
      </c>
      <c r="B579" s="1" t="n">
        <v>45567.68774305555</v>
      </c>
      <c r="C579" s="1" t="n">
        <v>45975</v>
      </c>
      <c r="D579" t="inlineStr">
        <is>
          <t>KALMAR LÄN</t>
        </is>
      </c>
      <c r="E579" t="inlineStr">
        <is>
          <t>VÄSTERVIK</t>
        </is>
      </c>
      <c r="G579" t="n">
        <v>1.8</v>
      </c>
      <c r="H579" t="n">
        <v>0</v>
      </c>
      <c r="I579" t="n">
        <v>0</v>
      </c>
      <c r="J579" t="n">
        <v>0</v>
      </c>
      <c r="K579" t="n">
        <v>0</v>
      </c>
      <c r="L579" t="n">
        <v>0</v>
      </c>
      <c r="M579" t="n">
        <v>0</v>
      </c>
      <c r="N579" t="n">
        <v>0</v>
      </c>
      <c r="O579" t="n">
        <v>0</v>
      </c>
      <c r="P579" t="n">
        <v>0</v>
      </c>
      <c r="Q579" t="n">
        <v>0</v>
      </c>
      <c r="R579" s="2" t="inlineStr"/>
    </row>
    <row r="580" ht="15" customHeight="1">
      <c r="A580" t="inlineStr">
        <is>
          <t>A 23626-2024</t>
        </is>
      </c>
      <c r="B580" s="1" t="n">
        <v>45454</v>
      </c>
      <c r="C580" s="1" t="n">
        <v>45975</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55565-2024</t>
        </is>
      </c>
      <c r="B581" s="1" t="n">
        <v>45622.54515046296</v>
      </c>
      <c r="C581" s="1" t="n">
        <v>45975</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6346-2023</t>
        </is>
      </c>
      <c r="B582" s="1" t="n">
        <v>44960</v>
      </c>
      <c r="C582" s="1" t="n">
        <v>45975</v>
      </c>
      <c r="D582" t="inlineStr">
        <is>
          <t>KALMAR LÄN</t>
        </is>
      </c>
      <c r="E582" t="inlineStr">
        <is>
          <t>VÄSTERVIK</t>
        </is>
      </c>
      <c r="G582" t="n">
        <v>4.5</v>
      </c>
      <c r="H582" t="n">
        <v>0</v>
      </c>
      <c r="I582" t="n">
        <v>0</v>
      </c>
      <c r="J582" t="n">
        <v>0</v>
      </c>
      <c r="K582" t="n">
        <v>0</v>
      </c>
      <c r="L582" t="n">
        <v>0</v>
      </c>
      <c r="M582" t="n">
        <v>0</v>
      </c>
      <c r="N582" t="n">
        <v>0</v>
      </c>
      <c r="O582" t="n">
        <v>0</v>
      </c>
      <c r="P582" t="n">
        <v>0</v>
      </c>
      <c r="Q582" t="n">
        <v>0</v>
      </c>
      <c r="R582" s="2" t="inlineStr"/>
    </row>
    <row r="583" ht="15" customHeight="1">
      <c r="A583" t="inlineStr">
        <is>
          <t>A 26285-2024</t>
        </is>
      </c>
      <c r="B583" s="1" t="n">
        <v>45468.70357638889</v>
      </c>
      <c r="C583" s="1" t="n">
        <v>45975</v>
      </c>
      <c r="D583" t="inlineStr">
        <is>
          <t>KALMAR LÄN</t>
        </is>
      </c>
      <c r="E583" t="inlineStr">
        <is>
          <t>VÄSTERVIK</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10771-2025</t>
        </is>
      </c>
      <c r="B584" s="1" t="n">
        <v>45722.46953703704</v>
      </c>
      <c r="C584" s="1" t="n">
        <v>45975</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1867-2025</t>
        </is>
      </c>
      <c r="B585" s="1" t="n">
        <v>45671.61569444444</v>
      </c>
      <c r="C585" s="1" t="n">
        <v>45975</v>
      </c>
      <c r="D585" t="inlineStr">
        <is>
          <t>KALMAR LÄN</t>
        </is>
      </c>
      <c r="E585" t="inlineStr">
        <is>
          <t>VÄSTERVIK</t>
        </is>
      </c>
      <c r="G585" t="n">
        <v>1.8</v>
      </c>
      <c r="H585" t="n">
        <v>0</v>
      </c>
      <c r="I585" t="n">
        <v>0</v>
      </c>
      <c r="J585" t="n">
        <v>0</v>
      </c>
      <c r="K585" t="n">
        <v>0</v>
      </c>
      <c r="L585" t="n">
        <v>0</v>
      </c>
      <c r="M585" t="n">
        <v>0</v>
      </c>
      <c r="N585" t="n">
        <v>0</v>
      </c>
      <c r="O585" t="n">
        <v>0</v>
      </c>
      <c r="P585" t="n">
        <v>0</v>
      </c>
      <c r="Q585" t="n">
        <v>0</v>
      </c>
      <c r="R585" s="2" t="inlineStr"/>
    </row>
    <row r="586" ht="15" customHeight="1">
      <c r="A586" t="inlineStr">
        <is>
          <t>A 28657-2024</t>
        </is>
      </c>
      <c r="B586" s="1" t="n">
        <v>45478</v>
      </c>
      <c r="C586" s="1" t="n">
        <v>45975</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26140-2024</t>
        </is>
      </c>
      <c r="B587" s="1" t="n">
        <v>45468</v>
      </c>
      <c r="C587" s="1" t="n">
        <v>45975</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9037-2023</t>
        </is>
      </c>
      <c r="B588" s="1" t="n">
        <v>44979.65015046296</v>
      </c>
      <c r="C588" s="1" t="n">
        <v>45975</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26061-2024</t>
        </is>
      </c>
      <c r="B589" s="1" t="n">
        <v>45468.35030092593</v>
      </c>
      <c r="C589" s="1" t="n">
        <v>45975</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26066-2024</t>
        </is>
      </c>
      <c r="B590" s="1" t="n">
        <v>45468.35390046296</v>
      </c>
      <c r="C590" s="1" t="n">
        <v>45975</v>
      </c>
      <c r="D590" t="inlineStr">
        <is>
          <t>KALMAR LÄN</t>
        </is>
      </c>
      <c r="E590" t="inlineStr">
        <is>
          <t>VÄSTERVIK</t>
        </is>
      </c>
      <c r="G590" t="n">
        <v>0.6</v>
      </c>
      <c r="H590" t="n">
        <v>0</v>
      </c>
      <c r="I590" t="n">
        <v>0</v>
      </c>
      <c r="J590" t="n">
        <v>0</v>
      </c>
      <c r="K590" t="n">
        <v>0</v>
      </c>
      <c r="L590" t="n">
        <v>0</v>
      </c>
      <c r="M590" t="n">
        <v>0</v>
      </c>
      <c r="N590" t="n">
        <v>0</v>
      </c>
      <c r="O590" t="n">
        <v>0</v>
      </c>
      <c r="P590" t="n">
        <v>0</v>
      </c>
      <c r="Q590" t="n">
        <v>0</v>
      </c>
      <c r="R590" s="2" t="inlineStr"/>
    </row>
    <row r="591" ht="15" customHeight="1">
      <c r="A591" t="inlineStr">
        <is>
          <t>A 58764-2024</t>
        </is>
      </c>
      <c r="B591" s="1" t="n">
        <v>45635.72293981481</v>
      </c>
      <c r="C591" s="1" t="n">
        <v>45975</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60634-2023</t>
        </is>
      </c>
      <c r="B592" s="1" t="n">
        <v>45260.40186342593</v>
      </c>
      <c r="C592" s="1" t="n">
        <v>45975</v>
      </c>
      <c r="D592" t="inlineStr">
        <is>
          <t>KALMAR LÄN</t>
        </is>
      </c>
      <c r="E592" t="inlineStr">
        <is>
          <t>VÄSTERVIK</t>
        </is>
      </c>
      <c r="G592" t="n">
        <v>2</v>
      </c>
      <c r="H592" t="n">
        <v>0</v>
      </c>
      <c r="I592" t="n">
        <v>0</v>
      </c>
      <c r="J592" t="n">
        <v>0</v>
      </c>
      <c r="K592" t="n">
        <v>0</v>
      </c>
      <c r="L592" t="n">
        <v>0</v>
      </c>
      <c r="M592" t="n">
        <v>0</v>
      </c>
      <c r="N592" t="n">
        <v>0</v>
      </c>
      <c r="O592" t="n">
        <v>0</v>
      </c>
      <c r="P592" t="n">
        <v>0</v>
      </c>
      <c r="Q592" t="n">
        <v>0</v>
      </c>
      <c r="R592" s="2" t="inlineStr"/>
    </row>
    <row r="593" ht="15" customHeight="1">
      <c r="A593" t="inlineStr">
        <is>
          <t>A 13489-2022</t>
        </is>
      </c>
      <c r="B593" s="1" t="n">
        <v>44646</v>
      </c>
      <c r="C593" s="1" t="n">
        <v>45975</v>
      </c>
      <c r="D593" t="inlineStr">
        <is>
          <t>KALMAR LÄN</t>
        </is>
      </c>
      <c r="E593" t="inlineStr">
        <is>
          <t>VÄSTERVIK</t>
        </is>
      </c>
      <c r="G593" t="n">
        <v>2.5</v>
      </c>
      <c r="H593" t="n">
        <v>0</v>
      </c>
      <c r="I593" t="n">
        <v>0</v>
      </c>
      <c r="J593" t="n">
        <v>0</v>
      </c>
      <c r="K593" t="n">
        <v>0</v>
      </c>
      <c r="L593" t="n">
        <v>0</v>
      </c>
      <c r="M593" t="n">
        <v>0</v>
      </c>
      <c r="N593" t="n">
        <v>0</v>
      </c>
      <c r="O593" t="n">
        <v>0</v>
      </c>
      <c r="P593" t="n">
        <v>0</v>
      </c>
      <c r="Q593" t="n">
        <v>0</v>
      </c>
      <c r="R593" s="2" t="inlineStr"/>
    </row>
    <row r="594" ht="15" customHeight="1">
      <c r="A594" t="inlineStr">
        <is>
          <t>A 50086-2023</t>
        </is>
      </c>
      <c r="B594" s="1" t="n">
        <v>45215.59601851852</v>
      </c>
      <c r="C594" s="1" t="n">
        <v>45975</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13275-2023</t>
        </is>
      </c>
      <c r="B595" s="1" t="n">
        <v>45003</v>
      </c>
      <c r="C595" s="1" t="n">
        <v>45975</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c r="U595">
        <f>HYPERLINK("https://klasma.github.io/Logging_0883/knärot/A 13275-2023 karta knärot.png", "A 13275-2023")</f>
        <v/>
      </c>
      <c r="V595">
        <f>HYPERLINK("https://klasma.github.io/Logging_0883/klagomål/A 13275-2023 FSC-klagomål.docx", "A 13275-2023")</f>
        <v/>
      </c>
      <c r="W595">
        <f>HYPERLINK("https://klasma.github.io/Logging_0883/klagomålsmail/A 13275-2023 FSC-klagomål mail.docx", "A 13275-2023")</f>
        <v/>
      </c>
      <c r="X595">
        <f>HYPERLINK("https://klasma.github.io/Logging_0883/tillsyn/A 13275-2023 tillsynsbegäran.docx", "A 13275-2023")</f>
        <v/>
      </c>
      <c r="Y595">
        <f>HYPERLINK("https://klasma.github.io/Logging_0883/tillsynsmail/A 13275-2023 tillsynsbegäran mail.docx", "A 13275-2023")</f>
        <v/>
      </c>
    </row>
    <row r="596" ht="15" customHeight="1">
      <c r="A596" t="inlineStr">
        <is>
          <t>A 35108-2024</t>
        </is>
      </c>
      <c r="B596" s="1" t="n">
        <v>45529.64638888889</v>
      </c>
      <c r="C596" s="1" t="n">
        <v>45975</v>
      </c>
      <c r="D596" t="inlineStr">
        <is>
          <t>KALMAR LÄN</t>
        </is>
      </c>
      <c r="E596" t="inlineStr">
        <is>
          <t>VÄSTERVIK</t>
        </is>
      </c>
      <c r="G596" t="n">
        <v>10.5</v>
      </c>
      <c r="H596" t="n">
        <v>0</v>
      </c>
      <c r="I596" t="n">
        <v>0</v>
      </c>
      <c r="J596" t="n">
        <v>0</v>
      </c>
      <c r="K596" t="n">
        <v>0</v>
      </c>
      <c r="L596" t="n">
        <v>0</v>
      </c>
      <c r="M596" t="n">
        <v>0</v>
      </c>
      <c r="N596" t="n">
        <v>0</v>
      </c>
      <c r="O596" t="n">
        <v>0</v>
      </c>
      <c r="P596" t="n">
        <v>0</v>
      </c>
      <c r="Q596" t="n">
        <v>0</v>
      </c>
      <c r="R596" s="2" t="inlineStr"/>
    </row>
    <row r="597" ht="15" customHeight="1">
      <c r="A597" t="inlineStr">
        <is>
          <t>A 17200-2021</t>
        </is>
      </c>
      <c r="B597" s="1" t="n">
        <v>44298.47847222222</v>
      </c>
      <c r="C597" s="1" t="n">
        <v>45975</v>
      </c>
      <c r="D597" t="inlineStr">
        <is>
          <t>KALMAR LÄN</t>
        </is>
      </c>
      <c r="E597" t="inlineStr">
        <is>
          <t>VÄSTERVIK</t>
        </is>
      </c>
      <c r="G597" t="n">
        <v>3.4</v>
      </c>
      <c r="H597" t="n">
        <v>0</v>
      </c>
      <c r="I597" t="n">
        <v>0</v>
      </c>
      <c r="J597" t="n">
        <v>0</v>
      </c>
      <c r="K597" t="n">
        <v>0</v>
      </c>
      <c r="L597" t="n">
        <v>0</v>
      </c>
      <c r="M597" t="n">
        <v>0</v>
      </c>
      <c r="N597" t="n">
        <v>0</v>
      </c>
      <c r="O597" t="n">
        <v>0</v>
      </c>
      <c r="P597" t="n">
        <v>0</v>
      </c>
      <c r="Q597" t="n">
        <v>0</v>
      </c>
      <c r="R597" s="2" t="inlineStr"/>
    </row>
    <row r="598" ht="15" customHeight="1">
      <c r="A598" t="inlineStr">
        <is>
          <t>A 56188-2023</t>
        </is>
      </c>
      <c r="B598" s="1" t="n">
        <v>45240.65173611111</v>
      </c>
      <c r="C598" s="1" t="n">
        <v>45975</v>
      </c>
      <c r="D598" t="inlineStr">
        <is>
          <t>KALMAR LÄN</t>
        </is>
      </c>
      <c r="E598" t="inlineStr">
        <is>
          <t>VÄSTERVIK</t>
        </is>
      </c>
      <c r="G598" t="n">
        <v>1.9</v>
      </c>
      <c r="H598" t="n">
        <v>0</v>
      </c>
      <c r="I598" t="n">
        <v>0</v>
      </c>
      <c r="J598" t="n">
        <v>0</v>
      </c>
      <c r="K598" t="n">
        <v>0</v>
      </c>
      <c r="L598" t="n">
        <v>0</v>
      </c>
      <c r="M598" t="n">
        <v>0</v>
      </c>
      <c r="N598" t="n">
        <v>0</v>
      </c>
      <c r="O598" t="n">
        <v>0</v>
      </c>
      <c r="P598" t="n">
        <v>0</v>
      </c>
      <c r="Q598" t="n">
        <v>0</v>
      </c>
      <c r="R598" s="2" t="inlineStr"/>
    </row>
    <row r="599" ht="15" customHeight="1">
      <c r="A599" t="inlineStr">
        <is>
          <t>A 47527-2021</t>
        </is>
      </c>
      <c r="B599" s="1" t="n">
        <v>44447</v>
      </c>
      <c r="C599" s="1" t="n">
        <v>45975</v>
      </c>
      <c r="D599" t="inlineStr">
        <is>
          <t>KALMAR LÄN</t>
        </is>
      </c>
      <c r="E599" t="inlineStr">
        <is>
          <t>VÄSTERVIK</t>
        </is>
      </c>
      <c r="F599" t="inlineStr">
        <is>
          <t>Sveaskog</t>
        </is>
      </c>
      <c r="G599" t="n">
        <v>1.8</v>
      </c>
      <c r="H599" t="n">
        <v>0</v>
      </c>
      <c r="I599" t="n">
        <v>0</v>
      </c>
      <c r="J599" t="n">
        <v>0</v>
      </c>
      <c r="K599" t="n">
        <v>0</v>
      </c>
      <c r="L599" t="n">
        <v>0</v>
      </c>
      <c r="M599" t="n">
        <v>0</v>
      </c>
      <c r="N599" t="n">
        <v>0</v>
      </c>
      <c r="O599" t="n">
        <v>0</v>
      </c>
      <c r="P599" t="n">
        <v>0</v>
      </c>
      <c r="Q599" t="n">
        <v>0</v>
      </c>
      <c r="R599" s="2" t="inlineStr"/>
    </row>
    <row r="600" ht="15" customHeight="1">
      <c r="A600" t="inlineStr">
        <is>
          <t>A 7883-2025</t>
        </is>
      </c>
      <c r="B600" s="1" t="n">
        <v>45706.8156712963</v>
      </c>
      <c r="C600" s="1" t="n">
        <v>45975</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9042-2023</t>
        </is>
      </c>
      <c r="B601" s="1" t="n">
        <v>44979</v>
      </c>
      <c r="C601" s="1" t="n">
        <v>45975</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782-2024</t>
        </is>
      </c>
      <c r="B602" s="1" t="n">
        <v>45300.55188657407</v>
      </c>
      <c r="C602" s="1" t="n">
        <v>45975</v>
      </c>
      <c r="D602" t="inlineStr">
        <is>
          <t>KALMAR LÄN</t>
        </is>
      </c>
      <c r="E602" t="inlineStr">
        <is>
          <t>VÄSTERVIK</t>
        </is>
      </c>
      <c r="G602" t="n">
        <v>2.7</v>
      </c>
      <c r="H602" t="n">
        <v>0</v>
      </c>
      <c r="I602" t="n">
        <v>0</v>
      </c>
      <c r="J602" t="n">
        <v>0</v>
      </c>
      <c r="K602" t="n">
        <v>0</v>
      </c>
      <c r="L602" t="n">
        <v>0</v>
      </c>
      <c r="M602" t="n">
        <v>0</v>
      </c>
      <c r="N602" t="n">
        <v>0</v>
      </c>
      <c r="O602" t="n">
        <v>0</v>
      </c>
      <c r="P602" t="n">
        <v>0</v>
      </c>
      <c r="Q602" t="n">
        <v>0</v>
      </c>
      <c r="R602" s="2" t="inlineStr"/>
    </row>
    <row r="603" ht="15" customHeight="1">
      <c r="A603" t="inlineStr">
        <is>
          <t>A 49286-2022</t>
        </is>
      </c>
      <c r="B603" s="1" t="n">
        <v>44861.45876157407</v>
      </c>
      <c r="C603" s="1" t="n">
        <v>45975</v>
      </c>
      <c r="D603" t="inlineStr">
        <is>
          <t>KALMAR LÄN</t>
        </is>
      </c>
      <c r="E603" t="inlineStr">
        <is>
          <t>VÄSTERVIK</t>
        </is>
      </c>
      <c r="G603" t="n">
        <v>2.6</v>
      </c>
      <c r="H603" t="n">
        <v>0</v>
      </c>
      <c r="I603" t="n">
        <v>0</v>
      </c>
      <c r="J603" t="n">
        <v>0</v>
      </c>
      <c r="K603" t="n">
        <v>0</v>
      </c>
      <c r="L603" t="n">
        <v>0</v>
      </c>
      <c r="M603" t="n">
        <v>0</v>
      </c>
      <c r="N603" t="n">
        <v>0</v>
      </c>
      <c r="O603" t="n">
        <v>0</v>
      </c>
      <c r="P603" t="n">
        <v>0</v>
      </c>
      <c r="Q603" t="n">
        <v>0</v>
      </c>
      <c r="R603" s="2" t="inlineStr"/>
    </row>
    <row r="604" ht="15" customHeight="1">
      <c r="A604" t="inlineStr">
        <is>
          <t>A 69753-2021</t>
        </is>
      </c>
      <c r="B604" s="1" t="n">
        <v>44532.56175925926</v>
      </c>
      <c r="C604" s="1" t="n">
        <v>45975</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35456-2024</t>
        </is>
      </c>
      <c r="B605" s="1" t="n">
        <v>45531</v>
      </c>
      <c r="C605" s="1" t="n">
        <v>45975</v>
      </c>
      <c r="D605" t="inlineStr">
        <is>
          <t>KALMAR LÄN</t>
        </is>
      </c>
      <c r="E605" t="inlineStr">
        <is>
          <t>VÄSTERVIK</t>
        </is>
      </c>
      <c r="G605" t="n">
        <v>5.8</v>
      </c>
      <c r="H605" t="n">
        <v>0</v>
      </c>
      <c r="I605" t="n">
        <v>0</v>
      </c>
      <c r="J605" t="n">
        <v>0</v>
      </c>
      <c r="K605" t="n">
        <v>0</v>
      </c>
      <c r="L605" t="n">
        <v>0</v>
      </c>
      <c r="M605" t="n">
        <v>0</v>
      </c>
      <c r="N605" t="n">
        <v>0</v>
      </c>
      <c r="O605" t="n">
        <v>0</v>
      </c>
      <c r="P605" t="n">
        <v>0</v>
      </c>
      <c r="Q605" t="n">
        <v>0</v>
      </c>
      <c r="R605" s="2" t="inlineStr"/>
    </row>
    <row r="606" ht="15" customHeight="1">
      <c r="A606" t="inlineStr">
        <is>
          <t>A 31691-2023</t>
        </is>
      </c>
      <c r="B606" s="1" t="n">
        <v>45117.72543981481</v>
      </c>
      <c r="C606" s="1" t="n">
        <v>45975</v>
      </c>
      <c r="D606" t="inlineStr">
        <is>
          <t>KALMAR LÄN</t>
        </is>
      </c>
      <c r="E606" t="inlineStr">
        <is>
          <t>VÄSTERVIK</t>
        </is>
      </c>
      <c r="G606" t="n">
        <v>0.6</v>
      </c>
      <c r="H606" t="n">
        <v>0</v>
      </c>
      <c r="I606" t="n">
        <v>0</v>
      </c>
      <c r="J606" t="n">
        <v>0</v>
      </c>
      <c r="K606" t="n">
        <v>0</v>
      </c>
      <c r="L606" t="n">
        <v>0</v>
      </c>
      <c r="M606" t="n">
        <v>0</v>
      </c>
      <c r="N606" t="n">
        <v>0</v>
      </c>
      <c r="O606" t="n">
        <v>0</v>
      </c>
      <c r="P606" t="n">
        <v>0</v>
      </c>
      <c r="Q606" t="n">
        <v>0</v>
      </c>
      <c r="R606" s="2" t="inlineStr"/>
    </row>
    <row r="607" ht="15" customHeight="1">
      <c r="A607" t="inlineStr">
        <is>
          <t>A 52035-2023</t>
        </is>
      </c>
      <c r="B607" s="1" t="n">
        <v>45216</v>
      </c>
      <c r="C607" s="1" t="n">
        <v>45975</v>
      </c>
      <c r="D607" t="inlineStr">
        <is>
          <t>KALMAR LÄN</t>
        </is>
      </c>
      <c r="E607" t="inlineStr">
        <is>
          <t>VÄSTERVIK</t>
        </is>
      </c>
      <c r="G607" t="n">
        <v>3.4</v>
      </c>
      <c r="H607" t="n">
        <v>0</v>
      </c>
      <c r="I607" t="n">
        <v>0</v>
      </c>
      <c r="J607" t="n">
        <v>0</v>
      </c>
      <c r="K607" t="n">
        <v>0</v>
      </c>
      <c r="L607" t="n">
        <v>0</v>
      </c>
      <c r="M607" t="n">
        <v>0</v>
      </c>
      <c r="N607" t="n">
        <v>0</v>
      </c>
      <c r="O607" t="n">
        <v>0</v>
      </c>
      <c r="P607" t="n">
        <v>0</v>
      </c>
      <c r="Q607" t="n">
        <v>0</v>
      </c>
      <c r="R607" s="2" t="inlineStr"/>
    </row>
    <row r="608" ht="15" customHeight="1">
      <c r="A608" t="inlineStr">
        <is>
          <t>A 8005-2023</t>
        </is>
      </c>
      <c r="B608" s="1" t="n">
        <v>44973.88452546296</v>
      </c>
      <c r="C608" s="1" t="n">
        <v>45975</v>
      </c>
      <c r="D608" t="inlineStr">
        <is>
          <t>KALMAR LÄN</t>
        </is>
      </c>
      <c r="E608" t="inlineStr">
        <is>
          <t>VÄSTERVIK</t>
        </is>
      </c>
      <c r="G608" t="n">
        <v>2</v>
      </c>
      <c r="H608" t="n">
        <v>0</v>
      </c>
      <c r="I608" t="n">
        <v>0</v>
      </c>
      <c r="J608" t="n">
        <v>0</v>
      </c>
      <c r="K608" t="n">
        <v>0</v>
      </c>
      <c r="L608" t="n">
        <v>0</v>
      </c>
      <c r="M608" t="n">
        <v>0</v>
      </c>
      <c r="N608" t="n">
        <v>0</v>
      </c>
      <c r="O608" t="n">
        <v>0</v>
      </c>
      <c r="P608" t="n">
        <v>0</v>
      </c>
      <c r="Q608" t="n">
        <v>0</v>
      </c>
      <c r="R608" s="2" t="inlineStr"/>
    </row>
    <row r="609" ht="15" customHeight="1">
      <c r="A609" t="inlineStr">
        <is>
          <t>A 20483-2025</t>
        </is>
      </c>
      <c r="B609" s="1" t="n">
        <v>45775.55954861111</v>
      </c>
      <c r="C609" s="1" t="n">
        <v>45975</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9249-2024</t>
        </is>
      </c>
      <c r="B610" s="1" t="n">
        <v>45358.59056712963</v>
      </c>
      <c r="C610" s="1" t="n">
        <v>45975</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808-2023</t>
        </is>
      </c>
      <c r="B611" s="1" t="n">
        <v>44931</v>
      </c>
      <c r="C611" s="1" t="n">
        <v>45975</v>
      </c>
      <c r="D611" t="inlineStr">
        <is>
          <t>KALMAR LÄN</t>
        </is>
      </c>
      <c r="E611" t="inlineStr">
        <is>
          <t>VÄSTERVIK</t>
        </is>
      </c>
      <c r="F611" t="inlineStr">
        <is>
          <t>Holmen skog AB</t>
        </is>
      </c>
      <c r="G611" t="n">
        <v>0.3</v>
      </c>
      <c r="H611" t="n">
        <v>0</v>
      </c>
      <c r="I611" t="n">
        <v>0</v>
      </c>
      <c r="J611" t="n">
        <v>0</v>
      </c>
      <c r="K611" t="n">
        <v>0</v>
      </c>
      <c r="L611" t="n">
        <v>0</v>
      </c>
      <c r="M611" t="n">
        <v>0</v>
      </c>
      <c r="N611" t="n">
        <v>0</v>
      </c>
      <c r="O611" t="n">
        <v>0</v>
      </c>
      <c r="P611" t="n">
        <v>0</v>
      </c>
      <c r="Q611" t="n">
        <v>0</v>
      </c>
      <c r="R611" s="2" t="inlineStr"/>
    </row>
    <row r="612" ht="15" customHeight="1">
      <c r="A612" t="inlineStr">
        <is>
          <t>A 36754-2025</t>
        </is>
      </c>
      <c r="B612" s="1" t="n">
        <v>45873.5591087963</v>
      </c>
      <c r="C612" s="1" t="n">
        <v>45975</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12435-2024</t>
        </is>
      </c>
      <c r="B613" s="1" t="n">
        <v>45379.4459375</v>
      </c>
      <c r="C613" s="1" t="n">
        <v>45975</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3828-2024</t>
        </is>
      </c>
      <c r="B614" s="1" t="n">
        <v>45321</v>
      </c>
      <c r="C614" s="1" t="n">
        <v>45975</v>
      </c>
      <c r="D614" t="inlineStr">
        <is>
          <t>KALMAR LÄN</t>
        </is>
      </c>
      <c r="E614" t="inlineStr">
        <is>
          <t>VÄSTERVIK</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33204-2022</t>
        </is>
      </c>
      <c r="B615" s="1" t="n">
        <v>44785</v>
      </c>
      <c r="C615" s="1" t="n">
        <v>45975</v>
      </c>
      <c r="D615" t="inlineStr">
        <is>
          <t>KALMAR LÄN</t>
        </is>
      </c>
      <c r="E615" t="inlineStr">
        <is>
          <t>VÄSTERVIK</t>
        </is>
      </c>
      <c r="G615" t="n">
        <v>0.9</v>
      </c>
      <c r="H615" t="n">
        <v>0</v>
      </c>
      <c r="I615" t="n">
        <v>0</v>
      </c>
      <c r="J615" t="n">
        <v>0</v>
      </c>
      <c r="K615" t="n">
        <v>0</v>
      </c>
      <c r="L615" t="n">
        <v>0</v>
      </c>
      <c r="M615" t="n">
        <v>0</v>
      </c>
      <c r="N615" t="n">
        <v>0</v>
      </c>
      <c r="O615" t="n">
        <v>0</v>
      </c>
      <c r="P615" t="n">
        <v>0</v>
      </c>
      <c r="Q615" t="n">
        <v>0</v>
      </c>
      <c r="R615" s="2" t="inlineStr"/>
    </row>
    <row r="616" ht="15" customHeight="1">
      <c r="A616" t="inlineStr">
        <is>
          <t>A 39983-2024</t>
        </is>
      </c>
      <c r="B616" s="1" t="n">
        <v>45553.61674768518</v>
      </c>
      <c r="C616" s="1" t="n">
        <v>45975</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11167-2024</t>
        </is>
      </c>
      <c r="B617" s="1" t="n">
        <v>45371.4966087963</v>
      </c>
      <c r="C617" s="1" t="n">
        <v>45975</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64741-2020</t>
        </is>
      </c>
      <c r="B618" s="1" t="n">
        <v>44169</v>
      </c>
      <c r="C618" s="1" t="n">
        <v>45975</v>
      </c>
      <c r="D618" t="inlineStr">
        <is>
          <t>KALMAR LÄN</t>
        </is>
      </c>
      <c r="E618" t="inlineStr">
        <is>
          <t>VÄSTERVIK</t>
        </is>
      </c>
      <c r="G618" t="n">
        <v>1.9</v>
      </c>
      <c r="H618" t="n">
        <v>0</v>
      </c>
      <c r="I618" t="n">
        <v>0</v>
      </c>
      <c r="J618" t="n">
        <v>0</v>
      </c>
      <c r="K618" t="n">
        <v>0</v>
      </c>
      <c r="L618" t="n">
        <v>0</v>
      </c>
      <c r="M618" t="n">
        <v>0</v>
      </c>
      <c r="N618" t="n">
        <v>0</v>
      </c>
      <c r="O618" t="n">
        <v>0</v>
      </c>
      <c r="P618" t="n">
        <v>0</v>
      </c>
      <c r="Q618" t="n">
        <v>0</v>
      </c>
      <c r="R618" s="2" t="inlineStr"/>
    </row>
    <row r="619" ht="15" customHeight="1">
      <c r="A619" t="inlineStr">
        <is>
          <t>A 39193-2024</t>
        </is>
      </c>
      <c r="B619" s="1" t="n">
        <v>45548.68</v>
      </c>
      <c r="C619" s="1" t="n">
        <v>45975</v>
      </c>
      <c r="D619" t="inlineStr">
        <is>
          <t>KALMAR LÄN</t>
        </is>
      </c>
      <c r="E619" t="inlineStr">
        <is>
          <t>VÄSTERVIK</t>
        </is>
      </c>
      <c r="G619" t="n">
        <v>1.2</v>
      </c>
      <c r="H619" t="n">
        <v>0</v>
      </c>
      <c r="I619" t="n">
        <v>0</v>
      </c>
      <c r="J619" t="n">
        <v>0</v>
      </c>
      <c r="K619" t="n">
        <v>0</v>
      </c>
      <c r="L619" t="n">
        <v>0</v>
      </c>
      <c r="M619" t="n">
        <v>0</v>
      </c>
      <c r="N619" t="n">
        <v>0</v>
      </c>
      <c r="O619" t="n">
        <v>0</v>
      </c>
      <c r="P619" t="n">
        <v>0</v>
      </c>
      <c r="Q619" t="n">
        <v>0</v>
      </c>
      <c r="R619" s="2" t="inlineStr"/>
    </row>
    <row r="620" ht="15" customHeight="1">
      <c r="A620" t="inlineStr">
        <is>
          <t>A 36757-2025</t>
        </is>
      </c>
      <c r="B620" s="1" t="n">
        <v>45873.56483796296</v>
      </c>
      <c r="C620" s="1" t="n">
        <v>45975</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16689-2025</t>
        </is>
      </c>
      <c r="B621" s="1" t="n">
        <v>45754.45739583333</v>
      </c>
      <c r="C621" s="1" t="n">
        <v>45975</v>
      </c>
      <c r="D621" t="inlineStr">
        <is>
          <t>KALMAR LÄN</t>
        </is>
      </c>
      <c r="E621" t="inlineStr">
        <is>
          <t>VÄSTERVIK</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16693-2025</t>
        </is>
      </c>
      <c r="B622" s="1" t="n">
        <v>45754.4644675926</v>
      </c>
      <c r="C622" s="1" t="n">
        <v>45975</v>
      </c>
      <c r="D622" t="inlineStr">
        <is>
          <t>KALMAR LÄN</t>
        </is>
      </c>
      <c r="E622" t="inlineStr">
        <is>
          <t>VÄSTERVIK</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55828-2022</t>
        </is>
      </c>
      <c r="B623" s="1" t="n">
        <v>44888</v>
      </c>
      <c r="C623" s="1" t="n">
        <v>45975</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63606-2023</t>
        </is>
      </c>
      <c r="B624" s="1" t="n">
        <v>45275</v>
      </c>
      <c r="C624" s="1" t="n">
        <v>45975</v>
      </c>
      <c r="D624" t="inlineStr">
        <is>
          <t>KALMAR LÄN</t>
        </is>
      </c>
      <c r="E624" t="inlineStr">
        <is>
          <t>VÄSTERVIK</t>
        </is>
      </c>
      <c r="G624" t="n">
        <v>2.9</v>
      </c>
      <c r="H624" t="n">
        <v>0</v>
      </c>
      <c r="I624" t="n">
        <v>0</v>
      </c>
      <c r="J624" t="n">
        <v>0</v>
      </c>
      <c r="K624" t="n">
        <v>0</v>
      </c>
      <c r="L624" t="n">
        <v>0</v>
      </c>
      <c r="M624" t="n">
        <v>0</v>
      </c>
      <c r="N624" t="n">
        <v>0</v>
      </c>
      <c r="O624" t="n">
        <v>0</v>
      </c>
      <c r="P624" t="n">
        <v>0</v>
      </c>
      <c r="Q624" t="n">
        <v>0</v>
      </c>
      <c r="R624" s="2" t="inlineStr"/>
    </row>
    <row r="625" ht="15" customHeight="1">
      <c r="A625" t="inlineStr">
        <is>
          <t>A 53077-2024</t>
        </is>
      </c>
      <c r="B625" s="1" t="n">
        <v>45611.49178240741</v>
      </c>
      <c r="C625" s="1" t="n">
        <v>45975</v>
      </c>
      <c r="D625" t="inlineStr">
        <is>
          <t>KALMAR LÄN</t>
        </is>
      </c>
      <c r="E625" t="inlineStr">
        <is>
          <t>VÄSTERVIK</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7925-2023</t>
        </is>
      </c>
      <c r="B626" s="1" t="n">
        <v>44973.64606481481</v>
      </c>
      <c r="C626" s="1" t="n">
        <v>45975</v>
      </c>
      <c r="D626" t="inlineStr">
        <is>
          <t>KALMAR LÄN</t>
        </is>
      </c>
      <c r="E626" t="inlineStr">
        <is>
          <t>VÄSTERVIK</t>
        </is>
      </c>
      <c r="G626" t="n">
        <v>4.9</v>
      </c>
      <c r="H626" t="n">
        <v>0</v>
      </c>
      <c r="I626" t="n">
        <v>0</v>
      </c>
      <c r="J626" t="n">
        <v>0</v>
      </c>
      <c r="K626" t="n">
        <v>0</v>
      </c>
      <c r="L626" t="n">
        <v>0</v>
      </c>
      <c r="M626" t="n">
        <v>0</v>
      </c>
      <c r="N626" t="n">
        <v>0</v>
      </c>
      <c r="O626" t="n">
        <v>0</v>
      </c>
      <c r="P626" t="n">
        <v>0</v>
      </c>
      <c r="Q626" t="n">
        <v>0</v>
      </c>
      <c r="R626" s="2" t="inlineStr"/>
    </row>
    <row r="627" ht="15" customHeight="1">
      <c r="A627" t="inlineStr">
        <is>
          <t>A 51510-2024</t>
        </is>
      </c>
      <c r="B627" s="1" t="n">
        <v>45604.55837962963</v>
      </c>
      <c r="C627" s="1" t="n">
        <v>45975</v>
      </c>
      <c r="D627" t="inlineStr">
        <is>
          <t>KALMAR LÄN</t>
        </is>
      </c>
      <c r="E627" t="inlineStr">
        <is>
          <t>VÄSTERVIK</t>
        </is>
      </c>
      <c r="F627" t="inlineStr">
        <is>
          <t>Övriga Aktiebolag</t>
        </is>
      </c>
      <c r="G627" t="n">
        <v>1.5</v>
      </c>
      <c r="H627" t="n">
        <v>0</v>
      </c>
      <c r="I627" t="n">
        <v>0</v>
      </c>
      <c r="J627" t="n">
        <v>0</v>
      </c>
      <c r="K627" t="n">
        <v>0</v>
      </c>
      <c r="L627" t="n">
        <v>0</v>
      </c>
      <c r="M627" t="n">
        <v>0</v>
      </c>
      <c r="N627" t="n">
        <v>0</v>
      </c>
      <c r="O627" t="n">
        <v>0</v>
      </c>
      <c r="P627" t="n">
        <v>0</v>
      </c>
      <c r="Q627" t="n">
        <v>0</v>
      </c>
      <c r="R627" s="2" t="inlineStr"/>
    </row>
    <row r="628" ht="15" customHeight="1">
      <c r="A628" t="inlineStr">
        <is>
          <t>A 28222-2024</t>
        </is>
      </c>
      <c r="B628" s="1" t="n">
        <v>45477.36993055556</v>
      </c>
      <c r="C628" s="1" t="n">
        <v>45975</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29952-2022</t>
        </is>
      </c>
      <c r="B629" s="1" t="n">
        <v>44756.62649305556</v>
      </c>
      <c r="C629" s="1" t="n">
        <v>45975</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8007-2023</t>
        </is>
      </c>
      <c r="B630" s="1" t="n">
        <v>44973.88759259259</v>
      </c>
      <c r="C630" s="1" t="n">
        <v>45975</v>
      </c>
      <c r="D630" t="inlineStr">
        <is>
          <t>KALMAR LÄN</t>
        </is>
      </c>
      <c r="E630" t="inlineStr">
        <is>
          <t>VÄSTERVIK</t>
        </is>
      </c>
      <c r="G630" t="n">
        <v>4.5</v>
      </c>
      <c r="H630" t="n">
        <v>0</v>
      </c>
      <c r="I630" t="n">
        <v>0</v>
      </c>
      <c r="J630" t="n">
        <v>0</v>
      </c>
      <c r="K630" t="n">
        <v>0</v>
      </c>
      <c r="L630" t="n">
        <v>0</v>
      </c>
      <c r="M630" t="n">
        <v>0</v>
      </c>
      <c r="N630" t="n">
        <v>0</v>
      </c>
      <c r="O630" t="n">
        <v>0</v>
      </c>
      <c r="P630" t="n">
        <v>0</v>
      </c>
      <c r="Q630" t="n">
        <v>0</v>
      </c>
      <c r="R630" s="2" t="inlineStr"/>
    </row>
    <row r="631" ht="15" customHeight="1">
      <c r="A631" t="inlineStr">
        <is>
          <t>A 48035-2024</t>
        </is>
      </c>
      <c r="B631" s="1" t="n">
        <v>45589.49168981481</v>
      </c>
      <c r="C631" s="1" t="n">
        <v>45975</v>
      </c>
      <c r="D631" t="inlineStr">
        <is>
          <t>KALMAR LÄN</t>
        </is>
      </c>
      <c r="E631" t="inlineStr">
        <is>
          <t>VÄSTERVIK</t>
        </is>
      </c>
      <c r="G631" t="n">
        <v>2.1</v>
      </c>
      <c r="H631" t="n">
        <v>0</v>
      </c>
      <c r="I631" t="n">
        <v>0</v>
      </c>
      <c r="J631" t="n">
        <v>0</v>
      </c>
      <c r="K631" t="n">
        <v>0</v>
      </c>
      <c r="L631" t="n">
        <v>0</v>
      </c>
      <c r="M631" t="n">
        <v>0</v>
      </c>
      <c r="N631" t="n">
        <v>0</v>
      </c>
      <c r="O631" t="n">
        <v>0</v>
      </c>
      <c r="P631" t="n">
        <v>0</v>
      </c>
      <c r="Q631" t="n">
        <v>0</v>
      </c>
      <c r="R631" s="2" t="inlineStr"/>
    </row>
    <row r="632" ht="15" customHeight="1">
      <c r="A632" t="inlineStr">
        <is>
          <t>A 37774-2025</t>
        </is>
      </c>
      <c r="B632" s="1" t="n">
        <v>45880</v>
      </c>
      <c r="C632" s="1" t="n">
        <v>45975</v>
      </c>
      <c r="D632" t="inlineStr">
        <is>
          <t>KALMAR LÄN</t>
        </is>
      </c>
      <c r="E632" t="inlineStr">
        <is>
          <t>VÄSTERVIK</t>
        </is>
      </c>
      <c r="G632" t="n">
        <v>1.3</v>
      </c>
      <c r="H632" t="n">
        <v>0</v>
      </c>
      <c r="I632" t="n">
        <v>0</v>
      </c>
      <c r="J632" t="n">
        <v>0</v>
      </c>
      <c r="K632" t="n">
        <v>0</v>
      </c>
      <c r="L632" t="n">
        <v>0</v>
      </c>
      <c r="M632" t="n">
        <v>0</v>
      </c>
      <c r="N632" t="n">
        <v>0</v>
      </c>
      <c r="O632" t="n">
        <v>0</v>
      </c>
      <c r="P632" t="n">
        <v>0</v>
      </c>
      <c r="Q632" t="n">
        <v>0</v>
      </c>
      <c r="R632" s="2" t="inlineStr"/>
    </row>
    <row r="633" ht="15" customHeight="1">
      <c r="A633" t="inlineStr">
        <is>
          <t>A 63361-2023</t>
        </is>
      </c>
      <c r="B633" s="1" t="n">
        <v>45274.46324074074</v>
      </c>
      <c r="C633" s="1" t="n">
        <v>45975</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49452-2023</t>
        </is>
      </c>
      <c r="B634" s="1" t="n">
        <v>45211.49424768519</v>
      </c>
      <c r="C634" s="1" t="n">
        <v>45975</v>
      </c>
      <c r="D634" t="inlineStr">
        <is>
          <t>KALMAR LÄN</t>
        </is>
      </c>
      <c r="E634" t="inlineStr">
        <is>
          <t>VÄSTERVIK</t>
        </is>
      </c>
      <c r="F634" t="inlineStr">
        <is>
          <t>Övriga Aktiebolag</t>
        </is>
      </c>
      <c r="G634" t="n">
        <v>2.2</v>
      </c>
      <c r="H634" t="n">
        <v>0</v>
      </c>
      <c r="I634" t="n">
        <v>0</v>
      </c>
      <c r="J634" t="n">
        <v>0</v>
      </c>
      <c r="K634" t="n">
        <v>0</v>
      </c>
      <c r="L634" t="n">
        <v>0</v>
      </c>
      <c r="M634" t="n">
        <v>0</v>
      </c>
      <c r="N634" t="n">
        <v>0</v>
      </c>
      <c r="O634" t="n">
        <v>0</v>
      </c>
      <c r="P634" t="n">
        <v>0</v>
      </c>
      <c r="Q634" t="n">
        <v>0</v>
      </c>
      <c r="R634" s="2" t="inlineStr"/>
    </row>
    <row r="635" ht="15" customHeight="1">
      <c r="A635" t="inlineStr">
        <is>
          <t>A 9267-2025</t>
        </is>
      </c>
      <c r="B635" s="1" t="n">
        <v>45714.61418981481</v>
      </c>
      <c r="C635" s="1" t="n">
        <v>45975</v>
      </c>
      <c r="D635" t="inlineStr">
        <is>
          <t>KALMAR LÄN</t>
        </is>
      </c>
      <c r="E635" t="inlineStr">
        <is>
          <t>VÄSTERVIK</t>
        </is>
      </c>
      <c r="F635" t="inlineStr">
        <is>
          <t>Sveaskog</t>
        </is>
      </c>
      <c r="G635" t="n">
        <v>6.8</v>
      </c>
      <c r="H635" t="n">
        <v>0</v>
      </c>
      <c r="I635" t="n">
        <v>0</v>
      </c>
      <c r="J635" t="n">
        <v>0</v>
      </c>
      <c r="K635" t="n">
        <v>0</v>
      </c>
      <c r="L635" t="n">
        <v>0</v>
      </c>
      <c r="M635" t="n">
        <v>0</v>
      </c>
      <c r="N635" t="n">
        <v>0</v>
      </c>
      <c r="O635" t="n">
        <v>0</v>
      </c>
      <c r="P635" t="n">
        <v>0</v>
      </c>
      <c r="Q635" t="n">
        <v>0</v>
      </c>
      <c r="R635" s="2" t="inlineStr"/>
    </row>
    <row r="636" ht="15" customHeight="1">
      <c r="A636" t="inlineStr">
        <is>
          <t>A 37523-2025</t>
        </is>
      </c>
      <c r="B636" s="1" t="n">
        <v>45877</v>
      </c>
      <c r="C636" s="1" t="n">
        <v>45975</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37526-2025</t>
        </is>
      </c>
      <c r="B637" s="1" t="n">
        <v>45877</v>
      </c>
      <c r="C637" s="1" t="n">
        <v>45975</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59170-2022</t>
        </is>
      </c>
      <c r="B638" s="1" t="n">
        <v>44904.48152777777</v>
      </c>
      <c r="C638" s="1" t="n">
        <v>45975</v>
      </c>
      <c r="D638" t="inlineStr">
        <is>
          <t>KALMAR LÄN</t>
        </is>
      </c>
      <c r="E638" t="inlineStr">
        <is>
          <t>VÄSTERVIK</t>
        </is>
      </c>
      <c r="G638" t="n">
        <v>1.3</v>
      </c>
      <c r="H638" t="n">
        <v>0</v>
      </c>
      <c r="I638" t="n">
        <v>0</v>
      </c>
      <c r="J638" t="n">
        <v>0</v>
      </c>
      <c r="K638" t="n">
        <v>0</v>
      </c>
      <c r="L638" t="n">
        <v>0</v>
      </c>
      <c r="M638" t="n">
        <v>0</v>
      </c>
      <c r="N638" t="n">
        <v>0</v>
      </c>
      <c r="O638" t="n">
        <v>0</v>
      </c>
      <c r="P638" t="n">
        <v>0</v>
      </c>
      <c r="Q638" t="n">
        <v>0</v>
      </c>
      <c r="R638" s="2" t="inlineStr"/>
    </row>
    <row r="639" ht="15" customHeight="1">
      <c r="A639" t="inlineStr">
        <is>
          <t>A 59212-2022</t>
        </is>
      </c>
      <c r="B639" s="1" t="n">
        <v>44904.52560185185</v>
      </c>
      <c r="C639" s="1" t="n">
        <v>45975</v>
      </c>
      <c r="D639" t="inlineStr">
        <is>
          <t>KALMAR LÄN</t>
        </is>
      </c>
      <c r="E639" t="inlineStr">
        <is>
          <t>VÄSTERVIK</t>
        </is>
      </c>
      <c r="G639" t="n">
        <v>2.3</v>
      </c>
      <c r="H639" t="n">
        <v>0</v>
      </c>
      <c r="I639" t="n">
        <v>0</v>
      </c>
      <c r="J639" t="n">
        <v>0</v>
      </c>
      <c r="K639" t="n">
        <v>0</v>
      </c>
      <c r="L639" t="n">
        <v>0</v>
      </c>
      <c r="M639" t="n">
        <v>0</v>
      </c>
      <c r="N639" t="n">
        <v>0</v>
      </c>
      <c r="O639" t="n">
        <v>0</v>
      </c>
      <c r="P639" t="n">
        <v>0</v>
      </c>
      <c r="Q639" t="n">
        <v>0</v>
      </c>
      <c r="R639" s="2" t="inlineStr"/>
    </row>
    <row r="640" ht="15" customHeight="1">
      <c r="A640" t="inlineStr">
        <is>
          <t>A 59227-2022</t>
        </is>
      </c>
      <c r="B640" s="1" t="n">
        <v>44904</v>
      </c>
      <c r="C640" s="1" t="n">
        <v>45975</v>
      </c>
      <c r="D640" t="inlineStr">
        <is>
          <t>KALMAR LÄN</t>
        </is>
      </c>
      <c r="E640" t="inlineStr">
        <is>
          <t>VÄSTERVIK</t>
        </is>
      </c>
      <c r="G640" t="n">
        <v>6</v>
      </c>
      <c r="H640" t="n">
        <v>0</v>
      </c>
      <c r="I640" t="n">
        <v>0</v>
      </c>
      <c r="J640" t="n">
        <v>0</v>
      </c>
      <c r="K640" t="n">
        <v>0</v>
      </c>
      <c r="L640" t="n">
        <v>0</v>
      </c>
      <c r="M640" t="n">
        <v>0</v>
      </c>
      <c r="N640" t="n">
        <v>0</v>
      </c>
      <c r="O640" t="n">
        <v>0</v>
      </c>
      <c r="P640" t="n">
        <v>0</v>
      </c>
      <c r="Q640" t="n">
        <v>0</v>
      </c>
      <c r="R640" s="2" t="inlineStr"/>
    </row>
    <row r="641" ht="15" customHeight="1">
      <c r="A641" t="inlineStr">
        <is>
          <t>A 18880-2025</t>
        </is>
      </c>
      <c r="B641" s="1" t="n">
        <v>45764.43959490741</v>
      </c>
      <c r="C641" s="1" t="n">
        <v>45975</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5691-2025</t>
        </is>
      </c>
      <c r="B642" s="1" t="n">
        <v>45694.37447916667</v>
      </c>
      <c r="C642" s="1" t="n">
        <v>45975</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7255-2023</t>
        </is>
      </c>
      <c r="B643" s="1" t="n">
        <v>44970</v>
      </c>
      <c r="C643" s="1" t="n">
        <v>45975</v>
      </c>
      <c r="D643" t="inlineStr">
        <is>
          <t>KALMAR LÄN</t>
        </is>
      </c>
      <c r="E643" t="inlineStr">
        <is>
          <t>VÄSTERVIK</t>
        </is>
      </c>
      <c r="F643" t="inlineStr">
        <is>
          <t>Naturvårdsverket</t>
        </is>
      </c>
      <c r="G643" t="n">
        <v>0.6</v>
      </c>
      <c r="H643" t="n">
        <v>0</v>
      </c>
      <c r="I643" t="n">
        <v>0</v>
      </c>
      <c r="J643" t="n">
        <v>0</v>
      </c>
      <c r="K643" t="n">
        <v>0</v>
      </c>
      <c r="L643" t="n">
        <v>0</v>
      </c>
      <c r="M643" t="n">
        <v>0</v>
      </c>
      <c r="N643" t="n">
        <v>0</v>
      </c>
      <c r="O643" t="n">
        <v>0</v>
      </c>
      <c r="P643" t="n">
        <v>0</v>
      </c>
      <c r="Q643" t="n">
        <v>0</v>
      </c>
      <c r="R643" s="2" t="inlineStr"/>
      <c r="U643">
        <f>HYPERLINK("https://klasma.github.io/Logging_0883/knärot/A 7255-2023 karta knärot.png", "A 7255-2023")</f>
        <v/>
      </c>
      <c r="V643">
        <f>HYPERLINK("https://klasma.github.io/Logging_0883/klagomål/A 7255-2023 FSC-klagomål.docx", "A 7255-2023")</f>
        <v/>
      </c>
      <c r="W643">
        <f>HYPERLINK("https://klasma.github.io/Logging_0883/klagomålsmail/A 7255-2023 FSC-klagomål mail.docx", "A 7255-2023")</f>
        <v/>
      </c>
      <c r="X643">
        <f>HYPERLINK("https://klasma.github.io/Logging_0883/tillsyn/A 7255-2023 tillsynsbegäran.docx", "A 7255-2023")</f>
        <v/>
      </c>
      <c r="Y643">
        <f>HYPERLINK("https://klasma.github.io/Logging_0883/tillsynsmail/A 7255-2023 tillsynsbegäran mail.docx", "A 7255-2023")</f>
        <v/>
      </c>
    </row>
    <row r="644" ht="15" customHeight="1">
      <c r="A644" t="inlineStr">
        <is>
          <t>A 36050-2024</t>
        </is>
      </c>
      <c r="B644" s="1" t="n">
        <v>45533.620625</v>
      </c>
      <c r="C644" s="1" t="n">
        <v>45975</v>
      </c>
      <c r="D644" t="inlineStr">
        <is>
          <t>KALMAR LÄN</t>
        </is>
      </c>
      <c r="E644" t="inlineStr">
        <is>
          <t>VÄSTERVIK</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17652-2023</t>
        </is>
      </c>
      <c r="B645" s="1" t="n">
        <v>45036.70626157407</v>
      </c>
      <c r="C645" s="1" t="n">
        <v>45975</v>
      </c>
      <c r="D645" t="inlineStr">
        <is>
          <t>KALMAR LÄN</t>
        </is>
      </c>
      <c r="E645" t="inlineStr">
        <is>
          <t>VÄSTERVIK</t>
        </is>
      </c>
      <c r="G645" t="n">
        <v>0.2</v>
      </c>
      <c r="H645" t="n">
        <v>0</v>
      </c>
      <c r="I645" t="n">
        <v>0</v>
      </c>
      <c r="J645" t="n">
        <v>0</v>
      </c>
      <c r="K645" t="n">
        <v>0</v>
      </c>
      <c r="L645" t="n">
        <v>0</v>
      </c>
      <c r="M645" t="n">
        <v>0</v>
      </c>
      <c r="N645" t="n">
        <v>0</v>
      </c>
      <c r="O645" t="n">
        <v>0</v>
      </c>
      <c r="P645" t="n">
        <v>0</v>
      </c>
      <c r="Q645" t="n">
        <v>0</v>
      </c>
      <c r="R645" s="2" t="inlineStr"/>
    </row>
    <row r="646" ht="15" customHeight="1">
      <c r="A646" t="inlineStr">
        <is>
          <t>A 45463-2024</t>
        </is>
      </c>
      <c r="B646" s="1" t="n">
        <v>45576.69753472223</v>
      </c>
      <c r="C646" s="1" t="n">
        <v>45975</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49706-2024</t>
        </is>
      </c>
      <c r="B647" s="1" t="n">
        <v>45596.69706018519</v>
      </c>
      <c r="C647" s="1" t="n">
        <v>45975</v>
      </c>
      <c r="D647" t="inlineStr">
        <is>
          <t>KALMAR LÄN</t>
        </is>
      </c>
      <c r="E647" t="inlineStr">
        <is>
          <t>VÄSTERVIK</t>
        </is>
      </c>
      <c r="G647" t="n">
        <v>1</v>
      </c>
      <c r="H647" t="n">
        <v>0</v>
      </c>
      <c r="I647" t="n">
        <v>0</v>
      </c>
      <c r="J647" t="n">
        <v>0</v>
      </c>
      <c r="K647" t="n">
        <v>0</v>
      </c>
      <c r="L647" t="n">
        <v>0</v>
      </c>
      <c r="M647" t="n">
        <v>0</v>
      </c>
      <c r="N647" t="n">
        <v>0</v>
      </c>
      <c r="O647" t="n">
        <v>0</v>
      </c>
      <c r="P647" t="n">
        <v>0</v>
      </c>
      <c r="Q647" t="n">
        <v>0</v>
      </c>
      <c r="R647" s="2" t="inlineStr"/>
    </row>
    <row r="648" ht="15" customHeight="1">
      <c r="A648" t="inlineStr">
        <is>
          <t>A 9025-2022</t>
        </is>
      </c>
      <c r="B648" s="1" t="n">
        <v>44615</v>
      </c>
      <c r="C648" s="1" t="n">
        <v>45975</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5060-2025</t>
        </is>
      </c>
      <c r="B649" s="1" t="n">
        <v>45691.47354166667</v>
      </c>
      <c r="C649" s="1" t="n">
        <v>45975</v>
      </c>
      <c r="D649" t="inlineStr">
        <is>
          <t>KALMAR LÄN</t>
        </is>
      </c>
      <c r="E649" t="inlineStr">
        <is>
          <t>VÄSTERVIK</t>
        </is>
      </c>
      <c r="F649" t="inlineStr">
        <is>
          <t>Holmen skog AB</t>
        </is>
      </c>
      <c r="G649" t="n">
        <v>2.9</v>
      </c>
      <c r="H649" t="n">
        <v>0</v>
      </c>
      <c r="I649" t="n">
        <v>0</v>
      </c>
      <c r="J649" t="n">
        <v>0</v>
      </c>
      <c r="K649" t="n">
        <v>0</v>
      </c>
      <c r="L649" t="n">
        <v>0</v>
      </c>
      <c r="M649" t="n">
        <v>0</v>
      </c>
      <c r="N649" t="n">
        <v>0</v>
      </c>
      <c r="O649" t="n">
        <v>0</v>
      </c>
      <c r="P649" t="n">
        <v>0</v>
      </c>
      <c r="Q649" t="n">
        <v>0</v>
      </c>
      <c r="R649" s="2" t="inlineStr"/>
    </row>
    <row r="650" ht="15" customHeight="1">
      <c r="A650" t="inlineStr">
        <is>
          <t>A 2859-2025</t>
        </is>
      </c>
      <c r="B650" s="1" t="n">
        <v>45677.67003472222</v>
      </c>
      <c r="C650" s="1" t="n">
        <v>45975</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2870-2025</t>
        </is>
      </c>
      <c r="B651" s="1" t="n">
        <v>45677.68149305556</v>
      </c>
      <c r="C651" s="1" t="n">
        <v>45975</v>
      </c>
      <c r="D651" t="inlineStr">
        <is>
          <t>KALMAR LÄN</t>
        </is>
      </c>
      <c r="E651" t="inlineStr">
        <is>
          <t>VÄSTERVIK</t>
        </is>
      </c>
      <c r="G651" t="n">
        <v>1.2</v>
      </c>
      <c r="H651" t="n">
        <v>0</v>
      </c>
      <c r="I651" t="n">
        <v>0</v>
      </c>
      <c r="J651" t="n">
        <v>0</v>
      </c>
      <c r="K651" t="n">
        <v>0</v>
      </c>
      <c r="L651" t="n">
        <v>0</v>
      </c>
      <c r="M651" t="n">
        <v>0</v>
      </c>
      <c r="N651" t="n">
        <v>0</v>
      </c>
      <c r="O651" t="n">
        <v>0</v>
      </c>
      <c r="P651" t="n">
        <v>0</v>
      </c>
      <c r="Q651" t="n">
        <v>0</v>
      </c>
      <c r="R651" s="2" t="inlineStr"/>
    </row>
    <row r="652" ht="15" customHeight="1">
      <c r="A652" t="inlineStr">
        <is>
          <t>A 57019-2023</t>
        </is>
      </c>
      <c r="B652" s="1" t="n">
        <v>45244</v>
      </c>
      <c r="C652" s="1" t="n">
        <v>45975</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15106-2023</t>
        </is>
      </c>
      <c r="B653" s="1" t="n">
        <v>45016.41767361111</v>
      </c>
      <c r="C653" s="1" t="n">
        <v>45975</v>
      </c>
      <c r="D653" t="inlineStr">
        <is>
          <t>KALMAR LÄN</t>
        </is>
      </c>
      <c r="E653" t="inlineStr">
        <is>
          <t>VÄSTERVIK</t>
        </is>
      </c>
      <c r="G653" t="n">
        <v>0.4</v>
      </c>
      <c r="H653" t="n">
        <v>0</v>
      </c>
      <c r="I653" t="n">
        <v>0</v>
      </c>
      <c r="J653" t="n">
        <v>0</v>
      </c>
      <c r="K653" t="n">
        <v>0</v>
      </c>
      <c r="L653" t="n">
        <v>0</v>
      </c>
      <c r="M653" t="n">
        <v>0</v>
      </c>
      <c r="N653" t="n">
        <v>0</v>
      </c>
      <c r="O653" t="n">
        <v>0</v>
      </c>
      <c r="P653" t="n">
        <v>0</v>
      </c>
      <c r="Q653" t="n">
        <v>0</v>
      </c>
      <c r="R653" s="2" t="inlineStr"/>
    </row>
    <row r="654" ht="15" customHeight="1">
      <c r="A654" t="inlineStr">
        <is>
          <t>A 28588-2022</t>
        </is>
      </c>
      <c r="B654" s="1" t="n">
        <v>44748</v>
      </c>
      <c r="C654" s="1" t="n">
        <v>45975</v>
      </c>
      <c r="D654" t="inlineStr">
        <is>
          <t>KALMAR LÄN</t>
        </is>
      </c>
      <c r="E654" t="inlineStr">
        <is>
          <t>VÄSTERVIK</t>
        </is>
      </c>
      <c r="F654" t="inlineStr">
        <is>
          <t>Övriga Aktiebolag</t>
        </is>
      </c>
      <c r="G654" t="n">
        <v>1.7</v>
      </c>
      <c r="H654" t="n">
        <v>0</v>
      </c>
      <c r="I654" t="n">
        <v>0</v>
      </c>
      <c r="J654" t="n">
        <v>0</v>
      </c>
      <c r="K654" t="n">
        <v>0</v>
      </c>
      <c r="L654" t="n">
        <v>0</v>
      </c>
      <c r="M654" t="n">
        <v>0</v>
      </c>
      <c r="N654" t="n">
        <v>0</v>
      </c>
      <c r="O654" t="n">
        <v>0</v>
      </c>
      <c r="P654" t="n">
        <v>0</v>
      </c>
      <c r="Q654" t="n">
        <v>0</v>
      </c>
      <c r="R654" s="2" t="inlineStr"/>
    </row>
    <row r="655" ht="15" customHeight="1">
      <c r="A655" t="inlineStr">
        <is>
          <t>A 37858-2023</t>
        </is>
      </c>
      <c r="B655" s="1" t="n">
        <v>45160.40577546296</v>
      </c>
      <c r="C655" s="1" t="n">
        <v>45975</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15553-2024</t>
        </is>
      </c>
      <c r="B656" s="1" t="n">
        <v>45401.63736111111</v>
      </c>
      <c r="C656" s="1" t="n">
        <v>45975</v>
      </c>
      <c r="D656" t="inlineStr">
        <is>
          <t>KALMAR LÄN</t>
        </is>
      </c>
      <c r="E656" t="inlineStr">
        <is>
          <t>VÄSTERVIK</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14092-2025</t>
        </is>
      </c>
      <c r="B657" s="1" t="n">
        <v>45740.44686342592</v>
      </c>
      <c r="C657" s="1" t="n">
        <v>45975</v>
      </c>
      <c r="D657" t="inlineStr">
        <is>
          <t>KALMAR LÄN</t>
        </is>
      </c>
      <c r="E657" t="inlineStr">
        <is>
          <t>VÄSTERVIK</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55032-2024</t>
        </is>
      </c>
      <c r="B658" s="1" t="n">
        <v>45621.38190972222</v>
      </c>
      <c r="C658" s="1" t="n">
        <v>45975</v>
      </c>
      <c r="D658" t="inlineStr">
        <is>
          <t>KALMAR LÄN</t>
        </is>
      </c>
      <c r="E658" t="inlineStr">
        <is>
          <t>VÄSTERVIK</t>
        </is>
      </c>
      <c r="F658" t="inlineStr">
        <is>
          <t>Sveaskog</t>
        </is>
      </c>
      <c r="G658" t="n">
        <v>2.9</v>
      </c>
      <c r="H658" t="n">
        <v>0</v>
      </c>
      <c r="I658" t="n">
        <v>0</v>
      </c>
      <c r="J658" t="n">
        <v>0</v>
      </c>
      <c r="K658" t="n">
        <v>0</v>
      </c>
      <c r="L658" t="n">
        <v>0</v>
      </c>
      <c r="M658" t="n">
        <v>0</v>
      </c>
      <c r="N658" t="n">
        <v>0</v>
      </c>
      <c r="O658" t="n">
        <v>0</v>
      </c>
      <c r="P658" t="n">
        <v>0</v>
      </c>
      <c r="Q658" t="n">
        <v>0</v>
      </c>
      <c r="R658" s="2" t="inlineStr"/>
    </row>
    <row r="659" ht="15" customHeight="1">
      <c r="A659" t="inlineStr">
        <is>
          <t>A 55037-2024</t>
        </is>
      </c>
      <c r="B659" s="1" t="n">
        <v>45621.38459490741</v>
      </c>
      <c r="C659" s="1" t="n">
        <v>45975</v>
      </c>
      <c r="D659" t="inlineStr">
        <is>
          <t>KALMAR LÄN</t>
        </is>
      </c>
      <c r="E659" t="inlineStr">
        <is>
          <t>VÄSTERVIK</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55358-2024</t>
        </is>
      </c>
      <c r="B660" s="1" t="n">
        <v>45621.82039351852</v>
      </c>
      <c r="C660" s="1" t="n">
        <v>45975</v>
      </c>
      <c r="D660" t="inlineStr">
        <is>
          <t>KALMAR LÄN</t>
        </is>
      </c>
      <c r="E660" t="inlineStr">
        <is>
          <t>VÄSTERVIK</t>
        </is>
      </c>
      <c r="F660" t="inlineStr">
        <is>
          <t>Sveaskog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19551-2023</t>
        </is>
      </c>
      <c r="B661" s="1" t="n">
        <v>45049</v>
      </c>
      <c r="C661" s="1" t="n">
        <v>45975</v>
      </c>
      <c r="D661" t="inlineStr">
        <is>
          <t>KALMAR LÄN</t>
        </is>
      </c>
      <c r="E661" t="inlineStr">
        <is>
          <t>VÄSTERVIK</t>
        </is>
      </c>
      <c r="G661" t="n">
        <v>3.2</v>
      </c>
      <c r="H661" t="n">
        <v>0</v>
      </c>
      <c r="I661" t="n">
        <v>0</v>
      </c>
      <c r="J661" t="n">
        <v>0</v>
      </c>
      <c r="K661" t="n">
        <v>0</v>
      </c>
      <c r="L661" t="n">
        <v>0</v>
      </c>
      <c r="M661" t="n">
        <v>0</v>
      </c>
      <c r="N661" t="n">
        <v>0</v>
      </c>
      <c r="O661" t="n">
        <v>0</v>
      </c>
      <c r="P661" t="n">
        <v>0</v>
      </c>
      <c r="Q661" t="n">
        <v>0</v>
      </c>
      <c r="R661" s="2" t="inlineStr"/>
    </row>
    <row r="662" ht="15" customHeight="1">
      <c r="A662" t="inlineStr">
        <is>
          <t>A 13957-2025</t>
        </is>
      </c>
      <c r="B662" s="1" t="n">
        <v>45737.85231481482</v>
      </c>
      <c r="C662" s="1" t="n">
        <v>45975</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32394-2021</t>
        </is>
      </c>
      <c r="B663" s="1" t="n">
        <v>44371.63414351852</v>
      </c>
      <c r="C663" s="1" t="n">
        <v>45975</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23580-2023</t>
        </is>
      </c>
      <c r="B664" s="1" t="n">
        <v>45077</v>
      </c>
      <c r="C664" s="1" t="n">
        <v>45975</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17052-2025</t>
        </is>
      </c>
      <c r="B665" s="1" t="n">
        <v>45755.60236111111</v>
      </c>
      <c r="C665" s="1" t="n">
        <v>45975</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17054-2025</t>
        </is>
      </c>
      <c r="B666" s="1" t="n">
        <v>45755.60278935185</v>
      </c>
      <c r="C666" s="1" t="n">
        <v>45975</v>
      </c>
      <c r="D666" t="inlineStr">
        <is>
          <t>KALMAR LÄN</t>
        </is>
      </c>
      <c r="E666" t="inlineStr">
        <is>
          <t>VÄSTERVIK</t>
        </is>
      </c>
      <c r="G666" t="n">
        <v>0.4</v>
      </c>
      <c r="H666" t="n">
        <v>0</v>
      </c>
      <c r="I666" t="n">
        <v>0</v>
      </c>
      <c r="J666" t="n">
        <v>0</v>
      </c>
      <c r="K666" t="n">
        <v>0</v>
      </c>
      <c r="L666" t="n">
        <v>0</v>
      </c>
      <c r="M666" t="n">
        <v>0</v>
      </c>
      <c r="N666" t="n">
        <v>0</v>
      </c>
      <c r="O666" t="n">
        <v>0</v>
      </c>
      <c r="P666" t="n">
        <v>0</v>
      </c>
      <c r="Q666" t="n">
        <v>0</v>
      </c>
      <c r="R666" s="2" t="inlineStr"/>
    </row>
    <row r="667" ht="15" customHeight="1">
      <c r="A667" t="inlineStr">
        <is>
          <t>A 14072-2025</t>
        </is>
      </c>
      <c r="B667" s="1" t="n">
        <v>45740.42978009259</v>
      </c>
      <c r="C667" s="1" t="n">
        <v>45975</v>
      </c>
      <c r="D667" t="inlineStr">
        <is>
          <t>KALMAR LÄN</t>
        </is>
      </c>
      <c r="E667" t="inlineStr">
        <is>
          <t>VÄSTERVIK</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14075-2025</t>
        </is>
      </c>
      <c r="B668" s="1" t="n">
        <v>45740.43222222223</v>
      </c>
      <c r="C668" s="1" t="n">
        <v>45975</v>
      </c>
      <c r="D668" t="inlineStr">
        <is>
          <t>KALMAR LÄN</t>
        </is>
      </c>
      <c r="E668" t="inlineStr">
        <is>
          <t>VÄSTERVIK</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26770-2023</t>
        </is>
      </c>
      <c r="B669" s="1" t="n">
        <v>45093</v>
      </c>
      <c r="C669" s="1" t="n">
        <v>45975</v>
      </c>
      <c r="D669" t="inlineStr">
        <is>
          <t>KALMAR LÄN</t>
        </is>
      </c>
      <c r="E669" t="inlineStr">
        <is>
          <t>VÄSTERVIK</t>
        </is>
      </c>
      <c r="G669" t="n">
        <v>2.6</v>
      </c>
      <c r="H669" t="n">
        <v>0</v>
      </c>
      <c r="I669" t="n">
        <v>0</v>
      </c>
      <c r="J669" t="n">
        <v>0</v>
      </c>
      <c r="K669" t="n">
        <v>0</v>
      </c>
      <c r="L669" t="n">
        <v>0</v>
      </c>
      <c r="M669" t="n">
        <v>0</v>
      </c>
      <c r="N669" t="n">
        <v>0</v>
      </c>
      <c r="O669" t="n">
        <v>0</v>
      </c>
      <c r="P669" t="n">
        <v>0</v>
      </c>
      <c r="Q669" t="n">
        <v>0</v>
      </c>
      <c r="R669" s="2" t="inlineStr"/>
    </row>
    <row r="670" ht="15" customHeight="1">
      <c r="A670" t="inlineStr">
        <is>
          <t>A 26772-2023</t>
        </is>
      </c>
      <c r="B670" s="1" t="n">
        <v>45093</v>
      </c>
      <c r="C670" s="1" t="n">
        <v>45975</v>
      </c>
      <c r="D670" t="inlineStr">
        <is>
          <t>KALMAR LÄN</t>
        </is>
      </c>
      <c r="E670" t="inlineStr">
        <is>
          <t>VÄSTERVIK</t>
        </is>
      </c>
      <c r="G670" t="n">
        <v>2</v>
      </c>
      <c r="H670" t="n">
        <v>0</v>
      </c>
      <c r="I670" t="n">
        <v>0</v>
      </c>
      <c r="J670" t="n">
        <v>0</v>
      </c>
      <c r="K670" t="n">
        <v>0</v>
      </c>
      <c r="L670" t="n">
        <v>0</v>
      </c>
      <c r="M670" t="n">
        <v>0</v>
      </c>
      <c r="N670" t="n">
        <v>0</v>
      </c>
      <c r="O670" t="n">
        <v>0</v>
      </c>
      <c r="P670" t="n">
        <v>0</v>
      </c>
      <c r="Q670" t="n">
        <v>0</v>
      </c>
      <c r="R670" s="2" t="inlineStr"/>
    </row>
    <row r="671" ht="15" customHeight="1">
      <c r="A671" t="inlineStr">
        <is>
          <t>A 26773-2023</t>
        </is>
      </c>
      <c r="B671" s="1" t="n">
        <v>45093</v>
      </c>
      <c r="C671" s="1" t="n">
        <v>45975</v>
      </c>
      <c r="D671" t="inlineStr">
        <is>
          <t>KALMAR LÄN</t>
        </is>
      </c>
      <c r="E671" t="inlineStr">
        <is>
          <t>VÄSTERVIK</t>
        </is>
      </c>
      <c r="G671" t="n">
        <v>2.2</v>
      </c>
      <c r="H671" t="n">
        <v>0</v>
      </c>
      <c r="I671" t="n">
        <v>0</v>
      </c>
      <c r="J671" t="n">
        <v>0</v>
      </c>
      <c r="K671" t="n">
        <v>0</v>
      </c>
      <c r="L671" t="n">
        <v>0</v>
      </c>
      <c r="M671" t="n">
        <v>0</v>
      </c>
      <c r="N671" t="n">
        <v>0</v>
      </c>
      <c r="O671" t="n">
        <v>0</v>
      </c>
      <c r="P671" t="n">
        <v>0</v>
      </c>
      <c r="Q671" t="n">
        <v>0</v>
      </c>
      <c r="R671" s="2" t="inlineStr"/>
    </row>
    <row r="672" ht="15" customHeight="1">
      <c r="A672" t="inlineStr">
        <is>
          <t>A 11584-2023</t>
        </is>
      </c>
      <c r="B672" s="1" t="n">
        <v>44994.35707175926</v>
      </c>
      <c r="C672" s="1" t="n">
        <v>45975</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46130-2023</t>
        </is>
      </c>
      <c r="B673" s="1" t="n">
        <v>45196.55849537037</v>
      </c>
      <c r="C673" s="1" t="n">
        <v>45975</v>
      </c>
      <c r="D673" t="inlineStr">
        <is>
          <t>KALMAR LÄN</t>
        </is>
      </c>
      <c r="E673" t="inlineStr">
        <is>
          <t>VÄSTERVIK</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16207-2022</t>
        </is>
      </c>
      <c r="B674" s="1" t="n">
        <v>44669</v>
      </c>
      <c r="C674" s="1" t="n">
        <v>45975</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949-2024</t>
        </is>
      </c>
      <c r="B675" s="1" t="n">
        <v>45301</v>
      </c>
      <c r="C675" s="1" t="n">
        <v>45975</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38442-2025</t>
        </is>
      </c>
      <c r="B676" s="1" t="n">
        <v>45883</v>
      </c>
      <c r="C676" s="1" t="n">
        <v>45975</v>
      </c>
      <c r="D676" t="inlineStr">
        <is>
          <t>KALMAR LÄN</t>
        </is>
      </c>
      <c r="E676" t="inlineStr">
        <is>
          <t>VÄSTERVIK</t>
        </is>
      </c>
      <c r="G676" t="n">
        <v>3.5</v>
      </c>
      <c r="H676" t="n">
        <v>0</v>
      </c>
      <c r="I676" t="n">
        <v>0</v>
      </c>
      <c r="J676" t="n">
        <v>0</v>
      </c>
      <c r="K676" t="n">
        <v>0</v>
      </c>
      <c r="L676" t="n">
        <v>0</v>
      </c>
      <c r="M676" t="n">
        <v>0</v>
      </c>
      <c r="N676" t="n">
        <v>0</v>
      </c>
      <c r="O676" t="n">
        <v>0</v>
      </c>
      <c r="P676" t="n">
        <v>0</v>
      </c>
      <c r="Q676" t="n">
        <v>0</v>
      </c>
      <c r="R676" s="2" t="inlineStr"/>
    </row>
    <row r="677" ht="15" customHeight="1">
      <c r="A677" t="inlineStr">
        <is>
          <t>A 19694-2025</t>
        </is>
      </c>
      <c r="B677" s="1" t="n">
        <v>45771.30550925926</v>
      </c>
      <c r="C677" s="1" t="n">
        <v>45975</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29786-2024</t>
        </is>
      </c>
      <c r="B678" s="1" t="n">
        <v>45485.46388888889</v>
      </c>
      <c r="C678" s="1" t="n">
        <v>45975</v>
      </c>
      <c r="D678" t="inlineStr">
        <is>
          <t>KALMAR LÄN</t>
        </is>
      </c>
      <c r="E678" t="inlineStr">
        <is>
          <t>VÄSTERVIK</t>
        </is>
      </c>
      <c r="G678" t="n">
        <v>2.1</v>
      </c>
      <c r="H678" t="n">
        <v>0</v>
      </c>
      <c r="I678" t="n">
        <v>0</v>
      </c>
      <c r="J678" t="n">
        <v>0</v>
      </c>
      <c r="K678" t="n">
        <v>0</v>
      </c>
      <c r="L678" t="n">
        <v>0</v>
      </c>
      <c r="M678" t="n">
        <v>0</v>
      </c>
      <c r="N678" t="n">
        <v>0</v>
      </c>
      <c r="O678" t="n">
        <v>0</v>
      </c>
      <c r="P678" t="n">
        <v>0</v>
      </c>
      <c r="Q678" t="n">
        <v>0</v>
      </c>
      <c r="R678" s="2" t="inlineStr"/>
    </row>
    <row r="679" ht="15" customHeight="1">
      <c r="A679" t="inlineStr">
        <is>
          <t>A 56042-2023</t>
        </is>
      </c>
      <c r="B679" s="1" t="n">
        <v>45240.44670138889</v>
      </c>
      <c r="C679" s="1" t="n">
        <v>45975</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35662-2023</t>
        </is>
      </c>
      <c r="B680" s="1" t="n">
        <v>45147</v>
      </c>
      <c r="C680" s="1" t="n">
        <v>45975</v>
      </c>
      <c r="D680" t="inlineStr">
        <is>
          <t>KALMAR LÄN</t>
        </is>
      </c>
      <c r="E680" t="inlineStr">
        <is>
          <t>VÄSTERVIK</t>
        </is>
      </c>
      <c r="G680" t="n">
        <v>0.4</v>
      </c>
      <c r="H680" t="n">
        <v>0</v>
      </c>
      <c r="I680" t="n">
        <v>0</v>
      </c>
      <c r="J680" t="n">
        <v>0</v>
      </c>
      <c r="K680" t="n">
        <v>0</v>
      </c>
      <c r="L680" t="n">
        <v>0</v>
      </c>
      <c r="M680" t="n">
        <v>0</v>
      </c>
      <c r="N680" t="n">
        <v>0</v>
      </c>
      <c r="O680" t="n">
        <v>0</v>
      </c>
      <c r="P680" t="n">
        <v>0</v>
      </c>
      <c r="Q680" t="n">
        <v>0</v>
      </c>
      <c r="R680" s="2" t="inlineStr"/>
    </row>
    <row r="681" ht="15" customHeight="1">
      <c r="A681" t="inlineStr">
        <is>
          <t>A 7100-2023</t>
        </is>
      </c>
      <c r="B681" s="1" t="n">
        <v>44970.37244212963</v>
      </c>
      <c r="C681" s="1" t="n">
        <v>45975</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24881-2023</t>
        </is>
      </c>
      <c r="B682" s="1" t="n">
        <v>45085</v>
      </c>
      <c r="C682" s="1" t="n">
        <v>45975</v>
      </c>
      <c r="D682" t="inlineStr">
        <is>
          <t>KALMAR LÄN</t>
        </is>
      </c>
      <c r="E682" t="inlineStr">
        <is>
          <t>VÄSTERVIK</t>
        </is>
      </c>
      <c r="F682" t="inlineStr">
        <is>
          <t>Holmen skog AB</t>
        </is>
      </c>
      <c r="G682" t="n">
        <v>1.6</v>
      </c>
      <c r="H682" t="n">
        <v>0</v>
      </c>
      <c r="I682" t="n">
        <v>0</v>
      </c>
      <c r="J682" t="n">
        <v>0</v>
      </c>
      <c r="K682" t="n">
        <v>0</v>
      </c>
      <c r="L682" t="n">
        <v>0</v>
      </c>
      <c r="M682" t="n">
        <v>0</v>
      </c>
      <c r="N682" t="n">
        <v>0</v>
      </c>
      <c r="O682" t="n">
        <v>0</v>
      </c>
      <c r="P682" t="n">
        <v>0</v>
      </c>
      <c r="Q682" t="n">
        <v>0</v>
      </c>
      <c r="R682" s="2" t="inlineStr"/>
    </row>
    <row r="683" ht="15" customHeight="1">
      <c r="A683" t="inlineStr">
        <is>
          <t>A 39278-2024</t>
        </is>
      </c>
      <c r="B683" s="1" t="n">
        <v>45551.35216435185</v>
      </c>
      <c r="C683" s="1" t="n">
        <v>45975</v>
      </c>
      <c r="D683" t="inlineStr">
        <is>
          <t>KALMAR LÄN</t>
        </is>
      </c>
      <c r="E683" t="inlineStr">
        <is>
          <t>VÄSTERVIK</t>
        </is>
      </c>
      <c r="G683" t="n">
        <v>2.9</v>
      </c>
      <c r="H683" t="n">
        <v>0</v>
      </c>
      <c r="I683" t="n">
        <v>0</v>
      </c>
      <c r="J683" t="n">
        <v>0</v>
      </c>
      <c r="K683" t="n">
        <v>0</v>
      </c>
      <c r="L683" t="n">
        <v>0</v>
      </c>
      <c r="M683" t="n">
        <v>0</v>
      </c>
      <c r="N683" t="n">
        <v>0</v>
      </c>
      <c r="O683" t="n">
        <v>0</v>
      </c>
      <c r="P683" t="n">
        <v>0</v>
      </c>
      <c r="Q683" t="n">
        <v>0</v>
      </c>
      <c r="R683" s="2" t="inlineStr"/>
    </row>
    <row r="684" ht="15" customHeight="1">
      <c r="A684" t="inlineStr">
        <is>
          <t>A 34958-2021</t>
        </is>
      </c>
      <c r="B684" s="1" t="n">
        <v>44383</v>
      </c>
      <c r="C684" s="1" t="n">
        <v>45975</v>
      </c>
      <c r="D684" t="inlineStr">
        <is>
          <t>KALMAR LÄN</t>
        </is>
      </c>
      <c r="E684" t="inlineStr">
        <is>
          <t>VÄSTERVIK</t>
        </is>
      </c>
      <c r="G684" t="n">
        <v>2.7</v>
      </c>
      <c r="H684" t="n">
        <v>0</v>
      </c>
      <c r="I684" t="n">
        <v>0</v>
      </c>
      <c r="J684" t="n">
        <v>0</v>
      </c>
      <c r="K684" t="n">
        <v>0</v>
      </c>
      <c r="L684" t="n">
        <v>0</v>
      </c>
      <c r="M684" t="n">
        <v>0</v>
      </c>
      <c r="N684" t="n">
        <v>0</v>
      </c>
      <c r="O684" t="n">
        <v>0</v>
      </c>
      <c r="P684" t="n">
        <v>0</v>
      </c>
      <c r="Q684" t="n">
        <v>0</v>
      </c>
      <c r="R684" s="2" t="inlineStr"/>
    </row>
    <row r="685" ht="15" customHeight="1">
      <c r="A685" t="inlineStr">
        <is>
          <t>A 6616-2021</t>
        </is>
      </c>
      <c r="B685" s="1" t="n">
        <v>44236</v>
      </c>
      <c r="C685" s="1" t="n">
        <v>45975</v>
      </c>
      <c r="D685" t="inlineStr">
        <is>
          <t>KALMAR LÄN</t>
        </is>
      </c>
      <c r="E685" t="inlineStr">
        <is>
          <t>VÄSTERVIK</t>
        </is>
      </c>
      <c r="G685" t="n">
        <v>0.5</v>
      </c>
      <c r="H685" t="n">
        <v>0</v>
      </c>
      <c r="I685" t="n">
        <v>0</v>
      </c>
      <c r="J685" t="n">
        <v>0</v>
      </c>
      <c r="K685" t="n">
        <v>0</v>
      </c>
      <c r="L685" t="n">
        <v>0</v>
      </c>
      <c r="M685" t="n">
        <v>0</v>
      </c>
      <c r="N685" t="n">
        <v>0</v>
      </c>
      <c r="O685" t="n">
        <v>0</v>
      </c>
      <c r="P685" t="n">
        <v>0</v>
      </c>
      <c r="Q685" t="n">
        <v>0</v>
      </c>
      <c r="R685" s="2" t="inlineStr"/>
    </row>
    <row r="686" ht="15" customHeight="1">
      <c r="A686" t="inlineStr">
        <is>
          <t>A 21015-2025</t>
        </is>
      </c>
      <c r="B686" s="1" t="n">
        <v>45777.50200231482</v>
      </c>
      <c r="C686" s="1" t="n">
        <v>45975</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33842-2025</t>
        </is>
      </c>
      <c r="B687" s="1" t="n">
        <v>45842.48217592593</v>
      </c>
      <c r="C687" s="1" t="n">
        <v>45975</v>
      </c>
      <c r="D687" t="inlineStr">
        <is>
          <t>KALMAR LÄN</t>
        </is>
      </c>
      <c r="E687" t="inlineStr">
        <is>
          <t>VÄSTERVIK</t>
        </is>
      </c>
      <c r="G687" t="n">
        <v>2</v>
      </c>
      <c r="H687" t="n">
        <v>0</v>
      </c>
      <c r="I687" t="n">
        <v>0</v>
      </c>
      <c r="J687" t="n">
        <v>0</v>
      </c>
      <c r="K687" t="n">
        <v>0</v>
      </c>
      <c r="L687" t="n">
        <v>0</v>
      </c>
      <c r="M687" t="n">
        <v>0</v>
      </c>
      <c r="N687" t="n">
        <v>0</v>
      </c>
      <c r="O687" t="n">
        <v>0</v>
      </c>
      <c r="P687" t="n">
        <v>0</v>
      </c>
      <c r="Q687" t="n">
        <v>0</v>
      </c>
      <c r="R687" s="2" t="inlineStr"/>
    </row>
    <row r="688" ht="15" customHeight="1">
      <c r="A688" t="inlineStr">
        <is>
          <t>A 32647-2023</t>
        </is>
      </c>
      <c r="B688" s="1" t="n">
        <v>45121</v>
      </c>
      <c r="C688" s="1" t="n">
        <v>45975</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1785-2025</t>
        </is>
      </c>
      <c r="B689" s="1" t="n">
        <v>45671.45061342593</v>
      </c>
      <c r="C689" s="1" t="n">
        <v>45975</v>
      </c>
      <c r="D689" t="inlineStr">
        <is>
          <t>KALMAR LÄN</t>
        </is>
      </c>
      <c r="E689" t="inlineStr">
        <is>
          <t>VÄSTERVIK</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7164-2025</t>
        </is>
      </c>
      <c r="B690" s="1" t="n">
        <v>45702.39331018519</v>
      </c>
      <c r="C690" s="1" t="n">
        <v>45975</v>
      </c>
      <c r="D690" t="inlineStr">
        <is>
          <t>KALMAR LÄN</t>
        </is>
      </c>
      <c r="E690" t="inlineStr">
        <is>
          <t>VÄSTERVIK</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21503-2025</t>
        </is>
      </c>
      <c r="B691" s="1" t="n">
        <v>45782.61456018518</v>
      </c>
      <c r="C691" s="1" t="n">
        <v>45975</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24584-2024</t>
        </is>
      </c>
      <c r="B692" s="1" t="n">
        <v>45460</v>
      </c>
      <c r="C692" s="1" t="n">
        <v>45975</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22891-2025</t>
        </is>
      </c>
      <c r="B693" s="1" t="n">
        <v>45790.39267361111</v>
      </c>
      <c r="C693" s="1" t="n">
        <v>45975</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32764-2022</t>
        </is>
      </c>
      <c r="B694" s="1" t="n">
        <v>44783</v>
      </c>
      <c r="C694" s="1" t="n">
        <v>45975</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1585-2022</t>
        </is>
      </c>
      <c r="B695" s="1" t="n">
        <v>44573</v>
      </c>
      <c r="C695" s="1" t="n">
        <v>45975</v>
      </c>
      <c r="D695" t="inlineStr">
        <is>
          <t>KALMAR LÄN</t>
        </is>
      </c>
      <c r="E695" t="inlineStr">
        <is>
          <t>VÄSTERVIK</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4624-2023</t>
        </is>
      </c>
      <c r="B696" s="1" t="n">
        <v>44956</v>
      </c>
      <c r="C696" s="1" t="n">
        <v>45975</v>
      </c>
      <c r="D696" t="inlineStr">
        <is>
          <t>KALMAR LÄN</t>
        </is>
      </c>
      <c r="E696" t="inlineStr">
        <is>
          <t>VÄSTERVIK</t>
        </is>
      </c>
      <c r="F696" t="inlineStr">
        <is>
          <t>Holmen skog AB</t>
        </is>
      </c>
      <c r="G696" t="n">
        <v>7.1</v>
      </c>
      <c r="H696" t="n">
        <v>0</v>
      </c>
      <c r="I696" t="n">
        <v>0</v>
      </c>
      <c r="J696" t="n">
        <v>0</v>
      </c>
      <c r="K696" t="n">
        <v>0</v>
      </c>
      <c r="L696" t="n">
        <v>0</v>
      </c>
      <c r="M696" t="n">
        <v>0</v>
      </c>
      <c r="N696" t="n">
        <v>0</v>
      </c>
      <c r="O696" t="n">
        <v>0</v>
      </c>
      <c r="P696" t="n">
        <v>0</v>
      </c>
      <c r="Q696" t="n">
        <v>0</v>
      </c>
      <c r="R696" s="2" t="inlineStr"/>
    </row>
    <row r="697" ht="15" customHeight="1">
      <c r="A697" t="inlineStr">
        <is>
          <t>A 21657-2025</t>
        </is>
      </c>
      <c r="B697" s="1" t="n">
        <v>45783.45325231482</v>
      </c>
      <c r="C697" s="1" t="n">
        <v>45975</v>
      </c>
      <c r="D697" t="inlineStr">
        <is>
          <t>KALMAR LÄN</t>
        </is>
      </c>
      <c r="E697" t="inlineStr">
        <is>
          <t>VÄSTERVIK</t>
        </is>
      </c>
      <c r="F697" t="inlineStr">
        <is>
          <t>Sveaskog</t>
        </is>
      </c>
      <c r="G697" t="n">
        <v>5.8</v>
      </c>
      <c r="H697" t="n">
        <v>0</v>
      </c>
      <c r="I697" t="n">
        <v>0</v>
      </c>
      <c r="J697" t="n">
        <v>0</v>
      </c>
      <c r="K697" t="n">
        <v>0</v>
      </c>
      <c r="L697" t="n">
        <v>0</v>
      </c>
      <c r="M697" t="n">
        <v>0</v>
      </c>
      <c r="N697" t="n">
        <v>0</v>
      </c>
      <c r="O697" t="n">
        <v>0</v>
      </c>
      <c r="P697" t="n">
        <v>0</v>
      </c>
      <c r="Q697" t="n">
        <v>0</v>
      </c>
      <c r="R697" s="2" t="inlineStr"/>
    </row>
    <row r="698" ht="15" customHeight="1">
      <c r="A698" t="inlineStr">
        <is>
          <t>A 9549-2024</t>
        </is>
      </c>
      <c r="B698" s="1" t="n">
        <v>45359.87989583334</v>
      </c>
      <c r="C698" s="1" t="n">
        <v>45975</v>
      </c>
      <c r="D698" t="inlineStr">
        <is>
          <t>KALMAR LÄN</t>
        </is>
      </c>
      <c r="E698" t="inlineStr">
        <is>
          <t>VÄSTERVIK</t>
        </is>
      </c>
      <c r="F698" t="inlineStr">
        <is>
          <t>Holmen skog AB</t>
        </is>
      </c>
      <c r="G698" t="n">
        <v>2.6</v>
      </c>
      <c r="H698" t="n">
        <v>0</v>
      </c>
      <c r="I698" t="n">
        <v>0</v>
      </c>
      <c r="J698" t="n">
        <v>0</v>
      </c>
      <c r="K698" t="n">
        <v>0</v>
      </c>
      <c r="L698" t="n">
        <v>0</v>
      </c>
      <c r="M698" t="n">
        <v>0</v>
      </c>
      <c r="N698" t="n">
        <v>0</v>
      </c>
      <c r="O698" t="n">
        <v>0</v>
      </c>
      <c r="P698" t="n">
        <v>0</v>
      </c>
      <c r="Q698" t="n">
        <v>0</v>
      </c>
      <c r="R698" s="2" t="inlineStr"/>
    </row>
    <row r="699" ht="15" customHeight="1">
      <c r="A699" t="inlineStr">
        <is>
          <t>A 21991-2025</t>
        </is>
      </c>
      <c r="B699" s="1" t="n">
        <v>45784.6615625</v>
      </c>
      <c r="C699" s="1" t="n">
        <v>45975</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56077-2024</t>
        </is>
      </c>
      <c r="B700" s="1" t="n">
        <v>45624.38690972222</v>
      </c>
      <c r="C700" s="1" t="n">
        <v>45975</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3185-2023</t>
        </is>
      </c>
      <c r="B701" s="1" t="n">
        <v>44946.60753472222</v>
      </c>
      <c r="C701" s="1" t="n">
        <v>45975</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39442-2025</t>
        </is>
      </c>
      <c r="B702" s="1" t="n">
        <v>45889.6947337963</v>
      </c>
      <c r="C702" s="1" t="n">
        <v>45975</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39428-2025</t>
        </is>
      </c>
      <c r="B703" s="1" t="n">
        <v>45889.67436342593</v>
      </c>
      <c r="C703" s="1" t="n">
        <v>45975</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39430-2025</t>
        </is>
      </c>
      <c r="B704" s="1" t="n">
        <v>45889.67606481481</v>
      </c>
      <c r="C704" s="1" t="n">
        <v>45975</v>
      </c>
      <c r="D704" t="inlineStr">
        <is>
          <t>KALMAR LÄN</t>
        </is>
      </c>
      <c r="E704" t="inlineStr">
        <is>
          <t>VÄSTERVIK</t>
        </is>
      </c>
      <c r="G704" t="n">
        <v>2.7</v>
      </c>
      <c r="H704" t="n">
        <v>0</v>
      </c>
      <c r="I704" t="n">
        <v>0</v>
      </c>
      <c r="J704" t="n">
        <v>0</v>
      </c>
      <c r="K704" t="n">
        <v>0</v>
      </c>
      <c r="L704" t="n">
        <v>0</v>
      </c>
      <c r="M704" t="n">
        <v>0</v>
      </c>
      <c r="N704" t="n">
        <v>0</v>
      </c>
      <c r="O704" t="n">
        <v>0</v>
      </c>
      <c r="P704" t="n">
        <v>0</v>
      </c>
      <c r="Q704" t="n">
        <v>0</v>
      </c>
      <c r="R704" s="2" t="inlineStr"/>
    </row>
    <row r="705" ht="15" customHeight="1">
      <c r="A705" t="inlineStr">
        <is>
          <t>A 8402-2025</t>
        </is>
      </c>
      <c r="B705" s="1" t="n">
        <v>45709.38065972222</v>
      </c>
      <c r="C705" s="1" t="n">
        <v>45975</v>
      </c>
      <c r="D705" t="inlineStr">
        <is>
          <t>KALMAR LÄN</t>
        </is>
      </c>
      <c r="E705" t="inlineStr">
        <is>
          <t>VÄSTERVIK</t>
        </is>
      </c>
      <c r="G705" t="n">
        <v>4.3</v>
      </c>
      <c r="H705" t="n">
        <v>0</v>
      </c>
      <c r="I705" t="n">
        <v>0</v>
      </c>
      <c r="J705" t="n">
        <v>0</v>
      </c>
      <c r="K705" t="n">
        <v>0</v>
      </c>
      <c r="L705" t="n">
        <v>0</v>
      </c>
      <c r="M705" t="n">
        <v>0</v>
      </c>
      <c r="N705" t="n">
        <v>0</v>
      </c>
      <c r="O705" t="n">
        <v>0</v>
      </c>
      <c r="P705" t="n">
        <v>0</v>
      </c>
      <c r="Q705" t="n">
        <v>0</v>
      </c>
      <c r="R705" s="2" t="inlineStr"/>
    </row>
    <row r="706" ht="15" customHeight="1">
      <c r="A706" t="inlineStr">
        <is>
          <t>A 2098-2023</t>
        </is>
      </c>
      <c r="B706" s="1" t="n">
        <v>44939</v>
      </c>
      <c r="C706" s="1" t="n">
        <v>45975</v>
      </c>
      <c r="D706" t="inlineStr">
        <is>
          <t>KALMAR LÄN</t>
        </is>
      </c>
      <c r="E706" t="inlineStr">
        <is>
          <t>VÄSTERVIK</t>
        </is>
      </c>
      <c r="G706" t="n">
        <v>1.9</v>
      </c>
      <c r="H706" t="n">
        <v>0</v>
      </c>
      <c r="I706" t="n">
        <v>0</v>
      </c>
      <c r="J706" t="n">
        <v>0</v>
      </c>
      <c r="K706" t="n">
        <v>0</v>
      </c>
      <c r="L706" t="n">
        <v>0</v>
      </c>
      <c r="M706" t="n">
        <v>0</v>
      </c>
      <c r="N706" t="n">
        <v>0</v>
      </c>
      <c r="O706" t="n">
        <v>0</v>
      </c>
      <c r="P706" t="n">
        <v>0</v>
      </c>
      <c r="Q706" t="n">
        <v>0</v>
      </c>
      <c r="R706" s="2" t="inlineStr"/>
    </row>
    <row r="707" ht="15" customHeight="1">
      <c r="A707" t="inlineStr">
        <is>
          <t>A 28037-2024</t>
        </is>
      </c>
      <c r="B707" s="1" t="n">
        <v>45476</v>
      </c>
      <c r="C707" s="1" t="n">
        <v>45975</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39425-2025</t>
        </is>
      </c>
      <c r="B708" s="1" t="n">
        <v>45889.67297453704</v>
      </c>
      <c r="C708" s="1" t="n">
        <v>45975</v>
      </c>
      <c r="D708" t="inlineStr">
        <is>
          <t>KALMAR LÄN</t>
        </is>
      </c>
      <c r="E708" t="inlineStr">
        <is>
          <t>VÄSTERVIK</t>
        </is>
      </c>
      <c r="G708" t="n">
        <v>6.7</v>
      </c>
      <c r="H708" t="n">
        <v>0</v>
      </c>
      <c r="I708" t="n">
        <v>0</v>
      </c>
      <c r="J708" t="n">
        <v>0</v>
      </c>
      <c r="K708" t="n">
        <v>0</v>
      </c>
      <c r="L708" t="n">
        <v>0</v>
      </c>
      <c r="M708" t="n">
        <v>0</v>
      </c>
      <c r="N708" t="n">
        <v>0</v>
      </c>
      <c r="O708" t="n">
        <v>0</v>
      </c>
      <c r="P708" t="n">
        <v>0</v>
      </c>
      <c r="Q708" t="n">
        <v>0</v>
      </c>
      <c r="R708" s="2" t="inlineStr"/>
    </row>
    <row r="709" ht="15" customHeight="1">
      <c r="A709" t="inlineStr">
        <is>
          <t>A 51883-2021</t>
        </is>
      </c>
      <c r="B709" s="1" t="n">
        <v>44462.80449074074</v>
      </c>
      <c r="C709" s="1" t="n">
        <v>45975</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51884-2021</t>
        </is>
      </c>
      <c r="B710" s="1" t="n">
        <v>44462.806875</v>
      </c>
      <c r="C710" s="1" t="n">
        <v>45975</v>
      </c>
      <c r="D710" t="inlineStr">
        <is>
          <t>KALMAR LÄN</t>
        </is>
      </c>
      <c r="E710" t="inlineStr">
        <is>
          <t>VÄSTERVIK</t>
        </is>
      </c>
      <c r="G710" t="n">
        <v>1</v>
      </c>
      <c r="H710" t="n">
        <v>0</v>
      </c>
      <c r="I710" t="n">
        <v>0</v>
      </c>
      <c r="J710" t="n">
        <v>0</v>
      </c>
      <c r="K710" t="n">
        <v>0</v>
      </c>
      <c r="L710" t="n">
        <v>0</v>
      </c>
      <c r="M710" t="n">
        <v>0</v>
      </c>
      <c r="N710" t="n">
        <v>0</v>
      </c>
      <c r="O710" t="n">
        <v>0</v>
      </c>
      <c r="P710" t="n">
        <v>0</v>
      </c>
      <c r="Q710" t="n">
        <v>0</v>
      </c>
      <c r="R710" s="2" t="inlineStr"/>
    </row>
    <row r="711" ht="15" customHeight="1">
      <c r="A711" t="inlineStr">
        <is>
          <t>A 6731-2024</t>
        </is>
      </c>
      <c r="B711" s="1" t="n">
        <v>45342.38787037037</v>
      </c>
      <c r="C711" s="1" t="n">
        <v>45975</v>
      </c>
      <c r="D711" t="inlineStr">
        <is>
          <t>KALMAR LÄN</t>
        </is>
      </c>
      <c r="E711" t="inlineStr">
        <is>
          <t>VÄSTERVIK</t>
        </is>
      </c>
      <c r="F711" t="inlineStr">
        <is>
          <t>Holmen skog AB</t>
        </is>
      </c>
      <c r="G711" t="n">
        <v>6.7</v>
      </c>
      <c r="H711" t="n">
        <v>0</v>
      </c>
      <c r="I711" t="n">
        <v>0</v>
      </c>
      <c r="J711" t="n">
        <v>0</v>
      </c>
      <c r="K711" t="n">
        <v>0</v>
      </c>
      <c r="L711" t="n">
        <v>0</v>
      </c>
      <c r="M711" t="n">
        <v>0</v>
      </c>
      <c r="N711" t="n">
        <v>0</v>
      </c>
      <c r="O711" t="n">
        <v>0</v>
      </c>
      <c r="P711" t="n">
        <v>0</v>
      </c>
      <c r="Q711" t="n">
        <v>0</v>
      </c>
      <c r="R711" s="2" t="inlineStr"/>
    </row>
    <row r="712" ht="15" customHeight="1">
      <c r="A712" t="inlineStr">
        <is>
          <t>A 61728-2023</t>
        </is>
      </c>
      <c r="B712" s="1" t="n">
        <v>45265</v>
      </c>
      <c r="C712" s="1" t="n">
        <v>45975</v>
      </c>
      <c r="D712" t="inlineStr">
        <is>
          <t>KALMAR LÄN</t>
        </is>
      </c>
      <c r="E712" t="inlineStr">
        <is>
          <t>VÄSTERVIK</t>
        </is>
      </c>
      <c r="G712" t="n">
        <v>1.9</v>
      </c>
      <c r="H712" t="n">
        <v>0</v>
      </c>
      <c r="I712" t="n">
        <v>0</v>
      </c>
      <c r="J712" t="n">
        <v>0</v>
      </c>
      <c r="K712" t="n">
        <v>0</v>
      </c>
      <c r="L712" t="n">
        <v>0</v>
      </c>
      <c r="M712" t="n">
        <v>0</v>
      </c>
      <c r="N712" t="n">
        <v>0</v>
      </c>
      <c r="O712" t="n">
        <v>0</v>
      </c>
      <c r="P712" t="n">
        <v>0</v>
      </c>
      <c r="Q712" t="n">
        <v>0</v>
      </c>
      <c r="R712" s="2" t="inlineStr"/>
    </row>
    <row r="713" ht="15" customHeight="1">
      <c r="A713" t="inlineStr">
        <is>
          <t>A 35655-2023</t>
        </is>
      </c>
      <c r="B713" s="1" t="n">
        <v>45147.59408564815</v>
      </c>
      <c r="C713" s="1" t="n">
        <v>45975</v>
      </c>
      <c r="D713" t="inlineStr">
        <is>
          <t>KALMAR LÄN</t>
        </is>
      </c>
      <c r="E713" t="inlineStr">
        <is>
          <t>VÄSTERVIK</t>
        </is>
      </c>
      <c r="G713" t="n">
        <v>3.3</v>
      </c>
      <c r="H713" t="n">
        <v>0</v>
      </c>
      <c r="I713" t="n">
        <v>0</v>
      </c>
      <c r="J713" t="n">
        <v>0</v>
      </c>
      <c r="K713" t="n">
        <v>0</v>
      </c>
      <c r="L713" t="n">
        <v>0</v>
      </c>
      <c r="M713" t="n">
        <v>0</v>
      </c>
      <c r="N713" t="n">
        <v>0</v>
      </c>
      <c r="O713" t="n">
        <v>0</v>
      </c>
      <c r="P713" t="n">
        <v>0</v>
      </c>
      <c r="Q713" t="n">
        <v>0</v>
      </c>
      <c r="R713" s="2" t="inlineStr"/>
    </row>
    <row r="714" ht="15" customHeight="1">
      <c r="A714" t="inlineStr">
        <is>
          <t>A 11856-2024</t>
        </is>
      </c>
      <c r="B714" s="1" t="n">
        <v>45376.43302083333</v>
      </c>
      <c r="C714" s="1" t="n">
        <v>45975</v>
      </c>
      <c r="D714" t="inlineStr">
        <is>
          <t>KALMAR LÄN</t>
        </is>
      </c>
      <c r="E714" t="inlineStr">
        <is>
          <t>VÄSTERVIK</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48738-2025</t>
        </is>
      </c>
      <c r="B715" s="1" t="n">
        <v>45936.67061342593</v>
      </c>
      <c r="C715" s="1" t="n">
        <v>45975</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40038-2025</t>
        </is>
      </c>
      <c r="B716" s="1" t="n">
        <v>45894.39395833333</v>
      </c>
      <c r="C716" s="1" t="n">
        <v>45975</v>
      </c>
      <c r="D716" t="inlineStr">
        <is>
          <t>KALMAR LÄN</t>
        </is>
      </c>
      <c r="E716" t="inlineStr">
        <is>
          <t>VÄSTERVIK</t>
        </is>
      </c>
      <c r="G716" t="n">
        <v>3.2</v>
      </c>
      <c r="H716" t="n">
        <v>0</v>
      </c>
      <c r="I716" t="n">
        <v>0</v>
      </c>
      <c r="J716" t="n">
        <v>0</v>
      </c>
      <c r="K716" t="n">
        <v>0</v>
      </c>
      <c r="L716" t="n">
        <v>0</v>
      </c>
      <c r="M716" t="n">
        <v>0</v>
      </c>
      <c r="N716" t="n">
        <v>0</v>
      </c>
      <c r="O716" t="n">
        <v>0</v>
      </c>
      <c r="P716" t="n">
        <v>0</v>
      </c>
      <c r="Q716" t="n">
        <v>0</v>
      </c>
      <c r="R716" s="2" t="inlineStr"/>
    </row>
    <row r="717" ht="15" customHeight="1">
      <c r="A717" t="inlineStr">
        <is>
          <t>A 40165-2025</t>
        </is>
      </c>
      <c r="B717" s="1" t="n">
        <v>45894.62219907407</v>
      </c>
      <c r="C717" s="1" t="n">
        <v>45975</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58090-2021</t>
        </is>
      </c>
      <c r="B718" s="1" t="n">
        <v>44487.50277777778</v>
      </c>
      <c r="C718" s="1" t="n">
        <v>45975</v>
      </c>
      <c r="D718" t="inlineStr">
        <is>
          <t>KALMAR LÄN</t>
        </is>
      </c>
      <c r="E718" t="inlineStr">
        <is>
          <t>VÄSTERVIK</t>
        </is>
      </c>
      <c r="G718" t="n">
        <v>2.9</v>
      </c>
      <c r="H718" t="n">
        <v>0</v>
      </c>
      <c r="I718" t="n">
        <v>0</v>
      </c>
      <c r="J718" t="n">
        <v>0</v>
      </c>
      <c r="K718" t="n">
        <v>0</v>
      </c>
      <c r="L718" t="n">
        <v>0</v>
      </c>
      <c r="M718" t="n">
        <v>0</v>
      </c>
      <c r="N718" t="n">
        <v>0</v>
      </c>
      <c r="O718" t="n">
        <v>0</v>
      </c>
      <c r="P718" t="n">
        <v>0</v>
      </c>
      <c r="Q718" t="n">
        <v>0</v>
      </c>
      <c r="R718" s="2" t="inlineStr"/>
    </row>
    <row r="719" ht="15" customHeight="1">
      <c r="A719" t="inlineStr">
        <is>
          <t>A 56377-2024</t>
        </is>
      </c>
      <c r="B719" s="1" t="n">
        <v>45625.33342592593</v>
      </c>
      <c r="C719" s="1" t="n">
        <v>45975</v>
      </c>
      <c r="D719" t="inlineStr">
        <is>
          <t>KALMAR LÄN</t>
        </is>
      </c>
      <c r="E719" t="inlineStr">
        <is>
          <t>VÄSTERVIK</t>
        </is>
      </c>
      <c r="F719" t="inlineStr">
        <is>
          <t>Sveaskog</t>
        </is>
      </c>
      <c r="G719" t="n">
        <v>1.3</v>
      </c>
      <c r="H719" t="n">
        <v>0</v>
      </c>
      <c r="I719" t="n">
        <v>0</v>
      </c>
      <c r="J719" t="n">
        <v>0</v>
      </c>
      <c r="K719" t="n">
        <v>0</v>
      </c>
      <c r="L719" t="n">
        <v>0</v>
      </c>
      <c r="M719" t="n">
        <v>0</v>
      </c>
      <c r="N719" t="n">
        <v>0</v>
      </c>
      <c r="O719" t="n">
        <v>0</v>
      </c>
      <c r="P719" t="n">
        <v>0</v>
      </c>
      <c r="Q719" t="n">
        <v>0</v>
      </c>
      <c r="R719" s="2" t="inlineStr"/>
    </row>
    <row r="720" ht="15" customHeight="1">
      <c r="A720" t="inlineStr">
        <is>
          <t>A 31825-2022</t>
        </is>
      </c>
      <c r="B720" s="1" t="n">
        <v>44776.74908564815</v>
      </c>
      <c r="C720" s="1" t="n">
        <v>45975</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51496-2024</t>
        </is>
      </c>
      <c r="B721" s="1" t="n">
        <v>45604.54060185186</v>
      </c>
      <c r="C721" s="1" t="n">
        <v>45975</v>
      </c>
      <c r="D721" t="inlineStr">
        <is>
          <t>KALMAR LÄN</t>
        </is>
      </c>
      <c r="E721" t="inlineStr">
        <is>
          <t>VÄSTERVIK</t>
        </is>
      </c>
      <c r="F721" t="inlineStr">
        <is>
          <t>Övriga Aktiebolag</t>
        </is>
      </c>
      <c r="G721" t="n">
        <v>4.6</v>
      </c>
      <c r="H721" t="n">
        <v>0</v>
      </c>
      <c r="I721" t="n">
        <v>0</v>
      </c>
      <c r="J721" t="n">
        <v>0</v>
      </c>
      <c r="K721" t="n">
        <v>0</v>
      </c>
      <c r="L721" t="n">
        <v>0</v>
      </c>
      <c r="M721" t="n">
        <v>0</v>
      </c>
      <c r="N721" t="n">
        <v>0</v>
      </c>
      <c r="O721" t="n">
        <v>0</v>
      </c>
      <c r="P721" t="n">
        <v>0</v>
      </c>
      <c r="Q721" t="n">
        <v>0</v>
      </c>
      <c r="R721" s="2" t="inlineStr"/>
    </row>
    <row r="722" ht="15" customHeight="1">
      <c r="A722" t="inlineStr">
        <is>
          <t>A 57367-2023</t>
        </is>
      </c>
      <c r="B722" s="1" t="n">
        <v>45245</v>
      </c>
      <c r="C722" s="1" t="n">
        <v>45975</v>
      </c>
      <c r="D722" t="inlineStr">
        <is>
          <t>KALMAR LÄN</t>
        </is>
      </c>
      <c r="E722" t="inlineStr">
        <is>
          <t>VÄSTERVIK</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57366-2023</t>
        </is>
      </c>
      <c r="B723" s="1" t="n">
        <v>45245</v>
      </c>
      <c r="C723" s="1" t="n">
        <v>45975</v>
      </c>
      <c r="D723" t="inlineStr">
        <is>
          <t>KALMAR LÄN</t>
        </is>
      </c>
      <c r="E723" t="inlineStr">
        <is>
          <t>VÄSTERVIK</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12595-2023</t>
        </is>
      </c>
      <c r="B724" s="1" t="n">
        <v>45000.43240740741</v>
      </c>
      <c r="C724" s="1" t="n">
        <v>45975</v>
      </c>
      <c r="D724" t="inlineStr">
        <is>
          <t>KALMAR LÄN</t>
        </is>
      </c>
      <c r="E724" t="inlineStr">
        <is>
          <t>VÄSTERVIK</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23411-2022</t>
        </is>
      </c>
      <c r="B725" s="1" t="n">
        <v>44720.70361111111</v>
      </c>
      <c r="C725" s="1" t="n">
        <v>45975</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6406-2024</t>
        </is>
      </c>
      <c r="B726" s="1" t="n">
        <v>45338</v>
      </c>
      <c r="C726" s="1" t="n">
        <v>45975</v>
      </c>
      <c r="D726" t="inlineStr">
        <is>
          <t>KALMAR LÄN</t>
        </is>
      </c>
      <c r="E726" t="inlineStr">
        <is>
          <t>VÄSTERVIK</t>
        </is>
      </c>
      <c r="G726" t="n">
        <v>5.5</v>
      </c>
      <c r="H726" t="n">
        <v>0</v>
      </c>
      <c r="I726" t="n">
        <v>0</v>
      </c>
      <c r="J726" t="n">
        <v>0</v>
      </c>
      <c r="K726" t="n">
        <v>0</v>
      </c>
      <c r="L726" t="n">
        <v>0</v>
      </c>
      <c r="M726" t="n">
        <v>0</v>
      </c>
      <c r="N726" t="n">
        <v>0</v>
      </c>
      <c r="O726" t="n">
        <v>0</v>
      </c>
      <c r="P726" t="n">
        <v>0</v>
      </c>
      <c r="Q726" t="n">
        <v>0</v>
      </c>
      <c r="R726" s="2" t="inlineStr"/>
      <c r="U726">
        <f>HYPERLINK("https://klasma.github.io/Logging_0883/knärot/A 6406-2024 karta knärot.png", "A 6406-2024")</f>
        <v/>
      </c>
      <c r="V726">
        <f>HYPERLINK("https://klasma.github.io/Logging_0883/klagomål/A 6406-2024 FSC-klagomål.docx", "A 6406-2024")</f>
        <v/>
      </c>
      <c r="W726">
        <f>HYPERLINK("https://klasma.github.io/Logging_0883/klagomålsmail/A 6406-2024 FSC-klagomål mail.docx", "A 6406-2024")</f>
        <v/>
      </c>
      <c r="X726">
        <f>HYPERLINK("https://klasma.github.io/Logging_0883/tillsyn/A 6406-2024 tillsynsbegäran.docx", "A 6406-2024")</f>
        <v/>
      </c>
      <c r="Y726">
        <f>HYPERLINK("https://klasma.github.io/Logging_0883/tillsynsmail/A 6406-2024 tillsynsbegäran mail.docx", "A 6406-2024")</f>
        <v/>
      </c>
    </row>
    <row r="727" ht="15" customHeight="1">
      <c r="A727" t="inlineStr">
        <is>
          <t>A 6042-2023</t>
        </is>
      </c>
      <c r="B727" s="1" t="n">
        <v>44964</v>
      </c>
      <c r="C727" s="1" t="n">
        <v>45975</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23042-2025</t>
        </is>
      </c>
      <c r="B728" s="1" t="n">
        <v>45790.67273148148</v>
      </c>
      <c r="C728" s="1" t="n">
        <v>45975</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43828-2021</t>
        </is>
      </c>
      <c r="B729" s="1" t="n">
        <v>44433</v>
      </c>
      <c r="C729" s="1" t="n">
        <v>45975</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35960-2023</t>
        </is>
      </c>
      <c r="B730" s="1" t="n">
        <v>45148.84990740741</v>
      </c>
      <c r="C730" s="1" t="n">
        <v>45975</v>
      </c>
      <c r="D730" t="inlineStr">
        <is>
          <t>KALMAR LÄN</t>
        </is>
      </c>
      <c r="E730" t="inlineStr">
        <is>
          <t>VÄSTERVIK</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35962-2023</t>
        </is>
      </c>
      <c r="B731" s="1" t="n">
        <v>45148</v>
      </c>
      <c r="C731" s="1" t="n">
        <v>45975</v>
      </c>
      <c r="D731" t="inlineStr">
        <is>
          <t>KALMAR LÄN</t>
        </is>
      </c>
      <c r="E731" t="inlineStr">
        <is>
          <t>VÄSTERVIK</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10441-2022</t>
        </is>
      </c>
      <c r="B732" s="1" t="n">
        <v>44623</v>
      </c>
      <c r="C732" s="1" t="n">
        <v>45975</v>
      </c>
      <c r="D732" t="inlineStr">
        <is>
          <t>KALMAR LÄN</t>
        </is>
      </c>
      <c r="E732" t="inlineStr">
        <is>
          <t>VÄSTERVIK</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40168-2025</t>
        </is>
      </c>
      <c r="B733" s="1" t="n">
        <v>45894.62775462963</v>
      </c>
      <c r="C733" s="1" t="n">
        <v>45975</v>
      </c>
      <c r="D733" t="inlineStr">
        <is>
          <t>KALMAR LÄN</t>
        </is>
      </c>
      <c r="E733" t="inlineStr">
        <is>
          <t>VÄSTERVIK</t>
        </is>
      </c>
      <c r="G733" t="n">
        <v>0.3</v>
      </c>
      <c r="H733" t="n">
        <v>0</v>
      </c>
      <c r="I733" t="n">
        <v>0</v>
      </c>
      <c r="J733" t="n">
        <v>0</v>
      </c>
      <c r="K733" t="n">
        <v>0</v>
      </c>
      <c r="L733" t="n">
        <v>0</v>
      </c>
      <c r="M733" t="n">
        <v>0</v>
      </c>
      <c r="N733" t="n">
        <v>0</v>
      </c>
      <c r="O733" t="n">
        <v>0</v>
      </c>
      <c r="P733" t="n">
        <v>0</v>
      </c>
      <c r="Q733" t="n">
        <v>0</v>
      </c>
      <c r="R733" s="2" t="inlineStr"/>
    </row>
    <row r="734" ht="15" customHeight="1">
      <c r="A734" t="inlineStr">
        <is>
          <t>A 4508-2023</t>
        </is>
      </c>
      <c r="B734" s="1" t="n">
        <v>44956</v>
      </c>
      <c r="C734" s="1" t="n">
        <v>45975</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11988-2022</t>
        </is>
      </c>
      <c r="B735" s="1" t="n">
        <v>44635.68771990741</v>
      </c>
      <c r="C735" s="1" t="n">
        <v>45975</v>
      </c>
      <c r="D735" t="inlineStr">
        <is>
          <t>KALMAR LÄN</t>
        </is>
      </c>
      <c r="E735" t="inlineStr">
        <is>
          <t>VÄSTERVIK</t>
        </is>
      </c>
      <c r="G735" t="n">
        <v>1.1</v>
      </c>
      <c r="H735" t="n">
        <v>0</v>
      </c>
      <c r="I735" t="n">
        <v>0</v>
      </c>
      <c r="J735" t="n">
        <v>0</v>
      </c>
      <c r="K735" t="n">
        <v>0</v>
      </c>
      <c r="L735" t="n">
        <v>0</v>
      </c>
      <c r="M735" t="n">
        <v>0</v>
      </c>
      <c r="N735" t="n">
        <v>0</v>
      </c>
      <c r="O735" t="n">
        <v>0</v>
      </c>
      <c r="P735" t="n">
        <v>0</v>
      </c>
      <c r="Q735" t="n">
        <v>0</v>
      </c>
      <c r="R735" s="2" t="inlineStr"/>
    </row>
    <row r="736" ht="15" customHeight="1">
      <c r="A736" t="inlineStr">
        <is>
          <t>A 55866-2023</t>
        </is>
      </c>
      <c r="B736" s="1" t="n">
        <v>45239</v>
      </c>
      <c r="C736" s="1" t="n">
        <v>45975</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35770-2023</t>
        </is>
      </c>
      <c r="B737" s="1" t="n">
        <v>45147</v>
      </c>
      <c r="C737" s="1" t="n">
        <v>45975</v>
      </c>
      <c r="D737" t="inlineStr">
        <is>
          <t>KALMAR LÄN</t>
        </is>
      </c>
      <c r="E737" t="inlineStr">
        <is>
          <t>VÄSTERVIK</t>
        </is>
      </c>
      <c r="F737" t="inlineStr">
        <is>
          <t>Holmen skog AB</t>
        </is>
      </c>
      <c r="G737" t="n">
        <v>2</v>
      </c>
      <c r="H737" t="n">
        <v>0</v>
      </c>
      <c r="I737" t="n">
        <v>0</v>
      </c>
      <c r="J737" t="n">
        <v>0</v>
      </c>
      <c r="K737" t="n">
        <v>0</v>
      </c>
      <c r="L737" t="n">
        <v>0</v>
      </c>
      <c r="M737" t="n">
        <v>0</v>
      </c>
      <c r="N737" t="n">
        <v>0</v>
      </c>
      <c r="O737" t="n">
        <v>0</v>
      </c>
      <c r="P737" t="n">
        <v>0</v>
      </c>
      <c r="Q737" t="n">
        <v>0</v>
      </c>
      <c r="R737" s="2" t="inlineStr"/>
    </row>
    <row r="738" ht="15" customHeight="1">
      <c r="A738" t="inlineStr">
        <is>
          <t>A 36643-2023</t>
        </is>
      </c>
      <c r="B738" s="1" t="n">
        <v>45153</v>
      </c>
      <c r="C738" s="1" t="n">
        <v>45975</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54784-2023</t>
        </is>
      </c>
      <c r="B739" s="1" t="n">
        <v>45236.4803587963</v>
      </c>
      <c r="C739" s="1" t="n">
        <v>45975</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row>
    <row r="740" ht="15" customHeight="1">
      <c r="A740" t="inlineStr">
        <is>
          <t>A 67133-2020</t>
        </is>
      </c>
      <c r="B740" s="1" t="n">
        <v>44180</v>
      </c>
      <c r="C740" s="1" t="n">
        <v>45975</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49507-2023</t>
        </is>
      </c>
      <c r="B741" s="1" t="n">
        <v>45211.5790625</v>
      </c>
      <c r="C741" s="1" t="n">
        <v>45975</v>
      </c>
      <c r="D741" t="inlineStr">
        <is>
          <t>KALMAR LÄN</t>
        </is>
      </c>
      <c r="E741" t="inlineStr">
        <is>
          <t>VÄSTERVIK</t>
        </is>
      </c>
      <c r="F741" t="inlineStr">
        <is>
          <t>Övriga Aktiebolag</t>
        </is>
      </c>
      <c r="G741" t="n">
        <v>1</v>
      </c>
      <c r="H741" t="n">
        <v>0</v>
      </c>
      <c r="I741" t="n">
        <v>0</v>
      </c>
      <c r="J741" t="n">
        <v>0</v>
      </c>
      <c r="K741" t="n">
        <v>0</v>
      </c>
      <c r="L741" t="n">
        <v>0</v>
      </c>
      <c r="M741" t="n">
        <v>0</v>
      </c>
      <c r="N741" t="n">
        <v>0</v>
      </c>
      <c r="O741" t="n">
        <v>0</v>
      </c>
      <c r="P741" t="n">
        <v>0</v>
      </c>
      <c r="Q741" t="n">
        <v>0</v>
      </c>
      <c r="R741" s="2" t="inlineStr"/>
    </row>
    <row r="742" ht="15" customHeight="1">
      <c r="A742" t="inlineStr">
        <is>
          <t>A 49004-2025</t>
        </is>
      </c>
      <c r="B742" s="1" t="n">
        <v>45937.59958333334</v>
      </c>
      <c r="C742" s="1" t="n">
        <v>45975</v>
      </c>
      <c r="D742" t="inlineStr">
        <is>
          <t>KALMAR LÄN</t>
        </is>
      </c>
      <c r="E742" t="inlineStr">
        <is>
          <t>VÄSTERVIK</t>
        </is>
      </c>
      <c r="F742" t="inlineStr">
        <is>
          <t>Holmen skog AB</t>
        </is>
      </c>
      <c r="G742" t="n">
        <v>4.8</v>
      </c>
      <c r="H742" t="n">
        <v>0</v>
      </c>
      <c r="I742" t="n">
        <v>0</v>
      </c>
      <c r="J742" t="n">
        <v>0</v>
      </c>
      <c r="K742" t="n">
        <v>0</v>
      </c>
      <c r="L742" t="n">
        <v>0</v>
      </c>
      <c r="M742" t="n">
        <v>0</v>
      </c>
      <c r="N742" t="n">
        <v>0</v>
      </c>
      <c r="O742" t="n">
        <v>0</v>
      </c>
      <c r="P742" t="n">
        <v>0</v>
      </c>
      <c r="Q742" t="n">
        <v>0</v>
      </c>
      <c r="R742" s="2" t="inlineStr"/>
    </row>
    <row r="743" ht="15" customHeight="1">
      <c r="A743" t="inlineStr">
        <is>
          <t>A 48887-2025</t>
        </is>
      </c>
      <c r="B743" s="1" t="n">
        <v>45937.46826388889</v>
      </c>
      <c r="C743" s="1" t="n">
        <v>45975</v>
      </c>
      <c r="D743" t="inlineStr">
        <is>
          <t>KALMAR LÄN</t>
        </is>
      </c>
      <c r="E743" t="inlineStr">
        <is>
          <t>VÄSTERVIK</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48873-2025</t>
        </is>
      </c>
      <c r="B744" s="1" t="n">
        <v>45937.45417824074</v>
      </c>
      <c r="C744" s="1" t="n">
        <v>45975</v>
      </c>
      <c r="D744" t="inlineStr">
        <is>
          <t>KALMAR LÄN</t>
        </is>
      </c>
      <c r="E744" t="inlineStr">
        <is>
          <t>VÄSTERVIK</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60147-2024</t>
        </is>
      </c>
      <c r="B745" s="1" t="n">
        <v>45642.61109953704</v>
      </c>
      <c r="C745" s="1" t="n">
        <v>45975</v>
      </c>
      <c r="D745" t="inlineStr">
        <is>
          <t>KALMAR LÄN</t>
        </is>
      </c>
      <c r="E745" t="inlineStr">
        <is>
          <t>VÄSTERVIK</t>
        </is>
      </c>
      <c r="G745" t="n">
        <v>0.5</v>
      </c>
      <c r="H745" t="n">
        <v>0</v>
      </c>
      <c r="I745" t="n">
        <v>0</v>
      </c>
      <c r="J745" t="n">
        <v>0</v>
      </c>
      <c r="K745" t="n">
        <v>0</v>
      </c>
      <c r="L745" t="n">
        <v>0</v>
      </c>
      <c r="M745" t="n">
        <v>0</v>
      </c>
      <c r="N745" t="n">
        <v>0</v>
      </c>
      <c r="O745" t="n">
        <v>0</v>
      </c>
      <c r="P745" t="n">
        <v>0</v>
      </c>
      <c r="Q745" t="n">
        <v>0</v>
      </c>
      <c r="R745" s="2" t="inlineStr"/>
    </row>
    <row r="746" ht="15" customHeight="1">
      <c r="A746" t="inlineStr">
        <is>
          <t>A 7163-2025</t>
        </is>
      </c>
      <c r="B746" s="1" t="n">
        <v>45702.3918287037</v>
      </c>
      <c r="C746" s="1" t="n">
        <v>45975</v>
      </c>
      <c r="D746" t="inlineStr">
        <is>
          <t>KALMAR LÄN</t>
        </is>
      </c>
      <c r="E746" t="inlineStr">
        <is>
          <t>VÄSTERVIK</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58703-2023</t>
        </is>
      </c>
      <c r="B747" s="1" t="n">
        <v>45251</v>
      </c>
      <c r="C747" s="1" t="n">
        <v>45975</v>
      </c>
      <c r="D747" t="inlineStr">
        <is>
          <t>KALMAR LÄN</t>
        </is>
      </c>
      <c r="E747" t="inlineStr">
        <is>
          <t>VÄSTERVIK</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35417-2022</t>
        </is>
      </c>
      <c r="B748" s="1" t="n">
        <v>44798</v>
      </c>
      <c r="C748" s="1" t="n">
        <v>45975</v>
      </c>
      <c r="D748" t="inlineStr">
        <is>
          <t>KALMAR LÄN</t>
        </is>
      </c>
      <c r="E748" t="inlineStr">
        <is>
          <t>VÄSTERVIK</t>
        </is>
      </c>
      <c r="G748" t="n">
        <v>5.2</v>
      </c>
      <c r="H748" t="n">
        <v>0</v>
      </c>
      <c r="I748" t="n">
        <v>0</v>
      </c>
      <c r="J748" t="n">
        <v>0</v>
      </c>
      <c r="K748" t="n">
        <v>0</v>
      </c>
      <c r="L748" t="n">
        <v>0</v>
      </c>
      <c r="M748" t="n">
        <v>0</v>
      </c>
      <c r="N748" t="n">
        <v>0</v>
      </c>
      <c r="O748" t="n">
        <v>0</v>
      </c>
      <c r="P748" t="n">
        <v>0</v>
      </c>
      <c r="Q748" t="n">
        <v>0</v>
      </c>
      <c r="R748" s="2" t="inlineStr"/>
    </row>
    <row r="749" ht="15" customHeight="1">
      <c r="A749" t="inlineStr">
        <is>
          <t>A 49411-2025</t>
        </is>
      </c>
      <c r="B749" s="1" t="n">
        <v>45938.68115740741</v>
      </c>
      <c r="C749" s="1" t="n">
        <v>45975</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48881-2025</t>
        </is>
      </c>
      <c r="B750" s="1" t="n">
        <v>45937.46157407408</v>
      </c>
      <c r="C750" s="1" t="n">
        <v>45975</v>
      </c>
      <c r="D750" t="inlineStr">
        <is>
          <t>KALMAR LÄN</t>
        </is>
      </c>
      <c r="E750" t="inlineStr">
        <is>
          <t>VÄSTERVIK</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25238-2021</t>
        </is>
      </c>
      <c r="B751" s="1" t="n">
        <v>44342</v>
      </c>
      <c r="C751" s="1" t="n">
        <v>45975</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49708-2024</t>
        </is>
      </c>
      <c r="B752" s="1" t="n">
        <v>45596.69846064815</v>
      </c>
      <c r="C752" s="1" t="n">
        <v>45975</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16395-2024</t>
        </is>
      </c>
      <c r="B753" s="1" t="n">
        <v>45407.62733796296</v>
      </c>
      <c r="C753" s="1" t="n">
        <v>45975</v>
      </c>
      <c r="D753" t="inlineStr">
        <is>
          <t>KALMAR LÄN</t>
        </is>
      </c>
      <c r="E753" t="inlineStr">
        <is>
          <t>VÄSTERVIK</t>
        </is>
      </c>
      <c r="G753" t="n">
        <v>1.3</v>
      </c>
      <c r="H753" t="n">
        <v>0</v>
      </c>
      <c r="I753" t="n">
        <v>0</v>
      </c>
      <c r="J753" t="n">
        <v>0</v>
      </c>
      <c r="K753" t="n">
        <v>0</v>
      </c>
      <c r="L753" t="n">
        <v>0</v>
      </c>
      <c r="M753" t="n">
        <v>0</v>
      </c>
      <c r="N753" t="n">
        <v>0</v>
      </c>
      <c r="O753" t="n">
        <v>0</v>
      </c>
      <c r="P753" t="n">
        <v>0</v>
      </c>
      <c r="Q753" t="n">
        <v>0</v>
      </c>
      <c r="R753" s="2" t="inlineStr"/>
      <c r="U753">
        <f>HYPERLINK("https://klasma.github.io/Logging_0883/knärot/A 16395-2024 karta knärot.png", "A 16395-2024")</f>
        <v/>
      </c>
      <c r="V753">
        <f>HYPERLINK("https://klasma.github.io/Logging_0883/klagomål/A 16395-2024 FSC-klagomål.docx", "A 16395-2024")</f>
        <v/>
      </c>
      <c r="W753">
        <f>HYPERLINK("https://klasma.github.io/Logging_0883/klagomålsmail/A 16395-2024 FSC-klagomål mail.docx", "A 16395-2024")</f>
        <v/>
      </c>
      <c r="X753">
        <f>HYPERLINK("https://klasma.github.io/Logging_0883/tillsyn/A 16395-2024 tillsynsbegäran.docx", "A 16395-2024")</f>
        <v/>
      </c>
      <c r="Y753">
        <f>HYPERLINK("https://klasma.github.io/Logging_0883/tillsynsmail/A 16395-2024 tillsynsbegäran mail.docx", "A 16395-2024")</f>
        <v/>
      </c>
    </row>
    <row r="754" ht="15" customHeight="1">
      <c r="A754" t="inlineStr">
        <is>
          <t>A 12520-2021</t>
        </is>
      </c>
      <c r="B754" s="1" t="n">
        <v>44269</v>
      </c>
      <c r="C754" s="1" t="n">
        <v>45975</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49409-2025</t>
        </is>
      </c>
      <c r="B755" s="1" t="n">
        <v>45938.678125</v>
      </c>
      <c r="C755" s="1" t="n">
        <v>45975</v>
      </c>
      <c r="D755" t="inlineStr">
        <is>
          <t>KALMAR LÄN</t>
        </is>
      </c>
      <c r="E755" t="inlineStr">
        <is>
          <t>VÄSTERVIK</t>
        </is>
      </c>
      <c r="G755" t="n">
        <v>2.6</v>
      </c>
      <c r="H755" t="n">
        <v>0</v>
      </c>
      <c r="I755" t="n">
        <v>0</v>
      </c>
      <c r="J755" t="n">
        <v>0</v>
      </c>
      <c r="K755" t="n">
        <v>0</v>
      </c>
      <c r="L755" t="n">
        <v>0</v>
      </c>
      <c r="M755" t="n">
        <v>0</v>
      </c>
      <c r="N755" t="n">
        <v>0</v>
      </c>
      <c r="O755" t="n">
        <v>0</v>
      </c>
      <c r="P755" t="n">
        <v>0</v>
      </c>
      <c r="Q755" t="n">
        <v>0</v>
      </c>
      <c r="R755" s="2" t="inlineStr"/>
    </row>
    <row r="756" ht="15" customHeight="1">
      <c r="A756" t="inlineStr">
        <is>
          <t>A 49525-2025</t>
        </is>
      </c>
      <c r="B756" s="1" t="n">
        <v>45939.4015625</v>
      </c>
      <c r="C756" s="1" t="n">
        <v>45975</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28390-2024</t>
        </is>
      </c>
      <c r="B757" s="1" t="n">
        <v>45477</v>
      </c>
      <c r="C757" s="1" t="n">
        <v>45975</v>
      </c>
      <c r="D757" t="inlineStr">
        <is>
          <t>KALMAR LÄN</t>
        </is>
      </c>
      <c r="E757" t="inlineStr">
        <is>
          <t>VÄSTERVIK</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55958-2023</t>
        </is>
      </c>
      <c r="B758" s="1" t="n">
        <v>45240.34900462963</v>
      </c>
      <c r="C758" s="1" t="n">
        <v>45975</v>
      </c>
      <c r="D758" t="inlineStr">
        <is>
          <t>KALMAR LÄN</t>
        </is>
      </c>
      <c r="E758" t="inlineStr">
        <is>
          <t>VÄSTERVIK</t>
        </is>
      </c>
      <c r="G758" t="n">
        <v>1.6</v>
      </c>
      <c r="H758" t="n">
        <v>0</v>
      </c>
      <c r="I758" t="n">
        <v>0</v>
      </c>
      <c r="J758" t="n">
        <v>0</v>
      </c>
      <c r="K758" t="n">
        <v>0</v>
      </c>
      <c r="L758" t="n">
        <v>0</v>
      </c>
      <c r="M758" t="n">
        <v>0</v>
      </c>
      <c r="N758" t="n">
        <v>0</v>
      </c>
      <c r="O758" t="n">
        <v>0</v>
      </c>
      <c r="P758" t="n">
        <v>0</v>
      </c>
      <c r="Q758" t="n">
        <v>0</v>
      </c>
      <c r="R758" s="2" t="inlineStr"/>
    </row>
    <row r="759" ht="15" customHeight="1">
      <c r="A759" t="inlineStr">
        <is>
          <t>A 6940-2025</t>
        </is>
      </c>
      <c r="B759" s="1" t="n">
        <v>45701.46581018518</v>
      </c>
      <c r="C759" s="1" t="n">
        <v>45975</v>
      </c>
      <c r="D759" t="inlineStr">
        <is>
          <t>KALMAR LÄN</t>
        </is>
      </c>
      <c r="E759" t="inlineStr">
        <is>
          <t>VÄSTERVIK</t>
        </is>
      </c>
      <c r="G759" t="n">
        <v>1.2</v>
      </c>
      <c r="H759" t="n">
        <v>0</v>
      </c>
      <c r="I759" t="n">
        <v>0</v>
      </c>
      <c r="J759" t="n">
        <v>0</v>
      </c>
      <c r="K759" t="n">
        <v>0</v>
      </c>
      <c r="L759" t="n">
        <v>0</v>
      </c>
      <c r="M759" t="n">
        <v>0</v>
      </c>
      <c r="N759" t="n">
        <v>0</v>
      </c>
      <c r="O759" t="n">
        <v>0</v>
      </c>
      <c r="P759" t="n">
        <v>0</v>
      </c>
      <c r="Q759" t="n">
        <v>0</v>
      </c>
      <c r="R759" s="2" t="inlineStr"/>
    </row>
    <row r="760" ht="15" customHeight="1">
      <c r="A760" t="inlineStr">
        <is>
          <t>A 47939-2023</t>
        </is>
      </c>
      <c r="B760" s="1" t="n">
        <v>45204.56195601852</v>
      </c>
      <c r="C760" s="1" t="n">
        <v>45975</v>
      </c>
      <c r="D760" t="inlineStr">
        <is>
          <t>KALMAR LÄN</t>
        </is>
      </c>
      <c r="E760" t="inlineStr">
        <is>
          <t>VÄSTERVIK</t>
        </is>
      </c>
      <c r="G760" t="n">
        <v>3.7</v>
      </c>
      <c r="H760" t="n">
        <v>0</v>
      </c>
      <c r="I760" t="n">
        <v>0</v>
      </c>
      <c r="J760" t="n">
        <v>0</v>
      </c>
      <c r="K760" t="n">
        <v>0</v>
      </c>
      <c r="L760" t="n">
        <v>0</v>
      </c>
      <c r="M760" t="n">
        <v>0</v>
      </c>
      <c r="N760" t="n">
        <v>0</v>
      </c>
      <c r="O760" t="n">
        <v>0</v>
      </c>
      <c r="P760" t="n">
        <v>0</v>
      </c>
      <c r="Q760" t="n">
        <v>0</v>
      </c>
      <c r="R760" s="2" t="inlineStr"/>
    </row>
    <row r="761" ht="15" customHeight="1">
      <c r="A761" t="inlineStr">
        <is>
          <t>A 23745-2025</t>
        </is>
      </c>
      <c r="B761" s="1" t="n">
        <v>45793.44484953704</v>
      </c>
      <c r="C761" s="1" t="n">
        <v>45975</v>
      </c>
      <c r="D761" t="inlineStr">
        <is>
          <t>KALMAR LÄN</t>
        </is>
      </c>
      <c r="E761" t="inlineStr">
        <is>
          <t>VÄSTERVIK</t>
        </is>
      </c>
      <c r="F761" t="inlineStr">
        <is>
          <t>Holmen skog AB</t>
        </is>
      </c>
      <c r="G761" t="n">
        <v>3.7</v>
      </c>
      <c r="H761" t="n">
        <v>0</v>
      </c>
      <c r="I761" t="n">
        <v>0</v>
      </c>
      <c r="J761" t="n">
        <v>0</v>
      </c>
      <c r="K761" t="n">
        <v>0</v>
      </c>
      <c r="L761" t="n">
        <v>0</v>
      </c>
      <c r="M761" t="n">
        <v>0</v>
      </c>
      <c r="N761" t="n">
        <v>0</v>
      </c>
      <c r="O761" t="n">
        <v>0</v>
      </c>
      <c r="P761" t="n">
        <v>0</v>
      </c>
      <c r="Q761" t="n">
        <v>0</v>
      </c>
      <c r="R761" s="2" t="inlineStr"/>
    </row>
    <row r="762" ht="15" customHeight="1">
      <c r="A762" t="inlineStr">
        <is>
          <t>A 23739-2025</t>
        </is>
      </c>
      <c r="B762" s="1" t="n">
        <v>45793.42939814815</v>
      </c>
      <c r="C762" s="1" t="n">
        <v>45975</v>
      </c>
      <c r="D762" t="inlineStr">
        <is>
          <t>KALMAR LÄN</t>
        </is>
      </c>
      <c r="E762" t="inlineStr">
        <is>
          <t>VÄSTERVIK</t>
        </is>
      </c>
      <c r="G762" t="n">
        <v>1.4</v>
      </c>
      <c r="H762" t="n">
        <v>0</v>
      </c>
      <c r="I762" t="n">
        <v>0</v>
      </c>
      <c r="J762" t="n">
        <v>0</v>
      </c>
      <c r="K762" t="n">
        <v>0</v>
      </c>
      <c r="L762" t="n">
        <v>0</v>
      </c>
      <c r="M762" t="n">
        <v>0</v>
      </c>
      <c r="N762" t="n">
        <v>0</v>
      </c>
      <c r="O762" t="n">
        <v>0</v>
      </c>
      <c r="P762" t="n">
        <v>0</v>
      </c>
      <c r="Q762" t="n">
        <v>0</v>
      </c>
      <c r="R762" s="2" t="inlineStr"/>
    </row>
    <row r="763" ht="15" customHeight="1">
      <c r="A763" t="inlineStr">
        <is>
          <t>A 23859-2025</t>
        </is>
      </c>
      <c r="B763" s="1" t="n">
        <v>45793.65996527778</v>
      </c>
      <c r="C763" s="1" t="n">
        <v>45975</v>
      </c>
      <c r="D763" t="inlineStr">
        <is>
          <t>KALMAR LÄN</t>
        </is>
      </c>
      <c r="E763" t="inlineStr">
        <is>
          <t>VÄSTERVIK</t>
        </is>
      </c>
      <c r="F763" t="inlineStr">
        <is>
          <t>Holmen skog AB</t>
        </is>
      </c>
      <c r="G763" t="n">
        <v>17.7</v>
      </c>
      <c r="H763" t="n">
        <v>0</v>
      </c>
      <c r="I763" t="n">
        <v>0</v>
      </c>
      <c r="J763" t="n">
        <v>0</v>
      </c>
      <c r="K763" t="n">
        <v>0</v>
      </c>
      <c r="L763" t="n">
        <v>0</v>
      </c>
      <c r="M763" t="n">
        <v>0</v>
      </c>
      <c r="N763" t="n">
        <v>0</v>
      </c>
      <c r="O763" t="n">
        <v>0</v>
      </c>
      <c r="P763" t="n">
        <v>0</v>
      </c>
      <c r="Q763" t="n">
        <v>0</v>
      </c>
      <c r="R763" s="2" t="inlineStr"/>
    </row>
    <row r="764" ht="15" customHeight="1">
      <c r="A764" t="inlineStr">
        <is>
          <t>A 35652-2023</t>
        </is>
      </c>
      <c r="B764" s="1" t="n">
        <v>45147.59215277778</v>
      </c>
      <c r="C764" s="1" t="n">
        <v>45975</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49616-2025</t>
        </is>
      </c>
      <c r="B765" s="1" t="n">
        <v>45939.58503472222</v>
      </c>
      <c r="C765" s="1" t="n">
        <v>45975</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27094-2024</t>
        </is>
      </c>
      <c r="B766" s="1" t="n">
        <v>45471</v>
      </c>
      <c r="C766" s="1" t="n">
        <v>45975</v>
      </c>
      <c r="D766" t="inlineStr">
        <is>
          <t>KALMAR LÄN</t>
        </is>
      </c>
      <c r="E766" t="inlineStr">
        <is>
          <t>VÄSTERVIK</t>
        </is>
      </c>
      <c r="F766" t="inlineStr">
        <is>
          <t>Holmen skog AB</t>
        </is>
      </c>
      <c r="G766" t="n">
        <v>2.4</v>
      </c>
      <c r="H766" t="n">
        <v>0</v>
      </c>
      <c r="I766" t="n">
        <v>0</v>
      </c>
      <c r="J766" t="n">
        <v>0</v>
      </c>
      <c r="K766" t="n">
        <v>0</v>
      </c>
      <c r="L766" t="n">
        <v>0</v>
      </c>
      <c r="M766" t="n">
        <v>0</v>
      </c>
      <c r="N766" t="n">
        <v>0</v>
      </c>
      <c r="O766" t="n">
        <v>0</v>
      </c>
      <c r="P766" t="n">
        <v>0</v>
      </c>
      <c r="Q766" t="n">
        <v>0</v>
      </c>
      <c r="R766" s="2" t="inlineStr"/>
      <c r="U766">
        <f>HYPERLINK("https://klasma.github.io/Logging_0883/knärot/A 27094-2024 karta knärot.png", "A 27094-2024")</f>
        <v/>
      </c>
      <c r="V766">
        <f>HYPERLINK("https://klasma.github.io/Logging_0883/klagomål/A 27094-2024 FSC-klagomål.docx", "A 27094-2024")</f>
        <v/>
      </c>
      <c r="W766">
        <f>HYPERLINK("https://klasma.github.io/Logging_0883/klagomålsmail/A 27094-2024 FSC-klagomål mail.docx", "A 27094-2024")</f>
        <v/>
      </c>
      <c r="X766">
        <f>HYPERLINK("https://klasma.github.io/Logging_0883/tillsyn/A 27094-2024 tillsynsbegäran.docx", "A 27094-2024")</f>
        <v/>
      </c>
      <c r="Y766">
        <f>HYPERLINK("https://klasma.github.io/Logging_0883/tillsynsmail/A 27094-2024 tillsynsbegäran mail.docx", "A 27094-2024")</f>
        <v/>
      </c>
    </row>
    <row r="767" ht="15" customHeight="1">
      <c r="A767" t="inlineStr">
        <is>
          <t>A 6938-2025</t>
        </is>
      </c>
      <c r="B767" s="1" t="n">
        <v>45701.46288194445</v>
      </c>
      <c r="C767" s="1" t="n">
        <v>45975</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27568-2024</t>
        </is>
      </c>
      <c r="B768" s="1" t="n">
        <v>45474</v>
      </c>
      <c r="C768" s="1" t="n">
        <v>45975</v>
      </c>
      <c r="D768" t="inlineStr">
        <is>
          <t>KALMAR LÄN</t>
        </is>
      </c>
      <c r="E768" t="inlineStr">
        <is>
          <t>VÄSTERVIK</t>
        </is>
      </c>
      <c r="G768" t="n">
        <v>7.7</v>
      </c>
      <c r="H768" t="n">
        <v>0</v>
      </c>
      <c r="I768" t="n">
        <v>0</v>
      </c>
      <c r="J768" t="n">
        <v>0</v>
      </c>
      <c r="K768" t="n">
        <v>0</v>
      </c>
      <c r="L768" t="n">
        <v>0</v>
      </c>
      <c r="M768" t="n">
        <v>0</v>
      </c>
      <c r="N768" t="n">
        <v>0</v>
      </c>
      <c r="O768" t="n">
        <v>0</v>
      </c>
      <c r="P768" t="n">
        <v>0</v>
      </c>
      <c r="Q768" t="n">
        <v>0</v>
      </c>
      <c r="R768" s="2" t="inlineStr"/>
    </row>
    <row r="769" ht="15" customHeight="1">
      <c r="A769" t="inlineStr">
        <is>
          <t>A 10774-2025</t>
        </is>
      </c>
      <c r="B769" s="1" t="n">
        <v>45722.47424768518</v>
      </c>
      <c r="C769" s="1" t="n">
        <v>45975</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40977-2023</t>
        </is>
      </c>
      <c r="B770" s="1" t="n">
        <v>45173</v>
      </c>
      <c r="C770" s="1" t="n">
        <v>45975</v>
      </c>
      <c r="D770" t="inlineStr">
        <is>
          <t>KALMAR LÄN</t>
        </is>
      </c>
      <c r="E770" t="inlineStr">
        <is>
          <t>VÄSTERVIK</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23743-2022</t>
        </is>
      </c>
      <c r="B771" s="1" t="n">
        <v>44722.35611111111</v>
      </c>
      <c r="C771" s="1" t="n">
        <v>45975</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49539-2025</t>
        </is>
      </c>
      <c r="B772" s="1" t="n">
        <v>45939.42453703703</v>
      </c>
      <c r="C772" s="1" t="n">
        <v>45975</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49542-2025</t>
        </is>
      </c>
      <c r="B773" s="1" t="n">
        <v>45939.4284837963</v>
      </c>
      <c r="C773" s="1" t="n">
        <v>45975</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49648-2025</t>
        </is>
      </c>
      <c r="B774" s="1" t="n">
        <v>45939.62111111111</v>
      </c>
      <c r="C774" s="1" t="n">
        <v>45975</v>
      </c>
      <c r="D774" t="inlineStr">
        <is>
          <t>KALMAR LÄN</t>
        </is>
      </c>
      <c r="E774" t="inlineStr">
        <is>
          <t>VÄSTERVIK</t>
        </is>
      </c>
      <c r="F774" t="inlineStr">
        <is>
          <t>Holmen skog AB</t>
        </is>
      </c>
      <c r="G774" t="n">
        <v>7.2</v>
      </c>
      <c r="H774" t="n">
        <v>0</v>
      </c>
      <c r="I774" t="n">
        <v>0</v>
      </c>
      <c r="J774" t="n">
        <v>0</v>
      </c>
      <c r="K774" t="n">
        <v>0</v>
      </c>
      <c r="L774" t="n">
        <v>0</v>
      </c>
      <c r="M774" t="n">
        <v>0</v>
      </c>
      <c r="N774" t="n">
        <v>0</v>
      </c>
      <c r="O774" t="n">
        <v>0</v>
      </c>
      <c r="P774" t="n">
        <v>0</v>
      </c>
      <c r="Q774" t="n">
        <v>0</v>
      </c>
      <c r="R774" s="2" t="inlineStr"/>
    </row>
    <row r="775" ht="15" customHeight="1">
      <c r="A775" t="inlineStr">
        <is>
          <t>A 1115-2025</t>
        </is>
      </c>
      <c r="B775" s="1" t="n">
        <v>45666.65664351852</v>
      </c>
      <c r="C775" s="1" t="n">
        <v>45975</v>
      </c>
      <c r="D775" t="inlineStr">
        <is>
          <t>KALMAR LÄN</t>
        </is>
      </c>
      <c r="E775" t="inlineStr">
        <is>
          <t>VÄSTERVIK</t>
        </is>
      </c>
      <c r="G775" t="n">
        <v>1.9</v>
      </c>
      <c r="H775" t="n">
        <v>0</v>
      </c>
      <c r="I775" t="n">
        <v>0</v>
      </c>
      <c r="J775" t="n">
        <v>0</v>
      </c>
      <c r="K775" t="n">
        <v>0</v>
      </c>
      <c r="L775" t="n">
        <v>0</v>
      </c>
      <c r="M775" t="n">
        <v>0</v>
      </c>
      <c r="N775" t="n">
        <v>0</v>
      </c>
      <c r="O775" t="n">
        <v>0</v>
      </c>
      <c r="P775" t="n">
        <v>0</v>
      </c>
      <c r="Q775" t="n">
        <v>0</v>
      </c>
      <c r="R775" s="2" t="inlineStr"/>
    </row>
    <row r="776" ht="15" customHeight="1">
      <c r="A776" t="inlineStr">
        <is>
          <t>A 37642-2023</t>
        </is>
      </c>
      <c r="B776" s="1" t="n">
        <v>45159.47940972223</v>
      </c>
      <c r="C776" s="1" t="n">
        <v>45975</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23022-2025</t>
        </is>
      </c>
      <c r="B777" s="1" t="n">
        <v>45790.65489583334</v>
      </c>
      <c r="C777" s="1" t="n">
        <v>45975</v>
      </c>
      <c r="D777" t="inlineStr">
        <is>
          <t>KALMAR LÄN</t>
        </is>
      </c>
      <c r="E777" t="inlineStr">
        <is>
          <t>VÄSTERVIK</t>
        </is>
      </c>
      <c r="G777" t="n">
        <v>3.3</v>
      </c>
      <c r="H777" t="n">
        <v>0</v>
      </c>
      <c r="I777" t="n">
        <v>0</v>
      </c>
      <c r="J777" t="n">
        <v>0</v>
      </c>
      <c r="K777" t="n">
        <v>0</v>
      </c>
      <c r="L777" t="n">
        <v>0</v>
      </c>
      <c r="M777" t="n">
        <v>0</v>
      </c>
      <c r="N777" t="n">
        <v>0</v>
      </c>
      <c r="O777" t="n">
        <v>0</v>
      </c>
      <c r="P777" t="n">
        <v>0</v>
      </c>
      <c r="Q777" t="n">
        <v>0</v>
      </c>
      <c r="R777" s="2" t="inlineStr"/>
    </row>
    <row r="778" ht="15" customHeight="1">
      <c r="A778" t="inlineStr">
        <is>
          <t>A 54951-2023</t>
        </is>
      </c>
      <c r="B778" s="1" t="n">
        <v>45236.82902777778</v>
      </c>
      <c r="C778" s="1" t="n">
        <v>45975</v>
      </c>
      <c r="D778" t="inlineStr">
        <is>
          <t>KALMAR LÄN</t>
        </is>
      </c>
      <c r="E778" t="inlineStr">
        <is>
          <t>VÄSTERVIK</t>
        </is>
      </c>
      <c r="F778" t="inlineStr">
        <is>
          <t>Övriga Aktiebolag</t>
        </is>
      </c>
      <c r="G778" t="n">
        <v>0.9</v>
      </c>
      <c r="H778" t="n">
        <v>0</v>
      </c>
      <c r="I778" t="n">
        <v>0</v>
      </c>
      <c r="J778" t="n">
        <v>0</v>
      </c>
      <c r="K778" t="n">
        <v>0</v>
      </c>
      <c r="L778" t="n">
        <v>0</v>
      </c>
      <c r="M778" t="n">
        <v>0</v>
      </c>
      <c r="N778" t="n">
        <v>0</v>
      </c>
      <c r="O778" t="n">
        <v>0</v>
      </c>
      <c r="P778" t="n">
        <v>0</v>
      </c>
      <c r="Q778" t="n">
        <v>0</v>
      </c>
      <c r="R778" s="2" t="inlineStr"/>
    </row>
    <row r="779" ht="15" customHeight="1">
      <c r="A779" t="inlineStr">
        <is>
          <t>A 10766-2025</t>
        </is>
      </c>
      <c r="B779" s="1" t="n">
        <v>45722.4630787037</v>
      </c>
      <c r="C779" s="1" t="n">
        <v>45975</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33907-2025</t>
        </is>
      </c>
      <c r="B780" s="1" t="n">
        <v>45842.59880787037</v>
      </c>
      <c r="C780" s="1" t="n">
        <v>45975</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9770-2023</t>
        </is>
      </c>
      <c r="B781" s="1" t="n">
        <v>44984</v>
      </c>
      <c r="C781" s="1" t="n">
        <v>45975</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9792-2023</t>
        </is>
      </c>
      <c r="B782" s="1" t="n">
        <v>44984.64269675926</v>
      </c>
      <c r="C782" s="1" t="n">
        <v>45975</v>
      </c>
      <c r="D782" t="inlineStr">
        <is>
          <t>KALMAR LÄN</t>
        </is>
      </c>
      <c r="E782" t="inlineStr">
        <is>
          <t>VÄSTERVIK</t>
        </is>
      </c>
      <c r="F782" t="inlineStr">
        <is>
          <t>Holmen skog AB</t>
        </is>
      </c>
      <c r="G782" t="n">
        <v>2</v>
      </c>
      <c r="H782" t="n">
        <v>0</v>
      </c>
      <c r="I782" t="n">
        <v>0</v>
      </c>
      <c r="J782" t="n">
        <v>0</v>
      </c>
      <c r="K782" t="n">
        <v>0</v>
      </c>
      <c r="L782" t="n">
        <v>0</v>
      </c>
      <c r="M782" t="n">
        <v>0</v>
      </c>
      <c r="N782" t="n">
        <v>0</v>
      </c>
      <c r="O782" t="n">
        <v>0</v>
      </c>
      <c r="P782" t="n">
        <v>0</v>
      </c>
      <c r="Q782" t="n">
        <v>0</v>
      </c>
      <c r="R782" s="2" t="inlineStr"/>
    </row>
    <row r="783" ht="15" customHeight="1">
      <c r="A783" t="inlineStr">
        <is>
          <t>A 52049-2023</t>
        </is>
      </c>
      <c r="B783" s="1" t="n">
        <v>45216</v>
      </c>
      <c r="C783" s="1" t="n">
        <v>45975</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10803-2025</t>
        </is>
      </c>
      <c r="B784" s="1" t="n">
        <v>45722.52284722222</v>
      </c>
      <c r="C784" s="1" t="n">
        <v>45975</v>
      </c>
      <c r="D784" t="inlineStr">
        <is>
          <t>KALMAR LÄN</t>
        </is>
      </c>
      <c r="E784" t="inlineStr">
        <is>
          <t>VÄSTERVIK</t>
        </is>
      </c>
      <c r="F784" t="inlineStr">
        <is>
          <t>Övriga Aktiebolag</t>
        </is>
      </c>
      <c r="G784" t="n">
        <v>3.5</v>
      </c>
      <c r="H784" t="n">
        <v>0</v>
      </c>
      <c r="I784" t="n">
        <v>0</v>
      </c>
      <c r="J784" t="n">
        <v>0</v>
      </c>
      <c r="K784" t="n">
        <v>0</v>
      </c>
      <c r="L784" t="n">
        <v>0</v>
      </c>
      <c r="M784" t="n">
        <v>0</v>
      </c>
      <c r="N784" t="n">
        <v>0</v>
      </c>
      <c r="O784" t="n">
        <v>0</v>
      </c>
      <c r="P784" t="n">
        <v>0</v>
      </c>
      <c r="Q784" t="n">
        <v>0</v>
      </c>
      <c r="R784" s="2" t="inlineStr"/>
    </row>
    <row r="785" ht="15" customHeight="1">
      <c r="A785" t="inlineStr">
        <is>
          <t>A 34650-2023</t>
        </is>
      </c>
      <c r="B785" s="1" t="n">
        <v>45140</v>
      </c>
      <c r="C785" s="1" t="n">
        <v>45975</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30035-2023</t>
        </is>
      </c>
      <c r="B786" s="1" t="n">
        <v>45110</v>
      </c>
      <c r="C786" s="1" t="n">
        <v>45975</v>
      </c>
      <c r="D786" t="inlineStr">
        <is>
          <t>KALMAR LÄN</t>
        </is>
      </c>
      <c r="E786" t="inlineStr">
        <is>
          <t>VÄSTERVIK</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50290-2025</t>
        </is>
      </c>
      <c r="B787" s="1" t="n">
        <v>45944.40484953704</v>
      </c>
      <c r="C787" s="1" t="n">
        <v>45975</v>
      </c>
      <c r="D787" t="inlineStr">
        <is>
          <t>KALMAR LÄN</t>
        </is>
      </c>
      <c r="E787" t="inlineStr">
        <is>
          <t>VÄSTERVIK</t>
        </is>
      </c>
      <c r="F787" t="inlineStr">
        <is>
          <t>Övriga Aktiebolag</t>
        </is>
      </c>
      <c r="G787" t="n">
        <v>6.4</v>
      </c>
      <c r="H787" t="n">
        <v>0</v>
      </c>
      <c r="I787" t="n">
        <v>0</v>
      </c>
      <c r="J787" t="n">
        <v>0</v>
      </c>
      <c r="K787" t="n">
        <v>0</v>
      </c>
      <c r="L787" t="n">
        <v>0</v>
      </c>
      <c r="M787" t="n">
        <v>0</v>
      </c>
      <c r="N787" t="n">
        <v>0</v>
      </c>
      <c r="O787" t="n">
        <v>0</v>
      </c>
      <c r="P787" t="n">
        <v>0</v>
      </c>
      <c r="Q787" t="n">
        <v>0</v>
      </c>
      <c r="R787" s="2" t="inlineStr"/>
    </row>
    <row r="788" ht="15" customHeight="1">
      <c r="A788" t="inlineStr">
        <is>
          <t>A 61556-2023</t>
        </is>
      </c>
      <c r="B788" s="1" t="n">
        <v>45261</v>
      </c>
      <c r="C788" s="1" t="n">
        <v>45975</v>
      </c>
      <c r="D788" t="inlineStr">
        <is>
          <t>KALMAR LÄN</t>
        </is>
      </c>
      <c r="E788" t="inlineStr">
        <is>
          <t>VÄSTERVIK</t>
        </is>
      </c>
      <c r="F788" t="inlineStr">
        <is>
          <t>Övriga Aktiebolag</t>
        </is>
      </c>
      <c r="G788" t="n">
        <v>13.9</v>
      </c>
      <c r="H788" t="n">
        <v>0</v>
      </c>
      <c r="I788" t="n">
        <v>0</v>
      </c>
      <c r="J788" t="n">
        <v>0</v>
      </c>
      <c r="K788" t="n">
        <v>0</v>
      </c>
      <c r="L788" t="n">
        <v>0</v>
      </c>
      <c r="M788" t="n">
        <v>0</v>
      </c>
      <c r="N788" t="n">
        <v>0</v>
      </c>
      <c r="O788" t="n">
        <v>0</v>
      </c>
      <c r="P788" t="n">
        <v>0</v>
      </c>
      <c r="Q788" t="n">
        <v>0</v>
      </c>
      <c r="R788" s="2" t="inlineStr"/>
    </row>
    <row r="789" ht="15" customHeight="1">
      <c r="A789" t="inlineStr">
        <is>
          <t>A 7840-2025</t>
        </is>
      </c>
      <c r="B789" s="1" t="n">
        <v>45706.65895833333</v>
      </c>
      <c r="C789" s="1" t="n">
        <v>45975</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24819-2025</t>
        </is>
      </c>
      <c r="B790" s="1" t="n">
        <v>45799.45109953704</v>
      </c>
      <c r="C790" s="1" t="n">
        <v>45975</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34420-2024</t>
        </is>
      </c>
      <c r="B791" s="1" t="n">
        <v>45525.49710648148</v>
      </c>
      <c r="C791" s="1" t="n">
        <v>45975</v>
      </c>
      <c r="D791" t="inlineStr">
        <is>
          <t>KALMAR LÄN</t>
        </is>
      </c>
      <c r="E791" t="inlineStr">
        <is>
          <t>VÄSTERVIK</t>
        </is>
      </c>
      <c r="F791" t="inlineStr">
        <is>
          <t>Holmen skog AB</t>
        </is>
      </c>
      <c r="G791" t="n">
        <v>1.3</v>
      </c>
      <c r="H791" t="n">
        <v>0</v>
      </c>
      <c r="I791" t="n">
        <v>0</v>
      </c>
      <c r="J791" t="n">
        <v>0</v>
      </c>
      <c r="K791" t="n">
        <v>0</v>
      </c>
      <c r="L791" t="n">
        <v>0</v>
      </c>
      <c r="M791" t="n">
        <v>0</v>
      </c>
      <c r="N791" t="n">
        <v>0</v>
      </c>
      <c r="O791" t="n">
        <v>0</v>
      </c>
      <c r="P791" t="n">
        <v>0</v>
      </c>
      <c r="Q791" t="n">
        <v>0</v>
      </c>
      <c r="R791" s="2" t="inlineStr"/>
    </row>
    <row r="792" ht="15" customHeight="1">
      <c r="A792" t="inlineStr">
        <is>
          <t>A 16080-2025</t>
        </is>
      </c>
      <c r="B792" s="1" t="n">
        <v>45749.72953703703</v>
      </c>
      <c r="C792" s="1" t="n">
        <v>45975</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41926-2024</t>
        </is>
      </c>
      <c r="B793" s="1" t="n">
        <v>45561</v>
      </c>
      <c r="C793" s="1" t="n">
        <v>45975</v>
      </c>
      <c r="D793" t="inlineStr">
        <is>
          <t>KALMAR LÄN</t>
        </is>
      </c>
      <c r="E793" t="inlineStr">
        <is>
          <t>VÄSTERVIK</t>
        </is>
      </c>
      <c r="F793" t="inlineStr">
        <is>
          <t>Kyrkan</t>
        </is>
      </c>
      <c r="G793" t="n">
        <v>10</v>
      </c>
      <c r="H793" t="n">
        <v>0</v>
      </c>
      <c r="I793" t="n">
        <v>0</v>
      </c>
      <c r="J793" t="n">
        <v>0</v>
      </c>
      <c r="K793" t="n">
        <v>0</v>
      </c>
      <c r="L793" t="n">
        <v>0</v>
      </c>
      <c r="M793" t="n">
        <v>0</v>
      </c>
      <c r="N793" t="n">
        <v>0</v>
      </c>
      <c r="O793" t="n">
        <v>0</v>
      </c>
      <c r="P793" t="n">
        <v>0</v>
      </c>
      <c r="Q793" t="n">
        <v>0</v>
      </c>
      <c r="R793" s="2" t="inlineStr"/>
    </row>
    <row r="794" ht="15" customHeight="1">
      <c r="A794" t="inlineStr">
        <is>
          <t>A 14237-2024</t>
        </is>
      </c>
      <c r="B794" s="1" t="n">
        <v>45393.47158564815</v>
      </c>
      <c r="C794" s="1" t="n">
        <v>45975</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6941-2025</t>
        </is>
      </c>
      <c r="B795" s="1" t="n">
        <v>45701.46835648148</v>
      </c>
      <c r="C795" s="1" t="n">
        <v>45975</v>
      </c>
      <c r="D795" t="inlineStr">
        <is>
          <t>KALMAR LÄN</t>
        </is>
      </c>
      <c r="E795" t="inlineStr">
        <is>
          <t>VÄSTERVIK</t>
        </is>
      </c>
      <c r="G795" t="n">
        <v>1.3</v>
      </c>
      <c r="H795" t="n">
        <v>0</v>
      </c>
      <c r="I795" t="n">
        <v>0</v>
      </c>
      <c r="J795" t="n">
        <v>0</v>
      </c>
      <c r="K795" t="n">
        <v>0</v>
      </c>
      <c r="L795" t="n">
        <v>0</v>
      </c>
      <c r="M795" t="n">
        <v>0</v>
      </c>
      <c r="N795" t="n">
        <v>0</v>
      </c>
      <c r="O795" t="n">
        <v>0</v>
      </c>
      <c r="P795" t="n">
        <v>0</v>
      </c>
      <c r="Q795" t="n">
        <v>0</v>
      </c>
      <c r="R795" s="2" t="inlineStr"/>
    </row>
    <row r="796" ht="15" customHeight="1">
      <c r="A796" t="inlineStr">
        <is>
          <t>A 7381-2025</t>
        </is>
      </c>
      <c r="B796" s="1" t="n">
        <v>45705.32234953704</v>
      </c>
      <c r="C796" s="1" t="n">
        <v>45975</v>
      </c>
      <c r="D796" t="inlineStr">
        <is>
          <t>KALMAR LÄN</t>
        </is>
      </c>
      <c r="E796" t="inlineStr">
        <is>
          <t>VÄSTERVIK</t>
        </is>
      </c>
      <c r="F796" t="inlineStr">
        <is>
          <t>Kyrkan</t>
        </is>
      </c>
      <c r="G796" t="n">
        <v>4.1</v>
      </c>
      <c r="H796" t="n">
        <v>0</v>
      </c>
      <c r="I796" t="n">
        <v>0</v>
      </c>
      <c r="J796" t="n">
        <v>0</v>
      </c>
      <c r="K796" t="n">
        <v>0</v>
      </c>
      <c r="L796" t="n">
        <v>0</v>
      </c>
      <c r="M796" t="n">
        <v>0</v>
      </c>
      <c r="N796" t="n">
        <v>0</v>
      </c>
      <c r="O796" t="n">
        <v>0</v>
      </c>
      <c r="P796" t="n">
        <v>0</v>
      </c>
      <c r="Q796" t="n">
        <v>0</v>
      </c>
      <c r="R796" s="2" t="inlineStr"/>
    </row>
    <row r="797" ht="15" customHeight="1">
      <c r="A797" t="inlineStr">
        <is>
          <t>A 50692-2025</t>
        </is>
      </c>
      <c r="B797" s="1" t="n">
        <v>45945.8494212963</v>
      </c>
      <c r="C797" s="1" t="n">
        <v>45975</v>
      </c>
      <c r="D797" t="inlineStr">
        <is>
          <t>KALMAR LÄN</t>
        </is>
      </c>
      <c r="E797" t="inlineStr">
        <is>
          <t>VÄSTERVIK</t>
        </is>
      </c>
      <c r="F797" t="inlineStr">
        <is>
          <t>Övriga Aktiebolag</t>
        </is>
      </c>
      <c r="G797" t="n">
        <v>5</v>
      </c>
      <c r="H797" t="n">
        <v>0</v>
      </c>
      <c r="I797" t="n">
        <v>0</v>
      </c>
      <c r="J797" t="n">
        <v>0</v>
      </c>
      <c r="K797" t="n">
        <v>0</v>
      </c>
      <c r="L797" t="n">
        <v>0</v>
      </c>
      <c r="M797" t="n">
        <v>0</v>
      </c>
      <c r="N797" t="n">
        <v>0</v>
      </c>
      <c r="O797" t="n">
        <v>0</v>
      </c>
      <c r="P797" t="n">
        <v>0</v>
      </c>
      <c r="Q797" t="n">
        <v>0</v>
      </c>
      <c r="R797" s="2" t="inlineStr"/>
    </row>
    <row r="798" ht="15" customHeight="1">
      <c r="A798" t="inlineStr">
        <is>
          <t>A 4579-2023</t>
        </is>
      </c>
      <c r="B798" s="1" t="n">
        <v>44956.72383101852</v>
      </c>
      <c r="C798" s="1" t="n">
        <v>45975</v>
      </c>
      <c r="D798" t="inlineStr">
        <is>
          <t>KALMAR LÄN</t>
        </is>
      </c>
      <c r="E798" t="inlineStr">
        <is>
          <t>VÄSTERVIK</t>
        </is>
      </c>
      <c r="G798" t="n">
        <v>2.2</v>
      </c>
      <c r="H798" t="n">
        <v>0</v>
      </c>
      <c r="I798" t="n">
        <v>0</v>
      </c>
      <c r="J798" t="n">
        <v>0</v>
      </c>
      <c r="K798" t="n">
        <v>0</v>
      </c>
      <c r="L798" t="n">
        <v>0</v>
      </c>
      <c r="M798" t="n">
        <v>0</v>
      </c>
      <c r="N798" t="n">
        <v>0</v>
      </c>
      <c r="O798" t="n">
        <v>0</v>
      </c>
      <c r="P798" t="n">
        <v>0</v>
      </c>
      <c r="Q798" t="n">
        <v>0</v>
      </c>
      <c r="R798" s="2" t="inlineStr"/>
    </row>
    <row r="799" ht="15" customHeight="1">
      <c r="A799" t="inlineStr">
        <is>
          <t>A 65059-2023</t>
        </is>
      </c>
      <c r="B799" s="1" t="n">
        <v>45287</v>
      </c>
      <c r="C799" s="1" t="n">
        <v>45975</v>
      </c>
      <c r="D799" t="inlineStr">
        <is>
          <t>KALMAR LÄN</t>
        </is>
      </c>
      <c r="E799" t="inlineStr">
        <is>
          <t>VÄSTERVIK</t>
        </is>
      </c>
      <c r="F799" t="inlineStr">
        <is>
          <t>Holmen skog AB</t>
        </is>
      </c>
      <c r="G799" t="n">
        <v>4.9</v>
      </c>
      <c r="H799" t="n">
        <v>0</v>
      </c>
      <c r="I799" t="n">
        <v>0</v>
      </c>
      <c r="J799" t="n">
        <v>0</v>
      </c>
      <c r="K799" t="n">
        <v>0</v>
      </c>
      <c r="L799" t="n">
        <v>0</v>
      </c>
      <c r="M799" t="n">
        <v>0</v>
      </c>
      <c r="N799" t="n">
        <v>0</v>
      </c>
      <c r="O799" t="n">
        <v>0</v>
      </c>
      <c r="P799" t="n">
        <v>0</v>
      </c>
      <c r="Q799" t="n">
        <v>0</v>
      </c>
      <c r="R799" s="2" t="inlineStr"/>
    </row>
    <row r="800" ht="15" customHeight="1">
      <c r="A800" t="inlineStr">
        <is>
          <t>A 17315-2023</t>
        </is>
      </c>
      <c r="B800" s="1" t="n">
        <v>45035.54475694444</v>
      </c>
      <c r="C800" s="1" t="n">
        <v>45975</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25819-2025</t>
        </is>
      </c>
      <c r="B801" s="1" t="n">
        <v>45804.43547453704</v>
      </c>
      <c r="C801" s="1" t="n">
        <v>45975</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25827-2025</t>
        </is>
      </c>
      <c r="B802" s="1" t="n">
        <v>45804.443125</v>
      </c>
      <c r="C802" s="1" t="n">
        <v>45975</v>
      </c>
      <c r="D802" t="inlineStr">
        <is>
          <t>KALMAR LÄN</t>
        </is>
      </c>
      <c r="E802" t="inlineStr">
        <is>
          <t>VÄSTERVIK</t>
        </is>
      </c>
      <c r="G802" t="n">
        <v>1.8</v>
      </c>
      <c r="H802" t="n">
        <v>0</v>
      </c>
      <c r="I802" t="n">
        <v>0</v>
      </c>
      <c r="J802" t="n">
        <v>0</v>
      </c>
      <c r="K802" t="n">
        <v>0</v>
      </c>
      <c r="L802" t="n">
        <v>0</v>
      </c>
      <c r="M802" t="n">
        <v>0</v>
      </c>
      <c r="N802" t="n">
        <v>0</v>
      </c>
      <c r="O802" t="n">
        <v>0</v>
      </c>
      <c r="P802" t="n">
        <v>0</v>
      </c>
      <c r="Q802" t="n">
        <v>0</v>
      </c>
      <c r="R802" s="2" t="inlineStr"/>
    </row>
    <row r="803" ht="15" customHeight="1">
      <c r="A803" t="inlineStr">
        <is>
          <t>A 14529-2022</t>
        </is>
      </c>
      <c r="B803" s="1" t="n">
        <v>44655</v>
      </c>
      <c r="C803" s="1" t="n">
        <v>45975</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19608-2025</t>
        </is>
      </c>
      <c r="B804" s="1" t="n">
        <v>45770.60177083333</v>
      </c>
      <c r="C804" s="1" t="n">
        <v>45975</v>
      </c>
      <c r="D804" t="inlineStr">
        <is>
          <t>KALMAR LÄN</t>
        </is>
      </c>
      <c r="E804" t="inlineStr">
        <is>
          <t>VÄSTERVIK</t>
        </is>
      </c>
      <c r="G804" t="n">
        <v>3.5</v>
      </c>
      <c r="H804" t="n">
        <v>0</v>
      </c>
      <c r="I804" t="n">
        <v>0</v>
      </c>
      <c r="J804" t="n">
        <v>0</v>
      </c>
      <c r="K804" t="n">
        <v>0</v>
      </c>
      <c r="L804" t="n">
        <v>0</v>
      </c>
      <c r="M804" t="n">
        <v>0</v>
      </c>
      <c r="N804" t="n">
        <v>0</v>
      </c>
      <c r="O804" t="n">
        <v>0</v>
      </c>
      <c r="P804" t="n">
        <v>0</v>
      </c>
      <c r="Q804" t="n">
        <v>0</v>
      </c>
      <c r="R804" s="2" t="inlineStr"/>
    </row>
    <row r="805" ht="15" customHeight="1">
      <c r="A805" t="inlineStr">
        <is>
          <t>A 63018-2023</t>
        </is>
      </c>
      <c r="B805" s="1" t="n">
        <v>45272</v>
      </c>
      <c r="C805" s="1" t="n">
        <v>45975</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50690-2025</t>
        </is>
      </c>
      <c r="B806" s="1" t="n">
        <v>45945.84136574074</v>
      </c>
      <c r="C806" s="1" t="n">
        <v>45975</v>
      </c>
      <c r="D806" t="inlineStr">
        <is>
          <t>KALMAR LÄN</t>
        </is>
      </c>
      <c r="E806" t="inlineStr">
        <is>
          <t>VÄSTERVIK</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34672-2022</t>
        </is>
      </c>
      <c r="B807" s="1" t="n">
        <v>44795.48444444445</v>
      </c>
      <c r="C807" s="1" t="n">
        <v>45975</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2866-2025</t>
        </is>
      </c>
      <c r="B808" s="1" t="n">
        <v>45677.67711805556</v>
      </c>
      <c r="C808" s="1" t="n">
        <v>45975</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3467-2025</t>
        </is>
      </c>
      <c r="B809" s="1" t="n">
        <v>45680.50885416667</v>
      </c>
      <c r="C809" s="1" t="n">
        <v>45975</v>
      </c>
      <c r="D809" t="inlineStr">
        <is>
          <t>KALMAR LÄN</t>
        </is>
      </c>
      <c r="E809" t="inlineStr">
        <is>
          <t>VÄSTERVIK</t>
        </is>
      </c>
      <c r="G809" t="n">
        <v>2.7</v>
      </c>
      <c r="H809" t="n">
        <v>0</v>
      </c>
      <c r="I809" t="n">
        <v>0</v>
      </c>
      <c r="J809" t="n">
        <v>0</v>
      </c>
      <c r="K809" t="n">
        <v>0</v>
      </c>
      <c r="L809" t="n">
        <v>0</v>
      </c>
      <c r="M809" t="n">
        <v>0</v>
      </c>
      <c r="N809" t="n">
        <v>0</v>
      </c>
      <c r="O809" t="n">
        <v>0</v>
      </c>
      <c r="P809" t="n">
        <v>0</v>
      </c>
      <c r="Q809" t="n">
        <v>0</v>
      </c>
      <c r="R809" s="2" t="inlineStr"/>
    </row>
    <row r="810" ht="15" customHeight="1">
      <c r="A810" t="inlineStr">
        <is>
          <t>A 41993-2025</t>
        </is>
      </c>
      <c r="B810" s="1" t="n">
        <v>45903.54821759259</v>
      </c>
      <c r="C810" s="1" t="n">
        <v>45975</v>
      </c>
      <c r="D810" t="inlineStr">
        <is>
          <t>KALMAR LÄN</t>
        </is>
      </c>
      <c r="E810" t="inlineStr">
        <is>
          <t>VÄSTERVIK</t>
        </is>
      </c>
      <c r="G810" t="n">
        <v>1.8</v>
      </c>
      <c r="H810" t="n">
        <v>0</v>
      </c>
      <c r="I810" t="n">
        <v>0</v>
      </c>
      <c r="J810" t="n">
        <v>0</v>
      </c>
      <c r="K810" t="n">
        <v>0</v>
      </c>
      <c r="L810" t="n">
        <v>0</v>
      </c>
      <c r="M810" t="n">
        <v>0</v>
      </c>
      <c r="N810" t="n">
        <v>0</v>
      </c>
      <c r="O810" t="n">
        <v>0</v>
      </c>
      <c r="P810" t="n">
        <v>0</v>
      </c>
      <c r="Q810" t="n">
        <v>0</v>
      </c>
      <c r="R810" s="2" t="inlineStr"/>
    </row>
    <row r="811" ht="15" customHeight="1">
      <c r="A811" t="inlineStr">
        <is>
          <t>A 6021-2024</t>
        </is>
      </c>
      <c r="B811" s="1" t="n">
        <v>45336.62131944444</v>
      </c>
      <c r="C811" s="1" t="n">
        <v>45975</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55287-2023</t>
        </is>
      </c>
      <c r="B812" s="1" t="n">
        <v>45237.75578703704</v>
      </c>
      <c r="C812" s="1" t="n">
        <v>45975</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42130-2022</t>
        </is>
      </c>
      <c r="B813" s="1" t="n">
        <v>44830</v>
      </c>
      <c r="C813" s="1" t="n">
        <v>45975</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2951-2025</t>
        </is>
      </c>
      <c r="B814" s="1" t="n">
        <v>45678</v>
      </c>
      <c r="C814" s="1" t="n">
        <v>45975</v>
      </c>
      <c r="D814" t="inlineStr">
        <is>
          <t>KALMAR LÄN</t>
        </is>
      </c>
      <c r="E814" t="inlineStr">
        <is>
          <t>VÄSTERVIK</t>
        </is>
      </c>
      <c r="G814" t="n">
        <v>0.5</v>
      </c>
      <c r="H814" t="n">
        <v>0</v>
      </c>
      <c r="I814" t="n">
        <v>0</v>
      </c>
      <c r="J814" t="n">
        <v>0</v>
      </c>
      <c r="K814" t="n">
        <v>0</v>
      </c>
      <c r="L814" t="n">
        <v>0</v>
      </c>
      <c r="M814" t="n">
        <v>0</v>
      </c>
      <c r="N814" t="n">
        <v>0</v>
      </c>
      <c r="O814" t="n">
        <v>0</v>
      </c>
      <c r="P814" t="n">
        <v>0</v>
      </c>
      <c r="Q814" t="n">
        <v>0</v>
      </c>
      <c r="R814" s="2" t="inlineStr"/>
    </row>
    <row r="815" ht="15" customHeight="1">
      <c r="A815" t="inlineStr">
        <is>
          <t>A 50539-2025</t>
        </is>
      </c>
      <c r="B815" s="1" t="n">
        <v>45945.49340277778</v>
      </c>
      <c r="C815" s="1" t="n">
        <v>45975</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12455-2025</t>
        </is>
      </c>
      <c r="B816" s="1" t="n">
        <v>45730</v>
      </c>
      <c r="C816" s="1" t="n">
        <v>45975</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9760-2024</t>
        </is>
      </c>
      <c r="B817" s="1" t="n">
        <v>45362</v>
      </c>
      <c r="C817" s="1" t="n">
        <v>45975</v>
      </c>
      <c r="D817" t="inlineStr">
        <is>
          <t>KALMAR LÄN</t>
        </is>
      </c>
      <c r="E817" t="inlineStr">
        <is>
          <t>VÄSTERVIK</t>
        </is>
      </c>
      <c r="G817" t="n">
        <v>2.1</v>
      </c>
      <c r="H817" t="n">
        <v>0</v>
      </c>
      <c r="I817" t="n">
        <v>0</v>
      </c>
      <c r="J817" t="n">
        <v>0</v>
      </c>
      <c r="K817" t="n">
        <v>0</v>
      </c>
      <c r="L817" t="n">
        <v>0</v>
      </c>
      <c r="M817" t="n">
        <v>0</v>
      </c>
      <c r="N817" t="n">
        <v>0</v>
      </c>
      <c r="O817" t="n">
        <v>0</v>
      </c>
      <c r="P817" t="n">
        <v>0</v>
      </c>
      <c r="Q817" t="n">
        <v>0</v>
      </c>
      <c r="R817" s="2" t="inlineStr"/>
    </row>
    <row r="818" ht="15" customHeight="1">
      <c r="A818" t="inlineStr">
        <is>
          <t>A 47267-2023</t>
        </is>
      </c>
      <c r="B818" s="1" t="n">
        <v>45202.42667824074</v>
      </c>
      <c r="C818" s="1" t="n">
        <v>45975</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50651-2025</t>
        </is>
      </c>
      <c r="B819" s="1" t="n">
        <v>45945.66497685185</v>
      </c>
      <c r="C819" s="1" t="n">
        <v>45975</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2168-2024</t>
        </is>
      </c>
      <c r="B820" s="1" t="n">
        <v>45309.61756944445</v>
      </c>
      <c r="C820" s="1" t="n">
        <v>45975</v>
      </c>
      <c r="D820" t="inlineStr">
        <is>
          <t>KALMAR LÄN</t>
        </is>
      </c>
      <c r="E820" t="inlineStr">
        <is>
          <t>VÄSTERVIK</t>
        </is>
      </c>
      <c r="G820" t="n">
        <v>2</v>
      </c>
      <c r="H820" t="n">
        <v>0</v>
      </c>
      <c r="I820" t="n">
        <v>0</v>
      </c>
      <c r="J820" t="n">
        <v>0</v>
      </c>
      <c r="K820" t="n">
        <v>0</v>
      </c>
      <c r="L820" t="n">
        <v>0</v>
      </c>
      <c r="M820" t="n">
        <v>0</v>
      </c>
      <c r="N820" t="n">
        <v>0</v>
      </c>
      <c r="O820" t="n">
        <v>0</v>
      </c>
      <c r="P820" t="n">
        <v>0</v>
      </c>
      <c r="Q820" t="n">
        <v>0</v>
      </c>
      <c r="R820" s="2" t="inlineStr"/>
    </row>
    <row r="821" ht="15" customHeight="1">
      <c r="A821" t="inlineStr">
        <is>
          <t>A 50679-2025</t>
        </is>
      </c>
      <c r="B821" s="1" t="n">
        <v>45945.7796875</v>
      </c>
      <c r="C821" s="1" t="n">
        <v>45975</v>
      </c>
      <c r="D821" t="inlineStr">
        <is>
          <t>KALMAR LÄN</t>
        </is>
      </c>
      <c r="E821" t="inlineStr">
        <is>
          <t>VÄSTERVIK</t>
        </is>
      </c>
      <c r="F821" t="inlineStr">
        <is>
          <t>Övriga Aktiebolag</t>
        </is>
      </c>
      <c r="G821" t="n">
        <v>2.3</v>
      </c>
      <c r="H821" t="n">
        <v>0</v>
      </c>
      <c r="I821" t="n">
        <v>0</v>
      </c>
      <c r="J821" t="n">
        <v>0</v>
      </c>
      <c r="K821" t="n">
        <v>0</v>
      </c>
      <c r="L821" t="n">
        <v>0</v>
      </c>
      <c r="M821" t="n">
        <v>0</v>
      </c>
      <c r="N821" t="n">
        <v>0</v>
      </c>
      <c r="O821" t="n">
        <v>0</v>
      </c>
      <c r="P821" t="n">
        <v>0</v>
      </c>
      <c r="Q821" t="n">
        <v>0</v>
      </c>
      <c r="R821" s="2" t="inlineStr"/>
    </row>
    <row r="822" ht="15" customHeight="1">
      <c r="A822" t="inlineStr">
        <is>
          <t>A 10688-2024</t>
        </is>
      </c>
      <c r="B822" s="1" t="n">
        <v>45369.39894675926</v>
      </c>
      <c r="C822" s="1" t="n">
        <v>45975</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37936-2022</t>
        </is>
      </c>
      <c r="B823" s="1" t="n">
        <v>44811.46958333333</v>
      </c>
      <c r="C823" s="1" t="n">
        <v>45975</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29404-2024</t>
        </is>
      </c>
      <c r="B824" s="1" t="n">
        <v>45483</v>
      </c>
      <c r="C824" s="1" t="n">
        <v>45975</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55289-2023</t>
        </is>
      </c>
      <c r="B825" s="1" t="n">
        <v>45237.76106481482</v>
      </c>
      <c r="C825" s="1" t="n">
        <v>45975</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33207-2022</t>
        </is>
      </c>
      <c r="B826" s="1" t="n">
        <v>44785.72373842593</v>
      </c>
      <c r="C826" s="1" t="n">
        <v>45975</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33210-2022</t>
        </is>
      </c>
      <c r="B827" s="1" t="n">
        <v>44785.74811342593</v>
      </c>
      <c r="C827" s="1" t="n">
        <v>45975</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10515-2024</t>
        </is>
      </c>
      <c r="B828" s="1" t="n">
        <v>45366</v>
      </c>
      <c r="C828" s="1" t="n">
        <v>45975</v>
      </c>
      <c r="D828" t="inlineStr">
        <is>
          <t>KALMAR LÄN</t>
        </is>
      </c>
      <c r="E828" t="inlineStr">
        <is>
          <t>VÄSTERVIK</t>
        </is>
      </c>
      <c r="F828" t="inlineStr">
        <is>
          <t>Kyrkan</t>
        </is>
      </c>
      <c r="G828" t="n">
        <v>3.5</v>
      </c>
      <c r="H828" t="n">
        <v>0</v>
      </c>
      <c r="I828" t="n">
        <v>0</v>
      </c>
      <c r="J828" t="n">
        <v>0</v>
      </c>
      <c r="K828" t="n">
        <v>0</v>
      </c>
      <c r="L828" t="n">
        <v>0</v>
      </c>
      <c r="M828" t="n">
        <v>0</v>
      </c>
      <c r="N828" t="n">
        <v>0</v>
      </c>
      <c r="O828" t="n">
        <v>0</v>
      </c>
      <c r="P828" t="n">
        <v>0</v>
      </c>
      <c r="Q828" t="n">
        <v>0</v>
      </c>
      <c r="R828" s="2" t="inlineStr"/>
    </row>
    <row r="829" ht="15" customHeight="1">
      <c r="A829" t="inlineStr">
        <is>
          <t>A 46088-2023</t>
        </is>
      </c>
      <c r="B829" s="1" t="n">
        <v>45196.50065972222</v>
      </c>
      <c r="C829" s="1" t="n">
        <v>45975</v>
      </c>
      <c r="D829" t="inlineStr">
        <is>
          <t>KALMAR LÄN</t>
        </is>
      </c>
      <c r="E829" t="inlineStr">
        <is>
          <t>VÄSTERVIK</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46121-2023</t>
        </is>
      </c>
      <c r="B830" s="1" t="n">
        <v>45196.55392361111</v>
      </c>
      <c r="C830" s="1" t="n">
        <v>45975</v>
      </c>
      <c r="D830" t="inlineStr">
        <is>
          <t>KALMAR LÄN</t>
        </is>
      </c>
      <c r="E830" t="inlineStr">
        <is>
          <t>VÄSTERVIK</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51513-2025</t>
        </is>
      </c>
      <c r="B831" s="1" t="n">
        <v>45950.65234953703</v>
      </c>
      <c r="C831" s="1" t="n">
        <v>45975</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51520-2025</t>
        </is>
      </c>
      <c r="B832" s="1" t="n">
        <v>45950.65695601852</v>
      </c>
      <c r="C832" s="1" t="n">
        <v>45975</v>
      </c>
      <c r="D832" t="inlineStr">
        <is>
          <t>KALMAR LÄN</t>
        </is>
      </c>
      <c r="E832" t="inlineStr">
        <is>
          <t>VÄSTERVIK</t>
        </is>
      </c>
      <c r="G832" t="n">
        <v>3.6</v>
      </c>
      <c r="H832" t="n">
        <v>0</v>
      </c>
      <c r="I832" t="n">
        <v>0</v>
      </c>
      <c r="J832" t="n">
        <v>0</v>
      </c>
      <c r="K832" t="n">
        <v>0</v>
      </c>
      <c r="L832" t="n">
        <v>0</v>
      </c>
      <c r="M832" t="n">
        <v>0</v>
      </c>
      <c r="N832" t="n">
        <v>0</v>
      </c>
      <c r="O832" t="n">
        <v>0</v>
      </c>
      <c r="P832" t="n">
        <v>0</v>
      </c>
      <c r="Q832" t="n">
        <v>0</v>
      </c>
      <c r="R832" s="2" t="inlineStr"/>
    </row>
    <row r="833" ht="15" customHeight="1">
      <c r="A833" t="inlineStr">
        <is>
          <t>A 61450-2023</t>
        </is>
      </c>
      <c r="B833" s="1" t="n">
        <v>45264.8162037037</v>
      </c>
      <c r="C833" s="1" t="n">
        <v>45975</v>
      </c>
      <c r="D833" t="inlineStr">
        <is>
          <t>KALMAR LÄN</t>
        </is>
      </c>
      <c r="E833" t="inlineStr">
        <is>
          <t>VÄSTERVIK</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56033-2023</t>
        </is>
      </c>
      <c r="B834" s="1" t="n">
        <v>45240.43778935185</v>
      </c>
      <c r="C834" s="1" t="n">
        <v>45975</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28404-2024</t>
        </is>
      </c>
      <c r="B835" s="1" t="n">
        <v>45477.61552083334</v>
      </c>
      <c r="C835" s="1" t="n">
        <v>45975</v>
      </c>
      <c r="D835" t="inlineStr">
        <is>
          <t>KALMAR LÄN</t>
        </is>
      </c>
      <c r="E835" t="inlineStr">
        <is>
          <t>VÄSTERVIK</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28415-2024</t>
        </is>
      </c>
      <c r="B836" s="1" t="n">
        <v>45477.62924768519</v>
      </c>
      <c r="C836" s="1" t="n">
        <v>45975</v>
      </c>
      <c r="D836" t="inlineStr">
        <is>
          <t>KALMAR LÄN</t>
        </is>
      </c>
      <c r="E836" t="inlineStr">
        <is>
          <t>VÄSTERVIK</t>
        </is>
      </c>
      <c r="F836" t="inlineStr">
        <is>
          <t>Holmen skog AB</t>
        </is>
      </c>
      <c r="G836" t="n">
        <v>2.7</v>
      </c>
      <c r="H836" t="n">
        <v>0</v>
      </c>
      <c r="I836" t="n">
        <v>0</v>
      </c>
      <c r="J836" t="n">
        <v>0</v>
      </c>
      <c r="K836" t="n">
        <v>0</v>
      </c>
      <c r="L836" t="n">
        <v>0</v>
      </c>
      <c r="M836" t="n">
        <v>0</v>
      </c>
      <c r="N836" t="n">
        <v>0</v>
      </c>
      <c r="O836" t="n">
        <v>0</v>
      </c>
      <c r="P836" t="n">
        <v>0</v>
      </c>
      <c r="Q836" t="n">
        <v>0</v>
      </c>
      <c r="R836" s="2" t="inlineStr"/>
    </row>
    <row r="837" ht="15" customHeight="1">
      <c r="A837" t="inlineStr">
        <is>
          <t>A 26633-2025</t>
        </is>
      </c>
      <c r="B837" s="1" t="n">
        <v>45810.35262731482</v>
      </c>
      <c r="C837" s="1" t="n">
        <v>45975</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934-2024</t>
        </is>
      </c>
      <c r="B838" s="1" t="n">
        <v>45301.51439814815</v>
      </c>
      <c r="C838" s="1" t="n">
        <v>45975</v>
      </c>
      <c r="D838" t="inlineStr">
        <is>
          <t>KALMAR LÄN</t>
        </is>
      </c>
      <c r="E838" t="inlineStr">
        <is>
          <t>VÄSTERVIK</t>
        </is>
      </c>
      <c r="G838" t="n">
        <v>2.3</v>
      </c>
      <c r="H838" t="n">
        <v>0</v>
      </c>
      <c r="I838" t="n">
        <v>0</v>
      </c>
      <c r="J838" t="n">
        <v>0</v>
      </c>
      <c r="K838" t="n">
        <v>0</v>
      </c>
      <c r="L838" t="n">
        <v>0</v>
      </c>
      <c r="M838" t="n">
        <v>0</v>
      </c>
      <c r="N838" t="n">
        <v>0</v>
      </c>
      <c r="O838" t="n">
        <v>0</v>
      </c>
      <c r="P838" t="n">
        <v>0</v>
      </c>
      <c r="Q838" t="n">
        <v>0</v>
      </c>
      <c r="R838" s="2" t="inlineStr"/>
    </row>
    <row r="839" ht="15" customHeight="1">
      <c r="A839" t="inlineStr">
        <is>
          <t>A 936-2024</t>
        </is>
      </c>
      <c r="B839" s="1" t="n">
        <v>45301.51950231481</v>
      </c>
      <c r="C839" s="1" t="n">
        <v>45975</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51515-2025</t>
        </is>
      </c>
      <c r="B840" s="1" t="n">
        <v>45950.65560185185</v>
      </c>
      <c r="C840" s="1" t="n">
        <v>45975</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4496-2022</t>
        </is>
      </c>
      <c r="B841" s="1" t="n">
        <v>44589.67060185185</v>
      </c>
      <c r="C841" s="1" t="n">
        <v>45975</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26566-2025</t>
        </is>
      </c>
      <c r="B842" s="1" t="n">
        <v>45807.66685185185</v>
      </c>
      <c r="C842" s="1" t="n">
        <v>45975</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26569-2025</t>
        </is>
      </c>
      <c r="B843" s="1" t="n">
        <v>45807.67638888889</v>
      </c>
      <c r="C843" s="1" t="n">
        <v>45975</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26572-2025</t>
        </is>
      </c>
      <c r="B844" s="1" t="n">
        <v>45807.68232638889</v>
      </c>
      <c r="C844" s="1" t="n">
        <v>45975</v>
      </c>
      <c r="D844" t="inlineStr">
        <is>
          <t>KALMAR LÄN</t>
        </is>
      </c>
      <c r="E844" t="inlineStr">
        <is>
          <t>VÄSTERVIK</t>
        </is>
      </c>
      <c r="G844" t="n">
        <v>2.9</v>
      </c>
      <c r="H844" t="n">
        <v>0</v>
      </c>
      <c r="I844" t="n">
        <v>0</v>
      </c>
      <c r="J844" t="n">
        <v>0</v>
      </c>
      <c r="K844" t="n">
        <v>0</v>
      </c>
      <c r="L844" t="n">
        <v>0</v>
      </c>
      <c r="M844" t="n">
        <v>0</v>
      </c>
      <c r="N844" t="n">
        <v>0</v>
      </c>
      <c r="O844" t="n">
        <v>0</v>
      </c>
      <c r="P844" t="n">
        <v>0</v>
      </c>
      <c r="Q844" t="n">
        <v>0</v>
      </c>
      <c r="R844" s="2" t="inlineStr"/>
    </row>
    <row r="845" ht="15" customHeight="1">
      <c r="A845" t="inlineStr">
        <is>
          <t>A 51181-2025</t>
        </is>
      </c>
      <c r="B845" s="1" t="n">
        <v>45947.61859953704</v>
      </c>
      <c r="C845" s="1" t="n">
        <v>45975</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51182-2025</t>
        </is>
      </c>
      <c r="B846" s="1" t="n">
        <v>45947.6204050926</v>
      </c>
      <c r="C846" s="1" t="n">
        <v>45975</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69098-2020</t>
        </is>
      </c>
      <c r="B847" s="1" t="n">
        <v>44187</v>
      </c>
      <c r="C847" s="1" t="n">
        <v>45975</v>
      </c>
      <c r="D847" t="inlineStr">
        <is>
          <t>KALMAR LÄN</t>
        </is>
      </c>
      <c r="E847" t="inlineStr">
        <is>
          <t>VÄSTERVIK</t>
        </is>
      </c>
      <c r="G847" t="n">
        <v>1.9</v>
      </c>
      <c r="H847" t="n">
        <v>0</v>
      </c>
      <c r="I847" t="n">
        <v>0</v>
      </c>
      <c r="J847" t="n">
        <v>0</v>
      </c>
      <c r="K847" t="n">
        <v>0</v>
      </c>
      <c r="L847" t="n">
        <v>0</v>
      </c>
      <c r="M847" t="n">
        <v>0</v>
      </c>
      <c r="N847" t="n">
        <v>0</v>
      </c>
      <c r="O847" t="n">
        <v>0</v>
      </c>
      <c r="P847" t="n">
        <v>0</v>
      </c>
      <c r="Q847" t="n">
        <v>0</v>
      </c>
      <c r="R847" s="2" t="inlineStr"/>
    </row>
    <row r="848" ht="15" customHeight="1">
      <c r="A848" t="inlineStr">
        <is>
          <t>A 51426-2025</t>
        </is>
      </c>
      <c r="B848" s="1" t="n">
        <v>45950.53288194445</v>
      </c>
      <c r="C848" s="1" t="n">
        <v>45975</v>
      </c>
      <c r="D848" t="inlineStr">
        <is>
          <t>KALMAR LÄN</t>
        </is>
      </c>
      <c r="E848" t="inlineStr">
        <is>
          <t>VÄSTERVIK</t>
        </is>
      </c>
      <c r="G848" t="n">
        <v>3.8</v>
      </c>
      <c r="H848" t="n">
        <v>0</v>
      </c>
      <c r="I848" t="n">
        <v>0</v>
      </c>
      <c r="J848" t="n">
        <v>0</v>
      </c>
      <c r="K848" t="n">
        <v>0</v>
      </c>
      <c r="L848" t="n">
        <v>0</v>
      </c>
      <c r="M848" t="n">
        <v>0</v>
      </c>
      <c r="N848" t="n">
        <v>0</v>
      </c>
      <c r="O848" t="n">
        <v>0</v>
      </c>
      <c r="P848" t="n">
        <v>0</v>
      </c>
      <c r="Q848" t="n">
        <v>0</v>
      </c>
      <c r="R848" s="2" t="inlineStr"/>
    </row>
    <row r="849" ht="15" customHeight="1">
      <c r="A849" t="inlineStr">
        <is>
          <t>A 51437-2025</t>
        </is>
      </c>
      <c r="B849" s="1" t="n">
        <v>45950.56834490741</v>
      </c>
      <c r="C849" s="1" t="n">
        <v>45975</v>
      </c>
      <c r="D849" t="inlineStr">
        <is>
          <t>KALMAR LÄN</t>
        </is>
      </c>
      <c r="E849" t="inlineStr">
        <is>
          <t>VÄSTERVIK</t>
        </is>
      </c>
      <c r="G849" t="n">
        <v>3.1</v>
      </c>
      <c r="H849" t="n">
        <v>0</v>
      </c>
      <c r="I849" t="n">
        <v>0</v>
      </c>
      <c r="J849" t="n">
        <v>0</v>
      </c>
      <c r="K849" t="n">
        <v>0</v>
      </c>
      <c r="L849" t="n">
        <v>0</v>
      </c>
      <c r="M849" t="n">
        <v>0</v>
      </c>
      <c r="N849" t="n">
        <v>0</v>
      </c>
      <c r="O849" t="n">
        <v>0</v>
      </c>
      <c r="P849" t="n">
        <v>0</v>
      </c>
      <c r="Q849" t="n">
        <v>0</v>
      </c>
      <c r="R849" s="2" t="inlineStr"/>
    </row>
    <row r="850" ht="15" customHeight="1">
      <c r="A850" t="inlineStr">
        <is>
          <t>A 51439-2025</t>
        </is>
      </c>
      <c r="B850" s="1" t="n">
        <v>45950.57254629629</v>
      </c>
      <c r="C850" s="1" t="n">
        <v>45975</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14080-2025</t>
        </is>
      </c>
      <c r="B851" s="1" t="n">
        <v>45740.43785879629</v>
      </c>
      <c r="C851" s="1" t="n">
        <v>45975</v>
      </c>
      <c r="D851" t="inlineStr">
        <is>
          <t>KALMAR LÄN</t>
        </is>
      </c>
      <c r="E851" t="inlineStr">
        <is>
          <t>VÄSTERVIK</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26568-2025</t>
        </is>
      </c>
      <c r="B852" s="1" t="n">
        <v>45807.67447916666</v>
      </c>
      <c r="C852" s="1" t="n">
        <v>45975</v>
      </c>
      <c r="D852" t="inlineStr">
        <is>
          <t>KALMAR LÄN</t>
        </is>
      </c>
      <c r="E852" t="inlineStr">
        <is>
          <t>VÄSTERVIK</t>
        </is>
      </c>
      <c r="G852" t="n">
        <v>1</v>
      </c>
      <c r="H852" t="n">
        <v>0</v>
      </c>
      <c r="I852" t="n">
        <v>0</v>
      </c>
      <c r="J852" t="n">
        <v>0</v>
      </c>
      <c r="K852" t="n">
        <v>0</v>
      </c>
      <c r="L852" t="n">
        <v>0</v>
      </c>
      <c r="M852" t="n">
        <v>0</v>
      </c>
      <c r="N852" t="n">
        <v>0</v>
      </c>
      <c r="O852" t="n">
        <v>0</v>
      </c>
      <c r="P852" t="n">
        <v>0</v>
      </c>
      <c r="Q852" t="n">
        <v>0</v>
      </c>
      <c r="R852" s="2" t="inlineStr"/>
    </row>
    <row r="853" ht="15" customHeight="1">
      <c r="A853" t="inlineStr">
        <is>
          <t>A 26571-2025</t>
        </is>
      </c>
      <c r="B853" s="1" t="n">
        <v>45807.6794212963</v>
      </c>
      <c r="C853" s="1" t="n">
        <v>45975</v>
      </c>
      <c r="D853" t="inlineStr">
        <is>
          <t>KALMAR LÄN</t>
        </is>
      </c>
      <c r="E853" t="inlineStr">
        <is>
          <t>VÄSTERVIK</t>
        </is>
      </c>
      <c r="G853" t="n">
        <v>2.8</v>
      </c>
      <c r="H853" t="n">
        <v>0</v>
      </c>
      <c r="I853" t="n">
        <v>0</v>
      </c>
      <c r="J853" t="n">
        <v>0</v>
      </c>
      <c r="K853" t="n">
        <v>0</v>
      </c>
      <c r="L853" t="n">
        <v>0</v>
      </c>
      <c r="M853" t="n">
        <v>0</v>
      </c>
      <c r="N853" t="n">
        <v>0</v>
      </c>
      <c r="O853" t="n">
        <v>0</v>
      </c>
      <c r="P853" t="n">
        <v>0</v>
      </c>
      <c r="Q853" t="n">
        <v>0</v>
      </c>
      <c r="R853" s="2" t="inlineStr"/>
    </row>
    <row r="854" ht="15" customHeight="1">
      <c r="A854" t="inlineStr">
        <is>
          <t>A 56046-2023</t>
        </is>
      </c>
      <c r="B854" s="1" t="n">
        <v>45240.45217592592</v>
      </c>
      <c r="C854" s="1" t="n">
        <v>45975</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47124-2023</t>
        </is>
      </c>
      <c r="B855" s="1" t="n">
        <v>45201</v>
      </c>
      <c r="C855" s="1" t="n">
        <v>45975</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51191-2025</t>
        </is>
      </c>
      <c r="B856" s="1" t="n">
        <v>45947.62629629629</v>
      </c>
      <c r="C856" s="1" t="n">
        <v>45975</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51050-2025</t>
        </is>
      </c>
      <c r="B857" s="1" t="n">
        <v>45947.43621527778</v>
      </c>
      <c r="C857" s="1" t="n">
        <v>45975</v>
      </c>
      <c r="D857" t="inlineStr">
        <is>
          <t>KALMAR LÄN</t>
        </is>
      </c>
      <c r="E857" t="inlineStr">
        <is>
          <t>VÄSTERVIK</t>
        </is>
      </c>
      <c r="G857" t="n">
        <v>2.8</v>
      </c>
      <c r="H857" t="n">
        <v>0</v>
      </c>
      <c r="I857" t="n">
        <v>0</v>
      </c>
      <c r="J857" t="n">
        <v>0</v>
      </c>
      <c r="K857" t="n">
        <v>0</v>
      </c>
      <c r="L857" t="n">
        <v>0</v>
      </c>
      <c r="M857" t="n">
        <v>0</v>
      </c>
      <c r="N857" t="n">
        <v>0</v>
      </c>
      <c r="O857" t="n">
        <v>0</v>
      </c>
      <c r="P857" t="n">
        <v>0</v>
      </c>
      <c r="Q857" t="n">
        <v>0</v>
      </c>
      <c r="R857" s="2" t="inlineStr"/>
    </row>
    <row r="858" ht="15" customHeight="1">
      <c r="A858" t="inlineStr">
        <is>
          <t>A 46790-2022</t>
        </is>
      </c>
      <c r="B858" s="1" t="n">
        <v>44851</v>
      </c>
      <c r="C858" s="1" t="n">
        <v>45975</v>
      </c>
      <c r="D858" t="inlineStr">
        <is>
          <t>KALMAR LÄN</t>
        </is>
      </c>
      <c r="E858" t="inlineStr">
        <is>
          <t>VÄSTERVIK</t>
        </is>
      </c>
      <c r="G858" t="n">
        <v>9.9</v>
      </c>
      <c r="H858" t="n">
        <v>0</v>
      </c>
      <c r="I858" t="n">
        <v>0</v>
      </c>
      <c r="J858" t="n">
        <v>0</v>
      </c>
      <c r="K858" t="n">
        <v>0</v>
      </c>
      <c r="L858" t="n">
        <v>0</v>
      </c>
      <c r="M858" t="n">
        <v>0</v>
      </c>
      <c r="N858" t="n">
        <v>0</v>
      </c>
      <c r="O858" t="n">
        <v>0</v>
      </c>
      <c r="P858" t="n">
        <v>0</v>
      </c>
      <c r="Q858" t="n">
        <v>0</v>
      </c>
      <c r="R858" s="2" t="inlineStr"/>
    </row>
    <row r="859" ht="15" customHeight="1">
      <c r="A859" t="inlineStr">
        <is>
          <t>A 51441-2025</t>
        </is>
      </c>
      <c r="B859" s="1" t="n">
        <v>45950.57375</v>
      </c>
      <c r="C859" s="1" t="n">
        <v>45975</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50127-2023</t>
        </is>
      </c>
      <c r="B860" s="1" t="n">
        <v>45215.65043981482</v>
      </c>
      <c r="C860" s="1" t="n">
        <v>45975</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15379-2025</t>
        </is>
      </c>
      <c r="B861" s="1" t="n">
        <v>45747.40813657407</v>
      </c>
      <c r="C861" s="1" t="n">
        <v>45975</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62304-2022</t>
        </is>
      </c>
      <c r="B862" s="1" t="n">
        <v>44923.46215277778</v>
      </c>
      <c r="C862" s="1" t="n">
        <v>45975</v>
      </c>
      <c r="D862" t="inlineStr">
        <is>
          <t>KALMAR LÄN</t>
        </is>
      </c>
      <c r="E862" t="inlineStr">
        <is>
          <t>VÄSTERVIK</t>
        </is>
      </c>
      <c r="G862" t="n">
        <v>1</v>
      </c>
      <c r="H862" t="n">
        <v>0</v>
      </c>
      <c r="I862" t="n">
        <v>0</v>
      </c>
      <c r="J862" t="n">
        <v>0</v>
      </c>
      <c r="K862" t="n">
        <v>0</v>
      </c>
      <c r="L862" t="n">
        <v>0</v>
      </c>
      <c r="M862" t="n">
        <v>0</v>
      </c>
      <c r="N862" t="n">
        <v>0</v>
      </c>
      <c r="O862" t="n">
        <v>0</v>
      </c>
      <c r="P862" t="n">
        <v>0</v>
      </c>
      <c r="Q862" t="n">
        <v>0</v>
      </c>
      <c r="R862" s="2" t="inlineStr"/>
    </row>
    <row r="863" ht="15" customHeight="1">
      <c r="A863" t="inlineStr">
        <is>
          <t>A 62306-2022</t>
        </is>
      </c>
      <c r="B863" s="1" t="n">
        <v>44923</v>
      </c>
      <c r="C863" s="1" t="n">
        <v>45975</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51983-2025</t>
        </is>
      </c>
      <c r="B864" s="1" t="n">
        <v>45952.57481481481</v>
      </c>
      <c r="C864" s="1" t="n">
        <v>45975</v>
      </c>
      <c r="D864" t="inlineStr">
        <is>
          <t>KALMAR LÄN</t>
        </is>
      </c>
      <c r="E864" t="inlineStr">
        <is>
          <t>VÄSTERVIK</t>
        </is>
      </c>
      <c r="G864" t="n">
        <v>2.6</v>
      </c>
      <c r="H864" t="n">
        <v>0</v>
      </c>
      <c r="I864" t="n">
        <v>0</v>
      </c>
      <c r="J864" t="n">
        <v>0</v>
      </c>
      <c r="K864" t="n">
        <v>0</v>
      </c>
      <c r="L864" t="n">
        <v>0</v>
      </c>
      <c r="M864" t="n">
        <v>0</v>
      </c>
      <c r="N864" t="n">
        <v>0</v>
      </c>
      <c r="O864" t="n">
        <v>0</v>
      </c>
      <c r="P864" t="n">
        <v>0</v>
      </c>
      <c r="Q864" t="n">
        <v>0</v>
      </c>
      <c r="R864" s="2" t="inlineStr"/>
    </row>
    <row r="865" ht="15" customHeight="1">
      <c r="A865" t="inlineStr">
        <is>
          <t>A 23080-2023</t>
        </is>
      </c>
      <c r="B865" s="1" t="n">
        <v>45075</v>
      </c>
      <c r="C865" s="1" t="n">
        <v>45975</v>
      </c>
      <c r="D865" t="inlineStr">
        <is>
          <t>KALMAR LÄN</t>
        </is>
      </c>
      <c r="E865" t="inlineStr">
        <is>
          <t>VÄSTERVIK</t>
        </is>
      </c>
      <c r="G865" t="n">
        <v>0.6</v>
      </c>
      <c r="H865" t="n">
        <v>0</v>
      </c>
      <c r="I865" t="n">
        <v>0</v>
      </c>
      <c r="J865" t="n">
        <v>0</v>
      </c>
      <c r="K865" t="n">
        <v>0</v>
      </c>
      <c r="L865" t="n">
        <v>0</v>
      </c>
      <c r="M865" t="n">
        <v>0</v>
      </c>
      <c r="N865" t="n">
        <v>0</v>
      </c>
      <c r="O865" t="n">
        <v>0</v>
      </c>
      <c r="P865" t="n">
        <v>0</v>
      </c>
      <c r="Q865" t="n">
        <v>0</v>
      </c>
      <c r="R865" s="2" t="inlineStr"/>
    </row>
    <row r="866" ht="15" customHeight="1">
      <c r="A866" t="inlineStr">
        <is>
          <t>A 27446-2025</t>
        </is>
      </c>
      <c r="B866" s="1" t="n">
        <v>45813.32667824074</v>
      </c>
      <c r="C866" s="1" t="n">
        <v>45975</v>
      </c>
      <c r="D866" t="inlineStr">
        <is>
          <t>KALMAR LÄN</t>
        </is>
      </c>
      <c r="E866" t="inlineStr">
        <is>
          <t>VÄSTERVIK</t>
        </is>
      </c>
      <c r="G866" t="n">
        <v>0.8</v>
      </c>
      <c r="H866" t="n">
        <v>0</v>
      </c>
      <c r="I866" t="n">
        <v>0</v>
      </c>
      <c r="J866" t="n">
        <v>0</v>
      </c>
      <c r="K866" t="n">
        <v>0</v>
      </c>
      <c r="L866" t="n">
        <v>0</v>
      </c>
      <c r="M866" t="n">
        <v>0</v>
      </c>
      <c r="N866" t="n">
        <v>0</v>
      </c>
      <c r="O866" t="n">
        <v>0</v>
      </c>
      <c r="P866" t="n">
        <v>0</v>
      </c>
      <c r="Q866" t="n">
        <v>0</v>
      </c>
      <c r="R866" s="2" t="inlineStr"/>
    </row>
    <row r="867" ht="15" customHeight="1">
      <c r="A867" t="inlineStr">
        <is>
          <t>A 27980-2025</t>
        </is>
      </c>
      <c r="B867" s="1" t="n">
        <v>45817.57395833333</v>
      </c>
      <c r="C867" s="1" t="n">
        <v>45975</v>
      </c>
      <c r="D867" t="inlineStr">
        <is>
          <t>KALMAR LÄN</t>
        </is>
      </c>
      <c r="E867" t="inlineStr">
        <is>
          <t>VÄSTERVIK</t>
        </is>
      </c>
      <c r="F867" t="inlineStr">
        <is>
          <t>Sveaskog</t>
        </is>
      </c>
      <c r="G867" t="n">
        <v>7.2</v>
      </c>
      <c r="H867" t="n">
        <v>0</v>
      </c>
      <c r="I867" t="n">
        <v>0</v>
      </c>
      <c r="J867" t="n">
        <v>0</v>
      </c>
      <c r="K867" t="n">
        <v>0</v>
      </c>
      <c r="L867" t="n">
        <v>0</v>
      </c>
      <c r="M867" t="n">
        <v>0</v>
      </c>
      <c r="N867" t="n">
        <v>0</v>
      </c>
      <c r="O867" t="n">
        <v>0</v>
      </c>
      <c r="P867" t="n">
        <v>0</v>
      </c>
      <c r="Q867" t="n">
        <v>0</v>
      </c>
      <c r="R867" s="2" t="inlineStr"/>
    </row>
    <row r="868" ht="15" customHeight="1">
      <c r="A868" t="inlineStr">
        <is>
          <t>A 51566-2025</t>
        </is>
      </c>
      <c r="B868" s="1" t="n">
        <v>45951.30868055556</v>
      </c>
      <c r="C868" s="1" t="n">
        <v>45975</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27978-2025</t>
        </is>
      </c>
      <c r="B869" s="1" t="n">
        <v>45817.57153935185</v>
      </c>
      <c r="C869" s="1" t="n">
        <v>45975</v>
      </c>
      <c r="D869" t="inlineStr">
        <is>
          <t>KALMAR LÄN</t>
        </is>
      </c>
      <c r="E869" t="inlineStr">
        <is>
          <t>VÄSTERVIK</t>
        </is>
      </c>
      <c r="F869" t="inlineStr">
        <is>
          <t>Sveaskog</t>
        </is>
      </c>
      <c r="G869" t="n">
        <v>10.8</v>
      </c>
      <c r="H869" t="n">
        <v>0</v>
      </c>
      <c r="I869" t="n">
        <v>0</v>
      </c>
      <c r="J869" t="n">
        <v>0</v>
      </c>
      <c r="K869" t="n">
        <v>0</v>
      </c>
      <c r="L869" t="n">
        <v>0</v>
      </c>
      <c r="M869" t="n">
        <v>0</v>
      </c>
      <c r="N869" t="n">
        <v>0</v>
      </c>
      <c r="O869" t="n">
        <v>0</v>
      </c>
      <c r="P869" t="n">
        <v>0</v>
      </c>
      <c r="Q869" t="n">
        <v>0</v>
      </c>
      <c r="R869" s="2" t="inlineStr"/>
    </row>
    <row r="870" ht="15" customHeight="1">
      <c r="A870" t="inlineStr">
        <is>
          <t>A 20204-2021</t>
        </is>
      </c>
      <c r="B870" s="1" t="n">
        <v>44314</v>
      </c>
      <c r="C870" s="1" t="n">
        <v>45975</v>
      </c>
      <c r="D870" t="inlineStr">
        <is>
          <t>KALMAR LÄN</t>
        </is>
      </c>
      <c r="E870" t="inlineStr">
        <is>
          <t>VÄSTERVIK</t>
        </is>
      </c>
      <c r="F870" t="inlineStr">
        <is>
          <t>Holmen skog AB</t>
        </is>
      </c>
      <c r="G870" t="n">
        <v>12.1</v>
      </c>
      <c r="H870" t="n">
        <v>0</v>
      </c>
      <c r="I870" t="n">
        <v>0</v>
      </c>
      <c r="J870" t="n">
        <v>0</v>
      </c>
      <c r="K870" t="n">
        <v>0</v>
      </c>
      <c r="L870" t="n">
        <v>0</v>
      </c>
      <c r="M870" t="n">
        <v>0</v>
      </c>
      <c r="N870" t="n">
        <v>0</v>
      </c>
      <c r="O870" t="n">
        <v>0</v>
      </c>
      <c r="P870" t="n">
        <v>0</v>
      </c>
      <c r="Q870" t="n">
        <v>0</v>
      </c>
      <c r="R870" s="2" t="inlineStr"/>
    </row>
    <row r="871" ht="15" customHeight="1">
      <c r="A871" t="inlineStr">
        <is>
          <t>A 25434-2023</t>
        </is>
      </c>
      <c r="B871" s="1" t="n">
        <v>45089.41912037037</v>
      </c>
      <c r="C871" s="1" t="n">
        <v>45975</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11741-2023</t>
        </is>
      </c>
      <c r="B872" s="1" t="n">
        <v>44994.58689814815</v>
      </c>
      <c r="C872" s="1" t="n">
        <v>45975</v>
      </c>
      <c r="D872" t="inlineStr">
        <is>
          <t>KALMAR LÄN</t>
        </is>
      </c>
      <c r="E872" t="inlineStr">
        <is>
          <t>VÄSTERVIK</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28203-2025</t>
        </is>
      </c>
      <c r="B873" s="1" t="n">
        <v>45818.44662037037</v>
      </c>
      <c r="C873" s="1" t="n">
        <v>45975</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3555-2021</t>
        </is>
      </c>
      <c r="B874" s="1" t="n">
        <v>44218</v>
      </c>
      <c r="C874" s="1" t="n">
        <v>45975</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27974-2025</t>
        </is>
      </c>
      <c r="B875" s="1" t="n">
        <v>45817.56891203704</v>
      </c>
      <c r="C875" s="1" t="n">
        <v>45975</v>
      </c>
      <c r="D875" t="inlineStr">
        <is>
          <t>KALMAR LÄN</t>
        </is>
      </c>
      <c r="E875" t="inlineStr">
        <is>
          <t>VÄSTERVIK</t>
        </is>
      </c>
      <c r="F875" t="inlineStr">
        <is>
          <t>Sveaskog</t>
        </is>
      </c>
      <c r="G875" t="n">
        <v>5</v>
      </c>
      <c r="H875" t="n">
        <v>0</v>
      </c>
      <c r="I875" t="n">
        <v>0</v>
      </c>
      <c r="J875" t="n">
        <v>0</v>
      </c>
      <c r="K875" t="n">
        <v>0</v>
      </c>
      <c r="L875" t="n">
        <v>0</v>
      </c>
      <c r="M875" t="n">
        <v>0</v>
      </c>
      <c r="N875" t="n">
        <v>0</v>
      </c>
      <c r="O875" t="n">
        <v>0</v>
      </c>
      <c r="P875" t="n">
        <v>0</v>
      </c>
      <c r="Q875" t="n">
        <v>0</v>
      </c>
      <c r="R875" s="2" t="inlineStr"/>
    </row>
    <row r="876" ht="15" customHeight="1">
      <c r="A876" t="inlineStr">
        <is>
          <t>A 11120-2025</t>
        </is>
      </c>
      <c r="B876" s="1" t="n">
        <v>45723.63655092593</v>
      </c>
      <c r="C876" s="1" t="n">
        <v>45975</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11122-2025</t>
        </is>
      </c>
      <c r="B877" s="1" t="n">
        <v>45723.63827546296</v>
      </c>
      <c r="C877" s="1" t="n">
        <v>45975</v>
      </c>
      <c r="D877" t="inlineStr">
        <is>
          <t>KALMAR LÄN</t>
        </is>
      </c>
      <c r="E877" t="inlineStr">
        <is>
          <t>VÄSTERVIK</t>
        </is>
      </c>
      <c r="G877" t="n">
        <v>0.3</v>
      </c>
      <c r="H877" t="n">
        <v>0</v>
      </c>
      <c r="I877" t="n">
        <v>0</v>
      </c>
      <c r="J877" t="n">
        <v>0</v>
      </c>
      <c r="K877" t="n">
        <v>0</v>
      </c>
      <c r="L877" t="n">
        <v>0</v>
      </c>
      <c r="M877" t="n">
        <v>0</v>
      </c>
      <c r="N877" t="n">
        <v>0</v>
      </c>
      <c r="O877" t="n">
        <v>0</v>
      </c>
      <c r="P877" t="n">
        <v>0</v>
      </c>
      <c r="Q877" t="n">
        <v>0</v>
      </c>
      <c r="R877" s="2" t="inlineStr"/>
    </row>
    <row r="878" ht="15" customHeight="1">
      <c r="A878" t="inlineStr">
        <is>
          <t>A 16680-2025</t>
        </is>
      </c>
      <c r="B878" s="1" t="n">
        <v>45754.44952546297</v>
      </c>
      <c r="C878" s="1" t="n">
        <v>45975</v>
      </c>
      <c r="D878" t="inlineStr">
        <is>
          <t>KALMAR LÄN</t>
        </is>
      </c>
      <c r="E878" t="inlineStr">
        <is>
          <t>VÄSTERVIK</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16691-2025</t>
        </is>
      </c>
      <c r="B879" s="1" t="n">
        <v>45754.46086805555</v>
      </c>
      <c r="C879" s="1" t="n">
        <v>45975</v>
      </c>
      <c r="D879" t="inlineStr">
        <is>
          <t>KALMAR LÄN</t>
        </is>
      </c>
      <c r="E879" t="inlineStr">
        <is>
          <t>VÄSTERVIK</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8597-2023</t>
        </is>
      </c>
      <c r="B880" s="1" t="n">
        <v>44977</v>
      </c>
      <c r="C880" s="1" t="n">
        <v>45975</v>
      </c>
      <c r="D880" t="inlineStr">
        <is>
          <t>KALMAR LÄN</t>
        </is>
      </c>
      <c r="E880" t="inlineStr">
        <is>
          <t>VÄSTERVIK</t>
        </is>
      </c>
      <c r="G880" t="n">
        <v>0.2</v>
      </c>
      <c r="H880" t="n">
        <v>0</v>
      </c>
      <c r="I880" t="n">
        <v>0</v>
      </c>
      <c r="J880" t="n">
        <v>0</v>
      </c>
      <c r="K880" t="n">
        <v>0</v>
      </c>
      <c r="L880" t="n">
        <v>0</v>
      </c>
      <c r="M880" t="n">
        <v>0</v>
      </c>
      <c r="N880" t="n">
        <v>0</v>
      </c>
      <c r="O880" t="n">
        <v>0</v>
      </c>
      <c r="P880" t="n">
        <v>0</v>
      </c>
      <c r="Q880" t="n">
        <v>0</v>
      </c>
      <c r="R880" s="2" t="inlineStr"/>
    </row>
    <row r="881" ht="15" customHeight="1">
      <c r="A881" t="inlineStr">
        <is>
          <t>A 21831-2023</t>
        </is>
      </c>
      <c r="B881" s="1" t="n">
        <v>45068</v>
      </c>
      <c r="C881" s="1" t="n">
        <v>45975</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28096-2025</t>
        </is>
      </c>
      <c r="B882" s="1" t="n">
        <v>45817.81831018518</v>
      </c>
      <c r="C882" s="1" t="n">
        <v>45975</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51769-2025</t>
        </is>
      </c>
      <c r="B883" s="1" t="n">
        <v>45951.64155092592</v>
      </c>
      <c r="C883" s="1" t="n">
        <v>45975</v>
      </c>
      <c r="D883" t="inlineStr">
        <is>
          <t>KALMAR LÄN</t>
        </is>
      </c>
      <c r="E883" t="inlineStr">
        <is>
          <t>VÄSTERVIK</t>
        </is>
      </c>
      <c r="G883" t="n">
        <v>3.6</v>
      </c>
      <c r="H883" t="n">
        <v>0</v>
      </c>
      <c r="I883" t="n">
        <v>0</v>
      </c>
      <c r="J883" t="n">
        <v>0</v>
      </c>
      <c r="K883" t="n">
        <v>0</v>
      </c>
      <c r="L883" t="n">
        <v>0</v>
      </c>
      <c r="M883" t="n">
        <v>0</v>
      </c>
      <c r="N883" t="n">
        <v>0</v>
      </c>
      <c r="O883" t="n">
        <v>0</v>
      </c>
      <c r="P883" t="n">
        <v>0</v>
      </c>
      <c r="Q883" t="n">
        <v>0</v>
      </c>
      <c r="R883" s="2" t="inlineStr"/>
    </row>
    <row r="884" ht="15" customHeight="1">
      <c r="A884" t="inlineStr">
        <is>
          <t>A 7165-2025</t>
        </is>
      </c>
      <c r="B884" s="1" t="n">
        <v>45702.39491898148</v>
      </c>
      <c r="C884" s="1" t="n">
        <v>45975</v>
      </c>
      <c r="D884" t="inlineStr">
        <is>
          <t>KALMAR LÄN</t>
        </is>
      </c>
      <c r="E884" t="inlineStr">
        <is>
          <t>VÄSTERVIK</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33969-2024</t>
        </is>
      </c>
      <c r="B885" s="1" t="n">
        <v>45523.49450231482</v>
      </c>
      <c r="C885" s="1" t="n">
        <v>45975</v>
      </c>
      <c r="D885" t="inlineStr">
        <is>
          <t>KALMAR LÄN</t>
        </is>
      </c>
      <c r="E885" t="inlineStr">
        <is>
          <t>VÄSTERVIK</t>
        </is>
      </c>
      <c r="G885" t="n">
        <v>0.6</v>
      </c>
      <c r="H885" t="n">
        <v>0</v>
      </c>
      <c r="I885" t="n">
        <v>0</v>
      </c>
      <c r="J885" t="n">
        <v>0</v>
      </c>
      <c r="K885" t="n">
        <v>0</v>
      </c>
      <c r="L885" t="n">
        <v>0</v>
      </c>
      <c r="M885" t="n">
        <v>0</v>
      </c>
      <c r="N885" t="n">
        <v>0</v>
      </c>
      <c r="O885" t="n">
        <v>0</v>
      </c>
      <c r="P885" t="n">
        <v>0</v>
      </c>
      <c r="Q885" t="n">
        <v>0</v>
      </c>
      <c r="R885" s="2" t="inlineStr"/>
    </row>
    <row r="886" ht="15" customHeight="1">
      <c r="A886" t="inlineStr">
        <is>
          <t>A 18068-2023</t>
        </is>
      </c>
      <c r="B886" s="1" t="n">
        <v>45040</v>
      </c>
      <c r="C886" s="1" t="n">
        <v>45975</v>
      </c>
      <c r="D886" t="inlineStr">
        <is>
          <t>KALMAR LÄN</t>
        </is>
      </c>
      <c r="E886" t="inlineStr">
        <is>
          <t>VÄSTERVIK</t>
        </is>
      </c>
      <c r="G886" t="n">
        <v>1.5</v>
      </c>
      <c r="H886" t="n">
        <v>0</v>
      </c>
      <c r="I886" t="n">
        <v>0</v>
      </c>
      <c r="J886" t="n">
        <v>0</v>
      </c>
      <c r="K886" t="n">
        <v>0</v>
      </c>
      <c r="L886" t="n">
        <v>0</v>
      </c>
      <c r="M886" t="n">
        <v>0</v>
      </c>
      <c r="N886" t="n">
        <v>0</v>
      </c>
      <c r="O886" t="n">
        <v>0</v>
      </c>
      <c r="P886" t="n">
        <v>0</v>
      </c>
      <c r="Q886" t="n">
        <v>0</v>
      </c>
      <c r="R886" s="2" t="inlineStr"/>
    </row>
    <row r="887" ht="15" customHeight="1">
      <c r="A887" t="inlineStr">
        <is>
          <t>A 52170-2025</t>
        </is>
      </c>
      <c r="B887" s="1" t="n">
        <v>45953.36766203704</v>
      </c>
      <c r="C887" s="1" t="n">
        <v>45975</v>
      </c>
      <c r="D887" t="inlineStr">
        <is>
          <t>KALMAR LÄN</t>
        </is>
      </c>
      <c r="E887" t="inlineStr">
        <is>
          <t>VÄSTERVIK</t>
        </is>
      </c>
      <c r="G887" t="n">
        <v>4.6</v>
      </c>
      <c r="H887" t="n">
        <v>0</v>
      </c>
      <c r="I887" t="n">
        <v>0</v>
      </c>
      <c r="J887" t="n">
        <v>0</v>
      </c>
      <c r="K887" t="n">
        <v>0</v>
      </c>
      <c r="L887" t="n">
        <v>0</v>
      </c>
      <c r="M887" t="n">
        <v>0</v>
      </c>
      <c r="N887" t="n">
        <v>0</v>
      </c>
      <c r="O887" t="n">
        <v>0</v>
      </c>
      <c r="P887" t="n">
        <v>0</v>
      </c>
      <c r="Q887" t="n">
        <v>0</v>
      </c>
      <c r="R887" s="2" t="inlineStr"/>
    </row>
    <row r="888" ht="15" customHeight="1">
      <c r="A888" t="inlineStr">
        <is>
          <t>A 23316-2023</t>
        </is>
      </c>
      <c r="B888" s="1" t="n">
        <v>45076.02563657407</v>
      </c>
      <c r="C888" s="1" t="n">
        <v>45975</v>
      </c>
      <c r="D888" t="inlineStr">
        <is>
          <t>KALMAR LÄN</t>
        </is>
      </c>
      <c r="E888" t="inlineStr">
        <is>
          <t>VÄSTERVIK</t>
        </is>
      </c>
      <c r="G888" t="n">
        <v>3.6</v>
      </c>
      <c r="H888" t="n">
        <v>0</v>
      </c>
      <c r="I888" t="n">
        <v>0</v>
      </c>
      <c r="J888" t="n">
        <v>0</v>
      </c>
      <c r="K888" t="n">
        <v>0</v>
      </c>
      <c r="L888" t="n">
        <v>0</v>
      </c>
      <c r="M888" t="n">
        <v>0</v>
      </c>
      <c r="N888" t="n">
        <v>0</v>
      </c>
      <c r="O888" t="n">
        <v>0</v>
      </c>
      <c r="P888" t="n">
        <v>0</v>
      </c>
      <c r="Q888" t="n">
        <v>0</v>
      </c>
      <c r="R888" s="2" t="inlineStr"/>
    </row>
    <row r="889" ht="15" customHeight="1">
      <c r="A889" t="inlineStr">
        <is>
          <t>A 9269-2025</t>
        </is>
      </c>
      <c r="B889" s="1" t="n">
        <v>45714.61543981481</v>
      </c>
      <c r="C889" s="1" t="n">
        <v>45975</v>
      </c>
      <c r="D889" t="inlineStr">
        <is>
          <t>KALMAR LÄN</t>
        </is>
      </c>
      <c r="E889" t="inlineStr">
        <is>
          <t>VÄSTERVIK</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28696-2025</t>
        </is>
      </c>
      <c r="B890" s="1" t="n">
        <v>45819.91342592592</v>
      </c>
      <c r="C890" s="1" t="n">
        <v>45975</v>
      </c>
      <c r="D890" t="inlineStr">
        <is>
          <t>KALMAR LÄN</t>
        </is>
      </c>
      <c r="E890" t="inlineStr">
        <is>
          <t>VÄSTERVIK</t>
        </is>
      </c>
      <c r="G890" t="n">
        <v>2.8</v>
      </c>
      <c r="H890" t="n">
        <v>0</v>
      </c>
      <c r="I890" t="n">
        <v>0</v>
      </c>
      <c r="J890" t="n">
        <v>0</v>
      </c>
      <c r="K890" t="n">
        <v>0</v>
      </c>
      <c r="L890" t="n">
        <v>0</v>
      </c>
      <c r="M890" t="n">
        <v>0</v>
      </c>
      <c r="N890" t="n">
        <v>0</v>
      </c>
      <c r="O890" t="n">
        <v>0</v>
      </c>
      <c r="P890" t="n">
        <v>0</v>
      </c>
      <c r="Q890" t="n">
        <v>0</v>
      </c>
      <c r="R890" s="2" t="inlineStr"/>
    </row>
    <row r="891" ht="15" customHeight="1">
      <c r="A891" t="inlineStr">
        <is>
          <t>A 52492-2025</t>
        </is>
      </c>
      <c r="B891" s="1" t="n">
        <v>45953</v>
      </c>
      <c r="C891" s="1" t="n">
        <v>45975</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43651-2025</t>
        </is>
      </c>
      <c r="B892" s="1" t="n">
        <v>45912.32259259259</v>
      </c>
      <c r="C892" s="1" t="n">
        <v>45975</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52488-2025</t>
        </is>
      </c>
      <c r="B893" s="1" t="n">
        <v>45953</v>
      </c>
      <c r="C893" s="1" t="n">
        <v>45975</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5348-2024</t>
        </is>
      </c>
      <c r="B894" s="1" t="n">
        <v>45331</v>
      </c>
      <c r="C894" s="1" t="n">
        <v>45975</v>
      </c>
      <c r="D894" t="inlineStr">
        <is>
          <t>KALMAR LÄN</t>
        </is>
      </c>
      <c r="E894" t="inlineStr">
        <is>
          <t>VÄSTERVIK</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46562-2022</t>
        </is>
      </c>
      <c r="B895" s="1" t="n">
        <v>44848</v>
      </c>
      <c r="C895" s="1" t="n">
        <v>45975</v>
      </c>
      <c r="D895" t="inlineStr">
        <is>
          <t>KALMAR LÄN</t>
        </is>
      </c>
      <c r="E895" t="inlineStr">
        <is>
          <t>VÄSTERVIK</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32822-2021</t>
        </is>
      </c>
      <c r="B896" s="1" t="n">
        <v>44375</v>
      </c>
      <c r="C896" s="1" t="n">
        <v>45975</v>
      </c>
      <c r="D896" t="inlineStr">
        <is>
          <t>KALMAR LÄN</t>
        </is>
      </c>
      <c r="E896" t="inlineStr">
        <is>
          <t>VÄSTERVIK</t>
        </is>
      </c>
      <c r="G896" t="n">
        <v>5.1</v>
      </c>
      <c r="H896" t="n">
        <v>0</v>
      </c>
      <c r="I896" t="n">
        <v>0</v>
      </c>
      <c r="J896" t="n">
        <v>0</v>
      </c>
      <c r="K896" t="n">
        <v>0</v>
      </c>
      <c r="L896" t="n">
        <v>0</v>
      </c>
      <c r="M896" t="n">
        <v>0</v>
      </c>
      <c r="N896" t="n">
        <v>0</v>
      </c>
      <c r="O896" t="n">
        <v>0</v>
      </c>
      <c r="P896" t="n">
        <v>0</v>
      </c>
      <c r="Q896" t="n">
        <v>0</v>
      </c>
      <c r="R896" s="2" t="inlineStr"/>
    </row>
    <row r="897" ht="15" customHeight="1">
      <c r="A897" t="inlineStr">
        <is>
          <t>A 52190-2025</t>
        </is>
      </c>
      <c r="B897" s="1" t="n">
        <v>45953.38814814815</v>
      </c>
      <c r="C897" s="1" t="n">
        <v>45975</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52194-2025</t>
        </is>
      </c>
      <c r="B898" s="1" t="n">
        <v>45953.39189814815</v>
      </c>
      <c r="C898" s="1" t="n">
        <v>45975</v>
      </c>
      <c r="D898" t="inlineStr">
        <is>
          <t>KALMAR LÄN</t>
        </is>
      </c>
      <c r="E898" t="inlineStr">
        <is>
          <t>VÄSTERVIK</t>
        </is>
      </c>
      <c r="G898" t="n">
        <v>1.2</v>
      </c>
      <c r="H898" t="n">
        <v>0</v>
      </c>
      <c r="I898" t="n">
        <v>0</v>
      </c>
      <c r="J898" t="n">
        <v>0</v>
      </c>
      <c r="K898" t="n">
        <v>0</v>
      </c>
      <c r="L898" t="n">
        <v>0</v>
      </c>
      <c r="M898" t="n">
        <v>0</v>
      </c>
      <c r="N898" t="n">
        <v>0</v>
      </c>
      <c r="O898" t="n">
        <v>0</v>
      </c>
      <c r="P898" t="n">
        <v>0</v>
      </c>
      <c r="Q898" t="n">
        <v>0</v>
      </c>
      <c r="R898" s="2" t="inlineStr"/>
    </row>
    <row r="899" ht="15" customHeight="1">
      <c r="A899" t="inlineStr">
        <is>
          <t>A 16692-2025</t>
        </is>
      </c>
      <c r="B899" s="1" t="n">
        <v>45754.4621412037</v>
      </c>
      <c r="C899" s="1" t="n">
        <v>45975</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54569-2023</t>
        </is>
      </c>
      <c r="B900" s="1" t="n">
        <v>45233.65532407408</v>
      </c>
      <c r="C900" s="1" t="n">
        <v>45975</v>
      </c>
      <c r="D900" t="inlineStr">
        <is>
          <t>KALMAR LÄN</t>
        </is>
      </c>
      <c r="E900" t="inlineStr">
        <is>
          <t>VÄSTERVIK</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925-2024</t>
        </is>
      </c>
      <c r="B901" s="1" t="n">
        <v>45301</v>
      </c>
      <c r="C901" s="1" t="n">
        <v>45975</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10725-2023</t>
        </is>
      </c>
      <c r="B902" s="1" t="n">
        <v>44988.66966435185</v>
      </c>
      <c r="C902" s="1" t="n">
        <v>45975</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7360-2023</t>
        </is>
      </c>
      <c r="B903" s="1" t="n">
        <v>44971</v>
      </c>
      <c r="C903" s="1" t="n">
        <v>45975</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17306-2023</t>
        </is>
      </c>
      <c r="B904" s="1" t="n">
        <v>45035</v>
      </c>
      <c r="C904" s="1" t="n">
        <v>45975</v>
      </c>
      <c r="D904" t="inlineStr">
        <is>
          <t>KALMAR LÄN</t>
        </is>
      </c>
      <c r="E904" t="inlineStr">
        <is>
          <t>VÄSTERVIK</t>
        </is>
      </c>
      <c r="G904" t="n">
        <v>4.3</v>
      </c>
      <c r="H904" t="n">
        <v>0</v>
      </c>
      <c r="I904" t="n">
        <v>0</v>
      </c>
      <c r="J904" t="n">
        <v>0</v>
      </c>
      <c r="K904" t="n">
        <v>0</v>
      </c>
      <c r="L904" t="n">
        <v>0</v>
      </c>
      <c r="M904" t="n">
        <v>0</v>
      </c>
      <c r="N904" t="n">
        <v>0</v>
      </c>
      <c r="O904" t="n">
        <v>0</v>
      </c>
      <c r="P904" t="n">
        <v>0</v>
      </c>
      <c r="Q904" t="n">
        <v>0</v>
      </c>
      <c r="R904" s="2" t="inlineStr"/>
    </row>
    <row r="905" ht="15" customHeight="1">
      <c r="A905" t="inlineStr">
        <is>
          <t>A 33277-2023</t>
        </is>
      </c>
      <c r="B905" s="1" t="n">
        <v>45114</v>
      </c>
      <c r="C905" s="1" t="n">
        <v>45975</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23317-2023</t>
        </is>
      </c>
      <c r="B906" s="1" t="n">
        <v>45076</v>
      </c>
      <c r="C906" s="1" t="n">
        <v>45975</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2543-2024</t>
        </is>
      </c>
      <c r="B907" s="1" t="n">
        <v>45313</v>
      </c>
      <c r="C907" s="1" t="n">
        <v>45975</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9220-2023</t>
        </is>
      </c>
      <c r="B908" s="1" t="n">
        <v>44980.52182870371</v>
      </c>
      <c r="C908" s="1" t="n">
        <v>45975</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63890-2023</t>
        </is>
      </c>
      <c r="B909" s="1" t="n">
        <v>45278</v>
      </c>
      <c r="C909" s="1" t="n">
        <v>45975</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928-2024</t>
        </is>
      </c>
      <c r="B910" s="1" t="n">
        <v>45301</v>
      </c>
      <c r="C910" s="1" t="n">
        <v>45975</v>
      </c>
      <c r="D910" t="inlineStr">
        <is>
          <t>KALMAR LÄN</t>
        </is>
      </c>
      <c r="E910" t="inlineStr">
        <is>
          <t>VÄSTERVIK</t>
        </is>
      </c>
      <c r="G910" t="n">
        <v>4.8</v>
      </c>
      <c r="H910" t="n">
        <v>0</v>
      </c>
      <c r="I910" t="n">
        <v>0</v>
      </c>
      <c r="J910" t="n">
        <v>0</v>
      </c>
      <c r="K910" t="n">
        <v>0</v>
      </c>
      <c r="L910" t="n">
        <v>0</v>
      </c>
      <c r="M910" t="n">
        <v>0</v>
      </c>
      <c r="N910" t="n">
        <v>0</v>
      </c>
      <c r="O910" t="n">
        <v>0</v>
      </c>
      <c r="P910" t="n">
        <v>0</v>
      </c>
      <c r="Q910" t="n">
        <v>0</v>
      </c>
      <c r="R910" s="2" t="inlineStr"/>
    </row>
    <row r="911" ht="15" customHeight="1">
      <c r="A911" t="inlineStr">
        <is>
          <t>A 63812-2021</t>
        </is>
      </c>
      <c r="B911" s="1" t="n">
        <v>44509.56346064815</v>
      </c>
      <c r="C911" s="1" t="n">
        <v>45975</v>
      </c>
      <c r="D911" t="inlineStr">
        <is>
          <t>KALMAR LÄN</t>
        </is>
      </c>
      <c r="E911" t="inlineStr">
        <is>
          <t>VÄSTERVIK</t>
        </is>
      </c>
      <c r="G911" t="n">
        <v>2.1</v>
      </c>
      <c r="H911" t="n">
        <v>0</v>
      </c>
      <c r="I911" t="n">
        <v>0</v>
      </c>
      <c r="J911" t="n">
        <v>0</v>
      </c>
      <c r="K911" t="n">
        <v>0</v>
      </c>
      <c r="L911" t="n">
        <v>0</v>
      </c>
      <c r="M911" t="n">
        <v>0</v>
      </c>
      <c r="N911" t="n">
        <v>0</v>
      </c>
      <c r="O911" t="n">
        <v>0</v>
      </c>
      <c r="P911" t="n">
        <v>0</v>
      </c>
      <c r="Q911" t="n">
        <v>0</v>
      </c>
      <c r="R911" s="2" t="inlineStr"/>
    </row>
    <row r="912" ht="15" customHeight="1">
      <c r="A912" t="inlineStr">
        <is>
          <t>A 59196-2024</t>
        </is>
      </c>
      <c r="B912" s="1" t="n">
        <v>45637.54589120371</v>
      </c>
      <c r="C912" s="1" t="n">
        <v>45975</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57924-2024</t>
        </is>
      </c>
      <c r="B913" s="1" t="n">
        <v>45631.51325231481</v>
      </c>
      <c r="C913" s="1" t="n">
        <v>45975</v>
      </c>
      <c r="D913" t="inlineStr">
        <is>
          <t>KALMAR LÄN</t>
        </is>
      </c>
      <c r="E913" t="inlineStr">
        <is>
          <t>VÄSTERVIK</t>
        </is>
      </c>
      <c r="G913" t="n">
        <v>0.8</v>
      </c>
      <c r="H913" t="n">
        <v>0</v>
      </c>
      <c r="I913" t="n">
        <v>0</v>
      </c>
      <c r="J913" t="n">
        <v>0</v>
      </c>
      <c r="K913" t="n">
        <v>0</v>
      </c>
      <c r="L913" t="n">
        <v>0</v>
      </c>
      <c r="M913" t="n">
        <v>0</v>
      </c>
      <c r="N913" t="n">
        <v>0</v>
      </c>
      <c r="O913" t="n">
        <v>0</v>
      </c>
      <c r="P913" t="n">
        <v>0</v>
      </c>
      <c r="Q913" t="n">
        <v>0</v>
      </c>
      <c r="R913" s="2" t="inlineStr"/>
    </row>
    <row r="914" ht="15" customHeight="1">
      <c r="A914" t="inlineStr">
        <is>
          <t>A 1699-2023</t>
        </is>
      </c>
      <c r="B914" s="1" t="n">
        <v>44935</v>
      </c>
      <c r="C914" s="1" t="n">
        <v>45975</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31318-2021</t>
        </is>
      </c>
      <c r="B915" s="1" t="n">
        <v>44368</v>
      </c>
      <c r="C915" s="1" t="n">
        <v>45975</v>
      </c>
      <c r="D915" t="inlineStr">
        <is>
          <t>KALMAR LÄN</t>
        </is>
      </c>
      <c r="E915" t="inlineStr">
        <is>
          <t>VÄSTERVIK</t>
        </is>
      </c>
      <c r="G915" t="n">
        <v>1.6</v>
      </c>
      <c r="H915" t="n">
        <v>0</v>
      </c>
      <c r="I915" t="n">
        <v>0</v>
      </c>
      <c r="J915" t="n">
        <v>0</v>
      </c>
      <c r="K915" t="n">
        <v>0</v>
      </c>
      <c r="L915" t="n">
        <v>0</v>
      </c>
      <c r="M915" t="n">
        <v>0</v>
      </c>
      <c r="N915" t="n">
        <v>0</v>
      </c>
      <c r="O915" t="n">
        <v>0</v>
      </c>
      <c r="P915" t="n">
        <v>0</v>
      </c>
      <c r="Q915" t="n">
        <v>0</v>
      </c>
      <c r="R915" s="2" t="inlineStr"/>
    </row>
    <row r="916" ht="15" customHeight="1">
      <c r="A916" t="inlineStr">
        <is>
          <t>A 29678-2025</t>
        </is>
      </c>
      <c r="B916" s="1" t="n">
        <v>45825.50804398148</v>
      </c>
      <c r="C916" s="1" t="n">
        <v>45975</v>
      </c>
      <c r="D916" t="inlineStr">
        <is>
          <t>KALMAR LÄN</t>
        </is>
      </c>
      <c r="E916" t="inlineStr">
        <is>
          <t>VÄSTERVIK</t>
        </is>
      </c>
      <c r="G916" t="n">
        <v>1.6</v>
      </c>
      <c r="H916" t="n">
        <v>0</v>
      </c>
      <c r="I916" t="n">
        <v>0</v>
      </c>
      <c r="J916" t="n">
        <v>0</v>
      </c>
      <c r="K916" t="n">
        <v>0</v>
      </c>
      <c r="L916" t="n">
        <v>0</v>
      </c>
      <c r="M916" t="n">
        <v>0</v>
      </c>
      <c r="N916" t="n">
        <v>0</v>
      </c>
      <c r="O916" t="n">
        <v>0</v>
      </c>
      <c r="P916" t="n">
        <v>0</v>
      </c>
      <c r="Q916" t="n">
        <v>0</v>
      </c>
      <c r="R916" s="2" t="inlineStr"/>
    </row>
    <row r="917" ht="15" customHeight="1">
      <c r="A917" t="inlineStr">
        <is>
          <t>A 58217-2022</t>
        </is>
      </c>
      <c r="B917" s="1" t="n">
        <v>44901.36453703704</v>
      </c>
      <c r="C917" s="1" t="n">
        <v>45975</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1874-2025</t>
        </is>
      </c>
      <c r="B918" s="1" t="n">
        <v>45671.61953703704</v>
      </c>
      <c r="C918" s="1" t="n">
        <v>45975</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59871-2022</t>
        </is>
      </c>
      <c r="B919" s="1" t="n">
        <v>44908</v>
      </c>
      <c r="C919" s="1" t="n">
        <v>45975</v>
      </c>
      <c r="D919" t="inlineStr">
        <is>
          <t>KALMAR LÄN</t>
        </is>
      </c>
      <c r="E919" t="inlineStr">
        <is>
          <t>VÄSTERVIK</t>
        </is>
      </c>
      <c r="F919" t="inlineStr">
        <is>
          <t>Övriga Aktiebolag</t>
        </is>
      </c>
      <c r="G919" t="n">
        <v>0.4</v>
      </c>
      <c r="H919" t="n">
        <v>0</v>
      </c>
      <c r="I919" t="n">
        <v>0</v>
      </c>
      <c r="J919" t="n">
        <v>0</v>
      </c>
      <c r="K919" t="n">
        <v>0</v>
      </c>
      <c r="L919" t="n">
        <v>0</v>
      </c>
      <c r="M919" t="n">
        <v>0</v>
      </c>
      <c r="N919" t="n">
        <v>0</v>
      </c>
      <c r="O919" t="n">
        <v>0</v>
      </c>
      <c r="P919" t="n">
        <v>0</v>
      </c>
      <c r="Q919" t="n">
        <v>0</v>
      </c>
      <c r="R919" s="2" t="inlineStr"/>
    </row>
    <row r="920" ht="15" customHeight="1">
      <c r="A920" t="inlineStr">
        <is>
          <t>A 16834-2023</t>
        </is>
      </c>
      <c r="B920" s="1" t="n">
        <v>45033</v>
      </c>
      <c r="C920" s="1" t="n">
        <v>45975</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11183-2024</t>
        </is>
      </c>
      <c r="B921" s="1" t="n">
        <v>45371.53141203704</v>
      </c>
      <c r="C921" s="1" t="n">
        <v>45975</v>
      </c>
      <c r="D921" t="inlineStr">
        <is>
          <t>KALMAR LÄN</t>
        </is>
      </c>
      <c r="E921" t="inlineStr">
        <is>
          <t>VÄSTERVIK</t>
        </is>
      </c>
      <c r="G921" t="n">
        <v>4.5</v>
      </c>
      <c r="H921" t="n">
        <v>0</v>
      </c>
      <c r="I921" t="n">
        <v>0</v>
      </c>
      <c r="J921" t="n">
        <v>0</v>
      </c>
      <c r="K921" t="n">
        <v>0</v>
      </c>
      <c r="L921" t="n">
        <v>0</v>
      </c>
      <c r="M921" t="n">
        <v>0</v>
      </c>
      <c r="N921" t="n">
        <v>0</v>
      </c>
      <c r="O921" t="n">
        <v>0</v>
      </c>
      <c r="P921" t="n">
        <v>0</v>
      </c>
      <c r="Q921" t="n">
        <v>0</v>
      </c>
      <c r="R921" s="2" t="inlineStr"/>
    </row>
    <row r="922" ht="15" customHeight="1">
      <c r="A922" t="inlineStr">
        <is>
          <t>A 28291-2024</t>
        </is>
      </c>
      <c r="B922" s="1" t="n">
        <v>45477</v>
      </c>
      <c r="C922" s="1" t="n">
        <v>45975</v>
      </c>
      <c r="D922" t="inlineStr">
        <is>
          <t>KALMAR LÄN</t>
        </is>
      </c>
      <c r="E922" t="inlineStr">
        <is>
          <t>VÄSTERVIK</t>
        </is>
      </c>
      <c r="G922" t="n">
        <v>3.2</v>
      </c>
      <c r="H922" t="n">
        <v>0</v>
      </c>
      <c r="I922" t="n">
        <v>0</v>
      </c>
      <c r="J922" t="n">
        <v>0</v>
      </c>
      <c r="K922" t="n">
        <v>0</v>
      </c>
      <c r="L922" t="n">
        <v>0</v>
      </c>
      <c r="M922" t="n">
        <v>0</v>
      </c>
      <c r="N922" t="n">
        <v>0</v>
      </c>
      <c r="O922" t="n">
        <v>0</v>
      </c>
      <c r="P922" t="n">
        <v>0</v>
      </c>
      <c r="Q922" t="n">
        <v>0</v>
      </c>
      <c r="R922" s="2" t="inlineStr"/>
    </row>
    <row r="923" ht="15" customHeight="1">
      <c r="A923" t="inlineStr">
        <is>
          <t>A 19950-2025</t>
        </is>
      </c>
      <c r="B923" s="1" t="n">
        <v>45771.65724537037</v>
      </c>
      <c r="C923" s="1" t="n">
        <v>45975</v>
      </c>
      <c r="D923" t="inlineStr">
        <is>
          <t>KALMAR LÄN</t>
        </is>
      </c>
      <c r="E923" t="inlineStr">
        <is>
          <t>VÄSTERVIK</t>
        </is>
      </c>
      <c r="G923" t="n">
        <v>2.4</v>
      </c>
      <c r="H923" t="n">
        <v>0</v>
      </c>
      <c r="I923" t="n">
        <v>0</v>
      </c>
      <c r="J923" t="n">
        <v>0</v>
      </c>
      <c r="K923" t="n">
        <v>0</v>
      </c>
      <c r="L923" t="n">
        <v>0</v>
      </c>
      <c r="M923" t="n">
        <v>0</v>
      </c>
      <c r="N923" t="n">
        <v>0</v>
      </c>
      <c r="O923" t="n">
        <v>0</v>
      </c>
      <c r="P923" t="n">
        <v>0</v>
      </c>
      <c r="Q923" t="n">
        <v>0</v>
      </c>
      <c r="R923" s="2" t="inlineStr"/>
    </row>
    <row r="924" ht="15" customHeight="1">
      <c r="A924" t="inlineStr">
        <is>
          <t>A 36418-2023</t>
        </is>
      </c>
      <c r="B924" s="1" t="n">
        <v>45152</v>
      </c>
      <c r="C924" s="1" t="n">
        <v>45975</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c r="U924">
        <f>HYPERLINK("https://klasma.github.io/Logging_0883/knärot/A 36418-2023 karta knärot.png", "A 36418-2023")</f>
        <v/>
      </c>
      <c r="V924">
        <f>HYPERLINK("https://klasma.github.io/Logging_0883/klagomål/A 36418-2023 FSC-klagomål.docx", "A 36418-2023")</f>
        <v/>
      </c>
      <c r="W924">
        <f>HYPERLINK("https://klasma.github.io/Logging_0883/klagomålsmail/A 36418-2023 FSC-klagomål mail.docx", "A 36418-2023")</f>
        <v/>
      </c>
      <c r="X924">
        <f>HYPERLINK("https://klasma.github.io/Logging_0883/tillsyn/A 36418-2023 tillsynsbegäran.docx", "A 36418-2023")</f>
        <v/>
      </c>
      <c r="Y924">
        <f>HYPERLINK("https://klasma.github.io/Logging_0883/tillsynsmail/A 36418-2023 tillsynsbegäran mail.docx", "A 36418-2023")</f>
        <v/>
      </c>
    </row>
    <row r="925" ht="15" customHeight="1">
      <c r="A925" t="inlineStr">
        <is>
          <t>A 13840-2024</t>
        </is>
      </c>
      <c r="B925" s="1" t="n">
        <v>45391.44885416667</v>
      </c>
      <c r="C925" s="1" t="n">
        <v>45975</v>
      </c>
      <c r="D925" t="inlineStr">
        <is>
          <t>KALMAR LÄN</t>
        </is>
      </c>
      <c r="E925" t="inlineStr">
        <is>
          <t>VÄSTERVIK</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44461-2025</t>
        </is>
      </c>
      <c r="B926" s="1" t="n">
        <v>45916.62190972222</v>
      </c>
      <c r="C926" s="1" t="n">
        <v>45975</v>
      </c>
      <c r="D926" t="inlineStr">
        <is>
          <t>KALMAR LÄN</t>
        </is>
      </c>
      <c r="E926" t="inlineStr">
        <is>
          <t>VÄSTERVIK</t>
        </is>
      </c>
      <c r="G926" t="n">
        <v>3.4</v>
      </c>
      <c r="H926" t="n">
        <v>0</v>
      </c>
      <c r="I926" t="n">
        <v>0</v>
      </c>
      <c r="J926" t="n">
        <v>0</v>
      </c>
      <c r="K926" t="n">
        <v>0</v>
      </c>
      <c r="L926" t="n">
        <v>0</v>
      </c>
      <c r="M926" t="n">
        <v>0</v>
      </c>
      <c r="N926" t="n">
        <v>0</v>
      </c>
      <c r="O926" t="n">
        <v>0</v>
      </c>
      <c r="P926" t="n">
        <v>0</v>
      </c>
      <c r="Q926" t="n">
        <v>0</v>
      </c>
      <c r="R926" s="2" t="inlineStr"/>
    </row>
    <row r="927" ht="15" customHeight="1">
      <c r="A927" t="inlineStr">
        <is>
          <t>A 34471-2024</t>
        </is>
      </c>
      <c r="B927" s="1" t="n">
        <v>45525.59111111111</v>
      </c>
      <c r="C927" s="1" t="n">
        <v>45975</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61580-2022</t>
        </is>
      </c>
      <c r="B928" s="1" t="n">
        <v>44916.62880787037</v>
      </c>
      <c r="C928" s="1" t="n">
        <v>45975</v>
      </c>
      <c r="D928" t="inlineStr">
        <is>
          <t>KALMAR LÄN</t>
        </is>
      </c>
      <c r="E928" t="inlineStr">
        <is>
          <t>VÄSTERVIK</t>
        </is>
      </c>
      <c r="G928" t="n">
        <v>3.5</v>
      </c>
      <c r="H928" t="n">
        <v>0</v>
      </c>
      <c r="I928" t="n">
        <v>0</v>
      </c>
      <c r="J928" t="n">
        <v>0</v>
      </c>
      <c r="K928" t="n">
        <v>0</v>
      </c>
      <c r="L928" t="n">
        <v>0</v>
      </c>
      <c r="M928" t="n">
        <v>0</v>
      </c>
      <c r="N928" t="n">
        <v>0</v>
      </c>
      <c r="O928" t="n">
        <v>0</v>
      </c>
      <c r="P928" t="n">
        <v>0</v>
      </c>
      <c r="Q928" t="n">
        <v>0</v>
      </c>
      <c r="R928" s="2" t="inlineStr"/>
    </row>
    <row r="929" ht="15" customHeight="1">
      <c r="A929" t="inlineStr">
        <is>
          <t>A 60848-2020</t>
        </is>
      </c>
      <c r="B929" s="1" t="n">
        <v>44152</v>
      </c>
      <c r="C929" s="1" t="n">
        <v>45975</v>
      </c>
      <c r="D929" t="inlineStr">
        <is>
          <t>KALMAR LÄN</t>
        </is>
      </c>
      <c r="E929" t="inlineStr">
        <is>
          <t>VÄSTERVIK</t>
        </is>
      </c>
      <c r="G929" t="n">
        <v>2.7</v>
      </c>
      <c r="H929" t="n">
        <v>0</v>
      </c>
      <c r="I929" t="n">
        <v>0</v>
      </c>
      <c r="J929" t="n">
        <v>0</v>
      </c>
      <c r="K929" t="n">
        <v>0</v>
      </c>
      <c r="L929" t="n">
        <v>0</v>
      </c>
      <c r="M929" t="n">
        <v>0</v>
      </c>
      <c r="N929" t="n">
        <v>0</v>
      </c>
      <c r="O929" t="n">
        <v>0</v>
      </c>
      <c r="P929" t="n">
        <v>0</v>
      </c>
      <c r="Q929" t="n">
        <v>0</v>
      </c>
      <c r="R929" s="2" t="inlineStr"/>
    </row>
    <row r="930" ht="15" customHeight="1">
      <c r="A930" t="inlineStr">
        <is>
          <t>A 34646-2023</t>
        </is>
      </c>
      <c r="B930" s="1" t="n">
        <v>45140</v>
      </c>
      <c r="C930" s="1" t="n">
        <v>45975</v>
      </c>
      <c r="D930" t="inlineStr">
        <is>
          <t>KALMAR LÄN</t>
        </is>
      </c>
      <c r="E930" t="inlineStr">
        <is>
          <t>VÄSTERVIK</t>
        </is>
      </c>
      <c r="G930" t="n">
        <v>3.1</v>
      </c>
      <c r="H930" t="n">
        <v>0</v>
      </c>
      <c r="I930" t="n">
        <v>0</v>
      </c>
      <c r="J930" t="n">
        <v>0</v>
      </c>
      <c r="K930" t="n">
        <v>0</v>
      </c>
      <c r="L930" t="n">
        <v>0</v>
      </c>
      <c r="M930" t="n">
        <v>0</v>
      </c>
      <c r="N930" t="n">
        <v>0</v>
      </c>
      <c r="O930" t="n">
        <v>0</v>
      </c>
      <c r="P930" t="n">
        <v>0</v>
      </c>
      <c r="Q930" t="n">
        <v>0</v>
      </c>
      <c r="R930" s="2" t="inlineStr"/>
    </row>
    <row r="931" ht="15" customHeight="1">
      <c r="A931" t="inlineStr">
        <is>
          <t>A 56610-2022</t>
        </is>
      </c>
      <c r="B931" s="1" t="n">
        <v>44893.5862037037</v>
      </c>
      <c r="C931" s="1" t="n">
        <v>45975</v>
      </c>
      <c r="D931" t="inlineStr">
        <is>
          <t>KALMAR LÄN</t>
        </is>
      </c>
      <c r="E931" t="inlineStr">
        <is>
          <t>VÄSTERVIK</t>
        </is>
      </c>
      <c r="G931" t="n">
        <v>0.5</v>
      </c>
      <c r="H931" t="n">
        <v>0</v>
      </c>
      <c r="I931" t="n">
        <v>0</v>
      </c>
      <c r="J931" t="n">
        <v>0</v>
      </c>
      <c r="K931" t="n">
        <v>0</v>
      </c>
      <c r="L931" t="n">
        <v>0</v>
      </c>
      <c r="M931" t="n">
        <v>0</v>
      </c>
      <c r="N931" t="n">
        <v>0</v>
      </c>
      <c r="O931" t="n">
        <v>0</v>
      </c>
      <c r="P931" t="n">
        <v>0</v>
      </c>
      <c r="Q931" t="n">
        <v>0</v>
      </c>
      <c r="R931" s="2" t="inlineStr"/>
    </row>
    <row r="932" ht="15" customHeight="1">
      <c r="A932" t="inlineStr">
        <is>
          <t>A 37033-2021</t>
        </is>
      </c>
      <c r="B932" s="1" t="n">
        <v>44393</v>
      </c>
      <c r="C932" s="1" t="n">
        <v>45975</v>
      </c>
      <c r="D932" t="inlineStr">
        <is>
          <t>KALMAR LÄN</t>
        </is>
      </c>
      <c r="E932" t="inlineStr">
        <is>
          <t>VÄSTERVIK</t>
        </is>
      </c>
      <c r="G932" t="n">
        <v>0.9</v>
      </c>
      <c r="H932" t="n">
        <v>0</v>
      </c>
      <c r="I932" t="n">
        <v>0</v>
      </c>
      <c r="J932" t="n">
        <v>0</v>
      </c>
      <c r="K932" t="n">
        <v>0</v>
      </c>
      <c r="L932" t="n">
        <v>0</v>
      </c>
      <c r="M932" t="n">
        <v>0</v>
      </c>
      <c r="N932" t="n">
        <v>0</v>
      </c>
      <c r="O932" t="n">
        <v>0</v>
      </c>
      <c r="P932" t="n">
        <v>0</v>
      </c>
      <c r="Q932" t="n">
        <v>0</v>
      </c>
      <c r="R932" s="2" t="inlineStr"/>
    </row>
    <row r="933" ht="15" customHeight="1">
      <c r="A933" t="inlineStr">
        <is>
          <t>A 58707-2022</t>
        </is>
      </c>
      <c r="B933" s="1" t="n">
        <v>44902.80462962963</v>
      </c>
      <c r="C933" s="1" t="n">
        <v>45975</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30644-2025</t>
        </is>
      </c>
      <c r="B934" s="1" t="n">
        <v>45831</v>
      </c>
      <c r="C934" s="1" t="n">
        <v>45975</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65-2023</t>
        </is>
      </c>
      <c r="B935" s="1" t="n">
        <v>44928.44431712963</v>
      </c>
      <c r="C935" s="1" t="n">
        <v>45975</v>
      </c>
      <c r="D935" t="inlineStr">
        <is>
          <t>KALMAR LÄN</t>
        </is>
      </c>
      <c r="E935" t="inlineStr">
        <is>
          <t>VÄSTERVIK</t>
        </is>
      </c>
      <c r="G935" t="n">
        <v>1.8</v>
      </c>
      <c r="H935" t="n">
        <v>0</v>
      </c>
      <c r="I935" t="n">
        <v>0</v>
      </c>
      <c r="J935" t="n">
        <v>0</v>
      </c>
      <c r="K935" t="n">
        <v>0</v>
      </c>
      <c r="L935" t="n">
        <v>0</v>
      </c>
      <c r="M935" t="n">
        <v>0</v>
      </c>
      <c r="N935" t="n">
        <v>0</v>
      </c>
      <c r="O935" t="n">
        <v>0</v>
      </c>
      <c r="P935" t="n">
        <v>0</v>
      </c>
      <c r="Q935" t="n">
        <v>0</v>
      </c>
      <c r="R935" s="2" t="inlineStr"/>
    </row>
    <row r="936" ht="15" customHeight="1">
      <c r="A936" t="inlineStr">
        <is>
          <t>A 30811-2025</t>
        </is>
      </c>
      <c r="B936" s="1" t="n">
        <v>45831.65712962963</v>
      </c>
      <c r="C936" s="1" t="n">
        <v>45975</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30800-2025</t>
        </is>
      </c>
      <c r="B937" s="1" t="n">
        <v>45831.65177083333</v>
      </c>
      <c r="C937" s="1" t="n">
        <v>45975</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30789-2025</t>
        </is>
      </c>
      <c r="B938" s="1" t="n">
        <v>45831.63174768518</v>
      </c>
      <c r="C938" s="1" t="n">
        <v>45975</v>
      </c>
      <c r="D938" t="inlineStr">
        <is>
          <t>KALMAR LÄN</t>
        </is>
      </c>
      <c r="E938" t="inlineStr">
        <is>
          <t>VÄSTERVIK</t>
        </is>
      </c>
      <c r="G938" t="n">
        <v>7</v>
      </c>
      <c r="H938" t="n">
        <v>0</v>
      </c>
      <c r="I938" t="n">
        <v>0</v>
      </c>
      <c r="J938" t="n">
        <v>0</v>
      </c>
      <c r="K938" t="n">
        <v>0</v>
      </c>
      <c r="L938" t="n">
        <v>0</v>
      </c>
      <c r="M938" t="n">
        <v>0</v>
      </c>
      <c r="N938" t="n">
        <v>0</v>
      </c>
      <c r="O938" t="n">
        <v>0</v>
      </c>
      <c r="P938" t="n">
        <v>0</v>
      </c>
      <c r="Q938" t="n">
        <v>0</v>
      </c>
      <c r="R938" s="2" t="inlineStr"/>
    </row>
    <row r="939" ht="15" customHeight="1">
      <c r="A939" t="inlineStr">
        <is>
          <t>A 25714-2023</t>
        </is>
      </c>
      <c r="B939" s="1" t="n">
        <v>45089</v>
      </c>
      <c r="C939" s="1" t="n">
        <v>45975</v>
      </c>
      <c r="D939" t="inlineStr">
        <is>
          <t>KALMAR LÄN</t>
        </is>
      </c>
      <c r="E939" t="inlineStr">
        <is>
          <t>VÄSTERVIK</t>
        </is>
      </c>
      <c r="G939" t="n">
        <v>10.5</v>
      </c>
      <c r="H939" t="n">
        <v>0</v>
      </c>
      <c r="I939" t="n">
        <v>0</v>
      </c>
      <c r="J939" t="n">
        <v>0</v>
      </c>
      <c r="K939" t="n">
        <v>0</v>
      </c>
      <c r="L939" t="n">
        <v>0</v>
      </c>
      <c r="M939" t="n">
        <v>0</v>
      </c>
      <c r="N939" t="n">
        <v>0</v>
      </c>
      <c r="O939" t="n">
        <v>0</v>
      </c>
      <c r="P939" t="n">
        <v>0</v>
      </c>
      <c r="Q939" t="n">
        <v>0</v>
      </c>
      <c r="R939" s="2" t="inlineStr"/>
    </row>
    <row r="940" ht="15" customHeight="1">
      <c r="A940" t="inlineStr">
        <is>
          <t>A 53394-2025</t>
        </is>
      </c>
      <c r="B940" s="1" t="n">
        <v>45959.5534837963</v>
      </c>
      <c r="C940" s="1" t="n">
        <v>45975</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45202-2023</t>
        </is>
      </c>
      <c r="B941" s="1" t="n">
        <v>45191</v>
      </c>
      <c r="C941" s="1" t="n">
        <v>45975</v>
      </c>
      <c r="D941" t="inlineStr">
        <is>
          <t>KALMAR LÄN</t>
        </is>
      </c>
      <c r="E941" t="inlineStr">
        <is>
          <t>VÄSTERVIK</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44849-2025</t>
        </is>
      </c>
      <c r="B942" s="1" t="n">
        <v>45918.44545138889</v>
      </c>
      <c r="C942" s="1" t="n">
        <v>45975</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53333-2025</t>
        </is>
      </c>
      <c r="B943" s="1" t="n">
        <v>45959.37754629629</v>
      </c>
      <c r="C943" s="1" t="n">
        <v>45975</v>
      </c>
      <c r="D943" t="inlineStr">
        <is>
          <t>KALMAR LÄN</t>
        </is>
      </c>
      <c r="E943" t="inlineStr">
        <is>
          <t>VÄSTERVIK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53334-2025</t>
        </is>
      </c>
      <c r="B944" s="1" t="n">
        <v>45959.38063657407</v>
      </c>
      <c r="C944" s="1" t="n">
        <v>45975</v>
      </c>
      <c r="D944" t="inlineStr">
        <is>
          <t>KALMAR LÄN</t>
        </is>
      </c>
      <c r="E944" t="inlineStr">
        <is>
          <t>VÄSTERVIK</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42868-2025</t>
        </is>
      </c>
      <c r="B945" s="1" t="n">
        <v>45908</v>
      </c>
      <c r="C945" s="1" t="n">
        <v>45975</v>
      </c>
      <c r="D945" t="inlineStr">
        <is>
          <t>KALMAR LÄN</t>
        </is>
      </c>
      <c r="E945" t="inlineStr">
        <is>
          <t>VÄSTERVIK</t>
        </is>
      </c>
      <c r="F945" t="inlineStr">
        <is>
          <t>Holmen skog AB</t>
        </is>
      </c>
      <c r="G945" t="n">
        <v>3.7</v>
      </c>
      <c r="H945" t="n">
        <v>0</v>
      </c>
      <c r="I945" t="n">
        <v>0</v>
      </c>
      <c r="J945" t="n">
        <v>0</v>
      </c>
      <c r="K945" t="n">
        <v>0</v>
      </c>
      <c r="L945" t="n">
        <v>0</v>
      </c>
      <c r="M945" t="n">
        <v>0</v>
      </c>
      <c r="N945" t="n">
        <v>0</v>
      </c>
      <c r="O945" t="n">
        <v>0</v>
      </c>
      <c r="P945" t="n">
        <v>0</v>
      </c>
      <c r="Q945" t="n">
        <v>0</v>
      </c>
      <c r="R945" s="2" t="inlineStr"/>
      <c r="U945">
        <f>HYPERLINK("https://klasma.github.io/Logging_0883/knärot/A 42868-2025 karta knärot.png", "A 42868-2025")</f>
        <v/>
      </c>
      <c r="V945">
        <f>HYPERLINK("https://klasma.github.io/Logging_0883/klagomål/A 42868-2025 FSC-klagomål.docx", "A 42868-2025")</f>
        <v/>
      </c>
      <c r="W945">
        <f>HYPERLINK("https://klasma.github.io/Logging_0883/klagomålsmail/A 42868-2025 FSC-klagomål mail.docx", "A 42868-2025")</f>
        <v/>
      </c>
      <c r="X945">
        <f>HYPERLINK("https://klasma.github.io/Logging_0883/tillsyn/A 42868-2025 tillsynsbegäran.docx", "A 42868-2025")</f>
        <v/>
      </c>
      <c r="Y945">
        <f>HYPERLINK("https://klasma.github.io/Logging_0883/tillsynsmail/A 42868-2025 tillsynsbegäran mail.docx", "A 42868-2025")</f>
        <v/>
      </c>
    </row>
    <row r="946" ht="15" customHeight="1">
      <c r="A946" t="inlineStr">
        <is>
          <t>A 30690-2025</t>
        </is>
      </c>
      <c r="B946" s="1" t="n">
        <v>45831.53775462963</v>
      </c>
      <c r="C946" s="1" t="n">
        <v>45975</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6312-2024</t>
        </is>
      </c>
      <c r="B947" s="1" t="n">
        <v>45338</v>
      </c>
      <c r="C947" s="1" t="n">
        <v>45975</v>
      </c>
      <c r="D947" t="inlineStr">
        <is>
          <t>KALMAR LÄN</t>
        </is>
      </c>
      <c r="E947" t="inlineStr">
        <is>
          <t>VÄSTERVIK</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4461-2025</t>
        </is>
      </c>
      <c r="B948" s="1" t="n">
        <v>45686</v>
      </c>
      <c r="C948" s="1" t="n">
        <v>45975</v>
      </c>
      <c r="D948" t="inlineStr">
        <is>
          <t>KALMAR LÄN</t>
        </is>
      </c>
      <c r="E948" t="inlineStr">
        <is>
          <t>VÄSTERVIK</t>
        </is>
      </c>
      <c r="G948" t="n">
        <v>0.8</v>
      </c>
      <c r="H948" t="n">
        <v>0</v>
      </c>
      <c r="I948" t="n">
        <v>0</v>
      </c>
      <c r="J948" t="n">
        <v>0</v>
      </c>
      <c r="K948" t="n">
        <v>0</v>
      </c>
      <c r="L948" t="n">
        <v>0</v>
      </c>
      <c r="M948" t="n">
        <v>0</v>
      </c>
      <c r="N948" t="n">
        <v>0</v>
      </c>
      <c r="O948" t="n">
        <v>0</v>
      </c>
      <c r="P948" t="n">
        <v>0</v>
      </c>
      <c r="Q948" t="n">
        <v>0</v>
      </c>
      <c r="R948" s="2" t="inlineStr"/>
      <c r="U948">
        <f>HYPERLINK("https://klasma.github.io/Logging_0883/knärot/A 4461-2025 karta knärot.png", "A 4461-2025")</f>
        <v/>
      </c>
      <c r="V948">
        <f>HYPERLINK("https://klasma.github.io/Logging_0883/klagomål/A 4461-2025 FSC-klagomål.docx", "A 4461-2025")</f>
        <v/>
      </c>
      <c r="W948">
        <f>HYPERLINK("https://klasma.github.io/Logging_0883/klagomålsmail/A 4461-2025 FSC-klagomål mail.docx", "A 4461-2025")</f>
        <v/>
      </c>
      <c r="X948">
        <f>HYPERLINK("https://klasma.github.io/Logging_0883/tillsyn/A 4461-2025 tillsynsbegäran.docx", "A 4461-2025")</f>
        <v/>
      </c>
      <c r="Y948">
        <f>HYPERLINK("https://klasma.github.io/Logging_0883/tillsynsmail/A 4461-2025 tillsynsbegäran mail.docx", "A 4461-2025")</f>
        <v/>
      </c>
    </row>
    <row r="949" ht="15" customHeight="1">
      <c r="A949" t="inlineStr">
        <is>
          <t>A 30648-2025</t>
        </is>
      </c>
      <c r="B949" s="1" t="n">
        <v>45831</v>
      </c>
      <c r="C949" s="1" t="n">
        <v>45975</v>
      </c>
      <c r="D949" t="inlineStr">
        <is>
          <t>KALMAR LÄN</t>
        </is>
      </c>
      <c r="E949" t="inlineStr">
        <is>
          <t>VÄSTERVIK</t>
        </is>
      </c>
      <c r="G949" t="n">
        <v>3</v>
      </c>
      <c r="H949" t="n">
        <v>0</v>
      </c>
      <c r="I949" t="n">
        <v>0</v>
      </c>
      <c r="J949" t="n">
        <v>0</v>
      </c>
      <c r="K949" t="n">
        <v>0</v>
      </c>
      <c r="L949" t="n">
        <v>0</v>
      </c>
      <c r="M949" t="n">
        <v>0</v>
      </c>
      <c r="N949" t="n">
        <v>0</v>
      </c>
      <c r="O949" t="n">
        <v>0</v>
      </c>
      <c r="P949" t="n">
        <v>0</v>
      </c>
      <c r="Q949" t="n">
        <v>0</v>
      </c>
      <c r="R949" s="2" t="inlineStr"/>
    </row>
    <row r="950" ht="15" customHeight="1">
      <c r="A950" t="inlineStr">
        <is>
          <t>A 52845-2023</t>
        </is>
      </c>
      <c r="B950" s="1" t="n">
        <v>45226.43667824074</v>
      </c>
      <c r="C950" s="1" t="n">
        <v>45975</v>
      </c>
      <c r="D950" t="inlineStr">
        <is>
          <t>KALMAR LÄN</t>
        </is>
      </c>
      <c r="E950" t="inlineStr">
        <is>
          <t>VÄSTERVIK</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44848-2025</t>
        </is>
      </c>
      <c r="B951" s="1" t="n">
        <v>45918.44344907408</v>
      </c>
      <c r="C951" s="1" t="n">
        <v>45975</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31576-2025</t>
        </is>
      </c>
      <c r="B952" s="1" t="n">
        <v>45833.67266203704</v>
      </c>
      <c r="C952" s="1" t="n">
        <v>45975</v>
      </c>
      <c r="D952" t="inlineStr">
        <is>
          <t>KALMAR LÄN</t>
        </is>
      </c>
      <c r="E952" t="inlineStr">
        <is>
          <t>VÄSTERVIK</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44853-2025</t>
        </is>
      </c>
      <c r="B953" s="1" t="n">
        <v>45918.44818287037</v>
      </c>
      <c r="C953" s="1" t="n">
        <v>45975</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44861-2025</t>
        </is>
      </c>
      <c r="B954" s="1" t="n">
        <v>45918.45793981481</v>
      </c>
      <c r="C954" s="1" t="n">
        <v>45975</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c r="U954">
        <f>HYPERLINK("https://klasma.github.io/Logging_0883/knärot/A 44861-2025 karta knärot.png", "A 44861-2025")</f>
        <v/>
      </c>
      <c r="V954">
        <f>HYPERLINK("https://klasma.github.io/Logging_0883/klagomål/A 44861-2025 FSC-klagomål.docx", "A 44861-2025")</f>
        <v/>
      </c>
      <c r="W954">
        <f>HYPERLINK("https://klasma.github.io/Logging_0883/klagomålsmail/A 44861-2025 FSC-klagomål mail.docx", "A 44861-2025")</f>
        <v/>
      </c>
      <c r="X954">
        <f>HYPERLINK("https://klasma.github.io/Logging_0883/tillsyn/A 44861-2025 tillsynsbegäran.docx", "A 44861-2025")</f>
        <v/>
      </c>
      <c r="Y954">
        <f>HYPERLINK("https://klasma.github.io/Logging_0883/tillsynsmail/A 44861-2025 tillsynsbegäran mail.docx", "A 44861-2025")</f>
        <v/>
      </c>
    </row>
    <row r="955" ht="15" customHeight="1">
      <c r="A955" t="inlineStr">
        <is>
          <t>A 44792-2025</t>
        </is>
      </c>
      <c r="B955" s="1" t="n">
        <v>45918.31287037037</v>
      </c>
      <c r="C955" s="1" t="n">
        <v>45975</v>
      </c>
      <c r="D955" t="inlineStr">
        <is>
          <t>KALMAR LÄN</t>
        </is>
      </c>
      <c r="E955" t="inlineStr">
        <is>
          <t>VÄSTERVIK</t>
        </is>
      </c>
      <c r="G955" t="n">
        <v>3.9</v>
      </c>
      <c r="H955" t="n">
        <v>0</v>
      </c>
      <c r="I955" t="n">
        <v>0</v>
      </c>
      <c r="J955" t="n">
        <v>0</v>
      </c>
      <c r="K955" t="n">
        <v>0</v>
      </c>
      <c r="L955" t="n">
        <v>0</v>
      </c>
      <c r="M955" t="n">
        <v>0</v>
      </c>
      <c r="N955" t="n">
        <v>0</v>
      </c>
      <c r="O955" t="n">
        <v>0</v>
      </c>
      <c r="P955" t="n">
        <v>0</v>
      </c>
      <c r="Q955" t="n">
        <v>0</v>
      </c>
      <c r="R955" s="2" t="inlineStr"/>
    </row>
    <row r="956" ht="15" customHeight="1">
      <c r="A956" t="inlineStr">
        <is>
          <t>A 31826-2025</t>
        </is>
      </c>
      <c r="B956" s="1" t="n">
        <v>45834.58306712963</v>
      </c>
      <c r="C956" s="1" t="n">
        <v>45975</v>
      </c>
      <c r="D956" t="inlineStr">
        <is>
          <t>KALMAR LÄN</t>
        </is>
      </c>
      <c r="E956" t="inlineStr">
        <is>
          <t>VÄSTERVIK</t>
        </is>
      </c>
      <c r="F956" t="inlineStr">
        <is>
          <t>Holmen skog AB</t>
        </is>
      </c>
      <c r="G956" t="n">
        <v>2.1</v>
      </c>
      <c r="H956" t="n">
        <v>0</v>
      </c>
      <c r="I956" t="n">
        <v>0</v>
      </c>
      <c r="J956" t="n">
        <v>0</v>
      </c>
      <c r="K956" t="n">
        <v>0</v>
      </c>
      <c r="L956" t="n">
        <v>0</v>
      </c>
      <c r="M956" t="n">
        <v>0</v>
      </c>
      <c r="N956" t="n">
        <v>0</v>
      </c>
      <c r="O956" t="n">
        <v>0</v>
      </c>
      <c r="P956" t="n">
        <v>0</v>
      </c>
      <c r="Q956" t="n">
        <v>0</v>
      </c>
      <c r="R956" s="2" t="inlineStr"/>
    </row>
    <row r="957" ht="15" customHeight="1">
      <c r="A957" t="inlineStr">
        <is>
          <t>A 14114-2025</t>
        </is>
      </c>
      <c r="B957" s="1" t="n">
        <v>45740.45964120371</v>
      </c>
      <c r="C957" s="1" t="n">
        <v>45975</v>
      </c>
      <c r="D957" t="inlineStr">
        <is>
          <t>KALMAR LÄN</t>
        </is>
      </c>
      <c r="E957" t="inlineStr">
        <is>
          <t>VÄSTERVIK</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46596-2022</t>
        </is>
      </c>
      <c r="B958" s="1" t="n">
        <v>44848.8315625</v>
      </c>
      <c r="C958" s="1" t="n">
        <v>45975</v>
      </c>
      <c r="D958" t="inlineStr">
        <is>
          <t>KALMAR LÄN</t>
        </is>
      </c>
      <c r="E958" t="inlineStr">
        <is>
          <t>VÄSTERVIK</t>
        </is>
      </c>
      <c r="G958" t="n">
        <v>3.9</v>
      </c>
      <c r="H958" t="n">
        <v>0</v>
      </c>
      <c r="I958" t="n">
        <v>0</v>
      </c>
      <c r="J958" t="n">
        <v>0</v>
      </c>
      <c r="K958" t="n">
        <v>0</v>
      </c>
      <c r="L958" t="n">
        <v>0</v>
      </c>
      <c r="M958" t="n">
        <v>0</v>
      </c>
      <c r="N958" t="n">
        <v>0</v>
      </c>
      <c r="O958" t="n">
        <v>0</v>
      </c>
      <c r="P958" t="n">
        <v>0</v>
      </c>
      <c r="Q958" t="n">
        <v>0</v>
      </c>
      <c r="R958" s="2" t="inlineStr"/>
    </row>
    <row r="959" ht="15" customHeight="1">
      <c r="A959" t="inlineStr">
        <is>
          <t>A 31843-2025</t>
        </is>
      </c>
      <c r="B959" s="1" t="n">
        <v>45834.5984375</v>
      </c>
      <c r="C959" s="1" t="n">
        <v>45975</v>
      </c>
      <c r="D959" t="inlineStr">
        <is>
          <t>KALMAR LÄN</t>
        </is>
      </c>
      <c r="E959" t="inlineStr">
        <is>
          <t>VÄSTERVIK</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44981-2025</t>
        </is>
      </c>
      <c r="B960" s="1" t="n">
        <v>45918.64869212963</v>
      </c>
      <c r="C960" s="1" t="n">
        <v>45975</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31857-2025</t>
        </is>
      </c>
      <c r="B961" s="1" t="n">
        <v>45834.62629629629</v>
      </c>
      <c r="C961" s="1" t="n">
        <v>45975</v>
      </c>
      <c r="D961" t="inlineStr">
        <is>
          <t>KALMAR LÄN</t>
        </is>
      </c>
      <c r="E961" t="inlineStr">
        <is>
          <t>VÄSTERVIK</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30148-2024</t>
        </is>
      </c>
      <c r="B962" s="1" t="n">
        <v>45489.60528935185</v>
      </c>
      <c r="C962" s="1" t="n">
        <v>45975</v>
      </c>
      <c r="D962" t="inlineStr">
        <is>
          <t>KALMAR LÄN</t>
        </is>
      </c>
      <c r="E962" t="inlineStr">
        <is>
          <t>VÄSTERVIK</t>
        </is>
      </c>
      <c r="G962" t="n">
        <v>0.6</v>
      </c>
      <c r="H962" t="n">
        <v>0</v>
      </c>
      <c r="I962" t="n">
        <v>0</v>
      </c>
      <c r="J962" t="n">
        <v>0</v>
      </c>
      <c r="K962" t="n">
        <v>0</v>
      </c>
      <c r="L962" t="n">
        <v>0</v>
      </c>
      <c r="M962" t="n">
        <v>0</v>
      </c>
      <c r="N962" t="n">
        <v>0</v>
      </c>
      <c r="O962" t="n">
        <v>0</v>
      </c>
      <c r="P962" t="n">
        <v>0</v>
      </c>
      <c r="Q962" t="n">
        <v>0</v>
      </c>
      <c r="R962" s="2" t="inlineStr"/>
    </row>
    <row r="963" ht="15" customHeight="1">
      <c r="A963" t="inlineStr">
        <is>
          <t>A 31419-2025</t>
        </is>
      </c>
      <c r="B963" s="1" t="n">
        <v>45833.48370370371</v>
      </c>
      <c r="C963" s="1" t="n">
        <v>45975</v>
      </c>
      <c r="D963" t="inlineStr">
        <is>
          <t>KALMAR LÄN</t>
        </is>
      </c>
      <c r="E963" t="inlineStr">
        <is>
          <t>VÄSTERVIK</t>
        </is>
      </c>
      <c r="F963" t="inlineStr">
        <is>
          <t>Kommuner</t>
        </is>
      </c>
      <c r="G963" t="n">
        <v>1.1</v>
      </c>
      <c r="H963" t="n">
        <v>0</v>
      </c>
      <c r="I963" t="n">
        <v>0</v>
      </c>
      <c r="J963" t="n">
        <v>0</v>
      </c>
      <c r="K963" t="n">
        <v>0</v>
      </c>
      <c r="L963" t="n">
        <v>0</v>
      </c>
      <c r="M963" t="n">
        <v>0</v>
      </c>
      <c r="N963" t="n">
        <v>0</v>
      </c>
      <c r="O963" t="n">
        <v>0</v>
      </c>
      <c r="P963" t="n">
        <v>0</v>
      </c>
      <c r="Q963" t="n">
        <v>0</v>
      </c>
      <c r="R963" s="2" t="inlineStr"/>
    </row>
    <row r="964" ht="15" customHeight="1">
      <c r="A964" t="inlineStr">
        <is>
          <t>A 23706-2025</t>
        </is>
      </c>
      <c r="B964" s="1" t="n">
        <v>45793.36922453704</v>
      </c>
      <c r="C964" s="1" t="n">
        <v>45975</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31886-2025</t>
        </is>
      </c>
      <c r="B965" s="1" t="n">
        <v>45834.65864583333</v>
      </c>
      <c r="C965" s="1" t="n">
        <v>45975</v>
      </c>
      <c r="D965" t="inlineStr">
        <is>
          <t>KALMAR LÄN</t>
        </is>
      </c>
      <c r="E965" t="inlineStr">
        <is>
          <t>VÄSTERVIK</t>
        </is>
      </c>
      <c r="F965" t="inlineStr">
        <is>
          <t>Holmen skog AB</t>
        </is>
      </c>
      <c r="G965" t="n">
        <v>4.1</v>
      </c>
      <c r="H965" t="n">
        <v>0</v>
      </c>
      <c r="I965" t="n">
        <v>0</v>
      </c>
      <c r="J965" t="n">
        <v>0</v>
      </c>
      <c r="K965" t="n">
        <v>0</v>
      </c>
      <c r="L965" t="n">
        <v>0</v>
      </c>
      <c r="M965" t="n">
        <v>0</v>
      </c>
      <c r="N965" t="n">
        <v>0</v>
      </c>
      <c r="O965" t="n">
        <v>0</v>
      </c>
      <c r="P965" t="n">
        <v>0</v>
      </c>
      <c r="Q965" t="n">
        <v>0</v>
      </c>
      <c r="R965" s="2" t="inlineStr"/>
    </row>
    <row r="966" ht="15" customHeight="1">
      <c r="A966" t="inlineStr">
        <is>
          <t>A 25488-2023</t>
        </is>
      </c>
      <c r="B966" s="1" t="n">
        <v>45089</v>
      </c>
      <c r="C966" s="1" t="n">
        <v>45975</v>
      </c>
      <c r="D966" t="inlineStr">
        <is>
          <t>KALMAR LÄN</t>
        </is>
      </c>
      <c r="E966" t="inlineStr">
        <is>
          <t>VÄSTERVIK</t>
        </is>
      </c>
      <c r="G966" t="n">
        <v>2.3</v>
      </c>
      <c r="H966" t="n">
        <v>0</v>
      </c>
      <c r="I966" t="n">
        <v>0</v>
      </c>
      <c r="J966" t="n">
        <v>0</v>
      </c>
      <c r="K966" t="n">
        <v>0</v>
      </c>
      <c r="L966" t="n">
        <v>0</v>
      </c>
      <c r="M966" t="n">
        <v>0</v>
      </c>
      <c r="N966" t="n">
        <v>0</v>
      </c>
      <c r="O966" t="n">
        <v>0</v>
      </c>
      <c r="P966" t="n">
        <v>0</v>
      </c>
      <c r="Q966" t="n">
        <v>0</v>
      </c>
      <c r="R966" s="2" t="inlineStr"/>
    </row>
    <row r="967" ht="15" customHeight="1">
      <c r="A967" t="inlineStr">
        <is>
          <t>A 31600-2025</t>
        </is>
      </c>
      <c r="B967" s="1" t="n">
        <v>45833.72505787037</v>
      </c>
      <c r="C967" s="1" t="n">
        <v>45975</v>
      </c>
      <c r="D967" t="inlineStr">
        <is>
          <t>KALMAR LÄN</t>
        </is>
      </c>
      <c r="E967" t="inlineStr">
        <is>
          <t>VÄSTERVIK</t>
        </is>
      </c>
      <c r="F967" t="inlineStr">
        <is>
          <t>Holmen skog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14212-2022</t>
        </is>
      </c>
      <c r="B968" s="1" t="n">
        <v>44651</v>
      </c>
      <c r="C968" s="1" t="n">
        <v>45975</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14105-2025</t>
        </is>
      </c>
      <c r="B969" s="1" t="n">
        <v>45740.45425925926</v>
      </c>
      <c r="C969" s="1" t="n">
        <v>45975</v>
      </c>
      <c r="D969" t="inlineStr">
        <is>
          <t>KALMAR LÄN</t>
        </is>
      </c>
      <c r="E969" t="inlineStr">
        <is>
          <t>VÄSTERVIK</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14109-2025</t>
        </is>
      </c>
      <c r="B970" s="1" t="n">
        <v>45740.45748842593</v>
      </c>
      <c r="C970" s="1" t="n">
        <v>45975</v>
      </c>
      <c r="D970" t="inlineStr">
        <is>
          <t>KALMAR LÄN</t>
        </is>
      </c>
      <c r="E970" t="inlineStr">
        <is>
          <t>VÄSTERVIK</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53364-2025</t>
        </is>
      </c>
      <c r="B971" s="1" t="n">
        <v>45959.48401620371</v>
      </c>
      <c r="C971" s="1" t="n">
        <v>45975</v>
      </c>
      <c r="D971" t="inlineStr">
        <is>
          <t>KALMAR LÄN</t>
        </is>
      </c>
      <c r="E971" t="inlineStr">
        <is>
          <t>VÄSTERVIK</t>
        </is>
      </c>
      <c r="G971" t="n">
        <v>3.2</v>
      </c>
      <c r="H971" t="n">
        <v>0</v>
      </c>
      <c r="I971" t="n">
        <v>0</v>
      </c>
      <c r="J971" t="n">
        <v>0</v>
      </c>
      <c r="K971" t="n">
        <v>0</v>
      </c>
      <c r="L971" t="n">
        <v>0</v>
      </c>
      <c r="M971" t="n">
        <v>0</v>
      </c>
      <c r="N971" t="n">
        <v>0</v>
      </c>
      <c r="O971" t="n">
        <v>0</v>
      </c>
      <c r="P971" t="n">
        <v>0</v>
      </c>
      <c r="Q971" t="n">
        <v>0</v>
      </c>
      <c r="R971" s="2" t="inlineStr"/>
    </row>
    <row r="972" ht="15" customHeight="1">
      <c r="A972" t="inlineStr">
        <is>
          <t>A 53366-2025</t>
        </is>
      </c>
      <c r="B972" s="1" t="n">
        <v>45959.48521990741</v>
      </c>
      <c r="C972" s="1" t="n">
        <v>45975</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28894-2023</t>
        </is>
      </c>
      <c r="B973" s="1" t="n">
        <v>45104.49659722222</v>
      </c>
      <c r="C973" s="1" t="n">
        <v>45975</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54286-2025</t>
        </is>
      </c>
      <c r="B974" s="1" t="n">
        <v>45964.79894675926</v>
      </c>
      <c r="C974" s="1" t="n">
        <v>45975</v>
      </c>
      <c r="D974" t="inlineStr">
        <is>
          <t>KALMAR LÄN</t>
        </is>
      </c>
      <c r="E974" t="inlineStr">
        <is>
          <t>VÄSTERVIK</t>
        </is>
      </c>
      <c r="F974" t="inlineStr">
        <is>
          <t>Holmen skog AB</t>
        </is>
      </c>
      <c r="G974" t="n">
        <v>5.9</v>
      </c>
      <c r="H974" t="n">
        <v>0</v>
      </c>
      <c r="I974" t="n">
        <v>0</v>
      </c>
      <c r="J974" t="n">
        <v>0</v>
      </c>
      <c r="K974" t="n">
        <v>0</v>
      </c>
      <c r="L974" t="n">
        <v>0</v>
      </c>
      <c r="M974" t="n">
        <v>0</v>
      </c>
      <c r="N974" t="n">
        <v>0</v>
      </c>
      <c r="O974" t="n">
        <v>0</v>
      </c>
      <c r="P974" t="n">
        <v>0</v>
      </c>
      <c r="Q974" t="n">
        <v>0</v>
      </c>
      <c r="R974" s="2" t="inlineStr"/>
    </row>
    <row r="975" ht="15" customHeight="1">
      <c r="A975" t="inlineStr">
        <is>
          <t>A 54290-2025</t>
        </is>
      </c>
      <c r="B975" s="1" t="n">
        <v>45964.81896990741</v>
      </c>
      <c r="C975" s="1" t="n">
        <v>45975</v>
      </c>
      <c r="D975" t="inlineStr">
        <is>
          <t>KALMAR LÄN</t>
        </is>
      </c>
      <c r="E975" t="inlineStr">
        <is>
          <t>VÄSTERVIK</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59202-2022</t>
        </is>
      </c>
      <c r="B976" s="1" t="n">
        <v>44904</v>
      </c>
      <c r="C976" s="1" t="n">
        <v>45975</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59210-2022</t>
        </is>
      </c>
      <c r="B977" s="1" t="n">
        <v>44904.51767361111</v>
      </c>
      <c r="C977" s="1" t="n">
        <v>45975</v>
      </c>
      <c r="D977" t="inlineStr">
        <is>
          <t>KALMAR LÄN</t>
        </is>
      </c>
      <c r="E977" t="inlineStr">
        <is>
          <t>VÄSTERVIK</t>
        </is>
      </c>
      <c r="G977" t="n">
        <v>21.2</v>
      </c>
      <c r="H977" t="n">
        <v>0</v>
      </c>
      <c r="I977" t="n">
        <v>0</v>
      </c>
      <c r="J977" t="n">
        <v>0</v>
      </c>
      <c r="K977" t="n">
        <v>0</v>
      </c>
      <c r="L977" t="n">
        <v>0</v>
      </c>
      <c r="M977" t="n">
        <v>0</v>
      </c>
      <c r="N977" t="n">
        <v>0</v>
      </c>
      <c r="O977" t="n">
        <v>0</v>
      </c>
      <c r="P977" t="n">
        <v>0</v>
      </c>
      <c r="Q977" t="n">
        <v>0</v>
      </c>
      <c r="R977" s="2" t="inlineStr"/>
    </row>
    <row r="978" ht="15" customHeight="1">
      <c r="A978" t="inlineStr">
        <is>
          <t>A 59220-2022</t>
        </is>
      </c>
      <c r="B978" s="1" t="n">
        <v>44904.53423611111</v>
      </c>
      <c r="C978" s="1" t="n">
        <v>45975</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row>
    <row r="979" ht="15" customHeight="1">
      <c r="A979" t="inlineStr">
        <is>
          <t>A 32018-2025</t>
        </is>
      </c>
      <c r="B979" s="1" t="n">
        <v>45835.40452546296</v>
      </c>
      <c r="C979" s="1" t="n">
        <v>45975</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19333-2023</t>
        </is>
      </c>
      <c r="B980" s="1" t="n">
        <v>45049.566875</v>
      </c>
      <c r="C980" s="1" t="n">
        <v>45975</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15097-2023</t>
        </is>
      </c>
      <c r="B981" s="1" t="n">
        <v>45016</v>
      </c>
      <c r="C981" s="1" t="n">
        <v>45975</v>
      </c>
      <c r="D981" t="inlineStr">
        <is>
          <t>KALMAR LÄN</t>
        </is>
      </c>
      <c r="E981" t="inlineStr">
        <is>
          <t>VÄSTERVIK</t>
        </is>
      </c>
      <c r="G981" t="n">
        <v>5.9</v>
      </c>
      <c r="H981" t="n">
        <v>0</v>
      </c>
      <c r="I981" t="n">
        <v>0</v>
      </c>
      <c r="J981" t="n">
        <v>0</v>
      </c>
      <c r="K981" t="n">
        <v>0</v>
      </c>
      <c r="L981" t="n">
        <v>0</v>
      </c>
      <c r="M981" t="n">
        <v>0</v>
      </c>
      <c r="N981" t="n">
        <v>0</v>
      </c>
      <c r="O981" t="n">
        <v>0</v>
      </c>
      <c r="P981" t="n">
        <v>0</v>
      </c>
      <c r="Q981" t="n">
        <v>0</v>
      </c>
      <c r="R981" s="2" t="inlineStr"/>
    </row>
    <row r="982" ht="15" customHeight="1">
      <c r="A982" t="inlineStr">
        <is>
          <t>A 41342-2023</t>
        </is>
      </c>
      <c r="B982" s="1" t="n">
        <v>45174.72416666667</v>
      </c>
      <c r="C982" s="1" t="n">
        <v>45975</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13490-2022</t>
        </is>
      </c>
      <c r="B983" s="1" t="n">
        <v>44646</v>
      </c>
      <c r="C983" s="1" t="n">
        <v>45975</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5684-2023</t>
        </is>
      </c>
      <c r="B984" s="1" t="n">
        <v>44960.73170138889</v>
      </c>
      <c r="C984" s="1" t="n">
        <v>45975</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53145-2025</t>
        </is>
      </c>
      <c r="B985" s="1" t="n">
        <v>45958</v>
      </c>
      <c r="C985" s="1" t="n">
        <v>45975</v>
      </c>
      <c r="D985" t="inlineStr">
        <is>
          <t>KALMAR LÄN</t>
        </is>
      </c>
      <c r="E985" t="inlineStr">
        <is>
          <t>VÄSTERVIK</t>
        </is>
      </c>
      <c r="G985" t="n">
        <v>2.7</v>
      </c>
      <c r="H985" t="n">
        <v>0</v>
      </c>
      <c r="I985" t="n">
        <v>0</v>
      </c>
      <c r="J985" t="n">
        <v>0</v>
      </c>
      <c r="K985" t="n">
        <v>0</v>
      </c>
      <c r="L985" t="n">
        <v>0</v>
      </c>
      <c r="M985" t="n">
        <v>0</v>
      </c>
      <c r="N985" t="n">
        <v>0</v>
      </c>
      <c r="O985" t="n">
        <v>0</v>
      </c>
      <c r="P985" t="n">
        <v>0</v>
      </c>
      <c r="Q985" t="n">
        <v>0</v>
      </c>
      <c r="R985" s="2" t="inlineStr"/>
    </row>
    <row r="986" ht="15" customHeight="1">
      <c r="A986" t="inlineStr">
        <is>
          <t>A 56617-2021</t>
        </is>
      </c>
      <c r="B986" s="1" t="n">
        <v>44480</v>
      </c>
      <c r="C986" s="1" t="n">
        <v>45975</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53885-2025</t>
        </is>
      </c>
      <c r="B987" s="1" t="n">
        <v>45961.40505787037</v>
      </c>
      <c r="C987" s="1" t="n">
        <v>45975</v>
      </c>
      <c r="D987" t="inlineStr">
        <is>
          <t>KALMAR LÄN</t>
        </is>
      </c>
      <c r="E987" t="inlineStr">
        <is>
          <t>VÄSTERVIK</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53854-2025</t>
        </is>
      </c>
      <c r="B988" s="1" t="n">
        <v>45961.37491898148</v>
      </c>
      <c r="C988" s="1" t="n">
        <v>45975</v>
      </c>
      <c r="D988" t="inlineStr">
        <is>
          <t>KALMAR LÄN</t>
        </is>
      </c>
      <c r="E988" t="inlineStr">
        <is>
          <t>VÄSTERVIK</t>
        </is>
      </c>
      <c r="F988" t="inlineStr">
        <is>
          <t>Sveaskog</t>
        </is>
      </c>
      <c r="G988" t="n">
        <v>3.9</v>
      </c>
      <c r="H988" t="n">
        <v>0</v>
      </c>
      <c r="I988" t="n">
        <v>0</v>
      </c>
      <c r="J988" t="n">
        <v>0</v>
      </c>
      <c r="K988" t="n">
        <v>0</v>
      </c>
      <c r="L988" t="n">
        <v>0</v>
      </c>
      <c r="M988" t="n">
        <v>0</v>
      </c>
      <c r="N988" t="n">
        <v>0</v>
      </c>
      <c r="O988" t="n">
        <v>0</v>
      </c>
      <c r="P988" t="n">
        <v>0</v>
      </c>
      <c r="Q988" t="n">
        <v>0</v>
      </c>
      <c r="R988" s="2" t="inlineStr"/>
    </row>
    <row r="989" ht="15" customHeight="1">
      <c r="A989" t="inlineStr">
        <is>
          <t>A 53872-2025</t>
        </is>
      </c>
      <c r="B989" s="1" t="n">
        <v>45961.39266203704</v>
      </c>
      <c r="C989" s="1" t="n">
        <v>45975</v>
      </c>
      <c r="D989" t="inlineStr">
        <is>
          <t>KALMAR LÄN</t>
        </is>
      </c>
      <c r="E989" t="inlineStr">
        <is>
          <t>VÄSTERVIK</t>
        </is>
      </c>
      <c r="F989" t="inlineStr">
        <is>
          <t>Sveaskog</t>
        </is>
      </c>
      <c r="G989" t="n">
        <v>1.6</v>
      </c>
      <c r="H989" t="n">
        <v>0</v>
      </c>
      <c r="I989" t="n">
        <v>0</v>
      </c>
      <c r="J989" t="n">
        <v>0</v>
      </c>
      <c r="K989" t="n">
        <v>0</v>
      </c>
      <c r="L989" t="n">
        <v>0</v>
      </c>
      <c r="M989" t="n">
        <v>0</v>
      </c>
      <c r="N989" t="n">
        <v>0</v>
      </c>
      <c r="O989" t="n">
        <v>0</v>
      </c>
      <c r="P989" t="n">
        <v>0</v>
      </c>
      <c r="Q989" t="n">
        <v>0</v>
      </c>
      <c r="R989" s="2" t="inlineStr"/>
    </row>
    <row r="990" ht="15" customHeight="1">
      <c r="A990" t="inlineStr">
        <is>
          <t>A 32495-2025</t>
        </is>
      </c>
      <c r="B990" s="1" t="n">
        <v>45838.4546875</v>
      </c>
      <c r="C990" s="1" t="n">
        <v>45975</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32778-2025</t>
        </is>
      </c>
      <c r="B991" s="1" t="n">
        <v>45839.46924768519</v>
      </c>
      <c r="C991" s="1" t="n">
        <v>45975</v>
      </c>
      <c r="D991" t="inlineStr">
        <is>
          <t>KALMAR LÄN</t>
        </is>
      </c>
      <c r="E991" t="inlineStr">
        <is>
          <t>VÄSTERVIK</t>
        </is>
      </c>
      <c r="G991" t="n">
        <v>2.2</v>
      </c>
      <c r="H991" t="n">
        <v>0</v>
      </c>
      <c r="I991" t="n">
        <v>0</v>
      </c>
      <c r="J991" t="n">
        <v>0</v>
      </c>
      <c r="K991" t="n">
        <v>0</v>
      </c>
      <c r="L991" t="n">
        <v>0</v>
      </c>
      <c r="M991" t="n">
        <v>0</v>
      </c>
      <c r="N991" t="n">
        <v>0</v>
      </c>
      <c r="O991" t="n">
        <v>0</v>
      </c>
      <c r="P991" t="n">
        <v>0</v>
      </c>
      <c r="Q991" t="n">
        <v>0</v>
      </c>
      <c r="R991" s="2" t="inlineStr"/>
    </row>
    <row r="992" ht="15" customHeight="1">
      <c r="A992" t="inlineStr">
        <is>
          <t>A 66328-2020</t>
        </is>
      </c>
      <c r="B992" s="1" t="n">
        <v>44176</v>
      </c>
      <c r="C992" s="1" t="n">
        <v>45975</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3492-2021</t>
        </is>
      </c>
      <c r="B993" s="1" t="n">
        <v>44218.60984953704</v>
      </c>
      <c r="C993" s="1" t="n">
        <v>45975</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54292-2025</t>
        </is>
      </c>
      <c r="B994" s="1" t="n">
        <v>45964.82712962963</v>
      </c>
      <c r="C994" s="1" t="n">
        <v>45975</v>
      </c>
      <c r="D994" t="inlineStr">
        <is>
          <t>KALMAR LÄN</t>
        </is>
      </c>
      <c r="E994" t="inlineStr">
        <is>
          <t>VÄSTERVIK</t>
        </is>
      </c>
      <c r="F994" t="inlineStr">
        <is>
          <t>Holmen skog AB</t>
        </is>
      </c>
      <c r="G994" t="n">
        <v>3.6</v>
      </c>
      <c r="H994" t="n">
        <v>0</v>
      </c>
      <c r="I994" t="n">
        <v>0</v>
      </c>
      <c r="J994" t="n">
        <v>0</v>
      </c>
      <c r="K994" t="n">
        <v>0</v>
      </c>
      <c r="L994" t="n">
        <v>0</v>
      </c>
      <c r="M994" t="n">
        <v>0</v>
      </c>
      <c r="N994" t="n">
        <v>0</v>
      </c>
      <c r="O994" t="n">
        <v>0</v>
      </c>
      <c r="P994" t="n">
        <v>0</v>
      </c>
      <c r="Q994" t="n">
        <v>0</v>
      </c>
      <c r="R994" s="2" t="inlineStr"/>
    </row>
    <row r="995" ht="15" customHeight="1">
      <c r="A995" t="inlineStr">
        <is>
          <t>A 52495-2025</t>
        </is>
      </c>
      <c r="B995" s="1" t="n">
        <v>45953</v>
      </c>
      <c r="C995" s="1" t="n">
        <v>45975</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55086-2025</t>
        </is>
      </c>
      <c r="B996" s="1" t="n">
        <v>45968.33027777778</v>
      </c>
      <c r="C996" s="1" t="n">
        <v>45975</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53884-2025</t>
        </is>
      </c>
      <c r="B997" s="1" t="n">
        <v>45961.4030787037</v>
      </c>
      <c r="C997" s="1" t="n">
        <v>45975</v>
      </c>
      <c r="D997" t="inlineStr">
        <is>
          <t>KALMAR LÄN</t>
        </is>
      </c>
      <c r="E997" t="inlineStr">
        <is>
          <t>VÄSTERVIK</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46158-2025</t>
        </is>
      </c>
      <c r="B998" s="1" t="n">
        <v>45924.63511574074</v>
      </c>
      <c r="C998" s="1" t="n">
        <v>45975</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46161-2025</t>
        </is>
      </c>
      <c r="B999" s="1" t="n">
        <v>45924.63733796297</v>
      </c>
      <c r="C999" s="1" t="n">
        <v>45975</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32400-2025</t>
        </is>
      </c>
      <c r="B1000" s="1" t="n">
        <v>45838.25818287037</v>
      </c>
      <c r="C1000" s="1" t="n">
        <v>45975</v>
      </c>
      <c r="D1000" t="inlineStr">
        <is>
          <t>KALMAR LÄN</t>
        </is>
      </c>
      <c r="E1000" t="inlineStr">
        <is>
          <t>VÄSTERVIK</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55152-2025</t>
        </is>
      </c>
      <c r="B1001" s="1" t="n">
        <v>45968.4571412037</v>
      </c>
      <c r="C1001" s="1" t="n">
        <v>45975</v>
      </c>
      <c r="D1001" t="inlineStr">
        <is>
          <t>KALMAR LÄN</t>
        </is>
      </c>
      <c r="E1001" t="inlineStr">
        <is>
          <t>VÄSTERVIK</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33922-2025</t>
        </is>
      </c>
      <c r="B1002" s="1" t="n">
        <v>45842.61993055556</v>
      </c>
      <c r="C1002" s="1" t="n">
        <v>45975</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33928-2025</t>
        </is>
      </c>
      <c r="B1003" s="1" t="n">
        <v>45842.62488425926</v>
      </c>
      <c r="C1003" s="1" t="n">
        <v>45975</v>
      </c>
      <c r="D1003" t="inlineStr">
        <is>
          <t>KALMAR LÄN</t>
        </is>
      </c>
      <c r="E1003" t="inlineStr">
        <is>
          <t>VÄSTERVIK</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45877-2025</t>
        </is>
      </c>
      <c r="B1004" s="1" t="n">
        <v>45923.65804398148</v>
      </c>
      <c r="C1004" s="1" t="n">
        <v>45975</v>
      </c>
      <c r="D1004" t="inlineStr">
        <is>
          <t>KALMAR LÄN</t>
        </is>
      </c>
      <c r="E1004" t="inlineStr">
        <is>
          <t>VÄSTERVIK</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55184-2025</t>
        </is>
      </c>
      <c r="B1005" s="1" t="n">
        <v>45968.53612268518</v>
      </c>
      <c r="C1005" s="1" t="n">
        <v>45975</v>
      </c>
      <c r="D1005" t="inlineStr">
        <is>
          <t>KALMAR LÄN</t>
        </is>
      </c>
      <c r="E1005" t="inlineStr">
        <is>
          <t>VÄSTERVIK</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33924-2025</t>
        </is>
      </c>
      <c r="B1006" s="1" t="n">
        <v>45842.62152777778</v>
      </c>
      <c r="C1006" s="1" t="n">
        <v>45975</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33921-2025</t>
        </is>
      </c>
      <c r="B1007" s="1" t="n">
        <v>45842.61626157408</v>
      </c>
      <c r="C1007" s="1" t="n">
        <v>45975</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942-2024</t>
        </is>
      </c>
      <c r="B1008" s="1" t="n">
        <v>45301.53930555555</v>
      </c>
      <c r="C1008" s="1" t="n">
        <v>45975</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33931-2025</t>
        </is>
      </c>
      <c r="B1009" s="1" t="n">
        <v>45842.63288194445</v>
      </c>
      <c r="C1009" s="1" t="n">
        <v>45975</v>
      </c>
      <c r="D1009" t="inlineStr">
        <is>
          <t>KALMAR LÄN</t>
        </is>
      </c>
      <c r="E1009" t="inlineStr">
        <is>
          <t>VÄSTERVIK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55489-2025</t>
        </is>
      </c>
      <c r="B1010" s="1" t="n">
        <v>45971</v>
      </c>
      <c r="C1010" s="1" t="n">
        <v>45975</v>
      </c>
      <c r="D1010" t="inlineStr">
        <is>
          <t>KALMAR LÄN</t>
        </is>
      </c>
      <c r="E1010" t="inlineStr">
        <is>
          <t>VÄSTERVIK</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48753-2025</t>
        </is>
      </c>
      <c r="B1011" s="1" t="n">
        <v>45936</v>
      </c>
      <c r="C1011" s="1" t="n">
        <v>45975</v>
      </c>
      <c r="D1011" t="inlineStr">
        <is>
          <t>KALMAR LÄN</t>
        </is>
      </c>
      <c r="E1011" t="inlineStr">
        <is>
          <t>VÄSTERVIK</t>
        </is>
      </c>
      <c r="G1011" t="n">
        <v>0.9</v>
      </c>
      <c r="H1011" t="n">
        <v>0</v>
      </c>
      <c r="I1011" t="n">
        <v>0</v>
      </c>
      <c r="J1011" t="n">
        <v>0</v>
      </c>
      <c r="K1011" t="n">
        <v>0</v>
      </c>
      <c r="L1011" t="n">
        <v>0</v>
      </c>
      <c r="M1011" t="n">
        <v>0</v>
      </c>
      <c r="N1011" t="n">
        <v>0</v>
      </c>
      <c r="O1011" t="n">
        <v>0</v>
      </c>
      <c r="P1011" t="n">
        <v>0</v>
      </c>
      <c r="Q1011" t="n">
        <v>0</v>
      </c>
      <c r="R1011" s="2" t="inlineStr"/>
      <c r="U1011">
        <f>HYPERLINK("https://klasma.github.io/Logging_0883/knärot/A 48753-2025 karta knärot.png", "A 48753-2025")</f>
        <v/>
      </c>
      <c r="V1011">
        <f>HYPERLINK("https://klasma.github.io/Logging_0883/klagomål/A 48753-2025 FSC-klagomål.docx", "A 48753-2025")</f>
        <v/>
      </c>
      <c r="W1011">
        <f>HYPERLINK("https://klasma.github.io/Logging_0883/klagomålsmail/A 48753-2025 FSC-klagomål mail.docx", "A 48753-2025")</f>
        <v/>
      </c>
      <c r="X1011">
        <f>HYPERLINK("https://klasma.github.io/Logging_0883/tillsyn/A 48753-2025 tillsynsbegäran.docx", "A 48753-2025")</f>
        <v/>
      </c>
      <c r="Y1011">
        <f>HYPERLINK("https://klasma.github.io/Logging_0883/tillsynsmail/A 48753-2025 tillsynsbegäran mail.docx", "A 48753-2025")</f>
        <v/>
      </c>
    </row>
    <row r="1012" ht="15" customHeight="1">
      <c r="A1012" t="inlineStr">
        <is>
          <t>A 54567-2025</t>
        </is>
      </c>
      <c r="B1012" s="1" t="n">
        <v>45965.67274305555</v>
      </c>
      <c r="C1012" s="1" t="n">
        <v>45975</v>
      </c>
      <c r="D1012" t="inlineStr">
        <is>
          <t>KALMAR LÄN</t>
        </is>
      </c>
      <c r="E1012" t="inlineStr">
        <is>
          <t>VÄSTERVIK</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23024-2025</t>
        </is>
      </c>
      <c r="B1013" s="1" t="n">
        <v>45790.65615740741</v>
      </c>
      <c r="C1013" s="1" t="n">
        <v>45975</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54577-2025</t>
        </is>
      </c>
      <c r="B1014" s="1" t="n">
        <v>45965.6815162037</v>
      </c>
      <c r="C1014" s="1" t="n">
        <v>45975</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34162-2025</t>
        </is>
      </c>
      <c r="B1015" s="1" t="n">
        <v>45845.57983796296</v>
      </c>
      <c r="C1015" s="1" t="n">
        <v>45975</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34289-2025</t>
        </is>
      </c>
      <c r="B1016" s="1" t="n">
        <v>45846.334375</v>
      </c>
      <c r="C1016" s="1" t="n">
        <v>45975</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25403-2023</t>
        </is>
      </c>
      <c r="B1017" s="1" t="n">
        <v>45079</v>
      </c>
      <c r="C1017" s="1" t="n">
        <v>45975</v>
      </c>
      <c r="D1017" t="inlineStr">
        <is>
          <t>KALMAR LÄN</t>
        </is>
      </c>
      <c r="E1017" t="inlineStr">
        <is>
          <t>VÄSTERVIK</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10778-2025</t>
        </is>
      </c>
      <c r="B1018" s="1" t="n">
        <v>45722</v>
      </c>
      <c r="C1018" s="1" t="n">
        <v>45975</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34397-2025</t>
        </is>
      </c>
      <c r="B1019" s="1" t="n">
        <v>45846.59813657407</v>
      </c>
      <c r="C1019" s="1" t="n">
        <v>45975</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34160-2025</t>
        </is>
      </c>
      <c r="B1020" s="1" t="n">
        <v>45845.57701388889</v>
      </c>
      <c r="C1020" s="1" t="n">
        <v>45975</v>
      </c>
      <c r="D1020" t="inlineStr">
        <is>
          <t>KALMAR LÄN</t>
        </is>
      </c>
      <c r="E1020" t="inlineStr">
        <is>
          <t>VÄSTERVIK</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34171-2025</t>
        </is>
      </c>
      <c r="B1021" s="1" t="n">
        <v>45845.58966435185</v>
      </c>
      <c r="C1021" s="1" t="n">
        <v>45975</v>
      </c>
      <c r="D1021" t="inlineStr">
        <is>
          <t>KALMAR LÄN</t>
        </is>
      </c>
      <c r="E1021" t="inlineStr">
        <is>
          <t>VÄSTERVIK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34655-2023</t>
        </is>
      </c>
      <c r="B1022" s="1" t="n">
        <v>45140</v>
      </c>
      <c r="C1022" s="1" t="n">
        <v>45975</v>
      </c>
      <c r="D1022" t="inlineStr">
        <is>
          <t>KALMAR LÄN</t>
        </is>
      </c>
      <c r="E1022" t="inlineStr">
        <is>
          <t>VÄSTERVIK</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55737-2025</t>
        </is>
      </c>
      <c r="B1023" s="1" t="n">
        <v>45972.56077546296</v>
      </c>
      <c r="C1023" s="1" t="n">
        <v>45975</v>
      </c>
      <c r="D1023" t="inlineStr">
        <is>
          <t>KALMAR LÄN</t>
        </is>
      </c>
      <c r="E1023" t="inlineStr">
        <is>
          <t>VÄSTERVIK</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55557-2025</t>
        </is>
      </c>
      <c r="B1024" s="1" t="n">
        <v>45971.6475</v>
      </c>
      <c r="C1024" s="1" t="n">
        <v>45975</v>
      </c>
      <c r="D1024" t="inlineStr">
        <is>
          <t>KALMAR LÄN</t>
        </is>
      </c>
      <c r="E1024" t="inlineStr">
        <is>
          <t>VÄSTERVIK</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34617-2025</t>
        </is>
      </c>
      <c r="B1025" s="1" t="n">
        <v>45847</v>
      </c>
      <c r="C1025" s="1" t="n">
        <v>45975</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34618-2025</t>
        </is>
      </c>
      <c r="B1026" s="1" t="n">
        <v>45847</v>
      </c>
      <c r="C1026" s="1" t="n">
        <v>45975</v>
      </c>
      <c r="D1026" t="inlineStr">
        <is>
          <t>KALMAR LÄN</t>
        </is>
      </c>
      <c r="E1026" t="inlineStr">
        <is>
          <t>VÄSTERVIK</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34639-2025</t>
        </is>
      </c>
      <c r="B1027" s="1" t="n">
        <v>45848</v>
      </c>
      <c r="C1027" s="1" t="n">
        <v>45975</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34531-2025</t>
        </is>
      </c>
      <c r="B1028" s="1" t="n">
        <v>45847.50152777778</v>
      </c>
      <c r="C1028" s="1" t="n">
        <v>45975</v>
      </c>
      <c r="D1028" t="inlineStr">
        <is>
          <t>KALMAR LÄN</t>
        </is>
      </c>
      <c r="E1028" t="inlineStr">
        <is>
          <t>VÄSTERVIK</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34619-2025</t>
        </is>
      </c>
      <c r="B1029" s="1" t="n">
        <v>45847</v>
      </c>
      <c r="C1029" s="1" t="n">
        <v>45975</v>
      </c>
      <c r="D1029" t="inlineStr">
        <is>
          <t>KALMAR LÄN</t>
        </is>
      </c>
      <c r="E1029" t="inlineStr">
        <is>
          <t>VÄSTERVIK</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34643-2025</t>
        </is>
      </c>
      <c r="B1030" s="1" t="n">
        <v>45848.32959490741</v>
      </c>
      <c r="C1030" s="1" t="n">
        <v>45975</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11189-2024</t>
        </is>
      </c>
      <c r="B1031" s="1" t="n">
        <v>45371</v>
      </c>
      <c r="C1031" s="1" t="n">
        <v>45975</v>
      </c>
      <c r="D1031" t="inlineStr">
        <is>
          <t>KALMAR LÄN</t>
        </is>
      </c>
      <c r="E1031" t="inlineStr">
        <is>
          <t>VÄSTERVIK</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34916-2025</t>
        </is>
      </c>
      <c r="B1032" s="1" t="n">
        <v>45849.54420138889</v>
      </c>
      <c r="C1032" s="1" t="n">
        <v>45975</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10012-2025</t>
        </is>
      </c>
      <c r="B1033" s="1" t="n">
        <v>45719.46681712963</v>
      </c>
      <c r="C1033" s="1" t="n">
        <v>45975</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10419-2023</t>
        </is>
      </c>
      <c r="B1034" s="1" t="n">
        <v>44987</v>
      </c>
      <c r="C1034" s="1" t="n">
        <v>45975</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40969-2025</t>
        </is>
      </c>
      <c r="B1035" s="1" t="n">
        <v>45897</v>
      </c>
      <c r="C1035" s="1" t="n">
        <v>45975</v>
      </c>
      <c r="D1035" t="inlineStr">
        <is>
          <t>KALMAR LÄN</t>
        </is>
      </c>
      <c r="E1035" t="inlineStr">
        <is>
          <t>VÄSTERVIK</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10406-2022</t>
        </is>
      </c>
      <c r="B1036" s="1" t="n">
        <v>44623</v>
      </c>
      <c r="C1036" s="1" t="n">
        <v>45975</v>
      </c>
      <c r="D1036" t="inlineStr">
        <is>
          <t>KALMAR LÄN</t>
        </is>
      </c>
      <c r="E1036" t="inlineStr">
        <is>
          <t>VÄSTERVIK</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61649-2022</t>
        </is>
      </c>
      <c r="B1037" s="1" t="n">
        <v>44916.90010416666</v>
      </c>
      <c r="C1037" s="1" t="n">
        <v>45975</v>
      </c>
      <c r="D1037" t="inlineStr">
        <is>
          <t>KALMAR LÄN</t>
        </is>
      </c>
      <c r="E1037" t="inlineStr">
        <is>
          <t>VÄSTERVIK</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47775-2025</t>
        </is>
      </c>
      <c r="B1038" s="1" t="n">
        <v>45931.72548611111</v>
      </c>
      <c r="C1038" s="1" t="n">
        <v>45975</v>
      </c>
      <c r="D1038" t="inlineStr">
        <is>
          <t>KALMAR LÄN</t>
        </is>
      </c>
      <c r="E1038" t="inlineStr">
        <is>
          <t>VÄSTERVIK</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47776-2025</t>
        </is>
      </c>
      <c r="B1039" s="1" t="n">
        <v>45931.7262962963</v>
      </c>
      <c r="C1039" s="1" t="n">
        <v>45975</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27982-2025</t>
        </is>
      </c>
      <c r="B1040" s="1" t="n">
        <v>45817.57549768518</v>
      </c>
      <c r="C1040" s="1" t="n">
        <v>45975</v>
      </c>
      <c r="D1040" t="inlineStr">
        <is>
          <t>KALMAR LÄN</t>
        </is>
      </c>
      <c r="E1040" t="inlineStr">
        <is>
          <t>VÄSTERVIK</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48039-2025</t>
        </is>
      </c>
      <c r="B1041" s="1" t="n">
        <v>45932</v>
      </c>
      <c r="C1041" s="1" t="n">
        <v>45975</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35207-2025</t>
        </is>
      </c>
      <c r="B1042" s="1" t="n">
        <v>45853.43320601852</v>
      </c>
      <c r="C1042" s="1" t="n">
        <v>45975</v>
      </c>
      <c r="D1042" t="inlineStr">
        <is>
          <t>KALMAR LÄN</t>
        </is>
      </c>
      <c r="E1042" t="inlineStr">
        <is>
          <t>VÄSTERVIK</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35187-2025</t>
        </is>
      </c>
      <c r="B1043" s="1" t="n">
        <v>45853.31940972222</v>
      </c>
      <c r="C1043" s="1" t="n">
        <v>45975</v>
      </c>
      <c r="D1043" t="inlineStr">
        <is>
          <t>KALMAR LÄN</t>
        </is>
      </c>
      <c r="E1043" t="inlineStr">
        <is>
          <t>VÄSTERVIK</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48024-2025</t>
        </is>
      </c>
      <c r="B1044" s="1" t="n">
        <v>45932.65021990741</v>
      </c>
      <c r="C1044" s="1" t="n">
        <v>45975</v>
      </c>
      <c r="D1044" t="inlineStr">
        <is>
          <t>KALMAR LÄN</t>
        </is>
      </c>
      <c r="E1044" t="inlineStr">
        <is>
          <t>VÄSTERVIK</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56162-2025</t>
        </is>
      </c>
      <c r="B1045" s="1" t="n">
        <v>45974.37771990741</v>
      </c>
      <c r="C1045" s="1" t="n">
        <v>45975</v>
      </c>
      <c r="D1045" t="inlineStr">
        <is>
          <t>KALMAR LÄN</t>
        </is>
      </c>
      <c r="E1045" t="inlineStr">
        <is>
          <t>VÄSTERVIK</t>
        </is>
      </c>
      <c r="F1045" t="inlineStr">
        <is>
          <t>Holmen skog AB</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56336-2025</t>
        </is>
      </c>
      <c r="B1046" s="1" t="n">
        <v>45974.64564814815</v>
      </c>
      <c r="C1046" s="1" t="n">
        <v>45975</v>
      </c>
      <c r="D1046" t="inlineStr">
        <is>
          <t>KALMAR LÄN</t>
        </is>
      </c>
      <c r="E1046" t="inlineStr">
        <is>
          <t>VÄSTERVIK</t>
        </is>
      </c>
      <c r="F1046" t="inlineStr">
        <is>
          <t>Holmen skog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11198-2024</t>
        </is>
      </c>
      <c r="B1047" s="1" t="n">
        <v>45371</v>
      </c>
      <c r="C1047" s="1" t="n">
        <v>45975</v>
      </c>
      <c r="D1047" t="inlineStr">
        <is>
          <t>KALMAR LÄN</t>
        </is>
      </c>
      <c r="E1047" t="inlineStr">
        <is>
          <t>VÄSTERVIK</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56370-2025</t>
        </is>
      </c>
      <c r="B1048" s="1" t="n">
        <v>45974.67984953704</v>
      </c>
      <c r="C1048" s="1" t="n">
        <v>45975</v>
      </c>
      <c r="D1048" t="inlineStr">
        <is>
          <t>KALMAR LÄN</t>
        </is>
      </c>
      <c r="E1048" t="inlineStr">
        <is>
          <t>VÄSTERVIK</t>
        </is>
      </c>
      <c r="F1048" t="inlineStr">
        <is>
          <t>Holmen skog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47777-2025</t>
        </is>
      </c>
      <c r="B1049" s="1" t="n">
        <v>45931.72782407407</v>
      </c>
      <c r="C1049" s="1" t="n">
        <v>45975</v>
      </c>
      <c r="D1049" t="inlineStr">
        <is>
          <t>KALMAR LÄN</t>
        </is>
      </c>
      <c r="E1049" t="inlineStr">
        <is>
          <t>VÄSTERVIK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23148-2025</t>
        </is>
      </c>
      <c r="B1050" s="1" t="n">
        <v>45791.40225694444</v>
      </c>
      <c r="C1050" s="1" t="n">
        <v>45975</v>
      </c>
      <c r="D1050" t="inlineStr">
        <is>
          <t>KALMAR LÄN</t>
        </is>
      </c>
      <c r="E1050" t="inlineStr">
        <is>
          <t>VÄSTERVIK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21660-2025</t>
        </is>
      </c>
      <c r="B1051" s="1" t="n">
        <v>45783.45542824074</v>
      </c>
      <c r="C1051" s="1" t="n">
        <v>45975</v>
      </c>
      <c r="D1051" t="inlineStr">
        <is>
          <t>KALMAR LÄN</t>
        </is>
      </c>
      <c r="E1051" t="inlineStr">
        <is>
          <t>VÄSTERVIK</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56080-2025</t>
        </is>
      </c>
      <c r="B1052" s="1" t="n">
        <v>45973.65979166667</v>
      </c>
      <c r="C1052" s="1" t="n">
        <v>45975</v>
      </c>
      <c r="D1052" t="inlineStr">
        <is>
          <t>KALMAR LÄN</t>
        </is>
      </c>
      <c r="E1052" t="inlineStr">
        <is>
          <t>VÄSTERVIK</t>
        </is>
      </c>
      <c r="F1052" t="inlineStr">
        <is>
          <t>Holmen skog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5769-2023</t>
        </is>
      </c>
      <c r="B1053" s="1" t="n">
        <v>44963.37194444444</v>
      </c>
      <c r="C1053" s="1" t="n">
        <v>45975</v>
      </c>
      <c r="D1053" t="inlineStr">
        <is>
          <t>KALMAR LÄN</t>
        </is>
      </c>
      <c r="E1053" t="inlineStr">
        <is>
          <t>VÄSTERVIK</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14151-2021</t>
        </is>
      </c>
      <c r="B1054" s="1" t="n">
        <v>44278.41052083333</v>
      </c>
      <c r="C1054" s="1" t="n">
        <v>45975</v>
      </c>
      <c r="D1054" t="inlineStr">
        <is>
          <t>KALMAR LÄN</t>
        </is>
      </c>
      <c r="E1054" t="inlineStr">
        <is>
          <t>VÄSTERVIK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29722-2025</t>
        </is>
      </c>
      <c r="B1055" s="1" t="n">
        <v>45825.57524305556</v>
      </c>
      <c r="C1055" s="1" t="n">
        <v>45975</v>
      </c>
      <c r="D1055" t="inlineStr">
        <is>
          <t>KALMAR LÄN</t>
        </is>
      </c>
      <c r="E1055" t="inlineStr">
        <is>
          <t>VÄSTERVIK</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8593-2023</t>
        </is>
      </c>
      <c r="B1056" s="1" t="n">
        <v>44977</v>
      </c>
      <c r="C1056" s="1" t="n">
        <v>45975</v>
      </c>
      <c r="D1056" t="inlineStr">
        <is>
          <t>KALMAR LÄN</t>
        </is>
      </c>
      <c r="E1056" t="inlineStr">
        <is>
          <t>VÄSTERVIK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59695-2023</t>
        </is>
      </c>
      <c r="B1057" s="1" t="n">
        <v>45256.85107638889</v>
      </c>
      <c r="C1057" s="1" t="n">
        <v>45975</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7090-2024</t>
        </is>
      </c>
      <c r="B1058" s="1" t="n">
        <v>45343.80621527778</v>
      </c>
      <c r="C1058" s="1" t="n">
        <v>45975</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47945-2023</t>
        </is>
      </c>
      <c r="B1059" s="1" t="n">
        <v>45204.5684837963</v>
      </c>
      <c r="C1059" s="1" t="n">
        <v>45975</v>
      </c>
      <c r="D1059" t="inlineStr">
        <is>
          <t>KALMAR LÄN</t>
        </is>
      </c>
      <c r="E1059" t="inlineStr">
        <is>
          <t>VÄSTERVIK</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5510-2021</t>
        </is>
      </c>
      <c r="B1060" s="1" t="n">
        <v>44230</v>
      </c>
      <c r="C1060" s="1" t="n">
        <v>45975</v>
      </c>
      <c r="D1060" t="inlineStr">
        <is>
          <t>KALMAR LÄN</t>
        </is>
      </c>
      <c r="E1060" t="inlineStr">
        <is>
          <t>VÄSTERVIK</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59221-2022</t>
        </is>
      </c>
      <c r="B1061" s="1" t="n">
        <v>44904.53858796296</v>
      </c>
      <c r="C1061" s="1" t="n">
        <v>45975</v>
      </c>
      <c r="D1061" t="inlineStr">
        <is>
          <t>KALMAR LÄN</t>
        </is>
      </c>
      <c r="E1061" t="inlineStr">
        <is>
          <t>VÄSTERVIK</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46561-2022</t>
        </is>
      </c>
      <c r="B1062" s="1" t="n">
        <v>44848</v>
      </c>
      <c r="C1062" s="1" t="n">
        <v>45975</v>
      </c>
      <c r="D1062" t="inlineStr">
        <is>
          <t>KALMAR LÄN</t>
        </is>
      </c>
      <c r="E1062" t="inlineStr">
        <is>
          <t>VÄSTERVIK</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18884-2025</t>
        </is>
      </c>
      <c r="B1063" s="1" t="n">
        <v>45764.4417824074</v>
      </c>
      <c r="C1063" s="1" t="n">
        <v>45975</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58927-2022</t>
        </is>
      </c>
      <c r="B1064" s="1" t="n">
        <v>44896</v>
      </c>
      <c r="C1064" s="1" t="n">
        <v>45975</v>
      </c>
      <c r="D1064" t="inlineStr">
        <is>
          <t>KALMAR LÄN</t>
        </is>
      </c>
      <c r="E1064" t="inlineStr">
        <is>
          <t>VÄSTERVIK</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55042-2024</t>
        </is>
      </c>
      <c r="B1065" s="1" t="n">
        <v>45621.39081018518</v>
      </c>
      <c r="C1065" s="1" t="n">
        <v>45975</v>
      </c>
      <c r="D1065" t="inlineStr">
        <is>
          <t>KALMAR LÄN</t>
        </is>
      </c>
      <c r="E1065" t="inlineStr">
        <is>
          <t>VÄSTERVIK</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2357-2025</t>
        </is>
      </c>
      <c r="B1066" s="1" t="n">
        <v>45673.68859953704</v>
      </c>
      <c r="C1066" s="1" t="n">
        <v>45975</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18081-2023</t>
        </is>
      </c>
      <c r="B1067" s="1" t="n">
        <v>45040</v>
      </c>
      <c r="C1067" s="1" t="n">
        <v>45975</v>
      </c>
      <c r="D1067" t="inlineStr">
        <is>
          <t>KALMAR LÄN</t>
        </is>
      </c>
      <c r="E1067" t="inlineStr">
        <is>
          <t>VÄSTERVIK</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28895-2023</t>
        </is>
      </c>
      <c r="B1068" s="1" t="n">
        <v>45104</v>
      </c>
      <c r="C1068" s="1" t="n">
        <v>45975</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12386-2025</t>
        </is>
      </c>
      <c r="B1069" s="1" t="n">
        <v>45730</v>
      </c>
      <c r="C1069" s="1" t="n">
        <v>45975</v>
      </c>
      <c r="D1069" t="inlineStr">
        <is>
          <t>KALMAR LÄN</t>
        </is>
      </c>
      <c r="E1069" t="inlineStr">
        <is>
          <t>VÄSTERVIK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53266-2021</t>
        </is>
      </c>
      <c r="B1070" s="1" t="n">
        <v>44468.48255787037</v>
      </c>
      <c r="C1070" s="1" t="n">
        <v>45975</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45975</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14055-2025</t>
        </is>
      </c>
      <c r="B1072" s="1" t="n">
        <v>45740.39541666667</v>
      </c>
      <c r="C1072" s="1" t="n">
        <v>45975</v>
      </c>
      <c r="D1072" t="inlineStr">
        <is>
          <t>KALMAR LÄN</t>
        </is>
      </c>
      <c r="E1072" t="inlineStr">
        <is>
          <t>VÄSTERVIK</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48121-2021</t>
        </is>
      </c>
      <c r="B1073" s="1" t="n">
        <v>44449.46614583334</v>
      </c>
      <c r="C1073" s="1" t="n">
        <v>45975</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51645-2023</t>
        </is>
      </c>
      <c r="B1074" s="1" t="n">
        <v>45222.55333333334</v>
      </c>
      <c r="C1074" s="1" t="n">
        <v>45975</v>
      </c>
      <c r="D1074" t="inlineStr">
        <is>
          <t>KALMAR LÄN</t>
        </is>
      </c>
      <c r="E1074" t="inlineStr">
        <is>
          <t>VÄSTERVIK</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69702-2021</t>
        </is>
      </c>
      <c r="B1075" s="1" t="n">
        <v>44532.48237268518</v>
      </c>
      <c r="C1075" s="1" t="n">
        <v>45975</v>
      </c>
      <c r="D1075" t="inlineStr">
        <is>
          <t>KALMAR LÄN</t>
        </is>
      </c>
      <c r="E1075" t="inlineStr">
        <is>
          <t>VÄSTERVIK</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6126-2023</t>
        </is>
      </c>
      <c r="B1076" s="1" t="n">
        <v>44964.61592592593</v>
      </c>
      <c r="C1076" s="1" t="n">
        <v>45975</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15099-2023</t>
        </is>
      </c>
      <c r="B1077" s="1" t="n">
        <v>45016.39048611111</v>
      </c>
      <c r="C1077" s="1" t="n">
        <v>45975</v>
      </c>
      <c r="D1077" t="inlineStr">
        <is>
          <t>KALMAR LÄN</t>
        </is>
      </c>
      <c r="E1077" t="inlineStr">
        <is>
          <t>VÄSTERVIK</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71114-2021</t>
        </is>
      </c>
      <c r="B1078" s="1" t="n">
        <v>44539.37123842593</v>
      </c>
      <c r="C1078" s="1" t="n">
        <v>45975</v>
      </c>
      <c r="D1078" t="inlineStr">
        <is>
          <t>KALMAR LÄN</t>
        </is>
      </c>
      <c r="E1078" t="inlineStr">
        <is>
          <t>VÄSTERVIK</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13838-2024</t>
        </is>
      </c>
      <c r="B1079" s="1" t="n">
        <v>45391.44646990741</v>
      </c>
      <c r="C1079" s="1" t="n">
        <v>45975</v>
      </c>
      <c r="D1079" t="inlineStr">
        <is>
          <t>KALMAR LÄN</t>
        </is>
      </c>
      <c r="E1079" t="inlineStr">
        <is>
          <t>VÄSTERVIK</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62422-2022</t>
        </is>
      </c>
      <c r="B1080" s="1" t="n">
        <v>44924</v>
      </c>
      <c r="C1080" s="1" t="n">
        <v>45975</v>
      </c>
      <c r="D1080" t="inlineStr">
        <is>
          <t>KALMAR LÄN</t>
        </is>
      </c>
      <c r="E1080" t="inlineStr">
        <is>
          <t>VÄSTERVIK</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16617-2023</t>
        </is>
      </c>
      <c r="B1081" s="1" t="n">
        <v>45030</v>
      </c>
      <c r="C1081" s="1" t="n">
        <v>45975</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10020-2021</t>
        </is>
      </c>
      <c r="B1082" s="1" t="n">
        <v>44256</v>
      </c>
      <c r="C1082" s="1" t="n">
        <v>45975</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64762-2023</t>
        </is>
      </c>
      <c r="B1083" s="1" t="n">
        <v>45282.27841435185</v>
      </c>
      <c r="C1083" s="1" t="n">
        <v>45975</v>
      </c>
      <c r="D1083" t="inlineStr">
        <is>
          <t>KALMAR LÄN</t>
        </is>
      </c>
      <c r="E1083" t="inlineStr">
        <is>
          <t>VÄSTERVIK</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64763-2023</t>
        </is>
      </c>
      <c r="B1084" s="1" t="n">
        <v>45282.28041666667</v>
      </c>
      <c r="C1084" s="1" t="n">
        <v>45975</v>
      </c>
      <c r="D1084" t="inlineStr">
        <is>
          <t>KALMAR LÄN</t>
        </is>
      </c>
      <c r="E1084" t="inlineStr">
        <is>
          <t>VÄSTERVIK</t>
        </is>
      </c>
      <c r="F1084" t="inlineStr">
        <is>
          <t>Övriga Aktiebolag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37326-2024</t>
        </is>
      </c>
      <c r="B1085" s="1" t="n">
        <v>45540</v>
      </c>
      <c r="C1085" s="1" t="n">
        <v>45975</v>
      </c>
      <c r="D1085" t="inlineStr">
        <is>
          <t>KALMAR LÄN</t>
        </is>
      </c>
      <c r="E1085" t="inlineStr">
        <is>
          <t>VÄSTERVIK</t>
        </is>
      </c>
      <c r="F1085" t="inlineStr">
        <is>
          <t>Holmen skog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2830-2025</t>
        </is>
      </c>
      <c r="B1086" s="1" t="n">
        <v>45677.62704861111</v>
      </c>
      <c r="C1086" s="1" t="n">
        <v>45975</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8440-2023</t>
        </is>
      </c>
      <c r="B1087" s="1" t="n">
        <v>44977.46979166667</v>
      </c>
      <c r="C1087" s="1" t="n">
        <v>45975</v>
      </c>
      <c r="D1087" t="inlineStr">
        <is>
          <t>KALMAR LÄN</t>
        </is>
      </c>
      <c r="E1087" t="inlineStr">
        <is>
          <t>VÄSTERVIK</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8513-2023</t>
        </is>
      </c>
      <c r="B1088" s="1" t="n">
        <v>44977.56759259259</v>
      </c>
      <c r="C1088" s="1" t="n">
        <v>45975</v>
      </c>
      <c r="D1088" t="inlineStr">
        <is>
          <t>KALMAR LÄN</t>
        </is>
      </c>
      <c r="E1088" t="inlineStr">
        <is>
          <t>VÄSTERVIK</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14685-2025</t>
        </is>
      </c>
      <c r="B1089" s="1" t="n">
        <v>45742.57653935185</v>
      </c>
      <c r="C1089" s="1" t="n">
        <v>45975</v>
      </c>
      <c r="D1089" t="inlineStr">
        <is>
          <t>KALMAR LÄN</t>
        </is>
      </c>
      <c r="E1089" t="inlineStr">
        <is>
          <t>VÄSTERVIK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11791-2024</t>
        </is>
      </c>
      <c r="B1090" s="1" t="n">
        <v>45374.97038194445</v>
      </c>
      <c r="C1090" s="1" t="n">
        <v>45975</v>
      </c>
      <c r="D1090" t="inlineStr">
        <is>
          <t>KALMAR LÄN</t>
        </is>
      </c>
      <c r="E1090" t="inlineStr">
        <is>
          <t>VÄSTERVIK</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3679-2025</t>
        </is>
      </c>
      <c r="B1091" s="1" t="n">
        <v>45681.44637731482</v>
      </c>
      <c r="C1091" s="1" t="n">
        <v>45975</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16683-2025</t>
        </is>
      </c>
      <c r="B1092" s="1" t="n">
        <v>45754.45234953704</v>
      </c>
      <c r="C1092" s="1" t="n">
        <v>45975</v>
      </c>
      <c r="D1092" t="inlineStr">
        <is>
          <t>KALMAR LÄN</t>
        </is>
      </c>
      <c r="E1092" t="inlineStr">
        <is>
          <t>VÄSTERVIK</t>
        </is>
      </c>
      <c r="F1092" t="inlineStr">
        <is>
          <t>Sveaskog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16686-2025</t>
        </is>
      </c>
      <c r="B1093" s="1" t="n">
        <v>45754.45355324074</v>
      </c>
      <c r="C1093" s="1" t="n">
        <v>45975</v>
      </c>
      <c r="D1093" t="inlineStr">
        <is>
          <t>KALMAR LÄN</t>
        </is>
      </c>
      <c r="E1093" t="inlineStr">
        <is>
          <t>VÄSTERVIK</t>
        </is>
      </c>
      <c r="F1093" t="inlineStr">
        <is>
          <t>Sveaskog</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29420-2024</t>
        </is>
      </c>
      <c r="B1094" s="1" t="n">
        <v>45483</v>
      </c>
      <c r="C1094" s="1" t="n">
        <v>45975</v>
      </c>
      <c r="D1094" t="inlineStr">
        <is>
          <t>KALMAR LÄN</t>
        </is>
      </c>
      <c r="E1094" t="inlineStr">
        <is>
          <t>VÄSTERVIK</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38048-2023</t>
        </is>
      </c>
      <c r="B1095" s="1" t="n">
        <v>45160.67677083334</v>
      </c>
      <c r="C1095" s="1" t="n">
        <v>45975</v>
      </c>
      <c r="D1095" t="inlineStr">
        <is>
          <t>KALMAR LÄN</t>
        </is>
      </c>
      <c r="E1095" t="inlineStr">
        <is>
          <t>VÄSTERVIK</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17648-2023</t>
        </is>
      </c>
      <c r="B1096" s="1" t="n">
        <v>45036</v>
      </c>
      <c r="C1096" s="1" t="n">
        <v>45975</v>
      </c>
      <c r="D1096" t="inlineStr">
        <is>
          <t>KALMAR LÄN</t>
        </is>
      </c>
      <c r="E1096" t="inlineStr">
        <is>
          <t>VÄSTERVIK</t>
        </is>
      </c>
      <c r="G1096" t="n">
        <v>0.4</v>
      </c>
      <c r="H1096" t="n">
        <v>0</v>
      </c>
      <c r="I1096" t="n">
        <v>0</v>
      </c>
      <c r="J1096" t="n">
        <v>0</v>
      </c>
      <c r="K1096" t="n">
        <v>0</v>
      </c>
      <c r="L1096" t="n">
        <v>0</v>
      </c>
      <c r="M1096" t="n">
        <v>0</v>
      </c>
      <c r="N1096" t="n">
        <v>0</v>
      </c>
      <c r="O1096" t="n">
        <v>0</v>
      </c>
      <c r="P1096" t="n">
        <v>0</v>
      </c>
      <c r="Q1096" t="n">
        <v>0</v>
      </c>
      <c r="R1096" s="2" t="inlineStr"/>
    </row>
    <row r="1097">
      <c r="A1097" t="inlineStr">
        <is>
          <t>A 28952-2023</t>
        </is>
      </c>
      <c r="B1097" s="1" t="n">
        <v>45104</v>
      </c>
      <c r="C1097" s="1" t="n">
        <v>45975</v>
      </c>
      <c r="D1097" t="inlineStr">
        <is>
          <t>KALMAR LÄN</t>
        </is>
      </c>
      <c r="E1097" t="inlineStr">
        <is>
          <t>VÄSTERVIK</t>
        </is>
      </c>
      <c r="F1097" t="inlineStr">
        <is>
          <t>Holmen skog AB</t>
        </is>
      </c>
      <c r="G1097" t="n">
        <v>1</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2025-11-14T10:08:58Z</dcterms:created>
  <dcterms:modified xmlns:dcterms="http://purl.org/dc/terms/" xmlns:xsi="http://www.w3.org/2001/XMLSchema-instance" xsi:type="dcterms:W3CDTF">2025-11-14T10:08:59Z</dcterms:modified>
</cp:coreProperties>
</file>