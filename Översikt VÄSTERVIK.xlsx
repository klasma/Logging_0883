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45824</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45824</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45824</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45824</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45824</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45824</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45824</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45824</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45824</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45824</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45824</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45824</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45824</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45824</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45824</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45824</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26574-2025</t>
        </is>
      </c>
      <c r="B46" s="1" t="n">
        <v>45807</v>
      </c>
      <c r="C46" s="1" t="n">
        <v>45824</v>
      </c>
      <c r="D46" t="inlineStr">
        <is>
          <t>KALMAR LÄN</t>
        </is>
      </c>
      <c r="E46" t="inlineStr">
        <is>
          <t>VÄSTERVIK</t>
        </is>
      </c>
      <c r="G46" t="n">
        <v>8.4</v>
      </c>
      <c r="H46" t="n">
        <v>2</v>
      </c>
      <c r="I46" t="n">
        <v>3</v>
      </c>
      <c r="J46" t="n">
        <v>3</v>
      </c>
      <c r="K46" t="n">
        <v>0</v>
      </c>
      <c r="L46" t="n">
        <v>0</v>
      </c>
      <c r="M46" t="n">
        <v>0</v>
      </c>
      <c r="N46" t="n">
        <v>0</v>
      </c>
      <c r="O46" t="n">
        <v>3</v>
      </c>
      <c r="P46" t="n">
        <v>0</v>
      </c>
      <c r="Q46" t="n">
        <v>7</v>
      </c>
      <c r="R46" s="2" t="inlineStr">
        <is>
          <t>Drillsnäppa
Tallticka
Vippärt
Blåmossa
Murgröna
Sårläka
Kungsfågel</t>
        </is>
      </c>
      <c r="S46">
        <f>HYPERLINK("https://klasma.github.io/Logging_080883/artfynd/A 26574-2025 artfynd.xlsx", "A 26574-2025")</f>
        <v/>
      </c>
      <c r="T46">
        <f>HYPERLINK("https://klasma.github.io/Logging_080883/kartor/A 26574-2025 karta.png", "A 26574-2025")</f>
        <v/>
      </c>
      <c r="V46">
        <f>HYPERLINK("https://klasma.github.io/Logging_080883/klagomål/A 26574-2025 FSC-klagomål.docx", "A 26574-2025")</f>
        <v/>
      </c>
      <c r="W46">
        <f>HYPERLINK("https://klasma.github.io/Logging_080883/klagomålsmail/A 26574-2025 FSC-klagomål mail.docx", "A 26574-2025")</f>
        <v/>
      </c>
      <c r="X46">
        <f>HYPERLINK("https://klasma.github.io/Logging_080883/tillsyn/A 26574-2025 tillsynsbegäran.docx", "A 26574-2025")</f>
        <v/>
      </c>
      <c r="Y46">
        <f>HYPERLINK("https://klasma.github.io/Logging_080883/tillsynsmail/A 26574-2025 tillsynsbegäran mail.docx", "A 26574-2025")</f>
        <v/>
      </c>
      <c r="Z46">
        <f>HYPERLINK("https://klasma.github.io/Logging_080883/fåglar/A 26574-2025 prioriterade fågelarter.docx", "A 26574-2025")</f>
        <v/>
      </c>
    </row>
    <row r="47" ht="15" customHeight="1">
      <c r="A47" t="inlineStr">
        <is>
          <t>A 52916-2020</t>
        </is>
      </c>
      <c r="B47" s="1" t="n">
        <v>44120</v>
      </c>
      <c r="C47" s="1" t="n">
        <v>45824</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53760-2021</t>
        </is>
      </c>
      <c r="B48" s="1" t="n">
        <v>44467</v>
      </c>
      <c r="C48" s="1" t="n">
        <v>45824</v>
      </c>
      <c r="D48" t="inlineStr">
        <is>
          <t>KALMAR LÄN</t>
        </is>
      </c>
      <c r="E48" t="inlineStr">
        <is>
          <t>VÄSTERVIK</t>
        </is>
      </c>
      <c r="G48" t="n">
        <v>3.9</v>
      </c>
      <c r="H48" t="n">
        <v>5</v>
      </c>
      <c r="I48" t="n">
        <v>0</v>
      </c>
      <c r="J48" t="n">
        <v>3</v>
      </c>
      <c r="K48" t="n">
        <v>0</v>
      </c>
      <c r="L48" t="n">
        <v>0</v>
      </c>
      <c r="M48" t="n">
        <v>0</v>
      </c>
      <c r="N48" t="n">
        <v>0</v>
      </c>
      <c r="O48" t="n">
        <v>3</v>
      </c>
      <c r="P48" t="n">
        <v>0</v>
      </c>
      <c r="Q48" t="n">
        <v>6</v>
      </c>
      <c r="R48" s="2" t="inlineStr">
        <is>
          <t>Brunlångöra
Nordfladdermus
Tallticka
Dvärgpipistrell
Större brunfladdermus
Trollpipistrell</t>
        </is>
      </c>
      <c r="S48">
        <f>HYPERLINK("https://klasma.github.io/Logging_0883/artfynd/A 53760-2021 artfynd.xlsx", "A 53760-2021")</f>
        <v/>
      </c>
      <c r="T48">
        <f>HYPERLINK("https://klasma.github.io/Logging_0883/kartor/A 53760-2021 karta.png", "A 53760-2021")</f>
        <v/>
      </c>
      <c r="V48">
        <f>HYPERLINK("https://klasma.github.io/Logging_0883/klagomål/A 53760-2021 FSC-klagomål.docx", "A 53760-2021")</f>
        <v/>
      </c>
      <c r="W48">
        <f>HYPERLINK("https://klasma.github.io/Logging_0883/klagomålsmail/A 53760-2021 FSC-klagomål mail.docx", "A 53760-2021")</f>
        <v/>
      </c>
      <c r="X48">
        <f>HYPERLINK("https://klasma.github.io/Logging_0883/tillsyn/A 53760-2021 tillsynsbegäran.docx", "A 53760-2021")</f>
        <v/>
      </c>
      <c r="Y48">
        <f>HYPERLINK("https://klasma.github.io/Logging_0883/tillsynsmail/A 53760-2021 tillsynsbegäran mail.docx", "A 53760-2021")</f>
        <v/>
      </c>
    </row>
    <row r="49" ht="15" customHeight="1">
      <c r="A49" t="inlineStr">
        <is>
          <t>A 60996-2021</t>
        </is>
      </c>
      <c r="B49" s="1" t="n">
        <v>44497</v>
      </c>
      <c r="C49" s="1" t="n">
        <v>45824</v>
      </c>
      <c r="D49" t="inlineStr">
        <is>
          <t>KALMAR LÄN</t>
        </is>
      </c>
      <c r="E49" t="inlineStr">
        <is>
          <t>VÄSTERVIK</t>
        </is>
      </c>
      <c r="F49" t="inlineStr">
        <is>
          <t>Kyrkan</t>
        </is>
      </c>
      <c r="G49" t="n">
        <v>7.2</v>
      </c>
      <c r="H49" t="n">
        <v>3</v>
      </c>
      <c r="I49" t="n">
        <v>2</v>
      </c>
      <c r="J49" t="n">
        <v>2</v>
      </c>
      <c r="K49" t="n">
        <v>1</v>
      </c>
      <c r="L49" t="n">
        <v>0</v>
      </c>
      <c r="M49" t="n">
        <v>0</v>
      </c>
      <c r="N49" t="n">
        <v>0</v>
      </c>
      <c r="O49" t="n">
        <v>3</v>
      </c>
      <c r="P49" t="n">
        <v>1</v>
      </c>
      <c r="Q49" t="n">
        <v>6</v>
      </c>
      <c r="R49" s="2" t="inlineStr">
        <is>
          <t>Knärot
Talltita
Vedtrappmossa
Grönpyrola
Platt fjädermossa
Revlummer</t>
        </is>
      </c>
      <c r="S49">
        <f>HYPERLINK("https://klasma.github.io/Logging_0883/artfynd/A 60996-2021 artfynd.xlsx", "A 60996-2021")</f>
        <v/>
      </c>
      <c r="T49">
        <f>HYPERLINK("https://klasma.github.io/Logging_0883/kartor/A 60996-2021 karta.png", "A 60996-2021")</f>
        <v/>
      </c>
      <c r="U49">
        <f>HYPERLINK("https://klasma.github.io/Logging_0883/knärot/A 60996-2021 karta knärot.png", "A 60996-2021")</f>
        <v/>
      </c>
      <c r="V49">
        <f>HYPERLINK("https://klasma.github.io/Logging_0883/klagomål/A 60996-2021 FSC-klagomål.docx", "A 60996-2021")</f>
        <v/>
      </c>
      <c r="W49">
        <f>HYPERLINK("https://klasma.github.io/Logging_0883/klagomålsmail/A 60996-2021 FSC-klagomål mail.docx", "A 60996-2021")</f>
        <v/>
      </c>
      <c r="X49">
        <f>HYPERLINK("https://klasma.github.io/Logging_0883/tillsyn/A 60996-2021 tillsynsbegäran.docx", "A 60996-2021")</f>
        <v/>
      </c>
      <c r="Y49">
        <f>HYPERLINK("https://klasma.github.io/Logging_0883/tillsynsmail/A 60996-2021 tillsynsbegäran mail.docx", "A 60996-2021")</f>
        <v/>
      </c>
      <c r="Z49">
        <f>HYPERLINK("https://klasma.github.io/Logging_0883/fåglar/A 60996-2021 prioriterade fågelarter.docx", "A 60996-2021")</f>
        <v/>
      </c>
    </row>
    <row r="50" ht="15" customHeight="1">
      <c r="A50" t="inlineStr">
        <is>
          <t>A 71188-2021</t>
        </is>
      </c>
      <c r="B50" s="1" t="n">
        <v>44539</v>
      </c>
      <c r="C50" s="1" t="n">
        <v>45824</v>
      </c>
      <c r="D50" t="inlineStr">
        <is>
          <t>KALMAR LÄN</t>
        </is>
      </c>
      <c r="E50" t="inlineStr">
        <is>
          <t>VÄSTERVIK</t>
        </is>
      </c>
      <c r="G50" t="n">
        <v>0.6</v>
      </c>
      <c r="H50" t="n">
        <v>0</v>
      </c>
      <c r="I50" t="n">
        <v>3</v>
      </c>
      <c r="J50" t="n">
        <v>3</v>
      </c>
      <c r="K50" t="n">
        <v>0</v>
      </c>
      <c r="L50" t="n">
        <v>0</v>
      </c>
      <c r="M50" t="n">
        <v>0</v>
      </c>
      <c r="N50" t="n">
        <v>0</v>
      </c>
      <c r="O50" t="n">
        <v>3</v>
      </c>
      <c r="P50" t="n">
        <v>0</v>
      </c>
      <c r="Q50" t="n">
        <v>6</v>
      </c>
      <c r="R50" s="2" t="inlineStr">
        <is>
          <t>Blå taggsvamp
Motaggsvamp
Svartvit taggsvamp
Blomkålssvamp
Dropptaggsvamp
Grovticka</t>
        </is>
      </c>
      <c r="S50">
        <f>HYPERLINK("https://klasma.github.io/Logging_0883/artfynd/A 71188-2021 artfynd.xlsx", "A 71188-2021")</f>
        <v/>
      </c>
      <c r="T50">
        <f>HYPERLINK("https://klasma.github.io/Logging_0883/kartor/A 71188-2021 karta.png", "A 71188-2021")</f>
        <v/>
      </c>
      <c r="V50">
        <f>HYPERLINK("https://klasma.github.io/Logging_0883/klagomål/A 71188-2021 FSC-klagomål.docx", "A 71188-2021")</f>
        <v/>
      </c>
      <c r="W50">
        <f>HYPERLINK("https://klasma.github.io/Logging_0883/klagomålsmail/A 71188-2021 FSC-klagomål mail.docx", "A 71188-2021")</f>
        <v/>
      </c>
      <c r="X50">
        <f>HYPERLINK("https://klasma.github.io/Logging_0883/tillsyn/A 71188-2021 tillsynsbegäran.docx", "A 71188-2021")</f>
        <v/>
      </c>
      <c r="Y50">
        <f>HYPERLINK("https://klasma.github.io/Logging_0883/tillsynsmail/A 71188-2021 tillsynsbegäran mail.docx", "A 71188-2021")</f>
        <v/>
      </c>
    </row>
    <row r="51" ht="15" customHeight="1">
      <c r="A51" t="inlineStr">
        <is>
          <t>A 974-2023</t>
        </is>
      </c>
      <c r="B51" s="1" t="n">
        <v>44935</v>
      </c>
      <c r="C51" s="1" t="n">
        <v>45824</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11740-2023</t>
        </is>
      </c>
      <c r="B52" s="1" t="n">
        <v>44994</v>
      </c>
      <c r="C52" s="1" t="n">
        <v>45824</v>
      </c>
      <c r="D52" t="inlineStr">
        <is>
          <t>KALMAR LÄN</t>
        </is>
      </c>
      <c r="E52" t="inlineStr">
        <is>
          <t>VÄSTERVIK</t>
        </is>
      </c>
      <c r="F52" t="inlineStr">
        <is>
          <t>Sveaskog</t>
        </is>
      </c>
      <c r="G52" t="n">
        <v>2.9</v>
      </c>
      <c r="H52" t="n">
        <v>1</v>
      </c>
      <c r="I52" t="n">
        <v>1</v>
      </c>
      <c r="J52" t="n">
        <v>4</v>
      </c>
      <c r="K52" t="n">
        <v>0</v>
      </c>
      <c r="L52" t="n">
        <v>0</v>
      </c>
      <c r="M52" t="n">
        <v>0</v>
      </c>
      <c r="N52" t="n">
        <v>0</v>
      </c>
      <c r="O52" t="n">
        <v>4</v>
      </c>
      <c r="P52" t="n">
        <v>0</v>
      </c>
      <c r="Q52" t="n">
        <v>6</v>
      </c>
      <c r="R52" s="2" t="inlineStr">
        <is>
          <t>Mindre bastardsvärmare
Skogsklocka
Smalsprötad bastardsvärmare
Tallticka
Fällmossa
Blåsippa</t>
        </is>
      </c>
      <c r="S52">
        <f>HYPERLINK("https://klasma.github.io/Logging_0883/artfynd/A 11740-2023 artfynd.xlsx", "A 11740-2023")</f>
        <v/>
      </c>
      <c r="T52">
        <f>HYPERLINK("https://klasma.github.io/Logging_0883/kartor/A 11740-2023 karta.png", "A 11740-2023")</f>
        <v/>
      </c>
      <c r="V52">
        <f>HYPERLINK("https://klasma.github.io/Logging_0883/klagomål/A 11740-2023 FSC-klagomål.docx", "A 11740-2023")</f>
        <v/>
      </c>
      <c r="W52">
        <f>HYPERLINK("https://klasma.github.io/Logging_0883/klagomålsmail/A 11740-2023 FSC-klagomål mail.docx", "A 11740-2023")</f>
        <v/>
      </c>
      <c r="X52">
        <f>HYPERLINK("https://klasma.github.io/Logging_0883/tillsyn/A 11740-2023 tillsynsbegäran.docx", "A 11740-2023")</f>
        <v/>
      </c>
      <c r="Y52">
        <f>HYPERLINK("https://klasma.github.io/Logging_0883/tillsynsmail/A 11740-2023 tillsynsbegäran mail.docx", "A 11740-2023")</f>
        <v/>
      </c>
    </row>
    <row r="53" ht="15" customHeight="1">
      <c r="A53" t="inlineStr">
        <is>
          <t>A 47936-2023</t>
        </is>
      </c>
      <c r="B53" s="1" t="n">
        <v>45204</v>
      </c>
      <c r="C53" s="1" t="n">
        <v>45824</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55286-2023</t>
        </is>
      </c>
      <c r="B54" s="1" t="n">
        <v>45237</v>
      </c>
      <c r="C54" s="1" t="n">
        <v>45824</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5922-2024</t>
        </is>
      </c>
      <c r="B55" s="1" t="n">
        <v>45335</v>
      </c>
      <c r="C55" s="1" t="n">
        <v>45824</v>
      </c>
      <c r="D55" t="inlineStr">
        <is>
          <t>KALMAR LÄN</t>
        </is>
      </c>
      <c r="E55" t="inlineStr">
        <is>
          <t>VÄSTERVIK</t>
        </is>
      </c>
      <c r="F55" t="inlineStr">
        <is>
          <t>Holmen skog AB</t>
        </is>
      </c>
      <c r="G55" t="n">
        <v>9</v>
      </c>
      <c r="H55" t="n">
        <v>2</v>
      </c>
      <c r="I55" t="n">
        <v>0</v>
      </c>
      <c r="J55" t="n">
        <v>5</v>
      </c>
      <c r="K55" t="n">
        <v>1</v>
      </c>
      <c r="L55" t="n">
        <v>0</v>
      </c>
      <c r="M55" t="n">
        <v>0</v>
      </c>
      <c r="N55" t="n">
        <v>0</v>
      </c>
      <c r="O55" t="n">
        <v>6</v>
      </c>
      <c r="P55" t="n">
        <v>1</v>
      </c>
      <c r="Q55" t="n">
        <v>6</v>
      </c>
      <c r="R55" s="2" t="inlineStr">
        <is>
          <t>Lungrot
Entita
Klubbsprötad bastardsvärmare
Smalsprötad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27379-2024</t>
        </is>
      </c>
      <c r="B56" s="1" t="n">
        <v>45473</v>
      </c>
      <c r="C56" s="1" t="n">
        <v>45824</v>
      </c>
      <c r="D56" t="inlineStr">
        <is>
          <t>KALMAR LÄN</t>
        </is>
      </c>
      <c r="E56" t="inlineStr">
        <is>
          <t>VÄSTERVIK</t>
        </is>
      </c>
      <c r="G56" t="n">
        <v>3.4</v>
      </c>
      <c r="H56" t="n">
        <v>3</v>
      </c>
      <c r="I56" t="n">
        <v>2</v>
      </c>
      <c r="J56" t="n">
        <v>2</v>
      </c>
      <c r="K56" t="n">
        <v>1</v>
      </c>
      <c r="L56" t="n">
        <v>0</v>
      </c>
      <c r="M56" t="n">
        <v>0</v>
      </c>
      <c r="N56" t="n">
        <v>0</v>
      </c>
      <c r="O56" t="n">
        <v>3</v>
      </c>
      <c r="P56" t="n">
        <v>1</v>
      </c>
      <c r="Q56" t="n">
        <v>6</v>
      </c>
      <c r="R56" s="2" t="inlineStr">
        <is>
          <t>Knärot
Talltita
Ullticka
Blåmossa
Grönpyrola
Revlummer</t>
        </is>
      </c>
      <c r="S56">
        <f>HYPERLINK("https://klasma.github.io/Logging_0883/artfynd/A 27379-2024 artfynd.xlsx", "A 27379-2024")</f>
        <v/>
      </c>
      <c r="T56">
        <f>HYPERLINK("https://klasma.github.io/Logging_0883/kartor/A 27379-2024 karta.png", "A 27379-2024")</f>
        <v/>
      </c>
      <c r="U56">
        <f>HYPERLINK("https://klasma.github.io/Logging_0883/knärot/A 27379-2024 karta knärot.png", "A 27379-2024")</f>
        <v/>
      </c>
      <c r="V56">
        <f>HYPERLINK("https://klasma.github.io/Logging_0883/klagomål/A 27379-2024 FSC-klagomål.docx", "A 27379-2024")</f>
        <v/>
      </c>
      <c r="W56">
        <f>HYPERLINK("https://klasma.github.io/Logging_0883/klagomålsmail/A 27379-2024 FSC-klagomål mail.docx", "A 27379-2024")</f>
        <v/>
      </c>
      <c r="X56">
        <f>HYPERLINK("https://klasma.github.io/Logging_0883/tillsyn/A 27379-2024 tillsynsbegäran.docx", "A 27379-2024")</f>
        <v/>
      </c>
      <c r="Y56">
        <f>HYPERLINK("https://klasma.github.io/Logging_0883/tillsynsmail/A 27379-2024 tillsynsbegäran mail.docx", "A 27379-2024")</f>
        <v/>
      </c>
      <c r="Z56">
        <f>HYPERLINK("https://klasma.github.io/Logging_0883/fåglar/A 27379-2024 prioriterade fågelarter.docx", "A 27379-2024")</f>
        <v/>
      </c>
    </row>
    <row r="57" ht="15" customHeight="1">
      <c r="A57" t="inlineStr">
        <is>
          <t>A 39295-2024</t>
        </is>
      </c>
      <c r="B57" s="1" t="n">
        <v>45551</v>
      </c>
      <c r="C57" s="1" t="n">
        <v>45824</v>
      </c>
      <c r="D57" t="inlineStr">
        <is>
          <t>KALMAR LÄN</t>
        </is>
      </c>
      <c r="E57" t="inlineStr">
        <is>
          <t>VÄSTERVIK</t>
        </is>
      </c>
      <c r="G57" t="n">
        <v>4.4</v>
      </c>
      <c r="H57" t="n">
        <v>3</v>
      </c>
      <c r="I57" t="n">
        <v>3</v>
      </c>
      <c r="J57" t="n">
        <v>2</v>
      </c>
      <c r="K57" t="n">
        <v>1</v>
      </c>
      <c r="L57" t="n">
        <v>0</v>
      </c>
      <c r="M57" t="n">
        <v>0</v>
      </c>
      <c r="N57" t="n">
        <v>0</v>
      </c>
      <c r="O57" t="n">
        <v>3</v>
      </c>
      <c r="P57" t="n">
        <v>1</v>
      </c>
      <c r="Q57" t="n">
        <v>6</v>
      </c>
      <c r="R57" s="2" t="inlineStr">
        <is>
          <t>Knärot
Entita
Talltita
Dropptaggsvamp
Fjällig taggsvamp s.str.
Grönpyrola</t>
        </is>
      </c>
      <c r="S57">
        <f>HYPERLINK("https://klasma.github.io/Logging_0883/artfynd/A 39295-2024 artfynd.xlsx", "A 39295-2024")</f>
        <v/>
      </c>
      <c r="T57">
        <f>HYPERLINK("https://klasma.github.io/Logging_0883/kartor/A 39295-2024 karta.png", "A 39295-2024")</f>
        <v/>
      </c>
      <c r="U57">
        <f>HYPERLINK("https://klasma.github.io/Logging_0883/knärot/A 39295-2024 karta knärot.png", "A 39295-2024")</f>
        <v/>
      </c>
      <c r="V57">
        <f>HYPERLINK("https://klasma.github.io/Logging_0883/klagomål/A 39295-2024 FSC-klagomål.docx", "A 39295-2024")</f>
        <v/>
      </c>
      <c r="W57">
        <f>HYPERLINK("https://klasma.github.io/Logging_0883/klagomålsmail/A 39295-2024 FSC-klagomål mail.docx", "A 39295-2024")</f>
        <v/>
      </c>
      <c r="X57">
        <f>HYPERLINK("https://klasma.github.io/Logging_0883/tillsyn/A 39295-2024 tillsynsbegäran.docx", "A 39295-2024")</f>
        <v/>
      </c>
      <c r="Y57">
        <f>HYPERLINK("https://klasma.github.io/Logging_0883/tillsynsmail/A 39295-2024 tillsynsbegäran mail.docx", "A 39295-2024")</f>
        <v/>
      </c>
      <c r="Z57">
        <f>HYPERLINK("https://klasma.github.io/Logging_0883/fåglar/A 39295-2024 prioriterade fågelarter.docx", "A 39295-2024")</f>
        <v/>
      </c>
    </row>
    <row r="58" ht="15" customHeight="1">
      <c r="A58" t="inlineStr">
        <is>
          <t>A 52046-2024</t>
        </is>
      </c>
      <c r="B58" s="1" t="n">
        <v>45608</v>
      </c>
      <c r="C58" s="1" t="n">
        <v>45824</v>
      </c>
      <c r="D58" t="inlineStr">
        <is>
          <t>KALMAR LÄN</t>
        </is>
      </c>
      <c r="E58" t="inlineStr">
        <is>
          <t>VÄSTERVIK</t>
        </is>
      </c>
      <c r="G58" t="n">
        <v>4.6</v>
      </c>
      <c r="H58" t="n">
        <v>1</v>
      </c>
      <c r="I58" t="n">
        <v>3</v>
      </c>
      <c r="J58" t="n">
        <v>3</v>
      </c>
      <c r="K58" t="n">
        <v>0</v>
      </c>
      <c r="L58" t="n">
        <v>0</v>
      </c>
      <c r="M58" t="n">
        <v>0</v>
      </c>
      <c r="N58" t="n">
        <v>0</v>
      </c>
      <c r="O58" t="n">
        <v>3</v>
      </c>
      <c r="P58" t="n">
        <v>0</v>
      </c>
      <c r="Q58" t="n">
        <v>6</v>
      </c>
      <c r="R58" s="2" t="inlineStr">
        <is>
          <t>Motaggsvamp
Tallticka
Talltita
Blåmossa
Dropptaggsvamp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2806-2025</t>
        </is>
      </c>
      <c r="B59" s="1" t="n">
        <v>45677</v>
      </c>
      <c r="C59" s="1" t="n">
        <v>45824</v>
      </c>
      <c r="D59" t="inlineStr">
        <is>
          <t>KALMAR LÄN</t>
        </is>
      </c>
      <c r="E59" t="inlineStr">
        <is>
          <t>VÄSTERVIK</t>
        </is>
      </c>
      <c r="G59" t="n">
        <v>1.5</v>
      </c>
      <c r="H59" t="n">
        <v>3</v>
      </c>
      <c r="I59" t="n">
        <v>1</v>
      </c>
      <c r="J59" t="n">
        <v>2</v>
      </c>
      <c r="K59" t="n">
        <v>1</v>
      </c>
      <c r="L59" t="n">
        <v>1</v>
      </c>
      <c r="M59" t="n">
        <v>0</v>
      </c>
      <c r="N59" t="n">
        <v>0</v>
      </c>
      <c r="O59" t="n">
        <v>4</v>
      </c>
      <c r="P59" t="n">
        <v>2</v>
      </c>
      <c r="Q59" t="n">
        <v>6</v>
      </c>
      <c r="R59" s="2" t="inlineStr">
        <is>
          <t>Ryl
Knärot
Talltita
Ullticka
Grönpyrola
Kungsfågel</t>
        </is>
      </c>
      <c r="S59">
        <f>HYPERLINK("https://klasma.github.io/Logging_0883/artfynd/A 2806-2025 artfynd.xlsx", "A 2806-2025")</f>
        <v/>
      </c>
      <c r="T59">
        <f>HYPERLINK("https://klasma.github.io/Logging_0883/kartor/A 2806-2025 karta.png", "A 2806-2025")</f>
        <v/>
      </c>
      <c r="U59">
        <f>HYPERLINK("https://klasma.github.io/Logging_0883/knärot/A 2806-2025 karta knärot.png", "A 2806-2025")</f>
        <v/>
      </c>
      <c r="V59">
        <f>HYPERLINK("https://klasma.github.io/Logging_0883/klagomål/A 2806-2025 FSC-klagomål.docx", "A 2806-2025")</f>
        <v/>
      </c>
      <c r="W59">
        <f>HYPERLINK("https://klasma.github.io/Logging_0883/klagomålsmail/A 2806-2025 FSC-klagomål mail.docx", "A 2806-2025")</f>
        <v/>
      </c>
      <c r="X59">
        <f>HYPERLINK("https://klasma.github.io/Logging_0883/tillsyn/A 2806-2025 tillsynsbegäran.docx", "A 2806-2025")</f>
        <v/>
      </c>
      <c r="Y59">
        <f>HYPERLINK("https://klasma.github.io/Logging_0883/tillsynsmail/A 2806-2025 tillsynsbegäran mail.docx", "A 2806-2025")</f>
        <v/>
      </c>
      <c r="Z59">
        <f>HYPERLINK("https://klasma.github.io/Logging_0883/fåglar/A 2806-2025 prioriterade fågelarter.docx", "A 2806-2025")</f>
        <v/>
      </c>
    </row>
    <row r="60" ht="15" customHeight="1">
      <c r="A60" t="inlineStr">
        <is>
          <t>A 4456-2025</t>
        </is>
      </c>
      <c r="B60" s="1" t="n">
        <v>45686</v>
      </c>
      <c r="C60" s="1" t="n">
        <v>45824</v>
      </c>
      <c r="D60" t="inlineStr">
        <is>
          <t>KALMAR LÄN</t>
        </is>
      </c>
      <c r="E60" t="inlineStr">
        <is>
          <t>VÄSTERVIK</t>
        </is>
      </c>
      <c r="G60" t="n">
        <v>1.3</v>
      </c>
      <c r="H60" t="n">
        <v>2</v>
      </c>
      <c r="I60" t="n">
        <v>2</v>
      </c>
      <c r="J60" t="n">
        <v>3</v>
      </c>
      <c r="K60" t="n">
        <v>1</v>
      </c>
      <c r="L60" t="n">
        <v>0</v>
      </c>
      <c r="M60" t="n">
        <v>0</v>
      </c>
      <c r="N60" t="n">
        <v>0</v>
      </c>
      <c r="O60" t="n">
        <v>4</v>
      </c>
      <c r="P60" t="n">
        <v>1</v>
      </c>
      <c r="Q60" t="n">
        <v>6</v>
      </c>
      <c r="R60" s="2" t="inlineStr">
        <is>
          <t>Knärot
Spillkråka
Tallticka
Ullticka
Grovticka
Grönpyrola</t>
        </is>
      </c>
      <c r="S60">
        <f>HYPERLINK("https://klasma.github.io/Logging_0883/artfynd/A 4456-2025 artfynd.xlsx", "A 4456-2025")</f>
        <v/>
      </c>
      <c r="T60">
        <f>HYPERLINK("https://klasma.github.io/Logging_0883/kartor/A 4456-2025 karta.png", "A 4456-2025")</f>
        <v/>
      </c>
      <c r="U60">
        <f>HYPERLINK("https://klasma.github.io/Logging_0883/knärot/A 4456-2025 karta knärot.png", "A 4456-2025")</f>
        <v/>
      </c>
      <c r="V60">
        <f>HYPERLINK("https://klasma.github.io/Logging_0883/klagomål/A 4456-2025 FSC-klagomål.docx", "A 4456-2025")</f>
        <v/>
      </c>
      <c r="W60">
        <f>HYPERLINK("https://klasma.github.io/Logging_0883/klagomålsmail/A 4456-2025 FSC-klagomål mail.docx", "A 4456-2025")</f>
        <v/>
      </c>
      <c r="X60">
        <f>HYPERLINK("https://klasma.github.io/Logging_0883/tillsyn/A 4456-2025 tillsynsbegäran.docx", "A 4456-2025")</f>
        <v/>
      </c>
      <c r="Y60">
        <f>HYPERLINK("https://klasma.github.io/Logging_0883/tillsynsmail/A 4456-2025 tillsynsbegäran mail.docx", "A 4456-2025")</f>
        <v/>
      </c>
      <c r="Z60">
        <f>HYPERLINK("https://klasma.github.io/Logging_0883/fåglar/A 4456-2025 prioriterade fågelarter.docx", "A 4456-2025")</f>
        <v/>
      </c>
    </row>
    <row r="61" ht="15" customHeight="1">
      <c r="A61" t="inlineStr">
        <is>
          <t>A 13353-2025</t>
        </is>
      </c>
      <c r="B61" s="1" t="n">
        <v>45735</v>
      </c>
      <c r="C61" s="1" t="n">
        <v>45824</v>
      </c>
      <c r="D61" t="inlineStr">
        <is>
          <t>KALMAR LÄN</t>
        </is>
      </c>
      <c r="E61" t="inlineStr">
        <is>
          <t>VÄSTERVIK</t>
        </is>
      </c>
      <c r="G61" t="n">
        <v>1.9</v>
      </c>
      <c r="H61" t="n">
        <v>5</v>
      </c>
      <c r="I61" t="n">
        <v>1</v>
      </c>
      <c r="J61" t="n">
        <v>2</v>
      </c>
      <c r="K61" t="n">
        <v>1</v>
      </c>
      <c r="L61" t="n">
        <v>0</v>
      </c>
      <c r="M61" t="n">
        <v>0</v>
      </c>
      <c r="N61" t="n">
        <v>0</v>
      </c>
      <c r="O61" t="n">
        <v>3</v>
      </c>
      <c r="P61" t="n">
        <v>1</v>
      </c>
      <c r="Q61" t="n">
        <v>6</v>
      </c>
      <c r="R61" s="2" t="inlineStr">
        <is>
          <t>Knärot
Spillkråka
Talltita
Dropptaggsvamp
Järnsparv
Kungsfågel</t>
        </is>
      </c>
      <c r="S61">
        <f>HYPERLINK("https://klasma.github.io/Logging_080883/artfynd/A 13353-2025 artfynd.xlsx", "A 13353-2025")</f>
        <v/>
      </c>
      <c r="T61">
        <f>HYPERLINK("https://klasma.github.io/Logging_080883/kartor/A 13353-2025 karta.png", "A 13353-2025")</f>
        <v/>
      </c>
      <c r="U61">
        <f>HYPERLINK("https://klasma.github.io/Logging_080883/knärot/A 13353-2025 karta knärot.png", "A 13353-2025")</f>
        <v/>
      </c>
      <c r="V61">
        <f>HYPERLINK("https://klasma.github.io/Logging_080883/klagomål/A 13353-2025 FSC-klagomål.docx", "A 13353-2025")</f>
        <v/>
      </c>
      <c r="W61">
        <f>HYPERLINK("https://klasma.github.io/Logging_080883/klagomålsmail/A 13353-2025 FSC-klagomål mail.docx", "A 13353-2025")</f>
        <v/>
      </c>
      <c r="X61">
        <f>HYPERLINK("https://klasma.github.io/Logging_080883/tillsyn/A 13353-2025 tillsynsbegäran.docx", "A 13353-2025")</f>
        <v/>
      </c>
      <c r="Y61">
        <f>HYPERLINK("https://klasma.github.io/Logging_080883/tillsynsmail/A 13353-2025 tillsynsbegäran mail.docx", "A 13353-2025")</f>
        <v/>
      </c>
      <c r="Z61">
        <f>HYPERLINK("https://klasma.github.io/Logging_080883/fåglar/A 13353-2025 prioriterade fågelarter.docx", "A 13353-2025")</f>
        <v/>
      </c>
    </row>
    <row r="62" ht="15" customHeight="1">
      <c r="A62" t="inlineStr">
        <is>
          <t>A 14121-2025</t>
        </is>
      </c>
      <c r="B62" s="1" t="n">
        <v>45740</v>
      </c>
      <c r="C62" s="1" t="n">
        <v>45824</v>
      </c>
      <c r="D62" t="inlineStr">
        <is>
          <t>KALMAR LÄN</t>
        </is>
      </c>
      <c r="E62" t="inlineStr">
        <is>
          <t>VÄSTERVIK</t>
        </is>
      </c>
      <c r="F62" t="inlineStr">
        <is>
          <t>Sveaskog</t>
        </is>
      </c>
      <c r="G62" t="n">
        <v>3.4</v>
      </c>
      <c r="H62" t="n">
        <v>6</v>
      </c>
      <c r="I62" t="n">
        <v>1</v>
      </c>
      <c r="J62" t="n">
        <v>4</v>
      </c>
      <c r="K62" t="n">
        <v>0</v>
      </c>
      <c r="L62" t="n">
        <v>0</v>
      </c>
      <c r="M62" t="n">
        <v>0</v>
      </c>
      <c r="N62" t="n">
        <v>0</v>
      </c>
      <c r="O62" t="n">
        <v>4</v>
      </c>
      <c r="P62" t="n">
        <v>0</v>
      </c>
      <c r="Q62" t="n">
        <v>6</v>
      </c>
      <c r="R62" s="2" t="inlineStr">
        <is>
          <t>Entita
Grönsångare
Mindre hackspett
Spillkråka
Purpurknipprot
Skogsduva</t>
        </is>
      </c>
      <c r="S62">
        <f>HYPERLINK("https://klasma.github.io/Logging_080883/artfynd/A 14121-2025 artfynd.xlsx", "A 14121-2025")</f>
        <v/>
      </c>
      <c r="T62">
        <f>HYPERLINK("https://klasma.github.io/Logging_080883/kartor/A 14121-2025 karta.png", "A 14121-2025")</f>
        <v/>
      </c>
      <c r="V62">
        <f>HYPERLINK("https://klasma.github.io/Logging_080883/klagomål/A 14121-2025 FSC-klagomål.docx", "A 14121-2025")</f>
        <v/>
      </c>
      <c r="W62">
        <f>HYPERLINK("https://klasma.github.io/Logging_080883/klagomålsmail/A 14121-2025 FSC-klagomål mail.docx", "A 14121-2025")</f>
        <v/>
      </c>
      <c r="X62">
        <f>HYPERLINK("https://klasma.github.io/Logging_080883/tillsyn/A 14121-2025 tillsynsbegäran.docx", "A 14121-2025")</f>
        <v/>
      </c>
      <c r="Y62">
        <f>HYPERLINK("https://klasma.github.io/Logging_080883/tillsynsmail/A 14121-2025 tillsynsbegäran mail.docx", "A 14121-2025")</f>
        <v/>
      </c>
      <c r="Z62">
        <f>HYPERLINK("https://klasma.github.io/Logging_080883/fåglar/A 14121-2025 prioriterade fågelarter.docx", "A 14121-2025")</f>
        <v/>
      </c>
    </row>
    <row r="63" ht="15" customHeight="1">
      <c r="A63" t="inlineStr">
        <is>
          <t>A 15280-2025</t>
        </is>
      </c>
      <c r="B63" s="1" t="n">
        <v>45744</v>
      </c>
      <c r="C63" s="1" t="n">
        <v>45824</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45824</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45824</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45824</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45824</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45824</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45824</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45824</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45824</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45824</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45824</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45824</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45824</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45824</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45824</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45824</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45824</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45824</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45824</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45824</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45824</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45824</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45824</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45824</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45824</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45824</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45824</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45824</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45824</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45824</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45824</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45824</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45824</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45824</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45824</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45824</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45824</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45824</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45824</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45824</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45824</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45824</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45824</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45824</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45824</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45824</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45824</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45824</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45824</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45824</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45824</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45824</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45824</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45824</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9097-2021</t>
        </is>
      </c>
      <c r="B117" s="1" t="n">
        <v>44249</v>
      </c>
      <c r="C117" s="1" t="n">
        <v>45824</v>
      </c>
      <c r="D117" t="inlineStr">
        <is>
          <t>KALMAR LÄN</t>
        </is>
      </c>
      <c r="E117" t="inlineStr">
        <is>
          <t>VÄSTERVIK</t>
        </is>
      </c>
      <c r="F117" t="inlineStr">
        <is>
          <t>Sveaskog</t>
        </is>
      </c>
      <c r="G117" t="n">
        <v>1.9</v>
      </c>
      <c r="H117" t="n">
        <v>0</v>
      </c>
      <c r="I117" t="n">
        <v>1</v>
      </c>
      <c r="J117" t="n">
        <v>2</v>
      </c>
      <c r="K117" t="n">
        <v>0</v>
      </c>
      <c r="L117" t="n">
        <v>0</v>
      </c>
      <c r="M117" t="n">
        <v>0</v>
      </c>
      <c r="N117" t="n">
        <v>0</v>
      </c>
      <c r="O117" t="n">
        <v>2</v>
      </c>
      <c r="P117" t="n">
        <v>0</v>
      </c>
      <c r="Q117" t="n">
        <v>3</v>
      </c>
      <c r="R117" s="2" t="inlineStr">
        <is>
          <t>Tallticka
Vedskivlav
Vätteros</t>
        </is>
      </c>
      <c r="S117">
        <f>HYPERLINK("https://klasma.github.io/Logging_0883/artfynd/A 9097-2021 artfynd.xlsx", "A 9097-2021")</f>
        <v/>
      </c>
      <c r="T117">
        <f>HYPERLINK("https://klasma.github.io/Logging_0883/kartor/A 9097-2021 karta.png", "A 9097-2021")</f>
        <v/>
      </c>
      <c r="V117">
        <f>HYPERLINK("https://klasma.github.io/Logging_0883/klagomål/A 9097-2021 FSC-klagomål.docx", "A 9097-2021")</f>
        <v/>
      </c>
      <c r="W117">
        <f>HYPERLINK("https://klasma.github.io/Logging_0883/klagomålsmail/A 9097-2021 FSC-klagomål mail.docx", "A 9097-2021")</f>
        <v/>
      </c>
      <c r="X117">
        <f>HYPERLINK("https://klasma.github.io/Logging_0883/tillsyn/A 9097-2021 tillsynsbegäran.docx", "A 9097-2021")</f>
        <v/>
      </c>
      <c r="Y117">
        <f>HYPERLINK("https://klasma.github.io/Logging_0883/tillsynsmail/A 9097-2021 tillsynsbegäran mail.docx", "A 9097-2021")</f>
        <v/>
      </c>
    </row>
    <row r="118" ht="15" customHeight="1">
      <c r="A118" t="inlineStr">
        <is>
          <t>A 63813-2021</t>
        </is>
      </c>
      <c r="B118" s="1" t="n">
        <v>44505</v>
      </c>
      <c r="C118" s="1" t="n">
        <v>45824</v>
      </c>
      <c r="D118" t="inlineStr">
        <is>
          <t>KALMAR LÄN</t>
        </is>
      </c>
      <c r="E118" t="inlineStr">
        <is>
          <t>VÄSTERVIK</t>
        </is>
      </c>
      <c r="G118" t="n">
        <v>4.4</v>
      </c>
      <c r="H118" t="n">
        <v>1</v>
      </c>
      <c r="I118" t="n">
        <v>1</v>
      </c>
      <c r="J118" t="n">
        <v>2</v>
      </c>
      <c r="K118" t="n">
        <v>0</v>
      </c>
      <c r="L118" t="n">
        <v>0</v>
      </c>
      <c r="M118" t="n">
        <v>0</v>
      </c>
      <c r="N118" t="n">
        <v>0</v>
      </c>
      <c r="O118" t="n">
        <v>2</v>
      </c>
      <c r="P118" t="n">
        <v>0</v>
      </c>
      <c r="Q118" t="n">
        <v>3</v>
      </c>
      <c r="R118" s="2" t="inlineStr">
        <is>
          <t>Tallticka
Talltita
Grovticka</t>
        </is>
      </c>
      <c r="S118">
        <f>HYPERLINK("https://klasma.github.io/Logging_0883/artfynd/A 63813-2021 artfynd.xlsx", "A 63813-2021")</f>
        <v/>
      </c>
      <c r="T118">
        <f>HYPERLINK("https://klasma.github.io/Logging_0883/kartor/A 63813-2021 karta.png", "A 63813-2021")</f>
        <v/>
      </c>
      <c r="U118">
        <f>HYPERLINK("https://klasma.github.io/Logging_0883/knärot/A 63813-2021 karta knärot.png", "A 63813-2021")</f>
        <v/>
      </c>
      <c r="V118">
        <f>HYPERLINK("https://klasma.github.io/Logging_0883/klagomål/A 63813-2021 FSC-klagomål.docx", "A 63813-2021")</f>
        <v/>
      </c>
      <c r="W118">
        <f>HYPERLINK("https://klasma.github.io/Logging_0883/klagomålsmail/A 63813-2021 FSC-klagomål mail.docx", "A 63813-2021")</f>
        <v/>
      </c>
      <c r="X118">
        <f>HYPERLINK("https://klasma.github.io/Logging_0883/tillsyn/A 63813-2021 tillsynsbegäran.docx", "A 63813-2021")</f>
        <v/>
      </c>
      <c r="Y118">
        <f>HYPERLINK("https://klasma.github.io/Logging_0883/tillsynsmail/A 63813-2021 tillsynsbegäran mail.docx", "A 63813-2021")</f>
        <v/>
      </c>
      <c r="Z118">
        <f>HYPERLINK("https://klasma.github.io/Logging_0883/fåglar/A 63813-2021 prioriterade fågelarter.docx", "A 63813-2021")</f>
        <v/>
      </c>
    </row>
    <row r="119" ht="15" customHeight="1">
      <c r="A119" t="inlineStr">
        <is>
          <t>A 68416-2021</t>
        </is>
      </c>
      <c r="B119" s="1" t="n">
        <v>44529</v>
      </c>
      <c r="C119" s="1" t="n">
        <v>45824</v>
      </c>
      <c r="D119" t="inlineStr">
        <is>
          <t>KALMAR LÄN</t>
        </is>
      </c>
      <c r="E119" t="inlineStr">
        <is>
          <t>VÄSTERVIK</t>
        </is>
      </c>
      <c r="F119" t="inlineStr">
        <is>
          <t>Kyrkan</t>
        </is>
      </c>
      <c r="G119" t="n">
        <v>10.5</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68416-2021 artfynd.xlsx", "A 68416-2021")</f>
        <v/>
      </c>
      <c r="T119">
        <f>HYPERLINK("https://klasma.github.io/Logging_0883/kartor/A 68416-2021 karta.png", "A 68416-2021")</f>
        <v/>
      </c>
      <c r="U119">
        <f>HYPERLINK("https://klasma.github.io/Logging_0883/knärot/A 68416-2021 karta knärot.png", "A 68416-2021")</f>
        <v/>
      </c>
      <c r="V119">
        <f>HYPERLINK("https://klasma.github.io/Logging_0883/klagomål/A 68416-2021 FSC-klagomål.docx", "A 68416-2021")</f>
        <v/>
      </c>
      <c r="W119">
        <f>HYPERLINK("https://klasma.github.io/Logging_0883/klagomålsmail/A 68416-2021 FSC-klagomål mail.docx", "A 68416-2021")</f>
        <v/>
      </c>
      <c r="X119">
        <f>HYPERLINK("https://klasma.github.io/Logging_0883/tillsyn/A 68416-2021 tillsynsbegäran.docx", "A 68416-2021")</f>
        <v/>
      </c>
      <c r="Y119">
        <f>HYPERLINK("https://klasma.github.io/Logging_0883/tillsynsmail/A 68416-2021 tillsynsbegäran mail.docx", "A 68416-2021")</f>
        <v/>
      </c>
      <c r="Z119">
        <f>HYPERLINK("https://klasma.github.io/Logging_0883/fåglar/A 68416-2021 prioriterade fågelarter.docx", "A 68416-2021")</f>
        <v/>
      </c>
    </row>
    <row r="120" ht="15" customHeight="1">
      <c r="A120" t="inlineStr">
        <is>
          <t>A 55506-2022</t>
        </is>
      </c>
      <c r="B120" s="1" t="n">
        <v>44887</v>
      </c>
      <c r="C120" s="1" t="n">
        <v>45824</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804-2023</t>
        </is>
      </c>
      <c r="B121" s="1" t="n">
        <v>44931</v>
      </c>
      <c r="C121" s="1" t="n">
        <v>45824</v>
      </c>
      <c r="D121" t="inlineStr">
        <is>
          <t>KALMAR LÄN</t>
        </is>
      </c>
      <c r="E121" t="inlineStr">
        <is>
          <t>VÄSTERVIK</t>
        </is>
      </c>
      <c r="F121" t="inlineStr">
        <is>
          <t>Holmen skog AB</t>
        </is>
      </c>
      <c r="G121" t="n">
        <v>5.2</v>
      </c>
      <c r="H121" t="n">
        <v>1</v>
      </c>
      <c r="I121" t="n">
        <v>1</v>
      </c>
      <c r="J121" t="n">
        <v>1</v>
      </c>
      <c r="K121" t="n">
        <v>1</v>
      </c>
      <c r="L121" t="n">
        <v>0</v>
      </c>
      <c r="M121" t="n">
        <v>0</v>
      </c>
      <c r="N121" t="n">
        <v>0</v>
      </c>
      <c r="O121" t="n">
        <v>2</v>
      </c>
      <c r="P121" t="n">
        <v>1</v>
      </c>
      <c r="Q121" t="n">
        <v>3</v>
      </c>
      <c r="R121" s="2" t="inlineStr">
        <is>
          <t>Violett fingersvamp
Ekticka
Ekoxe</t>
        </is>
      </c>
      <c r="S121">
        <f>HYPERLINK("https://klasma.github.io/Logging_0883/artfynd/A 804-2023 artfynd.xlsx", "A 804-2023")</f>
        <v/>
      </c>
      <c r="T121">
        <f>HYPERLINK("https://klasma.github.io/Logging_0883/kartor/A 804-2023 karta.png", "A 804-2023")</f>
        <v/>
      </c>
      <c r="V121">
        <f>HYPERLINK("https://klasma.github.io/Logging_0883/klagomål/A 804-2023 FSC-klagomål.docx", "A 804-2023")</f>
        <v/>
      </c>
      <c r="W121">
        <f>HYPERLINK("https://klasma.github.io/Logging_0883/klagomålsmail/A 804-2023 FSC-klagomål mail.docx", "A 804-2023")</f>
        <v/>
      </c>
      <c r="X121">
        <f>HYPERLINK("https://klasma.github.io/Logging_0883/tillsyn/A 804-2023 tillsynsbegäran.docx", "A 804-2023")</f>
        <v/>
      </c>
      <c r="Y121">
        <f>HYPERLINK("https://klasma.github.io/Logging_0883/tillsynsmail/A 804-2023 tillsynsbegäran mail.docx", "A 804-2023")</f>
        <v/>
      </c>
    </row>
    <row r="122" ht="15" customHeight="1">
      <c r="A122" t="inlineStr">
        <is>
          <t>A 12708-2023</t>
        </is>
      </c>
      <c r="B122" s="1" t="n">
        <v>45000</v>
      </c>
      <c r="C122" s="1" t="n">
        <v>45824</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30194-2023</t>
        </is>
      </c>
      <c r="B123" s="1" t="n">
        <v>45110</v>
      </c>
      <c r="C123" s="1" t="n">
        <v>45824</v>
      </c>
      <c r="D123" t="inlineStr">
        <is>
          <t>KALMAR LÄN</t>
        </is>
      </c>
      <c r="E123" t="inlineStr">
        <is>
          <t>VÄSTERVIK</t>
        </is>
      </c>
      <c r="F123" t="inlineStr">
        <is>
          <t>Kyrkan</t>
        </is>
      </c>
      <c r="G123" t="n">
        <v>5.8</v>
      </c>
      <c r="H123" t="n">
        <v>1</v>
      </c>
      <c r="I123" t="n">
        <v>2</v>
      </c>
      <c r="J123" t="n">
        <v>0</v>
      </c>
      <c r="K123" t="n">
        <v>1</v>
      </c>
      <c r="L123" t="n">
        <v>0</v>
      </c>
      <c r="M123" t="n">
        <v>0</v>
      </c>
      <c r="N123" t="n">
        <v>0</v>
      </c>
      <c r="O123" t="n">
        <v>1</v>
      </c>
      <c r="P123" t="n">
        <v>1</v>
      </c>
      <c r="Q123" t="n">
        <v>3</v>
      </c>
      <c r="R123" s="2" t="inlineStr">
        <is>
          <t>Knärot
Grovticka
Grönpyrola</t>
        </is>
      </c>
      <c r="S123">
        <f>HYPERLINK("https://klasma.github.io/Logging_0883/artfynd/A 30194-2023 artfynd.xlsx", "A 30194-2023")</f>
        <v/>
      </c>
      <c r="T123">
        <f>HYPERLINK("https://klasma.github.io/Logging_0883/kartor/A 30194-2023 karta.png", "A 30194-2023")</f>
        <v/>
      </c>
      <c r="U123">
        <f>HYPERLINK("https://klasma.github.io/Logging_0883/knärot/A 30194-2023 karta knärot.png", "A 30194-2023")</f>
        <v/>
      </c>
      <c r="V123">
        <f>HYPERLINK("https://klasma.github.io/Logging_0883/klagomål/A 30194-2023 FSC-klagomål.docx", "A 30194-2023")</f>
        <v/>
      </c>
      <c r="W123">
        <f>HYPERLINK("https://klasma.github.io/Logging_0883/klagomålsmail/A 30194-2023 FSC-klagomål mail.docx", "A 30194-2023")</f>
        <v/>
      </c>
      <c r="X123">
        <f>HYPERLINK("https://klasma.github.io/Logging_0883/tillsyn/A 30194-2023 tillsynsbegäran.docx", "A 30194-2023")</f>
        <v/>
      </c>
      <c r="Y123">
        <f>HYPERLINK("https://klasma.github.io/Logging_0883/tillsynsmail/A 30194-2023 tillsynsbegäran mail.docx", "A 30194-2023")</f>
        <v/>
      </c>
    </row>
    <row r="124" ht="15" customHeight="1">
      <c r="A124" t="inlineStr">
        <is>
          <t>A 35480-2023</t>
        </is>
      </c>
      <c r="B124" s="1" t="n">
        <v>45146</v>
      </c>
      <c r="C124" s="1" t="n">
        <v>45824</v>
      </c>
      <c r="D124" t="inlineStr">
        <is>
          <t>KALMAR LÄN</t>
        </is>
      </c>
      <c r="E124" t="inlineStr">
        <is>
          <t>VÄSTERVIK</t>
        </is>
      </c>
      <c r="G124" t="n">
        <v>5.5</v>
      </c>
      <c r="H124" t="n">
        <v>1</v>
      </c>
      <c r="I124" t="n">
        <v>2</v>
      </c>
      <c r="J124" t="n">
        <v>1</v>
      </c>
      <c r="K124" t="n">
        <v>0</v>
      </c>
      <c r="L124" t="n">
        <v>0</v>
      </c>
      <c r="M124" t="n">
        <v>0</v>
      </c>
      <c r="N124" t="n">
        <v>0</v>
      </c>
      <c r="O124" t="n">
        <v>1</v>
      </c>
      <c r="P124" t="n">
        <v>0</v>
      </c>
      <c r="Q124" t="n">
        <v>3</v>
      </c>
      <c r="R124" s="2" t="inlineStr">
        <is>
          <t>Spillkråka
Blåmossa
Tjockfotad fingersvamp</t>
        </is>
      </c>
      <c r="S124">
        <f>HYPERLINK("https://klasma.github.io/Logging_0883/artfynd/A 35480-2023 artfynd.xlsx", "A 35480-2023")</f>
        <v/>
      </c>
      <c r="T124">
        <f>HYPERLINK("https://klasma.github.io/Logging_0883/kartor/A 35480-2023 karta.png", "A 35480-2023")</f>
        <v/>
      </c>
      <c r="V124">
        <f>HYPERLINK("https://klasma.github.io/Logging_0883/klagomål/A 35480-2023 FSC-klagomål.docx", "A 35480-2023")</f>
        <v/>
      </c>
      <c r="W124">
        <f>HYPERLINK("https://klasma.github.io/Logging_0883/klagomålsmail/A 35480-2023 FSC-klagomål mail.docx", "A 35480-2023")</f>
        <v/>
      </c>
      <c r="X124">
        <f>HYPERLINK("https://klasma.github.io/Logging_0883/tillsyn/A 35480-2023 tillsynsbegäran.docx", "A 35480-2023")</f>
        <v/>
      </c>
      <c r="Y124">
        <f>HYPERLINK("https://klasma.github.io/Logging_0883/tillsynsmail/A 35480-2023 tillsynsbegäran mail.docx", "A 35480-2023")</f>
        <v/>
      </c>
      <c r="Z124">
        <f>HYPERLINK("https://klasma.github.io/Logging_0883/fåglar/A 35480-2023 prioriterade fågelarter.docx", "A 35480-2023")</f>
        <v/>
      </c>
    </row>
    <row r="125" ht="15" customHeight="1">
      <c r="A125" t="inlineStr">
        <is>
          <t>A 39904-2023</t>
        </is>
      </c>
      <c r="B125" s="1" t="n">
        <v>45168</v>
      </c>
      <c r="C125" s="1" t="n">
        <v>45824</v>
      </c>
      <c r="D125" t="inlineStr">
        <is>
          <t>KALMAR LÄN</t>
        </is>
      </c>
      <c r="E125" t="inlineStr">
        <is>
          <t>VÄSTERVIK</t>
        </is>
      </c>
      <c r="G125" t="n">
        <v>7.3</v>
      </c>
      <c r="H125" t="n">
        <v>1</v>
      </c>
      <c r="I125" t="n">
        <v>1</v>
      </c>
      <c r="J125" t="n">
        <v>1</v>
      </c>
      <c r="K125" t="n">
        <v>0</v>
      </c>
      <c r="L125" t="n">
        <v>0</v>
      </c>
      <c r="M125" t="n">
        <v>0</v>
      </c>
      <c r="N125" t="n">
        <v>0</v>
      </c>
      <c r="O125" t="n">
        <v>1</v>
      </c>
      <c r="P125" t="n">
        <v>0</v>
      </c>
      <c r="Q125" t="n">
        <v>3</v>
      </c>
      <c r="R125" s="2" t="inlineStr">
        <is>
          <t>Gropticka
Grönpyrola
Revlummer</t>
        </is>
      </c>
      <c r="S125">
        <f>HYPERLINK("https://klasma.github.io/Logging_0883/artfynd/A 39904-2023 artfynd.xlsx", "A 39904-2023")</f>
        <v/>
      </c>
      <c r="T125">
        <f>HYPERLINK("https://klasma.github.io/Logging_0883/kartor/A 39904-2023 karta.png", "A 39904-2023")</f>
        <v/>
      </c>
      <c r="V125">
        <f>HYPERLINK("https://klasma.github.io/Logging_0883/klagomål/A 39904-2023 FSC-klagomål.docx", "A 39904-2023")</f>
        <v/>
      </c>
      <c r="W125">
        <f>HYPERLINK("https://klasma.github.io/Logging_0883/klagomålsmail/A 39904-2023 FSC-klagomål mail.docx", "A 39904-2023")</f>
        <v/>
      </c>
      <c r="X125">
        <f>HYPERLINK("https://klasma.github.io/Logging_0883/tillsyn/A 39904-2023 tillsynsbegäran.docx", "A 39904-2023")</f>
        <v/>
      </c>
      <c r="Y125">
        <f>HYPERLINK("https://klasma.github.io/Logging_0883/tillsynsmail/A 39904-2023 tillsynsbegäran mail.docx", "A 39904-2023")</f>
        <v/>
      </c>
    </row>
    <row r="126" ht="15" customHeight="1">
      <c r="A126" t="inlineStr">
        <is>
          <t>A 39906-2023</t>
        </is>
      </c>
      <c r="B126" s="1" t="n">
        <v>45168</v>
      </c>
      <c r="C126" s="1" t="n">
        <v>45824</v>
      </c>
      <c r="D126" t="inlineStr">
        <is>
          <t>KALMAR LÄN</t>
        </is>
      </c>
      <c r="E126" t="inlineStr">
        <is>
          <t>VÄSTERVIK</t>
        </is>
      </c>
      <c r="G126" t="n">
        <v>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HYPERLINK("https://klasma.github.io/Logging_0883/artfynd/A 39906-2023 artfynd.xlsx", "A 39906-2023")</f>
        <v/>
      </c>
      <c r="T126">
        <f>HYPERLINK("https://klasma.github.io/Logging_0883/kartor/A 39906-2023 karta.png", "A 39906-2023")</f>
        <v/>
      </c>
      <c r="U126">
        <f>HYPERLINK("https://klasma.github.io/Logging_0883/knärot/A 39906-2023 karta knärot.png", "A 39906-2023")</f>
        <v/>
      </c>
      <c r="V126">
        <f>HYPERLINK("https://klasma.github.io/Logging_0883/klagomål/A 39906-2023 FSC-klagomål.docx", "A 39906-2023")</f>
        <v/>
      </c>
      <c r="W126">
        <f>HYPERLINK("https://klasma.github.io/Logging_0883/klagomålsmail/A 39906-2023 FSC-klagomål mail.docx", "A 39906-2023")</f>
        <v/>
      </c>
      <c r="X126">
        <f>HYPERLINK("https://klasma.github.io/Logging_0883/tillsyn/A 39906-2023 tillsynsbegäran.docx", "A 39906-2023")</f>
        <v/>
      </c>
      <c r="Y126">
        <f>HYPERLINK("https://klasma.github.io/Logging_0883/tillsynsmail/A 39906-2023 tillsynsbegäran mail.docx", "A 39906-2023")</f>
        <v/>
      </c>
    </row>
    <row r="127" ht="15" customHeight="1">
      <c r="A127" t="inlineStr">
        <is>
          <t>A 42353-2023</t>
        </is>
      </c>
      <c r="B127" s="1" t="n">
        <v>45180</v>
      </c>
      <c r="C127" s="1" t="n">
        <v>45824</v>
      </c>
      <c r="D127" t="inlineStr">
        <is>
          <t>KALMAR LÄN</t>
        </is>
      </c>
      <c r="E127" t="inlineStr">
        <is>
          <t>VÄSTERVIK</t>
        </is>
      </c>
      <c r="G127" t="n">
        <v>11.3</v>
      </c>
      <c r="H127" t="n">
        <v>1</v>
      </c>
      <c r="I127" t="n">
        <v>1</v>
      </c>
      <c r="J127" t="n">
        <v>1</v>
      </c>
      <c r="K127" t="n">
        <v>1</v>
      </c>
      <c r="L127" t="n">
        <v>0</v>
      </c>
      <c r="M127" t="n">
        <v>0</v>
      </c>
      <c r="N127" t="n">
        <v>0</v>
      </c>
      <c r="O127" t="n">
        <v>2</v>
      </c>
      <c r="P127" t="n">
        <v>1</v>
      </c>
      <c r="Q127" t="n">
        <v>3</v>
      </c>
      <c r="R127" s="2" t="inlineStr">
        <is>
          <t>Knärot
Tallticka
Blomkålssvamp</t>
        </is>
      </c>
      <c r="S127">
        <f>HYPERLINK("https://klasma.github.io/Logging_0883/artfynd/A 42353-2023 artfynd.xlsx", "A 42353-2023")</f>
        <v/>
      </c>
      <c r="T127">
        <f>HYPERLINK("https://klasma.github.io/Logging_0883/kartor/A 42353-2023 karta.png", "A 42353-2023")</f>
        <v/>
      </c>
      <c r="U127">
        <f>HYPERLINK("https://klasma.github.io/Logging_0883/knärot/A 42353-2023 karta knärot.png", "A 42353-2023")</f>
        <v/>
      </c>
      <c r="V127">
        <f>HYPERLINK("https://klasma.github.io/Logging_0883/klagomål/A 42353-2023 FSC-klagomål.docx", "A 42353-2023")</f>
        <v/>
      </c>
      <c r="W127">
        <f>HYPERLINK("https://klasma.github.io/Logging_0883/klagomålsmail/A 42353-2023 FSC-klagomål mail.docx", "A 42353-2023")</f>
        <v/>
      </c>
      <c r="X127">
        <f>HYPERLINK("https://klasma.github.io/Logging_0883/tillsyn/A 42353-2023 tillsynsbegäran.docx", "A 42353-2023")</f>
        <v/>
      </c>
      <c r="Y127">
        <f>HYPERLINK("https://klasma.github.io/Logging_0883/tillsynsmail/A 42353-2023 tillsynsbegäran mail.docx", "A 42353-2023")</f>
        <v/>
      </c>
    </row>
    <row r="128" ht="15" customHeight="1">
      <c r="A128" t="inlineStr">
        <is>
          <t>A 45702-2023</t>
        </is>
      </c>
      <c r="B128" s="1" t="n">
        <v>45195</v>
      </c>
      <c r="C128" s="1" t="n">
        <v>45824</v>
      </c>
      <c r="D128" t="inlineStr">
        <is>
          <t>KALMAR LÄN</t>
        </is>
      </c>
      <c r="E128" t="inlineStr">
        <is>
          <t>VÄSTERVIK</t>
        </is>
      </c>
      <c r="G128" t="n">
        <v>7.3</v>
      </c>
      <c r="H128" t="n">
        <v>0</v>
      </c>
      <c r="I128" t="n">
        <v>1</v>
      </c>
      <c r="J128" t="n">
        <v>2</v>
      </c>
      <c r="K128" t="n">
        <v>0</v>
      </c>
      <c r="L128" t="n">
        <v>0</v>
      </c>
      <c r="M128" t="n">
        <v>0</v>
      </c>
      <c r="N128" t="n">
        <v>0</v>
      </c>
      <c r="O128" t="n">
        <v>2</v>
      </c>
      <c r="P128" t="n">
        <v>0</v>
      </c>
      <c r="Q128" t="n">
        <v>3</v>
      </c>
      <c r="R128" s="2" t="inlineStr">
        <is>
          <t>Reliktbock
Tallticka
Blåmossa</t>
        </is>
      </c>
      <c r="S128">
        <f>HYPERLINK("https://klasma.github.io/Logging_0883/artfynd/A 45702-2023 artfynd.xlsx", "A 45702-2023")</f>
        <v/>
      </c>
      <c r="T128">
        <f>HYPERLINK("https://klasma.github.io/Logging_0883/kartor/A 45702-2023 karta.png", "A 45702-2023")</f>
        <v/>
      </c>
      <c r="V128">
        <f>HYPERLINK("https://klasma.github.io/Logging_0883/klagomål/A 45702-2023 FSC-klagomål.docx", "A 45702-2023")</f>
        <v/>
      </c>
      <c r="W128">
        <f>HYPERLINK("https://klasma.github.io/Logging_0883/klagomålsmail/A 45702-2023 FSC-klagomål mail.docx", "A 45702-2023")</f>
        <v/>
      </c>
      <c r="X128">
        <f>HYPERLINK("https://klasma.github.io/Logging_0883/tillsyn/A 45702-2023 tillsynsbegäran.docx", "A 45702-2023")</f>
        <v/>
      </c>
      <c r="Y128">
        <f>HYPERLINK("https://klasma.github.io/Logging_0883/tillsynsmail/A 45702-2023 tillsynsbegäran mail.docx", "A 45702-2023")</f>
        <v/>
      </c>
    </row>
    <row r="129" ht="15" customHeight="1">
      <c r="A129" t="inlineStr">
        <is>
          <t>A 46090-2023</t>
        </is>
      </c>
      <c r="B129" s="1" t="n">
        <v>45196</v>
      </c>
      <c r="C129" s="1" t="n">
        <v>45824</v>
      </c>
      <c r="D129" t="inlineStr">
        <is>
          <t>KALMAR LÄN</t>
        </is>
      </c>
      <c r="E129" t="inlineStr">
        <is>
          <t>VÄSTERVIK</t>
        </is>
      </c>
      <c r="F129" t="inlineStr">
        <is>
          <t>Sveaskog</t>
        </is>
      </c>
      <c r="G129" t="n">
        <v>3.5</v>
      </c>
      <c r="H129" t="n">
        <v>1</v>
      </c>
      <c r="I129" t="n">
        <v>2</v>
      </c>
      <c r="J129" t="n">
        <v>0</v>
      </c>
      <c r="K129" t="n">
        <v>0</v>
      </c>
      <c r="L129" t="n">
        <v>0</v>
      </c>
      <c r="M129" t="n">
        <v>0</v>
      </c>
      <c r="N129" t="n">
        <v>0</v>
      </c>
      <c r="O129" t="n">
        <v>0</v>
      </c>
      <c r="P129" t="n">
        <v>0</v>
      </c>
      <c r="Q129" t="n">
        <v>3</v>
      </c>
      <c r="R129" s="2" t="inlineStr">
        <is>
          <t>Fällmossa
Platt fjädermossa
Blåsippa</t>
        </is>
      </c>
      <c r="S129">
        <f>HYPERLINK("https://klasma.github.io/Logging_0883/artfynd/A 46090-2023 artfynd.xlsx", "A 46090-2023")</f>
        <v/>
      </c>
      <c r="T129">
        <f>HYPERLINK("https://klasma.github.io/Logging_0883/kartor/A 46090-2023 karta.png", "A 46090-2023")</f>
        <v/>
      </c>
      <c r="V129">
        <f>HYPERLINK("https://klasma.github.io/Logging_0883/klagomål/A 46090-2023 FSC-klagomål.docx", "A 46090-2023")</f>
        <v/>
      </c>
      <c r="W129">
        <f>HYPERLINK("https://klasma.github.io/Logging_0883/klagomålsmail/A 46090-2023 FSC-klagomål mail.docx", "A 46090-2023")</f>
        <v/>
      </c>
      <c r="X129">
        <f>HYPERLINK("https://klasma.github.io/Logging_0883/tillsyn/A 46090-2023 tillsynsbegäran.docx", "A 46090-2023")</f>
        <v/>
      </c>
      <c r="Y129">
        <f>HYPERLINK("https://klasma.github.io/Logging_0883/tillsynsmail/A 46090-2023 tillsynsbegäran mail.docx", "A 46090-2023")</f>
        <v/>
      </c>
    </row>
    <row r="130" ht="15" customHeight="1">
      <c r="A130" t="inlineStr">
        <is>
          <t>A 54265-2023</t>
        </is>
      </c>
      <c r="B130" s="1" t="n">
        <v>45232</v>
      </c>
      <c r="C130" s="1" t="n">
        <v>45824</v>
      </c>
      <c r="D130" t="inlineStr">
        <is>
          <t>KALMAR LÄN</t>
        </is>
      </c>
      <c r="E130" t="inlineStr">
        <is>
          <t>VÄSTERVIK</t>
        </is>
      </c>
      <c r="G130" t="n">
        <v>3.3</v>
      </c>
      <c r="H130" t="n">
        <v>1</v>
      </c>
      <c r="I130" t="n">
        <v>1</v>
      </c>
      <c r="J130" t="n">
        <v>1</v>
      </c>
      <c r="K130" t="n">
        <v>1</v>
      </c>
      <c r="L130" t="n">
        <v>0</v>
      </c>
      <c r="M130" t="n">
        <v>0</v>
      </c>
      <c r="N130" t="n">
        <v>0</v>
      </c>
      <c r="O130" t="n">
        <v>2</v>
      </c>
      <c r="P130" t="n">
        <v>1</v>
      </c>
      <c r="Q130" t="n">
        <v>3</v>
      </c>
      <c r="R130" s="2" t="inlineStr">
        <is>
          <t>Knärot
Tallticka
Blåmossa</t>
        </is>
      </c>
      <c r="S130">
        <f>HYPERLINK("https://klasma.github.io/Logging_0883/artfynd/A 54265-2023 artfynd.xlsx", "A 54265-2023")</f>
        <v/>
      </c>
      <c r="T130">
        <f>HYPERLINK("https://klasma.github.io/Logging_0883/kartor/A 54265-2023 karta.png", "A 54265-2023")</f>
        <v/>
      </c>
      <c r="U130">
        <f>HYPERLINK("https://klasma.github.io/Logging_0883/knärot/A 54265-2023 karta knärot.png", "A 54265-2023")</f>
        <v/>
      </c>
      <c r="V130">
        <f>HYPERLINK("https://klasma.github.io/Logging_0883/klagomål/A 54265-2023 FSC-klagomål.docx", "A 54265-2023")</f>
        <v/>
      </c>
      <c r="W130">
        <f>HYPERLINK("https://klasma.github.io/Logging_0883/klagomålsmail/A 54265-2023 FSC-klagomål mail.docx", "A 54265-2023")</f>
        <v/>
      </c>
      <c r="X130">
        <f>HYPERLINK("https://klasma.github.io/Logging_0883/tillsyn/A 54265-2023 tillsynsbegäran.docx", "A 54265-2023")</f>
        <v/>
      </c>
      <c r="Y130">
        <f>HYPERLINK("https://klasma.github.io/Logging_0883/tillsynsmail/A 54265-2023 tillsynsbegäran mail.docx", "A 54265-2023")</f>
        <v/>
      </c>
    </row>
    <row r="131" ht="15" customHeight="1">
      <c r="A131" t="inlineStr">
        <is>
          <t>A 2657-2024</t>
        </is>
      </c>
      <c r="B131" s="1" t="n">
        <v>45314</v>
      </c>
      <c r="C131" s="1" t="n">
        <v>45824</v>
      </c>
      <c r="D131" t="inlineStr">
        <is>
          <t>KALMAR LÄN</t>
        </is>
      </c>
      <c r="E131" t="inlineStr">
        <is>
          <t>VÄSTERVIK</t>
        </is>
      </c>
      <c r="G131" t="n">
        <v>5.9</v>
      </c>
      <c r="H131" t="n">
        <v>2</v>
      </c>
      <c r="I131" t="n">
        <v>1</v>
      </c>
      <c r="J131" t="n">
        <v>1</v>
      </c>
      <c r="K131" t="n">
        <v>1</v>
      </c>
      <c r="L131" t="n">
        <v>0</v>
      </c>
      <c r="M131" t="n">
        <v>0</v>
      </c>
      <c r="N131" t="n">
        <v>0</v>
      </c>
      <c r="O131" t="n">
        <v>2</v>
      </c>
      <c r="P131" t="n">
        <v>1</v>
      </c>
      <c r="Q131" t="n">
        <v>3</v>
      </c>
      <c r="R131" s="2" t="inlineStr">
        <is>
          <t>Knärot
Spillkråka
Grönpyrola</t>
        </is>
      </c>
      <c r="S131">
        <f>HYPERLINK("https://klasma.github.io/Logging_0883/artfynd/A 2657-2024 artfynd.xlsx", "A 2657-2024")</f>
        <v/>
      </c>
      <c r="T131">
        <f>HYPERLINK("https://klasma.github.io/Logging_0883/kartor/A 2657-2024 karta.png", "A 2657-2024")</f>
        <v/>
      </c>
      <c r="U131">
        <f>HYPERLINK("https://klasma.github.io/Logging_0883/knärot/A 2657-2024 karta knärot.png", "A 2657-2024")</f>
        <v/>
      </c>
      <c r="V131">
        <f>HYPERLINK("https://klasma.github.io/Logging_0883/klagomål/A 2657-2024 FSC-klagomål.docx", "A 2657-2024")</f>
        <v/>
      </c>
      <c r="W131">
        <f>HYPERLINK("https://klasma.github.io/Logging_0883/klagomålsmail/A 2657-2024 FSC-klagomål mail.docx", "A 2657-2024")</f>
        <v/>
      </c>
      <c r="X131">
        <f>HYPERLINK("https://klasma.github.io/Logging_0883/tillsyn/A 2657-2024 tillsynsbegäran.docx", "A 2657-2024")</f>
        <v/>
      </c>
      <c r="Y131">
        <f>HYPERLINK("https://klasma.github.io/Logging_0883/tillsynsmail/A 2657-2024 tillsynsbegäran mail.docx", "A 2657-2024")</f>
        <v/>
      </c>
      <c r="Z131">
        <f>HYPERLINK("https://klasma.github.io/Logging_0883/fåglar/A 2657-2024 prioriterade fågelarter.docx", "A 2657-2024")</f>
        <v/>
      </c>
    </row>
    <row r="132" ht="15" customHeight="1">
      <c r="A132" t="inlineStr">
        <is>
          <t>A 2916-2024</t>
        </is>
      </c>
      <c r="B132" s="1" t="n">
        <v>45315</v>
      </c>
      <c r="C132" s="1" t="n">
        <v>45824</v>
      </c>
      <c r="D132" t="inlineStr">
        <is>
          <t>KALMAR LÄN</t>
        </is>
      </c>
      <c r="E132" t="inlineStr">
        <is>
          <t>VÄSTERVIK</t>
        </is>
      </c>
      <c r="G132" t="n">
        <v>6.3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2916-2024 artfynd.xlsx", "A 2916-2024")</f>
        <v/>
      </c>
      <c r="T132">
        <f>HYPERLINK("https://klasma.github.io/Logging_0883/kartor/A 2916-2024 karta.png", "A 2916-2024")</f>
        <v/>
      </c>
      <c r="U132">
        <f>HYPERLINK("https://klasma.github.io/Logging_0883/knärot/A 2916-2024 karta knärot.png", "A 2916-2024")</f>
        <v/>
      </c>
      <c r="V132">
        <f>HYPERLINK("https://klasma.github.io/Logging_0883/klagomål/A 2916-2024 FSC-klagomål.docx", "A 2916-2024")</f>
        <v/>
      </c>
      <c r="W132">
        <f>HYPERLINK("https://klasma.github.io/Logging_0883/klagomålsmail/A 2916-2024 FSC-klagomål mail.docx", "A 2916-2024")</f>
        <v/>
      </c>
      <c r="X132">
        <f>HYPERLINK("https://klasma.github.io/Logging_0883/tillsyn/A 2916-2024 tillsynsbegäran.docx", "A 2916-2024")</f>
        <v/>
      </c>
      <c r="Y132">
        <f>HYPERLINK("https://klasma.github.io/Logging_0883/tillsynsmail/A 2916-2024 tillsynsbegäran mail.docx", "A 2916-2024")</f>
        <v/>
      </c>
      <c r="Z132">
        <f>HYPERLINK("https://klasma.github.io/Logging_0883/fåglar/A 2916-2024 prioriterade fågelarter.docx", "A 2916-2024")</f>
        <v/>
      </c>
    </row>
    <row r="133" ht="15" customHeight="1">
      <c r="A133" t="inlineStr">
        <is>
          <t>A 3429-2024</t>
        </is>
      </c>
      <c r="B133" s="1" t="n">
        <v>45320</v>
      </c>
      <c r="C133" s="1" t="n">
        <v>45824</v>
      </c>
      <c r="D133" t="inlineStr">
        <is>
          <t>KALMAR LÄN</t>
        </is>
      </c>
      <c r="E133" t="inlineStr">
        <is>
          <t>VÄSTERVIK</t>
        </is>
      </c>
      <c r="G133" t="n">
        <v>4.2</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HYPERLINK("https://klasma.github.io/Logging_0883/artfynd/A 3429-2024 artfynd.xlsx", "A 3429-2024")</f>
        <v/>
      </c>
      <c r="T133">
        <f>HYPERLINK("https://klasma.github.io/Logging_0883/kartor/A 3429-2024 karta.png", "A 3429-2024")</f>
        <v/>
      </c>
      <c r="U133">
        <f>HYPERLINK("https://klasma.github.io/Logging_0883/knärot/A 3429-2024 karta knärot.png", "A 3429-2024")</f>
        <v/>
      </c>
      <c r="V133">
        <f>HYPERLINK("https://klasma.github.io/Logging_0883/klagomål/A 3429-2024 FSC-klagomål.docx", "A 3429-2024")</f>
        <v/>
      </c>
      <c r="W133">
        <f>HYPERLINK("https://klasma.github.io/Logging_0883/klagomålsmail/A 3429-2024 FSC-klagomål mail.docx", "A 3429-2024")</f>
        <v/>
      </c>
      <c r="X133">
        <f>HYPERLINK("https://klasma.github.io/Logging_0883/tillsyn/A 3429-2024 tillsynsbegäran.docx", "A 3429-2024")</f>
        <v/>
      </c>
      <c r="Y133">
        <f>HYPERLINK("https://klasma.github.io/Logging_0883/tillsynsmail/A 3429-2024 tillsynsbegäran mail.docx", "A 3429-2024")</f>
        <v/>
      </c>
    </row>
    <row r="134" ht="15" customHeight="1">
      <c r="A134" t="inlineStr">
        <is>
          <t>A 8620-2024</t>
        </is>
      </c>
      <c r="B134" s="1" t="n">
        <v>45355</v>
      </c>
      <c r="C134" s="1" t="n">
        <v>45824</v>
      </c>
      <c r="D134" t="inlineStr">
        <is>
          <t>KALMAR LÄN</t>
        </is>
      </c>
      <c r="E134" t="inlineStr">
        <is>
          <t>VÄSTERVIK</t>
        </is>
      </c>
      <c r="G134" t="n">
        <v>0.9</v>
      </c>
      <c r="H134" t="n">
        <v>2</v>
      </c>
      <c r="I134" t="n">
        <v>1</v>
      </c>
      <c r="J134" t="n">
        <v>1</v>
      </c>
      <c r="K134" t="n">
        <v>1</v>
      </c>
      <c r="L134" t="n">
        <v>0</v>
      </c>
      <c r="M134" t="n">
        <v>0</v>
      </c>
      <c r="N134" t="n">
        <v>0</v>
      </c>
      <c r="O134" t="n">
        <v>2</v>
      </c>
      <c r="P134" t="n">
        <v>1</v>
      </c>
      <c r="Q134" t="n">
        <v>3</v>
      </c>
      <c r="R134" s="2" t="inlineStr">
        <is>
          <t>Knärot
Talltita
Blodticka</t>
        </is>
      </c>
      <c r="S134">
        <f>HYPERLINK("https://klasma.github.io/Logging_0883/artfynd/A 8620-2024 artfynd.xlsx", "A 8620-2024")</f>
        <v/>
      </c>
      <c r="T134">
        <f>HYPERLINK("https://klasma.github.io/Logging_0883/kartor/A 8620-2024 karta.png", "A 8620-2024")</f>
        <v/>
      </c>
      <c r="U134">
        <f>HYPERLINK("https://klasma.github.io/Logging_0883/knärot/A 8620-2024 karta knärot.png", "A 8620-2024")</f>
        <v/>
      </c>
      <c r="V134">
        <f>HYPERLINK("https://klasma.github.io/Logging_0883/klagomål/A 8620-2024 FSC-klagomål.docx", "A 8620-2024")</f>
        <v/>
      </c>
      <c r="W134">
        <f>HYPERLINK("https://klasma.github.io/Logging_0883/klagomålsmail/A 8620-2024 FSC-klagomål mail.docx", "A 8620-2024")</f>
        <v/>
      </c>
      <c r="X134">
        <f>HYPERLINK("https://klasma.github.io/Logging_0883/tillsyn/A 8620-2024 tillsynsbegäran.docx", "A 8620-2024")</f>
        <v/>
      </c>
      <c r="Y134">
        <f>HYPERLINK("https://klasma.github.io/Logging_0883/tillsynsmail/A 8620-2024 tillsynsbegäran mail.docx", "A 8620-2024")</f>
        <v/>
      </c>
      <c r="Z134">
        <f>HYPERLINK("https://klasma.github.io/Logging_0883/fåglar/A 8620-2024 prioriterade fågelarter.docx", "A 8620-2024")</f>
        <v/>
      </c>
    </row>
    <row r="135" ht="15" customHeight="1">
      <c r="A135" t="inlineStr">
        <is>
          <t>A 13744-2024</t>
        </is>
      </c>
      <c r="B135" s="1" t="n">
        <v>45390</v>
      </c>
      <c r="C135" s="1" t="n">
        <v>45824</v>
      </c>
      <c r="D135" t="inlineStr">
        <is>
          <t>KALMAR LÄN</t>
        </is>
      </c>
      <c r="E135" t="inlineStr">
        <is>
          <t>VÄSTERVIK</t>
        </is>
      </c>
      <c r="F135" t="inlineStr">
        <is>
          <t>Sveaskog</t>
        </is>
      </c>
      <c r="G135" t="n">
        <v>6.3</v>
      </c>
      <c r="H135" t="n">
        <v>3</v>
      </c>
      <c r="I135" t="n">
        <v>0</v>
      </c>
      <c r="J135" t="n">
        <v>1</v>
      </c>
      <c r="K135" t="n">
        <v>1</v>
      </c>
      <c r="L135" t="n">
        <v>0</v>
      </c>
      <c r="M135" t="n">
        <v>0</v>
      </c>
      <c r="N135" t="n">
        <v>0</v>
      </c>
      <c r="O135" t="n">
        <v>2</v>
      </c>
      <c r="P135" t="n">
        <v>1</v>
      </c>
      <c r="Q135" t="n">
        <v>3</v>
      </c>
      <c r="R135" s="2" t="inlineStr">
        <is>
          <t>Knärot
Talltita
Tjäder</t>
        </is>
      </c>
      <c r="S135">
        <f>HYPERLINK("https://klasma.github.io/Logging_0883/artfynd/A 13744-2024 artfynd.xlsx", "A 13744-2024")</f>
        <v/>
      </c>
      <c r="T135">
        <f>HYPERLINK("https://klasma.github.io/Logging_0883/kartor/A 13744-2024 karta.png", "A 13744-2024")</f>
        <v/>
      </c>
      <c r="U135">
        <f>HYPERLINK("https://klasma.github.io/Logging_0883/knärot/A 13744-2024 karta knärot.png", "A 13744-2024")</f>
        <v/>
      </c>
      <c r="V135">
        <f>HYPERLINK("https://klasma.github.io/Logging_0883/klagomål/A 13744-2024 FSC-klagomål.docx", "A 13744-2024")</f>
        <v/>
      </c>
      <c r="W135">
        <f>HYPERLINK("https://klasma.github.io/Logging_0883/klagomålsmail/A 13744-2024 FSC-klagomål mail.docx", "A 13744-2024")</f>
        <v/>
      </c>
      <c r="X135">
        <f>HYPERLINK("https://klasma.github.io/Logging_0883/tillsyn/A 13744-2024 tillsynsbegäran.docx", "A 13744-2024")</f>
        <v/>
      </c>
      <c r="Y135">
        <f>HYPERLINK("https://klasma.github.io/Logging_0883/tillsynsmail/A 13744-2024 tillsynsbegäran mail.docx", "A 13744-2024")</f>
        <v/>
      </c>
      <c r="Z135">
        <f>HYPERLINK("https://klasma.github.io/Logging_0883/fåglar/A 13744-2024 prioriterade fågelarter.docx", "A 13744-2024")</f>
        <v/>
      </c>
    </row>
    <row r="136" ht="15" customHeight="1">
      <c r="A136" t="inlineStr">
        <is>
          <t>A 16948-2024</t>
        </is>
      </c>
      <c r="B136" s="1" t="n">
        <v>45411</v>
      </c>
      <c r="C136" s="1" t="n">
        <v>45824</v>
      </c>
      <c r="D136" t="inlineStr">
        <is>
          <t>KALMAR LÄN</t>
        </is>
      </c>
      <c r="E136" t="inlineStr">
        <is>
          <t>VÄSTERVIK</t>
        </is>
      </c>
      <c r="G136" t="n">
        <v>13.3</v>
      </c>
      <c r="H136" t="n">
        <v>2</v>
      </c>
      <c r="I136" t="n">
        <v>0</v>
      </c>
      <c r="J136" t="n">
        <v>2</v>
      </c>
      <c r="K136" t="n">
        <v>1</v>
      </c>
      <c r="L136" t="n">
        <v>0</v>
      </c>
      <c r="M136" t="n">
        <v>0</v>
      </c>
      <c r="N136" t="n">
        <v>0</v>
      </c>
      <c r="O136" t="n">
        <v>3</v>
      </c>
      <c r="P136" t="n">
        <v>1</v>
      </c>
      <c r="Q136" t="n">
        <v>3</v>
      </c>
      <c r="R136" s="2" t="inlineStr">
        <is>
          <t>Knärot
Spillkråka
Tallticka</t>
        </is>
      </c>
      <c r="S136">
        <f>HYPERLINK("https://klasma.github.io/Logging_0883/artfynd/A 16948-2024 artfynd.xlsx", "A 16948-2024")</f>
        <v/>
      </c>
      <c r="T136">
        <f>HYPERLINK("https://klasma.github.io/Logging_0883/kartor/A 16948-2024 karta.png", "A 16948-2024")</f>
        <v/>
      </c>
      <c r="U136">
        <f>HYPERLINK("https://klasma.github.io/Logging_0883/knärot/A 16948-2024 karta knärot.png", "A 16948-2024")</f>
        <v/>
      </c>
      <c r="V136">
        <f>HYPERLINK("https://klasma.github.io/Logging_0883/klagomål/A 16948-2024 FSC-klagomål.docx", "A 16948-2024")</f>
        <v/>
      </c>
      <c r="W136">
        <f>HYPERLINK("https://klasma.github.io/Logging_0883/klagomålsmail/A 16948-2024 FSC-klagomål mail.docx", "A 16948-2024")</f>
        <v/>
      </c>
      <c r="X136">
        <f>HYPERLINK("https://klasma.github.io/Logging_0883/tillsyn/A 16948-2024 tillsynsbegäran.docx", "A 16948-2024")</f>
        <v/>
      </c>
      <c r="Y136">
        <f>HYPERLINK("https://klasma.github.io/Logging_0883/tillsynsmail/A 16948-2024 tillsynsbegäran mail.docx", "A 16948-2024")</f>
        <v/>
      </c>
      <c r="Z136">
        <f>HYPERLINK("https://klasma.github.io/Logging_0883/fåglar/A 16948-2024 prioriterade fågelarter.docx", "A 16948-2024")</f>
        <v/>
      </c>
    </row>
    <row r="137" ht="15" customHeight="1">
      <c r="A137" t="inlineStr">
        <is>
          <t>A 23219-2024</t>
        </is>
      </c>
      <c r="B137" s="1" t="n">
        <v>45452</v>
      </c>
      <c r="C137" s="1" t="n">
        <v>45824</v>
      </c>
      <c r="D137" t="inlineStr">
        <is>
          <t>KALMAR LÄN</t>
        </is>
      </c>
      <c r="E137" t="inlineStr">
        <is>
          <t>VÄSTERVIK</t>
        </is>
      </c>
      <c r="G137" t="n">
        <v>0.9</v>
      </c>
      <c r="H137" t="n">
        <v>1</v>
      </c>
      <c r="I137" t="n">
        <v>1</v>
      </c>
      <c r="J137" t="n">
        <v>2</v>
      </c>
      <c r="K137" t="n">
        <v>0</v>
      </c>
      <c r="L137" t="n">
        <v>0</v>
      </c>
      <c r="M137" t="n">
        <v>0</v>
      </c>
      <c r="N137" t="n">
        <v>0</v>
      </c>
      <c r="O137" t="n">
        <v>2</v>
      </c>
      <c r="P137" t="n">
        <v>0</v>
      </c>
      <c r="Q137" t="n">
        <v>3</v>
      </c>
      <c r="R137" s="2" t="inlineStr">
        <is>
          <t>Ekticka
Spillkråka
Grönpyrola</t>
        </is>
      </c>
      <c r="S137">
        <f>HYPERLINK("https://klasma.github.io/Logging_0883/artfynd/A 23219-2024 artfynd.xlsx", "A 23219-2024")</f>
        <v/>
      </c>
      <c r="T137">
        <f>HYPERLINK("https://klasma.github.io/Logging_0883/kartor/A 23219-2024 karta.png", "A 23219-2024")</f>
        <v/>
      </c>
      <c r="V137">
        <f>HYPERLINK("https://klasma.github.io/Logging_0883/klagomål/A 23219-2024 FSC-klagomål.docx", "A 23219-2024")</f>
        <v/>
      </c>
      <c r="W137">
        <f>HYPERLINK("https://klasma.github.io/Logging_0883/klagomålsmail/A 23219-2024 FSC-klagomål mail.docx", "A 23219-2024")</f>
        <v/>
      </c>
      <c r="X137">
        <f>HYPERLINK("https://klasma.github.io/Logging_0883/tillsyn/A 23219-2024 tillsynsbegäran.docx", "A 23219-2024")</f>
        <v/>
      </c>
      <c r="Y137">
        <f>HYPERLINK("https://klasma.github.io/Logging_0883/tillsynsmail/A 23219-2024 tillsynsbegäran mail.docx", "A 23219-2024")</f>
        <v/>
      </c>
      <c r="Z137">
        <f>HYPERLINK("https://klasma.github.io/Logging_0883/fåglar/A 23219-2024 prioriterade fågelarter.docx", "A 23219-2024")</f>
        <v/>
      </c>
    </row>
    <row r="138" ht="15" customHeight="1">
      <c r="A138" t="inlineStr">
        <is>
          <t>A 27067-2024</t>
        </is>
      </c>
      <c r="B138" s="1" t="n">
        <v>45471</v>
      </c>
      <c r="C138" s="1" t="n">
        <v>45824</v>
      </c>
      <c r="D138" t="inlineStr">
        <is>
          <t>KALMAR LÄN</t>
        </is>
      </c>
      <c r="E138" t="inlineStr">
        <is>
          <t>VÄSTERVIK</t>
        </is>
      </c>
      <c r="F138" t="inlineStr">
        <is>
          <t>Holmen skog AB</t>
        </is>
      </c>
      <c r="G138" t="n">
        <v>8.4</v>
      </c>
      <c r="H138" t="n">
        <v>2</v>
      </c>
      <c r="I138" t="n">
        <v>0</v>
      </c>
      <c r="J138" t="n">
        <v>3</v>
      </c>
      <c r="K138" t="n">
        <v>0</v>
      </c>
      <c r="L138" t="n">
        <v>0</v>
      </c>
      <c r="M138" t="n">
        <v>0</v>
      </c>
      <c r="N138" t="n">
        <v>0</v>
      </c>
      <c r="O138" t="n">
        <v>3</v>
      </c>
      <c r="P138" t="n">
        <v>0</v>
      </c>
      <c r="Q138" t="n">
        <v>3</v>
      </c>
      <c r="R138" s="2" t="inlineStr">
        <is>
          <t>Ekticka
Spillkråka
Talltita</t>
        </is>
      </c>
      <c r="S138">
        <f>HYPERLINK("https://klasma.github.io/Logging_0883/artfynd/A 27067-2024 artfynd.xlsx", "A 27067-2024")</f>
        <v/>
      </c>
      <c r="T138">
        <f>HYPERLINK("https://klasma.github.io/Logging_0883/kartor/A 27067-2024 karta.png", "A 27067-2024")</f>
        <v/>
      </c>
      <c r="V138">
        <f>HYPERLINK("https://klasma.github.io/Logging_0883/klagomål/A 27067-2024 FSC-klagomål.docx", "A 27067-2024")</f>
        <v/>
      </c>
      <c r="W138">
        <f>HYPERLINK("https://klasma.github.io/Logging_0883/klagomålsmail/A 27067-2024 FSC-klagomål mail.docx", "A 27067-2024")</f>
        <v/>
      </c>
      <c r="X138">
        <f>HYPERLINK("https://klasma.github.io/Logging_0883/tillsyn/A 27067-2024 tillsynsbegäran.docx", "A 27067-2024")</f>
        <v/>
      </c>
      <c r="Y138">
        <f>HYPERLINK("https://klasma.github.io/Logging_0883/tillsynsmail/A 27067-2024 tillsynsbegäran mail.docx", "A 27067-2024")</f>
        <v/>
      </c>
      <c r="Z138">
        <f>HYPERLINK("https://klasma.github.io/Logging_0883/fåglar/A 27067-2024 prioriterade fågelarter.docx", "A 27067-2024")</f>
        <v/>
      </c>
    </row>
    <row r="139" ht="15" customHeight="1">
      <c r="A139" t="inlineStr">
        <is>
          <t>A 27700-2024</t>
        </is>
      </c>
      <c r="B139" s="1" t="n">
        <v>45475</v>
      </c>
      <c r="C139" s="1" t="n">
        <v>45824</v>
      </c>
      <c r="D139" t="inlineStr">
        <is>
          <t>KALMAR LÄN</t>
        </is>
      </c>
      <c r="E139" t="inlineStr">
        <is>
          <t>VÄSTERVIK</t>
        </is>
      </c>
      <c r="F139" t="inlineStr">
        <is>
          <t>Holmen skog AB</t>
        </is>
      </c>
      <c r="G139" t="n">
        <v>1.1</v>
      </c>
      <c r="H139" t="n">
        <v>1</v>
      </c>
      <c r="I139" t="n">
        <v>2</v>
      </c>
      <c r="J139" t="n">
        <v>1</v>
      </c>
      <c r="K139" t="n">
        <v>0</v>
      </c>
      <c r="L139" t="n">
        <v>0</v>
      </c>
      <c r="M139" t="n">
        <v>0</v>
      </c>
      <c r="N139" t="n">
        <v>0</v>
      </c>
      <c r="O139" t="n">
        <v>1</v>
      </c>
      <c r="P139" t="n">
        <v>0</v>
      </c>
      <c r="Q139" t="n">
        <v>3</v>
      </c>
      <c r="R139" s="2" t="inlineStr">
        <is>
          <t>Spillkråka
Blåmossa
Zontaggsvamp</t>
        </is>
      </c>
      <c r="S139">
        <f>HYPERLINK("https://klasma.github.io/Logging_0883/artfynd/A 27700-2024 artfynd.xlsx", "A 27700-2024")</f>
        <v/>
      </c>
      <c r="T139">
        <f>HYPERLINK("https://klasma.github.io/Logging_0883/kartor/A 27700-2024 karta.png", "A 27700-2024")</f>
        <v/>
      </c>
      <c r="V139">
        <f>HYPERLINK("https://klasma.github.io/Logging_0883/klagomål/A 27700-2024 FSC-klagomål.docx", "A 27700-2024")</f>
        <v/>
      </c>
      <c r="W139">
        <f>HYPERLINK("https://klasma.github.io/Logging_0883/klagomålsmail/A 27700-2024 FSC-klagomål mail.docx", "A 27700-2024")</f>
        <v/>
      </c>
      <c r="X139">
        <f>HYPERLINK("https://klasma.github.io/Logging_0883/tillsyn/A 27700-2024 tillsynsbegäran.docx", "A 27700-2024")</f>
        <v/>
      </c>
      <c r="Y139">
        <f>HYPERLINK("https://klasma.github.io/Logging_0883/tillsynsmail/A 27700-2024 tillsynsbegäran mail.docx", "A 27700-2024")</f>
        <v/>
      </c>
      <c r="Z139">
        <f>HYPERLINK("https://klasma.github.io/Logging_0883/fåglar/A 27700-2024 prioriterade fågelarter.docx", "A 27700-2024")</f>
        <v/>
      </c>
    </row>
    <row r="140" ht="15" customHeight="1">
      <c r="A140" t="inlineStr">
        <is>
          <t>A 28368-2024</t>
        </is>
      </c>
      <c r="B140" s="1" t="n">
        <v>45477</v>
      </c>
      <c r="C140" s="1" t="n">
        <v>45824</v>
      </c>
      <c r="D140" t="inlineStr">
        <is>
          <t>KALMAR LÄN</t>
        </is>
      </c>
      <c r="E140" t="inlineStr">
        <is>
          <t>VÄSTERVIK</t>
        </is>
      </c>
      <c r="G140" t="n">
        <v>0.8</v>
      </c>
      <c r="H140" t="n">
        <v>1</v>
      </c>
      <c r="I140" t="n">
        <v>1</v>
      </c>
      <c r="J140" t="n">
        <v>1</v>
      </c>
      <c r="K140" t="n">
        <v>1</v>
      </c>
      <c r="L140" t="n">
        <v>0</v>
      </c>
      <c r="M140" t="n">
        <v>0</v>
      </c>
      <c r="N140" t="n">
        <v>0</v>
      </c>
      <c r="O140" t="n">
        <v>2</v>
      </c>
      <c r="P140" t="n">
        <v>1</v>
      </c>
      <c r="Q140" t="n">
        <v>3</v>
      </c>
      <c r="R140" s="2" t="inlineStr">
        <is>
          <t>Knärot
Orange taggsvamp
Grönpyrola</t>
        </is>
      </c>
      <c r="S140">
        <f>HYPERLINK("https://klasma.github.io/Logging_0883/artfynd/A 28368-2024 artfynd.xlsx", "A 28368-2024")</f>
        <v/>
      </c>
      <c r="T140">
        <f>HYPERLINK("https://klasma.github.io/Logging_0883/kartor/A 28368-2024 karta.png", "A 28368-2024")</f>
        <v/>
      </c>
      <c r="U140">
        <f>HYPERLINK("https://klasma.github.io/Logging_0883/knärot/A 28368-2024 karta knärot.png", "A 28368-2024")</f>
        <v/>
      </c>
      <c r="V140">
        <f>HYPERLINK("https://klasma.github.io/Logging_0883/klagomål/A 28368-2024 FSC-klagomål.docx", "A 28368-2024")</f>
        <v/>
      </c>
      <c r="W140">
        <f>HYPERLINK("https://klasma.github.io/Logging_0883/klagomålsmail/A 28368-2024 FSC-klagomål mail.docx", "A 28368-2024")</f>
        <v/>
      </c>
      <c r="X140">
        <f>HYPERLINK("https://klasma.github.io/Logging_0883/tillsyn/A 28368-2024 tillsynsbegäran.docx", "A 28368-2024")</f>
        <v/>
      </c>
      <c r="Y140">
        <f>HYPERLINK("https://klasma.github.io/Logging_0883/tillsynsmail/A 28368-2024 tillsynsbegäran mail.docx", "A 28368-2024")</f>
        <v/>
      </c>
    </row>
    <row r="141" ht="15" customHeight="1">
      <c r="A141" t="inlineStr">
        <is>
          <t>A 39190-2024</t>
        </is>
      </c>
      <c r="B141" s="1" t="n">
        <v>45548</v>
      </c>
      <c r="C141" s="1" t="n">
        <v>45824</v>
      </c>
      <c r="D141" t="inlineStr">
        <is>
          <t>KALMAR LÄN</t>
        </is>
      </c>
      <c r="E141" t="inlineStr">
        <is>
          <t>VÄSTERVIK</t>
        </is>
      </c>
      <c r="G141" t="n">
        <v>1.7</v>
      </c>
      <c r="H141" t="n">
        <v>2</v>
      </c>
      <c r="I141" t="n">
        <v>0</v>
      </c>
      <c r="J141" t="n">
        <v>2</v>
      </c>
      <c r="K141" t="n">
        <v>1</v>
      </c>
      <c r="L141" t="n">
        <v>0</v>
      </c>
      <c r="M141" t="n">
        <v>0</v>
      </c>
      <c r="N141" t="n">
        <v>0</v>
      </c>
      <c r="O141" t="n">
        <v>3</v>
      </c>
      <c r="P141" t="n">
        <v>1</v>
      </c>
      <c r="Q141" t="n">
        <v>3</v>
      </c>
      <c r="R141" s="2" t="inlineStr">
        <is>
          <t>Knärot
Svart taggsvamp
Talltita</t>
        </is>
      </c>
      <c r="S141">
        <f>HYPERLINK("https://klasma.github.io/Logging_0883/artfynd/A 39190-2024 artfynd.xlsx", "A 39190-2024")</f>
        <v/>
      </c>
      <c r="T141">
        <f>HYPERLINK("https://klasma.github.io/Logging_0883/kartor/A 39190-2024 karta.png", "A 39190-2024")</f>
        <v/>
      </c>
      <c r="U141">
        <f>HYPERLINK("https://klasma.github.io/Logging_0883/knärot/A 39190-2024 karta knärot.png", "A 39190-2024")</f>
        <v/>
      </c>
      <c r="V141">
        <f>HYPERLINK("https://klasma.github.io/Logging_0883/klagomål/A 39190-2024 FSC-klagomål.docx", "A 39190-2024")</f>
        <v/>
      </c>
      <c r="W141">
        <f>HYPERLINK("https://klasma.github.io/Logging_0883/klagomålsmail/A 39190-2024 FSC-klagomål mail.docx", "A 39190-2024")</f>
        <v/>
      </c>
      <c r="X141">
        <f>HYPERLINK("https://klasma.github.io/Logging_0883/tillsyn/A 39190-2024 tillsynsbegäran.docx", "A 39190-2024")</f>
        <v/>
      </c>
      <c r="Y141">
        <f>HYPERLINK("https://klasma.github.io/Logging_0883/tillsynsmail/A 39190-2024 tillsynsbegäran mail.docx", "A 39190-2024")</f>
        <v/>
      </c>
      <c r="Z141">
        <f>HYPERLINK("https://klasma.github.io/Logging_0883/fåglar/A 39190-2024 prioriterade fågelarter.docx", "A 39190-2024")</f>
        <v/>
      </c>
    </row>
    <row r="142" ht="15" customHeight="1">
      <c r="A142" t="inlineStr">
        <is>
          <t>A 39284-2024</t>
        </is>
      </c>
      <c r="B142" s="1" t="n">
        <v>45551</v>
      </c>
      <c r="C142" s="1" t="n">
        <v>45824</v>
      </c>
      <c r="D142" t="inlineStr">
        <is>
          <t>KALMAR LÄN</t>
        </is>
      </c>
      <c r="E142" t="inlineStr">
        <is>
          <t>VÄSTERVIK</t>
        </is>
      </c>
      <c r="G142" t="n">
        <v>4.1</v>
      </c>
      <c r="H142" t="n">
        <v>2</v>
      </c>
      <c r="I142" t="n">
        <v>1</v>
      </c>
      <c r="J142" t="n">
        <v>1</v>
      </c>
      <c r="K142" t="n">
        <v>0</v>
      </c>
      <c r="L142" t="n">
        <v>0</v>
      </c>
      <c r="M142" t="n">
        <v>0</v>
      </c>
      <c r="N142" t="n">
        <v>0</v>
      </c>
      <c r="O142" t="n">
        <v>1</v>
      </c>
      <c r="P142" t="n">
        <v>0</v>
      </c>
      <c r="Q142" t="n">
        <v>3</v>
      </c>
      <c r="R142" s="2" t="inlineStr">
        <is>
          <t>Talltita
Blåmossa
Mattlummer</t>
        </is>
      </c>
      <c r="S142">
        <f>HYPERLINK("https://klasma.github.io/Logging_0883/artfynd/A 39284-2024 artfynd.xlsx", "A 39284-2024")</f>
        <v/>
      </c>
      <c r="T142">
        <f>HYPERLINK("https://klasma.github.io/Logging_0883/kartor/A 39284-2024 karta.png", "A 39284-2024")</f>
        <v/>
      </c>
      <c r="V142">
        <f>HYPERLINK("https://klasma.github.io/Logging_0883/klagomål/A 39284-2024 FSC-klagomål.docx", "A 39284-2024")</f>
        <v/>
      </c>
      <c r="W142">
        <f>HYPERLINK("https://klasma.github.io/Logging_0883/klagomålsmail/A 39284-2024 FSC-klagomål mail.docx", "A 39284-2024")</f>
        <v/>
      </c>
      <c r="X142">
        <f>HYPERLINK("https://klasma.github.io/Logging_0883/tillsyn/A 39284-2024 tillsynsbegäran.docx", "A 39284-2024")</f>
        <v/>
      </c>
      <c r="Y142">
        <f>HYPERLINK("https://klasma.github.io/Logging_0883/tillsynsmail/A 39284-2024 tillsynsbegäran mail.docx", "A 39284-2024")</f>
        <v/>
      </c>
      <c r="Z142">
        <f>HYPERLINK("https://klasma.github.io/Logging_0883/fåglar/A 39284-2024 prioriterade fågelarter.docx", "A 39284-2024")</f>
        <v/>
      </c>
    </row>
    <row r="143" ht="15" customHeight="1">
      <c r="A143" t="inlineStr">
        <is>
          <t>A 39296-2024</t>
        </is>
      </c>
      <c r="B143" s="1" t="n">
        <v>45551</v>
      </c>
      <c r="C143" s="1" t="n">
        <v>45824</v>
      </c>
      <c r="D143" t="inlineStr">
        <is>
          <t>KALMAR LÄN</t>
        </is>
      </c>
      <c r="E143" t="inlineStr">
        <is>
          <t>VÄSTERVIK</t>
        </is>
      </c>
      <c r="G143" t="n">
        <v>0.8</v>
      </c>
      <c r="H143" t="n">
        <v>2</v>
      </c>
      <c r="I143" t="n">
        <v>1</v>
      </c>
      <c r="J143" t="n">
        <v>2</v>
      </c>
      <c r="K143" t="n">
        <v>0</v>
      </c>
      <c r="L143" t="n">
        <v>0</v>
      </c>
      <c r="M143" t="n">
        <v>0</v>
      </c>
      <c r="N143" t="n">
        <v>0</v>
      </c>
      <c r="O143" t="n">
        <v>2</v>
      </c>
      <c r="P143" t="n">
        <v>0</v>
      </c>
      <c r="Q143" t="n">
        <v>3</v>
      </c>
      <c r="R143" s="2" t="inlineStr">
        <is>
          <t>Järpe
Spillkråka
Grönpyrola</t>
        </is>
      </c>
      <c r="S143">
        <f>HYPERLINK("https://klasma.github.io/Logging_0883/artfynd/A 39296-2024 artfynd.xlsx", "A 39296-2024")</f>
        <v/>
      </c>
      <c r="T143">
        <f>HYPERLINK("https://klasma.github.io/Logging_0883/kartor/A 39296-2024 karta.png", "A 39296-2024")</f>
        <v/>
      </c>
      <c r="U143">
        <f>HYPERLINK("https://klasma.github.io/Logging_0883/knärot/A 39296-2024 karta knärot.png", "A 39296-2024")</f>
        <v/>
      </c>
      <c r="V143">
        <f>HYPERLINK("https://klasma.github.io/Logging_0883/klagomål/A 39296-2024 FSC-klagomål.docx", "A 39296-2024")</f>
        <v/>
      </c>
      <c r="W143">
        <f>HYPERLINK("https://klasma.github.io/Logging_0883/klagomålsmail/A 39296-2024 FSC-klagomål mail.docx", "A 39296-2024")</f>
        <v/>
      </c>
      <c r="X143">
        <f>HYPERLINK("https://klasma.github.io/Logging_0883/tillsyn/A 39296-2024 tillsynsbegäran.docx", "A 39296-2024")</f>
        <v/>
      </c>
      <c r="Y143">
        <f>HYPERLINK("https://klasma.github.io/Logging_0883/tillsynsmail/A 39296-2024 tillsynsbegäran mail.docx", "A 39296-2024")</f>
        <v/>
      </c>
      <c r="Z143">
        <f>HYPERLINK("https://klasma.github.io/Logging_0883/fåglar/A 39296-2024 prioriterade fågelarter.docx", "A 39296-2024")</f>
        <v/>
      </c>
    </row>
    <row r="144" ht="15" customHeight="1">
      <c r="A144" t="inlineStr">
        <is>
          <t>A 45639-2024</t>
        </is>
      </c>
      <c r="B144" s="1" t="n">
        <v>45579</v>
      </c>
      <c r="C144" s="1" t="n">
        <v>45824</v>
      </c>
      <c r="D144" t="inlineStr">
        <is>
          <t>KALMAR LÄN</t>
        </is>
      </c>
      <c r="E144" t="inlineStr">
        <is>
          <t>VÄSTERVIK</t>
        </is>
      </c>
      <c r="F144" t="inlineStr">
        <is>
          <t>Kyrkan</t>
        </is>
      </c>
      <c r="G144" t="n">
        <v>6.4</v>
      </c>
      <c r="H144" t="n">
        <v>2</v>
      </c>
      <c r="I144" t="n">
        <v>1</v>
      </c>
      <c r="J144" t="n">
        <v>2</v>
      </c>
      <c r="K144" t="n">
        <v>0</v>
      </c>
      <c r="L144" t="n">
        <v>0</v>
      </c>
      <c r="M144" t="n">
        <v>0</v>
      </c>
      <c r="N144" t="n">
        <v>0</v>
      </c>
      <c r="O144" t="n">
        <v>2</v>
      </c>
      <c r="P144" t="n">
        <v>0</v>
      </c>
      <c r="Q144" t="n">
        <v>3</v>
      </c>
      <c r="R144" s="2" t="inlineStr">
        <is>
          <t>Spillkråka
Talltita
Grovticka</t>
        </is>
      </c>
      <c r="S144">
        <f>HYPERLINK("https://klasma.github.io/Logging_0883/artfynd/A 45639-2024 artfynd.xlsx", "A 45639-2024")</f>
        <v/>
      </c>
      <c r="T144">
        <f>HYPERLINK("https://klasma.github.io/Logging_0883/kartor/A 45639-2024 karta.png", "A 45639-2024")</f>
        <v/>
      </c>
      <c r="V144">
        <f>HYPERLINK("https://klasma.github.io/Logging_0883/klagomål/A 45639-2024 FSC-klagomål.docx", "A 45639-2024")</f>
        <v/>
      </c>
      <c r="W144">
        <f>HYPERLINK("https://klasma.github.io/Logging_0883/klagomålsmail/A 45639-2024 FSC-klagomål mail.docx", "A 45639-2024")</f>
        <v/>
      </c>
      <c r="X144">
        <f>HYPERLINK("https://klasma.github.io/Logging_0883/tillsyn/A 45639-2024 tillsynsbegäran.docx", "A 45639-2024")</f>
        <v/>
      </c>
      <c r="Y144">
        <f>HYPERLINK("https://klasma.github.io/Logging_0883/tillsynsmail/A 45639-2024 tillsynsbegäran mail.docx", "A 45639-2024")</f>
        <v/>
      </c>
      <c r="Z144">
        <f>HYPERLINK("https://klasma.github.io/Logging_0883/fåglar/A 45639-2024 prioriterade fågelarter.docx", "A 45639-2024")</f>
        <v/>
      </c>
    </row>
    <row r="145" ht="15" customHeight="1">
      <c r="A145" t="inlineStr">
        <is>
          <t>A 48318-2024</t>
        </is>
      </c>
      <c r="B145" s="1" t="n">
        <v>45590</v>
      </c>
      <c r="C145" s="1" t="n">
        <v>45824</v>
      </c>
      <c r="D145" t="inlineStr">
        <is>
          <t>KALMAR LÄN</t>
        </is>
      </c>
      <c r="E145" t="inlineStr">
        <is>
          <t>VÄSTERVIK</t>
        </is>
      </c>
      <c r="F145" t="inlineStr">
        <is>
          <t>Holmen skog AB</t>
        </is>
      </c>
      <c r="G145" t="n">
        <v>4</v>
      </c>
      <c r="H145" t="n">
        <v>3</v>
      </c>
      <c r="I145" t="n">
        <v>0</v>
      </c>
      <c r="J145" t="n">
        <v>3</v>
      </c>
      <c r="K145" t="n">
        <v>0</v>
      </c>
      <c r="L145" t="n">
        <v>0</v>
      </c>
      <c r="M145" t="n">
        <v>0</v>
      </c>
      <c r="N145" t="n">
        <v>0</v>
      </c>
      <c r="O145" t="n">
        <v>3</v>
      </c>
      <c r="P145" t="n">
        <v>0</v>
      </c>
      <c r="Q145" t="n">
        <v>3</v>
      </c>
      <c r="R145" s="2" t="inlineStr">
        <is>
          <t>Entita
Spillkråka
Talltita</t>
        </is>
      </c>
      <c r="S145">
        <f>HYPERLINK("https://klasma.github.io/Logging_0883/artfynd/A 48318-2024 artfynd.xlsx", "A 48318-2024")</f>
        <v/>
      </c>
      <c r="T145">
        <f>HYPERLINK("https://klasma.github.io/Logging_0883/kartor/A 48318-2024 karta.png", "A 48318-2024")</f>
        <v/>
      </c>
      <c r="U145">
        <f>HYPERLINK("https://klasma.github.io/Logging_0883/knärot/A 48318-2024 karta knärot.png", "A 48318-2024")</f>
        <v/>
      </c>
      <c r="V145">
        <f>HYPERLINK("https://klasma.github.io/Logging_0883/klagomål/A 48318-2024 FSC-klagomål.docx", "A 48318-2024")</f>
        <v/>
      </c>
      <c r="W145">
        <f>HYPERLINK("https://klasma.github.io/Logging_0883/klagomålsmail/A 48318-2024 FSC-klagomål mail.docx", "A 48318-2024")</f>
        <v/>
      </c>
      <c r="X145">
        <f>HYPERLINK("https://klasma.github.io/Logging_0883/tillsyn/A 48318-2024 tillsynsbegäran.docx", "A 48318-2024")</f>
        <v/>
      </c>
      <c r="Y145">
        <f>HYPERLINK("https://klasma.github.io/Logging_0883/tillsynsmail/A 48318-2024 tillsynsbegäran mail.docx", "A 48318-2024")</f>
        <v/>
      </c>
      <c r="Z145">
        <f>HYPERLINK("https://klasma.github.io/Logging_0883/fåglar/A 48318-2024 prioriterade fågelarter.docx", "A 48318-2024")</f>
        <v/>
      </c>
    </row>
    <row r="146" ht="15" customHeight="1">
      <c r="A146" t="inlineStr">
        <is>
          <t>A 51590-2024</t>
        </is>
      </c>
      <c r="B146" s="1" t="n">
        <v>45604</v>
      </c>
      <c r="C146" s="1" t="n">
        <v>45824</v>
      </c>
      <c r="D146" t="inlineStr">
        <is>
          <t>KALMAR LÄN</t>
        </is>
      </c>
      <c r="E146" t="inlineStr">
        <is>
          <t>VÄSTERVIK</t>
        </is>
      </c>
      <c r="F146" t="inlineStr">
        <is>
          <t>Övriga Aktiebolag</t>
        </is>
      </c>
      <c r="G146" t="n">
        <v>2.3</v>
      </c>
      <c r="H146" t="n">
        <v>3</v>
      </c>
      <c r="I146" t="n">
        <v>0</v>
      </c>
      <c r="J146" t="n">
        <v>2</v>
      </c>
      <c r="K146" t="n">
        <v>1</v>
      </c>
      <c r="L146" t="n">
        <v>0</v>
      </c>
      <c r="M146" t="n">
        <v>0</v>
      </c>
      <c r="N146" t="n">
        <v>0</v>
      </c>
      <c r="O146" t="n">
        <v>3</v>
      </c>
      <c r="P146" t="n">
        <v>1</v>
      </c>
      <c r="Q146" t="n">
        <v>3</v>
      </c>
      <c r="R146" s="2" t="inlineStr">
        <is>
          <t>Knärot
Spillkråka
Talltita</t>
        </is>
      </c>
      <c r="S146">
        <f>HYPERLINK("https://klasma.github.io/Logging_0883/artfynd/A 51590-2024 artfynd.xlsx", "A 51590-2024")</f>
        <v/>
      </c>
      <c r="T146">
        <f>HYPERLINK("https://klasma.github.io/Logging_0883/kartor/A 51590-2024 karta.png", "A 51590-2024")</f>
        <v/>
      </c>
      <c r="U146">
        <f>HYPERLINK("https://klasma.github.io/Logging_0883/knärot/A 51590-2024 karta knärot.png", "A 51590-2024")</f>
        <v/>
      </c>
      <c r="V146">
        <f>HYPERLINK("https://klasma.github.io/Logging_0883/klagomål/A 51590-2024 FSC-klagomål.docx", "A 51590-2024")</f>
        <v/>
      </c>
      <c r="W146">
        <f>HYPERLINK("https://klasma.github.io/Logging_0883/klagomålsmail/A 51590-2024 FSC-klagomål mail.docx", "A 51590-2024")</f>
        <v/>
      </c>
      <c r="X146">
        <f>HYPERLINK("https://klasma.github.io/Logging_0883/tillsyn/A 51590-2024 tillsynsbegäran.docx", "A 51590-2024")</f>
        <v/>
      </c>
      <c r="Y146">
        <f>HYPERLINK("https://klasma.github.io/Logging_0883/tillsynsmail/A 51590-2024 tillsynsbegäran mail.docx", "A 51590-2024")</f>
        <v/>
      </c>
      <c r="Z146">
        <f>HYPERLINK("https://klasma.github.io/Logging_0883/fåglar/A 51590-2024 prioriterade fågelarter.docx", "A 51590-2024")</f>
        <v/>
      </c>
    </row>
    <row r="147" ht="15" customHeight="1">
      <c r="A147" t="inlineStr">
        <is>
          <t>A 52992-2024</t>
        </is>
      </c>
      <c r="B147" s="1" t="n">
        <v>45611</v>
      </c>
      <c r="C147" s="1" t="n">
        <v>45824</v>
      </c>
      <c r="D147" t="inlineStr">
        <is>
          <t>KALMAR LÄN</t>
        </is>
      </c>
      <c r="E147" t="inlineStr">
        <is>
          <t>VÄSTERVIK</t>
        </is>
      </c>
      <c r="F147" t="inlineStr">
        <is>
          <t>Holmen skog AB</t>
        </is>
      </c>
      <c r="G147" t="n">
        <v>5.5</v>
      </c>
      <c r="H147" t="n">
        <v>2</v>
      </c>
      <c r="I147" t="n">
        <v>1</v>
      </c>
      <c r="J147" t="n">
        <v>2</v>
      </c>
      <c r="K147" t="n">
        <v>0</v>
      </c>
      <c r="L147" t="n">
        <v>0</v>
      </c>
      <c r="M147" t="n">
        <v>0</v>
      </c>
      <c r="N147" t="n">
        <v>0</v>
      </c>
      <c r="O147" t="n">
        <v>2</v>
      </c>
      <c r="P147" t="n">
        <v>0</v>
      </c>
      <c r="Q147" t="n">
        <v>3</v>
      </c>
      <c r="R147" s="2" t="inlineStr">
        <is>
          <t>Spillkråka
Talltita
Brandticka</t>
        </is>
      </c>
      <c r="S147">
        <f>HYPERLINK("https://klasma.github.io/Logging_0883/artfynd/A 52992-2024 artfynd.xlsx", "A 52992-2024")</f>
        <v/>
      </c>
      <c r="T147">
        <f>HYPERLINK("https://klasma.github.io/Logging_0883/kartor/A 52992-2024 karta.png", "A 52992-2024")</f>
        <v/>
      </c>
      <c r="V147">
        <f>HYPERLINK("https://klasma.github.io/Logging_0883/klagomål/A 52992-2024 FSC-klagomål.docx", "A 52992-2024")</f>
        <v/>
      </c>
      <c r="W147">
        <f>HYPERLINK("https://klasma.github.io/Logging_0883/klagomålsmail/A 52992-2024 FSC-klagomål mail.docx", "A 52992-2024")</f>
        <v/>
      </c>
      <c r="X147">
        <f>HYPERLINK("https://klasma.github.io/Logging_0883/tillsyn/A 52992-2024 tillsynsbegäran.docx", "A 52992-2024")</f>
        <v/>
      </c>
      <c r="Y147">
        <f>HYPERLINK("https://klasma.github.io/Logging_0883/tillsynsmail/A 52992-2024 tillsynsbegäran mail.docx", "A 52992-2024")</f>
        <v/>
      </c>
      <c r="Z147">
        <f>HYPERLINK("https://klasma.github.io/Logging_0883/fåglar/A 52992-2024 prioriterade fågelarter.docx", "A 52992-2024")</f>
        <v/>
      </c>
    </row>
    <row r="148" ht="15" customHeight="1">
      <c r="A148" t="inlineStr">
        <is>
          <t>A 56032-2024</t>
        </is>
      </c>
      <c r="B148" s="1" t="n">
        <v>45624</v>
      </c>
      <c r="C148" s="1" t="n">
        <v>45824</v>
      </c>
      <c r="D148" t="inlineStr">
        <is>
          <t>KALMAR LÄN</t>
        </is>
      </c>
      <c r="E148" t="inlineStr">
        <is>
          <t>VÄSTERVIK</t>
        </is>
      </c>
      <c r="F148" t="inlineStr">
        <is>
          <t>Kyrkan</t>
        </is>
      </c>
      <c r="G148" t="n">
        <v>5.4</v>
      </c>
      <c r="H148" t="n">
        <v>1</v>
      </c>
      <c r="I148" t="n">
        <v>2</v>
      </c>
      <c r="J148" t="n">
        <v>0</v>
      </c>
      <c r="K148" t="n">
        <v>1</v>
      </c>
      <c r="L148" t="n">
        <v>0</v>
      </c>
      <c r="M148" t="n">
        <v>0</v>
      </c>
      <c r="N148" t="n">
        <v>0</v>
      </c>
      <c r="O148" t="n">
        <v>1</v>
      </c>
      <c r="P148" t="n">
        <v>1</v>
      </c>
      <c r="Q148" t="n">
        <v>3</v>
      </c>
      <c r="R148" s="2" t="inlineStr">
        <is>
          <t>Knärot
Grovticka
Grönpyrola</t>
        </is>
      </c>
      <c r="S148">
        <f>HYPERLINK("https://klasma.github.io/Logging_0883/artfynd/A 56032-2024 artfynd.xlsx", "A 56032-2024")</f>
        <v/>
      </c>
      <c r="T148">
        <f>HYPERLINK("https://klasma.github.io/Logging_0883/kartor/A 56032-2024 karta.png", "A 56032-2024")</f>
        <v/>
      </c>
      <c r="U148">
        <f>HYPERLINK("https://klasma.github.io/Logging_0883/knärot/A 56032-2024 karta knärot.png", "A 56032-2024")</f>
        <v/>
      </c>
      <c r="V148">
        <f>HYPERLINK("https://klasma.github.io/Logging_0883/klagomål/A 56032-2024 FSC-klagomål.docx", "A 56032-2024")</f>
        <v/>
      </c>
      <c r="W148">
        <f>HYPERLINK("https://klasma.github.io/Logging_0883/klagomålsmail/A 56032-2024 FSC-klagomål mail.docx", "A 56032-2024")</f>
        <v/>
      </c>
      <c r="X148">
        <f>HYPERLINK("https://klasma.github.io/Logging_0883/tillsyn/A 56032-2024 tillsynsbegäran.docx", "A 56032-2024")</f>
        <v/>
      </c>
      <c r="Y148">
        <f>HYPERLINK("https://klasma.github.io/Logging_0883/tillsynsmail/A 56032-2024 tillsynsbegäran mail.docx", "A 56032-2024")</f>
        <v/>
      </c>
    </row>
    <row r="149" ht="15" customHeight="1">
      <c r="A149" t="inlineStr">
        <is>
          <t>A 58750-2024</t>
        </is>
      </c>
      <c r="B149" s="1" t="n">
        <v>45635</v>
      </c>
      <c r="C149" s="1" t="n">
        <v>45824</v>
      </c>
      <c r="D149" t="inlineStr">
        <is>
          <t>KALMAR LÄN</t>
        </is>
      </c>
      <c r="E149" t="inlineStr">
        <is>
          <t>VÄSTERVIK</t>
        </is>
      </c>
      <c r="G149" t="n">
        <v>6.7</v>
      </c>
      <c r="H149" t="n">
        <v>1</v>
      </c>
      <c r="I149" t="n">
        <v>1</v>
      </c>
      <c r="J149" t="n">
        <v>1</v>
      </c>
      <c r="K149" t="n">
        <v>1</v>
      </c>
      <c r="L149" t="n">
        <v>0</v>
      </c>
      <c r="M149" t="n">
        <v>0</v>
      </c>
      <c r="N149" t="n">
        <v>0</v>
      </c>
      <c r="O149" t="n">
        <v>2</v>
      </c>
      <c r="P149" t="n">
        <v>1</v>
      </c>
      <c r="Q149" t="n">
        <v>3</v>
      </c>
      <c r="R149" s="2" t="inlineStr">
        <is>
          <t>Knärot
Tallticka
Blåmossa</t>
        </is>
      </c>
      <c r="S149">
        <f>HYPERLINK("https://klasma.github.io/Logging_0883/artfynd/A 58750-2024 artfynd.xlsx", "A 58750-2024")</f>
        <v/>
      </c>
      <c r="T149">
        <f>HYPERLINK("https://klasma.github.io/Logging_0883/kartor/A 58750-2024 karta.png", "A 58750-2024")</f>
        <v/>
      </c>
      <c r="U149">
        <f>HYPERLINK("https://klasma.github.io/Logging_0883/knärot/A 58750-2024 karta knärot.png", "A 58750-2024")</f>
        <v/>
      </c>
      <c r="V149">
        <f>HYPERLINK("https://klasma.github.io/Logging_0883/klagomål/A 58750-2024 FSC-klagomål.docx", "A 58750-2024")</f>
        <v/>
      </c>
      <c r="W149">
        <f>HYPERLINK("https://klasma.github.io/Logging_0883/klagomålsmail/A 58750-2024 FSC-klagomål mail.docx", "A 58750-2024")</f>
        <v/>
      </c>
      <c r="X149">
        <f>HYPERLINK("https://klasma.github.io/Logging_0883/tillsyn/A 58750-2024 tillsynsbegäran.docx", "A 58750-2024")</f>
        <v/>
      </c>
      <c r="Y149">
        <f>HYPERLINK("https://klasma.github.io/Logging_0883/tillsynsmail/A 58750-2024 tillsynsbegäran mail.docx", "A 58750-2024")</f>
        <v/>
      </c>
    </row>
    <row r="150" ht="15" customHeight="1">
      <c r="A150" t="inlineStr">
        <is>
          <t>A 42-2025</t>
        </is>
      </c>
      <c r="B150" s="1" t="n">
        <v>45659</v>
      </c>
      <c r="C150" s="1" t="n">
        <v>45824</v>
      </c>
      <c r="D150" t="inlineStr">
        <is>
          <t>KALMAR LÄN</t>
        </is>
      </c>
      <c r="E150" t="inlineStr">
        <is>
          <t>VÄSTERVIK</t>
        </is>
      </c>
      <c r="G150" t="n">
        <v>5.5</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HYPERLINK("https://klasma.github.io/Logging_0883/artfynd/A 42-2025 artfynd.xlsx", "A 42-2025")</f>
        <v/>
      </c>
      <c r="T150">
        <f>HYPERLINK("https://klasma.github.io/Logging_0883/kartor/A 42-2025 karta.png", "A 42-2025")</f>
        <v/>
      </c>
      <c r="U150">
        <f>HYPERLINK("https://klasma.github.io/Logging_0883/knärot/A 42-2025 karta knärot.png", "A 42-2025")</f>
        <v/>
      </c>
      <c r="V150">
        <f>HYPERLINK("https://klasma.github.io/Logging_0883/klagomål/A 42-2025 FSC-klagomål.docx", "A 42-2025")</f>
        <v/>
      </c>
      <c r="W150">
        <f>HYPERLINK("https://klasma.github.io/Logging_0883/klagomålsmail/A 42-2025 FSC-klagomål mail.docx", "A 42-2025")</f>
        <v/>
      </c>
      <c r="X150">
        <f>HYPERLINK("https://klasma.github.io/Logging_0883/tillsyn/A 42-2025 tillsynsbegäran.docx", "A 42-2025")</f>
        <v/>
      </c>
      <c r="Y150">
        <f>HYPERLINK("https://klasma.github.io/Logging_0883/tillsynsmail/A 42-2025 tillsynsbegäran mail.docx", "A 42-2025")</f>
        <v/>
      </c>
      <c r="Z150">
        <f>HYPERLINK("https://klasma.github.io/Logging_0883/fåglar/A 42-2025 prioriterade fågelarter.docx", "A 42-2025")</f>
        <v/>
      </c>
    </row>
    <row r="151" ht="15" customHeight="1">
      <c r="A151" t="inlineStr">
        <is>
          <t>A 953-2025</t>
        </is>
      </c>
      <c r="B151" s="1" t="n">
        <v>45666</v>
      </c>
      <c r="C151" s="1" t="n">
        <v>45824</v>
      </c>
      <c r="D151" t="inlineStr">
        <is>
          <t>KALMAR LÄN</t>
        </is>
      </c>
      <c r="E151" t="inlineStr">
        <is>
          <t>VÄSTERVIK</t>
        </is>
      </c>
      <c r="G151" t="n">
        <v>2.3</v>
      </c>
      <c r="H151" t="n">
        <v>1</v>
      </c>
      <c r="I151" t="n">
        <v>2</v>
      </c>
      <c r="J151" t="n">
        <v>0</v>
      </c>
      <c r="K151" t="n">
        <v>1</v>
      </c>
      <c r="L151" t="n">
        <v>0</v>
      </c>
      <c r="M151" t="n">
        <v>0</v>
      </c>
      <c r="N151" t="n">
        <v>0</v>
      </c>
      <c r="O151" t="n">
        <v>1</v>
      </c>
      <c r="P151" t="n">
        <v>1</v>
      </c>
      <c r="Q151" t="n">
        <v>3</v>
      </c>
      <c r="R151" s="2" t="inlineStr">
        <is>
          <t>Knärot
Barkticka
Dropptaggsvamp</t>
        </is>
      </c>
      <c r="S151">
        <f>HYPERLINK("https://klasma.github.io/Logging_0883/artfynd/A 953-2025 artfynd.xlsx", "A 953-2025")</f>
        <v/>
      </c>
      <c r="T151">
        <f>HYPERLINK("https://klasma.github.io/Logging_0883/kartor/A 953-2025 karta.png", "A 953-2025")</f>
        <v/>
      </c>
      <c r="U151">
        <f>HYPERLINK("https://klasma.github.io/Logging_0883/knärot/A 953-2025 karta knärot.png", "A 953-2025")</f>
        <v/>
      </c>
      <c r="V151">
        <f>HYPERLINK("https://klasma.github.io/Logging_0883/klagomål/A 953-2025 FSC-klagomål.docx", "A 953-2025")</f>
        <v/>
      </c>
      <c r="W151">
        <f>HYPERLINK("https://klasma.github.io/Logging_0883/klagomålsmail/A 953-2025 FSC-klagomål mail.docx", "A 953-2025")</f>
        <v/>
      </c>
      <c r="X151">
        <f>HYPERLINK("https://klasma.github.io/Logging_0883/tillsyn/A 953-2025 tillsynsbegäran.docx", "A 953-2025")</f>
        <v/>
      </c>
      <c r="Y151">
        <f>HYPERLINK("https://klasma.github.io/Logging_0883/tillsynsmail/A 953-2025 tillsynsbegäran mail.docx", "A 953-2025")</f>
        <v/>
      </c>
    </row>
    <row r="152" ht="15" customHeight="1">
      <c r="A152" t="inlineStr">
        <is>
          <t>A 1763-2025</t>
        </is>
      </c>
      <c r="B152" s="1" t="n">
        <v>45671</v>
      </c>
      <c r="C152" s="1" t="n">
        <v>45824</v>
      </c>
      <c r="D152" t="inlineStr">
        <is>
          <t>KALMAR LÄN</t>
        </is>
      </c>
      <c r="E152" t="inlineStr">
        <is>
          <t>VÄSTERVIK</t>
        </is>
      </c>
      <c r="G152" t="n">
        <v>1.1</v>
      </c>
      <c r="H152" t="n">
        <v>2</v>
      </c>
      <c r="I152" t="n">
        <v>1</v>
      </c>
      <c r="J152" t="n">
        <v>2</v>
      </c>
      <c r="K152" t="n">
        <v>0</v>
      </c>
      <c r="L152" t="n">
        <v>0</v>
      </c>
      <c r="M152" t="n">
        <v>0</v>
      </c>
      <c r="N152" t="n">
        <v>0</v>
      </c>
      <c r="O152" t="n">
        <v>2</v>
      </c>
      <c r="P152" t="n">
        <v>0</v>
      </c>
      <c r="Q152" t="n">
        <v>3</v>
      </c>
      <c r="R152" s="2" t="inlineStr">
        <is>
          <t>Spillkråka
Talltita
Blåmossa</t>
        </is>
      </c>
      <c r="S152">
        <f>HYPERLINK("https://klasma.github.io/Logging_0883/artfynd/A 1763-2025 artfynd.xlsx", "A 1763-2025")</f>
        <v/>
      </c>
      <c r="T152">
        <f>HYPERLINK("https://klasma.github.io/Logging_0883/kartor/A 1763-2025 karta.png", "A 1763-2025")</f>
        <v/>
      </c>
      <c r="V152">
        <f>HYPERLINK("https://klasma.github.io/Logging_0883/klagomål/A 1763-2025 FSC-klagomål.docx", "A 1763-2025")</f>
        <v/>
      </c>
      <c r="W152">
        <f>HYPERLINK("https://klasma.github.io/Logging_0883/klagomålsmail/A 1763-2025 FSC-klagomål mail.docx", "A 1763-2025")</f>
        <v/>
      </c>
      <c r="X152">
        <f>HYPERLINK("https://klasma.github.io/Logging_0883/tillsyn/A 1763-2025 tillsynsbegäran.docx", "A 1763-2025")</f>
        <v/>
      </c>
      <c r="Y152">
        <f>HYPERLINK("https://klasma.github.io/Logging_0883/tillsynsmail/A 1763-2025 tillsynsbegäran mail.docx", "A 1763-2025")</f>
        <v/>
      </c>
      <c r="Z152">
        <f>HYPERLINK("https://klasma.github.io/Logging_0883/fåglar/A 1763-2025 prioriterade fågelarter.docx", "A 1763-2025")</f>
        <v/>
      </c>
    </row>
    <row r="153" ht="15" customHeight="1">
      <c r="A153" t="inlineStr">
        <is>
          <t>A 1764-2025</t>
        </is>
      </c>
      <c r="B153" s="1" t="n">
        <v>45671</v>
      </c>
      <c r="C153" s="1" t="n">
        <v>45824</v>
      </c>
      <c r="D153" t="inlineStr">
        <is>
          <t>KALMAR LÄN</t>
        </is>
      </c>
      <c r="E153" t="inlineStr">
        <is>
          <t>VÄSTERVIK</t>
        </is>
      </c>
      <c r="G153" t="n">
        <v>1.8</v>
      </c>
      <c r="H153" t="n">
        <v>1</v>
      </c>
      <c r="I153" t="n">
        <v>1</v>
      </c>
      <c r="J153" t="n">
        <v>1</v>
      </c>
      <c r="K153" t="n">
        <v>1</v>
      </c>
      <c r="L153" t="n">
        <v>0</v>
      </c>
      <c r="M153" t="n">
        <v>0</v>
      </c>
      <c r="N153" t="n">
        <v>0</v>
      </c>
      <c r="O153" t="n">
        <v>2</v>
      </c>
      <c r="P153" t="n">
        <v>1</v>
      </c>
      <c r="Q153" t="n">
        <v>3</v>
      </c>
      <c r="R153" s="2" t="inlineStr">
        <is>
          <t>Knärot
Ullticka
Grovticka</t>
        </is>
      </c>
      <c r="S153">
        <f>HYPERLINK("https://klasma.github.io/Logging_0883/artfynd/A 1764-2025 artfynd.xlsx", "A 1764-2025")</f>
        <v/>
      </c>
      <c r="T153">
        <f>HYPERLINK("https://klasma.github.io/Logging_0883/kartor/A 1764-2025 karta.png", "A 1764-2025")</f>
        <v/>
      </c>
      <c r="U153">
        <f>HYPERLINK("https://klasma.github.io/Logging_0883/knärot/A 1764-2025 karta knärot.png", "A 1764-2025")</f>
        <v/>
      </c>
      <c r="V153">
        <f>HYPERLINK("https://klasma.github.io/Logging_0883/klagomål/A 1764-2025 FSC-klagomål.docx", "A 1764-2025")</f>
        <v/>
      </c>
      <c r="W153">
        <f>HYPERLINK("https://klasma.github.io/Logging_0883/klagomålsmail/A 1764-2025 FSC-klagomål mail.docx", "A 1764-2025")</f>
        <v/>
      </c>
      <c r="X153">
        <f>HYPERLINK("https://klasma.github.io/Logging_0883/tillsyn/A 1764-2025 tillsynsbegäran.docx", "A 1764-2025")</f>
        <v/>
      </c>
      <c r="Y153">
        <f>HYPERLINK("https://klasma.github.io/Logging_0883/tillsynsmail/A 1764-2025 tillsynsbegäran mail.docx", "A 1764-2025")</f>
        <v/>
      </c>
    </row>
    <row r="154" ht="15" customHeight="1">
      <c r="A154" t="inlineStr">
        <is>
          <t>A 2340-2025</t>
        </is>
      </c>
      <c r="B154" s="1" t="n">
        <v>45673</v>
      </c>
      <c r="C154" s="1" t="n">
        <v>45824</v>
      </c>
      <c r="D154" t="inlineStr">
        <is>
          <t>KALMAR LÄN</t>
        </is>
      </c>
      <c r="E154" t="inlineStr">
        <is>
          <t>VÄSTERVIK</t>
        </is>
      </c>
      <c r="G154" t="n">
        <v>3.5</v>
      </c>
      <c r="H154" t="n">
        <v>3</v>
      </c>
      <c r="I154" t="n">
        <v>0</v>
      </c>
      <c r="J154" t="n">
        <v>2</v>
      </c>
      <c r="K154" t="n">
        <v>0</v>
      </c>
      <c r="L154" t="n">
        <v>0</v>
      </c>
      <c r="M154" t="n">
        <v>0</v>
      </c>
      <c r="N154" t="n">
        <v>0</v>
      </c>
      <c r="O154" t="n">
        <v>2</v>
      </c>
      <c r="P154" t="n">
        <v>0</v>
      </c>
      <c r="Q154" t="n">
        <v>3</v>
      </c>
      <c r="R154" s="2" t="inlineStr">
        <is>
          <t>Spillkråka
Talltita
Kungsfågel</t>
        </is>
      </c>
      <c r="S154">
        <f>HYPERLINK("https://klasma.github.io/Logging_0883/artfynd/A 2340-2025 artfynd.xlsx", "A 2340-2025")</f>
        <v/>
      </c>
      <c r="T154">
        <f>HYPERLINK("https://klasma.github.io/Logging_0883/kartor/A 2340-2025 karta.png", "A 2340-2025")</f>
        <v/>
      </c>
      <c r="U154">
        <f>HYPERLINK("https://klasma.github.io/Logging_0883/knärot/A 2340-2025 karta knärot.png", "A 2340-2025")</f>
        <v/>
      </c>
      <c r="V154">
        <f>HYPERLINK("https://klasma.github.io/Logging_0883/klagomål/A 2340-2025 FSC-klagomål.docx", "A 2340-2025")</f>
        <v/>
      </c>
      <c r="W154">
        <f>HYPERLINK("https://klasma.github.io/Logging_0883/klagomålsmail/A 2340-2025 FSC-klagomål mail.docx", "A 2340-2025")</f>
        <v/>
      </c>
      <c r="X154">
        <f>HYPERLINK("https://klasma.github.io/Logging_0883/tillsyn/A 2340-2025 tillsynsbegäran.docx", "A 2340-2025")</f>
        <v/>
      </c>
      <c r="Y154">
        <f>HYPERLINK("https://klasma.github.io/Logging_0883/tillsynsmail/A 2340-2025 tillsynsbegäran mail.docx", "A 2340-2025")</f>
        <v/>
      </c>
      <c r="Z154">
        <f>HYPERLINK("https://klasma.github.io/Logging_0883/fåglar/A 2340-2025 prioriterade fågelarter.docx", "A 2340-2025")</f>
        <v/>
      </c>
    </row>
    <row r="155" ht="15" customHeight="1">
      <c r="A155" t="inlineStr">
        <is>
          <t>A 4454-2025</t>
        </is>
      </c>
      <c r="B155" s="1" t="n">
        <v>45686</v>
      </c>
      <c r="C155" s="1" t="n">
        <v>45824</v>
      </c>
      <c r="D155" t="inlineStr">
        <is>
          <t>KALMAR LÄN</t>
        </is>
      </c>
      <c r="E155" t="inlineStr">
        <is>
          <t>VÄSTERVIK</t>
        </is>
      </c>
      <c r="G155" t="n">
        <v>1</v>
      </c>
      <c r="H155" t="n">
        <v>2</v>
      </c>
      <c r="I155" t="n">
        <v>1</v>
      </c>
      <c r="J155" t="n">
        <v>0</v>
      </c>
      <c r="K155" t="n">
        <v>1</v>
      </c>
      <c r="L155" t="n">
        <v>0</v>
      </c>
      <c r="M155" t="n">
        <v>0</v>
      </c>
      <c r="N155" t="n">
        <v>0</v>
      </c>
      <c r="O155" t="n">
        <v>1</v>
      </c>
      <c r="P155" t="n">
        <v>1</v>
      </c>
      <c r="Q155" t="n">
        <v>3</v>
      </c>
      <c r="R155" s="2" t="inlineStr">
        <is>
          <t>Knärot
Grönpyrola
Kungsfågel</t>
        </is>
      </c>
      <c r="S155">
        <f>HYPERLINK("https://klasma.github.io/Logging_0883/artfynd/A 4454-2025 artfynd.xlsx", "A 4454-2025")</f>
        <v/>
      </c>
      <c r="T155">
        <f>HYPERLINK("https://klasma.github.io/Logging_0883/kartor/A 4454-2025 karta.png", "A 4454-2025")</f>
        <v/>
      </c>
      <c r="U155">
        <f>HYPERLINK("https://klasma.github.io/Logging_0883/knärot/A 4454-2025 karta knärot.png", "A 4454-2025")</f>
        <v/>
      </c>
      <c r="V155">
        <f>HYPERLINK("https://klasma.github.io/Logging_0883/klagomål/A 4454-2025 FSC-klagomål.docx", "A 4454-2025")</f>
        <v/>
      </c>
      <c r="W155">
        <f>HYPERLINK("https://klasma.github.io/Logging_0883/klagomålsmail/A 4454-2025 FSC-klagomål mail.docx", "A 4454-2025")</f>
        <v/>
      </c>
      <c r="X155">
        <f>HYPERLINK("https://klasma.github.io/Logging_0883/tillsyn/A 4454-2025 tillsynsbegäran.docx", "A 4454-2025")</f>
        <v/>
      </c>
      <c r="Y155">
        <f>HYPERLINK("https://klasma.github.io/Logging_0883/tillsynsmail/A 4454-2025 tillsynsbegäran mail.docx", "A 4454-2025")</f>
        <v/>
      </c>
      <c r="Z155">
        <f>HYPERLINK("https://klasma.github.io/Logging_0883/fåglar/A 4454-2025 prioriterade fågelarter.docx", "A 4454-2025")</f>
        <v/>
      </c>
    </row>
    <row r="156" ht="15" customHeight="1">
      <c r="A156" t="inlineStr">
        <is>
          <t>A 7832-2025</t>
        </is>
      </c>
      <c r="B156" s="1" t="n">
        <v>45706</v>
      </c>
      <c r="C156" s="1" t="n">
        <v>45824</v>
      </c>
      <c r="D156" t="inlineStr">
        <is>
          <t>KALMAR LÄN</t>
        </is>
      </c>
      <c r="E156" t="inlineStr">
        <is>
          <t>VÄSTERVIK</t>
        </is>
      </c>
      <c r="G156" t="n">
        <v>5.5</v>
      </c>
      <c r="H156" t="n">
        <v>3</v>
      </c>
      <c r="I156" t="n">
        <v>0</v>
      </c>
      <c r="J156" t="n">
        <v>1</v>
      </c>
      <c r="K156" t="n">
        <v>1</v>
      </c>
      <c r="L156" t="n">
        <v>0</v>
      </c>
      <c r="M156" t="n">
        <v>0</v>
      </c>
      <c r="N156" t="n">
        <v>0</v>
      </c>
      <c r="O156" t="n">
        <v>2</v>
      </c>
      <c r="P156" t="n">
        <v>1</v>
      </c>
      <c r="Q156" t="n">
        <v>3</v>
      </c>
      <c r="R156" s="2" t="inlineStr">
        <is>
          <t>Knärot
Talltita
Kungsfågel</t>
        </is>
      </c>
      <c r="S156">
        <f>HYPERLINK("https://klasma.github.io/Logging_0883/artfynd/A 7832-2025 artfynd.xlsx", "A 7832-2025")</f>
        <v/>
      </c>
      <c r="T156">
        <f>HYPERLINK("https://klasma.github.io/Logging_0883/kartor/A 7832-2025 karta.png", "A 7832-2025")</f>
        <v/>
      </c>
      <c r="U156">
        <f>HYPERLINK("https://klasma.github.io/Logging_0883/knärot/A 7832-2025 karta knärot.png", "A 7832-2025")</f>
        <v/>
      </c>
      <c r="V156">
        <f>HYPERLINK("https://klasma.github.io/Logging_0883/klagomål/A 7832-2025 FSC-klagomål.docx", "A 7832-2025")</f>
        <v/>
      </c>
      <c r="W156">
        <f>HYPERLINK("https://klasma.github.io/Logging_0883/klagomålsmail/A 7832-2025 FSC-klagomål mail.docx", "A 7832-2025")</f>
        <v/>
      </c>
      <c r="X156">
        <f>HYPERLINK("https://klasma.github.io/Logging_0883/tillsyn/A 7832-2025 tillsynsbegäran.docx", "A 7832-2025")</f>
        <v/>
      </c>
      <c r="Y156">
        <f>HYPERLINK("https://klasma.github.io/Logging_0883/tillsynsmail/A 7832-2025 tillsynsbegäran mail.docx", "A 7832-2025")</f>
        <v/>
      </c>
      <c r="Z156">
        <f>HYPERLINK("https://klasma.github.io/Logging_0883/fåglar/A 7832-2025 prioriterade fågelarter.docx", "A 7832-2025")</f>
        <v/>
      </c>
    </row>
    <row r="157" ht="15" customHeight="1">
      <c r="A157" t="inlineStr">
        <is>
          <t>A 13956-2025</t>
        </is>
      </c>
      <c r="B157" s="1" t="n">
        <v>45737</v>
      </c>
      <c r="C157" s="1" t="n">
        <v>45824</v>
      </c>
      <c r="D157" t="inlineStr">
        <is>
          <t>KALMAR LÄN</t>
        </is>
      </c>
      <c r="E157" t="inlineStr">
        <is>
          <t>VÄSTERVIK</t>
        </is>
      </c>
      <c r="G157" t="n">
        <v>2.5</v>
      </c>
      <c r="H157" t="n">
        <v>2</v>
      </c>
      <c r="I157" t="n">
        <v>1</v>
      </c>
      <c r="J157" t="n">
        <v>1</v>
      </c>
      <c r="K157" t="n">
        <v>1</v>
      </c>
      <c r="L157" t="n">
        <v>0</v>
      </c>
      <c r="M157" t="n">
        <v>0</v>
      </c>
      <c r="N157" t="n">
        <v>0</v>
      </c>
      <c r="O157" t="n">
        <v>2</v>
      </c>
      <c r="P157" t="n">
        <v>1</v>
      </c>
      <c r="Q157" t="n">
        <v>3</v>
      </c>
      <c r="R157" s="2" t="inlineStr">
        <is>
          <t>Knärot
Mindre hackspett
Grönpyrola</t>
        </is>
      </c>
      <c r="S157">
        <f>HYPERLINK("https://klasma.github.io/Logging_080883/artfynd/A 13956-2025 artfynd.xlsx", "A 13956-2025")</f>
        <v/>
      </c>
      <c r="T157">
        <f>HYPERLINK("https://klasma.github.io/Logging_080883/kartor/A 13956-2025 karta.png", "A 13956-2025")</f>
        <v/>
      </c>
      <c r="U157">
        <f>HYPERLINK("https://klasma.github.io/Logging_080883/knärot/A 13956-2025 karta knärot.png", "A 13956-2025")</f>
        <v/>
      </c>
      <c r="V157">
        <f>HYPERLINK("https://klasma.github.io/Logging_080883/klagomål/A 13956-2025 FSC-klagomål.docx", "A 13956-2025")</f>
        <v/>
      </c>
      <c r="W157">
        <f>HYPERLINK("https://klasma.github.io/Logging_080883/klagomålsmail/A 13956-2025 FSC-klagomål mail.docx", "A 13956-2025")</f>
        <v/>
      </c>
      <c r="X157">
        <f>HYPERLINK("https://klasma.github.io/Logging_080883/tillsyn/A 13956-2025 tillsynsbegäran.docx", "A 13956-2025")</f>
        <v/>
      </c>
      <c r="Y157">
        <f>HYPERLINK("https://klasma.github.io/Logging_080883/tillsynsmail/A 13956-2025 tillsynsbegäran mail.docx", "A 13956-2025")</f>
        <v/>
      </c>
      <c r="Z157">
        <f>HYPERLINK("https://klasma.github.io/Logging_080883/fåglar/A 13956-2025 prioriterade fågelarter.docx", "A 13956-2025")</f>
        <v/>
      </c>
    </row>
    <row r="158" ht="15" customHeight="1">
      <c r="A158" t="inlineStr">
        <is>
          <t>A 17954-2025</t>
        </is>
      </c>
      <c r="B158" s="1" t="n">
        <v>45760</v>
      </c>
      <c r="C158" s="1" t="n">
        <v>45824</v>
      </c>
      <c r="D158" t="inlineStr">
        <is>
          <t>KALMAR LÄN</t>
        </is>
      </c>
      <c r="E158" t="inlineStr">
        <is>
          <t>VÄSTERVIK</t>
        </is>
      </c>
      <c r="G158" t="n">
        <v>2.9</v>
      </c>
      <c r="H158" t="n">
        <v>2</v>
      </c>
      <c r="I158" t="n">
        <v>1</v>
      </c>
      <c r="J158" t="n">
        <v>1</v>
      </c>
      <c r="K158" t="n">
        <v>0</v>
      </c>
      <c r="L158" t="n">
        <v>0</v>
      </c>
      <c r="M158" t="n">
        <v>0</v>
      </c>
      <c r="N158" t="n">
        <v>0</v>
      </c>
      <c r="O158" t="n">
        <v>1</v>
      </c>
      <c r="P158" t="n">
        <v>0</v>
      </c>
      <c r="Q158" t="n">
        <v>3</v>
      </c>
      <c r="R158" s="2" t="inlineStr">
        <is>
          <t>Talltita
Blåmossa
Tjäder</t>
        </is>
      </c>
      <c r="S158">
        <f>HYPERLINK("https://klasma.github.io/Logging_080883/artfynd/A 17954-2025 artfynd.xlsx", "A 17954-2025")</f>
        <v/>
      </c>
      <c r="T158">
        <f>HYPERLINK("https://klasma.github.io/Logging_080883/kartor/A 17954-2025 karta.png", "A 17954-2025")</f>
        <v/>
      </c>
      <c r="V158">
        <f>HYPERLINK("https://klasma.github.io/Logging_080883/klagomål/A 17954-2025 FSC-klagomål.docx", "A 17954-2025")</f>
        <v/>
      </c>
      <c r="W158">
        <f>HYPERLINK("https://klasma.github.io/Logging_080883/klagomålsmail/A 17954-2025 FSC-klagomål mail.docx", "A 17954-2025")</f>
        <v/>
      </c>
      <c r="X158">
        <f>HYPERLINK("https://klasma.github.io/Logging_080883/tillsyn/A 17954-2025 tillsynsbegäran.docx", "A 17954-2025")</f>
        <v/>
      </c>
      <c r="Y158">
        <f>HYPERLINK("https://klasma.github.io/Logging_080883/tillsynsmail/A 17954-2025 tillsynsbegäran mail.docx", "A 17954-2025")</f>
        <v/>
      </c>
      <c r="Z158">
        <f>HYPERLINK("https://klasma.github.io/Logging_080883/fåglar/A 17954-2025 prioriterade fågelarter.docx", "A 17954-2025")</f>
        <v/>
      </c>
    </row>
    <row r="159" ht="15" customHeight="1">
      <c r="A159" t="inlineStr">
        <is>
          <t>A 21084-2025</t>
        </is>
      </c>
      <c r="B159" s="1" t="n">
        <v>45777</v>
      </c>
      <c r="C159" s="1" t="n">
        <v>45824</v>
      </c>
      <c r="D159" t="inlineStr">
        <is>
          <t>KALMAR LÄN</t>
        </is>
      </c>
      <c r="E159" t="inlineStr">
        <is>
          <t>VÄSTERVIK</t>
        </is>
      </c>
      <c r="G159" t="n">
        <v>0.8</v>
      </c>
      <c r="H159" t="n">
        <v>2</v>
      </c>
      <c r="I159" t="n">
        <v>1</v>
      </c>
      <c r="J159" t="n">
        <v>2</v>
      </c>
      <c r="K159" t="n">
        <v>0</v>
      </c>
      <c r="L159" t="n">
        <v>0</v>
      </c>
      <c r="M159" t="n">
        <v>0</v>
      </c>
      <c r="N159" t="n">
        <v>0</v>
      </c>
      <c r="O159" t="n">
        <v>2</v>
      </c>
      <c r="P159" t="n">
        <v>0</v>
      </c>
      <c r="Q159" t="n">
        <v>3</v>
      </c>
      <c r="R159" s="2" t="inlineStr">
        <is>
          <t>Spillkråka
Talltita
Grönpyrola</t>
        </is>
      </c>
      <c r="S159">
        <f>HYPERLINK("https://klasma.github.io/Logging_080883/artfynd/A 21084-2025 artfynd.xlsx", "A 21084-2025")</f>
        <v/>
      </c>
      <c r="T159">
        <f>HYPERLINK("https://klasma.github.io/Logging_080883/kartor/A 21084-2025 karta.png", "A 21084-2025")</f>
        <v/>
      </c>
      <c r="V159">
        <f>HYPERLINK("https://klasma.github.io/Logging_080883/klagomål/A 21084-2025 FSC-klagomål.docx", "A 21084-2025")</f>
        <v/>
      </c>
      <c r="W159">
        <f>HYPERLINK("https://klasma.github.io/Logging_080883/klagomålsmail/A 21084-2025 FSC-klagomål mail.docx", "A 21084-2025")</f>
        <v/>
      </c>
      <c r="X159">
        <f>HYPERLINK("https://klasma.github.io/Logging_080883/tillsyn/A 21084-2025 tillsynsbegäran.docx", "A 21084-2025")</f>
        <v/>
      </c>
      <c r="Y159">
        <f>HYPERLINK("https://klasma.github.io/Logging_080883/tillsynsmail/A 21084-2025 tillsynsbegäran mail.docx", "A 21084-2025")</f>
        <v/>
      </c>
      <c r="Z159">
        <f>HYPERLINK("https://klasma.github.io/Logging_080883/fåglar/A 21084-2025 prioriterade fågelarter.docx", "A 21084-2025")</f>
        <v/>
      </c>
    </row>
    <row r="160" ht="15" customHeight="1">
      <c r="A160" t="inlineStr">
        <is>
          <t>A 26985-2025</t>
        </is>
      </c>
      <c r="B160" s="1" t="n">
        <v>45811</v>
      </c>
      <c r="C160" s="1" t="n">
        <v>45824</v>
      </c>
      <c r="D160" t="inlineStr">
        <is>
          <t>KALMAR LÄN</t>
        </is>
      </c>
      <c r="E160" t="inlineStr">
        <is>
          <t>VÄSTERVIK</t>
        </is>
      </c>
      <c r="G160" t="n">
        <v>2.5</v>
      </c>
      <c r="H160" t="n">
        <v>3</v>
      </c>
      <c r="I160" t="n">
        <v>0</v>
      </c>
      <c r="J160" t="n">
        <v>2</v>
      </c>
      <c r="K160" t="n">
        <v>0</v>
      </c>
      <c r="L160" t="n">
        <v>0</v>
      </c>
      <c r="M160" t="n">
        <v>0</v>
      </c>
      <c r="N160" t="n">
        <v>0</v>
      </c>
      <c r="O160" t="n">
        <v>2</v>
      </c>
      <c r="P160" t="n">
        <v>0</v>
      </c>
      <c r="Q160" t="n">
        <v>3</v>
      </c>
      <c r="R160" s="2" t="inlineStr">
        <is>
          <t>Entita
Spillkråka
Gröngöling</t>
        </is>
      </c>
      <c r="S160">
        <f>HYPERLINK("https://klasma.github.io/Logging_080883/artfynd/A 26985-2025 artfynd.xlsx", "A 26985-2025")</f>
        <v/>
      </c>
      <c r="T160">
        <f>HYPERLINK("https://klasma.github.io/Logging_080883/kartor/A 26985-2025 karta.png", "A 26985-2025")</f>
        <v/>
      </c>
      <c r="V160">
        <f>HYPERLINK("https://klasma.github.io/Logging_080883/klagomål/A 26985-2025 FSC-klagomål.docx", "A 26985-2025")</f>
        <v/>
      </c>
      <c r="W160">
        <f>HYPERLINK("https://klasma.github.io/Logging_080883/klagomålsmail/A 26985-2025 FSC-klagomål mail.docx", "A 26985-2025")</f>
        <v/>
      </c>
      <c r="X160">
        <f>HYPERLINK("https://klasma.github.io/Logging_080883/tillsyn/A 26985-2025 tillsynsbegäran.docx", "A 26985-2025")</f>
        <v/>
      </c>
      <c r="Y160">
        <f>HYPERLINK("https://klasma.github.io/Logging_080883/tillsynsmail/A 26985-2025 tillsynsbegäran mail.docx", "A 26985-2025")</f>
        <v/>
      </c>
      <c r="Z160">
        <f>HYPERLINK("https://klasma.github.io/Logging_080883/fåglar/A 26985-2025 prioriterade fågelarter.docx", "A 26985-2025")</f>
        <v/>
      </c>
    </row>
    <row r="161" ht="15" customHeight="1">
      <c r="A161" t="inlineStr">
        <is>
          <t>A 62128-2019</t>
        </is>
      </c>
      <c r="B161" s="1" t="n">
        <v>43782</v>
      </c>
      <c r="C161" s="1" t="n">
        <v>45824</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45824</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45824</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45824</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45824</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45824</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45824</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45824</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45824</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45824</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45824</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45824</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45824</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45824</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45824</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45824</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45824</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45824</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45824</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45824</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45824</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45824</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45824</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45824</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45824</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45824</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45824</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45824</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45824</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45824</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45824</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45824</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45824</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45824</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45824</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45824</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45824</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45824</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45824</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45824</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45824</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45824</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45824</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45824</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45824</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45824</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45824</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45824</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45824</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45824</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45824</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45824</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45824</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45824</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45824</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45824</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45824</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45824</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45824</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45824</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45824</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45824</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45824</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45824</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45824</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45824</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45824</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45824</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45824</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45824</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45824</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45824</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45824</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45824</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45824</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45824</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45824</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45824</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45824</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45824</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45824</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45824</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45824</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45824</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45824</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45824</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45824</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45824</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45824</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45824</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45824</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45824</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45824</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45824</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45824</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45824</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45824</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45824</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45824</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45824</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45824</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45824</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45824</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45824</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45824</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45824</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45824</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45824</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45824</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45824</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45824</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45824</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45824</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45824</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45824</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45824</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45824</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45824</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45824</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45824</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45824</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45824</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45824</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45824</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45824</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45824</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45824</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45824</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45824</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45824</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45824</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45824</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45824</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45824</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45824</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45824</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45824</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45824</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45824</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45824</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45824</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45824</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45824</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45824</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45824</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45824</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45824</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45824</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45824</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45824</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45824</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45824</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45824</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45824</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45824</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45824</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45824</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45824</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45824</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45824</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45824</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45824</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45824</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45824</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45824</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45824</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45824</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45824</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45824</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45824</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45824</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45824</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45824</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45824</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45824</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45824</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45824</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45824</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45824</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45824</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45824</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45824</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45824</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45824</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45824</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45824</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45824</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45824</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45824</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45824</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45824</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45824</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45824</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45824</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45824</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45824</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45824</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45824</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45824</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45824</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45824</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45824</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45824</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45824</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45824</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45824</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45824</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45824</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45824</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45824</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45824</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45824</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45824</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45824</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45824</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45824</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45824</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45824</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45824</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45824</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45824</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45824</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45824</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45824</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45824</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45824</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45824</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45824</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45824</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45824</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45824</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45824</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45824</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45824</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45824</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45824</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45824</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45824</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45824</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45824</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45824</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45824</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45824</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45824</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45824</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45824</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45824</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45824</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45824</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45824</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45824</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45824</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45824</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45824</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45824</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45824</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45824</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45824</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45824</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45824</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45824</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45824</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45824</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45824</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45824</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45824</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45824</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45824</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45824</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45824</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45824</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45824</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45824</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45824</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45824</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45824</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45824</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45824</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45824</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45824</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45824</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45824</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45824</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45824</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45824</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45824</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45824</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45824</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45824</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45824</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45824</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45824</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45824</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45824</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45824</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45824</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45824</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45824</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45824</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45824</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45824</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45824</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45824</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45824</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45824</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45824</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45824</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45824</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45824</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45824</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45824</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45824</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45824</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45824</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45824</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45824</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45824</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45824</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45824</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45824</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45824</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45824</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45824</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45824</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45824</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45824</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45824</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45824</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45824</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45824</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45824</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45824</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45824</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45824</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45824</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45824</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45824</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45824</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45824</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45824</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45824</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45824</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45824</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45824</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45824</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45824</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45824</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45824</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45824</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45824</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45824</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45824</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45824</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45824</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45824</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45824</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45824</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45824</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45824</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45824</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45824</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45824</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45824</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45824</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45824</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45824</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45824</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45824</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45824</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45824</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45824</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45824</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45824</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45824</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45824</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45824</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45824</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45824</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45824</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45824</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45824</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45824</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45824</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45824</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45824</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45824</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45824</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45824</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45824</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45824</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45824</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45824</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45824</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45824</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45824</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45824</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45824</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45824</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45824</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45824</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45824</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45824</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45824</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45824</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45824</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45824</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45824</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45824</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45824</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45824</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45824</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45824</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45824</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45824</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45824</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45824</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45824</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45824</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45824</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45824</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45824</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45824</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45824</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45824</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45824</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45824</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45824</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45824</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45824</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45824</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45824</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45824</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45824</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45824</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45824</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45824</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45824</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45824</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45824</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45824</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45824</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45824</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45824</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45824</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45824</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45824</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45824</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45824</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45824</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45824</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45824</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45824</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45824</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45824</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45824</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45824</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45824</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45824</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45824</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45824</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45824</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45824</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45824</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45824</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45824</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45824</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45824</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45824</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45824</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45824</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45824</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45824</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45824</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45824</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45824</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45824</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45824</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45824</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45824</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45824</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45824</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45824</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45824</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45824</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45824</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45824</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45824</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45824</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45824</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45824</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45824</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45824</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45824</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45824</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45824</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45824</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45824</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45824</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45824</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45824</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45824</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45824</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45824</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45824</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45824</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45824</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45824</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45824</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45824</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45824</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45824</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45824</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45824</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45824</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45824</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45824</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45824</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45824</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45824</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45824</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45824</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45824</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45824</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45824</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45824</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45824</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45824</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45824</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45824</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45824</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45824</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45824</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45824</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45824</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45824</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45824</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45824</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45824</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45824</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45824</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45824</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45824</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45824</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45824</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45824</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45824</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45824</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45824</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45824</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45824</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45824</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45824</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45824</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45824</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45824</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45824</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45824</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45824</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45824</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45824</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45824</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45824</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45824</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45824</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45824</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45824</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45824</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45824</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45824</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45824</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45824</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45824</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45824</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45824</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45824</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45824</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45824</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45824</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45824</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45824</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45824</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45824</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45824</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45824</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45824</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45824</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45824</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45824</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45824</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45824</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45824</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45824</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45824</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45824</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45824</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45824</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45824</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45824</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45824</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45824</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45824</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45824</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45824</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45824</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45824</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45824</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45824</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45824</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45824</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45824</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45824</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45824</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45824</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45824</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45824</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45824</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45824</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45824</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45824</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45824</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45824</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45824</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45824</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45824</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45824</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45824</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45824</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45824</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45824</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45824</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45824</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45824</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45824</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45824</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45824</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45824</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45824</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45824</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45824</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45824</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45824</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45824</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45824</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45824</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45824</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45824</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45824</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45824</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45824</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45824</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45824</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45824</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45824</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45824</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45824</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45824</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45824</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45824</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45824</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45824</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45824</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45824</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45824</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45824</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45824</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45824</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45824</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45824</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45824</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45824</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45824</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45824</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45824</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45824</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45824</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45824</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45824</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45824</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45824</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45824</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45824</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45824</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45824</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45824</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45824</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45824</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45824</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45824</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45824</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45824</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45824</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45824</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45824</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45824</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45824</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45824</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45824</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45824</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45824</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45824</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45824</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45824</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45824</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45824</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45824</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45824</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45824</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45824</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45824</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45824</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45824</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45824</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45824</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45824</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45824</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45824</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45824</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45824</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45824</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45824</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45824</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45824</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45824</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45824</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45824</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45824</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45824</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45824</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45824</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45824</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45824</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45824</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45824</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45824</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45824</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45824</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45824</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45824</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45824</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45824</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45824</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45824</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45824</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45824</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45824</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45824</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45824</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45824</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45824</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45824</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45824</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45824</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45824</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45824</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45824</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45824</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45824</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45824</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45824</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45824</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45824</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45824</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45824</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45824</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45824</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45824</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45824</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45824</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45824</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45824</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45824</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45824</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45824</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45824</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45824</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45824</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45824</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45824</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45824</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45824</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45824</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45824</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45824</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45824</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45824</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45824</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45824</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45824</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45824</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45824</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45824</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45824</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45824</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45824</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45824</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45824</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45824</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45824</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45824</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45824</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45824</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45824</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45824</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45824</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45824</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45824</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45824</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45824</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45824</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45824</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45824</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45824</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45824</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45824</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45824</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45824</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45824</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45824</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45824</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45824</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45824</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45824</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45824</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45824</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45824</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45824</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45824</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45824</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45824</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45824</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45824</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45824</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45824</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45824</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45824</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45824</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45824</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45824</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45824</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45824</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45824</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45824</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45824</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45824</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45824</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45824</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45824</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45824</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45824</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45824</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45824</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45824</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45824</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45824</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45824</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45824</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45824</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45824</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45824</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45824</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45824</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45824</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45824</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45824</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45824</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45824</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45824</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45824</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45824</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45824</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45824</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45824</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45824</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45824</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45824</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45824</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45824</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45824</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45824</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45824</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45824</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45824</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45824</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45824</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45824</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45824</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45824</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45824</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45824</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45824</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45824</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45824</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45824</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45824</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45824</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45824</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45824</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45824</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45824</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45824</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45824</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45824</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45824</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45824</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45824</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45824</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45824</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45824</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45824</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45824</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45824</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45824</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45824</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45824</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45824</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45824</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45824</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45824</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45824</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45824</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45824</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45824</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45824</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45824</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45824</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45824</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45824</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45824</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45824</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45824</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45824</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45824</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45824</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45824</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45824</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45824</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45824</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45824</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45824</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45824</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45824</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45824</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45824</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45824</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45824</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45824</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45824</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45824</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45824</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45824</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45824</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45824</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45824</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45824</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45824</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45824</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45824</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45824</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45824</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45824</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45824</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45824</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45824</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45824</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45824</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45824</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45824</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45824</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45824</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45824</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45824</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45824</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45824</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45824</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45824</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45824</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45824</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45824</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45824</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45824</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45824</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45824</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45824</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45824</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45824</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45824</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45824</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45824</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45824</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45824</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45824</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45824</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45824</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45824</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45824</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45824</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45824</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45824</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45824</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45824</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45824</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45824</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45824</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45824</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45824</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45824</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45824</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45824</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45824</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45824</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45824</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45824</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45824</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45824</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45824</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45824</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45824</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45824</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45824</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45824</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45824</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45824</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45824</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45824</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45824</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45824</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45824</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45824</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45824</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45824</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45824</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45824</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45824</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45824</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45824</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45824</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45824</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45824</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45824</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45824</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45824</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45824</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45824</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45824</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45824</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45824</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45824</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45824</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45824</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45824</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45824</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45824</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45824</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45824</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45824</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45824</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45824</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45824</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45824</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45824</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45824</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45824</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45824</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45824</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45824</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45824</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45824</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45824</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45824</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45824</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45824</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45824</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45824</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45824</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45824</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45824</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45824</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45824</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45824</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45824</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45824</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45824</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45824</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45824</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45824</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45824</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45824</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45824</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45824</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45824</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45824</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45824</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45824</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45824</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45824</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45824</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45824</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45824</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45824</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45824</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45824</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45824</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45824</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45824</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45824</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45824</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45824</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45824</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45824</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45824</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45824</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45824</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45824</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45824</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45824</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45824</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45824</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45824</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45824</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45824</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45824</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45824</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45824</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45824</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45824</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45824</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45824</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45824</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45824</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45824</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45824</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45824</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45824</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45824</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45824</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45824</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45824</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45824</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45824</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45824</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45824</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45824</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45824</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45824</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45824</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45824</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45824</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45824</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45824</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45824</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45824</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45824</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45824</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45824</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45824</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45824</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45824</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45824</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45824</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45824</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45824</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45824</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45824</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45824</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45824</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45824</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45824</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45824</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45824</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45824</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45824</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45824</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45824</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45824</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45824</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45824</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45824</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45824</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45824</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45824</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45824</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45824</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45824</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45824</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45824</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45824</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45824</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45824</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45824</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45824</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45824</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45824</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45824</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45824</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45824</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45824</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45824</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45824</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45824</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45824</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45824</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45824</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45824</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45824</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45824</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45824</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45824</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45824</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45824</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45824</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45824</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45824</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45824</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45824</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45824</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45824</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45824</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45824</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45824</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45824</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45824</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45824</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45824</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45824</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45824</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45824</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45824</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45824</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45824</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45824</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45824</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45824</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45824</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45824</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45824</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45824</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45824</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45824</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45824</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45824</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45824</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45824</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45824</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45824</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45824</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45824</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45824</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45824</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45824</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45824</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45824</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45824</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45824</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45824</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45824</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45824</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45824</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45824</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45824</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45824</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45824</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45824</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45824</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45824</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45824</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45824</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45824</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45824</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45824</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45824</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45824</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45824</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45824</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45824</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45824</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45824</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45824</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45824</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45824</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45824</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45824</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45824</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45824</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45824</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45824</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45824</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45824</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45824</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45824</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45824</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45824</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45824</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45824</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45824</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45824</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45824</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45824</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45824</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45824</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45824</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45824</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45824</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45824</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45824</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45824</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45824</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45824</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45824</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45824</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45824</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45824</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45824</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45824</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45824</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45824</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45824</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45824</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45824</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45824</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45824</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45824</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45824</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45824</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45824</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45824</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45824</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45824</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45824</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45824</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45824</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45824</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45824</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45824</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45824</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45824</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45824</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45824</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45824</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45824</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45824</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45824</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45824</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45824</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45824</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45824</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45824</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45824</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45824</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45824</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45824</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45824</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45824</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45824</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45824</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45824</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45824</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45824</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45824</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45824</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45824</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45824</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45824</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45824</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45824</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45824</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45824</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45824</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45824</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45824</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45824</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45824</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45824</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45824</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45824</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45824</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45824</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45824</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45824</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45824</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45824</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45824</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45824</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45824</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45824</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45824</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45824</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45824</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45824</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45824</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45824</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45824</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45824</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45824</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45824</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45824</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45824</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45824</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45824</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45824</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45824</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45824</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45824</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45824</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45824</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45824</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45824</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45824</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45824</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45824</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45824</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45824</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45824</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45824</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45824</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45824</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45824</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45824</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45824</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45824</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45824</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45824</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45824</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45824</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45824</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45824</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45824</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45824</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45824</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45824</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45824</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45824</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45824</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45824</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45824</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45824</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45824</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45824</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45824</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45824</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45824</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45824</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45824</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45824</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45824</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45824</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45824</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45824</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45824</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45824</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45824</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45824</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45824</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45824</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45824</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45824</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45824</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45824</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45824</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45824</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45824</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45824</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45824</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45824</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45824</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45824</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45824</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45824</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45824</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45824</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45824</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45824</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45824</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45824</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45824</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45824</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45824</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45824</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45824</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45824</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45824</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45824</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45824</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45824</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45824</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45824</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45824</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45824</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45824</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45824</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45824</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45824</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45824</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45824</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45824</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45824</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45824</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45824</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45824</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45824</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45824</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45824</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45824</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45824</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45824</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45824</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45824</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45824</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45824</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45824</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45824</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45824</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45824</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45824</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45824</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45824</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45824</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45824</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45824</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45824</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45824</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45824</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45824</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45824</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45824</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45824</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45824</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45824</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45824</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45824</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45824</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45824</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45824</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45824</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45824</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45824</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45824</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45824</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45824</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45824</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45824</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45824</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45824</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45824</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45824</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45824</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45824</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45824</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45824</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45824</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45824</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45824</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45824</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45824</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45824</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45824</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45824</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45824</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45824</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45824</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45824</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45824</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45824</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45824</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45824</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45824</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45824</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45824</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45824</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45824</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45824</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45824</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45824</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45824</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45824</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45824</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45824</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45824</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45824</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45824</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45824</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45824</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45824</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45824</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45824</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45824</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45824</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45824</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45824</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45824</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45824</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45824</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45824</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45824</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45824</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45824</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45824</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45824</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45824</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45824</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45824</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45824</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45824</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45824</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45824</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45824</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45824</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45824</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45824</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45824</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45824</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45824</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45824</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45824</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45824</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45824</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45824</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45824</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45824</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45824</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45824</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45824</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45824</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45824</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45824</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45824</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45824</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45824</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45824</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45824</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45824</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45824</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45824</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45824</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45824</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45824</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45824</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45824</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45824</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45824</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45824</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45824</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45824</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45824</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45824</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45824</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45824</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45824</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45824</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45824</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45824</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45824</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45824</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45824</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45824</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45824</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45824</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45824</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45824</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45824</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45824</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45824</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45824</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45824</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45824</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45824</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45824</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45824</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45824</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45824</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45824</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45824</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45824</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45824</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45824</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45824</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45824</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45824</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45824</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45824</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45824</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45824</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45824</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45824</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45824</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45824</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45824</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45824</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45824</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45824</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45824</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45824</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45824</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45824</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45824</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45824</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45824</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45824</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45824</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45824</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45824</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45824</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45824</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45824</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45824</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45824</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45824</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45824</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45824</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45824</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45824</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45824</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45824</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45824</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45824</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45824</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45824</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45824</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45824</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45824</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45824</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45824</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45824</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45824</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45824</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45824</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45824</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45824</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45824</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45824</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45824</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45824</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45824</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45824</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45824</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45824</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45824</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45824</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45824</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45824</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45824</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45824</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45824</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45824</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45824</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45824</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45824</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45824</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45824</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45824</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45824</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45824</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45824</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45824</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45824</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45824</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45824</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45824</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45824</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45824</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45824</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45824</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45824</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45824</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45824</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45824</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45824</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45824</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45824</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45824</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45824</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45824</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45824</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45824</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45824</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45824</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45824</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45824</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45824</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45824</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45824</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45824</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45824</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45824</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45824</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45824</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45824</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45824</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45824</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45824</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45824</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45824</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45824</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45824</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45824</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45824</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45824</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45824</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45824</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45824</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45824</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45824</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25827-2025</t>
        </is>
      </c>
      <c r="B1965" s="1" t="n">
        <v>45804</v>
      </c>
      <c r="C1965" s="1" t="n">
        <v>45824</v>
      </c>
      <c r="D1965" t="inlineStr">
        <is>
          <t>KALMAR LÄN</t>
        </is>
      </c>
      <c r="E1965" t="inlineStr">
        <is>
          <t>VÄSTERVIK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25819-2025</t>
        </is>
      </c>
      <c r="B1966" s="1" t="n">
        <v>45804</v>
      </c>
      <c r="C1966" s="1" t="n">
        <v>45824</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45824</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45824</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45824</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26568-2025</t>
        </is>
      </c>
      <c r="B1970" s="1" t="n">
        <v>45807</v>
      </c>
      <c r="C1970" s="1" t="n">
        <v>45824</v>
      </c>
      <c r="D1970" t="inlineStr">
        <is>
          <t>KALMAR LÄN</t>
        </is>
      </c>
      <c r="E1970" t="inlineStr">
        <is>
          <t>VÄSTERVIK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45824</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45824</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45824</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27978-2025</t>
        </is>
      </c>
      <c r="B1974" s="1" t="n">
        <v>45817</v>
      </c>
      <c r="C1974" s="1" t="n">
        <v>45824</v>
      </c>
      <c r="D1974" t="inlineStr">
        <is>
          <t>KALMAR LÄN</t>
        </is>
      </c>
      <c r="E1974" t="inlineStr">
        <is>
          <t>VÄSTERVIK</t>
        </is>
      </c>
      <c r="F1974" t="inlineStr">
        <is>
          <t>Sveaskog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27980-2025</t>
        </is>
      </c>
      <c r="B1975" s="1" t="n">
        <v>45817</v>
      </c>
      <c r="C1975" s="1" t="n">
        <v>45824</v>
      </c>
      <c r="D1975" t="inlineStr">
        <is>
          <t>KALMAR LÄN</t>
        </is>
      </c>
      <c r="E1975" t="inlineStr">
        <is>
          <t>VÄSTERVIK</t>
        </is>
      </c>
      <c r="F1975" t="inlineStr">
        <is>
          <t>Sveaskog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45824</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28096-2025</t>
        </is>
      </c>
      <c r="B1977" s="1" t="n">
        <v>45817</v>
      </c>
      <c r="C1977" s="1" t="n">
        <v>45824</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28098-2025</t>
        </is>
      </c>
      <c r="B1978" s="1" t="n">
        <v>45817</v>
      </c>
      <c r="C1978" s="1" t="n">
        <v>45824</v>
      </c>
      <c r="D1978" t="inlineStr">
        <is>
          <t>KALMAR LÄN</t>
        </is>
      </c>
      <c r="E1978" t="inlineStr">
        <is>
          <t>VÄSTERVIK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45824</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45824</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28260-2025</t>
        </is>
      </c>
      <c r="B1981" s="1" t="n">
        <v>45818</v>
      </c>
      <c r="C1981" s="1" t="n">
        <v>45824</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28203-2025</t>
        </is>
      </c>
      <c r="B1982" s="1" t="n">
        <v>45818</v>
      </c>
      <c r="C1982" s="1" t="n">
        <v>45824</v>
      </c>
      <c r="D1982" t="inlineStr">
        <is>
          <t>KALMAR LÄN</t>
        </is>
      </c>
      <c r="E1982" t="inlineStr">
        <is>
          <t>VÄSTERVIK</t>
        </is>
      </c>
      <c r="G1982" t="n">
        <v>1.7</v>
      </c>
      <c r="H1982" t="n">
        <v>0</v>
      </c>
      <c r="I1982" t="n">
        <v>0</v>
      </c>
      <c r="J1982" t="n">
        <v>0</v>
      </c>
      <c r="K1982" t="n">
        <v>0</v>
      </c>
      <c r="L1982" t="n">
        <v>0</v>
      </c>
      <c r="M1982" t="n">
        <v>0</v>
      </c>
      <c r="N1982" t="n">
        <v>0</v>
      </c>
      <c r="O1982" t="n">
        <v>0</v>
      </c>
      <c r="P1982" t="n">
        <v>0</v>
      </c>
      <c r="Q1982" t="n">
        <v>0</v>
      </c>
      <c r="R1982" s="2" t="inlineStr"/>
    </row>
    <row r="1983">
      <c r="A1983" t="inlineStr">
        <is>
          <t>A 28696-2025</t>
        </is>
      </c>
      <c r="B1983" s="1" t="n">
        <v>45819</v>
      </c>
      <c r="C1983" s="1" t="n">
        <v>45824</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2025-06-16T18:52:28Z</dcterms:created>
  <dcterms:modified xmlns:dcterms="http://purl.org/dc/terms/" xmlns:xsi="http://www.w3.org/2001/XMLSchema-instance" xsi:type="dcterms:W3CDTF">2025-06-16T18:52:30Z</dcterms:modified>
</cp:coreProperties>
</file>