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45923</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37525-2025</t>
        </is>
      </c>
      <c r="B6" s="1" t="n">
        <v>45877</v>
      </c>
      <c r="C6" s="1" t="n">
        <v>45923</v>
      </c>
      <c r="D6" t="inlineStr">
        <is>
          <t>KALMAR LÄN</t>
        </is>
      </c>
      <c r="E6" t="inlineStr">
        <is>
          <t>VÄSTERVIK</t>
        </is>
      </c>
      <c r="G6" t="n">
        <v>2.4</v>
      </c>
      <c r="H6" t="n">
        <v>8</v>
      </c>
      <c r="I6" t="n">
        <v>2</v>
      </c>
      <c r="J6" t="n">
        <v>6</v>
      </c>
      <c r="K6" t="n">
        <v>1</v>
      </c>
      <c r="L6" t="n">
        <v>1</v>
      </c>
      <c r="M6" t="n">
        <v>0</v>
      </c>
      <c r="N6" t="n">
        <v>0</v>
      </c>
      <c r="O6" t="n">
        <v>8</v>
      </c>
      <c r="P6" t="n">
        <v>2</v>
      </c>
      <c r="Q6" t="n">
        <v>13</v>
      </c>
      <c r="R6" s="2" t="inlineStr">
        <is>
          <t>Tallharticka
Knärot
Entita
Mindre hackspett
Persiljespindling
Spillkråka
Tallticka
Talltita
Blomkålssvamp
Grönpyrola
Gröngöling
Kungsfågel
Tjäder</t>
        </is>
      </c>
      <c r="S6">
        <f>HYPERLINK("https://klasma.github.io/Logging_0883/artfynd/A 37525-2025 artfynd.xlsx", "A 37525-2025")</f>
        <v/>
      </c>
      <c r="T6">
        <f>HYPERLINK("https://klasma.github.io/Logging_0883/kartor/A 37525-2025 karta.png", "A 37525-2025")</f>
        <v/>
      </c>
      <c r="U6">
        <f>HYPERLINK("https://klasma.github.io/Logging_0883/knärot/A 37525-2025 karta knärot.png", "A 37525-2025")</f>
        <v/>
      </c>
      <c r="V6">
        <f>HYPERLINK("https://klasma.github.io/Logging_0883/klagomål/A 37525-2025 FSC-klagomål.docx", "A 37525-2025")</f>
        <v/>
      </c>
      <c r="W6">
        <f>HYPERLINK("https://klasma.github.io/Logging_0883/klagomålsmail/A 37525-2025 FSC-klagomål mail.docx", "A 37525-2025")</f>
        <v/>
      </c>
      <c r="X6">
        <f>HYPERLINK("https://klasma.github.io/Logging_0883/tillsyn/A 37525-2025 tillsynsbegäran.docx", "A 37525-2025")</f>
        <v/>
      </c>
      <c r="Y6">
        <f>HYPERLINK("https://klasma.github.io/Logging_0883/tillsynsmail/A 37525-2025 tillsynsbegäran mail.docx", "A 37525-2025")</f>
        <v/>
      </c>
      <c r="Z6">
        <f>HYPERLINK("https://klasma.github.io/Logging_0883/fåglar/A 37525-2025 prioriterade fågelarter.docx", "A 37525-2025")</f>
        <v/>
      </c>
    </row>
    <row r="7" ht="15" customHeight="1">
      <c r="A7" t="inlineStr">
        <is>
          <t>A 60440-2024</t>
        </is>
      </c>
      <c r="B7" s="1" t="n">
        <v>45643.59024305556</v>
      </c>
      <c r="C7" s="1" t="n">
        <v>45923</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45923</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37023-2021</t>
        </is>
      </c>
      <c r="B9" s="1" t="n">
        <v>44393</v>
      </c>
      <c r="C9" s="1" t="n">
        <v>45923</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45923</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27374-2024</t>
        </is>
      </c>
      <c r="B11" s="1" t="n">
        <v>45473</v>
      </c>
      <c r="C11" s="1" t="n">
        <v>45923</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56737-2023</t>
        </is>
      </c>
      <c r="B12" s="1" t="n">
        <v>45244</v>
      </c>
      <c r="C12" s="1" t="n">
        <v>45923</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55017-2021</t>
        </is>
      </c>
      <c r="B13" s="1" t="n">
        <v>44474</v>
      </c>
      <c r="C13" s="1" t="n">
        <v>45923</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20094-2024</t>
        </is>
      </c>
      <c r="B14" s="1" t="n">
        <v>45434</v>
      </c>
      <c r="C14" s="1" t="n">
        <v>45923</v>
      </c>
      <c r="D14" t="inlineStr">
        <is>
          <t>KALMAR LÄN</t>
        </is>
      </c>
      <c r="E14" t="inlineStr">
        <is>
          <t>VÄSTERVIK</t>
        </is>
      </c>
      <c r="G14" t="n">
        <v>6.4</v>
      </c>
      <c r="H14" t="n">
        <v>3</v>
      </c>
      <c r="I14" t="n">
        <v>3</v>
      </c>
      <c r="J14" t="n">
        <v>5</v>
      </c>
      <c r="K14" t="n">
        <v>1</v>
      </c>
      <c r="L14" t="n">
        <v>0</v>
      </c>
      <c r="M14" t="n">
        <v>0</v>
      </c>
      <c r="N14" t="n">
        <v>0</v>
      </c>
      <c r="O14" t="n">
        <v>6</v>
      </c>
      <c r="P14" t="n">
        <v>1</v>
      </c>
      <c r="Q14" t="n">
        <v>9</v>
      </c>
      <c r="R14" s="2" t="inlineStr">
        <is>
          <t>Knärot
Granticka
Grönsångare
Mindre hackspett
Tallticka
Ullticka
Blåmossa
Grönpyrola
Zontaggsvamp</t>
        </is>
      </c>
      <c r="S14">
        <f>HYPERLINK("https://klasma.github.io/Logging_0883/artfynd/A 20094-2024 artfynd.xlsx", "A 20094-2024")</f>
        <v/>
      </c>
      <c r="T14">
        <f>HYPERLINK("https://klasma.github.io/Logging_0883/kartor/A 20094-2024 karta.png", "A 20094-2024")</f>
        <v/>
      </c>
      <c r="U14">
        <f>HYPERLINK("https://klasma.github.io/Logging_0883/knärot/A 20094-2024 karta knärot.png", "A 20094-2024")</f>
        <v/>
      </c>
      <c r="V14">
        <f>HYPERLINK("https://klasma.github.io/Logging_0883/klagomål/A 20094-2024 FSC-klagomål.docx", "A 20094-2024")</f>
        <v/>
      </c>
      <c r="W14">
        <f>HYPERLINK("https://klasma.github.io/Logging_0883/klagomålsmail/A 20094-2024 FSC-klagomål mail.docx", "A 20094-2024")</f>
        <v/>
      </c>
      <c r="X14">
        <f>HYPERLINK("https://klasma.github.io/Logging_0883/tillsyn/A 20094-2024 tillsynsbegäran.docx", "A 20094-2024")</f>
        <v/>
      </c>
      <c r="Y14">
        <f>HYPERLINK("https://klasma.github.io/Logging_0883/tillsynsmail/A 20094-2024 tillsynsbegäran mail.docx", "A 20094-2024")</f>
        <v/>
      </c>
      <c r="Z14">
        <f>HYPERLINK("https://klasma.github.io/Logging_0883/fåglar/A 20094-2024 prioriterade fågelarter.docx", "A 20094-2024")</f>
        <v/>
      </c>
    </row>
    <row r="15" ht="15" customHeight="1">
      <c r="A15" t="inlineStr">
        <is>
          <t>A 42892-2025</t>
        </is>
      </c>
      <c r="B15" s="1" t="n">
        <v>45908.66357638889</v>
      </c>
      <c r="C15" s="1" t="n">
        <v>45923</v>
      </c>
      <c r="D15" t="inlineStr">
        <is>
          <t>KALMAR LÄN</t>
        </is>
      </c>
      <c r="E15" t="inlineStr">
        <is>
          <t>VÄSTERVIK</t>
        </is>
      </c>
      <c r="F15" t="inlineStr">
        <is>
          <t>Holmen skog AB</t>
        </is>
      </c>
      <c r="G15" t="n">
        <v>19.3</v>
      </c>
      <c r="H15" t="n">
        <v>4</v>
      </c>
      <c r="I15" t="n">
        <v>3</v>
      </c>
      <c r="J15" t="n">
        <v>4</v>
      </c>
      <c r="K15" t="n">
        <v>1</v>
      </c>
      <c r="L15" t="n">
        <v>0</v>
      </c>
      <c r="M15" t="n">
        <v>0</v>
      </c>
      <c r="N15" t="n">
        <v>0</v>
      </c>
      <c r="O15" t="n">
        <v>5</v>
      </c>
      <c r="P15" t="n">
        <v>1</v>
      </c>
      <c r="Q15" t="n">
        <v>9</v>
      </c>
      <c r="R15" s="2" t="inlineStr">
        <is>
          <t>Knärot
Ekticka
Spillkråka
Talltita
Ullticka
Blomkålssvamp
Grönpyrola
Gullgröppa
Blåsippa</t>
        </is>
      </c>
      <c r="S15">
        <f>HYPERLINK("https://klasma.github.io/Logging_0883/artfynd/A 42892-2025 artfynd.xlsx", "A 42892-2025")</f>
        <v/>
      </c>
      <c r="T15">
        <f>HYPERLINK("https://klasma.github.io/Logging_0883/kartor/A 42892-2025 karta.png", "A 42892-2025")</f>
        <v/>
      </c>
      <c r="U15">
        <f>HYPERLINK("https://klasma.github.io/Logging_0883/knärot/A 42892-2025 karta knärot.png", "A 42892-2025")</f>
        <v/>
      </c>
      <c r="V15">
        <f>HYPERLINK("https://klasma.github.io/Logging_0883/klagomål/A 42892-2025 FSC-klagomål.docx", "A 42892-2025")</f>
        <v/>
      </c>
      <c r="W15">
        <f>HYPERLINK("https://klasma.github.io/Logging_0883/klagomålsmail/A 42892-2025 FSC-klagomål mail.docx", "A 42892-2025")</f>
        <v/>
      </c>
      <c r="X15">
        <f>HYPERLINK("https://klasma.github.io/Logging_0883/tillsyn/A 42892-2025 tillsynsbegäran.docx", "A 42892-2025")</f>
        <v/>
      </c>
      <c r="Y15">
        <f>HYPERLINK("https://klasma.github.io/Logging_0883/tillsynsmail/A 42892-2025 tillsynsbegäran mail.docx", "A 42892-2025")</f>
        <v/>
      </c>
      <c r="Z15">
        <f>HYPERLINK("https://klasma.github.io/Logging_0883/fåglar/A 42892-2025 prioriterade fågelarter.docx", "A 42892-2025")</f>
        <v/>
      </c>
    </row>
    <row r="16" ht="15" customHeight="1">
      <c r="A16" t="inlineStr">
        <is>
          <t>A 35134-2024</t>
        </is>
      </c>
      <c r="B16" s="1" t="n">
        <v>45530</v>
      </c>
      <c r="C16" s="1" t="n">
        <v>45923</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15252-2021</t>
        </is>
      </c>
      <c r="B17" s="1" t="n">
        <v>44284</v>
      </c>
      <c r="C17" s="1" t="n">
        <v>45923</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34414-2024</t>
        </is>
      </c>
      <c r="B18" s="1" t="n">
        <v>45525</v>
      </c>
      <c r="C18" s="1" t="n">
        <v>45923</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26281-2024</t>
        </is>
      </c>
      <c r="B19" s="1" t="n">
        <v>45468</v>
      </c>
      <c r="C19" s="1" t="n">
        <v>45923</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45923</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27378-2024</t>
        </is>
      </c>
      <c r="B21" s="1" t="n">
        <v>45473</v>
      </c>
      <c r="C21" s="1" t="n">
        <v>45923</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45923</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34638-2025</t>
        </is>
      </c>
      <c r="B23" s="1" t="n">
        <v>45848.30584490741</v>
      </c>
      <c r="C23" s="1" t="n">
        <v>45923</v>
      </c>
      <c r="D23" t="inlineStr">
        <is>
          <t>KALMAR LÄN</t>
        </is>
      </c>
      <c r="E23" t="inlineStr">
        <is>
          <t>VÄSTERVIK</t>
        </is>
      </c>
      <c r="G23" t="n">
        <v>1.2</v>
      </c>
      <c r="H23" t="n">
        <v>3</v>
      </c>
      <c r="I23" t="n">
        <v>2</v>
      </c>
      <c r="J23" t="n">
        <v>4</v>
      </c>
      <c r="K23" t="n">
        <v>1</v>
      </c>
      <c r="L23" t="n">
        <v>0</v>
      </c>
      <c r="M23" t="n">
        <v>0</v>
      </c>
      <c r="N23" t="n">
        <v>0</v>
      </c>
      <c r="O23" t="n">
        <v>5</v>
      </c>
      <c r="P23" t="n">
        <v>1</v>
      </c>
      <c r="Q23" t="n">
        <v>7</v>
      </c>
      <c r="R23" s="2" t="inlineStr">
        <is>
          <t>Knärot
Bredbrämad bastardsvärmare
Mindre bastardsvärmare
Spillkråka
Talltita
Barkticka
Blomskägglav</t>
        </is>
      </c>
      <c r="S23">
        <f>HYPERLINK("https://klasma.github.io/Logging_0883/artfynd/A 34638-2025 artfynd.xlsx", "A 34638-2025")</f>
        <v/>
      </c>
      <c r="T23">
        <f>HYPERLINK("https://klasma.github.io/Logging_0883/kartor/A 34638-2025 karta.png", "A 34638-2025")</f>
        <v/>
      </c>
      <c r="U23">
        <f>HYPERLINK("https://klasma.github.io/Logging_0883/knärot/A 34638-2025 karta knärot.png", "A 34638-2025")</f>
        <v/>
      </c>
      <c r="V23">
        <f>HYPERLINK("https://klasma.github.io/Logging_0883/klagomål/A 34638-2025 FSC-klagomål.docx", "A 34638-2025")</f>
        <v/>
      </c>
      <c r="W23">
        <f>HYPERLINK("https://klasma.github.io/Logging_0883/klagomålsmail/A 34638-2025 FSC-klagomål mail.docx", "A 34638-2025")</f>
        <v/>
      </c>
      <c r="X23">
        <f>HYPERLINK("https://klasma.github.io/Logging_0883/tillsyn/A 34638-2025 tillsynsbegäran.docx", "A 34638-2025")</f>
        <v/>
      </c>
      <c r="Y23">
        <f>HYPERLINK("https://klasma.github.io/Logging_0883/tillsynsmail/A 34638-2025 tillsynsbegäran mail.docx", "A 34638-2025")</f>
        <v/>
      </c>
      <c r="Z23">
        <f>HYPERLINK("https://klasma.github.io/Logging_0883/fåglar/A 34638-2025 prioriterade fågelarter.docx", "A 34638-2025")</f>
        <v/>
      </c>
    </row>
    <row r="24" ht="15" customHeight="1">
      <c r="A24" t="inlineStr">
        <is>
          <t>A 59457-2024</t>
        </is>
      </c>
      <c r="B24" s="1" t="n">
        <v>45638</v>
      </c>
      <c r="C24" s="1" t="n">
        <v>45923</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51597-2024</t>
        </is>
      </c>
      <c r="B25" s="1" t="n">
        <v>45604</v>
      </c>
      <c r="C25" s="1" t="n">
        <v>45923</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31082-2024</t>
        </is>
      </c>
      <c r="B26" s="1" t="n">
        <v>45502</v>
      </c>
      <c r="C26" s="1" t="n">
        <v>45923</v>
      </c>
      <c r="D26" t="inlineStr">
        <is>
          <t>KALMAR LÄN</t>
        </is>
      </c>
      <c r="E26" t="inlineStr">
        <is>
          <t>VÄSTERVIK</t>
        </is>
      </c>
      <c r="F26" t="inlineStr">
        <is>
          <t>Holmen skog AB</t>
        </is>
      </c>
      <c r="G26" t="n">
        <v>8</v>
      </c>
      <c r="H26" t="n">
        <v>3</v>
      </c>
      <c r="I26" t="n">
        <v>3</v>
      </c>
      <c r="J26" t="n">
        <v>2</v>
      </c>
      <c r="K26" t="n">
        <v>1</v>
      </c>
      <c r="L26" t="n">
        <v>0</v>
      </c>
      <c r="M26" t="n">
        <v>0</v>
      </c>
      <c r="N26" t="n">
        <v>0</v>
      </c>
      <c r="O26" t="n">
        <v>3</v>
      </c>
      <c r="P26" t="n">
        <v>1</v>
      </c>
      <c r="Q26" t="n">
        <v>7</v>
      </c>
      <c r="R26" s="2" t="inlineStr">
        <is>
          <t>Knärot
Orange taggsvamp
Talltita
Blåmossa
Dropptaggsvamp
Zontaggsvamp
Tjäder</t>
        </is>
      </c>
      <c r="S26">
        <f>HYPERLINK("https://klasma.github.io/Logging_0883/artfynd/A 31082-2024 artfynd.xlsx", "A 31082-2024")</f>
        <v/>
      </c>
      <c r="T26">
        <f>HYPERLINK("https://klasma.github.io/Logging_0883/kartor/A 31082-2024 karta.png", "A 31082-2024")</f>
        <v/>
      </c>
      <c r="U26">
        <f>HYPERLINK("https://klasma.github.io/Logging_0883/knärot/A 31082-2024 karta knärot.png", "A 31082-2024")</f>
        <v/>
      </c>
      <c r="V26">
        <f>HYPERLINK("https://klasma.github.io/Logging_0883/klagomål/A 31082-2024 FSC-klagomål.docx", "A 31082-2024")</f>
        <v/>
      </c>
      <c r="W26">
        <f>HYPERLINK("https://klasma.github.io/Logging_0883/klagomålsmail/A 31082-2024 FSC-klagomål mail.docx", "A 31082-2024")</f>
        <v/>
      </c>
      <c r="X26">
        <f>HYPERLINK("https://klasma.github.io/Logging_0883/tillsyn/A 31082-2024 tillsynsbegäran.docx", "A 31082-2024")</f>
        <v/>
      </c>
      <c r="Y26">
        <f>HYPERLINK("https://klasma.github.io/Logging_0883/tillsynsmail/A 31082-2024 tillsynsbegäran mail.docx", "A 31082-2024")</f>
        <v/>
      </c>
      <c r="Z26">
        <f>HYPERLINK("https://klasma.github.io/Logging_0883/fåglar/A 31082-2024 prioriterade fågelarter.docx", "A 31082-2024")</f>
        <v/>
      </c>
    </row>
    <row r="27" ht="15" customHeight="1">
      <c r="A27" t="inlineStr">
        <is>
          <t>A 39298-2024</t>
        </is>
      </c>
      <c r="B27" s="1" t="n">
        <v>45551</v>
      </c>
      <c r="C27" s="1" t="n">
        <v>45923</v>
      </c>
      <c r="D27" t="inlineStr">
        <is>
          <t>KALMAR LÄN</t>
        </is>
      </c>
      <c r="E27" t="inlineStr">
        <is>
          <t>VÄSTERVIK</t>
        </is>
      </c>
      <c r="G27" t="n">
        <v>1.2</v>
      </c>
      <c r="H27" t="n">
        <v>3</v>
      </c>
      <c r="I27" t="n">
        <v>5</v>
      </c>
      <c r="J27" t="n">
        <v>1</v>
      </c>
      <c r="K27" t="n">
        <v>1</v>
      </c>
      <c r="L27" t="n">
        <v>0</v>
      </c>
      <c r="M27" t="n">
        <v>0</v>
      </c>
      <c r="N27" t="n">
        <v>0</v>
      </c>
      <c r="O27" t="n">
        <v>2</v>
      </c>
      <c r="P27" t="n">
        <v>1</v>
      </c>
      <c r="Q27" t="n">
        <v>7</v>
      </c>
      <c r="R27" s="2" t="inlineStr">
        <is>
          <t>Knärot
Talltita
Dropptaggsvamp
Grön sköldmossa
Grönpyrola
Rödgul trumpetsvamp
Stubbspretmossa</t>
        </is>
      </c>
      <c r="S27">
        <f>HYPERLINK("https://klasma.github.io/Logging_0883/artfynd/A 39298-2024 artfynd.xlsx", "A 39298-2024")</f>
        <v/>
      </c>
      <c r="T27">
        <f>HYPERLINK("https://klasma.github.io/Logging_0883/kartor/A 39298-2024 karta.png", "A 39298-2024")</f>
        <v/>
      </c>
      <c r="U27">
        <f>HYPERLINK("https://klasma.github.io/Logging_0883/knärot/A 39298-2024 karta knärot.png", "A 39298-2024")</f>
        <v/>
      </c>
      <c r="V27">
        <f>HYPERLINK("https://klasma.github.io/Logging_0883/klagomål/A 39298-2024 FSC-klagomål.docx", "A 39298-2024")</f>
        <v/>
      </c>
      <c r="W27">
        <f>HYPERLINK("https://klasma.github.io/Logging_0883/klagomålsmail/A 39298-2024 FSC-klagomål mail.docx", "A 39298-2024")</f>
        <v/>
      </c>
      <c r="X27">
        <f>HYPERLINK("https://klasma.github.io/Logging_0883/tillsyn/A 39298-2024 tillsynsbegäran.docx", "A 39298-2024")</f>
        <v/>
      </c>
      <c r="Y27">
        <f>HYPERLINK("https://klasma.github.io/Logging_0883/tillsynsmail/A 39298-2024 tillsynsbegäran mail.docx", "A 39298-2024")</f>
        <v/>
      </c>
      <c r="Z27">
        <f>HYPERLINK("https://klasma.github.io/Logging_0883/fåglar/A 39298-2024 prioriterade fågelarter.docx", "A 39298-2024")</f>
        <v/>
      </c>
    </row>
    <row r="28" ht="15" customHeight="1">
      <c r="A28" t="inlineStr">
        <is>
          <t>A 63850-2021</t>
        </is>
      </c>
      <c r="B28" s="1" t="n">
        <v>44505</v>
      </c>
      <c r="C28" s="1" t="n">
        <v>45923</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23021-2025</t>
        </is>
      </c>
      <c r="B29" s="1" t="n">
        <v>45790</v>
      </c>
      <c r="C29" s="1" t="n">
        <v>45923</v>
      </c>
      <c r="D29" t="inlineStr">
        <is>
          <t>KALMAR LÄN</t>
        </is>
      </c>
      <c r="E29" t="inlineStr">
        <is>
          <t>VÄSTERVIK</t>
        </is>
      </c>
      <c r="G29" t="n">
        <v>5</v>
      </c>
      <c r="H29" t="n">
        <v>5</v>
      </c>
      <c r="I29" t="n">
        <v>0</v>
      </c>
      <c r="J29" t="n">
        <v>5</v>
      </c>
      <c r="K29" t="n">
        <v>1</v>
      </c>
      <c r="L29" t="n">
        <v>0</v>
      </c>
      <c r="M29" t="n">
        <v>0</v>
      </c>
      <c r="N29" t="n">
        <v>0</v>
      </c>
      <c r="O29" t="n">
        <v>6</v>
      </c>
      <c r="P29" t="n">
        <v>1</v>
      </c>
      <c r="Q29" t="n">
        <v>7</v>
      </c>
      <c r="R29" s="2" t="inlineStr">
        <is>
          <t>Stare
Grönsångare
Mindre hackspett
Spillkråka
Tallticka
Vintertagging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4397-2025</t>
        </is>
      </c>
      <c r="B30" s="1" t="n">
        <v>45686</v>
      </c>
      <c r="C30" s="1" t="n">
        <v>45923</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26574-2025</t>
        </is>
      </c>
      <c r="B31" s="1" t="n">
        <v>45807.68491898148</v>
      </c>
      <c r="C31" s="1" t="n">
        <v>45923</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34624-2022</t>
        </is>
      </c>
      <c r="B32" s="1" t="n">
        <v>44795</v>
      </c>
      <c r="C32" s="1" t="n">
        <v>45923</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16996-2025</t>
        </is>
      </c>
      <c r="B33" s="1" t="n">
        <v>45755.51844907407</v>
      </c>
      <c r="C33" s="1" t="n">
        <v>45923</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71188-2021</t>
        </is>
      </c>
      <c r="B34" s="1" t="n">
        <v>44539</v>
      </c>
      <c r="C34" s="1" t="n">
        <v>45923</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45923</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34642-2025</t>
        </is>
      </c>
      <c r="B36" s="1" t="n">
        <v>45848.32703703704</v>
      </c>
      <c r="C36" s="1" t="n">
        <v>45923</v>
      </c>
      <c r="D36" t="inlineStr">
        <is>
          <t>KALMAR LÄN</t>
        </is>
      </c>
      <c r="E36" t="inlineStr">
        <is>
          <t>VÄSTERVIK</t>
        </is>
      </c>
      <c r="G36" t="n">
        <v>1.8</v>
      </c>
      <c r="H36" t="n">
        <v>3</v>
      </c>
      <c r="I36" t="n">
        <v>2</v>
      </c>
      <c r="J36" t="n">
        <v>3</v>
      </c>
      <c r="K36" t="n">
        <v>1</v>
      </c>
      <c r="L36" t="n">
        <v>0</v>
      </c>
      <c r="M36" t="n">
        <v>0</v>
      </c>
      <c r="N36" t="n">
        <v>0</v>
      </c>
      <c r="O36" t="n">
        <v>4</v>
      </c>
      <c r="P36" t="n">
        <v>1</v>
      </c>
      <c r="Q36" t="n">
        <v>6</v>
      </c>
      <c r="R36" s="2" t="inlineStr">
        <is>
          <t>Knärot
Spillkråka
Tallticka
Talltita
Blåmossa
Grönpyrola</t>
        </is>
      </c>
      <c r="S36">
        <f>HYPERLINK("https://klasma.github.io/Logging_0883/artfynd/A 34642-2025 artfynd.xlsx", "A 34642-2025")</f>
        <v/>
      </c>
      <c r="T36">
        <f>HYPERLINK("https://klasma.github.io/Logging_0883/kartor/A 34642-2025 karta.png", "A 34642-2025")</f>
        <v/>
      </c>
      <c r="U36">
        <f>HYPERLINK("https://klasma.github.io/Logging_0883/knärot/A 34642-2025 karta knärot.png", "A 34642-2025")</f>
        <v/>
      </c>
      <c r="V36">
        <f>HYPERLINK("https://klasma.github.io/Logging_0883/klagomål/A 34642-2025 FSC-klagomål.docx", "A 34642-2025")</f>
        <v/>
      </c>
      <c r="W36">
        <f>HYPERLINK("https://klasma.github.io/Logging_0883/klagomålsmail/A 34642-2025 FSC-klagomål mail.docx", "A 34642-2025")</f>
        <v/>
      </c>
      <c r="X36">
        <f>HYPERLINK("https://klasma.github.io/Logging_0883/tillsyn/A 34642-2025 tillsynsbegäran.docx", "A 34642-2025")</f>
        <v/>
      </c>
      <c r="Y36">
        <f>HYPERLINK("https://klasma.github.io/Logging_0883/tillsynsmail/A 34642-2025 tillsynsbegäran mail.docx", "A 34642-2025")</f>
        <v/>
      </c>
      <c r="Z36">
        <f>HYPERLINK("https://klasma.github.io/Logging_0883/fåglar/A 34642-2025 prioriterade fågelarter.docx", "A 34642-2025")</f>
        <v/>
      </c>
    </row>
    <row r="37" ht="15" customHeight="1">
      <c r="A37" t="inlineStr">
        <is>
          <t>A 974-2023</t>
        </is>
      </c>
      <c r="B37" s="1" t="n">
        <v>44935</v>
      </c>
      <c r="C37" s="1" t="n">
        <v>45923</v>
      </c>
      <c r="D37" t="inlineStr">
        <is>
          <t>KALMAR LÄN</t>
        </is>
      </c>
      <c r="E37" t="inlineStr">
        <is>
          <t>VÄSTERVIK</t>
        </is>
      </c>
      <c r="G37" t="n">
        <v>7.2</v>
      </c>
      <c r="H37" t="n">
        <v>1</v>
      </c>
      <c r="I37" t="n">
        <v>5</v>
      </c>
      <c r="J37" t="n">
        <v>0</v>
      </c>
      <c r="K37" t="n">
        <v>1</v>
      </c>
      <c r="L37" t="n">
        <v>0</v>
      </c>
      <c r="M37" t="n">
        <v>0</v>
      </c>
      <c r="N37" t="n">
        <v>0</v>
      </c>
      <c r="O37" t="n">
        <v>1</v>
      </c>
      <c r="P37" t="n">
        <v>1</v>
      </c>
      <c r="Q37" t="n">
        <v>6</v>
      </c>
      <c r="R37" s="2" t="inlineStr">
        <is>
          <t>Läderbagge
Blanksvart trämyra
Fällmossa
Guldlockmossa
Gulpudrad spiklav
Myskmadra</t>
        </is>
      </c>
      <c r="S37">
        <f>HYPERLINK("https://klasma.github.io/Logging_0883/artfynd/A 974-2023 artfynd.xlsx", "A 974-2023")</f>
        <v/>
      </c>
      <c r="T37">
        <f>HYPERLINK("https://klasma.github.io/Logging_0883/kartor/A 974-2023 karta.png", "A 974-2023")</f>
        <v/>
      </c>
      <c r="V37">
        <f>HYPERLINK("https://klasma.github.io/Logging_0883/klagomål/A 974-2023 FSC-klagomål.docx", "A 974-2023")</f>
        <v/>
      </c>
      <c r="W37">
        <f>HYPERLINK("https://klasma.github.io/Logging_0883/klagomålsmail/A 974-2023 FSC-klagomål mail.docx", "A 974-2023")</f>
        <v/>
      </c>
      <c r="X37">
        <f>HYPERLINK("https://klasma.github.io/Logging_0883/tillsyn/A 974-2023 tillsynsbegäran.docx", "A 974-2023")</f>
        <v/>
      </c>
      <c r="Y37">
        <f>HYPERLINK("https://klasma.github.io/Logging_0883/tillsynsmail/A 974-2023 tillsynsbegäran mail.docx", "A 974-2023")</f>
        <v/>
      </c>
    </row>
    <row r="38" ht="15" customHeight="1">
      <c r="A38" t="inlineStr">
        <is>
          <t>A 47936-2023</t>
        </is>
      </c>
      <c r="B38" s="1" t="n">
        <v>45204</v>
      </c>
      <c r="C38" s="1" t="n">
        <v>45923</v>
      </c>
      <c r="D38" t="inlineStr">
        <is>
          <t>KALMAR LÄN</t>
        </is>
      </c>
      <c r="E38" t="inlineStr">
        <is>
          <t>VÄSTERVIK</t>
        </is>
      </c>
      <c r="G38" t="n">
        <v>6.3</v>
      </c>
      <c r="H38" t="n">
        <v>2</v>
      </c>
      <c r="I38" t="n">
        <v>4</v>
      </c>
      <c r="J38" t="n">
        <v>1</v>
      </c>
      <c r="K38" t="n">
        <v>1</v>
      </c>
      <c r="L38" t="n">
        <v>0</v>
      </c>
      <c r="M38" t="n">
        <v>0</v>
      </c>
      <c r="N38" t="n">
        <v>0</v>
      </c>
      <c r="O38" t="n">
        <v>2</v>
      </c>
      <c r="P38" t="n">
        <v>1</v>
      </c>
      <c r="Q38" t="n">
        <v>6</v>
      </c>
      <c r="R38" s="2" t="inlineStr">
        <is>
          <t>Knärot
Talltita
Blomkålssvamp
Blåmossa
Grovticka
Grönpyrola</t>
        </is>
      </c>
      <c r="S38">
        <f>HYPERLINK("https://klasma.github.io/Logging_0883/artfynd/A 47936-2023 artfynd.xlsx", "A 47936-2023")</f>
        <v/>
      </c>
      <c r="T38">
        <f>HYPERLINK("https://klasma.github.io/Logging_0883/kartor/A 47936-2023 karta.png", "A 47936-2023")</f>
        <v/>
      </c>
      <c r="U38">
        <f>HYPERLINK("https://klasma.github.io/Logging_0883/knärot/A 47936-2023 karta knärot.png", "A 47936-2023")</f>
        <v/>
      </c>
      <c r="V38">
        <f>HYPERLINK("https://klasma.github.io/Logging_0883/klagomål/A 47936-2023 FSC-klagomål.docx", "A 47936-2023")</f>
        <v/>
      </c>
      <c r="W38">
        <f>HYPERLINK("https://klasma.github.io/Logging_0883/klagomålsmail/A 47936-2023 FSC-klagomål mail.docx", "A 47936-2023")</f>
        <v/>
      </c>
      <c r="X38">
        <f>HYPERLINK("https://klasma.github.io/Logging_0883/tillsyn/A 47936-2023 tillsynsbegäran.docx", "A 47936-2023")</f>
        <v/>
      </c>
      <c r="Y38">
        <f>HYPERLINK("https://klasma.github.io/Logging_0883/tillsynsmail/A 47936-2023 tillsynsbegäran mail.docx", "A 47936-2023")</f>
        <v/>
      </c>
      <c r="Z38">
        <f>HYPERLINK("https://klasma.github.io/Logging_0883/fåglar/A 47936-2023 prioriterade fågelarter.docx", "A 47936-2023")</f>
        <v/>
      </c>
    </row>
    <row r="39" ht="15" customHeight="1">
      <c r="A39" t="inlineStr">
        <is>
          <t>A 52046-2024</t>
        </is>
      </c>
      <c r="B39" s="1" t="n">
        <v>45608</v>
      </c>
      <c r="C39" s="1" t="n">
        <v>45923</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5067-2025</t>
        </is>
      </c>
      <c r="B40" s="1" t="n">
        <v>45691</v>
      </c>
      <c r="C40" s="1" t="n">
        <v>45923</v>
      </c>
      <c r="D40" t="inlineStr">
        <is>
          <t>KALMAR LÄN</t>
        </is>
      </c>
      <c r="E40" t="inlineStr">
        <is>
          <t>VÄSTERVIK</t>
        </is>
      </c>
      <c r="F40" t="inlineStr">
        <is>
          <t>Holmen skog AB</t>
        </is>
      </c>
      <c r="G40" t="n">
        <v>3.1</v>
      </c>
      <c r="H40" t="n">
        <v>4</v>
      </c>
      <c r="I40" t="n">
        <v>1</v>
      </c>
      <c r="J40" t="n">
        <v>3</v>
      </c>
      <c r="K40" t="n">
        <v>0</v>
      </c>
      <c r="L40" t="n">
        <v>0</v>
      </c>
      <c r="M40" t="n">
        <v>0</v>
      </c>
      <c r="N40" t="n">
        <v>0</v>
      </c>
      <c r="O40" t="n">
        <v>3</v>
      </c>
      <c r="P40" t="n">
        <v>0</v>
      </c>
      <c r="Q40" t="n">
        <v>6</v>
      </c>
      <c r="R40" s="2" t="inlineStr">
        <is>
          <t>Orange taggsvamp
Spillkråka
Talltita
Dropptaggsvamp
Kungsfågel
Revlummer</t>
        </is>
      </c>
      <c r="S40">
        <f>HYPERLINK("https://klasma.github.io/Logging_0883/artfynd/A 5067-2025 artfynd.xlsx", "A 5067-2025")</f>
        <v/>
      </c>
      <c r="T40">
        <f>HYPERLINK("https://klasma.github.io/Logging_0883/kartor/A 5067-2025 karta.png", "A 5067-2025")</f>
        <v/>
      </c>
      <c r="V40">
        <f>HYPERLINK("https://klasma.github.io/Logging_0883/klagomål/A 5067-2025 FSC-klagomål.docx", "A 5067-2025")</f>
        <v/>
      </c>
      <c r="W40">
        <f>HYPERLINK("https://klasma.github.io/Logging_0883/klagomålsmail/A 5067-2025 FSC-klagomål mail.docx", "A 5067-2025")</f>
        <v/>
      </c>
      <c r="X40">
        <f>HYPERLINK("https://klasma.github.io/Logging_0883/tillsyn/A 5067-2025 tillsynsbegäran.docx", "A 5067-2025")</f>
        <v/>
      </c>
      <c r="Y40">
        <f>HYPERLINK("https://klasma.github.io/Logging_0883/tillsynsmail/A 5067-2025 tillsynsbegäran mail.docx", "A 5067-2025")</f>
        <v/>
      </c>
      <c r="Z40">
        <f>HYPERLINK("https://klasma.github.io/Logging_0883/fåglar/A 5067-2025 prioriterade fågelarter.docx", "A 5067-2025")</f>
        <v/>
      </c>
    </row>
    <row r="41" ht="15" customHeight="1">
      <c r="A41" t="inlineStr">
        <is>
          <t>A 27379-2024</t>
        </is>
      </c>
      <c r="B41" s="1" t="n">
        <v>45473</v>
      </c>
      <c r="C41" s="1" t="n">
        <v>45923</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52916-2020</t>
        </is>
      </c>
      <c r="B42" s="1" t="n">
        <v>44120</v>
      </c>
      <c r="C42" s="1" t="n">
        <v>45923</v>
      </c>
      <c r="D42" t="inlineStr">
        <is>
          <t>KALMAR LÄN</t>
        </is>
      </c>
      <c r="E42" t="inlineStr">
        <is>
          <t>VÄSTERVIK</t>
        </is>
      </c>
      <c r="G42" t="n">
        <v>1.2</v>
      </c>
      <c r="H42" t="n">
        <v>2</v>
      </c>
      <c r="I42" t="n">
        <v>2</v>
      </c>
      <c r="J42" t="n">
        <v>3</v>
      </c>
      <c r="K42" t="n">
        <v>1</v>
      </c>
      <c r="L42" t="n">
        <v>0</v>
      </c>
      <c r="M42" t="n">
        <v>0</v>
      </c>
      <c r="N42" t="n">
        <v>0</v>
      </c>
      <c r="O42" t="n">
        <v>4</v>
      </c>
      <c r="P42" t="n">
        <v>1</v>
      </c>
      <c r="Q42" t="n">
        <v>6</v>
      </c>
      <c r="R42" s="2" t="inlineStr">
        <is>
          <t>Knärot
Orange taggsvamp
Svart taggsvamp
Talltita
Blomkålssvamp
Dropptaggsvamp</t>
        </is>
      </c>
      <c r="S42">
        <f>HYPERLINK("https://klasma.github.io/Logging_0883/artfynd/A 52916-2020 artfynd.xlsx", "A 52916-2020")</f>
        <v/>
      </c>
      <c r="T42">
        <f>HYPERLINK("https://klasma.github.io/Logging_0883/kartor/A 52916-2020 karta.png", "A 52916-2020")</f>
        <v/>
      </c>
      <c r="U42">
        <f>HYPERLINK("https://klasma.github.io/Logging_0883/knärot/A 52916-2020 karta knärot.png", "A 52916-2020")</f>
        <v/>
      </c>
      <c r="V42">
        <f>HYPERLINK("https://klasma.github.io/Logging_0883/klagomål/A 52916-2020 FSC-klagomål.docx", "A 52916-2020")</f>
        <v/>
      </c>
      <c r="W42">
        <f>HYPERLINK("https://klasma.github.io/Logging_0883/klagomålsmail/A 52916-2020 FSC-klagomål mail.docx", "A 52916-2020")</f>
        <v/>
      </c>
      <c r="X42">
        <f>HYPERLINK("https://klasma.github.io/Logging_0883/tillsyn/A 52916-2020 tillsynsbegäran.docx", "A 52916-2020")</f>
        <v/>
      </c>
      <c r="Y42">
        <f>HYPERLINK("https://klasma.github.io/Logging_0883/tillsynsmail/A 52916-2020 tillsynsbegäran mail.docx", "A 52916-2020")</f>
        <v/>
      </c>
      <c r="Z42">
        <f>HYPERLINK("https://klasma.github.io/Logging_0883/fåglar/A 52916-2020 prioriterade fågelarter.docx", "A 52916-2020")</f>
        <v/>
      </c>
    </row>
    <row r="43" ht="15" customHeight="1">
      <c r="A43" t="inlineStr">
        <is>
          <t>A 11740-2023</t>
        </is>
      </c>
      <c r="B43" s="1" t="n">
        <v>44994</v>
      </c>
      <c r="C43" s="1" t="n">
        <v>45923</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42888-2025</t>
        </is>
      </c>
      <c r="B44" s="1" t="n">
        <v>45908.65443287037</v>
      </c>
      <c r="C44" s="1" t="n">
        <v>45923</v>
      </c>
      <c r="D44" t="inlineStr">
        <is>
          <t>KALMAR LÄN</t>
        </is>
      </c>
      <c r="E44" t="inlineStr">
        <is>
          <t>VÄSTERVIK</t>
        </is>
      </c>
      <c r="F44" t="inlineStr">
        <is>
          <t>Holmen skog AB</t>
        </is>
      </c>
      <c r="G44" t="n">
        <v>4.2</v>
      </c>
      <c r="H44" t="n">
        <v>3</v>
      </c>
      <c r="I44" t="n">
        <v>1</v>
      </c>
      <c r="J44" t="n">
        <v>3</v>
      </c>
      <c r="K44" t="n">
        <v>1</v>
      </c>
      <c r="L44" t="n">
        <v>0</v>
      </c>
      <c r="M44" t="n">
        <v>0</v>
      </c>
      <c r="N44" t="n">
        <v>0</v>
      </c>
      <c r="O44" t="n">
        <v>4</v>
      </c>
      <c r="P44" t="n">
        <v>1</v>
      </c>
      <c r="Q44" t="n">
        <v>6</v>
      </c>
      <c r="R44" s="2" t="inlineStr">
        <is>
          <t>Knärot
Ekticka
Tallticka
Ullticka
Grön sköldmossa
Blåsippa</t>
        </is>
      </c>
      <c r="S44">
        <f>HYPERLINK("https://klasma.github.io/Logging_0883/artfynd/A 42888-2025 artfynd.xlsx", "A 42888-2025")</f>
        <v/>
      </c>
      <c r="T44">
        <f>HYPERLINK("https://klasma.github.io/Logging_0883/kartor/A 42888-2025 karta.png", "A 42888-2025")</f>
        <v/>
      </c>
      <c r="U44">
        <f>HYPERLINK("https://klasma.github.io/Logging_0883/knärot/A 42888-2025 karta knärot.png", "A 42888-2025")</f>
        <v/>
      </c>
      <c r="V44">
        <f>HYPERLINK("https://klasma.github.io/Logging_0883/klagomål/A 42888-2025 FSC-klagomål.docx", "A 42888-2025")</f>
        <v/>
      </c>
      <c r="W44">
        <f>HYPERLINK("https://klasma.github.io/Logging_0883/klagomålsmail/A 42888-2025 FSC-klagomål mail.docx", "A 42888-2025")</f>
        <v/>
      </c>
      <c r="X44">
        <f>HYPERLINK("https://klasma.github.io/Logging_0883/tillsyn/A 42888-2025 tillsynsbegäran.docx", "A 42888-2025")</f>
        <v/>
      </c>
      <c r="Y44">
        <f>HYPERLINK("https://klasma.github.io/Logging_0883/tillsynsmail/A 42888-2025 tillsynsbegäran mail.docx", "A 42888-2025")</f>
        <v/>
      </c>
    </row>
    <row r="45" ht="15" customHeight="1">
      <c r="A45" t="inlineStr">
        <is>
          <t>A 5922-2024</t>
        </is>
      </c>
      <c r="B45" s="1" t="n">
        <v>45335</v>
      </c>
      <c r="C45" s="1" t="n">
        <v>45923</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55286-2023</t>
        </is>
      </c>
      <c r="B46" s="1" t="n">
        <v>45237</v>
      </c>
      <c r="C46" s="1" t="n">
        <v>45923</v>
      </c>
      <c r="D46" t="inlineStr">
        <is>
          <t>KALMAR LÄN</t>
        </is>
      </c>
      <c r="E46" t="inlineStr">
        <is>
          <t>VÄSTERVIK</t>
        </is>
      </c>
      <c r="G46" t="n">
        <v>5.9</v>
      </c>
      <c r="H46" t="n">
        <v>2</v>
      </c>
      <c r="I46" t="n">
        <v>3</v>
      </c>
      <c r="J46" t="n">
        <v>1</v>
      </c>
      <c r="K46" t="n">
        <v>2</v>
      </c>
      <c r="L46" t="n">
        <v>0</v>
      </c>
      <c r="M46" t="n">
        <v>0</v>
      </c>
      <c r="N46" t="n">
        <v>0</v>
      </c>
      <c r="O46" t="n">
        <v>3</v>
      </c>
      <c r="P46" t="n">
        <v>2</v>
      </c>
      <c r="Q46" t="n">
        <v>6</v>
      </c>
      <c r="R46" s="2" t="inlineStr">
        <is>
          <t>Knärot
Koppartaggsvamp
Spillkråka
Blomskägglav
Blåmossa
Grovticka</t>
        </is>
      </c>
      <c r="S46">
        <f>HYPERLINK("https://klasma.github.io/Logging_0883/artfynd/A 55286-2023 artfynd.xlsx", "A 55286-2023")</f>
        <v/>
      </c>
      <c r="T46">
        <f>HYPERLINK("https://klasma.github.io/Logging_0883/kartor/A 55286-2023 karta.png", "A 55286-2023")</f>
        <v/>
      </c>
      <c r="U46">
        <f>HYPERLINK("https://klasma.github.io/Logging_0883/knärot/A 55286-2023 karta knärot.png", "A 55286-2023")</f>
        <v/>
      </c>
      <c r="V46">
        <f>HYPERLINK("https://klasma.github.io/Logging_0883/klagomål/A 55286-2023 FSC-klagomål.docx", "A 55286-2023")</f>
        <v/>
      </c>
      <c r="W46">
        <f>HYPERLINK("https://klasma.github.io/Logging_0883/klagomålsmail/A 55286-2023 FSC-klagomål mail.docx", "A 55286-2023")</f>
        <v/>
      </c>
      <c r="X46">
        <f>HYPERLINK("https://klasma.github.io/Logging_0883/tillsyn/A 55286-2023 tillsynsbegäran.docx", "A 55286-2023")</f>
        <v/>
      </c>
      <c r="Y46">
        <f>HYPERLINK("https://klasma.github.io/Logging_0883/tillsynsmail/A 55286-2023 tillsynsbegäran mail.docx", "A 55286-2023")</f>
        <v/>
      </c>
      <c r="Z46">
        <f>HYPERLINK("https://klasma.github.io/Logging_0883/fåglar/A 55286-2023 prioriterade fågelarter.docx", "A 55286-2023")</f>
        <v/>
      </c>
    </row>
    <row r="47" ht="15" customHeight="1">
      <c r="A47" t="inlineStr">
        <is>
          <t>A 39295-2024</t>
        </is>
      </c>
      <c r="B47" s="1" t="n">
        <v>45551</v>
      </c>
      <c r="C47" s="1" t="n">
        <v>45923</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4456-2025</t>
        </is>
      </c>
      <c r="B48" s="1" t="n">
        <v>45686</v>
      </c>
      <c r="C48" s="1" t="n">
        <v>45923</v>
      </c>
      <c r="D48" t="inlineStr">
        <is>
          <t>KALMAR LÄN</t>
        </is>
      </c>
      <c r="E48" t="inlineStr">
        <is>
          <t>VÄSTERVIK</t>
        </is>
      </c>
      <c r="G48" t="n">
        <v>1.3</v>
      </c>
      <c r="H48" t="n">
        <v>2</v>
      </c>
      <c r="I48" t="n">
        <v>2</v>
      </c>
      <c r="J48" t="n">
        <v>3</v>
      </c>
      <c r="K48" t="n">
        <v>1</v>
      </c>
      <c r="L48" t="n">
        <v>0</v>
      </c>
      <c r="M48" t="n">
        <v>0</v>
      </c>
      <c r="N48" t="n">
        <v>0</v>
      </c>
      <c r="O48" t="n">
        <v>4</v>
      </c>
      <c r="P48" t="n">
        <v>1</v>
      </c>
      <c r="Q48" t="n">
        <v>6</v>
      </c>
      <c r="R48" s="2" t="inlineStr">
        <is>
          <t>Knärot
Spillkråka
Tallticka
Ullticka
Grovticka
Grönpyrola</t>
        </is>
      </c>
      <c r="S48">
        <f>HYPERLINK("https://klasma.github.io/Logging_0883/artfynd/A 4456-2025 artfynd.xlsx", "A 4456-2025")</f>
        <v/>
      </c>
      <c r="T48">
        <f>HYPERLINK("https://klasma.github.io/Logging_0883/kartor/A 4456-2025 karta.png", "A 4456-2025")</f>
        <v/>
      </c>
      <c r="U48">
        <f>HYPERLINK("https://klasma.github.io/Logging_0883/knärot/A 4456-2025 karta knärot.png", "A 4456-2025")</f>
        <v/>
      </c>
      <c r="V48">
        <f>HYPERLINK("https://klasma.github.io/Logging_0883/klagomål/A 4456-2025 FSC-klagomål.docx", "A 4456-2025")</f>
        <v/>
      </c>
      <c r="W48">
        <f>HYPERLINK("https://klasma.github.io/Logging_0883/klagomålsmail/A 4456-2025 FSC-klagomål mail.docx", "A 4456-2025")</f>
        <v/>
      </c>
      <c r="X48">
        <f>HYPERLINK("https://klasma.github.io/Logging_0883/tillsyn/A 4456-2025 tillsynsbegäran.docx", "A 4456-2025")</f>
        <v/>
      </c>
      <c r="Y48">
        <f>HYPERLINK("https://klasma.github.io/Logging_0883/tillsynsmail/A 4456-2025 tillsynsbegäran mail.docx", "A 4456-2025")</f>
        <v/>
      </c>
      <c r="Z48">
        <f>HYPERLINK("https://klasma.github.io/Logging_0883/fåglar/A 4456-2025 prioriterade fågelarter.docx", "A 4456-2025")</f>
        <v/>
      </c>
    </row>
    <row r="49" ht="15" customHeight="1">
      <c r="A49" t="inlineStr">
        <is>
          <t>A 2806-2025</t>
        </is>
      </c>
      <c r="B49" s="1" t="n">
        <v>45677</v>
      </c>
      <c r="C49" s="1" t="n">
        <v>45923</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54334-2024</t>
        </is>
      </c>
      <c r="B50" s="1" t="n">
        <v>45617.38247685185</v>
      </c>
      <c r="C50" s="1" t="n">
        <v>45923</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781-2023</t>
        </is>
      </c>
      <c r="B51" s="1" t="n">
        <v>44931</v>
      </c>
      <c r="C51" s="1" t="n">
        <v>45923</v>
      </c>
      <c r="D51" t="inlineStr">
        <is>
          <t>KALMAR LÄN</t>
        </is>
      </c>
      <c r="E51" t="inlineStr">
        <is>
          <t>VÄSTERVIK</t>
        </is>
      </c>
      <c r="F51" t="inlineStr">
        <is>
          <t>Holmen skog AB</t>
        </is>
      </c>
      <c r="G51" t="n">
        <v>4.3</v>
      </c>
      <c r="H51" t="n">
        <v>0</v>
      </c>
      <c r="I51" t="n">
        <v>3</v>
      </c>
      <c r="J51" t="n">
        <v>2</v>
      </c>
      <c r="K51" t="n">
        <v>0</v>
      </c>
      <c r="L51" t="n">
        <v>0</v>
      </c>
      <c r="M51" t="n">
        <v>0</v>
      </c>
      <c r="N51" t="n">
        <v>0</v>
      </c>
      <c r="O51" t="n">
        <v>2</v>
      </c>
      <c r="P51" t="n">
        <v>0</v>
      </c>
      <c r="Q51" t="n">
        <v>5</v>
      </c>
      <c r="R51" s="2" t="inlineStr">
        <is>
          <t>Ekticka
Oxtungssvamp
Hasselticka
Läderskål
Stor aspticka</t>
        </is>
      </c>
      <c r="S51">
        <f>HYPERLINK("https://klasma.github.io/Logging_0883/artfynd/A 781-2023 artfynd.xlsx", "A 781-2023")</f>
        <v/>
      </c>
      <c r="T51">
        <f>HYPERLINK("https://klasma.github.io/Logging_0883/kartor/A 781-2023 karta.png", "A 781-2023")</f>
        <v/>
      </c>
      <c r="V51">
        <f>HYPERLINK("https://klasma.github.io/Logging_0883/klagomål/A 781-2023 FSC-klagomål.docx", "A 781-2023")</f>
        <v/>
      </c>
      <c r="W51">
        <f>HYPERLINK("https://klasma.github.io/Logging_0883/klagomålsmail/A 781-2023 FSC-klagomål mail.docx", "A 781-2023")</f>
        <v/>
      </c>
      <c r="X51">
        <f>HYPERLINK("https://klasma.github.io/Logging_0883/tillsyn/A 781-2023 tillsynsbegäran.docx", "A 781-2023")</f>
        <v/>
      </c>
      <c r="Y51">
        <f>HYPERLINK("https://klasma.github.io/Logging_0883/tillsynsmail/A 781-2023 tillsynsbegäran mail.docx", "A 781-2023")</f>
        <v/>
      </c>
    </row>
    <row r="52" ht="15" customHeight="1">
      <c r="A52" t="inlineStr">
        <is>
          <t>A 58727-2024</t>
        </is>
      </c>
      <c r="B52" s="1" t="n">
        <v>45635</v>
      </c>
      <c r="C52" s="1" t="n">
        <v>45923</v>
      </c>
      <c r="D52" t="inlineStr">
        <is>
          <t>KALMAR LÄN</t>
        </is>
      </c>
      <c r="E52" t="inlineStr">
        <is>
          <t>VÄSTERVIK</t>
        </is>
      </c>
      <c r="F52" t="inlineStr">
        <is>
          <t>Holmen skog AB</t>
        </is>
      </c>
      <c r="G52" t="n">
        <v>2.8</v>
      </c>
      <c r="H52" t="n">
        <v>4</v>
      </c>
      <c r="I52" t="n">
        <v>1</v>
      </c>
      <c r="J52" t="n">
        <v>4</v>
      </c>
      <c r="K52" t="n">
        <v>0</v>
      </c>
      <c r="L52" t="n">
        <v>0</v>
      </c>
      <c r="M52" t="n">
        <v>0</v>
      </c>
      <c r="N52" t="n">
        <v>0</v>
      </c>
      <c r="O52" t="n">
        <v>4</v>
      </c>
      <c r="P52" t="n">
        <v>0</v>
      </c>
      <c r="Q52" t="n">
        <v>5</v>
      </c>
      <c r="R52" s="2" t="inlineStr">
        <is>
          <t>Entita
Havsörn
Spillkråka
Talltita
Blåmossa</t>
        </is>
      </c>
      <c r="S52">
        <f>HYPERLINK("https://klasma.github.io/Logging_0883/artfynd/A 58727-2024 artfynd.xlsx", "A 58727-2024")</f>
        <v/>
      </c>
      <c r="T52">
        <f>HYPERLINK("https://klasma.github.io/Logging_0883/kartor/A 58727-2024 karta.png", "A 58727-2024")</f>
        <v/>
      </c>
      <c r="V52">
        <f>HYPERLINK("https://klasma.github.io/Logging_0883/klagomål/A 58727-2024 FSC-klagomål.docx", "A 58727-2024")</f>
        <v/>
      </c>
      <c r="W52">
        <f>HYPERLINK("https://klasma.github.io/Logging_0883/klagomålsmail/A 58727-2024 FSC-klagomål mail.docx", "A 58727-2024")</f>
        <v/>
      </c>
      <c r="X52">
        <f>HYPERLINK("https://klasma.github.io/Logging_0883/tillsyn/A 58727-2024 tillsynsbegäran.docx", "A 58727-2024")</f>
        <v/>
      </c>
      <c r="Y52">
        <f>HYPERLINK("https://klasma.github.io/Logging_0883/tillsynsmail/A 58727-2024 tillsynsbegäran mail.docx", "A 58727-2024")</f>
        <v/>
      </c>
      <c r="Z52">
        <f>HYPERLINK("https://klasma.github.io/Logging_0883/fåglar/A 58727-2024 prioriterade fågelarter.docx", "A 58727-2024")</f>
        <v/>
      </c>
    </row>
    <row r="53" ht="15" customHeight="1">
      <c r="A53" t="inlineStr">
        <is>
          <t>A 27737-2024</t>
        </is>
      </c>
      <c r="B53" s="1" t="n">
        <v>45475</v>
      </c>
      <c r="C53" s="1" t="n">
        <v>45923</v>
      </c>
      <c r="D53" t="inlineStr">
        <is>
          <t>KALMAR LÄN</t>
        </is>
      </c>
      <c r="E53" t="inlineStr">
        <is>
          <t>VÄSTERVIK</t>
        </is>
      </c>
      <c r="F53" t="inlineStr">
        <is>
          <t>Holmen skog AB</t>
        </is>
      </c>
      <c r="G53" t="n">
        <v>2.7</v>
      </c>
      <c r="H53" t="n">
        <v>2</v>
      </c>
      <c r="I53" t="n">
        <v>0</v>
      </c>
      <c r="J53" t="n">
        <v>4</v>
      </c>
      <c r="K53" t="n">
        <v>0</v>
      </c>
      <c r="L53" t="n">
        <v>0</v>
      </c>
      <c r="M53" t="n">
        <v>0</v>
      </c>
      <c r="N53" t="n">
        <v>0</v>
      </c>
      <c r="O53" t="n">
        <v>4</v>
      </c>
      <c r="P53" t="n">
        <v>0</v>
      </c>
      <c r="Q53" t="n">
        <v>5</v>
      </c>
      <c r="R53" s="2" t="inlineStr">
        <is>
          <t>Ekticka
Oxtungssvamp
Spillkråka
Ullticka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27727-2024</t>
        </is>
      </c>
      <c r="B54" s="1" t="n">
        <v>45475</v>
      </c>
      <c r="C54" s="1" t="n">
        <v>45923</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51923-2022</t>
        </is>
      </c>
      <c r="B55" s="1" t="n">
        <v>44868</v>
      </c>
      <c r="C55" s="1" t="n">
        <v>45923</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12335-2025</t>
        </is>
      </c>
      <c r="B56" s="1" t="n">
        <v>45730</v>
      </c>
      <c r="C56" s="1" t="n">
        <v>45923</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27380-2024</t>
        </is>
      </c>
      <c r="B57" s="1" t="n">
        <v>45473</v>
      </c>
      <c r="C57" s="1" t="n">
        <v>45923</v>
      </c>
      <c r="D57" t="inlineStr">
        <is>
          <t>KALMAR LÄN</t>
        </is>
      </c>
      <c r="E57" t="inlineStr">
        <is>
          <t>VÄSTERVIK</t>
        </is>
      </c>
      <c r="G57" t="n">
        <v>1.4</v>
      </c>
      <c r="H57" t="n">
        <v>2</v>
      </c>
      <c r="I57" t="n">
        <v>2</v>
      </c>
      <c r="J57" t="n">
        <v>2</v>
      </c>
      <c r="K57" t="n">
        <v>1</v>
      </c>
      <c r="L57" t="n">
        <v>0</v>
      </c>
      <c r="M57" t="n">
        <v>0</v>
      </c>
      <c r="N57" t="n">
        <v>0</v>
      </c>
      <c r="O57" t="n">
        <v>3</v>
      </c>
      <c r="P57" t="n">
        <v>1</v>
      </c>
      <c r="Q57" t="n">
        <v>5</v>
      </c>
      <c r="R57" s="2" t="inlineStr">
        <is>
          <t>Knärot
Tallticka
Talltita
Dropptaggsvamp
Zontaggsvamp</t>
        </is>
      </c>
      <c r="S57">
        <f>HYPERLINK("https://klasma.github.io/Logging_0883/artfynd/A 27380-2024 artfynd.xlsx", "A 27380-2024")</f>
        <v/>
      </c>
      <c r="T57">
        <f>HYPERLINK("https://klasma.github.io/Logging_0883/kartor/A 27380-2024 karta.png", "A 27380-2024")</f>
        <v/>
      </c>
      <c r="U57">
        <f>HYPERLINK("https://klasma.github.io/Logging_0883/knärot/A 27380-2024 karta knärot.png", "A 27380-2024")</f>
        <v/>
      </c>
      <c r="V57">
        <f>HYPERLINK("https://klasma.github.io/Logging_0883/klagomål/A 27380-2024 FSC-klagomål.docx", "A 27380-2024")</f>
        <v/>
      </c>
      <c r="W57">
        <f>HYPERLINK("https://klasma.github.io/Logging_0883/klagomålsmail/A 27380-2024 FSC-klagomål mail.docx", "A 27380-2024")</f>
        <v/>
      </c>
      <c r="X57">
        <f>HYPERLINK("https://klasma.github.io/Logging_0883/tillsyn/A 27380-2024 tillsynsbegäran.docx", "A 27380-2024")</f>
        <v/>
      </c>
      <c r="Y57">
        <f>HYPERLINK("https://klasma.github.io/Logging_0883/tillsynsmail/A 27380-2024 tillsynsbegäran mail.docx", "A 27380-2024")</f>
        <v/>
      </c>
      <c r="Z57">
        <f>HYPERLINK("https://klasma.github.io/Logging_0883/fåglar/A 27380-2024 prioriterade fågelarter.docx", "A 27380-2024")</f>
        <v/>
      </c>
    </row>
    <row r="58" ht="15" customHeight="1">
      <c r="A58" t="inlineStr">
        <is>
          <t>A 31431-2024</t>
        </is>
      </c>
      <c r="B58" s="1" t="n">
        <v>45505</v>
      </c>
      <c r="C58" s="1" t="n">
        <v>45923</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1779-2025</t>
        </is>
      </c>
      <c r="B59" s="1" t="n">
        <v>45671</v>
      </c>
      <c r="C59" s="1" t="n">
        <v>45923</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31060-2024</t>
        </is>
      </c>
      <c r="B60" s="1" t="n">
        <v>45502</v>
      </c>
      <c r="C60" s="1" t="n">
        <v>45923</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48724-2024</t>
        </is>
      </c>
      <c r="B61" s="1" t="n">
        <v>45593.55731481482</v>
      </c>
      <c r="C61" s="1" t="n">
        <v>45923</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18397-2024</t>
        </is>
      </c>
      <c r="B62" s="1" t="n">
        <v>45425</v>
      </c>
      <c r="C62" s="1" t="n">
        <v>45923</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34644-2025</t>
        </is>
      </c>
      <c r="B63" s="1" t="n">
        <v>45848.33202546297</v>
      </c>
      <c r="C63" s="1" t="n">
        <v>45923</v>
      </c>
      <c r="D63" t="inlineStr">
        <is>
          <t>KALMAR LÄN</t>
        </is>
      </c>
      <c r="E63" t="inlineStr">
        <is>
          <t>VÄSTERVIK</t>
        </is>
      </c>
      <c r="G63" t="n">
        <v>0.5</v>
      </c>
      <c r="H63" t="n">
        <v>2</v>
      </c>
      <c r="I63" t="n">
        <v>1</v>
      </c>
      <c r="J63" t="n">
        <v>2</v>
      </c>
      <c r="K63" t="n">
        <v>1</v>
      </c>
      <c r="L63" t="n">
        <v>0</v>
      </c>
      <c r="M63" t="n">
        <v>0</v>
      </c>
      <c r="N63" t="n">
        <v>0</v>
      </c>
      <c r="O63" t="n">
        <v>3</v>
      </c>
      <c r="P63" t="n">
        <v>1</v>
      </c>
      <c r="Q63" t="n">
        <v>4</v>
      </c>
      <c r="R63" s="2" t="inlineStr">
        <is>
          <t>Knärot
Fyrflikig jordstjärna
Talltita
Blåmossa</t>
        </is>
      </c>
      <c r="S63">
        <f>HYPERLINK("https://klasma.github.io/Logging_0883/artfynd/A 34644-2025 artfynd.xlsx", "A 34644-2025")</f>
        <v/>
      </c>
      <c r="T63">
        <f>HYPERLINK("https://klasma.github.io/Logging_0883/kartor/A 34644-2025 karta.png", "A 34644-2025")</f>
        <v/>
      </c>
      <c r="U63">
        <f>HYPERLINK("https://klasma.github.io/Logging_0883/knärot/A 34644-2025 karta knärot.png", "A 34644-2025")</f>
        <v/>
      </c>
      <c r="V63">
        <f>HYPERLINK("https://klasma.github.io/Logging_0883/klagomål/A 34644-2025 FSC-klagomål.docx", "A 34644-2025")</f>
        <v/>
      </c>
      <c r="W63">
        <f>HYPERLINK("https://klasma.github.io/Logging_0883/klagomålsmail/A 34644-2025 FSC-klagomål mail.docx", "A 34644-2025")</f>
        <v/>
      </c>
      <c r="X63">
        <f>HYPERLINK("https://klasma.github.io/Logging_0883/tillsyn/A 34644-2025 tillsynsbegäran.docx", "A 34644-2025")</f>
        <v/>
      </c>
      <c r="Y63">
        <f>HYPERLINK("https://klasma.github.io/Logging_0883/tillsynsmail/A 34644-2025 tillsynsbegäran mail.docx", "A 34644-2025")</f>
        <v/>
      </c>
      <c r="Z63">
        <f>HYPERLINK("https://klasma.github.io/Logging_0883/fåglar/A 34644-2025 prioriterade fågelarter.docx", "A 34644-2025")</f>
        <v/>
      </c>
    </row>
    <row r="64" ht="15" customHeight="1">
      <c r="A64" t="inlineStr">
        <is>
          <t>A 25534-2024</t>
        </is>
      </c>
      <c r="B64" s="1" t="n">
        <v>45463</v>
      </c>
      <c r="C64" s="1" t="n">
        <v>45923</v>
      </c>
      <c r="D64" t="inlineStr">
        <is>
          <t>KALMAR LÄN</t>
        </is>
      </c>
      <c r="E64" t="inlineStr">
        <is>
          <t>VÄSTERVIK</t>
        </is>
      </c>
      <c r="F64" t="inlineStr">
        <is>
          <t>Holmen skog AB</t>
        </is>
      </c>
      <c r="G64" t="n">
        <v>9.5</v>
      </c>
      <c r="H64" t="n">
        <v>1</v>
      </c>
      <c r="I64" t="n">
        <v>2</v>
      </c>
      <c r="J64" t="n">
        <v>1</v>
      </c>
      <c r="K64" t="n">
        <v>1</v>
      </c>
      <c r="L64" t="n">
        <v>0</v>
      </c>
      <c r="M64" t="n">
        <v>0</v>
      </c>
      <c r="N64" t="n">
        <v>0</v>
      </c>
      <c r="O64" t="n">
        <v>2</v>
      </c>
      <c r="P64" t="n">
        <v>1</v>
      </c>
      <c r="Q64" t="n">
        <v>4</v>
      </c>
      <c r="R64" s="2" t="inlineStr">
        <is>
          <t>Knärot
Tallticka
Brandticka
Bronshjon</t>
        </is>
      </c>
      <c r="S64">
        <f>HYPERLINK("https://klasma.github.io/Logging_0883/artfynd/A 25534-2024 artfynd.xlsx", "A 25534-2024")</f>
        <v/>
      </c>
      <c r="T64">
        <f>HYPERLINK("https://klasma.github.io/Logging_0883/kartor/A 25534-2024 karta.png", "A 25534-2024")</f>
        <v/>
      </c>
      <c r="U64">
        <f>HYPERLINK("https://klasma.github.io/Logging_0883/knärot/A 25534-2024 karta knärot.png", "A 25534-2024")</f>
        <v/>
      </c>
      <c r="V64">
        <f>HYPERLINK("https://klasma.github.io/Logging_0883/klagomål/A 25534-2024 FSC-klagomål.docx", "A 25534-2024")</f>
        <v/>
      </c>
      <c r="W64">
        <f>HYPERLINK("https://klasma.github.io/Logging_0883/klagomålsmail/A 25534-2024 FSC-klagomål mail.docx", "A 25534-2024")</f>
        <v/>
      </c>
      <c r="X64">
        <f>HYPERLINK("https://klasma.github.io/Logging_0883/tillsyn/A 25534-2024 tillsynsbegäran.docx", "A 25534-2024")</f>
        <v/>
      </c>
      <c r="Y64">
        <f>HYPERLINK("https://klasma.github.io/Logging_0883/tillsynsmail/A 25534-2024 tillsynsbegäran mail.docx", "A 25534-2024")</f>
        <v/>
      </c>
    </row>
    <row r="65" ht="15" customHeight="1">
      <c r="A65" t="inlineStr">
        <is>
          <t>A 6472-2025</t>
        </is>
      </c>
      <c r="B65" s="1" t="n">
        <v>45699</v>
      </c>
      <c r="C65" s="1" t="n">
        <v>45923</v>
      </c>
      <c r="D65" t="inlineStr">
        <is>
          <t>KALMAR LÄN</t>
        </is>
      </c>
      <c r="E65" t="inlineStr">
        <is>
          <t>VÄSTERVIK</t>
        </is>
      </c>
      <c r="F65" t="inlineStr">
        <is>
          <t>Holmen skog AB</t>
        </is>
      </c>
      <c r="G65" t="n">
        <v>4.3</v>
      </c>
      <c r="H65" t="n">
        <v>4</v>
      </c>
      <c r="I65" t="n">
        <v>0</v>
      </c>
      <c r="J65" t="n">
        <v>2</v>
      </c>
      <c r="K65" t="n">
        <v>0</v>
      </c>
      <c r="L65" t="n">
        <v>0</v>
      </c>
      <c r="M65" t="n">
        <v>0</v>
      </c>
      <c r="N65" t="n">
        <v>0</v>
      </c>
      <c r="O65" t="n">
        <v>2</v>
      </c>
      <c r="P65" t="n">
        <v>0</v>
      </c>
      <c r="Q65" t="n">
        <v>4</v>
      </c>
      <c r="R65" s="2" t="inlineStr">
        <is>
          <t>Spillkråka
Talltita
Kungsfågel
Revlummer</t>
        </is>
      </c>
      <c r="S65">
        <f>HYPERLINK("https://klasma.github.io/Logging_0883/artfynd/A 6472-2025 artfynd.xlsx", "A 6472-2025")</f>
        <v/>
      </c>
      <c r="T65">
        <f>HYPERLINK("https://klasma.github.io/Logging_0883/kartor/A 6472-2025 karta.png", "A 6472-2025")</f>
        <v/>
      </c>
      <c r="V65">
        <f>HYPERLINK("https://klasma.github.io/Logging_0883/klagomål/A 6472-2025 FSC-klagomål.docx", "A 6472-2025")</f>
        <v/>
      </c>
      <c r="W65">
        <f>HYPERLINK("https://klasma.github.io/Logging_0883/klagomålsmail/A 6472-2025 FSC-klagomål mail.docx", "A 6472-2025")</f>
        <v/>
      </c>
      <c r="X65">
        <f>HYPERLINK("https://klasma.github.io/Logging_0883/tillsyn/A 6472-2025 tillsynsbegäran.docx", "A 6472-2025")</f>
        <v/>
      </c>
      <c r="Y65">
        <f>HYPERLINK("https://klasma.github.io/Logging_0883/tillsynsmail/A 6472-2025 tillsynsbegäran mail.docx", "A 6472-2025")</f>
        <v/>
      </c>
      <c r="Z65">
        <f>HYPERLINK("https://klasma.github.io/Logging_0883/fåglar/A 6472-2025 prioriterade fågelarter.docx", "A 6472-2025")</f>
        <v/>
      </c>
    </row>
    <row r="66" ht="15" customHeight="1">
      <c r="A66" t="inlineStr">
        <is>
          <t>A 31914-2025</t>
        </is>
      </c>
      <c r="B66" s="1" t="n">
        <v>45834</v>
      </c>
      <c r="C66" s="1" t="n">
        <v>45923</v>
      </c>
      <c r="D66" t="inlineStr">
        <is>
          <t>KALMAR LÄN</t>
        </is>
      </c>
      <c r="E66" t="inlineStr">
        <is>
          <t>VÄSTERVIK</t>
        </is>
      </c>
      <c r="F66" t="inlineStr">
        <is>
          <t>Holmen skog AB</t>
        </is>
      </c>
      <c r="G66" t="n">
        <v>4.9</v>
      </c>
      <c r="H66" t="n">
        <v>1</v>
      </c>
      <c r="I66" t="n">
        <v>0</v>
      </c>
      <c r="J66" t="n">
        <v>4</v>
      </c>
      <c r="K66" t="n">
        <v>0</v>
      </c>
      <c r="L66" t="n">
        <v>0</v>
      </c>
      <c r="M66" t="n">
        <v>0</v>
      </c>
      <c r="N66" t="n">
        <v>0</v>
      </c>
      <c r="O66" t="n">
        <v>4</v>
      </c>
      <c r="P66" t="n">
        <v>0</v>
      </c>
      <c r="Q66" t="n">
        <v>4</v>
      </c>
      <c r="R66" s="2" t="inlineStr">
        <is>
          <t>Mindre bastardsvärmare
Sexfläckig bastardsvärmare
Smalsprötad bastardsvärmare
Spillkråka</t>
        </is>
      </c>
      <c r="S66">
        <f>HYPERLINK("https://klasma.github.io/Logging_0883/artfynd/A 31914-2025 artfynd.xlsx", "A 31914-2025")</f>
        <v/>
      </c>
      <c r="T66">
        <f>HYPERLINK("https://klasma.github.io/Logging_0883/kartor/A 31914-2025 karta.png", "A 31914-2025")</f>
        <v/>
      </c>
      <c r="V66">
        <f>HYPERLINK("https://klasma.github.io/Logging_0883/klagomål/A 31914-2025 FSC-klagomål.docx", "A 31914-2025")</f>
        <v/>
      </c>
      <c r="W66">
        <f>HYPERLINK("https://klasma.github.io/Logging_0883/klagomålsmail/A 31914-2025 FSC-klagomål mail.docx", "A 31914-2025")</f>
        <v/>
      </c>
      <c r="X66">
        <f>HYPERLINK("https://klasma.github.io/Logging_0883/tillsyn/A 31914-2025 tillsynsbegäran.docx", "A 31914-2025")</f>
        <v/>
      </c>
      <c r="Y66">
        <f>HYPERLINK("https://klasma.github.io/Logging_0883/tillsynsmail/A 31914-2025 tillsynsbegäran mail.docx", "A 31914-2025")</f>
        <v/>
      </c>
      <c r="Z66">
        <f>HYPERLINK("https://klasma.github.io/Logging_0883/fåglar/A 31914-2025 prioriterade fågelarter.docx", "A 31914-2025")</f>
        <v/>
      </c>
    </row>
    <row r="67" ht="15" customHeight="1">
      <c r="A67" t="inlineStr">
        <is>
          <t>A 35939-2024</t>
        </is>
      </c>
      <c r="B67" s="1" t="n">
        <v>45533.45459490741</v>
      </c>
      <c r="C67" s="1" t="n">
        <v>45923</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938-2024</t>
        </is>
      </c>
      <c r="B68" s="1" t="n">
        <v>45301</v>
      </c>
      <c r="C68" s="1" t="n">
        <v>45923</v>
      </c>
      <c r="D68" t="inlineStr">
        <is>
          <t>KALMAR LÄN</t>
        </is>
      </c>
      <c r="E68" t="inlineStr">
        <is>
          <t>VÄSTERVIK</t>
        </is>
      </c>
      <c r="G68" t="n">
        <v>10</v>
      </c>
      <c r="H68" t="n">
        <v>1</v>
      </c>
      <c r="I68" t="n">
        <v>0</v>
      </c>
      <c r="J68" t="n">
        <v>3</v>
      </c>
      <c r="K68" t="n">
        <v>0</v>
      </c>
      <c r="L68" t="n">
        <v>0</v>
      </c>
      <c r="M68" t="n">
        <v>0</v>
      </c>
      <c r="N68" t="n">
        <v>0</v>
      </c>
      <c r="O68" t="n">
        <v>3</v>
      </c>
      <c r="P68" t="n">
        <v>0</v>
      </c>
      <c r="Q68" t="n">
        <v>4</v>
      </c>
      <c r="R68" s="2" t="inlineStr">
        <is>
          <t>Reliktbock
Tallticka
Vintertagging
Tjäder</t>
        </is>
      </c>
      <c r="S68">
        <f>HYPERLINK("https://klasma.github.io/Logging_0883/artfynd/A 938-2024 artfynd.xlsx", "A 938-2024")</f>
        <v/>
      </c>
      <c r="T68">
        <f>HYPERLINK("https://klasma.github.io/Logging_0883/kartor/A 938-2024 karta.png", "A 938-2024")</f>
        <v/>
      </c>
      <c r="V68">
        <f>HYPERLINK("https://klasma.github.io/Logging_0883/klagomål/A 938-2024 FSC-klagomål.docx", "A 938-2024")</f>
        <v/>
      </c>
      <c r="W68">
        <f>HYPERLINK("https://klasma.github.io/Logging_0883/klagomålsmail/A 938-2024 FSC-klagomål mail.docx", "A 938-2024")</f>
        <v/>
      </c>
      <c r="X68">
        <f>HYPERLINK("https://klasma.github.io/Logging_0883/tillsyn/A 938-2024 tillsynsbegäran.docx", "A 938-2024")</f>
        <v/>
      </c>
      <c r="Y68">
        <f>HYPERLINK("https://klasma.github.io/Logging_0883/tillsynsmail/A 938-2024 tillsynsbegäran mail.docx", "A 938-2024")</f>
        <v/>
      </c>
      <c r="Z68">
        <f>HYPERLINK("https://klasma.github.io/Logging_0883/fåglar/A 938-2024 prioriterade fågelarter.docx", "A 938-2024")</f>
        <v/>
      </c>
    </row>
    <row r="69" ht="15" customHeight="1">
      <c r="A69" t="inlineStr">
        <is>
          <t>A 25280-2021</t>
        </is>
      </c>
      <c r="B69" s="1" t="n">
        <v>44342</v>
      </c>
      <c r="C69" s="1" t="n">
        <v>45923</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3781-2025</t>
        </is>
      </c>
      <c r="B70" s="1" t="n">
        <v>45681.62086805556</v>
      </c>
      <c r="C70" s="1" t="n">
        <v>45923</v>
      </c>
      <c r="D70" t="inlineStr">
        <is>
          <t>KALMAR LÄN</t>
        </is>
      </c>
      <c r="E70" t="inlineStr">
        <is>
          <t>VÄSTERVIK</t>
        </is>
      </c>
      <c r="G70" t="n">
        <v>1.4</v>
      </c>
      <c r="H70" t="n">
        <v>4</v>
      </c>
      <c r="I70" t="n">
        <v>0</v>
      </c>
      <c r="J70" t="n">
        <v>2</v>
      </c>
      <c r="K70" t="n">
        <v>0</v>
      </c>
      <c r="L70" t="n">
        <v>0</v>
      </c>
      <c r="M70" t="n">
        <v>0</v>
      </c>
      <c r="N70" t="n">
        <v>0</v>
      </c>
      <c r="O70" t="n">
        <v>2</v>
      </c>
      <c r="P70" t="n">
        <v>0</v>
      </c>
      <c r="Q70" t="n">
        <v>4</v>
      </c>
      <c r="R70" s="2" t="inlineStr">
        <is>
          <t>Spillkråka
Talltita
Kungsfågel
Revlummer</t>
        </is>
      </c>
      <c r="S70">
        <f>HYPERLINK("https://klasma.github.io/Logging_0883/artfynd/A 3781-2025 artfynd.xlsx", "A 3781-2025")</f>
        <v/>
      </c>
      <c r="T70">
        <f>HYPERLINK("https://klasma.github.io/Logging_0883/kartor/A 3781-2025 karta.png", "A 3781-2025")</f>
        <v/>
      </c>
      <c r="V70">
        <f>HYPERLINK("https://klasma.github.io/Logging_0883/klagomål/A 3781-2025 FSC-klagomål.docx", "A 3781-2025")</f>
        <v/>
      </c>
      <c r="W70">
        <f>HYPERLINK("https://klasma.github.io/Logging_0883/klagomålsmail/A 3781-2025 FSC-klagomål mail.docx", "A 3781-2025")</f>
        <v/>
      </c>
      <c r="X70">
        <f>HYPERLINK("https://klasma.github.io/Logging_0883/tillsyn/A 3781-2025 tillsynsbegäran.docx", "A 3781-2025")</f>
        <v/>
      </c>
      <c r="Y70">
        <f>HYPERLINK("https://klasma.github.io/Logging_0883/tillsynsmail/A 3781-2025 tillsynsbegäran mail.docx", "A 3781-2025")</f>
        <v/>
      </c>
      <c r="Z70">
        <f>HYPERLINK("https://klasma.github.io/Logging_0883/fåglar/A 3781-2025 prioriterade fågelarter.docx", "A 3781-2025")</f>
        <v/>
      </c>
    </row>
    <row r="71" ht="15" customHeight="1">
      <c r="A71" t="inlineStr">
        <is>
          <t>A 37438-2021</t>
        </is>
      </c>
      <c r="B71" s="1" t="n">
        <v>44398</v>
      </c>
      <c r="C71" s="1" t="n">
        <v>45923</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59319-2023</t>
        </is>
      </c>
      <c r="B72" s="1" t="n">
        <v>45253</v>
      </c>
      <c r="C72" s="1" t="n">
        <v>45923</v>
      </c>
      <c r="D72" t="inlineStr">
        <is>
          <t>KALMAR LÄN</t>
        </is>
      </c>
      <c r="E72" t="inlineStr">
        <is>
          <t>VÄSTERVIK</t>
        </is>
      </c>
      <c r="G72" t="n">
        <v>1</v>
      </c>
      <c r="H72" t="n">
        <v>1</v>
      </c>
      <c r="I72" t="n">
        <v>2</v>
      </c>
      <c r="J72" t="n">
        <v>0</v>
      </c>
      <c r="K72" t="n">
        <v>1</v>
      </c>
      <c r="L72" t="n">
        <v>1</v>
      </c>
      <c r="M72" t="n">
        <v>0</v>
      </c>
      <c r="N72" t="n">
        <v>0</v>
      </c>
      <c r="O72" t="n">
        <v>2</v>
      </c>
      <c r="P72" t="n">
        <v>2</v>
      </c>
      <c r="Q72" t="n">
        <v>4</v>
      </c>
      <c r="R72" s="2" t="inlineStr">
        <is>
          <t>Tallharticka
Knärot
Blomkålssvamp
Grönpyrola</t>
        </is>
      </c>
      <c r="S72">
        <f>HYPERLINK("https://klasma.github.io/Logging_0883/artfynd/A 59319-2023 artfynd.xlsx", "A 59319-2023")</f>
        <v/>
      </c>
      <c r="T72">
        <f>HYPERLINK("https://klasma.github.io/Logging_0883/kartor/A 59319-2023 karta.png", "A 59319-2023")</f>
        <v/>
      </c>
      <c r="U72">
        <f>HYPERLINK("https://klasma.github.io/Logging_0883/knärot/A 59319-2023 karta knärot.png", "A 59319-2023")</f>
        <v/>
      </c>
      <c r="V72">
        <f>HYPERLINK("https://klasma.github.io/Logging_0883/klagomål/A 59319-2023 FSC-klagomål.docx", "A 59319-2023")</f>
        <v/>
      </c>
      <c r="W72">
        <f>HYPERLINK("https://klasma.github.io/Logging_0883/klagomålsmail/A 59319-2023 FSC-klagomål mail.docx", "A 59319-2023")</f>
        <v/>
      </c>
      <c r="X72">
        <f>HYPERLINK("https://klasma.github.io/Logging_0883/tillsyn/A 59319-2023 tillsynsbegäran.docx", "A 59319-2023")</f>
        <v/>
      </c>
      <c r="Y72">
        <f>HYPERLINK("https://klasma.github.io/Logging_0883/tillsynsmail/A 59319-2023 tillsynsbegäran mail.docx", "A 59319-2023")</f>
        <v/>
      </c>
    </row>
    <row r="73" ht="15" customHeight="1">
      <c r="A73" t="inlineStr">
        <is>
          <t>A 10781-2025</t>
        </is>
      </c>
      <c r="B73" s="1" t="n">
        <v>45722</v>
      </c>
      <c r="C73" s="1" t="n">
        <v>45923</v>
      </c>
      <c r="D73" t="inlineStr">
        <is>
          <t>KALMAR LÄN</t>
        </is>
      </c>
      <c r="E73" t="inlineStr">
        <is>
          <t>VÄSTERVIK</t>
        </is>
      </c>
      <c r="G73" t="n">
        <v>2.8</v>
      </c>
      <c r="H73" t="n">
        <v>3</v>
      </c>
      <c r="I73" t="n">
        <v>1</v>
      </c>
      <c r="J73" t="n">
        <v>2</v>
      </c>
      <c r="K73" t="n">
        <v>0</v>
      </c>
      <c r="L73" t="n">
        <v>0</v>
      </c>
      <c r="M73" t="n">
        <v>0</v>
      </c>
      <c r="N73" t="n">
        <v>0</v>
      </c>
      <c r="O73" t="n">
        <v>2</v>
      </c>
      <c r="P73" t="n">
        <v>0</v>
      </c>
      <c r="Q73" t="n">
        <v>4</v>
      </c>
      <c r="R73" s="2" t="inlineStr">
        <is>
          <t>Spillkråka
Talltita
Grovticka
Kungsfågel</t>
        </is>
      </c>
      <c r="S73">
        <f>HYPERLINK("https://klasma.github.io/Logging_0883/artfynd/A 10781-2025 artfynd.xlsx", "A 10781-2025")</f>
        <v/>
      </c>
      <c r="T73">
        <f>HYPERLINK("https://klasma.github.io/Logging_0883/kartor/A 10781-2025 karta.png", "A 10781-2025")</f>
        <v/>
      </c>
      <c r="V73">
        <f>HYPERLINK("https://klasma.github.io/Logging_0883/klagomål/A 10781-2025 FSC-klagomål.docx", "A 10781-2025")</f>
        <v/>
      </c>
      <c r="W73">
        <f>HYPERLINK("https://klasma.github.io/Logging_0883/klagomålsmail/A 10781-2025 FSC-klagomål mail.docx", "A 10781-2025")</f>
        <v/>
      </c>
      <c r="X73">
        <f>HYPERLINK("https://klasma.github.io/Logging_0883/tillsyn/A 10781-2025 tillsynsbegäran.docx", "A 10781-2025")</f>
        <v/>
      </c>
      <c r="Y73">
        <f>HYPERLINK("https://klasma.github.io/Logging_0883/tillsynsmail/A 10781-2025 tillsynsbegäran mail.docx", "A 10781-2025")</f>
        <v/>
      </c>
      <c r="Z73">
        <f>HYPERLINK("https://klasma.github.io/Logging_0883/fåglar/A 10781-2025 prioriterade fågelarter.docx", "A 10781-2025")</f>
        <v/>
      </c>
    </row>
    <row r="74" ht="15" customHeight="1">
      <c r="A74" t="inlineStr">
        <is>
          <t>A 37524-2025</t>
        </is>
      </c>
      <c r="B74" s="1" t="n">
        <v>45877</v>
      </c>
      <c r="C74" s="1" t="n">
        <v>45923</v>
      </c>
      <c r="D74" t="inlineStr">
        <is>
          <t>KALMAR LÄN</t>
        </is>
      </c>
      <c r="E74" t="inlineStr">
        <is>
          <t>VÄSTERVIK</t>
        </is>
      </c>
      <c r="G74" t="n">
        <v>3.3</v>
      </c>
      <c r="H74" t="n">
        <v>2</v>
      </c>
      <c r="I74" t="n">
        <v>1</v>
      </c>
      <c r="J74" t="n">
        <v>2</v>
      </c>
      <c r="K74" t="n">
        <v>1</v>
      </c>
      <c r="L74" t="n">
        <v>0</v>
      </c>
      <c r="M74" t="n">
        <v>0</v>
      </c>
      <c r="N74" t="n">
        <v>0</v>
      </c>
      <c r="O74" t="n">
        <v>3</v>
      </c>
      <c r="P74" t="n">
        <v>1</v>
      </c>
      <c r="Q74" t="n">
        <v>4</v>
      </c>
      <c r="R74" s="2" t="inlineStr">
        <is>
          <t>Knärot
Svart taggsvamp
Talltita
Blomkålssvamp</t>
        </is>
      </c>
      <c r="S74">
        <f>HYPERLINK("https://klasma.github.io/Logging_0883/artfynd/A 37524-2025 artfynd.xlsx", "A 37524-2025")</f>
        <v/>
      </c>
      <c r="T74">
        <f>HYPERLINK("https://klasma.github.io/Logging_0883/kartor/A 37524-2025 karta.png", "A 37524-2025")</f>
        <v/>
      </c>
      <c r="U74">
        <f>HYPERLINK("https://klasma.github.io/Logging_0883/knärot/A 37524-2025 karta knärot.png", "A 37524-2025")</f>
        <v/>
      </c>
      <c r="V74">
        <f>HYPERLINK("https://klasma.github.io/Logging_0883/klagomål/A 37524-2025 FSC-klagomål.docx", "A 37524-2025")</f>
        <v/>
      </c>
      <c r="W74">
        <f>HYPERLINK("https://klasma.github.io/Logging_0883/klagomålsmail/A 37524-2025 FSC-klagomål mail.docx", "A 37524-2025")</f>
        <v/>
      </c>
      <c r="X74">
        <f>HYPERLINK("https://klasma.github.io/Logging_0883/tillsyn/A 37524-2025 tillsynsbegäran.docx", "A 37524-2025")</f>
        <v/>
      </c>
      <c r="Y74">
        <f>HYPERLINK("https://klasma.github.io/Logging_0883/tillsynsmail/A 37524-2025 tillsynsbegäran mail.docx", "A 37524-2025")</f>
        <v/>
      </c>
      <c r="Z74">
        <f>HYPERLINK("https://klasma.github.io/Logging_0883/fåglar/A 37524-2025 prioriterade fågelarter.docx", "A 37524-2025")</f>
        <v/>
      </c>
    </row>
    <row r="75" ht="15" customHeight="1">
      <c r="A75" t="inlineStr">
        <is>
          <t>A 41571-2024</t>
        </is>
      </c>
      <c r="B75" s="1" t="n">
        <v>45560.54571759259</v>
      </c>
      <c r="C75" s="1" t="n">
        <v>45923</v>
      </c>
      <c r="D75" t="inlineStr">
        <is>
          <t>KALMAR LÄN</t>
        </is>
      </c>
      <c r="E75" t="inlineStr">
        <is>
          <t>VÄSTERVIK</t>
        </is>
      </c>
      <c r="G75" t="n">
        <v>5.2</v>
      </c>
      <c r="H75" t="n">
        <v>1</v>
      </c>
      <c r="I75" t="n">
        <v>2</v>
      </c>
      <c r="J75" t="n">
        <v>2</v>
      </c>
      <c r="K75" t="n">
        <v>0</v>
      </c>
      <c r="L75" t="n">
        <v>0</v>
      </c>
      <c r="M75" t="n">
        <v>0</v>
      </c>
      <c r="N75" t="n">
        <v>0</v>
      </c>
      <c r="O75" t="n">
        <v>2</v>
      </c>
      <c r="P75" t="n">
        <v>0</v>
      </c>
      <c r="Q75" t="n">
        <v>4</v>
      </c>
      <c r="R75" s="2" t="inlineStr">
        <is>
          <t>Tallticka
Talltita
Blåmossa
Dropptaggsvamp</t>
        </is>
      </c>
      <c r="S75">
        <f>HYPERLINK("https://klasma.github.io/Logging_0883/artfynd/A 41571-2024 artfynd.xlsx", "A 41571-2024")</f>
        <v/>
      </c>
      <c r="T75">
        <f>HYPERLINK("https://klasma.github.io/Logging_0883/kartor/A 41571-2024 karta.png", "A 41571-2024")</f>
        <v/>
      </c>
      <c r="U75">
        <f>HYPERLINK("https://klasma.github.io/Logging_0883/knärot/A 41571-2024 karta knärot.png", "A 41571-2024")</f>
        <v/>
      </c>
      <c r="V75">
        <f>HYPERLINK("https://klasma.github.io/Logging_0883/klagomål/A 41571-2024 FSC-klagomål.docx", "A 41571-2024")</f>
        <v/>
      </c>
      <c r="W75">
        <f>HYPERLINK("https://klasma.github.io/Logging_0883/klagomålsmail/A 41571-2024 FSC-klagomål mail.docx", "A 41571-2024")</f>
        <v/>
      </c>
      <c r="X75">
        <f>HYPERLINK("https://klasma.github.io/Logging_0883/tillsyn/A 41571-2024 tillsynsbegäran.docx", "A 41571-2024")</f>
        <v/>
      </c>
      <c r="Y75">
        <f>HYPERLINK("https://klasma.github.io/Logging_0883/tillsynsmail/A 41571-2024 tillsynsbegäran mail.docx", "A 41571-2024")</f>
        <v/>
      </c>
      <c r="Z75">
        <f>HYPERLINK("https://klasma.github.io/Logging_0883/fåglar/A 41571-2024 prioriterade fågelarter.docx", "A 41571-2024")</f>
        <v/>
      </c>
    </row>
    <row r="76" ht="15" customHeight="1">
      <c r="A76" t="inlineStr">
        <is>
          <t>A 9975-2024</t>
        </is>
      </c>
      <c r="B76" s="1" t="n">
        <v>45363</v>
      </c>
      <c r="C76" s="1" t="n">
        <v>45923</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54233-2023</t>
        </is>
      </c>
      <c r="B77" s="1" t="n">
        <v>45232</v>
      </c>
      <c r="C77" s="1" t="n">
        <v>45923</v>
      </c>
      <c r="D77" t="inlineStr">
        <is>
          <t>KALMAR LÄN</t>
        </is>
      </c>
      <c r="E77" t="inlineStr">
        <is>
          <t>VÄSTERVIK</t>
        </is>
      </c>
      <c r="G77" t="n">
        <v>1.9</v>
      </c>
      <c r="H77" t="n">
        <v>2</v>
      </c>
      <c r="I77" t="n">
        <v>1</v>
      </c>
      <c r="J77" t="n">
        <v>2</v>
      </c>
      <c r="K77" t="n">
        <v>1</v>
      </c>
      <c r="L77" t="n">
        <v>0</v>
      </c>
      <c r="M77" t="n">
        <v>0</v>
      </c>
      <c r="N77" t="n">
        <v>0</v>
      </c>
      <c r="O77" t="n">
        <v>3</v>
      </c>
      <c r="P77" t="n">
        <v>1</v>
      </c>
      <c r="Q77" t="n">
        <v>4</v>
      </c>
      <c r="R77" s="2" t="inlineStr">
        <is>
          <t>Knärot
Tallticka
Talltita
Blåmossa</t>
        </is>
      </c>
      <c r="S77">
        <f>HYPERLINK("https://klasma.github.io/Logging_0883/artfynd/A 54233-2023 artfynd.xlsx", "A 54233-2023")</f>
        <v/>
      </c>
      <c r="T77">
        <f>HYPERLINK("https://klasma.github.io/Logging_0883/kartor/A 54233-2023 karta.png", "A 54233-2023")</f>
        <v/>
      </c>
      <c r="U77">
        <f>HYPERLINK("https://klasma.github.io/Logging_0883/knärot/A 54233-2023 karta knärot.png", "A 54233-2023")</f>
        <v/>
      </c>
      <c r="V77">
        <f>HYPERLINK("https://klasma.github.io/Logging_0883/klagomål/A 54233-2023 FSC-klagomål.docx", "A 54233-2023")</f>
        <v/>
      </c>
      <c r="W77">
        <f>HYPERLINK("https://klasma.github.io/Logging_0883/klagomålsmail/A 54233-2023 FSC-klagomål mail.docx", "A 54233-2023")</f>
        <v/>
      </c>
      <c r="X77">
        <f>HYPERLINK("https://klasma.github.io/Logging_0883/tillsyn/A 54233-2023 tillsynsbegäran.docx", "A 54233-2023")</f>
        <v/>
      </c>
      <c r="Y77">
        <f>HYPERLINK("https://klasma.github.io/Logging_0883/tillsynsmail/A 54233-2023 tillsynsbegäran mail.docx", "A 54233-2023")</f>
        <v/>
      </c>
      <c r="Z77">
        <f>HYPERLINK("https://klasma.github.io/Logging_0883/fåglar/A 54233-2023 prioriterade fågelarter.docx", "A 54233-2023")</f>
        <v/>
      </c>
    </row>
    <row r="78" ht="15" customHeight="1">
      <c r="A78" t="inlineStr">
        <is>
          <t>A 24839-2025</t>
        </is>
      </c>
      <c r="B78" s="1" t="n">
        <v>45799.4640625</v>
      </c>
      <c r="C78" s="1" t="n">
        <v>45923</v>
      </c>
      <c r="D78" t="inlineStr">
        <is>
          <t>KALMAR LÄN</t>
        </is>
      </c>
      <c r="E78" t="inlineStr">
        <is>
          <t>VÄSTERVIK</t>
        </is>
      </c>
      <c r="F78" t="inlineStr">
        <is>
          <t>Holmen skog AB</t>
        </is>
      </c>
      <c r="G78" t="n">
        <v>8.300000000000001</v>
      </c>
      <c r="H78" t="n">
        <v>2</v>
      </c>
      <c r="I78" t="n">
        <v>1</v>
      </c>
      <c r="J78" t="n">
        <v>2</v>
      </c>
      <c r="K78" t="n">
        <v>0</v>
      </c>
      <c r="L78" t="n">
        <v>0</v>
      </c>
      <c r="M78" t="n">
        <v>0</v>
      </c>
      <c r="N78" t="n">
        <v>0</v>
      </c>
      <c r="O78" t="n">
        <v>2</v>
      </c>
      <c r="P78" t="n">
        <v>0</v>
      </c>
      <c r="Q78" t="n">
        <v>4</v>
      </c>
      <c r="R78" s="2" t="inlineStr">
        <is>
          <t>Grönsångare
Tallticka
Murgröna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20366-2024</t>
        </is>
      </c>
      <c r="B79" s="1" t="n">
        <v>45435</v>
      </c>
      <c r="C79" s="1" t="n">
        <v>45923</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63366-2023</t>
        </is>
      </c>
      <c r="B80" s="1" t="n">
        <v>45274</v>
      </c>
      <c r="C80" s="1" t="n">
        <v>45923</v>
      </c>
      <c r="D80" t="inlineStr">
        <is>
          <t>KALMAR LÄN</t>
        </is>
      </c>
      <c r="E80" t="inlineStr">
        <is>
          <t>VÄSTERVIK</t>
        </is>
      </c>
      <c r="G80" t="n">
        <v>4.1</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63366-2023 artfynd.xlsx", "A 63366-2023")</f>
        <v/>
      </c>
      <c r="T80">
        <f>HYPERLINK("https://klasma.github.io/Logging_0883/kartor/A 63366-2023 karta.png", "A 63366-2023")</f>
        <v/>
      </c>
      <c r="U80">
        <f>HYPERLINK("https://klasma.github.io/Logging_0883/knärot/A 63366-2023 karta knärot.png", "A 63366-2023")</f>
        <v/>
      </c>
      <c r="V80">
        <f>HYPERLINK("https://klasma.github.io/Logging_0883/klagomål/A 63366-2023 FSC-klagomål.docx", "A 63366-2023")</f>
        <v/>
      </c>
      <c r="W80">
        <f>HYPERLINK("https://klasma.github.io/Logging_0883/klagomålsmail/A 63366-2023 FSC-klagomål mail.docx", "A 63366-2023")</f>
        <v/>
      </c>
      <c r="X80">
        <f>HYPERLINK("https://klasma.github.io/Logging_0883/tillsyn/A 63366-2023 tillsynsbegäran.docx", "A 63366-2023")</f>
        <v/>
      </c>
      <c r="Y80">
        <f>HYPERLINK("https://klasma.github.io/Logging_0883/tillsynsmail/A 63366-2023 tillsynsbegäran mail.docx", "A 63366-2023")</f>
        <v/>
      </c>
      <c r="Z80">
        <f>HYPERLINK("https://klasma.github.io/Logging_0883/fåglar/A 63366-2023 prioriterade fågelarter.docx", "A 63366-2023")</f>
        <v/>
      </c>
    </row>
    <row r="81" ht="15" customHeight="1">
      <c r="A81" t="inlineStr">
        <is>
          <t>A 26985-2025</t>
        </is>
      </c>
      <c r="B81" s="1" t="n">
        <v>45811</v>
      </c>
      <c r="C81" s="1" t="n">
        <v>45923</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58955-2022</t>
        </is>
      </c>
      <c r="B82" s="1" t="n">
        <v>44896</v>
      </c>
      <c r="C82" s="1" t="n">
        <v>45923</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9097-2021</t>
        </is>
      </c>
      <c r="B83" s="1" t="n">
        <v>44249</v>
      </c>
      <c r="C83" s="1" t="n">
        <v>45923</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51590-2024</t>
        </is>
      </c>
      <c r="B84" s="1" t="n">
        <v>45604</v>
      </c>
      <c r="C84" s="1" t="n">
        <v>45923</v>
      </c>
      <c r="D84" t="inlineStr">
        <is>
          <t>KALMAR LÄN</t>
        </is>
      </c>
      <c r="E84" t="inlineStr">
        <is>
          <t>VÄSTERVIK</t>
        </is>
      </c>
      <c r="F84" t="inlineStr">
        <is>
          <t>Övriga Aktiebolag</t>
        </is>
      </c>
      <c r="G84" t="n">
        <v>2.3</v>
      </c>
      <c r="H84" t="n">
        <v>3</v>
      </c>
      <c r="I84" t="n">
        <v>0</v>
      </c>
      <c r="J84" t="n">
        <v>2</v>
      </c>
      <c r="K84" t="n">
        <v>1</v>
      </c>
      <c r="L84" t="n">
        <v>0</v>
      </c>
      <c r="M84" t="n">
        <v>0</v>
      </c>
      <c r="N84" t="n">
        <v>0</v>
      </c>
      <c r="O84" t="n">
        <v>3</v>
      </c>
      <c r="P84" t="n">
        <v>1</v>
      </c>
      <c r="Q84" t="n">
        <v>3</v>
      </c>
      <c r="R84" s="2" t="inlineStr">
        <is>
          <t>Knärot
Spillkråka
Talltita</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16948-2024</t>
        </is>
      </c>
      <c r="B85" s="1" t="n">
        <v>45411</v>
      </c>
      <c r="C85" s="1" t="n">
        <v>45923</v>
      </c>
      <c r="D85" t="inlineStr">
        <is>
          <t>KALMAR LÄN</t>
        </is>
      </c>
      <c r="E85" t="inlineStr">
        <is>
          <t>VÄSTERVIK</t>
        </is>
      </c>
      <c r="G85" t="n">
        <v>13.3</v>
      </c>
      <c r="H85" t="n">
        <v>2</v>
      </c>
      <c r="I85" t="n">
        <v>0</v>
      </c>
      <c r="J85" t="n">
        <v>2</v>
      </c>
      <c r="K85" t="n">
        <v>1</v>
      </c>
      <c r="L85" t="n">
        <v>0</v>
      </c>
      <c r="M85" t="n">
        <v>0</v>
      </c>
      <c r="N85" t="n">
        <v>0</v>
      </c>
      <c r="O85" t="n">
        <v>3</v>
      </c>
      <c r="P85" t="n">
        <v>1</v>
      </c>
      <c r="Q85" t="n">
        <v>3</v>
      </c>
      <c r="R85" s="2" t="inlineStr">
        <is>
          <t>Knärot
Spillkråka
Tallticka</t>
        </is>
      </c>
      <c r="S85">
        <f>HYPERLINK("https://klasma.github.io/Logging_0883/artfynd/A 16948-2024 artfynd.xlsx", "A 16948-2024")</f>
        <v/>
      </c>
      <c r="T85">
        <f>HYPERLINK("https://klasma.github.io/Logging_0883/kartor/A 16948-2024 karta.png", "A 16948-2024")</f>
        <v/>
      </c>
      <c r="U85">
        <f>HYPERLINK("https://klasma.github.io/Logging_0883/knärot/A 16948-2024 karta knärot.png", "A 16948-2024")</f>
        <v/>
      </c>
      <c r="V85">
        <f>HYPERLINK("https://klasma.github.io/Logging_0883/klagomål/A 16948-2024 FSC-klagomål.docx", "A 16948-2024")</f>
        <v/>
      </c>
      <c r="W85">
        <f>HYPERLINK("https://klasma.github.io/Logging_0883/klagomålsmail/A 16948-2024 FSC-klagomål mail.docx", "A 16948-2024")</f>
        <v/>
      </c>
      <c r="X85">
        <f>HYPERLINK("https://klasma.github.io/Logging_0883/tillsyn/A 16948-2024 tillsynsbegäran.docx", "A 16948-2024")</f>
        <v/>
      </c>
      <c r="Y85">
        <f>HYPERLINK("https://klasma.github.io/Logging_0883/tillsynsmail/A 16948-2024 tillsynsbegäran mail.docx", "A 16948-2024")</f>
        <v/>
      </c>
      <c r="Z85">
        <f>HYPERLINK("https://klasma.github.io/Logging_0883/fåglar/A 16948-2024 prioriterade fågelarter.docx", "A 16948-2024")</f>
        <v/>
      </c>
    </row>
    <row r="86" ht="15" customHeight="1">
      <c r="A86" t="inlineStr">
        <is>
          <t>A 35705-2025</t>
        </is>
      </c>
      <c r="B86" s="1" t="n">
        <v>45860.36769675926</v>
      </c>
      <c r="C86" s="1" t="n">
        <v>45923</v>
      </c>
      <c r="D86" t="inlineStr">
        <is>
          <t>KALMAR LÄN</t>
        </is>
      </c>
      <c r="E86" t="inlineStr">
        <is>
          <t>VÄSTERVIK</t>
        </is>
      </c>
      <c r="G86" t="n">
        <v>2.5</v>
      </c>
      <c r="H86" t="n">
        <v>2</v>
      </c>
      <c r="I86" t="n">
        <v>1</v>
      </c>
      <c r="J86" t="n">
        <v>1</v>
      </c>
      <c r="K86" t="n">
        <v>0</v>
      </c>
      <c r="L86" t="n">
        <v>0</v>
      </c>
      <c r="M86" t="n">
        <v>0</v>
      </c>
      <c r="N86" t="n">
        <v>0</v>
      </c>
      <c r="O86" t="n">
        <v>1</v>
      </c>
      <c r="P86" t="n">
        <v>0</v>
      </c>
      <c r="Q86" t="n">
        <v>3</v>
      </c>
      <c r="R86" s="2" t="inlineStr">
        <is>
          <t>Talltita
Grovticka
Kungsfågel</t>
        </is>
      </c>
      <c r="S86">
        <f>HYPERLINK("https://klasma.github.io/Logging_0883/artfynd/A 35705-2025 artfynd.xlsx", "A 35705-2025")</f>
        <v/>
      </c>
      <c r="T86">
        <f>HYPERLINK("https://klasma.github.io/Logging_0883/kartor/A 35705-2025 karta.png", "A 35705-2025")</f>
        <v/>
      </c>
      <c r="U86">
        <f>HYPERLINK("https://klasma.github.io/Logging_0883/knärot/A 35705-2025 karta knärot.png", "A 35705-2025")</f>
        <v/>
      </c>
      <c r="V86">
        <f>HYPERLINK("https://klasma.github.io/Logging_0883/klagomål/A 35705-2025 FSC-klagomål.docx", "A 35705-2025")</f>
        <v/>
      </c>
      <c r="W86">
        <f>HYPERLINK("https://klasma.github.io/Logging_0883/klagomålsmail/A 35705-2025 FSC-klagomål mail.docx", "A 35705-2025")</f>
        <v/>
      </c>
      <c r="X86">
        <f>HYPERLINK("https://klasma.github.io/Logging_0883/tillsyn/A 35705-2025 tillsynsbegäran.docx", "A 35705-2025")</f>
        <v/>
      </c>
      <c r="Y86">
        <f>HYPERLINK("https://klasma.github.io/Logging_0883/tillsynsmail/A 35705-2025 tillsynsbegäran mail.docx", "A 35705-2025")</f>
        <v/>
      </c>
      <c r="Z86">
        <f>HYPERLINK("https://klasma.github.io/Logging_0883/fåglar/A 35705-2025 prioriterade fågelarter.docx", "A 35705-2025")</f>
        <v/>
      </c>
    </row>
    <row r="87" ht="15" customHeight="1">
      <c r="A87" t="inlineStr">
        <is>
          <t>A 13956-2025</t>
        </is>
      </c>
      <c r="B87" s="1" t="n">
        <v>45737</v>
      </c>
      <c r="C87" s="1" t="n">
        <v>45923</v>
      </c>
      <c r="D87" t="inlineStr">
        <is>
          <t>KALMAR LÄN</t>
        </is>
      </c>
      <c r="E87" t="inlineStr">
        <is>
          <t>VÄSTERVIK</t>
        </is>
      </c>
      <c r="G87" t="n">
        <v>2.5</v>
      </c>
      <c r="H87" t="n">
        <v>2</v>
      </c>
      <c r="I87" t="n">
        <v>1</v>
      </c>
      <c r="J87" t="n">
        <v>1</v>
      </c>
      <c r="K87" t="n">
        <v>1</v>
      </c>
      <c r="L87" t="n">
        <v>0</v>
      </c>
      <c r="M87" t="n">
        <v>0</v>
      </c>
      <c r="N87" t="n">
        <v>0</v>
      </c>
      <c r="O87" t="n">
        <v>2</v>
      </c>
      <c r="P87" t="n">
        <v>1</v>
      </c>
      <c r="Q87" t="n">
        <v>3</v>
      </c>
      <c r="R87" s="2" t="inlineStr">
        <is>
          <t>Knärot
Mindre hackspett
Grönpyrola</t>
        </is>
      </c>
      <c r="S87">
        <f>HYPERLINK("https://klasma.github.io/Logging_0883/artfynd/A 13956-2025 artfynd.xlsx", "A 13956-2025")</f>
        <v/>
      </c>
      <c r="T87">
        <f>HYPERLINK("https://klasma.github.io/Logging_0883/kartor/A 13956-2025 karta.png", "A 13956-2025")</f>
        <v/>
      </c>
      <c r="U87">
        <f>HYPERLINK("https://klasma.github.io/Logging_0883/knärot/A 13956-2025 karta knärot.png", "A 13956-2025")</f>
        <v/>
      </c>
      <c r="V87">
        <f>HYPERLINK("https://klasma.github.io/Logging_0883/klagomål/A 13956-2025 FSC-klagomål.docx", "A 13956-2025")</f>
        <v/>
      </c>
      <c r="W87">
        <f>HYPERLINK("https://klasma.github.io/Logging_0883/klagomålsmail/A 13956-2025 FSC-klagomål mail.docx", "A 13956-2025")</f>
        <v/>
      </c>
      <c r="X87">
        <f>HYPERLINK("https://klasma.github.io/Logging_0883/tillsyn/A 13956-2025 tillsynsbegäran.docx", "A 13956-2025")</f>
        <v/>
      </c>
      <c r="Y87">
        <f>HYPERLINK("https://klasma.github.io/Logging_0883/tillsynsmail/A 13956-2025 tillsynsbegäran mail.docx", "A 13956-2025")</f>
        <v/>
      </c>
      <c r="Z87">
        <f>HYPERLINK("https://klasma.github.io/Logging_0883/fåglar/A 13956-2025 prioriterade fågelarter.docx", "A 13956-2025")</f>
        <v/>
      </c>
    </row>
    <row r="88" ht="15" customHeight="1">
      <c r="A88" t="inlineStr">
        <is>
          <t>A 36109-2025</t>
        </is>
      </c>
      <c r="B88" s="1" t="n">
        <v>45866.56780092593</v>
      </c>
      <c r="C88" s="1" t="n">
        <v>45923</v>
      </c>
      <c r="D88" t="inlineStr">
        <is>
          <t>KALMAR LÄN</t>
        </is>
      </c>
      <c r="E88" t="inlineStr">
        <is>
          <t>VÄSTERVIK</t>
        </is>
      </c>
      <c r="G88" t="n">
        <v>12.5</v>
      </c>
      <c r="H88" t="n">
        <v>1</v>
      </c>
      <c r="I88" t="n">
        <v>2</v>
      </c>
      <c r="J88" t="n">
        <v>0</v>
      </c>
      <c r="K88" t="n">
        <v>1</v>
      </c>
      <c r="L88" t="n">
        <v>0</v>
      </c>
      <c r="M88" t="n">
        <v>0</v>
      </c>
      <c r="N88" t="n">
        <v>0</v>
      </c>
      <c r="O88" t="n">
        <v>1</v>
      </c>
      <c r="P88" t="n">
        <v>1</v>
      </c>
      <c r="Q88" t="n">
        <v>3</v>
      </c>
      <c r="R88" s="2" t="inlineStr">
        <is>
          <t>Knärot
Blåmossa
Grönpyrola</t>
        </is>
      </c>
      <c r="S88">
        <f>HYPERLINK("https://klasma.github.io/Logging_0883/artfynd/A 36109-2025 artfynd.xlsx", "A 36109-2025")</f>
        <v/>
      </c>
      <c r="T88">
        <f>HYPERLINK("https://klasma.github.io/Logging_0883/kartor/A 36109-2025 karta.png", "A 36109-2025")</f>
        <v/>
      </c>
      <c r="U88">
        <f>HYPERLINK("https://klasma.github.io/Logging_0883/knärot/A 36109-2025 karta knärot.png", "A 36109-2025")</f>
        <v/>
      </c>
      <c r="V88">
        <f>HYPERLINK("https://klasma.github.io/Logging_0883/klagomål/A 36109-2025 FSC-klagomål.docx", "A 36109-2025")</f>
        <v/>
      </c>
      <c r="W88">
        <f>HYPERLINK("https://klasma.github.io/Logging_0883/klagomålsmail/A 36109-2025 FSC-klagomål mail.docx", "A 36109-2025")</f>
        <v/>
      </c>
      <c r="X88">
        <f>HYPERLINK("https://klasma.github.io/Logging_0883/tillsyn/A 36109-2025 tillsynsbegäran.docx", "A 36109-2025")</f>
        <v/>
      </c>
      <c r="Y88">
        <f>HYPERLINK("https://klasma.github.io/Logging_0883/tillsynsmail/A 36109-2025 tillsynsbegäran mail.docx", "A 36109-2025")</f>
        <v/>
      </c>
    </row>
    <row r="89" ht="15" customHeight="1">
      <c r="A89" t="inlineStr">
        <is>
          <t>A 31854-2025</t>
        </is>
      </c>
      <c r="B89" s="1" t="n">
        <v>45834</v>
      </c>
      <c r="C89" s="1" t="n">
        <v>45923</v>
      </c>
      <c r="D89" t="inlineStr">
        <is>
          <t>KALMAR LÄN</t>
        </is>
      </c>
      <c r="E89" t="inlineStr">
        <is>
          <t>VÄSTERVIK</t>
        </is>
      </c>
      <c r="F89" t="inlineStr">
        <is>
          <t>Holmen skog AB</t>
        </is>
      </c>
      <c r="G89" t="n">
        <v>4.3</v>
      </c>
      <c r="H89" t="n">
        <v>2</v>
      </c>
      <c r="I89" t="n">
        <v>1</v>
      </c>
      <c r="J89" t="n">
        <v>1</v>
      </c>
      <c r="K89" t="n">
        <v>1</v>
      </c>
      <c r="L89" t="n">
        <v>0</v>
      </c>
      <c r="M89" t="n">
        <v>0</v>
      </c>
      <c r="N89" t="n">
        <v>0</v>
      </c>
      <c r="O89" t="n">
        <v>2</v>
      </c>
      <c r="P89" t="n">
        <v>1</v>
      </c>
      <c r="Q89" t="n">
        <v>3</v>
      </c>
      <c r="R89" s="2" t="inlineStr">
        <is>
          <t>Knärot
Talltita
Grönpyrola</t>
        </is>
      </c>
      <c r="S89">
        <f>HYPERLINK("https://klasma.github.io/Logging_0883/artfynd/A 31854-2025 artfynd.xlsx", "A 31854-2025")</f>
        <v/>
      </c>
      <c r="T89">
        <f>HYPERLINK("https://klasma.github.io/Logging_0883/kartor/A 31854-2025 karta.png", "A 31854-2025")</f>
        <v/>
      </c>
      <c r="U89">
        <f>HYPERLINK("https://klasma.github.io/Logging_0883/knärot/A 31854-2025 karta knärot.png", "A 31854-2025")</f>
        <v/>
      </c>
      <c r="V89">
        <f>HYPERLINK("https://klasma.github.io/Logging_0883/klagomål/A 31854-2025 FSC-klagomål.docx", "A 31854-2025")</f>
        <v/>
      </c>
      <c r="W89">
        <f>HYPERLINK("https://klasma.github.io/Logging_0883/klagomålsmail/A 31854-2025 FSC-klagomål mail.docx", "A 31854-2025")</f>
        <v/>
      </c>
      <c r="X89">
        <f>HYPERLINK("https://klasma.github.io/Logging_0883/tillsyn/A 31854-2025 tillsynsbegäran.docx", "A 31854-2025")</f>
        <v/>
      </c>
      <c r="Y89">
        <f>HYPERLINK("https://klasma.github.io/Logging_0883/tillsynsmail/A 31854-2025 tillsynsbegäran mail.docx", "A 31854-2025")</f>
        <v/>
      </c>
      <c r="Z89">
        <f>HYPERLINK("https://klasma.github.io/Logging_0883/fåglar/A 31854-2025 prioriterade fågelarter.docx", "A 31854-2025")</f>
        <v/>
      </c>
    </row>
    <row r="90" ht="15" customHeight="1">
      <c r="A90" t="inlineStr">
        <is>
          <t>A 12708-2023</t>
        </is>
      </c>
      <c r="B90" s="1" t="n">
        <v>45000</v>
      </c>
      <c r="C90" s="1" t="n">
        <v>45923</v>
      </c>
      <c r="D90" t="inlineStr">
        <is>
          <t>KALMAR LÄN</t>
        </is>
      </c>
      <c r="E90" t="inlineStr">
        <is>
          <t>VÄSTERVIK</t>
        </is>
      </c>
      <c r="G90" t="n">
        <v>8.6</v>
      </c>
      <c r="H90" t="n">
        <v>2</v>
      </c>
      <c r="I90" t="n">
        <v>0</v>
      </c>
      <c r="J90" t="n">
        <v>2</v>
      </c>
      <c r="K90" t="n">
        <v>1</v>
      </c>
      <c r="L90" t="n">
        <v>0</v>
      </c>
      <c r="M90" t="n">
        <v>0</v>
      </c>
      <c r="N90" t="n">
        <v>0</v>
      </c>
      <c r="O90" t="n">
        <v>3</v>
      </c>
      <c r="P90" t="n">
        <v>1</v>
      </c>
      <c r="Q90" t="n">
        <v>3</v>
      </c>
      <c r="R90" s="2" t="inlineStr">
        <is>
          <t>Knärot
Tallticka
Talltita</t>
        </is>
      </c>
      <c r="S90">
        <f>HYPERLINK("https://klasma.github.io/Logging_0883/artfynd/A 12708-2023 artfynd.xlsx", "A 12708-2023")</f>
        <v/>
      </c>
      <c r="T90">
        <f>HYPERLINK("https://klasma.github.io/Logging_0883/kartor/A 12708-2023 karta.png", "A 12708-2023")</f>
        <v/>
      </c>
      <c r="U90">
        <f>HYPERLINK("https://klasma.github.io/Logging_0883/knärot/A 12708-2023 karta knärot.png", "A 12708-2023")</f>
        <v/>
      </c>
      <c r="V90">
        <f>HYPERLINK("https://klasma.github.io/Logging_0883/klagomål/A 12708-2023 FSC-klagomål.docx", "A 12708-2023")</f>
        <v/>
      </c>
      <c r="W90">
        <f>HYPERLINK("https://klasma.github.io/Logging_0883/klagomålsmail/A 12708-2023 FSC-klagomål mail.docx", "A 12708-2023")</f>
        <v/>
      </c>
      <c r="X90">
        <f>HYPERLINK("https://klasma.github.io/Logging_0883/tillsyn/A 12708-2023 tillsynsbegäran.docx", "A 12708-2023")</f>
        <v/>
      </c>
      <c r="Y90">
        <f>HYPERLINK("https://klasma.github.io/Logging_0883/tillsynsmail/A 12708-2023 tillsynsbegäran mail.docx", "A 12708-2023")</f>
        <v/>
      </c>
      <c r="Z90">
        <f>HYPERLINK("https://klasma.github.io/Logging_0883/fåglar/A 12708-2023 prioriterade fågelarter.docx", "A 12708-2023")</f>
        <v/>
      </c>
    </row>
    <row r="91" ht="15" customHeight="1">
      <c r="A91" t="inlineStr">
        <is>
          <t>A 8620-2024</t>
        </is>
      </c>
      <c r="B91" s="1" t="n">
        <v>45355.74270833333</v>
      </c>
      <c r="C91" s="1" t="n">
        <v>45923</v>
      </c>
      <c r="D91" t="inlineStr">
        <is>
          <t>KALMAR LÄN</t>
        </is>
      </c>
      <c r="E91" t="inlineStr">
        <is>
          <t>VÄSTERVIK</t>
        </is>
      </c>
      <c r="G91" t="n">
        <v>0.9</v>
      </c>
      <c r="H91" t="n">
        <v>2</v>
      </c>
      <c r="I91" t="n">
        <v>1</v>
      </c>
      <c r="J91" t="n">
        <v>1</v>
      </c>
      <c r="K91" t="n">
        <v>1</v>
      </c>
      <c r="L91" t="n">
        <v>0</v>
      </c>
      <c r="M91" t="n">
        <v>0</v>
      </c>
      <c r="N91" t="n">
        <v>0</v>
      </c>
      <c r="O91" t="n">
        <v>2</v>
      </c>
      <c r="P91" t="n">
        <v>1</v>
      </c>
      <c r="Q91" t="n">
        <v>3</v>
      </c>
      <c r="R91" s="2" t="inlineStr">
        <is>
          <t>Knärot
Talltita
Blodticka</t>
        </is>
      </c>
      <c r="S91">
        <f>HYPERLINK("https://klasma.github.io/Logging_0883/artfynd/A 8620-2024 artfynd.xlsx", "A 8620-2024")</f>
        <v/>
      </c>
      <c r="T91">
        <f>HYPERLINK("https://klasma.github.io/Logging_0883/kartor/A 8620-2024 karta.png", "A 8620-2024")</f>
        <v/>
      </c>
      <c r="U91">
        <f>HYPERLINK("https://klasma.github.io/Logging_0883/knärot/A 8620-2024 karta knärot.png", "A 8620-2024")</f>
        <v/>
      </c>
      <c r="V91">
        <f>HYPERLINK("https://klasma.github.io/Logging_0883/klagomål/A 8620-2024 FSC-klagomål.docx", "A 8620-2024")</f>
        <v/>
      </c>
      <c r="W91">
        <f>HYPERLINK("https://klasma.github.io/Logging_0883/klagomålsmail/A 8620-2024 FSC-klagomål mail.docx", "A 8620-2024")</f>
        <v/>
      </c>
      <c r="X91">
        <f>HYPERLINK("https://klasma.github.io/Logging_0883/tillsyn/A 8620-2024 tillsynsbegäran.docx", "A 8620-2024")</f>
        <v/>
      </c>
      <c r="Y91">
        <f>HYPERLINK("https://klasma.github.io/Logging_0883/tillsynsmail/A 8620-2024 tillsynsbegäran mail.docx", "A 8620-2024")</f>
        <v/>
      </c>
      <c r="Z91">
        <f>HYPERLINK("https://klasma.github.io/Logging_0883/fåglar/A 8620-2024 prioriterade fågelarter.docx", "A 8620-2024")</f>
        <v/>
      </c>
    </row>
    <row r="92" ht="15" customHeight="1">
      <c r="A92" t="inlineStr">
        <is>
          <t>A 2340-2025</t>
        </is>
      </c>
      <c r="B92" s="1" t="n">
        <v>45673</v>
      </c>
      <c r="C92" s="1" t="n">
        <v>45923</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52992-2024</t>
        </is>
      </c>
      <c r="B93" s="1" t="n">
        <v>45611</v>
      </c>
      <c r="C93" s="1" t="n">
        <v>45923</v>
      </c>
      <c r="D93" t="inlineStr">
        <is>
          <t>KALMAR LÄN</t>
        </is>
      </c>
      <c r="E93" t="inlineStr">
        <is>
          <t>VÄSTERVIK</t>
        </is>
      </c>
      <c r="F93" t="inlineStr">
        <is>
          <t>Holmen skog AB</t>
        </is>
      </c>
      <c r="G93" t="n">
        <v>5.5</v>
      </c>
      <c r="H93" t="n">
        <v>2</v>
      </c>
      <c r="I93" t="n">
        <v>1</v>
      </c>
      <c r="J93" t="n">
        <v>2</v>
      </c>
      <c r="K93" t="n">
        <v>0</v>
      </c>
      <c r="L93" t="n">
        <v>0</v>
      </c>
      <c r="M93" t="n">
        <v>0</v>
      </c>
      <c r="N93" t="n">
        <v>0</v>
      </c>
      <c r="O93" t="n">
        <v>2</v>
      </c>
      <c r="P93" t="n">
        <v>0</v>
      </c>
      <c r="Q93" t="n">
        <v>3</v>
      </c>
      <c r="R93" s="2" t="inlineStr">
        <is>
          <t>Spillkråka
Talltita
Brandticka</t>
        </is>
      </c>
      <c r="S93">
        <f>HYPERLINK("https://klasma.github.io/Logging_0883/artfynd/A 52992-2024 artfynd.xlsx", "A 52992-2024")</f>
        <v/>
      </c>
      <c r="T93">
        <f>HYPERLINK("https://klasma.github.io/Logging_0883/kartor/A 52992-2024 karta.png", "A 52992-2024")</f>
        <v/>
      </c>
      <c r="V93">
        <f>HYPERLINK("https://klasma.github.io/Logging_0883/klagomål/A 52992-2024 FSC-klagomål.docx", "A 52992-2024")</f>
        <v/>
      </c>
      <c r="W93">
        <f>HYPERLINK("https://klasma.github.io/Logging_0883/klagomålsmail/A 52992-2024 FSC-klagomål mail.docx", "A 52992-2024")</f>
        <v/>
      </c>
      <c r="X93">
        <f>HYPERLINK("https://klasma.github.io/Logging_0883/tillsyn/A 52992-2024 tillsynsbegäran.docx", "A 52992-2024")</f>
        <v/>
      </c>
      <c r="Y93">
        <f>HYPERLINK("https://klasma.github.io/Logging_0883/tillsynsmail/A 52992-2024 tillsynsbegäran mail.docx", "A 52992-2024")</f>
        <v/>
      </c>
      <c r="Z93">
        <f>HYPERLINK("https://klasma.github.io/Logging_0883/fåglar/A 52992-2024 prioriterade fågelarter.docx", "A 52992-2024")</f>
        <v/>
      </c>
    </row>
    <row r="94" ht="15" customHeight="1">
      <c r="A94" t="inlineStr">
        <is>
          <t>A 48318-2024</t>
        </is>
      </c>
      <c r="B94" s="1" t="n">
        <v>45590.49690972222</v>
      </c>
      <c r="C94" s="1" t="n">
        <v>45923</v>
      </c>
      <c r="D94" t="inlineStr">
        <is>
          <t>KALMAR LÄN</t>
        </is>
      </c>
      <c r="E94" t="inlineStr">
        <is>
          <t>VÄSTERVIK</t>
        </is>
      </c>
      <c r="F94" t="inlineStr">
        <is>
          <t>Holmen skog AB</t>
        </is>
      </c>
      <c r="G94" t="n">
        <v>4</v>
      </c>
      <c r="H94" t="n">
        <v>3</v>
      </c>
      <c r="I94" t="n">
        <v>0</v>
      </c>
      <c r="J94" t="n">
        <v>3</v>
      </c>
      <c r="K94" t="n">
        <v>0</v>
      </c>
      <c r="L94" t="n">
        <v>0</v>
      </c>
      <c r="M94" t="n">
        <v>0</v>
      </c>
      <c r="N94" t="n">
        <v>0</v>
      </c>
      <c r="O94" t="n">
        <v>3</v>
      </c>
      <c r="P94" t="n">
        <v>0</v>
      </c>
      <c r="Q94" t="n">
        <v>3</v>
      </c>
      <c r="R94" s="2" t="inlineStr">
        <is>
          <t>Entita
Spillkråka
Talltita</t>
        </is>
      </c>
      <c r="S94">
        <f>HYPERLINK("https://klasma.github.io/Logging_0883/artfynd/A 48318-2024 artfynd.xlsx", "A 48318-2024")</f>
        <v/>
      </c>
      <c r="T94">
        <f>HYPERLINK("https://klasma.github.io/Logging_0883/kartor/A 48318-2024 karta.png", "A 48318-2024")</f>
        <v/>
      </c>
      <c r="U94">
        <f>HYPERLINK("https://klasma.github.io/Logging_0883/knärot/A 48318-2024 karta knärot.png", "A 48318-2024")</f>
        <v/>
      </c>
      <c r="V94">
        <f>HYPERLINK("https://klasma.github.io/Logging_0883/klagomål/A 48318-2024 FSC-klagomål.docx", "A 48318-2024")</f>
        <v/>
      </c>
      <c r="W94">
        <f>HYPERLINK("https://klasma.github.io/Logging_0883/klagomålsmail/A 48318-2024 FSC-klagomål mail.docx", "A 48318-2024")</f>
        <v/>
      </c>
      <c r="X94">
        <f>HYPERLINK("https://klasma.github.io/Logging_0883/tillsyn/A 48318-2024 tillsynsbegäran.docx", "A 48318-2024")</f>
        <v/>
      </c>
      <c r="Y94">
        <f>HYPERLINK("https://klasma.github.io/Logging_0883/tillsynsmail/A 48318-2024 tillsynsbegäran mail.docx", "A 48318-2024")</f>
        <v/>
      </c>
      <c r="Z94">
        <f>HYPERLINK("https://klasma.github.io/Logging_0883/fåglar/A 48318-2024 prioriterade fågelarter.docx", "A 48318-2024")</f>
        <v/>
      </c>
    </row>
    <row r="95" ht="15" customHeight="1">
      <c r="A95" t="inlineStr">
        <is>
          <t>A 27700-2024</t>
        </is>
      </c>
      <c r="B95" s="1" t="n">
        <v>45475.35597222222</v>
      </c>
      <c r="C95" s="1" t="n">
        <v>45923</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39190-2024</t>
        </is>
      </c>
      <c r="B96" s="1" t="n">
        <v>45548</v>
      </c>
      <c r="C96" s="1" t="n">
        <v>45923</v>
      </c>
      <c r="D96" t="inlineStr">
        <is>
          <t>KALMAR LÄN</t>
        </is>
      </c>
      <c r="E96" t="inlineStr">
        <is>
          <t>VÄSTERVIK</t>
        </is>
      </c>
      <c r="G96" t="n">
        <v>1.7</v>
      </c>
      <c r="H96" t="n">
        <v>2</v>
      </c>
      <c r="I96" t="n">
        <v>0</v>
      </c>
      <c r="J96" t="n">
        <v>2</v>
      </c>
      <c r="K96" t="n">
        <v>1</v>
      </c>
      <c r="L96" t="n">
        <v>0</v>
      </c>
      <c r="M96" t="n">
        <v>0</v>
      </c>
      <c r="N96" t="n">
        <v>0</v>
      </c>
      <c r="O96" t="n">
        <v>3</v>
      </c>
      <c r="P96" t="n">
        <v>1</v>
      </c>
      <c r="Q96" t="n">
        <v>3</v>
      </c>
      <c r="R96" s="2" t="inlineStr">
        <is>
          <t>Knärot
Svart taggsvamp
Talltita</t>
        </is>
      </c>
      <c r="S96">
        <f>HYPERLINK("https://klasma.github.io/Logging_0883/artfynd/A 39190-2024 artfynd.xlsx", "A 39190-2024")</f>
        <v/>
      </c>
      <c r="T96">
        <f>HYPERLINK("https://klasma.github.io/Logging_0883/kartor/A 39190-2024 karta.png", "A 39190-2024")</f>
        <v/>
      </c>
      <c r="U96">
        <f>HYPERLINK("https://klasma.github.io/Logging_0883/knärot/A 39190-2024 karta knärot.png", "A 39190-2024")</f>
        <v/>
      </c>
      <c r="V96">
        <f>HYPERLINK("https://klasma.github.io/Logging_0883/klagomål/A 39190-2024 FSC-klagomål.docx", "A 39190-2024")</f>
        <v/>
      </c>
      <c r="W96">
        <f>HYPERLINK("https://klasma.github.io/Logging_0883/klagomålsmail/A 39190-2024 FSC-klagomål mail.docx", "A 39190-2024")</f>
        <v/>
      </c>
      <c r="X96">
        <f>HYPERLINK("https://klasma.github.io/Logging_0883/tillsyn/A 39190-2024 tillsynsbegäran.docx", "A 39190-2024")</f>
        <v/>
      </c>
      <c r="Y96">
        <f>HYPERLINK("https://klasma.github.io/Logging_0883/tillsynsmail/A 39190-2024 tillsynsbegäran mail.docx", "A 39190-2024")</f>
        <v/>
      </c>
      <c r="Z96">
        <f>HYPERLINK("https://klasma.github.io/Logging_0883/fåglar/A 39190-2024 prioriterade fågelarter.docx", "A 39190-2024")</f>
        <v/>
      </c>
    </row>
    <row r="97" ht="15" customHeight="1">
      <c r="A97" t="inlineStr">
        <is>
          <t>A 804-2023</t>
        </is>
      </c>
      <c r="B97" s="1" t="n">
        <v>44931</v>
      </c>
      <c r="C97" s="1" t="n">
        <v>45923</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42353-2023</t>
        </is>
      </c>
      <c r="B98" s="1" t="n">
        <v>45180</v>
      </c>
      <c r="C98" s="1" t="n">
        <v>45923</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55506-2022</t>
        </is>
      </c>
      <c r="B99" s="1" t="n">
        <v>44887</v>
      </c>
      <c r="C99" s="1" t="n">
        <v>45923</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27067-2024</t>
        </is>
      </c>
      <c r="B100" s="1" t="n">
        <v>45471</v>
      </c>
      <c r="C100" s="1" t="n">
        <v>45923</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21084-2025</t>
        </is>
      </c>
      <c r="B101" s="1" t="n">
        <v>45777.6084837963</v>
      </c>
      <c r="C101" s="1" t="n">
        <v>45923</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4454-2025</t>
        </is>
      </c>
      <c r="B102" s="1" t="n">
        <v>45686</v>
      </c>
      <c r="C102" s="1" t="n">
        <v>45923</v>
      </c>
      <c r="D102" t="inlineStr">
        <is>
          <t>KALMAR LÄN</t>
        </is>
      </c>
      <c r="E102" t="inlineStr">
        <is>
          <t>VÄSTERVIK</t>
        </is>
      </c>
      <c r="G102" t="n">
        <v>1</v>
      </c>
      <c r="H102" t="n">
        <v>2</v>
      </c>
      <c r="I102" t="n">
        <v>1</v>
      </c>
      <c r="J102" t="n">
        <v>0</v>
      </c>
      <c r="K102" t="n">
        <v>1</v>
      </c>
      <c r="L102" t="n">
        <v>0</v>
      </c>
      <c r="M102" t="n">
        <v>0</v>
      </c>
      <c r="N102" t="n">
        <v>0</v>
      </c>
      <c r="O102" t="n">
        <v>1</v>
      </c>
      <c r="P102" t="n">
        <v>1</v>
      </c>
      <c r="Q102" t="n">
        <v>3</v>
      </c>
      <c r="R102" s="2" t="inlineStr">
        <is>
          <t>Knärot
Grönpyrola
Kungsfågel</t>
        </is>
      </c>
      <c r="S102">
        <f>HYPERLINK("https://klasma.github.io/Logging_0883/artfynd/A 4454-2025 artfynd.xlsx", "A 4454-2025")</f>
        <v/>
      </c>
      <c r="T102">
        <f>HYPERLINK("https://klasma.github.io/Logging_0883/kartor/A 4454-2025 karta.png", "A 4454-2025")</f>
        <v/>
      </c>
      <c r="U102">
        <f>HYPERLINK("https://klasma.github.io/Logging_0883/knärot/A 4454-2025 karta knärot.png", "A 4454-2025")</f>
        <v/>
      </c>
      <c r="V102">
        <f>HYPERLINK("https://klasma.github.io/Logging_0883/klagomål/A 4454-2025 FSC-klagomål.docx", "A 4454-2025")</f>
        <v/>
      </c>
      <c r="W102">
        <f>HYPERLINK("https://klasma.github.io/Logging_0883/klagomålsmail/A 4454-2025 FSC-klagomål mail.docx", "A 4454-2025")</f>
        <v/>
      </c>
      <c r="X102">
        <f>HYPERLINK("https://klasma.github.io/Logging_0883/tillsyn/A 4454-2025 tillsynsbegäran.docx", "A 4454-2025")</f>
        <v/>
      </c>
      <c r="Y102">
        <f>HYPERLINK("https://klasma.github.io/Logging_0883/tillsynsmail/A 4454-2025 tillsynsbegäran mail.docx", "A 4454-2025")</f>
        <v/>
      </c>
      <c r="Z102">
        <f>HYPERLINK("https://klasma.github.io/Logging_0883/fåglar/A 4454-2025 prioriterade fågelarter.docx", "A 4454-2025")</f>
        <v/>
      </c>
    </row>
    <row r="103" ht="15" customHeight="1">
      <c r="A103" t="inlineStr">
        <is>
          <t>A 58750-2024</t>
        </is>
      </c>
      <c r="B103" s="1" t="n">
        <v>45635.71747685185</v>
      </c>
      <c r="C103" s="1" t="n">
        <v>45923</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1763-2025</t>
        </is>
      </c>
      <c r="B104" s="1" t="n">
        <v>45671</v>
      </c>
      <c r="C104" s="1" t="n">
        <v>45923</v>
      </c>
      <c r="D104" t="inlineStr">
        <is>
          <t>KALMAR LÄN</t>
        </is>
      </c>
      <c r="E104" t="inlineStr">
        <is>
          <t>VÄSTERVIK</t>
        </is>
      </c>
      <c r="G104" t="n">
        <v>1.1</v>
      </c>
      <c r="H104" t="n">
        <v>2</v>
      </c>
      <c r="I104" t="n">
        <v>1</v>
      </c>
      <c r="J104" t="n">
        <v>2</v>
      </c>
      <c r="K104" t="n">
        <v>0</v>
      </c>
      <c r="L104" t="n">
        <v>0</v>
      </c>
      <c r="M104" t="n">
        <v>0</v>
      </c>
      <c r="N104" t="n">
        <v>0</v>
      </c>
      <c r="O104" t="n">
        <v>2</v>
      </c>
      <c r="P104" t="n">
        <v>0</v>
      </c>
      <c r="Q104" t="n">
        <v>3</v>
      </c>
      <c r="R104" s="2" t="inlineStr">
        <is>
          <t>Spillkråka
Talltita
Blåmossa</t>
        </is>
      </c>
      <c r="S104">
        <f>HYPERLINK("https://klasma.github.io/Logging_0883/artfynd/A 1763-2025 artfynd.xlsx", "A 1763-2025")</f>
        <v/>
      </c>
      <c r="T104">
        <f>HYPERLINK("https://klasma.github.io/Logging_0883/kartor/A 1763-2025 karta.png", "A 1763-2025")</f>
        <v/>
      </c>
      <c r="V104">
        <f>HYPERLINK("https://klasma.github.io/Logging_0883/klagomål/A 1763-2025 FSC-klagomål.docx", "A 1763-2025")</f>
        <v/>
      </c>
      <c r="W104">
        <f>HYPERLINK("https://klasma.github.io/Logging_0883/klagomålsmail/A 1763-2025 FSC-klagomål mail.docx", "A 1763-2025")</f>
        <v/>
      </c>
      <c r="X104">
        <f>HYPERLINK("https://klasma.github.io/Logging_0883/tillsyn/A 1763-2025 tillsynsbegäran.docx", "A 1763-2025")</f>
        <v/>
      </c>
      <c r="Y104">
        <f>HYPERLINK("https://klasma.github.io/Logging_0883/tillsynsmail/A 1763-2025 tillsynsbegäran mail.docx", "A 1763-2025")</f>
        <v/>
      </c>
      <c r="Z104">
        <f>HYPERLINK("https://klasma.github.io/Logging_0883/fåglar/A 1763-2025 prioriterade fågelarter.docx", "A 1763-2025")</f>
        <v/>
      </c>
    </row>
    <row r="105" ht="15" customHeight="1">
      <c r="A105" t="inlineStr">
        <is>
          <t>A 1764-2025</t>
        </is>
      </c>
      <c r="B105" s="1" t="n">
        <v>45671</v>
      </c>
      <c r="C105" s="1" t="n">
        <v>45923</v>
      </c>
      <c r="D105" t="inlineStr">
        <is>
          <t>KALMAR LÄN</t>
        </is>
      </c>
      <c r="E105" t="inlineStr">
        <is>
          <t>VÄSTERVIK</t>
        </is>
      </c>
      <c r="G105" t="n">
        <v>1.8</v>
      </c>
      <c r="H105" t="n">
        <v>1</v>
      </c>
      <c r="I105" t="n">
        <v>1</v>
      </c>
      <c r="J105" t="n">
        <v>1</v>
      </c>
      <c r="K105" t="n">
        <v>1</v>
      </c>
      <c r="L105" t="n">
        <v>0</v>
      </c>
      <c r="M105" t="n">
        <v>0</v>
      </c>
      <c r="N105" t="n">
        <v>0</v>
      </c>
      <c r="O105" t="n">
        <v>2</v>
      </c>
      <c r="P105" t="n">
        <v>1</v>
      </c>
      <c r="Q105" t="n">
        <v>3</v>
      </c>
      <c r="R105" s="2" t="inlineStr">
        <is>
          <t>Knärot
Ullticka
Grovticka</t>
        </is>
      </c>
      <c r="S105">
        <f>HYPERLINK("https://klasma.github.io/Logging_0883/artfynd/A 1764-2025 artfynd.xlsx", "A 1764-2025")</f>
        <v/>
      </c>
      <c r="T105">
        <f>HYPERLINK("https://klasma.github.io/Logging_0883/kartor/A 1764-2025 karta.png", "A 1764-2025")</f>
        <v/>
      </c>
      <c r="U105">
        <f>HYPERLINK("https://klasma.github.io/Logging_0883/knärot/A 1764-2025 karta knärot.png", "A 1764-2025")</f>
        <v/>
      </c>
      <c r="V105">
        <f>HYPERLINK("https://klasma.github.io/Logging_0883/klagomål/A 1764-2025 FSC-klagomål.docx", "A 1764-2025")</f>
        <v/>
      </c>
      <c r="W105">
        <f>HYPERLINK("https://klasma.github.io/Logging_0883/klagomålsmail/A 1764-2025 FSC-klagomål mail.docx", "A 1764-2025")</f>
        <v/>
      </c>
      <c r="X105">
        <f>HYPERLINK("https://klasma.github.io/Logging_0883/tillsyn/A 1764-2025 tillsynsbegäran.docx", "A 1764-2025")</f>
        <v/>
      </c>
      <c r="Y105">
        <f>HYPERLINK("https://klasma.github.io/Logging_0883/tillsynsmail/A 1764-2025 tillsynsbegäran mail.docx", "A 1764-2025")</f>
        <v/>
      </c>
    </row>
    <row r="106" ht="15" customHeight="1">
      <c r="A106" t="inlineStr">
        <is>
          <t>A 2657-2024</t>
        </is>
      </c>
      <c r="B106" s="1" t="n">
        <v>45314</v>
      </c>
      <c r="C106" s="1" t="n">
        <v>45923</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21658-2025</t>
        </is>
      </c>
      <c r="B107" s="1" t="n">
        <v>45783.45474537037</v>
      </c>
      <c r="C107" s="1" t="n">
        <v>45923</v>
      </c>
      <c r="D107" t="inlineStr">
        <is>
          <t>KALMAR LÄN</t>
        </is>
      </c>
      <c r="E107" t="inlineStr">
        <is>
          <t>VÄSTERVIK</t>
        </is>
      </c>
      <c r="F107" t="inlineStr">
        <is>
          <t>Sveaskog</t>
        </is>
      </c>
      <c r="G107" t="n">
        <v>4</v>
      </c>
      <c r="H107" t="n">
        <v>3</v>
      </c>
      <c r="I107" t="n">
        <v>0</v>
      </c>
      <c r="J107" t="n">
        <v>2</v>
      </c>
      <c r="K107" t="n">
        <v>0</v>
      </c>
      <c r="L107" t="n">
        <v>0</v>
      </c>
      <c r="M107" t="n">
        <v>0</v>
      </c>
      <c r="N107" t="n">
        <v>0</v>
      </c>
      <c r="O107" t="n">
        <v>2</v>
      </c>
      <c r="P107" t="n">
        <v>0</v>
      </c>
      <c r="Q107" t="n">
        <v>3</v>
      </c>
      <c r="R107" s="2" t="inlineStr">
        <is>
          <t>Mindre hackspett
Talltita
Kungsfågel</t>
        </is>
      </c>
      <c r="S107">
        <f>HYPERLINK("https://klasma.github.io/Logging_0883/artfynd/A 21658-2025 artfynd.xlsx", "A 21658-2025")</f>
        <v/>
      </c>
      <c r="T107">
        <f>HYPERLINK("https://klasma.github.io/Logging_0883/kartor/A 21658-2025 karta.png", "A 21658-2025")</f>
        <v/>
      </c>
      <c r="V107">
        <f>HYPERLINK("https://klasma.github.io/Logging_0883/klagomål/A 21658-2025 FSC-klagomål.docx", "A 21658-2025")</f>
        <v/>
      </c>
      <c r="W107">
        <f>HYPERLINK("https://klasma.github.io/Logging_0883/klagomålsmail/A 21658-2025 FSC-klagomål mail.docx", "A 21658-2025")</f>
        <v/>
      </c>
      <c r="X107">
        <f>HYPERLINK("https://klasma.github.io/Logging_0883/tillsyn/A 21658-2025 tillsynsbegäran.docx", "A 21658-2025")</f>
        <v/>
      </c>
      <c r="Y107">
        <f>HYPERLINK("https://klasma.github.io/Logging_0883/tillsynsmail/A 21658-2025 tillsynsbegäran mail.docx", "A 21658-2025")</f>
        <v/>
      </c>
      <c r="Z107">
        <f>HYPERLINK("https://klasma.github.io/Logging_0883/fåglar/A 21658-2025 prioriterade fågelarter.docx", "A 21658-2025")</f>
        <v/>
      </c>
    </row>
    <row r="108" ht="15" customHeight="1">
      <c r="A108" t="inlineStr">
        <is>
          <t>A 15595-2021</t>
        </is>
      </c>
      <c r="B108" s="1" t="n">
        <v>44285.66680555556</v>
      </c>
      <c r="C108" s="1" t="n">
        <v>45923</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3658-2024</t>
        </is>
      </c>
      <c r="B109" s="1" t="n">
        <v>45321</v>
      </c>
      <c r="C109" s="1" t="n">
        <v>45923</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11849-2024</t>
        </is>
      </c>
      <c r="B110" s="1" t="n">
        <v>45376.41797453703</v>
      </c>
      <c r="C110" s="1" t="n">
        <v>45923</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45923</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2515-2023</t>
        </is>
      </c>
      <c r="B112" s="1" t="n">
        <v>44943</v>
      </c>
      <c r="C112" s="1" t="n">
        <v>45923</v>
      </c>
      <c r="D112" t="inlineStr">
        <is>
          <t>KALMAR LÄN</t>
        </is>
      </c>
      <c r="E112" t="inlineStr">
        <is>
          <t>VÄSTERVIK</t>
        </is>
      </c>
      <c r="G112" t="n">
        <v>1.3</v>
      </c>
      <c r="H112" t="n">
        <v>1</v>
      </c>
      <c r="I112" t="n">
        <v>1</v>
      </c>
      <c r="J112" t="n">
        <v>0</v>
      </c>
      <c r="K112" t="n">
        <v>1</v>
      </c>
      <c r="L112" t="n">
        <v>0</v>
      </c>
      <c r="M112" t="n">
        <v>0</v>
      </c>
      <c r="N112" t="n">
        <v>0</v>
      </c>
      <c r="O112" t="n">
        <v>1</v>
      </c>
      <c r="P112" t="n">
        <v>1</v>
      </c>
      <c r="Q112" t="n">
        <v>2</v>
      </c>
      <c r="R112" s="2" t="inlineStr">
        <is>
          <t>Knärot
Grönpyrola</t>
        </is>
      </c>
      <c r="S112">
        <f>HYPERLINK("https://klasma.github.io/Logging_0883/artfynd/A 2515-2023 artfynd.xlsx", "A 2515-2023")</f>
        <v/>
      </c>
      <c r="T112">
        <f>HYPERLINK("https://klasma.github.io/Logging_0883/kartor/A 2515-2023 karta.png", "A 2515-2023")</f>
        <v/>
      </c>
      <c r="U112">
        <f>HYPERLINK("https://klasma.github.io/Logging_0883/knärot/A 2515-2023 karta knärot.png", "A 2515-2023")</f>
        <v/>
      </c>
      <c r="V112">
        <f>HYPERLINK("https://klasma.github.io/Logging_0883/klagomål/A 2515-2023 FSC-klagomål.docx", "A 2515-2023")</f>
        <v/>
      </c>
      <c r="W112">
        <f>HYPERLINK("https://klasma.github.io/Logging_0883/klagomålsmail/A 2515-2023 FSC-klagomål mail.docx", "A 2515-2023")</f>
        <v/>
      </c>
      <c r="X112">
        <f>HYPERLINK("https://klasma.github.io/Logging_0883/tillsyn/A 2515-2023 tillsynsbegäran.docx", "A 2515-2023")</f>
        <v/>
      </c>
      <c r="Y112">
        <f>HYPERLINK("https://klasma.github.io/Logging_0883/tillsynsmail/A 2515-2023 tillsynsbegäran mail.docx", "A 2515-2023")</f>
        <v/>
      </c>
    </row>
    <row r="113" ht="15" customHeight="1">
      <c r="A113" t="inlineStr">
        <is>
          <t>A 46552-2022</t>
        </is>
      </c>
      <c r="B113" s="1" t="n">
        <v>44848</v>
      </c>
      <c r="C113" s="1" t="n">
        <v>45923</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59940-2021</t>
        </is>
      </c>
      <c r="B114" s="1" t="n">
        <v>44494</v>
      </c>
      <c r="C114" s="1" t="n">
        <v>45923</v>
      </c>
      <c r="D114" t="inlineStr">
        <is>
          <t>KALMAR LÄN</t>
        </is>
      </c>
      <c r="E114" t="inlineStr">
        <is>
          <t>VÄSTERVIK</t>
        </is>
      </c>
      <c r="G114" t="n">
        <v>4.3</v>
      </c>
      <c r="H114" t="n">
        <v>1</v>
      </c>
      <c r="I114" t="n">
        <v>1</v>
      </c>
      <c r="J114" t="n">
        <v>0</v>
      </c>
      <c r="K114" t="n">
        <v>1</v>
      </c>
      <c r="L114" t="n">
        <v>0</v>
      </c>
      <c r="M114" t="n">
        <v>0</v>
      </c>
      <c r="N114" t="n">
        <v>0</v>
      </c>
      <c r="O114" t="n">
        <v>1</v>
      </c>
      <c r="P114" t="n">
        <v>1</v>
      </c>
      <c r="Q114" t="n">
        <v>2</v>
      </c>
      <c r="R114" s="2" t="inlineStr">
        <is>
          <t>Knärot
Grönpyrola</t>
        </is>
      </c>
      <c r="S114">
        <f>HYPERLINK("https://klasma.github.io/Logging_0883/artfynd/A 59940-2021 artfynd.xlsx", "A 59940-2021")</f>
        <v/>
      </c>
      <c r="T114">
        <f>HYPERLINK("https://klasma.github.io/Logging_0883/kartor/A 59940-2021 karta.png", "A 59940-2021")</f>
        <v/>
      </c>
      <c r="U114">
        <f>HYPERLINK("https://klasma.github.io/Logging_0883/knärot/A 59940-2021 karta knärot.png", "A 59940-2021")</f>
        <v/>
      </c>
      <c r="V114">
        <f>HYPERLINK("https://klasma.github.io/Logging_0883/klagomål/A 59940-2021 FSC-klagomål.docx", "A 59940-2021")</f>
        <v/>
      </c>
      <c r="W114">
        <f>HYPERLINK("https://klasma.github.io/Logging_0883/klagomålsmail/A 59940-2021 FSC-klagomål mail.docx", "A 59940-2021")</f>
        <v/>
      </c>
      <c r="X114">
        <f>HYPERLINK("https://klasma.github.io/Logging_0883/tillsyn/A 59940-2021 tillsynsbegäran.docx", "A 59940-2021")</f>
        <v/>
      </c>
      <c r="Y114">
        <f>HYPERLINK("https://klasma.github.io/Logging_0883/tillsynsmail/A 59940-2021 tillsynsbegäran mail.docx", "A 59940-2021")</f>
        <v/>
      </c>
    </row>
    <row r="115" ht="15" customHeight="1">
      <c r="A115" t="inlineStr">
        <is>
          <t>A 53769-2021</t>
        </is>
      </c>
      <c r="B115" s="1" t="n">
        <v>44467</v>
      </c>
      <c r="C115" s="1" t="n">
        <v>45923</v>
      </c>
      <c r="D115" t="inlineStr">
        <is>
          <t>KALMAR LÄN</t>
        </is>
      </c>
      <c r="E115" t="inlineStr">
        <is>
          <t>VÄSTERVIK</t>
        </is>
      </c>
      <c r="G115" t="n">
        <v>2.2</v>
      </c>
      <c r="H115" t="n">
        <v>1</v>
      </c>
      <c r="I115" t="n">
        <v>2</v>
      </c>
      <c r="J115" t="n">
        <v>0</v>
      </c>
      <c r="K115" t="n">
        <v>0</v>
      </c>
      <c r="L115" t="n">
        <v>0</v>
      </c>
      <c r="M115" t="n">
        <v>0</v>
      </c>
      <c r="N115" t="n">
        <v>0</v>
      </c>
      <c r="O115" t="n">
        <v>0</v>
      </c>
      <c r="P115" t="n">
        <v>0</v>
      </c>
      <c r="Q115" t="n">
        <v>2</v>
      </c>
      <c r="R115" s="2" t="inlineStr">
        <is>
          <t>Grön sköldmossa
Stubbspretmossa</t>
        </is>
      </c>
      <c r="S115">
        <f>HYPERLINK("https://klasma.github.io/Logging_0883/artfynd/A 53769-2021 artfynd.xlsx", "A 53769-2021")</f>
        <v/>
      </c>
      <c r="T115">
        <f>HYPERLINK("https://klasma.github.io/Logging_0883/kartor/A 53769-2021 karta.png", "A 53769-2021")</f>
        <v/>
      </c>
      <c r="V115">
        <f>HYPERLINK("https://klasma.github.io/Logging_0883/klagomål/A 53769-2021 FSC-klagomål.docx", "A 53769-2021")</f>
        <v/>
      </c>
      <c r="W115">
        <f>HYPERLINK("https://klasma.github.io/Logging_0883/klagomålsmail/A 53769-2021 FSC-klagomål mail.docx", "A 53769-2021")</f>
        <v/>
      </c>
      <c r="X115">
        <f>HYPERLINK("https://klasma.github.io/Logging_0883/tillsyn/A 53769-2021 tillsynsbegäran.docx", "A 53769-2021")</f>
        <v/>
      </c>
      <c r="Y115">
        <f>HYPERLINK("https://klasma.github.io/Logging_0883/tillsynsmail/A 53769-2021 tillsynsbegäran mail.docx", "A 53769-2021")</f>
        <v/>
      </c>
    </row>
    <row r="116" ht="15" customHeight="1">
      <c r="A116" t="inlineStr">
        <is>
          <t>A 46787-2022</t>
        </is>
      </c>
      <c r="B116" s="1" t="n">
        <v>44851</v>
      </c>
      <c r="C116" s="1" t="n">
        <v>45923</v>
      </c>
      <c r="D116" t="inlineStr">
        <is>
          <t>KALMAR LÄN</t>
        </is>
      </c>
      <c r="E116" t="inlineStr">
        <is>
          <t>VÄSTERVIK</t>
        </is>
      </c>
      <c r="G116" t="n">
        <v>4.4</v>
      </c>
      <c r="H116" t="n">
        <v>0</v>
      </c>
      <c r="I116" t="n">
        <v>0</v>
      </c>
      <c r="J116" t="n">
        <v>2</v>
      </c>
      <c r="K116" t="n">
        <v>0</v>
      </c>
      <c r="L116" t="n">
        <v>0</v>
      </c>
      <c r="M116" t="n">
        <v>0</v>
      </c>
      <c r="N116" t="n">
        <v>0</v>
      </c>
      <c r="O116" t="n">
        <v>2</v>
      </c>
      <c r="P116" t="n">
        <v>0</v>
      </c>
      <c r="Q116" t="n">
        <v>2</v>
      </c>
      <c r="R116" s="2" t="inlineStr">
        <is>
          <t>Motaggsvamp
Tallticka</t>
        </is>
      </c>
      <c r="S116">
        <f>HYPERLINK("https://klasma.github.io/Logging_0883/artfynd/A 46787-2022 artfynd.xlsx", "A 46787-2022")</f>
        <v/>
      </c>
      <c r="T116">
        <f>HYPERLINK("https://klasma.github.io/Logging_0883/kartor/A 46787-2022 karta.png", "A 46787-2022")</f>
        <v/>
      </c>
      <c r="V116">
        <f>HYPERLINK("https://klasma.github.io/Logging_0883/klagomål/A 46787-2022 FSC-klagomål.docx", "A 46787-2022")</f>
        <v/>
      </c>
      <c r="W116">
        <f>HYPERLINK("https://klasma.github.io/Logging_0883/klagomålsmail/A 46787-2022 FSC-klagomål mail.docx", "A 46787-2022")</f>
        <v/>
      </c>
      <c r="X116">
        <f>HYPERLINK("https://klasma.github.io/Logging_0883/tillsyn/A 46787-2022 tillsynsbegäran.docx", "A 46787-2022")</f>
        <v/>
      </c>
      <c r="Y116">
        <f>HYPERLINK("https://klasma.github.io/Logging_0883/tillsynsmail/A 46787-2022 tillsynsbegäran mail.docx", "A 46787-2022")</f>
        <v/>
      </c>
    </row>
    <row r="117" ht="15" customHeight="1">
      <c r="A117" t="inlineStr">
        <is>
          <t>A 61804-2023</t>
        </is>
      </c>
      <c r="B117" s="1" t="n">
        <v>45266</v>
      </c>
      <c r="C117" s="1" t="n">
        <v>45923</v>
      </c>
      <c r="D117" t="inlineStr">
        <is>
          <t>KALMAR LÄN</t>
        </is>
      </c>
      <c r="E117" t="inlineStr">
        <is>
          <t>VÄSTERVIK</t>
        </is>
      </c>
      <c r="G117" t="n">
        <v>2.3</v>
      </c>
      <c r="H117" t="n">
        <v>0</v>
      </c>
      <c r="I117" t="n">
        <v>0</v>
      </c>
      <c r="J117" t="n">
        <v>2</v>
      </c>
      <c r="K117" t="n">
        <v>0</v>
      </c>
      <c r="L117" t="n">
        <v>0</v>
      </c>
      <c r="M117" t="n">
        <v>0</v>
      </c>
      <c r="N117" t="n">
        <v>0</v>
      </c>
      <c r="O117" t="n">
        <v>2</v>
      </c>
      <c r="P117" t="n">
        <v>0</v>
      </c>
      <c r="Q117" t="n">
        <v>2</v>
      </c>
      <c r="R117" s="2" t="inlineStr">
        <is>
          <t>Bredbrämad bastardsvärmare
Smalsprötad bastardsvärmare</t>
        </is>
      </c>
      <c r="S117">
        <f>HYPERLINK("https://klasma.github.io/Logging_0883/artfynd/A 61804-2023 artfynd.xlsx", "A 61804-2023")</f>
        <v/>
      </c>
      <c r="T117">
        <f>HYPERLINK("https://klasma.github.io/Logging_0883/kartor/A 61804-2023 karta.png", "A 61804-2023")</f>
        <v/>
      </c>
      <c r="V117">
        <f>HYPERLINK("https://klasma.github.io/Logging_0883/klagomål/A 61804-2023 FSC-klagomål.docx", "A 61804-2023")</f>
        <v/>
      </c>
      <c r="W117">
        <f>HYPERLINK("https://klasma.github.io/Logging_0883/klagomålsmail/A 61804-2023 FSC-klagomål mail.docx", "A 61804-2023")</f>
        <v/>
      </c>
      <c r="X117">
        <f>HYPERLINK("https://klasma.github.io/Logging_0883/tillsyn/A 61804-2023 tillsynsbegäran.docx", "A 61804-2023")</f>
        <v/>
      </c>
      <c r="Y117">
        <f>HYPERLINK("https://klasma.github.io/Logging_0883/tillsynsmail/A 61804-2023 tillsynsbegäran mail.docx", "A 61804-2023")</f>
        <v/>
      </c>
    </row>
    <row r="118" ht="15" customHeight="1">
      <c r="A118" t="inlineStr">
        <is>
          <t>A 3264-2024</t>
        </is>
      </c>
      <c r="B118" s="1" t="n">
        <v>45317</v>
      </c>
      <c r="C118" s="1" t="n">
        <v>45923</v>
      </c>
      <c r="D118" t="inlineStr">
        <is>
          <t>KALMAR LÄN</t>
        </is>
      </c>
      <c r="E118" t="inlineStr">
        <is>
          <t>VÄSTERVIK</t>
        </is>
      </c>
      <c r="G118" t="n">
        <v>6.5</v>
      </c>
      <c r="H118" t="n">
        <v>1</v>
      </c>
      <c r="I118" t="n">
        <v>1</v>
      </c>
      <c r="J118" t="n">
        <v>1</v>
      </c>
      <c r="K118" t="n">
        <v>0</v>
      </c>
      <c r="L118" t="n">
        <v>0</v>
      </c>
      <c r="M118" t="n">
        <v>0</v>
      </c>
      <c r="N118" t="n">
        <v>0</v>
      </c>
      <c r="O118" t="n">
        <v>1</v>
      </c>
      <c r="P118" t="n">
        <v>0</v>
      </c>
      <c r="Q118" t="n">
        <v>2</v>
      </c>
      <c r="R118" s="2" t="inlineStr">
        <is>
          <t>Spillkråka
Blåmossa</t>
        </is>
      </c>
      <c r="S118">
        <f>HYPERLINK("https://klasma.github.io/Logging_0883/artfynd/A 3264-2024 artfynd.xlsx", "A 3264-2024")</f>
        <v/>
      </c>
      <c r="T118">
        <f>HYPERLINK("https://klasma.github.io/Logging_0883/kartor/A 3264-2024 karta.png", "A 3264-2024")</f>
        <v/>
      </c>
      <c r="V118">
        <f>HYPERLINK("https://klasma.github.io/Logging_0883/klagomål/A 3264-2024 FSC-klagomål.docx", "A 3264-2024")</f>
        <v/>
      </c>
      <c r="W118">
        <f>HYPERLINK("https://klasma.github.io/Logging_0883/klagomålsmail/A 3264-2024 FSC-klagomål mail.docx", "A 3264-2024")</f>
        <v/>
      </c>
      <c r="X118">
        <f>HYPERLINK("https://klasma.github.io/Logging_0883/tillsyn/A 3264-2024 tillsynsbegäran.docx", "A 3264-2024")</f>
        <v/>
      </c>
      <c r="Y118">
        <f>HYPERLINK("https://klasma.github.io/Logging_0883/tillsynsmail/A 3264-2024 tillsynsbegäran mail.docx", "A 3264-2024")</f>
        <v/>
      </c>
      <c r="Z118">
        <f>HYPERLINK("https://klasma.github.io/Logging_0883/fåglar/A 3264-2024 prioriterade fågelarter.docx", "A 3264-2024")</f>
        <v/>
      </c>
    </row>
    <row r="119" ht="15" customHeight="1">
      <c r="A119" t="inlineStr">
        <is>
          <t>A 2126-2024</t>
        </is>
      </c>
      <c r="B119" s="1" t="n">
        <v>45309</v>
      </c>
      <c r="C119" s="1" t="n">
        <v>45923</v>
      </c>
      <c r="D119" t="inlineStr">
        <is>
          <t>KALMAR LÄN</t>
        </is>
      </c>
      <c r="E119" t="inlineStr">
        <is>
          <t>VÄSTERVIK</t>
        </is>
      </c>
      <c r="G119" t="n">
        <v>3.8</v>
      </c>
      <c r="H119" t="n">
        <v>2</v>
      </c>
      <c r="I119" t="n">
        <v>0</v>
      </c>
      <c r="J119" t="n">
        <v>1</v>
      </c>
      <c r="K119" t="n">
        <v>1</v>
      </c>
      <c r="L119" t="n">
        <v>0</v>
      </c>
      <c r="M119" t="n">
        <v>0</v>
      </c>
      <c r="N119" t="n">
        <v>0</v>
      </c>
      <c r="O119" t="n">
        <v>2</v>
      </c>
      <c r="P119" t="n">
        <v>1</v>
      </c>
      <c r="Q119" t="n">
        <v>2</v>
      </c>
      <c r="R119" s="2" t="inlineStr">
        <is>
          <t>Knärot
Talltita</t>
        </is>
      </c>
      <c r="S119">
        <f>HYPERLINK("https://klasma.github.io/Logging_0883/artfynd/A 2126-2024 artfynd.xlsx", "A 2126-2024")</f>
        <v/>
      </c>
      <c r="T119">
        <f>HYPERLINK("https://klasma.github.io/Logging_0883/kartor/A 2126-2024 karta.png", "A 2126-2024")</f>
        <v/>
      </c>
      <c r="U119">
        <f>HYPERLINK("https://klasma.github.io/Logging_0883/knärot/A 2126-2024 karta knärot.png", "A 2126-2024")</f>
        <v/>
      </c>
      <c r="V119">
        <f>HYPERLINK("https://klasma.github.io/Logging_0883/klagomål/A 2126-2024 FSC-klagomål.docx", "A 2126-2024")</f>
        <v/>
      </c>
      <c r="W119">
        <f>HYPERLINK("https://klasma.github.io/Logging_0883/klagomålsmail/A 2126-2024 FSC-klagomål mail.docx", "A 2126-2024")</f>
        <v/>
      </c>
      <c r="X119">
        <f>HYPERLINK("https://klasma.github.io/Logging_0883/tillsyn/A 2126-2024 tillsynsbegäran.docx", "A 2126-2024")</f>
        <v/>
      </c>
      <c r="Y119">
        <f>HYPERLINK("https://klasma.github.io/Logging_0883/tillsynsmail/A 2126-2024 tillsynsbegäran mail.docx", "A 2126-2024")</f>
        <v/>
      </c>
      <c r="Z119">
        <f>HYPERLINK("https://klasma.github.io/Logging_0883/fåglar/A 2126-2024 prioriterade fågelarter.docx", "A 2126-2024")</f>
        <v/>
      </c>
    </row>
    <row r="120" ht="15" customHeight="1">
      <c r="A120" t="inlineStr">
        <is>
          <t>A 12598-2024</t>
        </is>
      </c>
      <c r="B120" s="1" t="n">
        <v>45380</v>
      </c>
      <c r="C120" s="1" t="n">
        <v>45923</v>
      </c>
      <c r="D120" t="inlineStr">
        <is>
          <t>KALMAR LÄN</t>
        </is>
      </c>
      <c r="E120" t="inlineStr">
        <is>
          <t>VÄSTERVIK</t>
        </is>
      </c>
      <c r="F120" t="inlineStr">
        <is>
          <t>Holmen skog AB</t>
        </is>
      </c>
      <c r="G120" t="n">
        <v>5</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12598-2024 artfynd.xlsx", "A 12598-2024")</f>
        <v/>
      </c>
      <c r="T120">
        <f>HYPERLINK("https://klasma.github.io/Logging_0883/kartor/A 12598-2024 karta.png", "A 12598-2024")</f>
        <v/>
      </c>
      <c r="U120">
        <f>HYPERLINK("https://klasma.github.io/Logging_0883/knärot/A 12598-2024 karta knärot.png", "A 12598-2024")</f>
        <v/>
      </c>
      <c r="V120">
        <f>HYPERLINK("https://klasma.github.io/Logging_0883/klagomål/A 12598-2024 FSC-klagomål.docx", "A 12598-2024")</f>
        <v/>
      </c>
      <c r="W120">
        <f>HYPERLINK("https://klasma.github.io/Logging_0883/klagomålsmail/A 12598-2024 FSC-klagomål mail.docx", "A 12598-2024")</f>
        <v/>
      </c>
      <c r="X120">
        <f>HYPERLINK("https://klasma.github.io/Logging_0883/tillsyn/A 12598-2024 tillsynsbegäran.docx", "A 12598-2024")</f>
        <v/>
      </c>
      <c r="Y120">
        <f>HYPERLINK("https://klasma.github.io/Logging_0883/tillsynsmail/A 12598-2024 tillsynsbegäran mail.docx", "A 12598-2024")</f>
        <v/>
      </c>
    </row>
    <row r="121" ht="15" customHeight="1">
      <c r="A121" t="inlineStr">
        <is>
          <t>A 16419-2024</t>
        </is>
      </c>
      <c r="B121" s="1" t="n">
        <v>45407</v>
      </c>
      <c r="C121" s="1" t="n">
        <v>45923</v>
      </c>
      <c r="D121" t="inlineStr">
        <is>
          <t>KALMAR LÄN</t>
        </is>
      </c>
      <c r="E121" t="inlineStr">
        <is>
          <t>VÄSTERVIK</t>
        </is>
      </c>
      <c r="F121" t="inlineStr">
        <is>
          <t>Holmen skog AB</t>
        </is>
      </c>
      <c r="G121" t="n">
        <v>1.8</v>
      </c>
      <c r="H121" t="n">
        <v>2</v>
      </c>
      <c r="I121" t="n">
        <v>0</v>
      </c>
      <c r="J121" t="n">
        <v>1</v>
      </c>
      <c r="K121" t="n">
        <v>1</v>
      </c>
      <c r="L121" t="n">
        <v>0</v>
      </c>
      <c r="M121" t="n">
        <v>0</v>
      </c>
      <c r="N121" t="n">
        <v>0</v>
      </c>
      <c r="O121" t="n">
        <v>2</v>
      </c>
      <c r="P121" t="n">
        <v>1</v>
      </c>
      <c r="Q121" t="n">
        <v>2</v>
      </c>
      <c r="R121" s="2" t="inlineStr">
        <is>
          <t>Knärot
Spillkråka</t>
        </is>
      </c>
      <c r="S121">
        <f>HYPERLINK("https://klasma.github.io/Logging_0883/artfynd/A 16419-2024 artfynd.xlsx", "A 16419-2024")</f>
        <v/>
      </c>
      <c r="T121">
        <f>HYPERLINK("https://klasma.github.io/Logging_0883/kartor/A 16419-2024 karta.png", "A 16419-2024")</f>
        <v/>
      </c>
      <c r="U121">
        <f>HYPERLINK("https://klasma.github.io/Logging_0883/knärot/A 16419-2024 karta knärot.png", "A 16419-2024")</f>
        <v/>
      </c>
      <c r="V121">
        <f>HYPERLINK("https://klasma.github.io/Logging_0883/klagomål/A 16419-2024 FSC-klagomål.docx", "A 16419-2024")</f>
        <v/>
      </c>
      <c r="W121">
        <f>HYPERLINK("https://klasma.github.io/Logging_0883/klagomålsmail/A 16419-2024 FSC-klagomål mail.docx", "A 16419-2024")</f>
        <v/>
      </c>
      <c r="X121">
        <f>HYPERLINK("https://klasma.github.io/Logging_0883/tillsyn/A 16419-2024 tillsynsbegäran.docx", "A 16419-2024")</f>
        <v/>
      </c>
      <c r="Y121">
        <f>HYPERLINK("https://klasma.github.io/Logging_0883/tillsynsmail/A 16419-2024 tillsynsbegäran mail.docx", "A 16419-2024")</f>
        <v/>
      </c>
      <c r="Z121">
        <f>HYPERLINK("https://klasma.github.io/Logging_0883/fåglar/A 16419-2024 prioriterade fågelarter.docx", "A 16419-2024")</f>
        <v/>
      </c>
    </row>
    <row r="122" ht="15" customHeight="1">
      <c r="A122" t="inlineStr">
        <is>
          <t>A 25435-2023</t>
        </is>
      </c>
      <c r="B122" s="1" t="n">
        <v>45089</v>
      </c>
      <c r="C122" s="1" t="n">
        <v>45923</v>
      </c>
      <c r="D122" t="inlineStr">
        <is>
          <t>KALMAR LÄN</t>
        </is>
      </c>
      <c r="E122" t="inlineStr">
        <is>
          <t>VÄSTERVIK</t>
        </is>
      </c>
      <c r="G122" t="n">
        <v>1.6</v>
      </c>
      <c r="H122" t="n">
        <v>2</v>
      </c>
      <c r="I122" t="n">
        <v>0</v>
      </c>
      <c r="J122" t="n">
        <v>0</v>
      </c>
      <c r="K122" t="n">
        <v>1</v>
      </c>
      <c r="L122" t="n">
        <v>0</v>
      </c>
      <c r="M122" t="n">
        <v>0</v>
      </c>
      <c r="N122" t="n">
        <v>0</v>
      </c>
      <c r="O122" t="n">
        <v>1</v>
      </c>
      <c r="P122" t="n">
        <v>1</v>
      </c>
      <c r="Q122" t="n">
        <v>2</v>
      </c>
      <c r="R122" s="2" t="inlineStr">
        <is>
          <t>Knärot
Tjäder</t>
        </is>
      </c>
      <c r="S122">
        <f>HYPERLINK("https://klasma.github.io/Logging_0883/artfynd/A 25435-2023 artfynd.xlsx", "A 25435-2023")</f>
        <v/>
      </c>
      <c r="T122">
        <f>HYPERLINK("https://klasma.github.io/Logging_0883/kartor/A 25435-2023 karta.png", "A 25435-2023")</f>
        <v/>
      </c>
      <c r="U122">
        <f>HYPERLINK("https://klasma.github.io/Logging_0883/knärot/A 25435-2023 karta knärot.png", "A 25435-2023")</f>
        <v/>
      </c>
      <c r="V122">
        <f>HYPERLINK("https://klasma.github.io/Logging_0883/klagomål/A 25435-2023 FSC-klagomål.docx", "A 25435-2023")</f>
        <v/>
      </c>
      <c r="W122">
        <f>HYPERLINK("https://klasma.github.io/Logging_0883/klagomålsmail/A 25435-2023 FSC-klagomål mail.docx", "A 25435-2023")</f>
        <v/>
      </c>
      <c r="X122">
        <f>HYPERLINK("https://klasma.github.io/Logging_0883/tillsyn/A 25435-2023 tillsynsbegäran.docx", "A 25435-2023")</f>
        <v/>
      </c>
      <c r="Y122">
        <f>HYPERLINK("https://klasma.github.io/Logging_0883/tillsynsmail/A 25435-2023 tillsynsbegäran mail.docx", "A 25435-2023")</f>
        <v/>
      </c>
      <c r="Z122">
        <f>HYPERLINK("https://klasma.github.io/Logging_0883/fåglar/A 25435-2023 prioriterade fågelarter.docx", "A 25435-2023")</f>
        <v/>
      </c>
    </row>
    <row r="123" ht="15" customHeight="1">
      <c r="A123" t="inlineStr">
        <is>
          <t>A 4778-2025</t>
        </is>
      </c>
      <c r="B123" s="1" t="n">
        <v>45688</v>
      </c>
      <c r="C123" s="1" t="n">
        <v>45923</v>
      </c>
      <c r="D123" t="inlineStr">
        <is>
          <t>KALMAR LÄN</t>
        </is>
      </c>
      <c r="E123" t="inlineStr">
        <is>
          <t>VÄSTERVIK</t>
        </is>
      </c>
      <c r="F123" t="inlineStr">
        <is>
          <t>Holmen skog AB</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4778-2025 artfynd.xlsx", "A 4778-2025")</f>
        <v/>
      </c>
      <c r="T123">
        <f>HYPERLINK("https://klasma.github.io/Logging_0883/kartor/A 4778-2025 karta.png", "A 4778-2025")</f>
        <v/>
      </c>
      <c r="U123">
        <f>HYPERLINK("https://klasma.github.io/Logging_0883/knärot/A 4778-2025 karta knärot.png", "A 4778-2025")</f>
        <v/>
      </c>
      <c r="V123">
        <f>HYPERLINK("https://klasma.github.io/Logging_0883/klagomål/A 4778-2025 FSC-klagomål.docx", "A 4778-2025")</f>
        <v/>
      </c>
      <c r="W123">
        <f>HYPERLINK("https://klasma.github.io/Logging_0883/klagomålsmail/A 4778-2025 FSC-klagomål mail.docx", "A 4778-2025")</f>
        <v/>
      </c>
      <c r="X123">
        <f>HYPERLINK("https://klasma.github.io/Logging_0883/tillsyn/A 4778-2025 tillsynsbegäran.docx", "A 4778-2025")</f>
        <v/>
      </c>
      <c r="Y123">
        <f>HYPERLINK("https://klasma.github.io/Logging_0883/tillsynsmail/A 4778-2025 tillsynsbegäran mail.docx", "A 4778-2025")</f>
        <v/>
      </c>
      <c r="Z123">
        <f>HYPERLINK("https://klasma.github.io/Logging_0883/fåglar/A 4778-2025 prioriterade fågelarter.docx", "A 4778-2025")</f>
        <v/>
      </c>
    </row>
    <row r="124" ht="15" customHeight="1">
      <c r="A124" t="inlineStr">
        <is>
          <t>A 59231-2022</t>
        </is>
      </c>
      <c r="B124" s="1" t="n">
        <v>44904.55646990741</v>
      </c>
      <c r="C124" s="1" t="n">
        <v>45923</v>
      </c>
      <c r="D124" t="inlineStr">
        <is>
          <t>KALMAR LÄN</t>
        </is>
      </c>
      <c r="E124" t="inlineStr">
        <is>
          <t>VÄSTERVIK</t>
        </is>
      </c>
      <c r="G124" t="n">
        <v>1.8</v>
      </c>
      <c r="H124" t="n">
        <v>0</v>
      </c>
      <c r="I124" t="n">
        <v>1</v>
      </c>
      <c r="J124" t="n">
        <v>1</v>
      </c>
      <c r="K124" t="n">
        <v>0</v>
      </c>
      <c r="L124" t="n">
        <v>0</v>
      </c>
      <c r="M124" t="n">
        <v>0</v>
      </c>
      <c r="N124" t="n">
        <v>0</v>
      </c>
      <c r="O124" t="n">
        <v>1</v>
      </c>
      <c r="P124" t="n">
        <v>0</v>
      </c>
      <c r="Q124" t="n">
        <v>2</v>
      </c>
      <c r="R124" s="2" t="inlineStr">
        <is>
          <t>Tallticka
Grönpyrola</t>
        </is>
      </c>
      <c r="S124">
        <f>HYPERLINK("https://klasma.github.io/Logging_0883/artfynd/A 59231-2022 artfynd.xlsx", "A 59231-2022")</f>
        <v/>
      </c>
      <c r="T124">
        <f>HYPERLINK("https://klasma.github.io/Logging_0883/kartor/A 59231-2022 karta.png", "A 59231-2022")</f>
        <v/>
      </c>
      <c r="V124">
        <f>HYPERLINK("https://klasma.github.io/Logging_0883/klagomål/A 59231-2022 FSC-klagomål.docx", "A 59231-2022")</f>
        <v/>
      </c>
      <c r="W124">
        <f>HYPERLINK("https://klasma.github.io/Logging_0883/klagomålsmail/A 59231-2022 FSC-klagomål mail.docx", "A 59231-2022")</f>
        <v/>
      </c>
      <c r="X124">
        <f>HYPERLINK("https://klasma.github.io/Logging_0883/tillsyn/A 59231-2022 tillsynsbegäran.docx", "A 59231-2022")</f>
        <v/>
      </c>
      <c r="Y124">
        <f>HYPERLINK("https://klasma.github.io/Logging_0883/tillsynsmail/A 59231-2022 tillsynsbegäran mail.docx", "A 59231-2022")</f>
        <v/>
      </c>
    </row>
    <row r="125" ht="15" customHeight="1">
      <c r="A125" t="inlineStr">
        <is>
          <t>A 26992-2024</t>
        </is>
      </c>
      <c r="B125" s="1" t="n">
        <v>45471</v>
      </c>
      <c r="C125" s="1" t="n">
        <v>45923</v>
      </c>
      <c r="D125" t="inlineStr">
        <is>
          <t>KALMAR LÄN</t>
        </is>
      </c>
      <c r="E125" t="inlineStr">
        <is>
          <t>VÄSTERVIK</t>
        </is>
      </c>
      <c r="F125" t="inlineStr">
        <is>
          <t>Holmen skog AB</t>
        </is>
      </c>
      <c r="G125" t="n">
        <v>4.6</v>
      </c>
      <c r="H125" t="n">
        <v>2</v>
      </c>
      <c r="I125" t="n">
        <v>0</v>
      </c>
      <c r="J125" t="n">
        <v>2</v>
      </c>
      <c r="K125" t="n">
        <v>0</v>
      </c>
      <c r="L125" t="n">
        <v>0</v>
      </c>
      <c r="M125" t="n">
        <v>0</v>
      </c>
      <c r="N125" t="n">
        <v>0</v>
      </c>
      <c r="O125" t="n">
        <v>2</v>
      </c>
      <c r="P125" t="n">
        <v>0</v>
      </c>
      <c r="Q125" t="n">
        <v>2</v>
      </c>
      <c r="R125" s="2" t="inlineStr">
        <is>
          <t>Mindre hackspett
Talltita</t>
        </is>
      </c>
      <c r="S125">
        <f>HYPERLINK("https://klasma.github.io/Logging_0883/artfynd/A 26992-2024 artfynd.xlsx", "A 26992-2024")</f>
        <v/>
      </c>
      <c r="T125">
        <f>HYPERLINK("https://klasma.github.io/Logging_0883/kartor/A 26992-2024 karta.png", "A 26992-2024")</f>
        <v/>
      </c>
      <c r="V125">
        <f>HYPERLINK("https://klasma.github.io/Logging_0883/klagomål/A 26992-2024 FSC-klagomål.docx", "A 26992-2024")</f>
        <v/>
      </c>
      <c r="W125">
        <f>HYPERLINK("https://klasma.github.io/Logging_0883/klagomålsmail/A 26992-2024 FSC-klagomål mail.docx", "A 26992-2024")</f>
        <v/>
      </c>
      <c r="X125">
        <f>HYPERLINK("https://klasma.github.io/Logging_0883/tillsyn/A 26992-2024 tillsynsbegäran.docx", "A 26992-2024")</f>
        <v/>
      </c>
      <c r="Y125">
        <f>HYPERLINK("https://klasma.github.io/Logging_0883/tillsynsmail/A 26992-2024 tillsynsbegäran mail.docx", "A 26992-2024")</f>
        <v/>
      </c>
      <c r="Z125">
        <f>HYPERLINK("https://klasma.github.io/Logging_0883/fåglar/A 26992-2024 prioriterade fågelarter.docx", "A 26992-2024")</f>
        <v/>
      </c>
    </row>
    <row r="126" ht="15" customHeight="1">
      <c r="A126" t="inlineStr">
        <is>
          <t>A 33687-2025</t>
        </is>
      </c>
      <c r="B126" s="1" t="n">
        <v>45841.69072916666</v>
      </c>
      <c r="C126" s="1" t="n">
        <v>45923</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948-2024</t>
        </is>
      </c>
      <c r="B127" s="1" t="n">
        <v>45301</v>
      </c>
      <c r="C127" s="1" t="n">
        <v>45923</v>
      </c>
      <c r="D127" t="inlineStr">
        <is>
          <t>KALMAR LÄN</t>
        </is>
      </c>
      <c r="E127" t="inlineStr">
        <is>
          <t>VÄSTERVIK</t>
        </is>
      </c>
      <c r="G127" t="n">
        <v>4.5</v>
      </c>
      <c r="H127" t="n">
        <v>1</v>
      </c>
      <c r="I127" t="n">
        <v>1</v>
      </c>
      <c r="J127" t="n">
        <v>0</v>
      </c>
      <c r="K127" t="n">
        <v>0</v>
      </c>
      <c r="L127" t="n">
        <v>0</v>
      </c>
      <c r="M127" t="n">
        <v>0</v>
      </c>
      <c r="N127" t="n">
        <v>0</v>
      </c>
      <c r="O127" t="n">
        <v>0</v>
      </c>
      <c r="P127" t="n">
        <v>0</v>
      </c>
      <c r="Q127" t="n">
        <v>2</v>
      </c>
      <c r="R127" s="2" t="inlineStr">
        <is>
          <t>Dropptaggsvamp
Tjäder</t>
        </is>
      </c>
      <c r="S127">
        <f>HYPERLINK("https://klasma.github.io/Logging_0883/artfynd/A 948-2024 artfynd.xlsx", "A 948-2024")</f>
        <v/>
      </c>
      <c r="T127">
        <f>HYPERLINK("https://klasma.github.io/Logging_0883/kartor/A 948-2024 karta.png", "A 948-2024")</f>
        <v/>
      </c>
      <c r="V127">
        <f>HYPERLINK("https://klasma.github.io/Logging_0883/klagomål/A 948-2024 FSC-klagomål.docx", "A 948-2024")</f>
        <v/>
      </c>
      <c r="W127">
        <f>HYPERLINK("https://klasma.github.io/Logging_0883/klagomålsmail/A 948-2024 FSC-klagomål mail.docx", "A 948-2024")</f>
        <v/>
      </c>
      <c r="X127">
        <f>HYPERLINK("https://klasma.github.io/Logging_0883/tillsyn/A 948-2024 tillsynsbegäran.docx", "A 948-2024")</f>
        <v/>
      </c>
      <c r="Y127">
        <f>HYPERLINK("https://klasma.github.io/Logging_0883/tillsynsmail/A 948-2024 tillsynsbegäran mail.docx", "A 948-2024")</f>
        <v/>
      </c>
      <c r="Z127">
        <f>HYPERLINK("https://klasma.github.io/Logging_0883/fåglar/A 948-2024 prioriterade fågelarter.docx", "A 948-2024")</f>
        <v/>
      </c>
    </row>
    <row r="128" ht="15" customHeight="1">
      <c r="A128" t="inlineStr">
        <is>
          <t>A 3173-2023</t>
        </is>
      </c>
      <c r="B128" s="1" t="n">
        <v>44946</v>
      </c>
      <c r="C128" s="1" t="n">
        <v>45923</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1955-2021</t>
        </is>
      </c>
      <c r="B129" s="1" t="n">
        <v>44210</v>
      </c>
      <c r="C129" s="1" t="n">
        <v>45923</v>
      </c>
      <c r="D129" t="inlineStr">
        <is>
          <t>KALMAR LÄN</t>
        </is>
      </c>
      <c r="E129" t="inlineStr">
        <is>
          <t>VÄSTERVIK</t>
        </is>
      </c>
      <c r="G129" t="n">
        <v>5.3</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1955-2021 artfynd.xlsx", "A 1955-2021")</f>
        <v/>
      </c>
      <c r="T129">
        <f>HYPERLINK("https://klasma.github.io/Logging_0883/kartor/A 1955-2021 karta.png", "A 1955-2021")</f>
        <v/>
      </c>
      <c r="V129">
        <f>HYPERLINK("https://klasma.github.io/Logging_0883/klagomål/A 1955-2021 FSC-klagomål.docx", "A 1955-2021")</f>
        <v/>
      </c>
      <c r="W129">
        <f>HYPERLINK("https://klasma.github.io/Logging_0883/klagomålsmail/A 1955-2021 FSC-klagomål mail.docx", "A 1955-2021")</f>
        <v/>
      </c>
      <c r="X129">
        <f>HYPERLINK("https://klasma.github.io/Logging_0883/tillsyn/A 1955-2021 tillsynsbegäran.docx", "A 1955-2021")</f>
        <v/>
      </c>
      <c r="Y129">
        <f>HYPERLINK("https://klasma.github.io/Logging_0883/tillsynsmail/A 1955-2021 tillsynsbegäran mail.docx", "A 1955-2021")</f>
        <v/>
      </c>
      <c r="Z129">
        <f>HYPERLINK("https://klasma.github.io/Logging_0883/fåglar/A 1955-2021 prioriterade fågelarter.docx", "A 1955-2021")</f>
        <v/>
      </c>
    </row>
    <row r="130" ht="15" customHeight="1">
      <c r="A130" t="inlineStr">
        <is>
          <t>A 56180-2020</t>
        </is>
      </c>
      <c r="B130" s="1" t="n">
        <v>44133</v>
      </c>
      <c r="C130" s="1" t="n">
        <v>45923</v>
      </c>
      <c r="D130" t="inlineStr">
        <is>
          <t>KALMAR LÄN</t>
        </is>
      </c>
      <c r="E130" t="inlineStr">
        <is>
          <t>VÄSTERVIK</t>
        </is>
      </c>
      <c r="G130" t="n">
        <v>9.199999999999999</v>
      </c>
      <c r="H130" t="n">
        <v>2</v>
      </c>
      <c r="I130" t="n">
        <v>0</v>
      </c>
      <c r="J130" t="n">
        <v>0</v>
      </c>
      <c r="K130" t="n">
        <v>1</v>
      </c>
      <c r="L130" t="n">
        <v>0</v>
      </c>
      <c r="M130" t="n">
        <v>0</v>
      </c>
      <c r="N130" t="n">
        <v>0</v>
      </c>
      <c r="O130" t="n">
        <v>1</v>
      </c>
      <c r="P130" t="n">
        <v>1</v>
      </c>
      <c r="Q130" t="n">
        <v>2</v>
      </c>
      <c r="R130" s="2" t="inlineStr">
        <is>
          <t>Hasselsnok
Mattlummer</t>
        </is>
      </c>
      <c r="S130">
        <f>HYPERLINK("https://klasma.github.io/Logging_0883/artfynd/A 56180-2020 artfynd.xlsx", "A 56180-2020")</f>
        <v/>
      </c>
      <c r="T130">
        <f>HYPERLINK("https://klasma.github.io/Logging_0883/kartor/A 56180-2020 karta.png", "A 56180-2020")</f>
        <v/>
      </c>
      <c r="V130">
        <f>HYPERLINK("https://klasma.github.io/Logging_0883/klagomål/A 56180-2020 FSC-klagomål.docx", "A 56180-2020")</f>
        <v/>
      </c>
      <c r="W130">
        <f>HYPERLINK("https://klasma.github.io/Logging_0883/klagomålsmail/A 56180-2020 FSC-klagomål mail.docx", "A 56180-2020")</f>
        <v/>
      </c>
      <c r="X130">
        <f>HYPERLINK("https://klasma.github.io/Logging_0883/tillsyn/A 56180-2020 tillsynsbegäran.docx", "A 56180-2020")</f>
        <v/>
      </c>
      <c r="Y130">
        <f>HYPERLINK("https://klasma.github.io/Logging_0883/tillsynsmail/A 56180-2020 tillsynsbegäran mail.docx", "A 56180-2020")</f>
        <v/>
      </c>
    </row>
    <row r="131" ht="15" customHeight="1">
      <c r="A131" t="inlineStr">
        <is>
          <t>A 1373-2024</t>
        </is>
      </c>
      <c r="B131" s="1" t="n">
        <v>45303</v>
      </c>
      <c r="C131" s="1" t="n">
        <v>45923</v>
      </c>
      <c r="D131" t="inlineStr">
        <is>
          <t>KALMAR LÄN</t>
        </is>
      </c>
      <c r="E131" t="inlineStr">
        <is>
          <t>VÄSTERVIK</t>
        </is>
      </c>
      <c r="G131" t="n">
        <v>1.2</v>
      </c>
      <c r="H131" t="n">
        <v>1</v>
      </c>
      <c r="I131" t="n">
        <v>0</v>
      </c>
      <c r="J131" t="n">
        <v>2</v>
      </c>
      <c r="K131" t="n">
        <v>0</v>
      </c>
      <c r="L131" t="n">
        <v>0</v>
      </c>
      <c r="M131" t="n">
        <v>0</v>
      </c>
      <c r="N131" t="n">
        <v>0</v>
      </c>
      <c r="O131" t="n">
        <v>2</v>
      </c>
      <c r="P131" t="n">
        <v>0</v>
      </c>
      <c r="Q131" t="n">
        <v>2</v>
      </c>
      <c r="R131" s="2" t="inlineStr">
        <is>
          <t>Tallticka
Talltita</t>
        </is>
      </c>
      <c r="S131">
        <f>HYPERLINK("https://klasma.github.io/Logging_0883/artfynd/A 1373-2024 artfynd.xlsx", "A 1373-2024")</f>
        <v/>
      </c>
      <c r="T131">
        <f>HYPERLINK("https://klasma.github.io/Logging_0883/kartor/A 1373-2024 karta.png", "A 1373-2024")</f>
        <v/>
      </c>
      <c r="V131">
        <f>HYPERLINK("https://klasma.github.io/Logging_0883/klagomål/A 1373-2024 FSC-klagomål.docx", "A 1373-2024")</f>
        <v/>
      </c>
      <c r="W131">
        <f>HYPERLINK("https://klasma.github.io/Logging_0883/klagomålsmail/A 1373-2024 FSC-klagomål mail.docx", "A 1373-2024")</f>
        <v/>
      </c>
      <c r="X131">
        <f>HYPERLINK("https://klasma.github.io/Logging_0883/tillsyn/A 1373-2024 tillsynsbegäran.docx", "A 1373-2024")</f>
        <v/>
      </c>
      <c r="Y131">
        <f>HYPERLINK("https://klasma.github.io/Logging_0883/tillsynsmail/A 1373-2024 tillsynsbegäran mail.docx", "A 1373-2024")</f>
        <v/>
      </c>
      <c r="Z131">
        <f>HYPERLINK("https://klasma.github.io/Logging_0883/fåglar/A 1373-2024 prioriterade fågelarter.docx", "A 1373-2024")</f>
        <v/>
      </c>
    </row>
    <row r="132" ht="15" customHeight="1">
      <c r="A132" t="inlineStr">
        <is>
          <t>A 28401-2024</t>
        </is>
      </c>
      <c r="B132" s="1" t="n">
        <v>45477</v>
      </c>
      <c r="C132" s="1" t="n">
        <v>45923</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9040-2023</t>
        </is>
      </c>
      <c r="B133" s="1" t="n">
        <v>44979</v>
      </c>
      <c r="C133" s="1" t="n">
        <v>45923</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2950-2025</t>
        </is>
      </c>
      <c r="B134" s="1" t="n">
        <v>45678</v>
      </c>
      <c r="C134" s="1" t="n">
        <v>45923</v>
      </c>
      <c r="D134" t="inlineStr">
        <is>
          <t>KALMAR LÄN</t>
        </is>
      </c>
      <c r="E134" t="inlineStr">
        <is>
          <t>VÄSTERVIK</t>
        </is>
      </c>
      <c r="G134" t="n">
        <v>6.1</v>
      </c>
      <c r="H134" t="n">
        <v>1</v>
      </c>
      <c r="I134" t="n">
        <v>1</v>
      </c>
      <c r="J134" t="n">
        <v>0</v>
      </c>
      <c r="K134" t="n">
        <v>1</v>
      </c>
      <c r="L134" t="n">
        <v>0</v>
      </c>
      <c r="M134" t="n">
        <v>0</v>
      </c>
      <c r="N134" t="n">
        <v>0</v>
      </c>
      <c r="O134" t="n">
        <v>1</v>
      </c>
      <c r="P134" t="n">
        <v>1</v>
      </c>
      <c r="Q134" t="n">
        <v>2</v>
      </c>
      <c r="R134" s="2" t="inlineStr">
        <is>
          <t>Knärot
Grovticka</t>
        </is>
      </c>
      <c r="S134">
        <f>HYPERLINK("https://klasma.github.io/Logging_0883/artfynd/A 2950-2025 artfynd.xlsx", "A 2950-2025")</f>
        <v/>
      </c>
      <c r="T134">
        <f>HYPERLINK("https://klasma.github.io/Logging_0883/kartor/A 2950-2025 karta.png", "A 2950-2025")</f>
        <v/>
      </c>
      <c r="U134">
        <f>HYPERLINK("https://klasma.github.io/Logging_0883/knärot/A 2950-2025 karta knärot.png", "A 2950-2025")</f>
        <v/>
      </c>
      <c r="V134">
        <f>HYPERLINK("https://klasma.github.io/Logging_0883/klagomål/A 2950-2025 FSC-klagomål.docx", "A 2950-2025")</f>
        <v/>
      </c>
      <c r="W134">
        <f>HYPERLINK("https://klasma.github.io/Logging_0883/klagomålsmail/A 2950-2025 FSC-klagomål mail.docx", "A 2950-2025")</f>
        <v/>
      </c>
      <c r="X134">
        <f>HYPERLINK("https://klasma.github.io/Logging_0883/tillsyn/A 2950-2025 tillsynsbegäran.docx", "A 2950-2025")</f>
        <v/>
      </c>
      <c r="Y134">
        <f>HYPERLINK("https://klasma.github.io/Logging_0883/tillsynsmail/A 2950-2025 tillsynsbegäran mail.docx", "A 2950-2025")</f>
        <v/>
      </c>
    </row>
    <row r="135" ht="15" customHeight="1">
      <c r="A135" t="inlineStr">
        <is>
          <t>A 62003-2022</t>
        </is>
      </c>
      <c r="B135" s="1" t="n">
        <v>44918</v>
      </c>
      <c r="C135" s="1" t="n">
        <v>45923</v>
      </c>
      <c r="D135" t="inlineStr">
        <is>
          <t>KALMAR LÄN</t>
        </is>
      </c>
      <c r="E135" t="inlineStr">
        <is>
          <t>VÄSTERVIK</t>
        </is>
      </c>
      <c r="G135" t="n">
        <v>6.2</v>
      </c>
      <c r="H135" t="n">
        <v>1</v>
      </c>
      <c r="I135" t="n">
        <v>0</v>
      </c>
      <c r="J135" t="n">
        <v>1</v>
      </c>
      <c r="K135" t="n">
        <v>1</v>
      </c>
      <c r="L135" t="n">
        <v>0</v>
      </c>
      <c r="M135" t="n">
        <v>0</v>
      </c>
      <c r="N135" t="n">
        <v>0</v>
      </c>
      <c r="O135" t="n">
        <v>2</v>
      </c>
      <c r="P135" t="n">
        <v>1</v>
      </c>
      <c r="Q135" t="n">
        <v>2</v>
      </c>
      <c r="R135" s="2" t="inlineStr">
        <is>
          <t>Knärot
Linmåra/småsnärjmåra</t>
        </is>
      </c>
      <c r="S135">
        <f>HYPERLINK("https://klasma.github.io/Logging_0883/artfynd/A 62003-2022 artfynd.xlsx", "A 62003-2022")</f>
        <v/>
      </c>
      <c r="T135">
        <f>HYPERLINK("https://klasma.github.io/Logging_0883/kartor/A 62003-2022 karta.png", "A 62003-2022")</f>
        <v/>
      </c>
      <c r="U135">
        <f>HYPERLINK("https://klasma.github.io/Logging_0883/knärot/A 62003-2022 karta knärot.png", "A 62003-2022")</f>
        <v/>
      </c>
      <c r="V135">
        <f>HYPERLINK("https://klasma.github.io/Logging_0883/klagomål/A 62003-2022 FSC-klagomål.docx", "A 62003-2022")</f>
        <v/>
      </c>
      <c r="W135">
        <f>HYPERLINK("https://klasma.github.io/Logging_0883/klagomålsmail/A 62003-2022 FSC-klagomål mail.docx", "A 62003-2022")</f>
        <v/>
      </c>
      <c r="X135">
        <f>HYPERLINK("https://klasma.github.io/Logging_0883/tillsyn/A 62003-2022 tillsynsbegäran.docx", "A 62003-2022")</f>
        <v/>
      </c>
      <c r="Y135">
        <f>HYPERLINK("https://klasma.github.io/Logging_0883/tillsynsmail/A 62003-2022 tillsynsbegäran mail.docx", "A 62003-2022")</f>
        <v/>
      </c>
    </row>
    <row r="136" ht="15" customHeight="1">
      <c r="A136" t="inlineStr">
        <is>
          <t>A 15534-2024</t>
        </is>
      </c>
      <c r="B136" s="1" t="n">
        <v>45401</v>
      </c>
      <c r="C136" s="1" t="n">
        <v>45923</v>
      </c>
      <c r="D136" t="inlineStr">
        <is>
          <t>KALMAR LÄN</t>
        </is>
      </c>
      <c r="E136" t="inlineStr">
        <is>
          <t>VÄSTERVIK</t>
        </is>
      </c>
      <c r="F136" t="inlineStr">
        <is>
          <t>Holmen skog AB</t>
        </is>
      </c>
      <c r="G136" t="n">
        <v>5.1</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15534-2024 artfynd.xlsx", "A 15534-2024")</f>
        <v/>
      </c>
      <c r="T136">
        <f>HYPERLINK("https://klasma.github.io/Logging_0883/kartor/A 15534-2024 karta.png", "A 15534-2024")</f>
        <v/>
      </c>
      <c r="U136">
        <f>HYPERLINK("https://klasma.github.io/Logging_0883/knärot/A 15534-2024 karta knärot.png", "A 15534-2024")</f>
        <v/>
      </c>
      <c r="V136">
        <f>HYPERLINK("https://klasma.github.io/Logging_0883/klagomål/A 15534-2024 FSC-klagomål.docx", "A 15534-2024")</f>
        <v/>
      </c>
      <c r="W136">
        <f>HYPERLINK("https://klasma.github.io/Logging_0883/klagomålsmail/A 15534-2024 FSC-klagomål mail.docx", "A 15534-2024")</f>
        <v/>
      </c>
      <c r="X136">
        <f>HYPERLINK("https://klasma.github.io/Logging_0883/tillsyn/A 15534-2024 tillsynsbegäran.docx", "A 15534-2024")</f>
        <v/>
      </c>
      <c r="Y136">
        <f>HYPERLINK("https://klasma.github.io/Logging_0883/tillsynsmail/A 15534-2024 tillsynsbegäran mail.docx", "A 15534-2024")</f>
        <v/>
      </c>
    </row>
    <row r="137" ht="15" customHeight="1">
      <c r="A137" t="inlineStr">
        <is>
          <t>A 14086-2025</t>
        </is>
      </c>
      <c r="B137" s="1" t="n">
        <v>45740.44130787037</v>
      </c>
      <c r="C137" s="1" t="n">
        <v>45923</v>
      </c>
      <c r="D137" t="inlineStr">
        <is>
          <t>KALMAR LÄN</t>
        </is>
      </c>
      <c r="E137" t="inlineStr">
        <is>
          <t>VÄSTERVIK</t>
        </is>
      </c>
      <c r="F137" t="inlineStr">
        <is>
          <t>Sveaskog</t>
        </is>
      </c>
      <c r="G137" t="n">
        <v>3.2</v>
      </c>
      <c r="H137" t="n">
        <v>1</v>
      </c>
      <c r="I137" t="n">
        <v>1</v>
      </c>
      <c r="J137" t="n">
        <v>0</v>
      </c>
      <c r="K137" t="n">
        <v>0</v>
      </c>
      <c r="L137" t="n">
        <v>0</v>
      </c>
      <c r="M137" t="n">
        <v>0</v>
      </c>
      <c r="N137" t="n">
        <v>0</v>
      </c>
      <c r="O137" t="n">
        <v>0</v>
      </c>
      <c r="P137" t="n">
        <v>0</v>
      </c>
      <c r="Q137" t="n">
        <v>2</v>
      </c>
      <c r="R137" s="2" t="inlineStr">
        <is>
          <t>Skogsbräsma
Åkergroda</t>
        </is>
      </c>
      <c r="S137">
        <f>HYPERLINK("https://klasma.github.io/Logging_0883/artfynd/A 14086-2025 artfynd.xlsx", "A 14086-2025")</f>
        <v/>
      </c>
      <c r="T137">
        <f>HYPERLINK("https://klasma.github.io/Logging_0883/kartor/A 14086-2025 karta.png", "A 14086-2025")</f>
        <v/>
      </c>
      <c r="V137">
        <f>HYPERLINK("https://klasma.github.io/Logging_0883/klagomål/A 14086-2025 FSC-klagomål.docx", "A 14086-2025")</f>
        <v/>
      </c>
      <c r="W137">
        <f>HYPERLINK("https://klasma.github.io/Logging_0883/klagomålsmail/A 14086-2025 FSC-klagomål mail.docx", "A 14086-2025")</f>
        <v/>
      </c>
      <c r="X137">
        <f>HYPERLINK("https://klasma.github.io/Logging_0883/tillsyn/A 14086-2025 tillsynsbegäran.docx", "A 14086-2025")</f>
        <v/>
      </c>
      <c r="Y137">
        <f>HYPERLINK("https://klasma.github.io/Logging_0883/tillsynsmail/A 14086-2025 tillsynsbegäran mail.docx", "A 14086-2025")</f>
        <v/>
      </c>
    </row>
    <row r="138" ht="15" customHeight="1">
      <c r="A138" t="inlineStr">
        <is>
          <t>A 9770-2024</t>
        </is>
      </c>
      <c r="B138" s="1" t="n">
        <v>45362.63960648148</v>
      </c>
      <c r="C138" s="1" t="n">
        <v>45923</v>
      </c>
      <c r="D138" t="inlineStr">
        <is>
          <t>KALMAR LÄN</t>
        </is>
      </c>
      <c r="E138" t="inlineStr">
        <is>
          <t>VÄSTERVIK</t>
        </is>
      </c>
      <c r="G138" t="n">
        <v>2.6</v>
      </c>
      <c r="H138" t="n">
        <v>2</v>
      </c>
      <c r="I138" t="n">
        <v>0</v>
      </c>
      <c r="J138" t="n">
        <v>1</v>
      </c>
      <c r="K138" t="n">
        <v>0</v>
      </c>
      <c r="L138" t="n">
        <v>0</v>
      </c>
      <c r="M138" t="n">
        <v>0</v>
      </c>
      <c r="N138" t="n">
        <v>0</v>
      </c>
      <c r="O138" t="n">
        <v>1</v>
      </c>
      <c r="P138" t="n">
        <v>0</v>
      </c>
      <c r="Q138" t="n">
        <v>2</v>
      </c>
      <c r="R138" s="2" t="inlineStr">
        <is>
          <t>Talltita
Tjäder</t>
        </is>
      </c>
      <c r="S138">
        <f>HYPERLINK("https://klasma.github.io/Logging_0883/artfynd/A 9770-2024 artfynd.xlsx", "A 9770-2024")</f>
        <v/>
      </c>
      <c r="T138">
        <f>HYPERLINK("https://klasma.github.io/Logging_0883/kartor/A 9770-2024 karta.png", "A 9770-2024")</f>
        <v/>
      </c>
      <c r="V138">
        <f>HYPERLINK("https://klasma.github.io/Logging_0883/klagomål/A 9770-2024 FSC-klagomål.docx", "A 9770-2024")</f>
        <v/>
      </c>
      <c r="W138">
        <f>HYPERLINK("https://klasma.github.io/Logging_0883/klagomålsmail/A 9770-2024 FSC-klagomål mail.docx", "A 9770-2024")</f>
        <v/>
      </c>
      <c r="X138">
        <f>HYPERLINK("https://klasma.github.io/Logging_0883/tillsyn/A 9770-2024 tillsynsbegäran.docx", "A 9770-2024")</f>
        <v/>
      </c>
      <c r="Y138">
        <f>HYPERLINK("https://klasma.github.io/Logging_0883/tillsynsmail/A 9770-2024 tillsynsbegäran mail.docx", "A 9770-2024")</f>
        <v/>
      </c>
      <c r="Z138">
        <f>HYPERLINK("https://klasma.github.io/Logging_0883/fåglar/A 9770-2024 prioriterade fågelarter.docx", "A 9770-2024")</f>
        <v/>
      </c>
    </row>
    <row r="139" ht="15" customHeight="1">
      <c r="A139" t="inlineStr">
        <is>
          <t>A 10784-2025</t>
        </is>
      </c>
      <c r="B139" s="1" t="n">
        <v>45722</v>
      </c>
      <c r="C139" s="1" t="n">
        <v>45923</v>
      </c>
      <c r="D139" t="inlineStr">
        <is>
          <t>KALMAR LÄN</t>
        </is>
      </c>
      <c r="E139" t="inlineStr">
        <is>
          <t>VÄSTERVIK</t>
        </is>
      </c>
      <c r="G139" t="n">
        <v>2.1</v>
      </c>
      <c r="H139" t="n">
        <v>2</v>
      </c>
      <c r="I139" t="n">
        <v>0</v>
      </c>
      <c r="J139" t="n">
        <v>1</v>
      </c>
      <c r="K139" t="n">
        <v>0</v>
      </c>
      <c r="L139" t="n">
        <v>0</v>
      </c>
      <c r="M139" t="n">
        <v>0</v>
      </c>
      <c r="N139" t="n">
        <v>0</v>
      </c>
      <c r="O139" t="n">
        <v>1</v>
      </c>
      <c r="P139" t="n">
        <v>0</v>
      </c>
      <c r="Q139" t="n">
        <v>2</v>
      </c>
      <c r="R139" s="2" t="inlineStr">
        <is>
          <t>Talltita
Kungsfågel</t>
        </is>
      </c>
      <c r="S139">
        <f>HYPERLINK("https://klasma.github.io/Logging_0883/artfynd/A 10784-2025 artfynd.xlsx", "A 10784-2025")</f>
        <v/>
      </c>
      <c r="T139">
        <f>HYPERLINK("https://klasma.github.io/Logging_0883/kartor/A 10784-2025 karta.png", "A 10784-2025")</f>
        <v/>
      </c>
      <c r="V139">
        <f>HYPERLINK("https://klasma.github.io/Logging_0883/klagomål/A 10784-2025 FSC-klagomål.docx", "A 10784-2025")</f>
        <v/>
      </c>
      <c r="W139">
        <f>HYPERLINK("https://klasma.github.io/Logging_0883/klagomålsmail/A 10784-2025 FSC-klagomål mail.docx", "A 10784-2025")</f>
        <v/>
      </c>
      <c r="X139">
        <f>HYPERLINK("https://klasma.github.io/Logging_0883/tillsyn/A 10784-2025 tillsynsbegäran.docx", "A 10784-2025")</f>
        <v/>
      </c>
      <c r="Y139">
        <f>HYPERLINK("https://klasma.github.io/Logging_0883/tillsynsmail/A 10784-2025 tillsynsbegäran mail.docx", "A 10784-2025")</f>
        <v/>
      </c>
      <c r="Z139">
        <f>HYPERLINK("https://klasma.github.io/Logging_0883/fåglar/A 10784-2025 prioriterade fågelarter.docx", "A 10784-2025")</f>
        <v/>
      </c>
    </row>
    <row r="140" ht="15" customHeight="1">
      <c r="A140" t="inlineStr">
        <is>
          <t>A 55408-2023</t>
        </is>
      </c>
      <c r="B140" s="1" t="n">
        <v>45238</v>
      </c>
      <c r="C140" s="1" t="n">
        <v>45923</v>
      </c>
      <c r="D140" t="inlineStr">
        <is>
          <t>KALMAR LÄN</t>
        </is>
      </c>
      <c r="E140" t="inlineStr">
        <is>
          <t>VÄSTERVIK</t>
        </is>
      </c>
      <c r="G140" t="n">
        <v>2.8</v>
      </c>
      <c r="H140" t="n">
        <v>0</v>
      </c>
      <c r="I140" t="n">
        <v>0</v>
      </c>
      <c r="J140" t="n">
        <v>2</v>
      </c>
      <c r="K140" t="n">
        <v>0</v>
      </c>
      <c r="L140" t="n">
        <v>0</v>
      </c>
      <c r="M140" t="n">
        <v>0</v>
      </c>
      <c r="N140" t="n">
        <v>0</v>
      </c>
      <c r="O140" t="n">
        <v>2</v>
      </c>
      <c r="P140" t="n">
        <v>0</v>
      </c>
      <c r="Q140" t="n">
        <v>2</v>
      </c>
      <c r="R140" s="2" t="inlineStr">
        <is>
          <t>Ekticka
Tallticka</t>
        </is>
      </c>
      <c r="S140">
        <f>HYPERLINK("https://klasma.github.io/Logging_0883/artfynd/A 55408-2023 artfynd.xlsx", "A 55408-2023")</f>
        <v/>
      </c>
      <c r="T140">
        <f>HYPERLINK("https://klasma.github.io/Logging_0883/kartor/A 55408-2023 karta.png", "A 55408-2023")</f>
        <v/>
      </c>
      <c r="V140">
        <f>HYPERLINK("https://klasma.github.io/Logging_0883/klagomål/A 55408-2023 FSC-klagomål.docx", "A 55408-2023")</f>
        <v/>
      </c>
      <c r="W140">
        <f>HYPERLINK("https://klasma.github.io/Logging_0883/klagomålsmail/A 55408-2023 FSC-klagomål mail.docx", "A 55408-2023")</f>
        <v/>
      </c>
      <c r="X140">
        <f>HYPERLINK("https://klasma.github.io/Logging_0883/tillsyn/A 55408-2023 tillsynsbegäran.docx", "A 55408-2023")</f>
        <v/>
      </c>
      <c r="Y140">
        <f>HYPERLINK("https://klasma.github.io/Logging_0883/tillsynsmail/A 55408-2023 tillsynsbegäran mail.docx", "A 55408-2023")</f>
        <v/>
      </c>
    </row>
    <row r="141" ht="15" customHeight="1">
      <c r="A141" t="inlineStr">
        <is>
          <t>A 34119-2023</t>
        </is>
      </c>
      <c r="B141" s="1" t="n">
        <v>45135</v>
      </c>
      <c r="C141" s="1" t="n">
        <v>45923</v>
      </c>
      <c r="D141" t="inlineStr">
        <is>
          <t>KALMAR LÄN</t>
        </is>
      </c>
      <c r="E141" t="inlineStr">
        <is>
          <t>VÄSTERVIK</t>
        </is>
      </c>
      <c r="G141" t="n">
        <v>3.1</v>
      </c>
      <c r="H141" t="n">
        <v>1</v>
      </c>
      <c r="I141" t="n">
        <v>1</v>
      </c>
      <c r="J141" t="n">
        <v>0</v>
      </c>
      <c r="K141" t="n">
        <v>1</v>
      </c>
      <c r="L141" t="n">
        <v>0</v>
      </c>
      <c r="M141" t="n">
        <v>0</v>
      </c>
      <c r="N141" t="n">
        <v>0</v>
      </c>
      <c r="O141" t="n">
        <v>1</v>
      </c>
      <c r="P141" t="n">
        <v>1</v>
      </c>
      <c r="Q141" t="n">
        <v>2</v>
      </c>
      <c r="R141" s="2" t="inlineStr">
        <is>
          <t>Knärot
Blomkålssvamp</t>
        </is>
      </c>
      <c r="S141">
        <f>HYPERLINK("https://klasma.github.io/Logging_0883/artfynd/A 34119-2023 artfynd.xlsx", "A 34119-2023")</f>
        <v/>
      </c>
      <c r="T141">
        <f>HYPERLINK("https://klasma.github.io/Logging_0883/kartor/A 34119-2023 karta.png", "A 34119-2023")</f>
        <v/>
      </c>
      <c r="U141">
        <f>HYPERLINK("https://klasma.github.io/Logging_0883/knärot/A 34119-2023 karta knärot.png", "A 34119-2023")</f>
        <v/>
      </c>
      <c r="V141">
        <f>HYPERLINK("https://klasma.github.io/Logging_0883/klagomål/A 34119-2023 FSC-klagomål.docx", "A 34119-2023")</f>
        <v/>
      </c>
      <c r="W141">
        <f>HYPERLINK("https://klasma.github.io/Logging_0883/klagomålsmail/A 34119-2023 FSC-klagomål mail.docx", "A 34119-2023")</f>
        <v/>
      </c>
      <c r="X141">
        <f>HYPERLINK("https://klasma.github.io/Logging_0883/tillsyn/A 34119-2023 tillsynsbegäran.docx", "A 34119-2023")</f>
        <v/>
      </c>
      <c r="Y141">
        <f>HYPERLINK("https://klasma.github.io/Logging_0883/tillsynsmail/A 34119-2023 tillsynsbegäran mail.docx", "A 34119-2023")</f>
        <v/>
      </c>
    </row>
    <row r="142" ht="15" customHeight="1">
      <c r="A142" t="inlineStr">
        <is>
          <t>A 14126-2025</t>
        </is>
      </c>
      <c r="B142" s="1" t="n">
        <v>45740.47012731482</v>
      </c>
      <c r="C142" s="1" t="n">
        <v>45923</v>
      </c>
      <c r="D142" t="inlineStr">
        <is>
          <t>KALMAR LÄN</t>
        </is>
      </c>
      <c r="E142" t="inlineStr">
        <is>
          <t>VÄSTERVIK</t>
        </is>
      </c>
      <c r="F142" t="inlineStr">
        <is>
          <t>Sveaskog</t>
        </is>
      </c>
      <c r="G142" t="n">
        <v>1.3</v>
      </c>
      <c r="H142" t="n">
        <v>2</v>
      </c>
      <c r="I142" t="n">
        <v>0</v>
      </c>
      <c r="J142" t="n">
        <v>1</v>
      </c>
      <c r="K142" t="n">
        <v>0</v>
      </c>
      <c r="L142" t="n">
        <v>0</v>
      </c>
      <c r="M142" t="n">
        <v>0</v>
      </c>
      <c r="N142" t="n">
        <v>0</v>
      </c>
      <c r="O142" t="n">
        <v>1</v>
      </c>
      <c r="P142" t="n">
        <v>0</v>
      </c>
      <c r="Q142" t="n">
        <v>2</v>
      </c>
      <c r="R142" s="2" t="inlineStr">
        <is>
          <t>Grönsångare
Blåsippa</t>
        </is>
      </c>
      <c r="S142">
        <f>HYPERLINK("https://klasma.github.io/Logging_0883/artfynd/A 14126-2025 artfynd.xlsx", "A 14126-2025")</f>
        <v/>
      </c>
      <c r="T142">
        <f>HYPERLINK("https://klasma.github.io/Logging_0883/kartor/A 14126-2025 karta.png", "A 14126-2025")</f>
        <v/>
      </c>
      <c r="V142">
        <f>HYPERLINK("https://klasma.github.io/Logging_0883/klagomål/A 14126-2025 FSC-klagomål.docx", "A 14126-2025")</f>
        <v/>
      </c>
      <c r="W142">
        <f>HYPERLINK("https://klasma.github.io/Logging_0883/klagomålsmail/A 14126-2025 FSC-klagomål mail.docx", "A 14126-2025")</f>
        <v/>
      </c>
      <c r="X142">
        <f>HYPERLINK("https://klasma.github.io/Logging_0883/tillsyn/A 14126-2025 tillsynsbegäran.docx", "A 14126-2025")</f>
        <v/>
      </c>
      <c r="Y142">
        <f>HYPERLINK("https://klasma.github.io/Logging_0883/tillsynsmail/A 14126-2025 tillsynsbegäran mail.docx", "A 14126-2025")</f>
        <v/>
      </c>
      <c r="Z142">
        <f>HYPERLINK("https://klasma.github.io/Logging_0883/fåglar/A 14126-2025 prioriterade fågelarter.docx", "A 14126-2025")</f>
        <v/>
      </c>
    </row>
    <row r="143" ht="15" customHeight="1">
      <c r="A143" t="inlineStr">
        <is>
          <t>A 14301-2023</t>
        </is>
      </c>
      <c r="B143" s="1" t="n">
        <v>45011</v>
      </c>
      <c r="C143" s="1" t="n">
        <v>45923</v>
      </c>
      <c r="D143" t="inlineStr">
        <is>
          <t>KALMAR LÄN</t>
        </is>
      </c>
      <c r="E143" t="inlineStr">
        <is>
          <t>VÄSTERVIK</t>
        </is>
      </c>
      <c r="G143" t="n">
        <v>4.4</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14301-2023 artfynd.xlsx", "A 14301-2023")</f>
        <v/>
      </c>
      <c r="T143">
        <f>HYPERLINK("https://klasma.github.io/Logging_0883/kartor/A 14301-2023 karta.png", "A 14301-2023")</f>
        <v/>
      </c>
      <c r="U143">
        <f>HYPERLINK("https://klasma.github.io/Logging_0883/knärot/A 14301-2023 karta knärot.png", "A 14301-2023")</f>
        <v/>
      </c>
      <c r="V143">
        <f>HYPERLINK("https://klasma.github.io/Logging_0883/klagomål/A 14301-2023 FSC-klagomål.docx", "A 14301-2023")</f>
        <v/>
      </c>
      <c r="W143">
        <f>HYPERLINK("https://klasma.github.io/Logging_0883/klagomålsmail/A 14301-2023 FSC-klagomål mail.docx", "A 14301-2023")</f>
        <v/>
      </c>
      <c r="X143">
        <f>HYPERLINK("https://klasma.github.io/Logging_0883/tillsyn/A 14301-2023 tillsynsbegäran.docx", "A 14301-2023")</f>
        <v/>
      </c>
      <c r="Y143">
        <f>HYPERLINK("https://klasma.github.io/Logging_0883/tillsynsmail/A 14301-2023 tillsynsbegäran mail.docx", "A 14301-2023")</f>
        <v/>
      </c>
    </row>
    <row r="144" ht="15" customHeight="1">
      <c r="A144" t="inlineStr">
        <is>
          <t>A 8618-2024</t>
        </is>
      </c>
      <c r="B144" s="1" t="n">
        <v>45355.73453703704</v>
      </c>
      <c r="C144" s="1" t="n">
        <v>45923</v>
      </c>
      <c r="D144" t="inlineStr">
        <is>
          <t>KALMAR LÄN</t>
        </is>
      </c>
      <c r="E144" t="inlineStr">
        <is>
          <t>VÄSTERVIK</t>
        </is>
      </c>
      <c r="G144" t="n">
        <v>4.3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8618-2024 artfynd.xlsx", "A 8618-2024")</f>
        <v/>
      </c>
      <c r="T144">
        <f>HYPERLINK("https://klasma.github.io/Logging_0883/kartor/A 8618-2024 karta.png", "A 8618-2024")</f>
        <v/>
      </c>
      <c r="U144">
        <f>HYPERLINK("https://klasma.github.io/Logging_0883/knärot/A 8618-2024 karta knärot.png", "A 8618-2024")</f>
        <v/>
      </c>
      <c r="V144">
        <f>HYPERLINK("https://klasma.github.io/Logging_0883/klagomål/A 8618-2024 FSC-klagomål.docx", "A 8618-2024")</f>
        <v/>
      </c>
      <c r="W144">
        <f>HYPERLINK("https://klasma.github.io/Logging_0883/klagomålsmail/A 8618-2024 FSC-klagomål mail.docx", "A 8618-2024")</f>
        <v/>
      </c>
      <c r="X144">
        <f>HYPERLINK("https://klasma.github.io/Logging_0883/tillsyn/A 8618-2024 tillsynsbegäran.docx", "A 8618-2024")</f>
        <v/>
      </c>
      <c r="Y144">
        <f>HYPERLINK("https://klasma.github.io/Logging_0883/tillsynsmail/A 8618-2024 tillsynsbegäran mail.docx", "A 8618-2024")</f>
        <v/>
      </c>
    </row>
    <row r="145" ht="15" customHeight="1">
      <c r="A145" t="inlineStr">
        <is>
          <t>A 32649-2023</t>
        </is>
      </c>
      <c r="B145" s="1" t="n">
        <v>45121</v>
      </c>
      <c r="C145" s="1" t="n">
        <v>45923</v>
      </c>
      <c r="D145" t="inlineStr">
        <is>
          <t>KALMAR LÄN</t>
        </is>
      </c>
      <c r="E145" t="inlineStr">
        <is>
          <t>VÄSTERVIK</t>
        </is>
      </c>
      <c r="G145" t="n">
        <v>1.7</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32649-2023 artfynd.xlsx", "A 32649-2023")</f>
        <v/>
      </c>
      <c r="T145">
        <f>HYPERLINK("https://klasma.github.io/Logging_0883/kartor/A 32649-2023 karta.png", "A 32649-2023")</f>
        <v/>
      </c>
      <c r="U145">
        <f>HYPERLINK("https://klasma.github.io/Logging_0883/knärot/A 32649-2023 karta knärot.png", "A 32649-2023")</f>
        <v/>
      </c>
      <c r="V145">
        <f>HYPERLINK("https://klasma.github.io/Logging_0883/klagomål/A 32649-2023 FSC-klagomål.docx", "A 32649-2023")</f>
        <v/>
      </c>
      <c r="W145">
        <f>HYPERLINK("https://klasma.github.io/Logging_0883/klagomålsmail/A 32649-2023 FSC-klagomål mail.docx", "A 32649-2023")</f>
        <v/>
      </c>
      <c r="X145">
        <f>HYPERLINK("https://klasma.github.io/Logging_0883/tillsyn/A 32649-2023 tillsynsbegäran.docx", "A 32649-2023")</f>
        <v/>
      </c>
      <c r="Y145">
        <f>HYPERLINK("https://klasma.github.io/Logging_0883/tillsynsmail/A 32649-2023 tillsynsbegäran mail.docx", "A 32649-2023")</f>
        <v/>
      </c>
    </row>
    <row r="146" ht="15" customHeight="1">
      <c r="A146" t="inlineStr">
        <is>
          <t>A 51833-2021</t>
        </is>
      </c>
      <c r="B146" s="1" t="n">
        <v>44462</v>
      </c>
      <c r="C146" s="1" t="n">
        <v>45923</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56857-2023</t>
        </is>
      </c>
      <c r="B147" s="1" t="n">
        <v>45244</v>
      </c>
      <c r="C147" s="1" t="n">
        <v>45923</v>
      </c>
      <c r="D147" t="inlineStr">
        <is>
          <t>KALMAR LÄN</t>
        </is>
      </c>
      <c r="E147" t="inlineStr">
        <is>
          <t>VÄSTERVIK</t>
        </is>
      </c>
      <c r="F147" t="inlineStr">
        <is>
          <t>Kyrkan</t>
        </is>
      </c>
      <c r="G147" t="n">
        <v>7.5</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56857-2023 artfynd.xlsx", "A 56857-2023")</f>
        <v/>
      </c>
      <c r="T147">
        <f>HYPERLINK("https://klasma.github.io/Logging_0883/kartor/A 56857-2023 karta.png", "A 56857-2023")</f>
        <v/>
      </c>
      <c r="U147">
        <f>HYPERLINK("https://klasma.github.io/Logging_0883/knärot/A 56857-2023 karta knärot.png", "A 56857-2023")</f>
        <v/>
      </c>
      <c r="V147">
        <f>HYPERLINK("https://klasma.github.io/Logging_0883/klagomål/A 56857-2023 FSC-klagomål.docx", "A 56857-2023")</f>
        <v/>
      </c>
      <c r="W147">
        <f>HYPERLINK("https://klasma.github.io/Logging_0883/klagomålsmail/A 56857-2023 FSC-klagomål mail.docx", "A 56857-2023")</f>
        <v/>
      </c>
      <c r="X147">
        <f>HYPERLINK("https://klasma.github.io/Logging_0883/tillsyn/A 56857-2023 tillsynsbegäran.docx", "A 56857-2023")</f>
        <v/>
      </c>
      <c r="Y147">
        <f>HYPERLINK("https://klasma.github.io/Logging_0883/tillsynsmail/A 56857-2023 tillsynsbegäran mail.docx", "A 56857-2023")</f>
        <v/>
      </c>
    </row>
    <row r="148" ht="15" customHeight="1">
      <c r="A148" t="inlineStr">
        <is>
          <t>A 52723-2024</t>
        </is>
      </c>
      <c r="B148" s="1" t="n">
        <v>45610.44008101852</v>
      </c>
      <c r="C148" s="1" t="n">
        <v>45923</v>
      </c>
      <c r="D148" t="inlineStr">
        <is>
          <t>KALMAR LÄN</t>
        </is>
      </c>
      <c r="E148" t="inlineStr">
        <is>
          <t>VÄSTERVIK</t>
        </is>
      </c>
      <c r="F148" t="inlineStr">
        <is>
          <t>Holmen skog AB</t>
        </is>
      </c>
      <c r="G148" t="n">
        <v>6.5</v>
      </c>
      <c r="H148" t="n">
        <v>2</v>
      </c>
      <c r="I148" t="n">
        <v>1</v>
      </c>
      <c r="J148" t="n">
        <v>1</v>
      </c>
      <c r="K148" t="n">
        <v>0</v>
      </c>
      <c r="L148" t="n">
        <v>0</v>
      </c>
      <c r="M148" t="n">
        <v>0</v>
      </c>
      <c r="N148" t="n">
        <v>0</v>
      </c>
      <c r="O148" t="n">
        <v>1</v>
      </c>
      <c r="P148" t="n">
        <v>0</v>
      </c>
      <c r="Q148" t="n">
        <v>2</v>
      </c>
      <c r="R148" s="2" t="inlineStr">
        <is>
          <t>Talltita
Ekoxe</t>
        </is>
      </c>
      <c r="S148">
        <f>HYPERLINK("https://klasma.github.io/Logging_0883/artfynd/A 52723-2024 artfynd.xlsx", "A 52723-2024")</f>
        <v/>
      </c>
      <c r="T148">
        <f>HYPERLINK("https://klasma.github.io/Logging_0883/kartor/A 52723-2024 karta.png", "A 52723-2024")</f>
        <v/>
      </c>
      <c r="V148">
        <f>HYPERLINK("https://klasma.github.io/Logging_0883/klagomål/A 52723-2024 FSC-klagomål.docx", "A 52723-2024")</f>
        <v/>
      </c>
      <c r="W148">
        <f>HYPERLINK("https://klasma.github.io/Logging_0883/klagomålsmail/A 52723-2024 FSC-klagomål mail.docx", "A 52723-2024")</f>
        <v/>
      </c>
      <c r="X148">
        <f>HYPERLINK("https://klasma.github.io/Logging_0883/tillsyn/A 52723-2024 tillsynsbegäran.docx", "A 52723-2024")</f>
        <v/>
      </c>
      <c r="Y148">
        <f>HYPERLINK("https://klasma.github.io/Logging_0883/tillsynsmail/A 52723-2024 tillsynsbegäran mail.docx", "A 52723-2024")</f>
        <v/>
      </c>
      <c r="Z148">
        <f>HYPERLINK("https://klasma.github.io/Logging_0883/fåglar/A 52723-2024 prioriterade fågelarter.docx", "A 52723-2024")</f>
        <v/>
      </c>
    </row>
    <row r="149" ht="15" customHeight="1">
      <c r="A149" t="inlineStr">
        <is>
          <t>A 35236-2024</t>
        </is>
      </c>
      <c r="B149" s="1" t="n">
        <v>45530.54184027778</v>
      </c>
      <c r="C149" s="1" t="n">
        <v>45923</v>
      </c>
      <c r="D149" t="inlineStr">
        <is>
          <t>KALMAR LÄN</t>
        </is>
      </c>
      <c r="E149" t="inlineStr">
        <is>
          <t>VÄSTERVIK</t>
        </is>
      </c>
      <c r="G149" t="n">
        <v>0.9</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35236-2024 artfynd.xlsx", "A 35236-2024")</f>
        <v/>
      </c>
      <c r="T149">
        <f>HYPERLINK("https://klasma.github.io/Logging_0883/kartor/A 35236-2024 karta.png", "A 35236-2024")</f>
        <v/>
      </c>
      <c r="U149">
        <f>HYPERLINK("https://klasma.github.io/Logging_0883/knärot/A 35236-2024 karta knärot.png", "A 35236-2024")</f>
        <v/>
      </c>
      <c r="V149">
        <f>HYPERLINK("https://klasma.github.io/Logging_0883/klagomål/A 35236-2024 FSC-klagomål.docx", "A 35236-2024")</f>
        <v/>
      </c>
      <c r="W149">
        <f>HYPERLINK("https://klasma.github.io/Logging_0883/klagomålsmail/A 35236-2024 FSC-klagomål mail.docx", "A 35236-2024")</f>
        <v/>
      </c>
      <c r="X149">
        <f>HYPERLINK("https://klasma.github.io/Logging_0883/tillsyn/A 35236-2024 tillsynsbegäran.docx", "A 35236-2024")</f>
        <v/>
      </c>
      <c r="Y149">
        <f>HYPERLINK("https://klasma.github.io/Logging_0883/tillsynsmail/A 35236-2024 tillsynsbegäran mail.docx", "A 35236-2024")</f>
        <v/>
      </c>
    </row>
    <row r="150" ht="15" customHeight="1">
      <c r="A150" t="inlineStr">
        <is>
          <t>A 38373-2022</t>
        </is>
      </c>
      <c r="B150" s="1" t="n">
        <v>44812</v>
      </c>
      <c r="C150" s="1" t="n">
        <v>45923</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38373-2022 artfynd.xlsx", "A 38373-2022")</f>
        <v/>
      </c>
      <c r="T150">
        <f>HYPERLINK("https://klasma.github.io/Logging_0883/kartor/A 38373-2022 karta.png", "A 38373-2022")</f>
        <v/>
      </c>
      <c r="U150">
        <f>HYPERLINK("https://klasma.github.io/Logging_0883/knärot/A 38373-2022 karta knärot.png", "A 38373-2022")</f>
        <v/>
      </c>
      <c r="V150">
        <f>HYPERLINK("https://klasma.github.io/Logging_0883/klagomål/A 38373-2022 FSC-klagomål.docx", "A 38373-2022")</f>
        <v/>
      </c>
      <c r="W150">
        <f>HYPERLINK("https://klasma.github.io/Logging_0883/klagomålsmail/A 38373-2022 FSC-klagomål mail.docx", "A 38373-2022")</f>
        <v/>
      </c>
      <c r="X150">
        <f>HYPERLINK("https://klasma.github.io/Logging_0883/tillsyn/A 38373-2022 tillsynsbegäran.docx", "A 38373-2022")</f>
        <v/>
      </c>
      <c r="Y150">
        <f>HYPERLINK("https://klasma.github.io/Logging_0883/tillsynsmail/A 38373-2022 tillsynsbegäran mail.docx", "A 38373-2022")</f>
        <v/>
      </c>
    </row>
    <row r="151" ht="15" customHeight="1">
      <c r="A151" t="inlineStr">
        <is>
          <t>A 62008-2023</t>
        </is>
      </c>
      <c r="B151" s="1" t="n">
        <v>45266</v>
      </c>
      <c r="C151" s="1" t="n">
        <v>45923</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41573-2024</t>
        </is>
      </c>
      <c r="B152" s="1" t="n">
        <v>45560.54628472222</v>
      </c>
      <c r="C152" s="1" t="n">
        <v>45923</v>
      </c>
      <c r="D152" t="inlineStr">
        <is>
          <t>KALMAR LÄN</t>
        </is>
      </c>
      <c r="E152" t="inlineStr">
        <is>
          <t>VÄSTERVIK</t>
        </is>
      </c>
      <c r="G152" t="n">
        <v>1.6</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41573-2024 artfynd.xlsx", "A 41573-2024")</f>
        <v/>
      </c>
      <c r="T152">
        <f>HYPERLINK("https://klasma.github.io/Logging_0883/kartor/A 41573-2024 karta.png", "A 41573-2024")</f>
        <v/>
      </c>
      <c r="U152">
        <f>HYPERLINK("https://klasma.github.io/Logging_0883/knärot/A 41573-2024 karta knärot.png", "A 41573-2024")</f>
        <v/>
      </c>
      <c r="V152">
        <f>HYPERLINK("https://klasma.github.io/Logging_0883/klagomål/A 41573-2024 FSC-klagomål.docx", "A 41573-2024")</f>
        <v/>
      </c>
      <c r="W152">
        <f>HYPERLINK("https://klasma.github.io/Logging_0883/klagomålsmail/A 41573-2024 FSC-klagomål mail.docx", "A 41573-2024")</f>
        <v/>
      </c>
      <c r="X152">
        <f>HYPERLINK("https://klasma.github.io/Logging_0883/tillsyn/A 41573-2024 tillsynsbegäran.docx", "A 41573-2024")</f>
        <v/>
      </c>
      <c r="Y152">
        <f>HYPERLINK("https://klasma.github.io/Logging_0883/tillsynsmail/A 41573-2024 tillsynsbegäran mail.docx", "A 41573-2024")</f>
        <v/>
      </c>
    </row>
    <row r="153" ht="15" customHeight="1">
      <c r="A153" t="inlineStr">
        <is>
          <t>A 37106-2024</t>
        </is>
      </c>
      <c r="B153" s="1" t="n">
        <v>45539.51238425926</v>
      </c>
      <c r="C153" s="1" t="n">
        <v>45923</v>
      </c>
      <c r="D153" t="inlineStr">
        <is>
          <t>KALMAR LÄN</t>
        </is>
      </c>
      <c r="E153" t="inlineStr">
        <is>
          <t>VÄSTERVIK</t>
        </is>
      </c>
      <c r="F153" t="inlineStr">
        <is>
          <t>Holmen skog AB</t>
        </is>
      </c>
      <c r="G153" t="n">
        <v>8.5</v>
      </c>
      <c r="H153" t="n">
        <v>2</v>
      </c>
      <c r="I153" t="n">
        <v>0</v>
      </c>
      <c r="J153" t="n">
        <v>1</v>
      </c>
      <c r="K153" t="n">
        <v>1</v>
      </c>
      <c r="L153" t="n">
        <v>0</v>
      </c>
      <c r="M153" t="n">
        <v>0</v>
      </c>
      <c r="N153" t="n">
        <v>0</v>
      </c>
      <c r="O153" t="n">
        <v>2</v>
      </c>
      <c r="P153" t="n">
        <v>1</v>
      </c>
      <c r="Q153" t="n">
        <v>2</v>
      </c>
      <c r="R153" s="2" t="inlineStr">
        <is>
          <t>Knärot
Mindre hackspett</t>
        </is>
      </c>
      <c r="S153">
        <f>HYPERLINK("https://klasma.github.io/Logging_0883/artfynd/A 37106-2024 artfynd.xlsx", "A 37106-2024")</f>
        <v/>
      </c>
      <c r="T153">
        <f>HYPERLINK("https://klasma.github.io/Logging_0883/kartor/A 37106-2024 karta.png", "A 37106-2024")</f>
        <v/>
      </c>
      <c r="U153">
        <f>HYPERLINK("https://klasma.github.io/Logging_0883/knärot/A 37106-2024 karta knärot.png", "A 37106-2024")</f>
        <v/>
      </c>
      <c r="V153">
        <f>HYPERLINK("https://klasma.github.io/Logging_0883/klagomål/A 37106-2024 FSC-klagomål.docx", "A 37106-2024")</f>
        <v/>
      </c>
      <c r="W153">
        <f>HYPERLINK("https://klasma.github.io/Logging_0883/klagomålsmail/A 37106-2024 FSC-klagomål mail.docx", "A 37106-2024")</f>
        <v/>
      </c>
      <c r="X153">
        <f>HYPERLINK("https://klasma.github.io/Logging_0883/tillsyn/A 37106-2024 tillsynsbegäran.docx", "A 37106-2024")</f>
        <v/>
      </c>
      <c r="Y153">
        <f>HYPERLINK("https://klasma.github.io/Logging_0883/tillsynsmail/A 37106-2024 tillsynsbegäran mail.docx", "A 37106-2024")</f>
        <v/>
      </c>
      <c r="Z153">
        <f>HYPERLINK("https://klasma.github.io/Logging_0883/fåglar/A 37106-2024 prioriterade fågelarter.docx", "A 37106-2024")</f>
        <v/>
      </c>
    </row>
    <row r="154" ht="15" customHeight="1">
      <c r="A154" t="inlineStr">
        <is>
          <t>A 3182-2025</t>
        </is>
      </c>
      <c r="B154" s="1" t="n">
        <v>45679</v>
      </c>
      <c r="C154" s="1" t="n">
        <v>45923</v>
      </c>
      <c r="D154" t="inlineStr">
        <is>
          <t>KALMAR LÄN</t>
        </is>
      </c>
      <c r="E154" t="inlineStr">
        <is>
          <t>VÄSTERVIK</t>
        </is>
      </c>
      <c r="G154" t="n">
        <v>1.2</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3182-2025 artfynd.xlsx", "A 3182-2025")</f>
        <v/>
      </c>
      <c r="T154">
        <f>HYPERLINK("https://klasma.github.io/Logging_0883/kartor/A 3182-2025 karta.png", "A 3182-2025")</f>
        <v/>
      </c>
      <c r="U154">
        <f>HYPERLINK("https://klasma.github.io/Logging_0883/knärot/A 3182-2025 karta knärot.png", "A 3182-2025")</f>
        <v/>
      </c>
      <c r="V154">
        <f>HYPERLINK("https://klasma.github.io/Logging_0883/klagomål/A 3182-2025 FSC-klagomål.docx", "A 3182-2025")</f>
        <v/>
      </c>
      <c r="W154">
        <f>HYPERLINK("https://klasma.github.io/Logging_0883/klagomålsmail/A 3182-2025 FSC-klagomål mail.docx", "A 3182-2025")</f>
        <v/>
      </c>
      <c r="X154">
        <f>HYPERLINK("https://klasma.github.io/Logging_0883/tillsyn/A 3182-2025 tillsynsbegäran.docx", "A 3182-2025")</f>
        <v/>
      </c>
      <c r="Y154">
        <f>HYPERLINK("https://klasma.github.io/Logging_0883/tillsynsmail/A 3182-2025 tillsynsbegäran mail.docx", "A 3182-2025")</f>
        <v/>
      </c>
      <c r="Z154">
        <f>HYPERLINK("https://klasma.github.io/Logging_0883/fåglar/A 3182-2025 prioriterade fågelarter.docx", "A 3182-2025")</f>
        <v/>
      </c>
    </row>
    <row r="155" ht="15" customHeight="1">
      <c r="A155" t="inlineStr">
        <is>
          <t>A 72945-2021</t>
        </is>
      </c>
      <c r="B155" s="1" t="n">
        <v>44547.90868055556</v>
      </c>
      <c r="C155" s="1" t="n">
        <v>45923</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40331-2024</t>
        </is>
      </c>
      <c r="B156" s="1" t="n">
        <v>45555.31039351852</v>
      </c>
      <c r="C156" s="1" t="n">
        <v>45923</v>
      </c>
      <c r="D156" t="inlineStr">
        <is>
          <t>KALMAR LÄN</t>
        </is>
      </c>
      <c r="E156" t="inlineStr">
        <is>
          <t>VÄSTERVIK</t>
        </is>
      </c>
      <c r="G156" t="n">
        <v>1.5</v>
      </c>
      <c r="H156" t="n">
        <v>1</v>
      </c>
      <c r="I156" t="n">
        <v>1</v>
      </c>
      <c r="J156" t="n">
        <v>0</v>
      </c>
      <c r="K156" t="n">
        <v>0</v>
      </c>
      <c r="L156" t="n">
        <v>0</v>
      </c>
      <c r="M156" t="n">
        <v>0</v>
      </c>
      <c r="N156" t="n">
        <v>0</v>
      </c>
      <c r="O156" t="n">
        <v>0</v>
      </c>
      <c r="P156" t="n">
        <v>0</v>
      </c>
      <c r="Q156" t="n">
        <v>2</v>
      </c>
      <c r="R156" s="2" t="inlineStr">
        <is>
          <t>Murgröna
Blåsippa</t>
        </is>
      </c>
      <c r="S156">
        <f>HYPERLINK("https://klasma.github.io/Logging_0883/artfynd/A 40331-2024 artfynd.xlsx", "A 40331-2024")</f>
        <v/>
      </c>
      <c r="T156">
        <f>HYPERLINK("https://klasma.github.io/Logging_0883/kartor/A 40331-2024 karta.png", "A 40331-2024")</f>
        <v/>
      </c>
      <c r="V156">
        <f>HYPERLINK("https://klasma.github.io/Logging_0883/klagomål/A 40331-2024 FSC-klagomål.docx", "A 40331-2024")</f>
        <v/>
      </c>
      <c r="W156">
        <f>HYPERLINK("https://klasma.github.io/Logging_0883/klagomålsmail/A 40331-2024 FSC-klagomål mail.docx", "A 40331-2024")</f>
        <v/>
      </c>
      <c r="X156">
        <f>HYPERLINK("https://klasma.github.io/Logging_0883/tillsyn/A 40331-2024 tillsynsbegäran.docx", "A 40331-2024")</f>
        <v/>
      </c>
      <c r="Y156">
        <f>HYPERLINK("https://klasma.github.io/Logging_0883/tillsynsmail/A 40331-2024 tillsynsbegäran mail.docx", "A 40331-2024")</f>
        <v/>
      </c>
    </row>
    <row r="157" ht="15" customHeight="1">
      <c r="A157" t="inlineStr">
        <is>
          <t>A 25439-2021</t>
        </is>
      </c>
      <c r="B157" s="1" t="n">
        <v>44342</v>
      </c>
      <c r="C157" s="1" t="n">
        <v>45923</v>
      </c>
      <c r="D157" t="inlineStr">
        <is>
          <t>KALMAR LÄN</t>
        </is>
      </c>
      <c r="E157" t="inlineStr">
        <is>
          <t>VÄSTERVIK</t>
        </is>
      </c>
      <c r="F157" t="inlineStr">
        <is>
          <t>Holmen skog AB</t>
        </is>
      </c>
      <c r="G157" t="n">
        <v>2.4</v>
      </c>
      <c r="H157" t="n">
        <v>2</v>
      </c>
      <c r="I157" t="n">
        <v>1</v>
      </c>
      <c r="J157" t="n">
        <v>0</v>
      </c>
      <c r="K157" t="n">
        <v>0</v>
      </c>
      <c r="L157" t="n">
        <v>0</v>
      </c>
      <c r="M157" t="n">
        <v>0</v>
      </c>
      <c r="N157" t="n">
        <v>0</v>
      </c>
      <c r="O157" t="n">
        <v>0</v>
      </c>
      <c r="P157" t="n">
        <v>0</v>
      </c>
      <c r="Q157" t="n">
        <v>2</v>
      </c>
      <c r="R157" s="2" t="inlineStr">
        <is>
          <t>Grön sköldmossa
Röd glada</t>
        </is>
      </c>
      <c r="S157">
        <f>HYPERLINK("https://klasma.github.io/Logging_0883/artfynd/A 25439-2021 artfynd.xlsx", "A 25439-2021")</f>
        <v/>
      </c>
      <c r="T157">
        <f>HYPERLINK("https://klasma.github.io/Logging_0883/kartor/A 25439-2021 karta.png", "A 25439-2021")</f>
        <v/>
      </c>
      <c r="V157">
        <f>HYPERLINK("https://klasma.github.io/Logging_0883/klagomål/A 25439-2021 FSC-klagomål.docx", "A 25439-2021")</f>
        <v/>
      </c>
      <c r="W157">
        <f>HYPERLINK("https://klasma.github.io/Logging_0883/klagomålsmail/A 25439-2021 FSC-klagomål mail.docx", "A 25439-2021")</f>
        <v/>
      </c>
      <c r="X157">
        <f>HYPERLINK("https://klasma.github.io/Logging_0883/tillsyn/A 25439-2021 tillsynsbegäran.docx", "A 25439-2021")</f>
        <v/>
      </c>
      <c r="Y157">
        <f>HYPERLINK("https://klasma.github.io/Logging_0883/tillsynsmail/A 25439-2021 tillsynsbegäran mail.docx", "A 25439-2021")</f>
        <v/>
      </c>
      <c r="Z157">
        <f>HYPERLINK("https://klasma.github.io/Logging_0883/fåglar/A 25439-2021 prioriterade fågelarter.docx", "A 25439-2021")</f>
        <v/>
      </c>
    </row>
    <row r="158" ht="15" customHeight="1">
      <c r="A158" t="inlineStr">
        <is>
          <t>A 958-2025</t>
        </is>
      </c>
      <c r="B158" s="1" t="n">
        <v>45666</v>
      </c>
      <c r="C158" s="1" t="n">
        <v>45923</v>
      </c>
      <c r="D158" t="inlineStr">
        <is>
          <t>KALMAR LÄN</t>
        </is>
      </c>
      <c r="E158" t="inlineStr">
        <is>
          <t>VÄSTERVIK</t>
        </is>
      </c>
      <c r="G158" t="n">
        <v>2.8</v>
      </c>
      <c r="H158" t="n">
        <v>1</v>
      </c>
      <c r="I158" t="n">
        <v>0</v>
      </c>
      <c r="J158" t="n">
        <v>2</v>
      </c>
      <c r="K158" t="n">
        <v>0</v>
      </c>
      <c r="L158" t="n">
        <v>0</v>
      </c>
      <c r="M158" t="n">
        <v>0</v>
      </c>
      <c r="N158" t="n">
        <v>0</v>
      </c>
      <c r="O158" t="n">
        <v>2</v>
      </c>
      <c r="P158" t="n">
        <v>0</v>
      </c>
      <c r="Q158" t="n">
        <v>2</v>
      </c>
      <c r="R158" s="2" t="inlineStr">
        <is>
          <t>Orange taggsvamp
Spillkråka</t>
        </is>
      </c>
      <c r="S158">
        <f>HYPERLINK("https://klasma.github.io/Logging_0883/artfynd/A 958-2025 artfynd.xlsx", "A 958-2025")</f>
        <v/>
      </c>
      <c r="T158">
        <f>HYPERLINK("https://klasma.github.io/Logging_0883/kartor/A 958-2025 karta.png", "A 958-2025")</f>
        <v/>
      </c>
      <c r="V158">
        <f>HYPERLINK("https://klasma.github.io/Logging_0883/klagomål/A 958-2025 FSC-klagomål.docx", "A 958-2025")</f>
        <v/>
      </c>
      <c r="W158">
        <f>HYPERLINK("https://klasma.github.io/Logging_0883/klagomålsmail/A 958-2025 FSC-klagomål mail.docx", "A 958-2025")</f>
        <v/>
      </c>
      <c r="X158">
        <f>HYPERLINK("https://klasma.github.io/Logging_0883/tillsyn/A 958-2025 tillsynsbegäran.docx", "A 958-2025")</f>
        <v/>
      </c>
      <c r="Y158">
        <f>HYPERLINK("https://klasma.github.io/Logging_0883/tillsynsmail/A 958-2025 tillsynsbegäran mail.docx", "A 958-2025")</f>
        <v/>
      </c>
      <c r="Z158">
        <f>HYPERLINK("https://klasma.github.io/Logging_0883/fåglar/A 958-2025 prioriterade fågelarter.docx", "A 958-2025")</f>
        <v/>
      </c>
    </row>
    <row r="159" ht="15" customHeight="1">
      <c r="A159" t="inlineStr">
        <is>
          <t>A 1767-2025</t>
        </is>
      </c>
      <c r="B159" s="1" t="n">
        <v>45671</v>
      </c>
      <c r="C159" s="1" t="n">
        <v>45923</v>
      </c>
      <c r="D159" t="inlineStr">
        <is>
          <t>KALMAR LÄN</t>
        </is>
      </c>
      <c r="E159" t="inlineStr">
        <is>
          <t>VÄSTERVIK</t>
        </is>
      </c>
      <c r="G159" t="n">
        <v>1.4</v>
      </c>
      <c r="H159" t="n">
        <v>1</v>
      </c>
      <c r="I159" t="n">
        <v>0</v>
      </c>
      <c r="J159" t="n">
        <v>2</v>
      </c>
      <c r="K159" t="n">
        <v>0</v>
      </c>
      <c r="L159" t="n">
        <v>0</v>
      </c>
      <c r="M159" t="n">
        <v>0</v>
      </c>
      <c r="N159" t="n">
        <v>0</v>
      </c>
      <c r="O159" t="n">
        <v>2</v>
      </c>
      <c r="P159" t="n">
        <v>0</v>
      </c>
      <c r="Q159" t="n">
        <v>2</v>
      </c>
      <c r="R159" s="2" t="inlineStr">
        <is>
          <t>Garnlav
Spillkråka</t>
        </is>
      </c>
      <c r="S159">
        <f>HYPERLINK("https://klasma.github.io/Logging_0883/artfynd/A 1767-2025 artfynd.xlsx", "A 1767-2025")</f>
        <v/>
      </c>
      <c r="T159">
        <f>HYPERLINK("https://klasma.github.io/Logging_0883/kartor/A 1767-2025 karta.png", "A 1767-2025")</f>
        <v/>
      </c>
      <c r="U159">
        <f>HYPERLINK("https://klasma.github.io/Logging_0883/knärot/A 1767-2025 karta knärot.png", "A 1767-2025")</f>
        <v/>
      </c>
      <c r="V159">
        <f>HYPERLINK("https://klasma.github.io/Logging_0883/klagomål/A 1767-2025 FSC-klagomål.docx", "A 1767-2025")</f>
        <v/>
      </c>
      <c r="W159">
        <f>HYPERLINK("https://klasma.github.io/Logging_0883/klagomålsmail/A 1767-2025 FSC-klagomål mail.docx", "A 1767-2025")</f>
        <v/>
      </c>
      <c r="X159">
        <f>HYPERLINK("https://klasma.github.io/Logging_0883/tillsyn/A 1767-2025 tillsynsbegäran.docx", "A 1767-2025")</f>
        <v/>
      </c>
      <c r="Y159">
        <f>HYPERLINK("https://klasma.github.io/Logging_0883/tillsynsmail/A 1767-2025 tillsynsbegäran mail.docx", "A 1767-2025")</f>
        <v/>
      </c>
      <c r="Z159">
        <f>HYPERLINK("https://klasma.github.io/Logging_0883/fåglar/A 1767-2025 prioriterade fågelarter.docx", "A 1767-2025")</f>
        <v/>
      </c>
    </row>
    <row r="160" ht="15" customHeight="1">
      <c r="A160" t="inlineStr">
        <is>
          <t>A 21081-2025</t>
        </is>
      </c>
      <c r="B160" s="1" t="n">
        <v>45777.60479166666</v>
      </c>
      <c r="C160" s="1" t="n">
        <v>45923</v>
      </c>
      <c r="D160" t="inlineStr">
        <is>
          <t>KALMAR LÄN</t>
        </is>
      </c>
      <c r="E160" t="inlineStr">
        <is>
          <t>VÄSTERVIK</t>
        </is>
      </c>
      <c r="G160" t="n">
        <v>1</v>
      </c>
      <c r="H160" t="n">
        <v>1</v>
      </c>
      <c r="I160" t="n">
        <v>0</v>
      </c>
      <c r="J160" t="n">
        <v>1</v>
      </c>
      <c r="K160" t="n">
        <v>1</v>
      </c>
      <c r="L160" t="n">
        <v>0</v>
      </c>
      <c r="M160" t="n">
        <v>0</v>
      </c>
      <c r="N160" t="n">
        <v>0</v>
      </c>
      <c r="O160" t="n">
        <v>2</v>
      </c>
      <c r="P160" t="n">
        <v>1</v>
      </c>
      <c r="Q160" t="n">
        <v>2</v>
      </c>
      <c r="R160" s="2" t="inlineStr">
        <is>
          <t>Knärot
Ullticka</t>
        </is>
      </c>
      <c r="S160">
        <f>HYPERLINK("https://klasma.github.io/Logging_0883/artfynd/A 21081-2025 artfynd.xlsx", "A 21081-2025")</f>
        <v/>
      </c>
      <c r="T160">
        <f>HYPERLINK("https://klasma.github.io/Logging_0883/kartor/A 21081-2025 karta.png", "A 21081-2025")</f>
        <v/>
      </c>
      <c r="U160">
        <f>HYPERLINK("https://klasma.github.io/Logging_0883/knärot/A 21081-2025 karta knärot.png", "A 21081-2025")</f>
        <v/>
      </c>
      <c r="V160">
        <f>HYPERLINK("https://klasma.github.io/Logging_0883/klagomål/A 21081-2025 FSC-klagomål.docx", "A 21081-2025")</f>
        <v/>
      </c>
      <c r="W160">
        <f>HYPERLINK("https://klasma.github.io/Logging_0883/klagomålsmail/A 21081-2025 FSC-klagomål mail.docx", "A 21081-2025")</f>
        <v/>
      </c>
      <c r="X160">
        <f>HYPERLINK("https://klasma.github.io/Logging_0883/tillsyn/A 21081-2025 tillsynsbegäran.docx", "A 21081-2025")</f>
        <v/>
      </c>
      <c r="Y160">
        <f>HYPERLINK("https://klasma.github.io/Logging_0883/tillsynsmail/A 21081-2025 tillsynsbegäran mail.docx", "A 21081-2025")</f>
        <v/>
      </c>
    </row>
    <row r="161" ht="15" customHeight="1">
      <c r="A161" t="inlineStr">
        <is>
          <t>A 17438-2024</t>
        </is>
      </c>
      <c r="B161" s="1" t="n">
        <v>45415</v>
      </c>
      <c r="C161" s="1" t="n">
        <v>45923</v>
      </c>
      <c r="D161" t="inlineStr">
        <is>
          <t>KALMAR LÄN</t>
        </is>
      </c>
      <c r="E161" t="inlineStr">
        <is>
          <t>VÄSTERVIK</t>
        </is>
      </c>
      <c r="G161" t="n">
        <v>3.8</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17438-2024 artfynd.xlsx", "A 17438-2024")</f>
        <v/>
      </c>
      <c r="T161">
        <f>HYPERLINK("https://klasma.github.io/Logging_0883/kartor/A 17438-2024 karta.png", "A 17438-2024")</f>
        <v/>
      </c>
      <c r="U161">
        <f>HYPERLINK("https://klasma.github.io/Logging_0883/knärot/A 17438-2024 karta knärot.png", "A 17438-2024")</f>
        <v/>
      </c>
      <c r="V161">
        <f>HYPERLINK("https://klasma.github.io/Logging_0883/klagomål/A 17438-2024 FSC-klagomål.docx", "A 17438-2024")</f>
        <v/>
      </c>
      <c r="W161">
        <f>HYPERLINK("https://klasma.github.io/Logging_0883/klagomålsmail/A 17438-2024 FSC-klagomål mail.docx", "A 17438-2024")</f>
        <v/>
      </c>
      <c r="X161">
        <f>HYPERLINK("https://klasma.github.io/Logging_0883/tillsyn/A 17438-2024 tillsynsbegäran.docx", "A 17438-2024")</f>
        <v/>
      </c>
      <c r="Y161">
        <f>HYPERLINK("https://klasma.github.io/Logging_0883/tillsynsmail/A 17438-2024 tillsynsbegäran mail.docx", "A 17438-2024")</f>
        <v/>
      </c>
      <c r="Z161">
        <f>HYPERLINK("https://klasma.github.io/Logging_0883/fåglar/A 17438-2024 prioriterade fågelarter.docx", "A 17438-2024")</f>
        <v/>
      </c>
    </row>
    <row r="162" ht="15" customHeight="1">
      <c r="A162" t="inlineStr">
        <is>
          <t>A 14090-2025</t>
        </is>
      </c>
      <c r="B162" s="1" t="n">
        <v>45740.44487268518</v>
      </c>
      <c r="C162" s="1" t="n">
        <v>45923</v>
      </c>
      <c r="D162" t="inlineStr">
        <is>
          <t>KALMAR LÄN</t>
        </is>
      </c>
      <c r="E162" t="inlineStr">
        <is>
          <t>VÄSTERVIK</t>
        </is>
      </c>
      <c r="F162" t="inlineStr">
        <is>
          <t>Sveaskog</t>
        </is>
      </c>
      <c r="G162" t="n">
        <v>1</v>
      </c>
      <c r="H162" t="n">
        <v>2</v>
      </c>
      <c r="I162" t="n">
        <v>0</v>
      </c>
      <c r="J162" t="n">
        <v>1</v>
      </c>
      <c r="K162" t="n">
        <v>0</v>
      </c>
      <c r="L162" t="n">
        <v>0</v>
      </c>
      <c r="M162" t="n">
        <v>0</v>
      </c>
      <c r="N162" t="n">
        <v>0</v>
      </c>
      <c r="O162" t="n">
        <v>1</v>
      </c>
      <c r="P162" t="n">
        <v>0</v>
      </c>
      <c r="Q162" t="n">
        <v>2</v>
      </c>
      <c r="R162" s="2" t="inlineStr">
        <is>
          <t>Grönsångare
Åkergroda</t>
        </is>
      </c>
      <c r="S162">
        <f>HYPERLINK("https://klasma.github.io/Logging_0883/artfynd/A 14090-2025 artfynd.xlsx", "A 14090-2025")</f>
        <v/>
      </c>
      <c r="T162">
        <f>HYPERLINK("https://klasma.github.io/Logging_0883/kartor/A 14090-2025 karta.png", "A 14090-2025")</f>
        <v/>
      </c>
      <c r="V162">
        <f>HYPERLINK("https://klasma.github.io/Logging_0883/klagomål/A 14090-2025 FSC-klagomål.docx", "A 14090-2025")</f>
        <v/>
      </c>
      <c r="W162">
        <f>HYPERLINK("https://klasma.github.io/Logging_0883/klagomålsmail/A 14090-2025 FSC-klagomål mail.docx", "A 14090-2025")</f>
        <v/>
      </c>
      <c r="X162">
        <f>HYPERLINK("https://klasma.github.io/Logging_0883/tillsyn/A 14090-2025 tillsynsbegäran.docx", "A 14090-2025")</f>
        <v/>
      </c>
      <c r="Y162">
        <f>HYPERLINK("https://klasma.github.io/Logging_0883/tillsynsmail/A 14090-2025 tillsynsbegäran mail.docx", "A 14090-2025")</f>
        <v/>
      </c>
      <c r="Z162">
        <f>HYPERLINK("https://klasma.github.io/Logging_0883/fåglar/A 14090-2025 prioriterade fågelarter.docx", "A 14090-2025")</f>
        <v/>
      </c>
    </row>
    <row r="163" ht="15" customHeight="1">
      <c r="A163" t="inlineStr">
        <is>
          <t>A 25145-2022</t>
        </is>
      </c>
      <c r="B163" s="1" t="n">
        <v>44729</v>
      </c>
      <c r="C163" s="1" t="n">
        <v>45923</v>
      </c>
      <c r="D163" t="inlineStr">
        <is>
          <t>KALMAR LÄN</t>
        </is>
      </c>
      <c r="E163" t="inlineStr">
        <is>
          <t>VÄSTERVIK</t>
        </is>
      </c>
      <c r="G163" t="n">
        <v>1.3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25145-2022 artfynd.xlsx", "A 25145-2022")</f>
        <v/>
      </c>
      <c r="T163">
        <f>HYPERLINK("https://klasma.github.io/Logging_0883/kartor/A 25145-2022 karta.png", "A 25145-2022")</f>
        <v/>
      </c>
      <c r="U163">
        <f>HYPERLINK("https://klasma.github.io/Logging_0883/knärot/A 25145-2022 karta knärot.png", "A 25145-2022")</f>
        <v/>
      </c>
      <c r="V163">
        <f>HYPERLINK("https://klasma.github.io/Logging_0883/klagomål/A 25145-2022 FSC-klagomål.docx", "A 25145-2022")</f>
        <v/>
      </c>
      <c r="W163">
        <f>HYPERLINK("https://klasma.github.io/Logging_0883/klagomålsmail/A 25145-2022 FSC-klagomål mail.docx", "A 25145-2022")</f>
        <v/>
      </c>
      <c r="X163">
        <f>HYPERLINK("https://klasma.github.io/Logging_0883/tillsyn/A 25145-2022 tillsynsbegäran.docx", "A 25145-2022")</f>
        <v/>
      </c>
      <c r="Y163">
        <f>HYPERLINK("https://klasma.github.io/Logging_0883/tillsynsmail/A 25145-2022 tillsynsbegäran mail.docx", "A 25145-2022")</f>
        <v/>
      </c>
    </row>
    <row r="164" ht="15" customHeight="1">
      <c r="A164" t="inlineStr">
        <is>
          <t>A 16700-2025</t>
        </is>
      </c>
      <c r="B164" s="1" t="n">
        <v>45754.46833333333</v>
      </c>
      <c r="C164" s="1" t="n">
        <v>45923</v>
      </c>
      <c r="D164" t="inlineStr">
        <is>
          <t>KALMAR LÄN</t>
        </is>
      </c>
      <c r="E164" t="inlineStr">
        <is>
          <t>VÄSTERVIK</t>
        </is>
      </c>
      <c r="F164" t="inlineStr">
        <is>
          <t>Sveaskog</t>
        </is>
      </c>
      <c r="G164" t="n">
        <v>1.7</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16700-2025 artfynd.xlsx", "A 16700-2025")</f>
        <v/>
      </c>
      <c r="T164">
        <f>HYPERLINK("https://klasma.github.io/Logging_0883/kartor/A 16700-2025 karta.png", "A 16700-2025")</f>
        <v/>
      </c>
      <c r="V164">
        <f>HYPERLINK("https://klasma.github.io/Logging_0883/klagomål/A 16700-2025 FSC-klagomål.docx", "A 16700-2025")</f>
        <v/>
      </c>
      <c r="W164">
        <f>HYPERLINK("https://klasma.github.io/Logging_0883/klagomålsmail/A 16700-2025 FSC-klagomål mail.docx", "A 16700-2025")</f>
        <v/>
      </c>
      <c r="X164">
        <f>HYPERLINK("https://klasma.github.io/Logging_0883/tillsyn/A 16700-2025 tillsynsbegäran.docx", "A 16700-2025")</f>
        <v/>
      </c>
      <c r="Y164">
        <f>HYPERLINK("https://klasma.github.io/Logging_0883/tillsynsmail/A 16700-2025 tillsynsbegäran mail.docx", "A 16700-2025")</f>
        <v/>
      </c>
      <c r="Z164">
        <f>HYPERLINK("https://klasma.github.io/Logging_0883/fåglar/A 16700-2025 prioriterade fågelarter.docx", "A 16700-2025")</f>
        <v/>
      </c>
    </row>
    <row r="165" ht="15" customHeight="1">
      <c r="A165" t="inlineStr">
        <is>
          <t>A 47935-2023</t>
        </is>
      </c>
      <c r="B165" s="1" t="n">
        <v>45204</v>
      </c>
      <c r="C165" s="1" t="n">
        <v>45923</v>
      </c>
      <c r="D165" t="inlineStr">
        <is>
          <t>KALMAR LÄN</t>
        </is>
      </c>
      <c r="E165" t="inlineStr">
        <is>
          <t>VÄSTERVIK</t>
        </is>
      </c>
      <c r="G165" t="n">
        <v>4.3</v>
      </c>
      <c r="H165" t="n">
        <v>0</v>
      </c>
      <c r="I165" t="n">
        <v>1</v>
      </c>
      <c r="J165" t="n">
        <v>1</v>
      </c>
      <c r="K165" t="n">
        <v>0</v>
      </c>
      <c r="L165" t="n">
        <v>0</v>
      </c>
      <c r="M165" t="n">
        <v>0</v>
      </c>
      <c r="N165" t="n">
        <v>0</v>
      </c>
      <c r="O165" t="n">
        <v>1</v>
      </c>
      <c r="P165" t="n">
        <v>0</v>
      </c>
      <c r="Q165" t="n">
        <v>2</v>
      </c>
      <c r="R165" s="2" t="inlineStr">
        <is>
          <t>Tallticka
Blåmossa</t>
        </is>
      </c>
      <c r="S165">
        <f>HYPERLINK("https://klasma.github.io/Logging_0883/artfynd/A 47935-2023 artfynd.xlsx", "A 47935-2023")</f>
        <v/>
      </c>
      <c r="T165">
        <f>HYPERLINK("https://klasma.github.io/Logging_0883/kartor/A 47935-2023 karta.png", "A 47935-2023")</f>
        <v/>
      </c>
      <c r="V165">
        <f>HYPERLINK("https://klasma.github.io/Logging_0883/klagomål/A 47935-2023 FSC-klagomål.docx", "A 47935-2023")</f>
        <v/>
      </c>
      <c r="W165">
        <f>HYPERLINK("https://klasma.github.io/Logging_0883/klagomålsmail/A 47935-2023 FSC-klagomål mail.docx", "A 47935-2023")</f>
        <v/>
      </c>
      <c r="X165">
        <f>HYPERLINK("https://klasma.github.io/Logging_0883/tillsyn/A 47935-2023 tillsynsbegäran.docx", "A 47935-2023")</f>
        <v/>
      </c>
      <c r="Y165">
        <f>HYPERLINK("https://klasma.github.io/Logging_0883/tillsynsmail/A 47935-2023 tillsynsbegäran mail.docx", "A 47935-2023")</f>
        <v/>
      </c>
    </row>
    <row r="166" ht="15" customHeight="1">
      <c r="A166" t="inlineStr">
        <is>
          <t>A 56036-2024</t>
        </is>
      </c>
      <c r="B166" s="1" t="n">
        <v>45624</v>
      </c>
      <c r="C166" s="1" t="n">
        <v>45923</v>
      </c>
      <c r="D166" t="inlineStr">
        <is>
          <t>KALMAR LÄN</t>
        </is>
      </c>
      <c r="E166" t="inlineStr">
        <is>
          <t>VÄSTERVIK</t>
        </is>
      </c>
      <c r="F166" t="inlineStr">
        <is>
          <t>Kyrkan</t>
        </is>
      </c>
      <c r="G166" t="n">
        <v>5.5</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56036-2024 artfynd.xlsx", "A 56036-2024")</f>
        <v/>
      </c>
      <c r="T166">
        <f>HYPERLINK("https://klasma.github.io/Logging_0883/kartor/A 56036-2024 karta.png", "A 56036-2024")</f>
        <v/>
      </c>
      <c r="U166">
        <f>HYPERLINK("https://klasma.github.io/Logging_0883/knärot/A 56036-2024 karta knärot.png", "A 56036-2024")</f>
        <v/>
      </c>
      <c r="V166">
        <f>HYPERLINK("https://klasma.github.io/Logging_0883/klagomål/A 56036-2024 FSC-klagomål.docx", "A 56036-2024")</f>
        <v/>
      </c>
      <c r="W166">
        <f>HYPERLINK("https://klasma.github.io/Logging_0883/klagomålsmail/A 56036-2024 FSC-klagomål mail.docx", "A 56036-2024")</f>
        <v/>
      </c>
      <c r="X166">
        <f>HYPERLINK("https://klasma.github.io/Logging_0883/tillsyn/A 56036-2024 tillsynsbegäran.docx", "A 56036-2024")</f>
        <v/>
      </c>
      <c r="Y166">
        <f>HYPERLINK("https://klasma.github.io/Logging_0883/tillsynsmail/A 56036-2024 tillsynsbegäran mail.docx", "A 56036-2024")</f>
        <v/>
      </c>
      <c r="Z166">
        <f>HYPERLINK("https://klasma.github.io/Logging_0883/fåglar/A 56036-2024 prioriterade fågelarter.docx", "A 56036-2024")</f>
        <v/>
      </c>
    </row>
    <row r="167" ht="15" customHeight="1">
      <c r="A167" t="inlineStr">
        <is>
          <t>A 932-2024</t>
        </is>
      </c>
      <c r="B167" s="1" t="n">
        <v>45301</v>
      </c>
      <c r="C167" s="1" t="n">
        <v>45923</v>
      </c>
      <c r="D167" t="inlineStr">
        <is>
          <t>KALMAR LÄN</t>
        </is>
      </c>
      <c r="E167" t="inlineStr">
        <is>
          <t>VÄSTERVIK</t>
        </is>
      </c>
      <c r="G167" t="n">
        <v>3.7</v>
      </c>
      <c r="H167" t="n">
        <v>1</v>
      </c>
      <c r="I167" t="n">
        <v>1</v>
      </c>
      <c r="J167" t="n">
        <v>1</v>
      </c>
      <c r="K167" t="n">
        <v>0</v>
      </c>
      <c r="L167" t="n">
        <v>0</v>
      </c>
      <c r="M167" t="n">
        <v>0</v>
      </c>
      <c r="N167" t="n">
        <v>0</v>
      </c>
      <c r="O167" t="n">
        <v>1</v>
      </c>
      <c r="P167" t="n">
        <v>0</v>
      </c>
      <c r="Q167" t="n">
        <v>2</v>
      </c>
      <c r="R167" s="2" t="inlineStr">
        <is>
          <t>Spillkråka
Grovticka</t>
        </is>
      </c>
      <c r="S167">
        <f>HYPERLINK("https://klasma.github.io/Logging_0883/artfynd/A 932-2024 artfynd.xlsx", "A 932-2024")</f>
        <v/>
      </c>
      <c r="T167">
        <f>HYPERLINK("https://klasma.github.io/Logging_0883/kartor/A 932-2024 karta.png", "A 932-2024")</f>
        <v/>
      </c>
      <c r="V167">
        <f>HYPERLINK("https://klasma.github.io/Logging_0883/klagomål/A 932-2024 FSC-klagomål.docx", "A 932-2024")</f>
        <v/>
      </c>
      <c r="W167">
        <f>HYPERLINK("https://klasma.github.io/Logging_0883/klagomålsmail/A 932-2024 FSC-klagomål mail.docx", "A 932-2024")</f>
        <v/>
      </c>
      <c r="X167">
        <f>HYPERLINK("https://klasma.github.io/Logging_0883/tillsyn/A 932-2024 tillsynsbegäran.docx", "A 932-2024")</f>
        <v/>
      </c>
      <c r="Y167">
        <f>HYPERLINK("https://klasma.github.io/Logging_0883/tillsynsmail/A 932-2024 tillsynsbegäran mail.docx", "A 932-2024")</f>
        <v/>
      </c>
      <c r="Z167">
        <f>HYPERLINK("https://klasma.github.io/Logging_0883/fåglar/A 932-2024 prioriterade fågelarter.docx", "A 932-2024")</f>
        <v/>
      </c>
    </row>
    <row r="168" ht="15" customHeight="1">
      <c r="A168" t="inlineStr">
        <is>
          <t>A 941-2024</t>
        </is>
      </c>
      <c r="B168" s="1" t="n">
        <v>45301</v>
      </c>
      <c r="C168" s="1" t="n">
        <v>45923</v>
      </c>
      <c r="D168" t="inlineStr">
        <is>
          <t>KALMAR LÄN</t>
        </is>
      </c>
      <c r="E168" t="inlineStr">
        <is>
          <t>VÄSTERVIK</t>
        </is>
      </c>
      <c r="G168" t="n">
        <v>2.7</v>
      </c>
      <c r="H168" t="n">
        <v>1</v>
      </c>
      <c r="I168" t="n">
        <v>0</v>
      </c>
      <c r="J168" t="n">
        <v>1</v>
      </c>
      <c r="K168" t="n">
        <v>1</v>
      </c>
      <c r="L168" t="n">
        <v>0</v>
      </c>
      <c r="M168" t="n">
        <v>0</v>
      </c>
      <c r="N168" t="n">
        <v>0</v>
      </c>
      <c r="O168" t="n">
        <v>2</v>
      </c>
      <c r="P168" t="n">
        <v>1</v>
      </c>
      <c r="Q168" t="n">
        <v>2</v>
      </c>
      <c r="R168" s="2" t="inlineStr">
        <is>
          <t>Knärot
Svinrot</t>
        </is>
      </c>
      <c r="S168">
        <f>HYPERLINK("https://klasma.github.io/Logging_0883/artfynd/A 941-2024 artfynd.xlsx", "A 941-2024")</f>
        <v/>
      </c>
      <c r="T168">
        <f>HYPERLINK("https://klasma.github.io/Logging_0883/kartor/A 941-2024 karta.png", "A 941-2024")</f>
        <v/>
      </c>
      <c r="U168">
        <f>HYPERLINK("https://klasma.github.io/Logging_0883/knärot/A 941-2024 karta knärot.png", "A 941-2024")</f>
        <v/>
      </c>
      <c r="V168">
        <f>HYPERLINK("https://klasma.github.io/Logging_0883/klagomål/A 941-2024 FSC-klagomål.docx", "A 941-2024")</f>
        <v/>
      </c>
      <c r="W168">
        <f>HYPERLINK("https://klasma.github.io/Logging_0883/klagomålsmail/A 941-2024 FSC-klagomål mail.docx", "A 941-2024")</f>
        <v/>
      </c>
      <c r="X168">
        <f>HYPERLINK("https://klasma.github.io/Logging_0883/tillsyn/A 941-2024 tillsynsbegäran.docx", "A 941-2024")</f>
        <v/>
      </c>
      <c r="Y168">
        <f>HYPERLINK("https://klasma.github.io/Logging_0883/tillsynsmail/A 941-2024 tillsynsbegäran mail.docx", "A 941-2024")</f>
        <v/>
      </c>
    </row>
    <row r="169" ht="15" customHeight="1">
      <c r="A169" t="inlineStr">
        <is>
          <t>A 911-2024</t>
        </is>
      </c>
      <c r="B169" s="1" t="n">
        <v>45301</v>
      </c>
      <c r="C169" s="1" t="n">
        <v>45923</v>
      </c>
      <c r="D169" t="inlineStr">
        <is>
          <t>KALMAR LÄN</t>
        </is>
      </c>
      <c r="E169" t="inlineStr">
        <is>
          <t>VÄSTERVIK</t>
        </is>
      </c>
      <c r="G169" t="n">
        <v>5.6</v>
      </c>
      <c r="H169" t="n">
        <v>1</v>
      </c>
      <c r="I169" t="n">
        <v>1</v>
      </c>
      <c r="J169" t="n">
        <v>1</v>
      </c>
      <c r="K169" t="n">
        <v>0</v>
      </c>
      <c r="L169" t="n">
        <v>0</v>
      </c>
      <c r="M169" t="n">
        <v>0</v>
      </c>
      <c r="N169" t="n">
        <v>0</v>
      </c>
      <c r="O169" t="n">
        <v>1</v>
      </c>
      <c r="P169" t="n">
        <v>0</v>
      </c>
      <c r="Q169" t="n">
        <v>2</v>
      </c>
      <c r="R169" s="2" t="inlineStr">
        <is>
          <t>Talltita
Blodticka</t>
        </is>
      </c>
      <c r="S169">
        <f>HYPERLINK("https://klasma.github.io/Logging_0883/artfynd/A 911-2024 artfynd.xlsx", "A 911-2024")</f>
        <v/>
      </c>
      <c r="T169">
        <f>HYPERLINK("https://klasma.github.io/Logging_0883/kartor/A 911-2024 karta.png", "A 911-2024")</f>
        <v/>
      </c>
      <c r="V169">
        <f>HYPERLINK("https://klasma.github.io/Logging_0883/klagomål/A 911-2024 FSC-klagomål.docx", "A 911-2024")</f>
        <v/>
      </c>
      <c r="W169">
        <f>HYPERLINK("https://klasma.github.io/Logging_0883/klagomålsmail/A 911-2024 FSC-klagomål mail.docx", "A 911-2024")</f>
        <v/>
      </c>
      <c r="X169">
        <f>HYPERLINK("https://klasma.github.io/Logging_0883/tillsyn/A 911-2024 tillsynsbegäran.docx", "A 911-2024")</f>
        <v/>
      </c>
      <c r="Y169">
        <f>HYPERLINK("https://klasma.github.io/Logging_0883/tillsynsmail/A 911-2024 tillsynsbegäran mail.docx", "A 911-2024")</f>
        <v/>
      </c>
      <c r="Z169">
        <f>HYPERLINK("https://klasma.github.io/Logging_0883/fåglar/A 911-2024 prioriterade fågelarter.docx", "A 911-2024")</f>
        <v/>
      </c>
    </row>
    <row r="170" ht="15" customHeight="1">
      <c r="A170" t="inlineStr">
        <is>
          <t>A 34292-2025</t>
        </is>
      </c>
      <c r="B170" s="1" t="n">
        <v>45846.34083333334</v>
      </c>
      <c r="C170" s="1" t="n">
        <v>45923</v>
      </c>
      <c r="D170" t="inlineStr">
        <is>
          <t>KALMAR LÄN</t>
        </is>
      </c>
      <c r="E170" t="inlineStr">
        <is>
          <t>VÄSTERVIK</t>
        </is>
      </c>
      <c r="G170" t="n">
        <v>3.4</v>
      </c>
      <c r="H170" t="n">
        <v>0</v>
      </c>
      <c r="I170" t="n">
        <v>1</v>
      </c>
      <c r="J170" t="n">
        <v>1</v>
      </c>
      <c r="K170" t="n">
        <v>0</v>
      </c>
      <c r="L170" t="n">
        <v>0</v>
      </c>
      <c r="M170" t="n">
        <v>0</v>
      </c>
      <c r="N170" t="n">
        <v>0</v>
      </c>
      <c r="O170" t="n">
        <v>1</v>
      </c>
      <c r="P170" t="n">
        <v>0</v>
      </c>
      <c r="Q170" t="n">
        <v>2</v>
      </c>
      <c r="R170" s="2" t="inlineStr">
        <is>
          <t>Tallticka
Blåmossa</t>
        </is>
      </c>
      <c r="S170">
        <f>HYPERLINK("https://klasma.github.io/Logging_0883/artfynd/A 34292-2025 artfynd.xlsx", "A 34292-2025")</f>
        <v/>
      </c>
      <c r="T170">
        <f>HYPERLINK("https://klasma.github.io/Logging_0883/kartor/A 34292-2025 karta.png", "A 34292-2025")</f>
        <v/>
      </c>
      <c r="V170">
        <f>HYPERLINK("https://klasma.github.io/Logging_0883/klagomål/A 34292-2025 FSC-klagomål.docx", "A 34292-2025")</f>
        <v/>
      </c>
      <c r="W170">
        <f>HYPERLINK("https://klasma.github.io/Logging_0883/klagomålsmail/A 34292-2025 FSC-klagomål mail.docx", "A 34292-2025")</f>
        <v/>
      </c>
      <c r="X170">
        <f>HYPERLINK("https://klasma.github.io/Logging_0883/tillsyn/A 34292-2025 tillsynsbegäran.docx", "A 34292-2025")</f>
        <v/>
      </c>
      <c r="Y170">
        <f>HYPERLINK("https://klasma.github.io/Logging_0883/tillsynsmail/A 34292-2025 tillsynsbegäran mail.docx", "A 34292-2025")</f>
        <v/>
      </c>
    </row>
    <row r="171" ht="15" customHeight="1">
      <c r="A171" t="inlineStr">
        <is>
          <t>A 69632-2020</t>
        </is>
      </c>
      <c r="B171" s="1" t="n">
        <v>44195</v>
      </c>
      <c r="C171" s="1" t="n">
        <v>45923</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52831-2021</t>
        </is>
      </c>
      <c r="B172" s="1" t="n">
        <v>44467</v>
      </c>
      <c r="C172" s="1" t="n">
        <v>45923</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47112-2023</t>
        </is>
      </c>
      <c r="B173" s="1" t="n">
        <v>45201</v>
      </c>
      <c r="C173" s="1" t="n">
        <v>45923</v>
      </c>
      <c r="D173" t="inlineStr">
        <is>
          <t>KALMAR LÄN</t>
        </is>
      </c>
      <c r="E173" t="inlineStr">
        <is>
          <t>VÄSTERVIK</t>
        </is>
      </c>
      <c r="G173" t="n">
        <v>1</v>
      </c>
      <c r="H173" t="n">
        <v>0</v>
      </c>
      <c r="I173" t="n">
        <v>0</v>
      </c>
      <c r="J173" t="n">
        <v>1</v>
      </c>
      <c r="K173" t="n">
        <v>0</v>
      </c>
      <c r="L173" t="n">
        <v>0</v>
      </c>
      <c r="M173" t="n">
        <v>0</v>
      </c>
      <c r="N173" t="n">
        <v>0</v>
      </c>
      <c r="O173" t="n">
        <v>1</v>
      </c>
      <c r="P173" t="n">
        <v>0</v>
      </c>
      <c r="Q173" t="n">
        <v>1</v>
      </c>
      <c r="R173" s="2" t="inlineStr">
        <is>
          <t>Tallticka</t>
        </is>
      </c>
      <c r="S173">
        <f>HYPERLINK("https://klasma.github.io/Logging_0883/artfynd/A 47112-2023 artfynd.xlsx", "A 47112-2023")</f>
        <v/>
      </c>
      <c r="T173">
        <f>HYPERLINK("https://klasma.github.io/Logging_0883/kartor/A 47112-2023 karta.png", "A 47112-2023")</f>
        <v/>
      </c>
      <c r="V173">
        <f>HYPERLINK("https://klasma.github.io/Logging_0883/klagomål/A 47112-2023 FSC-klagomål.docx", "A 47112-2023")</f>
        <v/>
      </c>
      <c r="W173">
        <f>HYPERLINK("https://klasma.github.io/Logging_0883/klagomålsmail/A 47112-2023 FSC-klagomål mail.docx", "A 47112-2023")</f>
        <v/>
      </c>
      <c r="X173">
        <f>HYPERLINK("https://klasma.github.io/Logging_0883/tillsyn/A 47112-2023 tillsynsbegäran.docx", "A 47112-2023")</f>
        <v/>
      </c>
      <c r="Y173">
        <f>HYPERLINK("https://klasma.github.io/Logging_0883/tillsynsmail/A 47112-2023 tillsynsbegäran mail.docx", "A 47112-2023")</f>
        <v/>
      </c>
    </row>
    <row r="174" ht="15" customHeight="1">
      <c r="A174" t="inlineStr">
        <is>
          <t>A 11195-2024</t>
        </is>
      </c>
      <c r="B174" s="1" t="n">
        <v>45371</v>
      </c>
      <c r="C174" s="1" t="n">
        <v>45923</v>
      </c>
      <c r="D174" t="inlineStr">
        <is>
          <t>KALMAR LÄN</t>
        </is>
      </c>
      <c r="E174" t="inlineStr">
        <is>
          <t>VÄSTERVIK</t>
        </is>
      </c>
      <c r="G174" t="n">
        <v>1.9</v>
      </c>
      <c r="H174" t="n">
        <v>1</v>
      </c>
      <c r="I174" t="n">
        <v>0</v>
      </c>
      <c r="J174" t="n">
        <v>0</v>
      </c>
      <c r="K174" t="n">
        <v>1</v>
      </c>
      <c r="L174" t="n">
        <v>0</v>
      </c>
      <c r="M174" t="n">
        <v>0</v>
      </c>
      <c r="N174" t="n">
        <v>0</v>
      </c>
      <c r="O174" t="n">
        <v>1</v>
      </c>
      <c r="P174" t="n">
        <v>1</v>
      </c>
      <c r="Q174" t="n">
        <v>1</v>
      </c>
      <c r="R174" s="2" t="inlineStr">
        <is>
          <t>Knärot</t>
        </is>
      </c>
      <c r="S174">
        <f>HYPERLINK("https://klasma.github.io/Logging_0883/artfynd/A 11195-2024 artfynd.xlsx", "A 11195-2024")</f>
        <v/>
      </c>
      <c r="T174">
        <f>HYPERLINK("https://klasma.github.io/Logging_0883/kartor/A 11195-2024 karta.png", "A 11195-2024")</f>
        <v/>
      </c>
      <c r="U174">
        <f>HYPERLINK("https://klasma.github.io/Logging_0883/knärot/A 11195-2024 karta knärot.png", "A 11195-2024")</f>
        <v/>
      </c>
      <c r="V174">
        <f>HYPERLINK("https://klasma.github.io/Logging_0883/klagomål/A 11195-2024 FSC-klagomål.docx", "A 11195-2024")</f>
        <v/>
      </c>
      <c r="W174">
        <f>HYPERLINK("https://klasma.github.io/Logging_0883/klagomålsmail/A 11195-2024 FSC-klagomål mail.docx", "A 11195-2024")</f>
        <v/>
      </c>
      <c r="X174">
        <f>HYPERLINK("https://klasma.github.io/Logging_0883/tillsyn/A 11195-2024 tillsynsbegäran.docx", "A 11195-2024")</f>
        <v/>
      </c>
      <c r="Y174">
        <f>HYPERLINK("https://klasma.github.io/Logging_0883/tillsynsmail/A 11195-2024 tillsynsbegäran mail.docx", "A 11195-2024")</f>
        <v/>
      </c>
    </row>
    <row r="175" ht="15" customHeight="1">
      <c r="A175" t="inlineStr">
        <is>
          <t>A 46556-2022</t>
        </is>
      </c>
      <c r="B175" s="1" t="n">
        <v>44848</v>
      </c>
      <c r="C175" s="1" t="n">
        <v>45923</v>
      </c>
      <c r="D175" t="inlineStr">
        <is>
          <t>KALMAR LÄN</t>
        </is>
      </c>
      <c r="E175" t="inlineStr">
        <is>
          <t>VÄSTERVIK</t>
        </is>
      </c>
      <c r="F175" t="inlineStr">
        <is>
          <t>Sveaskog</t>
        </is>
      </c>
      <c r="G175" t="n">
        <v>1.5</v>
      </c>
      <c r="H175" t="n">
        <v>0</v>
      </c>
      <c r="I175" t="n">
        <v>1</v>
      </c>
      <c r="J175" t="n">
        <v>0</v>
      </c>
      <c r="K175" t="n">
        <v>0</v>
      </c>
      <c r="L175" t="n">
        <v>0</v>
      </c>
      <c r="M175" t="n">
        <v>0</v>
      </c>
      <c r="N175" t="n">
        <v>0</v>
      </c>
      <c r="O175" t="n">
        <v>0</v>
      </c>
      <c r="P175" t="n">
        <v>0</v>
      </c>
      <c r="Q175" t="n">
        <v>1</v>
      </c>
      <c r="R175" s="2" t="inlineStr">
        <is>
          <t>Fjällig taggsvamp s.str.</t>
        </is>
      </c>
      <c r="S175">
        <f>HYPERLINK("https://klasma.github.io/Logging_0883/artfynd/A 46556-2022 artfynd.xlsx", "A 46556-2022")</f>
        <v/>
      </c>
      <c r="T175">
        <f>HYPERLINK("https://klasma.github.io/Logging_0883/kartor/A 46556-2022 karta.png", "A 46556-2022")</f>
        <v/>
      </c>
      <c r="V175">
        <f>HYPERLINK("https://klasma.github.io/Logging_0883/klagomål/A 46556-2022 FSC-klagomål.docx", "A 46556-2022")</f>
        <v/>
      </c>
      <c r="W175">
        <f>HYPERLINK("https://klasma.github.io/Logging_0883/klagomålsmail/A 46556-2022 FSC-klagomål mail.docx", "A 46556-2022")</f>
        <v/>
      </c>
      <c r="X175">
        <f>HYPERLINK("https://klasma.github.io/Logging_0883/tillsyn/A 46556-2022 tillsynsbegäran.docx", "A 46556-2022")</f>
        <v/>
      </c>
      <c r="Y175">
        <f>HYPERLINK("https://klasma.github.io/Logging_0883/tillsynsmail/A 46556-2022 tillsynsbegäran mail.docx", "A 46556-2022")</f>
        <v/>
      </c>
    </row>
    <row r="176" ht="15" customHeight="1">
      <c r="A176" t="inlineStr">
        <is>
          <t>A 31315-2021</t>
        </is>
      </c>
      <c r="B176" s="1" t="n">
        <v>44368</v>
      </c>
      <c r="C176" s="1" t="n">
        <v>45923</v>
      </c>
      <c r="D176" t="inlineStr">
        <is>
          <t>KALMAR LÄN</t>
        </is>
      </c>
      <c r="E176" t="inlineStr">
        <is>
          <t>VÄSTERVIK</t>
        </is>
      </c>
      <c r="G176" t="n">
        <v>3.3</v>
      </c>
      <c r="H176" t="n">
        <v>1</v>
      </c>
      <c r="I176" t="n">
        <v>0</v>
      </c>
      <c r="J176" t="n">
        <v>0</v>
      </c>
      <c r="K176" t="n">
        <v>1</v>
      </c>
      <c r="L176" t="n">
        <v>0</v>
      </c>
      <c r="M176" t="n">
        <v>0</v>
      </c>
      <c r="N176" t="n">
        <v>0</v>
      </c>
      <c r="O176" t="n">
        <v>1</v>
      </c>
      <c r="P176" t="n">
        <v>1</v>
      </c>
      <c r="Q176" t="n">
        <v>1</v>
      </c>
      <c r="R176" s="2" t="inlineStr">
        <is>
          <t>Knärot</t>
        </is>
      </c>
      <c r="S176">
        <f>HYPERLINK("https://klasma.github.io/Logging_0883/artfynd/A 31315-2021 artfynd.xlsx", "A 31315-2021")</f>
        <v/>
      </c>
      <c r="T176">
        <f>HYPERLINK("https://klasma.github.io/Logging_0883/kartor/A 31315-2021 karta.png", "A 31315-2021")</f>
        <v/>
      </c>
      <c r="U176">
        <f>HYPERLINK("https://klasma.github.io/Logging_0883/knärot/A 31315-2021 karta knärot.png", "A 31315-2021")</f>
        <v/>
      </c>
      <c r="V176">
        <f>HYPERLINK("https://klasma.github.io/Logging_0883/klagomål/A 31315-2021 FSC-klagomål.docx", "A 31315-2021")</f>
        <v/>
      </c>
      <c r="W176">
        <f>HYPERLINK("https://klasma.github.io/Logging_0883/klagomålsmail/A 31315-2021 FSC-klagomål mail.docx", "A 31315-2021")</f>
        <v/>
      </c>
      <c r="X176">
        <f>HYPERLINK("https://klasma.github.io/Logging_0883/tillsyn/A 31315-2021 tillsynsbegäran.docx", "A 31315-2021")</f>
        <v/>
      </c>
      <c r="Y176">
        <f>HYPERLINK("https://klasma.github.io/Logging_0883/tillsynsmail/A 31315-2021 tillsynsbegäran mail.docx", "A 31315-2021")</f>
        <v/>
      </c>
    </row>
    <row r="177" ht="15" customHeight="1">
      <c r="A177" t="inlineStr">
        <is>
          <t>A 26056-2022</t>
        </is>
      </c>
      <c r="B177" s="1" t="n">
        <v>44734</v>
      </c>
      <c r="C177" s="1" t="n">
        <v>45923</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61806-2023</t>
        </is>
      </c>
      <c r="B178" s="1" t="n">
        <v>45266.27928240741</v>
      </c>
      <c r="C178" s="1" t="n">
        <v>45923</v>
      </c>
      <c r="D178" t="inlineStr">
        <is>
          <t>KALMAR LÄN</t>
        </is>
      </c>
      <c r="E178" t="inlineStr">
        <is>
          <t>VÄSTERVIK</t>
        </is>
      </c>
      <c r="G178" t="n">
        <v>1.1</v>
      </c>
      <c r="H178" t="n">
        <v>0</v>
      </c>
      <c r="I178" t="n">
        <v>0</v>
      </c>
      <c r="J178" t="n">
        <v>1</v>
      </c>
      <c r="K178" t="n">
        <v>0</v>
      </c>
      <c r="L178" t="n">
        <v>0</v>
      </c>
      <c r="M178" t="n">
        <v>0</v>
      </c>
      <c r="N178" t="n">
        <v>0</v>
      </c>
      <c r="O178" t="n">
        <v>1</v>
      </c>
      <c r="P178" t="n">
        <v>0</v>
      </c>
      <c r="Q178" t="n">
        <v>1</v>
      </c>
      <c r="R178" s="2" t="inlineStr">
        <is>
          <t>Veckticka</t>
        </is>
      </c>
      <c r="S178">
        <f>HYPERLINK("https://klasma.github.io/Logging_0883/artfynd/A 61806-2023 artfynd.xlsx", "A 61806-2023")</f>
        <v/>
      </c>
      <c r="T178">
        <f>HYPERLINK("https://klasma.github.io/Logging_0883/kartor/A 61806-2023 karta.png", "A 61806-2023")</f>
        <v/>
      </c>
      <c r="V178">
        <f>HYPERLINK("https://klasma.github.io/Logging_0883/klagomål/A 61806-2023 FSC-klagomål.docx", "A 61806-2023")</f>
        <v/>
      </c>
      <c r="W178">
        <f>HYPERLINK("https://klasma.github.io/Logging_0883/klagomålsmail/A 61806-2023 FSC-klagomål mail.docx", "A 61806-2023")</f>
        <v/>
      </c>
      <c r="X178">
        <f>HYPERLINK("https://klasma.github.io/Logging_0883/tillsyn/A 61806-2023 tillsynsbegäran.docx", "A 61806-2023")</f>
        <v/>
      </c>
      <c r="Y178">
        <f>HYPERLINK("https://klasma.github.io/Logging_0883/tillsynsmail/A 61806-2023 tillsynsbegäran mail.docx", "A 61806-2023")</f>
        <v/>
      </c>
    </row>
    <row r="179" ht="15" customHeight="1">
      <c r="A179" t="inlineStr">
        <is>
          <t>A 9261-2025</t>
        </is>
      </c>
      <c r="B179" s="1" t="n">
        <v>45714.60472222222</v>
      </c>
      <c r="C179" s="1" t="n">
        <v>45923</v>
      </c>
      <c r="D179" t="inlineStr">
        <is>
          <t>KALMAR LÄN</t>
        </is>
      </c>
      <c r="E179" t="inlineStr">
        <is>
          <t>VÄSTERVIK</t>
        </is>
      </c>
      <c r="F179" t="inlineStr">
        <is>
          <t>Sveaskog</t>
        </is>
      </c>
      <c r="G179" t="n">
        <v>4.9</v>
      </c>
      <c r="H179" t="n">
        <v>1</v>
      </c>
      <c r="I179" t="n">
        <v>0</v>
      </c>
      <c r="J179" t="n">
        <v>1</v>
      </c>
      <c r="K179" t="n">
        <v>0</v>
      </c>
      <c r="L179" t="n">
        <v>0</v>
      </c>
      <c r="M179" t="n">
        <v>0</v>
      </c>
      <c r="N179" t="n">
        <v>0</v>
      </c>
      <c r="O179" t="n">
        <v>1</v>
      </c>
      <c r="P179" t="n">
        <v>0</v>
      </c>
      <c r="Q179" t="n">
        <v>1</v>
      </c>
      <c r="R179" s="2" t="inlineStr">
        <is>
          <t>Havsörn</t>
        </is>
      </c>
      <c r="S179">
        <f>HYPERLINK("https://klasma.github.io/Logging_0883/artfynd/A 9261-2025 artfynd.xlsx", "A 9261-2025")</f>
        <v/>
      </c>
      <c r="T179">
        <f>HYPERLINK("https://klasma.github.io/Logging_0883/kartor/A 9261-2025 karta.png", "A 9261-2025")</f>
        <v/>
      </c>
      <c r="V179">
        <f>HYPERLINK("https://klasma.github.io/Logging_0883/klagomål/A 9261-2025 FSC-klagomål.docx", "A 9261-2025")</f>
        <v/>
      </c>
      <c r="W179">
        <f>HYPERLINK("https://klasma.github.io/Logging_0883/klagomålsmail/A 9261-2025 FSC-klagomål mail.docx", "A 9261-2025")</f>
        <v/>
      </c>
      <c r="X179">
        <f>HYPERLINK("https://klasma.github.io/Logging_0883/tillsyn/A 9261-2025 tillsynsbegäran.docx", "A 9261-2025")</f>
        <v/>
      </c>
      <c r="Y179">
        <f>HYPERLINK("https://klasma.github.io/Logging_0883/tillsynsmail/A 9261-2025 tillsynsbegäran mail.docx", "A 9261-2025")</f>
        <v/>
      </c>
      <c r="Z179">
        <f>HYPERLINK("https://klasma.github.io/Logging_0883/fåglar/A 9261-2025 prioriterade fågelarter.docx", "A 9261-2025")</f>
        <v/>
      </c>
    </row>
    <row r="180" ht="15" customHeight="1">
      <c r="A180" t="inlineStr">
        <is>
          <t>A 51024-2022</t>
        </is>
      </c>
      <c r="B180" s="1" t="n">
        <v>44867</v>
      </c>
      <c r="C180" s="1" t="n">
        <v>45923</v>
      </c>
      <c r="D180" t="inlineStr">
        <is>
          <t>KALMAR LÄN</t>
        </is>
      </c>
      <c r="E180" t="inlineStr">
        <is>
          <t>VÄSTERVIK</t>
        </is>
      </c>
      <c r="F180" t="inlineStr">
        <is>
          <t>Holmen skog AB</t>
        </is>
      </c>
      <c r="G180" t="n">
        <v>7.6</v>
      </c>
      <c r="H180" t="n">
        <v>1</v>
      </c>
      <c r="I180" t="n">
        <v>0</v>
      </c>
      <c r="J180" t="n">
        <v>1</v>
      </c>
      <c r="K180" t="n">
        <v>0</v>
      </c>
      <c r="L180" t="n">
        <v>0</v>
      </c>
      <c r="M180" t="n">
        <v>0</v>
      </c>
      <c r="N180" t="n">
        <v>0</v>
      </c>
      <c r="O180" t="n">
        <v>1</v>
      </c>
      <c r="P180" t="n">
        <v>0</v>
      </c>
      <c r="Q180" t="n">
        <v>1</v>
      </c>
      <c r="R180" s="2" t="inlineStr">
        <is>
          <t>Talltita</t>
        </is>
      </c>
      <c r="S180">
        <f>HYPERLINK("https://klasma.github.io/Logging_0883/artfynd/A 51024-2022 artfynd.xlsx", "A 51024-2022")</f>
        <v/>
      </c>
      <c r="T180">
        <f>HYPERLINK("https://klasma.github.io/Logging_0883/kartor/A 51024-2022 karta.png", "A 51024-2022")</f>
        <v/>
      </c>
      <c r="V180">
        <f>HYPERLINK("https://klasma.github.io/Logging_0883/klagomål/A 51024-2022 FSC-klagomål.docx", "A 51024-2022")</f>
        <v/>
      </c>
      <c r="W180">
        <f>HYPERLINK("https://klasma.github.io/Logging_0883/klagomålsmail/A 51024-2022 FSC-klagomål mail.docx", "A 51024-2022")</f>
        <v/>
      </c>
      <c r="X180">
        <f>HYPERLINK("https://klasma.github.io/Logging_0883/tillsyn/A 51024-2022 tillsynsbegäran.docx", "A 51024-2022")</f>
        <v/>
      </c>
      <c r="Y180">
        <f>HYPERLINK("https://klasma.github.io/Logging_0883/tillsynsmail/A 51024-2022 tillsynsbegäran mail.docx", "A 51024-2022")</f>
        <v/>
      </c>
      <c r="Z180">
        <f>HYPERLINK("https://klasma.github.io/Logging_0883/fåglar/A 51024-2022 prioriterade fågelarter.docx", "A 51024-2022")</f>
        <v/>
      </c>
    </row>
    <row r="181" ht="15" customHeight="1">
      <c r="A181" t="inlineStr">
        <is>
          <t>A 55616-2024</t>
        </is>
      </c>
      <c r="B181" s="1" t="n">
        <v>45622.5916087963</v>
      </c>
      <c r="C181" s="1" t="n">
        <v>45923</v>
      </c>
      <c r="D181" t="inlineStr">
        <is>
          <t>KALMAR LÄN</t>
        </is>
      </c>
      <c r="E181" t="inlineStr">
        <is>
          <t>VÄSTERVIK</t>
        </is>
      </c>
      <c r="G181" t="n">
        <v>0.5</v>
      </c>
      <c r="H181" t="n">
        <v>1</v>
      </c>
      <c r="I181" t="n">
        <v>0</v>
      </c>
      <c r="J181" t="n">
        <v>1</v>
      </c>
      <c r="K181" t="n">
        <v>0</v>
      </c>
      <c r="L181" t="n">
        <v>0</v>
      </c>
      <c r="M181" t="n">
        <v>0</v>
      </c>
      <c r="N181" t="n">
        <v>0</v>
      </c>
      <c r="O181" t="n">
        <v>1</v>
      </c>
      <c r="P181" t="n">
        <v>0</v>
      </c>
      <c r="Q181" t="n">
        <v>1</v>
      </c>
      <c r="R181" s="2" t="inlineStr">
        <is>
          <t>Entita</t>
        </is>
      </c>
      <c r="S181">
        <f>HYPERLINK("https://klasma.github.io/Logging_0883/artfynd/A 55616-2024 artfynd.xlsx", "A 55616-2024")</f>
        <v/>
      </c>
      <c r="T181">
        <f>HYPERLINK("https://klasma.github.io/Logging_0883/kartor/A 55616-2024 karta.png", "A 55616-2024")</f>
        <v/>
      </c>
      <c r="V181">
        <f>HYPERLINK("https://klasma.github.io/Logging_0883/klagomål/A 55616-2024 FSC-klagomål.docx", "A 55616-2024")</f>
        <v/>
      </c>
      <c r="W181">
        <f>HYPERLINK("https://klasma.github.io/Logging_0883/klagomålsmail/A 55616-2024 FSC-klagomål mail.docx", "A 55616-2024")</f>
        <v/>
      </c>
      <c r="X181">
        <f>HYPERLINK("https://klasma.github.io/Logging_0883/tillsyn/A 55616-2024 tillsynsbegäran.docx", "A 55616-2024")</f>
        <v/>
      </c>
      <c r="Y181">
        <f>HYPERLINK("https://klasma.github.io/Logging_0883/tillsynsmail/A 55616-2024 tillsynsbegäran mail.docx", "A 55616-2024")</f>
        <v/>
      </c>
      <c r="Z181">
        <f>HYPERLINK("https://klasma.github.io/Logging_0883/fåglar/A 55616-2024 prioriterade fågelarter.docx", "A 55616-2024")</f>
        <v/>
      </c>
    </row>
    <row r="182" ht="15" customHeight="1">
      <c r="A182" t="inlineStr">
        <is>
          <t>A 25436-2023</t>
        </is>
      </c>
      <c r="B182" s="1" t="n">
        <v>45089</v>
      </c>
      <c r="C182" s="1" t="n">
        <v>45923</v>
      </c>
      <c r="D182" t="inlineStr">
        <is>
          <t>KALMAR LÄN</t>
        </is>
      </c>
      <c r="E182" t="inlineStr">
        <is>
          <t>VÄSTERVIK</t>
        </is>
      </c>
      <c r="G182" t="n">
        <v>1.6</v>
      </c>
      <c r="H182" t="n">
        <v>1</v>
      </c>
      <c r="I182" t="n">
        <v>0</v>
      </c>
      <c r="J182" t="n">
        <v>0</v>
      </c>
      <c r="K182" t="n">
        <v>1</v>
      </c>
      <c r="L182" t="n">
        <v>0</v>
      </c>
      <c r="M182" t="n">
        <v>0</v>
      </c>
      <c r="N182" t="n">
        <v>0</v>
      </c>
      <c r="O182" t="n">
        <v>1</v>
      </c>
      <c r="P182" t="n">
        <v>1</v>
      </c>
      <c r="Q182" t="n">
        <v>1</v>
      </c>
      <c r="R182" s="2" t="inlineStr">
        <is>
          <t>Knärot</t>
        </is>
      </c>
      <c r="S182">
        <f>HYPERLINK("https://klasma.github.io/Logging_0883/artfynd/A 25436-2023 artfynd.xlsx", "A 25436-2023")</f>
        <v/>
      </c>
      <c r="T182">
        <f>HYPERLINK("https://klasma.github.io/Logging_0883/kartor/A 25436-2023 karta.png", "A 25436-2023")</f>
        <v/>
      </c>
      <c r="U182">
        <f>HYPERLINK("https://klasma.github.io/Logging_0883/knärot/A 25436-2023 karta knärot.png", "A 25436-2023")</f>
        <v/>
      </c>
      <c r="V182">
        <f>HYPERLINK("https://klasma.github.io/Logging_0883/klagomål/A 25436-2023 FSC-klagomål.docx", "A 25436-2023")</f>
        <v/>
      </c>
      <c r="W182">
        <f>HYPERLINK("https://klasma.github.io/Logging_0883/klagomålsmail/A 25436-2023 FSC-klagomål mail.docx", "A 25436-2023")</f>
        <v/>
      </c>
      <c r="X182">
        <f>HYPERLINK("https://klasma.github.io/Logging_0883/tillsyn/A 25436-2023 tillsynsbegäran.docx", "A 25436-2023")</f>
        <v/>
      </c>
      <c r="Y182">
        <f>HYPERLINK("https://klasma.github.io/Logging_0883/tillsynsmail/A 25436-2023 tillsynsbegäran mail.docx", "A 25436-2023")</f>
        <v/>
      </c>
    </row>
    <row r="183" ht="15" customHeight="1">
      <c r="A183" t="inlineStr">
        <is>
          <t>A 11609-2022</t>
        </is>
      </c>
      <c r="B183" s="1" t="n">
        <v>44631</v>
      </c>
      <c r="C183" s="1" t="n">
        <v>45923</v>
      </c>
      <c r="D183" t="inlineStr">
        <is>
          <t>KALMAR LÄN</t>
        </is>
      </c>
      <c r="E183" t="inlineStr">
        <is>
          <t>VÄSTERVIK</t>
        </is>
      </c>
      <c r="F183" t="inlineStr">
        <is>
          <t>Holmen skog AB</t>
        </is>
      </c>
      <c r="G183" t="n">
        <v>3.2</v>
      </c>
      <c r="H183" t="n">
        <v>0</v>
      </c>
      <c r="I183" t="n">
        <v>0</v>
      </c>
      <c r="J183" t="n">
        <v>1</v>
      </c>
      <c r="K183" t="n">
        <v>0</v>
      </c>
      <c r="L183" t="n">
        <v>0</v>
      </c>
      <c r="M183" t="n">
        <v>0</v>
      </c>
      <c r="N183" t="n">
        <v>0</v>
      </c>
      <c r="O183" t="n">
        <v>1</v>
      </c>
      <c r="P183" t="n">
        <v>0</v>
      </c>
      <c r="Q183" t="n">
        <v>1</v>
      </c>
      <c r="R183" s="2" t="inlineStr">
        <is>
          <t>Tallticka</t>
        </is>
      </c>
      <c r="S183">
        <f>HYPERLINK("https://klasma.github.io/Logging_0883/artfynd/A 11609-2022 artfynd.xlsx", "A 11609-2022")</f>
        <v/>
      </c>
      <c r="T183">
        <f>HYPERLINK("https://klasma.github.io/Logging_0883/kartor/A 11609-2022 karta.png", "A 11609-2022")</f>
        <v/>
      </c>
      <c r="U183">
        <f>HYPERLINK("https://klasma.github.io/Logging_0883/knärot/A 11609-2022 karta knärot.png", "A 11609-2022")</f>
        <v/>
      </c>
      <c r="V183">
        <f>HYPERLINK("https://klasma.github.io/Logging_0883/klagomål/A 11609-2022 FSC-klagomål.docx", "A 11609-2022")</f>
        <v/>
      </c>
      <c r="W183">
        <f>HYPERLINK("https://klasma.github.io/Logging_0883/klagomålsmail/A 11609-2022 FSC-klagomål mail.docx", "A 11609-2022")</f>
        <v/>
      </c>
      <c r="X183">
        <f>HYPERLINK("https://klasma.github.io/Logging_0883/tillsyn/A 11609-2022 tillsynsbegäran.docx", "A 11609-2022")</f>
        <v/>
      </c>
      <c r="Y183">
        <f>HYPERLINK("https://klasma.github.io/Logging_0883/tillsynsmail/A 11609-2022 tillsynsbegäran mail.docx", "A 11609-2022")</f>
        <v/>
      </c>
    </row>
    <row r="184" ht="15" customHeight="1">
      <c r="A184" t="inlineStr">
        <is>
          <t>A 66752-2020</t>
        </is>
      </c>
      <c r="B184" s="1" t="n">
        <v>44175</v>
      </c>
      <c r="C184" s="1" t="n">
        <v>45923</v>
      </c>
      <c r="D184" t="inlineStr">
        <is>
          <t>KALMAR LÄN</t>
        </is>
      </c>
      <c r="E184" t="inlineStr">
        <is>
          <t>VÄSTERVIK</t>
        </is>
      </c>
      <c r="G184" t="n">
        <v>0.7</v>
      </c>
      <c r="H184" t="n">
        <v>0</v>
      </c>
      <c r="I184" t="n">
        <v>0</v>
      </c>
      <c r="J184" t="n">
        <v>1</v>
      </c>
      <c r="K184" t="n">
        <v>0</v>
      </c>
      <c r="L184" t="n">
        <v>0</v>
      </c>
      <c r="M184" t="n">
        <v>0</v>
      </c>
      <c r="N184" t="n">
        <v>0</v>
      </c>
      <c r="O184" t="n">
        <v>1</v>
      </c>
      <c r="P184" t="n">
        <v>0</v>
      </c>
      <c r="Q184" t="n">
        <v>1</v>
      </c>
      <c r="R184" s="2" t="inlineStr">
        <is>
          <t>Tallticka</t>
        </is>
      </c>
      <c r="S184">
        <f>HYPERLINK("https://klasma.github.io/Logging_0883/artfynd/A 66752-2020 artfynd.xlsx", "A 66752-2020")</f>
        <v/>
      </c>
      <c r="T184">
        <f>HYPERLINK("https://klasma.github.io/Logging_0883/kartor/A 66752-2020 karta.png", "A 66752-2020")</f>
        <v/>
      </c>
      <c r="V184">
        <f>HYPERLINK("https://klasma.github.io/Logging_0883/klagomål/A 66752-2020 FSC-klagomål.docx", "A 66752-2020")</f>
        <v/>
      </c>
      <c r="W184">
        <f>HYPERLINK("https://klasma.github.io/Logging_0883/klagomålsmail/A 66752-2020 FSC-klagomål mail.docx", "A 66752-2020")</f>
        <v/>
      </c>
      <c r="X184">
        <f>HYPERLINK("https://klasma.github.io/Logging_0883/tillsyn/A 66752-2020 tillsynsbegäran.docx", "A 66752-2020")</f>
        <v/>
      </c>
      <c r="Y184">
        <f>HYPERLINK("https://klasma.github.io/Logging_0883/tillsynsmail/A 66752-2020 tillsynsbegäran mail.docx", "A 66752-2020")</f>
        <v/>
      </c>
    </row>
    <row r="185" ht="15" customHeight="1">
      <c r="A185" t="inlineStr">
        <is>
          <t>A 42900-2025</t>
        </is>
      </c>
      <c r="B185" s="1" t="n">
        <v>45908.67556712963</v>
      </c>
      <c r="C185" s="1" t="n">
        <v>45923</v>
      </c>
      <c r="D185" t="inlineStr">
        <is>
          <t>KALMAR LÄN</t>
        </is>
      </c>
      <c r="E185" t="inlineStr">
        <is>
          <t>VÄSTERVIK</t>
        </is>
      </c>
      <c r="F185" t="inlineStr">
        <is>
          <t>Holmen skog AB</t>
        </is>
      </c>
      <c r="G185" t="n">
        <v>2.6</v>
      </c>
      <c r="H185" t="n">
        <v>1</v>
      </c>
      <c r="I185" t="n">
        <v>0</v>
      </c>
      <c r="J185" t="n">
        <v>1</v>
      </c>
      <c r="K185" t="n">
        <v>0</v>
      </c>
      <c r="L185" t="n">
        <v>0</v>
      </c>
      <c r="M185" t="n">
        <v>0</v>
      </c>
      <c r="N185" t="n">
        <v>0</v>
      </c>
      <c r="O185" t="n">
        <v>1</v>
      </c>
      <c r="P185" t="n">
        <v>0</v>
      </c>
      <c r="Q185" t="n">
        <v>1</v>
      </c>
      <c r="R185" s="2" t="inlineStr">
        <is>
          <t>Spillkråka</t>
        </is>
      </c>
      <c r="S185">
        <f>HYPERLINK("https://klasma.github.io/Logging_0883/artfynd/A 42900-2025 artfynd.xlsx", "A 42900-2025")</f>
        <v/>
      </c>
      <c r="T185">
        <f>HYPERLINK("https://klasma.github.io/Logging_0883/kartor/A 42900-2025 karta.png", "A 42900-2025")</f>
        <v/>
      </c>
      <c r="V185">
        <f>HYPERLINK("https://klasma.github.io/Logging_0883/klagomål/A 42900-2025 FSC-klagomål.docx", "A 42900-2025")</f>
        <v/>
      </c>
      <c r="W185">
        <f>HYPERLINK("https://klasma.github.io/Logging_0883/klagomålsmail/A 42900-2025 FSC-klagomål mail.docx", "A 42900-2025")</f>
        <v/>
      </c>
      <c r="X185">
        <f>HYPERLINK("https://klasma.github.io/Logging_0883/tillsyn/A 42900-2025 tillsynsbegäran.docx", "A 42900-2025")</f>
        <v/>
      </c>
      <c r="Y185">
        <f>HYPERLINK("https://klasma.github.io/Logging_0883/tillsynsmail/A 42900-2025 tillsynsbegäran mail.docx", "A 42900-2025")</f>
        <v/>
      </c>
      <c r="Z185">
        <f>HYPERLINK("https://klasma.github.io/Logging_0883/fåglar/A 42900-2025 prioriterade fågelarter.docx", "A 42900-2025")</f>
        <v/>
      </c>
    </row>
    <row r="186" ht="15" customHeight="1">
      <c r="A186" t="inlineStr">
        <is>
          <t>A 12292-2025</t>
        </is>
      </c>
      <c r="B186" s="1" t="n">
        <v>45729.68322916667</v>
      </c>
      <c r="C186" s="1" t="n">
        <v>45923</v>
      </c>
      <c r="D186" t="inlineStr">
        <is>
          <t>KALMAR LÄN</t>
        </is>
      </c>
      <c r="E186" t="inlineStr">
        <is>
          <t>VÄSTERVIK</t>
        </is>
      </c>
      <c r="G186" t="n">
        <v>1.7</v>
      </c>
      <c r="H186" t="n">
        <v>1</v>
      </c>
      <c r="I186" t="n">
        <v>0</v>
      </c>
      <c r="J186" t="n">
        <v>0</v>
      </c>
      <c r="K186" t="n">
        <v>1</v>
      </c>
      <c r="L186" t="n">
        <v>0</v>
      </c>
      <c r="M186" t="n">
        <v>0</v>
      </c>
      <c r="N186" t="n">
        <v>0</v>
      </c>
      <c r="O186" t="n">
        <v>1</v>
      </c>
      <c r="P186" t="n">
        <v>1</v>
      </c>
      <c r="Q186" t="n">
        <v>1</v>
      </c>
      <c r="R186" s="2" t="inlineStr">
        <is>
          <t>Knärot</t>
        </is>
      </c>
      <c r="S186">
        <f>HYPERLINK("https://klasma.github.io/Logging_0883/artfynd/A 12292-2025 artfynd.xlsx", "A 12292-2025")</f>
        <v/>
      </c>
      <c r="T186">
        <f>HYPERLINK("https://klasma.github.io/Logging_0883/kartor/A 12292-2025 karta.png", "A 12292-2025")</f>
        <v/>
      </c>
      <c r="U186">
        <f>HYPERLINK("https://klasma.github.io/Logging_0883/knärot/A 12292-2025 karta knärot.png", "A 12292-2025")</f>
        <v/>
      </c>
      <c r="V186">
        <f>HYPERLINK("https://klasma.github.io/Logging_0883/klagomål/A 12292-2025 FSC-klagomål.docx", "A 12292-2025")</f>
        <v/>
      </c>
      <c r="W186">
        <f>HYPERLINK("https://klasma.github.io/Logging_0883/klagomålsmail/A 12292-2025 FSC-klagomål mail.docx", "A 12292-2025")</f>
        <v/>
      </c>
      <c r="X186">
        <f>HYPERLINK("https://klasma.github.io/Logging_0883/tillsyn/A 12292-2025 tillsynsbegäran.docx", "A 12292-2025")</f>
        <v/>
      </c>
      <c r="Y186">
        <f>HYPERLINK("https://klasma.github.io/Logging_0883/tillsynsmail/A 12292-2025 tillsynsbegäran mail.docx", "A 12292-2025")</f>
        <v/>
      </c>
    </row>
    <row r="187" ht="15" customHeight="1">
      <c r="A187" t="inlineStr">
        <is>
          <t>A 36595-2025</t>
        </is>
      </c>
      <c r="B187" s="1" t="n">
        <v>45870.513125</v>
      </c>
      <c r="C187" s="1" t="n">
        <v>45923</v>
      </c>
      <c r="D187" t="inlineStr">
        <is>
          <t>KALMAR LÄN</t>
        </is>
      </c>
      <c r="E187" t="inlineStr">
        <is>
          <t>VÄSTERVIK</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HYPERLINK("https://klasma.github.io/Logging_0883/artfynd/A 36595-2025 artfynd.xlsx", "A 36595-2025")</f>
        <v/>
      </c>
      <c r="T187">
        <f>HYPERLINK("https://klasma.github.io/Logging_0883/kartor/A 36595-2025 karta.png", "A 36595-2025")</f>
        <v/>
      </c>
      <c r="V187">
        <f>HYPERLINK("https://klasma.github.io/Logging_0883/klagomål/A 36595-2025 FSC-klagomål.docx", "A 36595-2025")</f>
        <v/>
      </c>
      <c r="W187">
        <f>HYPERLINK("https://klasma.github.io/Logging_0883/klagomålsmail/A 36595-2025 FSC-klagomål mail.docx", "A 36595-2025")</f>
        <v/>
      </c>
      <c r="X187">
        <f>HYPERLINK("https://klasma.github.io/Logging_0883/tillsyn/A 36595-2025 tillsynsbegäran.docx", "A 36595-2025")</f>
        <v/>
      </c>
      <c r="Y187">
        <f>HYPERLINK("https://klasma.github.io/Logging_0883/tillsynsmail/A 36595-2025 tillsynsbegäran mail.docx", "A 36595-2025")</f>
        <v/>
      </c>
      <c r="Z187">
        <f>HYPERLINK("https://klasma.github.io/Logging_0883/fåglar/A 36595-2025 prioriterade fågelarter.docx", "A 36595-2025")</f>
        <v/>
      </c>
    </row>
    <row r="188" ht="15" customHeight="1">
      <c r="A188" t="inlineStr">
        <is>
          <t>A 27708-2024</t>
        </is>
      </c>
      <c r="B188" s="1" t="n">
        <v>45475</v>
      </c>
      <c r="C188" s="1" t="n">
        <v>45923</v>
      </c>
      <c r="D188" t="inlineStr">
        <is>
          <t>KALMAR LÄN</t>
        </is>
      </c>
      <c r="E188" t="inlineStr">
        <is>
          <t>VÄSTERVIK</t>
        </is>
      </c>
      <c r="F188" t="inlineStr">
        <is>
          <t>Holmen skog AB</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HYPERLINK("https://klasma.github.io/Logging_0883/artfynd/A 27708-2024 artfynd.xlsx", "A 27708-2024")</f>
        <v/>
      </c>
      <c r="T188">
        <f>HYPERLINK("https://klasma.github.io/Logging_0883/kartor/A 27708-2024 karta.png", "A 27708-2024")</f>
        <v/>
      </c>
      <c r="V188">
        <f>HYPERLINK("https://klasma.github.io/Logging_0883/klagomål/A 27708-2024 FSC-klagomål.docx", "A 27708-2024")</f>
        <v/>
      </c>
      <c r="W188">
        <f>HYPERLINK("https://klasma.github.io/Logging_0883/klagomålsmail/A 27708-2024 FSC-klagomål mail.docx", "A 27708-2024")</f>
        <v/>
      </c>
      <c r="X188">
        <f>HYPERLINK("https://klasma.github.io/Logging_0883/tillsyn/A 27708-2024 tillsynsbegäran.docx", "A 27708-2024")</f>
        <v/>
      </c>
      <c r="Y188">
        <f>HYPERLINK("https://klasma.github.io/Logging_0883/tillsynsmail/A 27708-2024 tillsynsbegäran mail.docx", "A 27708-2024")</f>
        <v/>
      </c>
      <c r="Z188">
        <f>HYPERLINK("https://klasma.github.io/Logging_0883/fåglar/A 27708-2024 prioriterade fågelarter.docx", "A 27708-2024")</f>
        <v/>
      </c>
    </row>
    <row r="189" ht="15" customHeight="1">
      <c r="A189" t="inlineStr">
        <is>
          <t>A 46559-2022</t>
        </is>
      </c>
      <c r="B189" s="1" t="n">
        <v>44848</v>
      </c>
      <c r="C189" s="1" t="n">
        <v>45923</v>
      </c>
      <c r="D189" t="inlineStr">
        <is>
          <t>KALMAR LÄN</t>
        </is>
      </c>
      <c r="E189" t="inlineStr">
        <is>
          <t>VÄSTERVIK</t>
        </is>
      </c>
      <c r="F189" t="inlineStr">
        <is>
          <t>Sveaskog</t>
        </is>
      </c>
      <c r="G189" t="n">
        <v>2.2</v>
      </c>
      <c r="H189" t="n">
        <v>1</v>
      </c>
      <c r="I189" t="n">
        <v>0</v>
      </c>
      <c r="J189" t="n">
        <v>0</v>
      </c>
      <c r="K189" t="n">
        <v>0</v>
      </c>
      <c r="L189" t="n">
        <v>0</v>
      </c>
      <c r="M189" t="n">
        <v>0</v>
      </c>
      <c r="N189" t="n">
        <v>0</v>
      </c>
      <c r="O189" t="n">
        <v>0</v>
      </c>
      <c r="P189" t="n">
        <v>0</v>
      </c>
      <c r="Q189" t="n">
        <v>1</v>
      </c>
      <c r="R189" s="2" t="inlineStr">
        <is>
          <t>Blåsippa</t>
        </is>
      </c>
      <c r="S189">
        <f>HYPERLINK("https://klasma.github.io/Logging_0883/artfynd/A 46559-2022 artfynd.xlsx", "A 46559-2022")</f>
        <v/>
      </c>
      <c r="T189">
        <f>HYPERLINK("https://klasma.github.io/Logging_0883/kartor/A 46559-2022 karta.png", "A 46559-2022")</f>
        <v/>
      </c>
      <c r="V189">
        <f>HYPERLINK("https://klasma.github.io/Logging_0883/klagomål/A 46559-2022 FSC-klagomål.docx", "A 46559-2022")</f>
        <v/>
      </c>
      <c r="W189">
        <f>HYPERLINK("https://klasma.github.io/Logging_0883/klagomålsmail/A 46559-2022 FSC-klagomål mail.docx", "A 46559-2022")</f>
        <v/>
      </c>
      <c r="X189">
        <f>HYPERLINK("https://klasma.github.io/Logging_0883/tillsyn/A 46559-2022 tillsynsbegäran.docx", "A 46559-2022")</f>
        <v/>
      </c>
      <c r="Y189">
        <f>HYPERLINK("https://klasma.github.io/Logging_0883/tillsynsmail/A 46559-2022 tillsynsbegäran mail.docx", "A 46559-2022")</f>
        <v/>
      </c>
    </row>
    <row r="190" ht="15" customHeight="1">
      <c r="A190" t="inlineStr">
        <is>
          <t>A 1370-2024</t>
        </is>
      </c>
      <c r="B190" s="1" t="n">
        <v>45303</v>
      </c>
      <c r="C190" s="1" t="n">
        <v>45923</v>
      </c>
      <c r="D190" t="inlineStr">
        <is>
          <t>KALMAR LÄN</t>
        </is>
      </c>
      <c r="E190" t="inlineStr">
        <is>
          <t>VÄSTERVIK</t>
        </is>
      </c>
      <c r="G190" t="n">
        <v>0.4</v>
      </c>
      <c r="H190" t="n">
        <v>0</v>
      </c>
      <c r="I190" t="n">
        <v>1</v>
      </c>
      <c r="J190" t="n">
        <v>0</v>
      </c>
      <c r="K190" t="n">
        <v>0</v>
      </c>
      <c r="L190" t="n">
        <v>0</v>
      </c>
      <c r="M190" t="n">
        <v>0</v>
      </c>
      <c r="N190" t="n">
        <v>0</v>
      </c>
      <c r="O190" t="n">
        <v>0</v>
      </c>
      <c r="P190" t="n">
        <v>0</v>
      </c>
      <c r="Q190" t="n">
        <v>1</v>
      </c>
      <c r="R190" s="2" t="inlineStr">
        <is>
          <t>Brandticka</t>
        </is>
      </c>
      <c r="S190">
        <f>HYPERLINK("https://klasma.github.io/Logging_0883/artfynd/A 1370-2024 artfynd.xlsx", "A 1370-2024")</f>
        <v/>
      </c>
      <c r="T190">
        <f>HYPERLINK("https://klasma.github.io/Logging_0883/kartor/A 1370-2024 karta.png", "A 1370-2024")</f>
        <v/>
      </c>
      <c r="V190">
        <f>HYPERLINK("https://klasma.github.io/Logging_0883/klagomål/A 1370-2024 FSC-klagomål.docx", "A 1370-2024")</f>
        <v/>
      </c>
      <c r="W190">
        <f>HYPERLINK("https://klasma.github.io/Logging_0883/klagomålsmail/A 1370-2024 FSC-klagomål mail.docx", "A 1370-2024")</f>
        <v/>
      </c>
      <c r="X190">
        <f>HYPERLINK("https://klasma.github.io/Logging_0883/tillsyn/A 1370-2024 tillsynsbegäran.docx", "A 1370-2024")</f>
        <v/>
      </c>
      <c r="Y190">
        <f>HYPERLINK("https://klasma.github.io/Logging_0883/tillsynsmail/A 1370-2024 tillsynsbegäran mail.docx", "A 1370-2024")</f>
        <v/>
      </c>
    </row>
    <row r="191" ht="15" customHeight="1">
      <c r="A191" t="inlineStr">
        <is>
          <t>A 34563-2023</t>
        </is>
      </c>
      <c r="B191" s="1" t="n">
        <v>45140.52086805556</v>
      </c>
      <c r="C191" s="1" t="n">
        <v>45923</v>
      </c>
      <c r="D191" t="inlineStr">
        <is>
          <t>KALMAR LÄN</t>
        </is>
      </c>
      <c r="E191" t="inlineStr">
        <is>
          <t>VÄSTERVIK</t>
        </is>
      </c>
      <c r="G191" t="n">
        <v>1.4</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34563-2023 artfynd.xlsx", "A 34563-2023")</f>
        <v/>
      </c>
      <c r="T191">
        <f>HYPERLINK("https://klasma.github.io/Logging_0883/kartor/A 34563-2023 karta.png", "A 34563-2023")</f>
        <v/>
      </c>
      <c r="U191">
        <f>HYPERLINK("https://klasma.github.io/Logging_0883/knärot/A 34563-2023 karta knärot.png", "A 34563-2023")</f>
        <v/>
      </c>
      <c r="V191">
        <f>HYPERLINK("https://klasma.github.io/Logging_0883/klagomål/A 34563-2023 FSC-klagomål.docx", "A 34563-2023")</f>
        <v/>
      </c>
      <c r="W191">
        <f>HYPERLINK("https://klasma.github.io/Logging_0883/klagomålsmail/A 34563-2023 FSC-klagomål mail.docx", "A 34563-2023")</f>
        <v/>
      </c>
      <c r="X191">
        <f>HYPERLINK("https://klasma.github.io/Logging_0883/tillsyn/A 34563-2023 tillsynsbegäran.docx", "A 34563-2023")</f>
        <v/>
      </c>
      <c r="Y191">
        <f>HYPERLINK("https://klasma.github.io/Logging_0883/tillsynsmail/A 34563-2023 tillsynsbegäran mail.docx", "A 34563-2023")</f>
        <v/>
      </c>
    </row>
    <row r="192" ht="15" customHeight="1">
      <c r="A192" t="inlineStr">
        <is>
          <t>A 29455-2021</t>
        </is>
      </c>
      <c r="B192" s="1" t="n">
        <v>44361</v>
      </c>
      <c r="C192" s="1" t="n">
        <v>45923</v>
      </c>
      <c r="D192" t="inlineStr">
        <is>
          <t>KALMAR LÄN</t>
        </is>
      </c>
      <c r="E192" t="inlineStr">
        <is>
          <t>VÄSTERVIK</t>
        </is>
      </c>
      <c r="F192" t="inlineStr">
        <is>
          <t>Övriga Aktiebolag</t>
        </is>
      </c>
      <c r="G192" t="n">
        <v>3.1</v>
      </c>
      <c r="H192" t="n">
        <v>1</v>
      </c>
      <c r="I192" t="n">
        <v>0</v>
      </c>
      <c r="J192" t="n">
        <v>0</v>
      </c>
      <c r="K192" t="n">
        <v>1</v>
      </c>
      <c r="L192" t="n">
        <v>0</v>
      </c>
      <c r="M192" t="n">
        <v>0</v>
      </c>
      <c r="N192" t="n">
        <v>0</v>
      </c>
      <c r="O192" t="n">
        <v>1</v>
      </c>
      <c r="P192" t="n">
        <v>1</v>
      </c>
      <c r="Q192" t="n">
        <v>1</v>
      </c>
      <c r="R192" s="2" t="inlineStr">
        <is>
          <t>Knärot</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row>
    <row r="193" ht="15" customHeight="1">
      <c r="A193" t="inlineStr">
        <is>
          <t>A 25447-2021</t>
        </is>
      </c>
      <c r="B193" s="1" t="n">
        <v>44342</v>
      </c>
      <c r="C193" s="1" t="n">
        <v>45923</v>
      </c>
      <c r="D193" t="inlineStr">
        <is>
          <t>KALMAR LÄN</t>
        </is>
      </c>
      <c r="E193" t="inlineStr">
        <is>
          <t>VÄSTERVIK</t>
        </is>
      </c>
      <c r="F193" t="inlineStr">
        <is>
          <t>Holmen skog AB</t>
        </is>
      </c>
      <c r="G193" t="n">
        <v>9</v>
      </c>
      <c r="H193" t="n">
        <v>1</v>
      </c>
      <c r="I193" t="n">
        <v>0</v>
      </c>
      <c r="J193" t="n">
        <v>0</v>
      </c>
      <c r="K193" t="n">
        <v>1</v>
      </c>
      <c r="L193" t="n">
        <v>0</v>
      </c>
      <c r="M193" t="n">
        <v>0</v>
      </c>
      <c r="N193" t="n">
        <v>0</v>
      </c>
      <c r="O193" t="n">
        <v>1</v>
      </c>
      <c r="P193" t="n">
        <v>1</v>
      </c>
      <c r="Q193" t="n">
        <v>1</v>
      </c>
      <c r="R193" s="2" t="inlineStr">
        <is>
          <t>Knärot</t>
        </is>
      </c>
      <c r="S193">
        <f>HYPERLINK("https://klasma.github.io/Logging_0883/artfynd/A 25447-2021 artfynd.xlsx", "A 25447-2021")</f>
        <v/>
      </c>
      <c r="T193">
        <f>HYPERLINK("https://klasma.github.io/Logging_0883/kartor/A 25447-2021 karta.png", "A 25447-2021")</f>
        <v/>
      </c>
      <c r="U193">
        <f>HYPERLINK("https://klasma.github.io/Logging_0883/knärot/A 25447-2021 karta knärot.png", "A 25447-2021")</f>
        <v/>
      </c>
      <c r="V193">
        <f>HYPERLINK("https://klasma.github.io/Logging_0883/klagomål/A 25447-2021 FSC-klagomål.docx", "A 25447-2021")</f>
        <v/>
      </c>
      <c r="W193">
        <f>HYPERLINK("https://klasma.github.io/Logging_0883/klagomålsmail/A 25447-2021 FSC-klagomål mail.docx", "A 25447-2021")</f>
        <v/>
      </c>
      <c r="X193">
        <f>HYPERLINK("https://klasma.github.io/Logging_0883/tillsyn/A 25447-2021 tillsynsbegäran.docx", "A 25447-2021")</f>
        <v/>
      </c>
      <c r="Y193">
        <f>HYPERLINK("https://klasma.github.io/Logging_0883/tillsynsmail/A 25447-2021 tillsynsbegäran mail.docx", "A 25447-2021")</f>
        <v/>
      </c>
    </row>
    <row r="194" ht="15" customHeight="1">
      <c r="A194" t="inlineStr">
        <is>
          <t>A 19900-2022</t>
        </is>
      </c>
      <c r="B194" s="1" t="n">
        <v>44697</v>
      </c>
      <c r="C194" s="1" t="n">
        <v>45923</v>
      </c>
      <c r="D194" t="inlineStr">
        <is>
          <t>KALMAR LÄN</t>
        </is>
      </c>
      <c r="E194" t="inlineStr">
        <is>
          <t>VÄSTERVIK</t>
        </is>
      </c>
      <c r="G194" t="n">
        <v>2.4</v>
      </c>
      <c r="H194" t="n">
        <v>1</v>
      </c>
      <c r="I194" t="n">
        <v>0</v>
      </c>
      <c r="J194" t="n">
        <v>0</v>
      </c>
      <c r="K194" t="n">
        <v>1</v>
      </c>
      <c r="L194" t="n">
        <v>0</v>
      </c>
      <c r="M194" t="n">
        <v>0</v>
      </c>
      <c r="N194" t="n">
        <v>0</v>
      </c>
      <c r="O194" t="n">
        <v>1</v>
      </c>
      <c r="P194" t="n">
        <v>1</v>
      </c>
      <c r="Q194" t="n">
        <v>1</v>
      </c>
      <c r="R194" s="2" t="inlineStr">
        <is>
          <t>Knärot</t>
        </is>
      </c>
      <c r="S194">
        <f>HYPERLINK("https://klasma.github.io/Logging_0883/artfynd/A 19900-2022 artfynd.xlsx", "A 19900-2022")</f>
        <v/>
      </c>
      <c r="T194">
        <f>HYPERLINK("https://klasma.github.io/Logging_0883/kartor/A 19900-2022 karta.png", "A 19900-2022")</f>
        <v/>
      </c>
      <c r="U194">
        <f>HYPERLINK("https://klasma.github.io/Logging_0883/knärot/A 19900-2022 karta knärot.png", "A 19900-2022")</f>
        <v/>
      </c>
      <c r="V194">
        <f>HYPERLINK("https://klasma.github.io/Logging_0883/klagomål/A 19900-2022 FSC-klagomål.docx", "A 19900-2022")</f>
        <v/>
      </c>
      <c r="W194">
        <f>HYPERLINK("https://klasma.github.io/Logging_0883/klagomålsmail/A 19900-2022 FSC-klagomål mail.docx", "A 19900-2022")</f>
        <v/>
      </c>
      <c r="X194">
        <f>HYPERLINK("https://klasma.github.io/Logging_0883/tillsyn/A 19900-2022 tillsynsbegäran.docx", "A 19900-2022")</f>
        <v/>
      </c>
      <c r="Y194">
        <f>HYPERLINK("https://klasma.github.io/Logging_0883/tillsynsmail/A 19900-2022 tillsynsbegäran mail.docx", "A 19900-2022")</f>
        <v/>
      </c>
    </row>
    <row r="195" ht="15" customHeight="1">
      <c r="A195" t="inlineStr">
        <is>
          <t>A 25594-2021</t>
        </is>
      </c>
      <c r="B195" s="1" t="n">
        <v>44343</v>
      </c>
      <c r="C195" s="1" t="n">
        <v>45923</v>
      </c>
      <c r="D195" t="inlineStr">
        <is>
          <t>KALMAR LÄN</t>
        </is>
      </c>
      <c r="E195" t="inlineStr">
        <is>
          <t>VÄSTERVIK</t>
        </is>
      </c>
      <c r="F195" t="inlineStr">
        <is>
          <t>Holmen skog AB</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HYPERLINK("https://klasma.github.io/Logging_0883/artfynd/A 25594-2021 artfynd.xlsx", "A 25594-2021")</f>
        <v/>
      </c>
      <c r="T195">
        <f>HYPERLINK("https://klasma.github.io/Logging_0883/kartor/A 25594-2021 karta.png", "A 25594-2021")</f>
        <v/>
      </c>
      <c r="U195">
        <f>HYPERLINK("https://klasma.github.io/Logging_0883/knärot/A 25594-2021 karta knärot.png", "A 25594-2021")</f>
        <v/>
      </c>
      <c r="V195">
        <f>HYPERLINK("https://klasma.github.io/Logging_0883/klagomål/A 25594-2021 FSC-klagomål.docx", "A 25594-2021")</f>
        <v/>
      </c>
      <c r="W195">
        <f>HYPERLINK("https://klasma.github.io/Logging_0883/klagomålsmail/A 25594-2021 FSC-klagomål mail.docx", "A 25594-2021")</f>
        <v/>
      </c>
      <c r="X195">
        <f>HYPERLINK("https://klasma.github.io/Logging_0883/tillsyn/A 25594-2021 tillsynsbegäran.docx", "A 25594-2021")</f>
        <v/>
      </c>
      <c r="Y195">
        <f>HYPERLINK("https://klasma.github.io/Logging_0883/tillsynsmail/A 25594-2021 tillsynsbegäran mail.docx", "A 25594-2021")</f>
        <v/>
      </c>
    </row>
    <row r="196" ht="15" customHeight="1">
      <c r="A196" t="inlineStr">
        <is>
          <t>A 10768-2025</t>
        </is>
      </c>
      <c r="B196" s="1" t="n">
        <v>45722.46649305556</v>
      </c>
      <c r="C196" s="1" t="n">
        <v>45923</v>
      </c>
      <c r="D196" t="inlineStr">
        <is>
          <t>KALMAR LÄN</t>
        </is>
      </c>
      <c r="E196" t="inlineStr">
        <is>
          <t>VÄSTERVIK</t>
        </is>
      </c>
      <c r="G196" t="n">
        <v>0.9</v>
      </c>
      <c r="H196" t="n">
        <v>1</v>
      </c>
      <c r="I196" t="n">
        <v>0</v>
      </c>
      <c r="J196" t="n">
        <v>1</v>
      </c>
      <c r="K196" t="n">
        <v>0</v>
      </c>
      <c r="L196" t="n">
        <v>0</v>
      </c>
      <c r="M196" t="n">
        <v>0</v>
      </c>
      <c r="N196" t="n">
        <v>0</v>
      </c>
      <c r="O196" t="n">
        <v>1</v>
      </c>
      <c r="P196" t="n">
        <v>0</v>
      </c>
      <c r="Q196" t="n">
        <v>1</v>
      </c>
      <c r="R196" s="2" t="inlineStr">
        <is>
          <t>Talltita</t>
        </is>
      </c>
      <c r="S196">
        <f>HYPERLINK("https://klasma.github.io/Logging_0883/artfynd/A 10768-2025 artfynd.xlsx", "A 10768-2025")</f>
        <v/>
      </c>
      <c r="T196">
        <f>HYPERLINK("https://klasma.github.io/Logging_0883/kartor/A 10768-2025 karta.png", "A 10768-2025")</f>
        <v/>
      </c>
      <c r="V196">
        <f>HYPERLINK("https://klasma.github.io/Logging_0883/klagomål/A 10768-2025 FSC-klagomål.docx", "A 10768-2025")</f>
        <v/>
      </c>
      <c r="W196">
        <f>HYPERLINK("https://klasma.github.io/Logging_0883/klagomålsmail/A 10768-2025 FSC-klagomål mail.docx", "A 10768-2025")</f>
        <v/>
      </c>
      <c r="X196">
        <f>HYPERLINK("https://klasma.github.io/Logging_0883/tillsyn/A 10768-2025 tillsynsbegäran.docx", "A 10768-2025")</f>
        <v/>
      </c>
      <c r="Y196">
        <f>HYPERLINK("https://klasma.github.io/Logging_0883/tillsynsmail/A 10768-2025 tillsynsbegäran mail.docx", "A 10768-2025")</f>
        <v/>
      </c>
      <c r="Z196">
        <f>HYPERLINK("https://klasma.github.io/Logging_0883/fåglar/A 10768-2025 prioriterade fågelarter.docx", "A 10768-2025")</f>
        <v/>
      </c>
    </row>
    <row r="197" ht="15" customHeight="1">
      <c r="A197" t="inlineStr">
        <is>
          <t>A 24048-2021</t>
        </is>
      </c>
      <c r="B197" s="1" t="n">
        <v>44336</v>
      </c>
      <c r="C197" s="1" t="n">
        <v>45923</v>
      </c>
      <c r="D197" t="inlineStr">
        <is>
          <t>KALMAR LÄN</t>
        </is>
      </c>
      <c r="E197" t="inlineStr">
        <is>
          <t>VÄSTERVIK</t>
        </is>
      </c>
      <c r="G197" t="n">
        <v>3.5</v>
      </c>
      <c r="H197" t="n">
        <v>1</v>
      </c>
      <c r="I197" t="n">
        <v>0</v>
      </c>
      <c r="J197" t="n">
        <v>0</v>
      </c>
      <c r="K197" t="n">
        <v>1</v>
      </c>
      <c r="L197" t="n">
        <v>0</v>
      </c>
      <c r="M197" t="n">
        <v>0</v>
      </c>
      <c r="N197" t="n">
        <v>0</v>
      </c>
      <c r="O197" t="n">
        <v>1</v>
      </c>
      <c r="P197" t="n">
        <v>1</v>
      </c>
      <c r="Q197" t="n">
        <v>1</v>
      </c>
      <c r="R197" s="2" t="inlineStr">
        <is>
          <t>Knärot</t>
        </is>
      </c>
      <c r="S197">
        <f>HYPERLINK("https://klasma.github.io/Logging_0883/artfynd/A 24048-2021 artfynd.xlsx", "A 24048-2021")</f>
        <v/>
      </c>
      <c r="T197">
        <f>HYPERLINK("https://klasma.github.io/Logging_0883/kartor/A 24048-2021 karta.png", "A 24048-2021")</f>
        <v/>
      </c>
      <c r="U197">
        <f>HYPERLINK("https://klasma.github.io/Logging_0883/knärot/A 24048-2021 karta knärot.png", "A 24048-2021")</f>
        <v/>
      </c>
      <c r="V197">
        <f>HYPERLINK("https://klasma.github.io/Logging_0883/klagomål/A 24048-2021 FSC-klagomål.docx", "A 24048-2021")</f>
        <v/>
      </c>
      <c r="W197">
        <f>HYPERLINK("https://klasma.github.io/Logging_0883/klagomålsmail/A 24048-2021 FSC-klagomål mail.docx", "A 24048-2021")</f>
        <v/>
      </c>
      <c r="X197">
        <f>HYPERLINK("https://klasma.github.io/Logging_0883/tillsyn/A 24048-2021 tillsynsbegäran.docx", "A 24048-2021")</f>
        <v/>
      </c>
      <c r="Y197">
        <f>HYPERLINK("https://klasma.github.io/Logging_0883/tillsynsmail/A 24048-2021 tillsynsbegäran mail.docx", "A 24048-2021")</f>
        <v/>
      </c>
    </row>
    <row r="198" ht="15" customHeight="1">
      <c r="A198" t="inlineStr">
        <is>
          <t>A 14089-2025</t>
        </is>
      </c>
      <c r="B198" s="1" t="n">
        <v>45740.44363425926</v>
      </c>
      <c r="C198" s="1" t="n">
        <v>45923</v>
      </c>
      <c r="D198" t="inlineStr">
        <is>
          <t>KALMAR LÄN</t>
        </is>
      </c>
      <c r="E198" t="inlineStr">
        <is>
          <t>VÄSTERVIK</t>
        </is>
      </c>
      <c r="F198" t="inlineStr">
        <is>
          <t>Sveaskog</t>
        </is>
      </c>
      <c r="G198" t="n">
        <v>1.3</v>
      </c>
      <c r="H198" t="n">
        <v>1</v>
      </c>
      <c r="I198" t="n">
        <v>0</v>
      </c>
      <c r="J198" t="n">
        <v>1</v>
      </c>
      <c r="K198" t="n">
        <v>0</v>
      </c>
      <c r="L198" t="n">
        <v>0</v>
      </c>
      <c r="M198" t="n">
        <v>0</v>
      </c>
      <c r="N198" t="n">
        <v>0</v>
      </c>
      <c r="O198" t="n">
        <v>1</v>
      </c>
      <c r="P198" t="n">
        <v>0</v>
      </c>
      <c r="Q198" t="n">
        <v>1</v>
      </c>
      <c r="R198" s="2" t="inlineStr">
        <is>
          <t>Spillkråka</t>
        </is>
      </c>
      <c r="S198">
        <f>HYPERLINK("https://klasma.github.io/Logging_0883/artfynd/A 14089-2025 artfynd.xlsx", "A 14089-2025")</f>
        <v/>
      </c>
      <c r="T198">
        <f>HYPERLINK("https://klasma.github.io/Logging_0883/kartor/A 14089-2025 karta.png", "A 14089-2025")</f>
        <v/>
      </c>
      <c r="V198">
        <f>HYPERLINK("https://klasma.github.io/Logging_0883/klagomål/A 14089-2025 FSC-klagomål.docx", "A 14089-2025")</f>
        <v/>
      </c>
      <c r="W198">
        <f>HYPERLINK("https://klasma.github.io/Logging_0883/klagomålsmail/A 14089-2025 FSC-klagomål mail.docx", "A 14089-2025")</f>
        <v/>
      </c>
      <c r="X198">
        <f>HYPERLINK("https://klasma.github.io/Logging_0883/tillsyn/A 14089-2025 tillsynsbegäran.docx", "A 14089-2025")</f>
        <v/>
      </c>
      <c r="Y198">
        <f>HYPERLINK("https://klasma.github.io/Logging_0883/tillsynsmail/A 14089-2025 tillsynsbegäran mail.docx", "A 14089-2025")</f>
        <v/>
      </c>
      <c r="Z198">
        <f>HYPERLINK("https://klasma.github.io/Logging_0883/fåglar/A 14089-2025 prioriterade fågelarter.docx", "A 14089-2025")</f>
        <v/>
      </c>
    </row>
    <row r="199" ht="15" customHeight="1">
      <c r="A199" t="inlineStr">
        <is>
          <t>A 44618-2025</t>
        </is>
      </c>
      <c r="B199" s="1" t="n">
        <v>45917.46385416666</v>
      </c>
      <c r="C199" s="1" t="n">
        <v>45923</v>
      </c>
      <c r="D199" t="inlineStr">
        <is>
          <t>KALMAR LÄN</t>
        </is>
      </c>
      <c r="E199" t="inlineStr">
        <is>
          <t>VÄSTERVIK</t>
        </is>
      </c>
      <c r="F199" t="inlineStr">
        <is>
          <t>Övriga Aktiebolag</t>
        </is>
      </c>
      <c r="G199" t="n">
        <v>6.9</v>
      </c>
      <c r="H199" t="n">
        <v>1</v>
      </c>
      <c r="I199" t="n">
        <v>0</v>
      </c>
      <c r="J199" t="n">
        <v>1</v>
      </c>
      <c r="K199" t="n">
        <v>0</v>
      </c>
      <c r="L199" t="n">
        <v>0</v>
      </c>
      <c r="M199" t="n">
        <v>0</v>
      </c>
      <c r="N199" t="n">
        <v>0</v>
      </c>
      <c r="O199" t="n">
        <v>1</v>
      </c>
      <c r="P199" t="n">
        <v>0</v>
      </c>
      <c r="Q199" t="n">
        <v>1</v>
      </c>
      <c r="R199" s="2" t="inlineStr">
        <is>
          <t>Havsörn</t>
        </is>
      </c>
      <c r="S199">
        <f>HYPERLINK("https://klasma.github.io/Logging_0883/artfynd/A 44618-2025 artfynd.xlsx", "A 44618-2025")</f>
        <v/>
      </c>
      <c r="T199">
        <f>HYPERLINK("https://klasma.github.io/Logging_0883/kartor/A 44618-2025 karta.png", "A 44618-2025")</f>
        <v/>
      </c>
      <c r="V199">
        <f>HYPERLINK("https://klasma.github.io/Logging_0883/klagomål/A 44618-2025 FSC-klagomål.docx", "A 44618-2025")</f>
        <v/>
      </c>
      <c r="W199">
        <f>HYPERLINK("https://klasma.github.io/Logging_0883/klagomålsmail/A 44618-2025 FSC-klagomål mail.docx", "A 44618-2025")</f>
        <v/>
      </c>
      <c r="X199">
        <f>HYPERLINK("https://klasma.github.io/Logging_0883/tillsyn/A 44618-2025 tillsynsbegäran.docx", "A 44618-2025")</f>
        <v/>
      </c>
      <c r="Y199">
        <f>HYPERLINK("https://klasma.github.io/Logging_0883/tillsynsmail/A 44618-2025 tillsynsbegäran mail.docx", "A 44618-2025")</f>
        <v/>
      </c>
      <c r="Z199">
        <f>HYPERLINK("https://klasma.github.io/Logging_0883/fåglar/A 44618-2025 prioriterade fågelarter.docx", "A 44618-2025")</f>
        <v/>
      </c>
    </row>
    <row r="200" ht="15" customHeight="1">
      <c r="A200" t="inlineStr">
        <is>
          <t>A 1024-2023</t>
        </is>
      </c>
      <c r="B200" s="1" t="n">
        <v>44935</v>
      </c>
      <c r="C200" s="1" t="n">
        <v>45923</v>
      </c>
      <c r="D200" t="inlineStr">
        <is>
          <t>KALMAR LÄN</t>
        </is>
      </c>
      <c r="E200" t="inlineStr">
        <is>
          <t>VÄSTERVIK</t>
        </is>
      </c>
      <c r="F200" t="inlineStr">
        <is>
          <t>Holmen skog AB</t>
        </is>
      </c>
      <c r="G200" t="n">
        <v>1.9</v>
      </c>
      <c r="H200" t="n">
        <v>0</v>
      </c>
      <c r="I200" t="n">
        <v>0</v>
      </c>
      <c r="J200" t="n">
        <v>1</v>
      </c>
      <c r="K200" t="n">
        <v>0</v>
      </c>
      <c r="L200" t="n">
        <v>0</v>
      </c>
      <c r="M200" t="n">
        <v>0</v>
      </c>
      <c r="N200" t="n">
        <v>0</v>
      </c>
      <c r="O200" t="n">
        <v>1</v>
      </c>
      <c r="P200" t="n">
        <v>0</v>
      </c>
      <c r="Q200" t="n">
        <v>1</v>
      </c>
      <c r="R200" s="2" t="inlineStr">
        <is>
          <t>Ekticka</t>
        </is>
      </c>
      <c r="S200">
        <f>HYPERLINK("https://klasma.github.io/Logging_0883/artfynd/A 1024-2023 artfynd.xlsx", "A 1024-2023")</f>
        <v/>
      </c>
      <c r="T200">
        <f>HYPERLINK("https://klasma.github.io/Logging_0883/kartor/A 1024-2023 karta.png", "A 1024-2023")</f>
        <v/>
      </c>
      <c r="V200">
        <f>HYPERLINK("https://klasma.github.io/Logging_0883/klagomål/A 1024-2023 FSC-klagomål.docx", "A 1024-2023")</f>
        <v/>
      </c>
      <c r="W200">
        <f>HYPERLINK("https://klasma.github.io/Logging_0883/klagomålsmail/A 1024-2023 FSC-klagomål mail.docx", "A 1024-2023")</f>
        <v/>
      </c>
      <c r="X200">
        <f>HYPERLINK("https://klasma.github.io/Logging_0883/tillsyn/A 1024-2023 tillsynsbegäran.docx", "A 1024-2023")</f>
        <v/>
      </c>
      <c r="Y200">
        <f>HYPERLINK("https://klasma.github.io/Logging_0883/tillsynsmail/A 1024-2023 tillsynsbegäran mail.docx", "A 1024-2023")</f>
        <v/>
      </c>
    </row>
    <row r="201" ht="15" customHeight="1">
      <c r="A201" t="inlineStr">
        <is>
          <t>A 44865-2025</t>
        </is>
      </c>
      <c r="B201" s="1" t="n">
        <v>45918.46114583333</v>
      </c>
      <c r="C201" s="1" t="n">
        <v>45923</v>
      </c>
      <c r="D201" t="inlineStr">
        <is>
          <t>KALMAR LÄN</t>
        </is>
      </c>
      <c r="E201" t="inlineStr">
        <is>
          <t>VÄSTERVIK</t>
        </is>
      </c>
      <c r="G201" t="n">
        <v>1.1</v>
      </c>
      <c r="H201" t="n">
        <v>1</v>
      </c>
      <c r="I201" t="n">
        <v>0</v>
      </c>
      <c r="J201" t="n">
        <v>0</v>
      </c>
      <c r="K201" t="n">
        <v>1</v>
      </c>
      <c r="L201" t="n">
        <v>0</v>
      </c>
      <c r="M201" t="n">
        <v>0</v>
      </c>
      <c r="N201" t="n">
        <v>0</v>
      </c>
      <c r="O201" t="n">
        <v>1</v>
      </c>
      <c r="P201" t="n">
        <v>1</v>
      </c>
      <c r="Q201" t="n">
        <v>1</v>
      </c>
      <c r="R201" s="2" t="inlineStr">
        <is>
          <t>Knärot</t>
        </is>
      </c>
      <c r="S201">
        <f>HYPERLINK("https://klasma.github.io/Logging_0883/artfynd/A 44865-2025 artfynd.xlsx", "A 44865-2025")</f>
        <v/>
      </c>
      <c r="T201">
        <f>HYPERLINK("https://klasma.github.io/Logging_0883/kartor/A 44865-2025 karta.png", "A 44865-2025")</f>
        <v/>
      </c>
      <c r="U201">
        <f>HYPERLINK("https://klasma.github.io/Logging_0883/knärot/A 44865-2025 karta knärot.png", "A 44865-2025")</f>
        <v/>
      </c>
      <c r="V201">
        <f>HYPERLINK("https://klasma.github.io/Logging_0883/klagomål/A 44865-2025 FSC-klagomål.docx", "A 44865-2025")</f>
        <v/>
      </c>
      <c r="W201">
        <f>HYPERLINK("https://klasma.github.io/Logging_0883/klagomålsmail/A 44865-2025 FSC-klagomål mail.docx", "A 44865-2025")</f>
        <v/>
      </c>
      <c r="X201">
        <f>HYPERLINK("https://klasma.github.io/Logging_0883/tillsyn/A 44865-2025 tillsynsbegäran.docx", "A 44865-2025")</f>
        <v/>
      </c>
      <c r="Y201">
        <f>HYPERLINK("https://klasma.github.io/Logging_0883/tillsynsmail/A 44865-2025 tillsynsbegäran mail.docx", "A 44865-2025")</f>
        <v/>
      </c>
    </row>
    <row r="202" ht="15" customHeight="1">
      <c r="A202" t="inlineStr">
        <is>
          <t>A 41271-2025</t>
        </is>
      </c>
      <c r="B202" s="1" t="n">
        <v>45898.62226851852</v>
      </c>
      <c r="C202" s="1" t="n">
        <v>45923</v>
      </c>
      <c r="D202" t="inlineStr">
        <is>
          <t>KALMAR LÄN</t>
        </is>
      </c>
      <c r="E202" t="inlineStr">
        <is>
          <t>VÄSTERVIK</t>
        </is>
      </c>
      <c r="G202" t="n">
        <v>1.1</v>
      </c>
      <c r="H202" t="n">
        <v>1</v>
      </c>
      <c r="I202" t="n">
        <v>0</v>
      </c>
      <c r="J202" t="n">
        <v>0</v>
      </c>
      <c r="K202" t="n">
        <v>1</v>
      </c>
      <c r="L202" t="n">
        <v>0</v>
      </c>
      <c r="M202" t="n">
        <v>0</v>
      </c>
      <c r="N202" t="n">
        <v>0</v>
      </c>
      <c r="O202" t="n">
        <v>1</v>
      </c>
      <c r="P202" t="n">
        <v>1</v>
      </c>
      <c r="Q202" t="n">
        <v>1</v>
      </c>
      <c r="R202" s="2" t="inlineStr">
        <is>
          <t>Knärot</t>
        </is>
      </c>
      <c r="S202">
        <f>HYPERLINK("https://klasma.github.io/Logging_0883/artfynd/A 41271-2025 artfynd.xlsx", "A 41271-2025")</f>
        <v/>
      </c>
      <c r="T202">
        <f>HYPERLINK("https://klasma.github.io/Logging_0883/kartor/A 41271-2025 karta.png", "A 41271-2025")</f>
        <v/>
      </c>
      <c r="U202">
        <f>HYPERLINK("https://klasma.github.io/Logging_0883/knärot/A 41271-2025 karta knärot.png", "A 41271-2025")</f>
        <v/>
      </c>
      <c r="V202">
        <f>HYPERLINK("https://klasma.github.io/Logging_0883/klagomål/A 41271-2025 FSC-klagomål.docx", "A 41271-2025")</f>
        <v/>
      </c>
      <c r="W202">
        <f>HYPERLINK("https://klasma.github.io/Logging_0883/klagomålsmail/A 41271-2025 FSC-klagomål mail.docx", "A 41271-2025")</f>
        <v/>
      </c>
      <c r="X202">
        <f>HYPERLINK("https://klasma.github.io/Logging_0883/tillsyn/A 41271-2025 tillsynsbegäran.docx", "A 41271-2025")</f>
        <v/>
      </c>
      <c r="Y202">
        <f>HYPERLINK("https://klasma.github.io/Logging_0883/tillsynsmail/A 41271-2025 tillsynsbegäran mail.docx", "A 41271-2025")</f>
        <v/>
      </c>
    </row>
    <row r="203" ht="15" customHeight="1">
      <c r="A203" t="inlineStr">
        <is>
          <t>A 53075-2024</t>
        </is>
      </c>
      <c r="B203" s="1" t="n">
        <v>45611</v>
      </c>
      <c r="C203" s="1" t="n">
        <v>45923</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54272-2023</t>
        </is>
      </c>
      <c r="B204" s="1" t="n">
        <v>45232</v>
      </c>
      <c r="C204" s="1" t="n">
        <v>45923</v>
      </c>
      <c r="D204" t="inlineStr">
        <is>
          <t>KALMAR LÄN</t>
        </is>
      </c>
      <c r="E204" t="inlineStr">
        <is>
          <t>VÄSTERVIK</t>
        </is>
      </c>
      <c r="G204" t="n">
        <v>1</v>
      </c>
      <c r="H204" t="n">
        <v>0</v>
      </c>
      <c r="I204" t="n">
        <v>1</v>
      </c>
      <c r="J204" t="n">
        <v>0</v>
      </c>
      <c r="K204" t="n">
        <v>0</v>
      </c>
      <c r="L204" t="n">
        <v>0</v>
      </c>
      <c r="M204" t="n">
        <v>0</v>
      </c>
      <c r="N204" t="n">
        <v>0</v>
      </c>
      <c r="O204" t="n">
        <v>0</v>
      </c>
      <c r="P204" t="n">
        <v>0</v>
      </c>
      <c r="Q204" t="n">
        <v>1</v>
      </c>
      <c r="R204" s="2" t="inlineStr">
        <is>
          <t>Aprikosfingersvamp</t>
        </is>
      </c>
      <c r="S204">
        <f>HYPERLINK("https://klasma.github.io/Logging_0883/artfynd/A 54272-2023 artfynd.xlsx", "A 54272-2023")</f>
        <v/>
      </c>
      <c r="T204">
        <f>HYPERLINK("https://klasma.github.io/Logging_0883/kartor/A 54272-2023 karta.png", "A 54272-2023")</f>
        <v/>
      </c>
      <c r="V204">
        <f>HYPERLINK("https://klasma.github.io/Logging_0883/klagomål/A 54272-2023 FSC-klagomål.docx", "A 54272-2023")</f>
        <v/>
      </c>
      <c r="W204">
        <f>HYPERLINK("https://klasma.github.io/Logging_0883/klagomålsmail/A 54272-2023 FSC-klagomål mail.docx", "A 54272-2023")</f>
        <v/>
      </c>
      <c r="X204">
        <f>HYPERLINK("https://klasma.github.io/Logging_0883/tillsyn/A 54272-2023 tillsynsbegäran.docx", "A 54272-2023")</f>
        <v/>
      </c>
      <c r="Y204">
        <f>HYPERLINK("https://klasma.github.io/Logging_0883/tillsynsmail/A 54272-2023 tillsynsbegäran mail.docx", "A 54272-2023")</f>
        <v/>
      </c>
    </row>
    <row r="205" ht="15" customHeight="1">
      <c r="A205" t="inlineStr">
        <is>
          <t>A 14131-2025</t>
        </is>
      </c>
      <c r="B205" s="1" t="n">
        <v>45740.47480324074</v>
      </c>
      <c r="C205" s="1" t="n">
        <v>45923</v>
      </c>
      <c r="D205" t="inlineStr">
        <is>
          <t>KALMAR LÄN</t>
        </is>
      </c>
      <c r="E205" t="inlineStr">
        <is>
          <t>VÄSTERVIK</t>
        </is>
      </c>
      <c r="F205" t="inlineStr">
        <is>
          <t>Sveaskog</t>
        </is>
      </c>
      <c r="G205" t="n">
        <v>0.7</v>
      </c>
      <c r="H205" t="n">
        <v>1</v>
      </c>
      <c r="I205" t="n">
        <v>0</v>
      </c>
      <c r="J205" t="n">
        <v>0</v>
      </c>
      <c r="K205" t="n">
        <v>0</v>
      </c>
      <c r="L205" t="n">
        <v>0</v>
      </c>
      <c r="M205" t="n">
        <v>0</v>
      </c>
      <c r="N205" t="n">
        <v>0</v>
      </c>
      <c r="O205" t="n">
        <v>0</v>
      </c>
      <c r="P205" t="n">
        <v>0</v>
      </c>
      <c r="Q205" t="n">
        <v>1</v>
      </c>
      <c r="R205" s="2" t="inlineStr">
        <is>
          <t>Blåsippa</t>
        </is>
      </c>
      <c r="S205">
        <f>HYPERLINK("https://klasma.github.io/Logging_0883/artfynd/A 14131-2025 artfynd.xlsx", "A 14131-2025")</f>
        <v/>
      </c>
      <c r="T205">
        <f>HYPERLINK("https://klasma.github.io/Logging_0883/kartor/A 14131-2025 karta.png", "A 14131-2025")</f>
        <v/>
      </c>
      <c r="V205">
        <f>HYPERLINK("https://klasma.github.io/Logging_0883/klagomål/A 14131-2025 FSC-klagomål.docx", "A 14131-2025")</f>
        <v/>
      </c>
      <c r="W205">
        <f>HYPERLINK("https://klasma.github.io/Logging_0883/klagomålsmail/A 14131-2025 FSC-klagomål mail.docx", "A 14131-2025")</f>
        <v/>
      </c>
      <c r="X205">
        <f>HYPERLINK("https://klasma.github.io/Logging_0883/tillsyn/A 14131-2025 tillsynsbegäran.docx", "A 14131-2025")</f>
        <v/>
      </c>
      <c r="Y205">
        <f>HYPERLINK("https://klasma.github.io/Logging_0883/tillsynsmail/A 14131-2025 tillsynsbegäran mail.docx", "A 14131-2025")</f>
        <v/>
      </c>
    </row>
    <row r="206" ht="15" customHeight="1">
      <c r="A206" t="inlineStr">
        <is>
          <t>A 59178-2022</t>
        </is>
      </c>
      <c r="B206" s="1" t="n">
        <v>44904</v>
      </c>
      <c r="C206" s="1" t="n">
        <v>45923</v>
      </c>
      <c r="D206" t="inlineStr">
        <is>
          <t>KALMAR LÄN</t>
        </is>
      </c>
      <c r="E206" t="inlineStr">
        <is>
          <t>VÄSTERVIK</t>
        </is>
      </c>
      <c r="G206" t="n">
        <v>3.3</v>
      </c>
      <c r="H206" t="n">
        <v>0</v>
      </c>
      <c r="I206" t="n">
        <v>0</v>
      </c>
      <c r="J206" t="n">
        <v>1</v>
      </c>
      <c r="K206" t="n">
        <v>0</v>
      </c>
      <c r="L206" t="n">
        <v>0</v>
      </c>
      <c r="M206" t="n">
        <v>0</v>
      </c>
      <c r="N206" t="n">
        <v>0</v>
      </c>
      <c r="O206" t="n">
        <v>1</v>
      </c>
      <c r="P206" t="n">
        <v>0</v>
      </c>
      <c r="Q206" t="n">
        <v>1</v>
      </c>
      <c r="R206" s="2" t="inlineStr">
        <is>
          <t>Tallticka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row>
    <row r="207" ht="15" customHeight="1">
      <c r="A207" t="inlineStr">
        <is>
          <t>A 12662-2022</t>
        </is>
      </c>
      <c r="B207" s="1" t="n">
        <v>44641</v>
      </c>
      <c r="C207" s="1" t="n">
        <v>45923</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12662-2022 artfynd.xlsx", "A 12662-2022")</f>
        <v/>
      </c>
      <c r="T207">
        <f>HYPERLINK("https://klasma.github.io/Logging_0883/kartor/A 12662-2022 karta.png", "A 12662-2022")</f>
        <v/>
      </c>
      <c r="V207">
        <f>HYPERLINK("https://klasma.github.io/Logging_0883/klagomål/A 12662-2022 FSC-klagomål.docx", "A 12662-2022")</f>
        <v/>
      </c>
      <c r="W207">
        <f>HYPERLINK("https://klasma.github.io/Logging_0883/klagomålsmail/A 12662-2022 FSC-klagomål mail.docx", "A 12662-2022")</f>
        <v/>
      </c>
      <c r="X207">
        <f>HYPERLINK("https://klasma.github.io/Logging_0883/tillsyn/A 12662-2022 tillsynsbegäran.docx", "A 12662-2022")</f>
        <v/>
      </c>
      <c r="Y207">
        <f>HYPERLINK("https://klasma.github.io/Logging_0883/tillsynsmail/A 12662-2022 tillsynsbegäran mail.docx", "A 12662-2022")</f>
        <v/>
      </c>
    </row>
    <row r="208" ht="15" customHeight="1">
      <c r="A208" t="inlineStr">
        <is>
          <t>A 5575-2021</t>
        </is>
      </c>
      <c r="B208" s="1" t="n">
        <v>44230</v>
      </c>
      <c r="C208" s="1" t="n">
        <v>45923</v>
      </c>
      <c r="D208" t="inlineStr">
        <is>
          <t>KALMAR LÄN</t>
        </is>
      </c>
      <c r="E208" t="inlineStr">
        <is>
          <t>VÄSTERVIK</t>
        </is>
      </c>
      <c r="G208" t="n">
        <v>2.6</v>
      </c>
      <c r="H208" t="n">
        <v>1</v>
      </c>
      <c r="I208" t="n">
        <v>1</v>
      </c>
      <c r="J208" t="n">
        <v>0</v>
      </c>
      <c r="K208" t="n">
        <v>0</v>
      </c>
      <c r="L208" t="n">
        <v>0</v>
      </c>
      <c r="M208" t="n">
        <v>0</v>
      </c>
      <c r="N208" t="n">
        <v>0</v>
      </c>
      <c r="O208" t="n">
        <v>0</v>
      </c>
      <c r="P208" t="n">
        <v>0</v>
      </c>
      <c r="Q208" t="n">
        <v>1</v>
      </c>
      <c r="R208" s="2" t="inlineStr">
        <is>
          <t>Ekoxe</t>
        </is>
      </c>
      <c r="S208">
        <f>HYPERLINK("https://klasma.github.io/Logging_0883/artfynd/A 5575-2021 artfynd.xlsx", "A 5575-2021")</f>
        <v/>
      </c>
      <c r="T208">
        <f>HYPERLINK("https://klasma.github.io/Logging_0883/kartor/A 5575-2021 karta.png", "A 5575-2021")</f>
        <v/>
      </c>
      <c r="V208">
        <f>HYPERLINK("https://klasma.github.io/Logging_0883/klagomål/A 5575-2021 FSC-klagomål.docx", "A 5575-2021")</f>
        <v/>
      </c>
      <c r="W208">
        <f>HYPERLINK("https://klasma.github.io/Logging_0883/klagomålsmail/A 5575-2021 FSC-klagomål mail.docx", "A 5575-2021")</f>
        <v/>
      </c>
      <c r="X208">
        <f>HYPERLINK("https://klasma.github.io/Logging_0883/tillsyn/A 5575-2021 tillsynsbegäran.docx", "A 5575-2021")</f>
        <v/>
      </c>
      <c r="Y208">
        <f>HYPERLINK("https://klasma.github.io/Logging_0883/tillsynsmail/A 5575-2021 tillsynsbegäran mail.docx", "A 5575-2021")</f>
        <v/>
      </c>
    </row>
    <row r="209" ht="15" customHeight="1">
      <c r="A209" t="inlineStr">
        <is>
          <t>A 16695-2025</t>
        </is>
      </c>
      <c r="B209" s="1" t="n">
        <v>45754.46579861111</v>
      </c>
      <c r="C209" s="1" t="n">
        <v>45923</v>
      </c>
      <c r="D209" t="inlineStr">
        <is>
          <t>KALMAR LÄN</t>
        </is>
      </c>
      <c r="E209" t="inlineStr">
        <is>
          <t>VÄSTERVIK</t>
        </is>
      </c>
      <c r="F209" t="inlineStr">
        <is>
          <t>Sveaskog</t>
        </is>
      </c>
      <c r="G209" t="n">
        <v>1.8</v>
      </c>
      <c r="H209" t="n">
        <v>1</v>
      </c>
      <c r="I209" t="n">
        <v>0</v>
      </c>
      <c r="J209" t="n">
        <v>0</v>
      </c>
      <c r="K209" t="n">
        <v>0</v>
      </c>
      <c r="L209" t="n">
        <v>0</v>
      </c>
      <c r="M209" t="n">
        <v>0</v>
      </c>
      <c r="N209" t="n">
        <v>0</v>
      </c>
      <c r="O209" t="n">
        <v>0</v>
      </c>
      <c r="P209" t="n">
        <v>0</v>
      </c>
      <c r="Q209" t="n">
        <v>1</v>
      </c>
      <c r="R209" s="2" t="inlineStr">
        <is>
          <t>Kungsfågel</t>
        </is>
      </c>
      <c r="S209">
        <f>HYPERLINK("https://klasma.github.io/Logging_0883/artfynd/A 16695-2025 artfynd.xlsx", "A 16695-2025")</f>
        <v/>
      </c>
      <c r="T209">
        <f>HYPERLINK("https://klasma.github.io/Logging_0883/kartor/A 16695-2025 karta.png", "A 16695-2025")</f>
        <v/>
      </c>
      <c r="V209">
        <f>HYPERLINK("https://klasma.github.io/Logging_0883/klagomål/A 16695-2025 FSC-klagomål.docx", "A 16695-2025")</f>
        <v/>
      </c>
      <c r="W209">
        <f>HYPERLINK("https://klasma.github.io/Logging_0883/klagomålsmail/A 16695-2025 FSC-klagomål mail.docx", "A 16695-2025")</f>
        <v/>
      </c>
      <c r="X209">
        <f>HYPERLINK("https://klasma.github.io/Logging_0883/tillsyn/A 16695-2025 tillsynsbegäran.docx", "A 16695-2025")</f>
        <v/>
      </c>
      <c r="Y209">
        <f>HYPERLINK("https://klasma.github.io/Logging_0883/tillsynsmail/A 16695-2025 tillsynsbegäran mail.docx", "A 16695-2025")</f>
        <v/>
      </c>
      <c r="Z209">
        <f>HYPERLINK("https://klasma.github.io/Logging_0883/fåglar/A 16695-2025 prioriterade fågelarter.docx", "A 16695-2025")</f>
        <v/>
      </c>
    </row>
    <row r="210" ht="15" customHeight="1">
      <c r="A210" t="inlineStr">
        <is>
          <t>A 16697-2025</t>
        </is>
      </c>
      <c r="B210" s="1" t="n">
        <v>45754.46709490741</v>
      </c>
      <c r="C210" s="1" t="n">
        <v>45923</v>
      </c>
      <c r="D210" t="inlineStr">
        <is>
          <t>KALMAR LÄN</t>
        </is>
      </c>
      <c r="E210" t="inlineStr">
        <is>
          <t>VÄSTERVIK</t>
        </is>
      </c>
      <c r="F210" t="inlineStr">
        <is>
          <t>Sveaskog</t>
        </is>
      </c>
      <c r="G210" t="n">
        <v>1.3</v>
      </c>
      <c r="H210" t="n">
        <v>1</v>
      </c>
      <c r="I210" t="n">
        <v>0</v>
      </c>
      <c r="J210" t="n">
        <v>1</v>
      </c>
      <c r="K210" t="n">
        <v>0</v>
      </c>
      <c r="L210" t="n">
        <v>0</v>
      </c>
      <c r="M210" t="n">
        <v>0</v>
      </c>
      <c r="N210" t="n">
        <v>0</v>
      </c>
      <c r="O210" t="n">
        <v>1</v>
      </c>
      <c r="P210" t="n">
        <v>0</v>
      </c>
      <c r="Q210" t="n">
        <v>1</v>
      </c>
      <c r="R210" s="2" t="inlineStr">
        <is>
          <t>Spillkråka</t>
        </is>
      </c>
      <c r="S210">
        <f>HYPERLINK("https://klasma.github.io/Logging_0883/artfynd/A 16697-2025 artfynd.xlsx", "A 16697-2025")</f>
        <v/>
      </c>
      <c r="T210">
        <f>HYPERLINK("https://klasma.github.io/Logging_0883/kartor/A 16697-2025 karta.png", "A 16697-2025")</f>
        <v/>
      </c>
      <c r="V210">
        <f>HYPERLINK("https://klasma.github.io/Logging_0883/klagomål/A 16697-2025 FSC-klagomål.docx", "A 16697-2025")</f>
        <v/>
      </c>
      <c r="W210">
        <f>HYPERLINK("https://klasma.github.io/Logging_0883/klagomålsmail/A 16697-2025 FSC-klagomål mail.docx", "A 16697-2025")</f>
        <v/>
      </c>
      <c r="X210">
        <f>HYPERLINK("https://klasma.github.io/Logging_0883/tillsyn/A 16697-2025 tillsynsbegäran.docx", "A 16697-2025")</f>
        <v/>
      </c>
      <c r="Y210">
        <f>HYPERLINK("https://klasma.github.io/Logging_0883/tillsynsmail/A 16697-2025 tillsynsbegäran mail.docx", "A 16697-2025")</f>
        <v/>
      </c>
      <c r="Z210">
        <f>HYPERLINK("https://klasma.github.io/Logging_0883/fåglar/A 16697-2025 prioriterade fågelarter.docx", "A 16697-2025")</f>
        <v/>
      </c>
    </row>
    <row r="211" ht="15" customHeight="1">
      <c r="A211" t="inlineStr">
        <is>
          <t>A 17952-2025</t>
        </is>
      </c>
      <c r="B211" s="1" t="n">
        <v>45760.85842592592</v>
      </c>
      <c r="C211" s="1" t="n">
        <v>45923</v>
      </c>
      <c r="D211" t="inlineStr">
        <is>
          <t>KALMAR LÄN</t>
        </is>
      </c>
      <c r="E211" t="inlineStr">
        <is>
          <t>VÄSTERVIK</t>
        </is>
      </c>
      <c r="G211" t="n">
        <v>3.3</v>
      </c>
      <c r="H211" t="n">
        <v>1</v>
      </c>
      <c r="I211" t="n">
        <v>0</v>
      </c>
      <c r="J211" t="n">
        <v>0</v>
      </c>
      <c r="K211" t="n">
        <v>0</v>
      </c>
      <c r="L211" t="n">
        <v>0</v>
      </c>
      <c r="M211" t="n">
        <v>0</v>
      </c>
      <c r="N211" t="n">
        <v>0</v>
      </c>
      <c r="O211" t="n">
        <v>0</v>
      </c>
      <c r="P211" t="n">
        <v>0</v>
      </c>
      <c r="Q211" t="n">
        <v>1</v>
      </c>
      <c r="R211" s="2" t="inlineStr">
        <is>
          <t>Revlummer</t>
        </is>
      </c>
      <c r="S211">
        <f>HYPERLINK("https://klasma.github.io/Logging_0883/artfynd/A 17952-2025 artfynd.xlsx", "A 17952-2025")</f>
        <v/>
      </c>
      <c r="T211">
        <f>HYPERLINK("https://klasma.github.io/Logging_0883/kartor/A 17952-2025 karta.png", "A 17952-2025")</f>
        <v/>
      </c>
      <c r="V211">
        <f>HYPERLINK("https://klasma.github.io/Logging_0883/klagomål/A 17952-2025 FSC-klagomål.docx", "A 17952-2025")</f>
        <v/>
      </c>
      <c r="W211">
        <f>HYPERLINK("https://klasma.github.io/Logging_0883/klagomålsmail/A 17952-2025 FSC-klagomål mail.docx", "A 17952-2025")</f>
        <v/>
      </c>
      <c r="X211">
        <f>HYPERLINK("https://klasma.github.io/Logging_0883/tillsyn/A 17952-2025 tillsynsbegäran.docx", "A 17952-2025")</f>
        <v/>
      </c>
      <c r="Y211">
        <f>HYPERLINK("https://klasma.github.io/Logging_0883/tillsynsmail/A 17952-2025 tillsynsbegäran mail.docx", "A 17952-2025")</f>
        <v/>
      </c>
    </row>
    <row r="212" ht="15" customHeight="1">
      <c r="A212" t="inlineStr">
        <is>
          <t>A 51514-2024</t>
        </is>
      </c>
      <c r="B212" s="1" t="n">
        <v>45604.5640625</v>
      </c>
      <c r="C212" s="1" t="n">
        <v>45923</v>
      </c>
      <c r="D212" t="inlineStr">
        <is>
          <t>KALMAR LÄN</t>
        </is>
      </c>
      <c r="E212" t="inlineStr">
        <is>
          <t>VÄSTERVIK</t>
        </is>
      </c>
      <c r="F212" t="inlineStr">
        <is>
          <t>Övriga Aktiebolag</t>
        </is>
      </c>
      <c r="G212" t="n">
        <v>2.4</v>
      </c>
      <c r="H212" t="n">
        <v>1</v>
      </c>
      <c r="I212" t="n">
        <v>0</v>
      </c>
      <c r="J212" t="n">
        <v>1</v>
      </c>
      <c r="K212" t="n">
        <v>0</v>
      </c>
      <c r="L212" t="n">
        <v>0</v>
      </c>
      <c r="M212" t="n">
        <v>0</v>
      </c>
      <c r="N212" t="n">
        <v>0</v>
      </c>
      <c r="O212" t="n">
        <v>1</v>
      </c>
      <c r="P212" t="n">
        <v>0</v>
      </c>
      <c r="Q212" t="n">
        <v>1</v>
      </c>
      <c r="R212" s="2" t="inlineStr">
        <is>
          <t>Havsörn</t>
        </is>
      </c>
      <c r="S212">
        <f>HYPERLINK("https://klasma.github.io/Logging_0883/artfynd/A 51514-2024 artfynd.xlsx", "A 51514-2024")</f>
        <v/>
      </c>
      <c r="T212">
        <f>HYPERLINK("https://klasma.github.io/Logging_0883/kartor/A 51514-2024 karta.png", "A 51514-2024")</f>
        <v/>
      </c>
      <c r="V212">
        <f>HYPERLINK("https://klasma.github.io/Logging_0883/klagomål/A 51514-2024 FSC-klagomål.docx", "A 51514-2024")</f>
        <v/>
      </c>
      <c r="W212">
        <f>HYPERLINK("https://klasma.github.io/Logging_0883/klagomålsmail/A 51514-2024 FSC-klagomål mail.docx", "A 51514-2024")</f>
        <v/>
      </c>
      <c r="X212">
        <f>HYPERLINK("https://klasma.github.io/Logging_0883/tillsyn/A 51514-2024 tillsynsbegäran.docx", "A 51514-2024")</f>
        <v/>
      </c>
      <c r="Y212">
        <f>HYPERLINK("https://klasma.github.io/Logging_0883/tillsynsmail/A 51514-2024 tillsynsbegäran mail.docx", "A 51514-2024")</f>
        <v/>
      </c>
      <c r="Z212">
        <f>HYPERLINK("https://klasma.github.io/Logging_0883/fåglar/A 51514-2024 prioriterade fågelarter.docx", "A 51514-2024")</f>
        <v/>
      </c>
    </row>
    <row r="213" ht="15" customHeight="1">
      <c r="A213" t="inlineStr">
        <is>
          <t>A 975-2023</t>
        </is>
      </c>
      <c r="B213" s="1" t="n">
        <v>44935</v>
      </c>
      <c r="C213" s="1" t="n">
        <v>45923</v>
      </c>
      <c r="D213" t="inlineStr">
        <is>
          <t>KALMAR LÄN</t>
        </is>
      </c>
      <c r="E213" t="inlineStr">
        <is>
          <t>VÄSTERVIK</t>
        </is>
      </c>
      <c r="G213" t="n">
        <v>1.7</v>
      </c>
      <c r="H213" t="n">
        <v>1</v>
      </c>
      <c r="I213" t="n">
        <v>0</v>
      </c>
      <c r="J213" t="n">
        <v>0</v>
      </c>
      <c r="K213" t="n">
        <v>1</v>
      </c>
      <c r="L213" t="n">
        <v>0</v>
      </c>
      <c r="M213" t="n">
        <v>0</v>
      </c>
      <c r="N213" t="n">
        <v>0</v>
      </c>
      <c r="O213" t="n">
        <v>1</v>
      </c>
      <c r="P213" t="n">
        <v>1</v>
      </c>
      <c r="Q213" t="n">
        <v>1</v>
      </c>
      <c r="R213" s="2" t="inlineStr">
        <is>
          <t>Läderbagge</t>
        </is>
      </c>
      <c r="S213">
        <f>HYPERLINK("https://klasma.github.io/Logging_0883/artfynd/A 975-2023 artfynd.xlsx", "A 975-2023")</f>
        <v/>
      </c>
      <c r="T213">
        <f>HYPERLINK("https://klasma.github.io/Logging_0883/kartor/A 975-2023 karta.png", "A 975-2023")</f>
        <v/>
      </c>
      <c r="V213">
        <f>HYPERLINK("https://klasma.github.io/Logging_0883/klagomål/A 975-2023 FSC-klagomål.docx", "A 975-2023")</f>
        <v/>
      </c>
      <c r="W213">
        <f>HYPERLINK("https://klasma.github.io/Logging_0883/klagomålsmail/A 975-2023 FSC-klagomål mail.docx", "A 975-2023")</f>
        <v/>
      </c>
      <c r="X213">
        <f>HYPERLINK("https://klasma.github.io/Logging_0883/tillsyn/A 975-2023 tillsynsbegäran.docx", "A 975-2023")</f>
        <v/>
      </c>
      <c r="Y213">
        <f>HYPERLINK("https://klasma.github.io/Logging_0883/tillsynsmail/A 975-2023 tillsynsbegäran mail.docx", "A 975-2023")</f>
        <v/>
      </c>
    </row>
    <row r="214" ht="15" customHeight="1">
      <c r="A214" t="inlineStr">
        <is>
          <t>A 44635-2021</t>
        </is>
      </c>
      <c r="B214" s="1" t="n">
        <v>44437</v>
      </c>
      <c r="C214" s="1" t="n">
        <v>45923</v>
      </c>
      <c r="D214" t="inlineStr">
        <is>
          <t>KALMAR LÄN</t>
        </is>
      </c>
      <c r="E214" t="inlineStr">
        <is>
          <t>VÄSTERVIK</t>
        </is>
      </c>
      <c r="G214" t="n">
        <v>0.9</v>
      </c>
      <c r="H214" t="n">
        <v>0</v>
      </c>
      <c r="I214" t="n">
        <v>1</v>
      </c>
      <c r="J214" t="n">
        <v>0</v>
      </c>
      <c r="K214" t="n">
        <v>0</v>
      </c>
      <c r="L214" t="n">
        <v>0</v>
      </c>
      <c r="M214" t="n">
        <v>0</v>
      </c>
      <c r="N214" t="n">
        <v>0</v>
      </c>
      <c r="O214" t="n">
        <v>0</v>
      </c>
      <c r="P214" t="n">
        <v>0</v>
      </c>
      <c r="Q214" t="n">
        <v>1</v>
      </c>
      <c r="R214" s="2" t="inlineStr">
        <is>
          <t>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row>
    <row r="215" ht="15" customHeight="1">
      <c r="A215" t="inlineStr">
        <is>
          <t>A 6025-2024</t>
        </is>
      </c>
      <c r="B215" s="1" t="n">
        <v>45336</v>
      </c>
      <c r="C215" s="1" t="n">
        <v>45923</v>
      </c>
      <c r="D215" t="inlineStr">
        <is>
          <t>KALMAR LÄN</t>
        </is>
      </c>
      <c r="E215" t="inlineStr">
        <is>
          <t>VÄSTERVIK</t>
        </is>
      </c>
      <c r="G215" t="n">
        <v>2.8</v>
      </c>
      <c r="H215" t="n">
        <v>0</v>
      </c>
      <c r="I215" t="n">
        <v>0</v>
      </c>
      <c r="J215" t="n">
        <v>1</v>
      </c>
      <c r="K215" t="n">
        <v>0</v>
      </c>
      <c r="L215" t="n">
        <v>0</v>
      </c>
      <c r="M215" t="n">
        <v>0</v>
      </c>
      <c r="N215" t="n">
        <v>0</v>
      </c>
      <c r="O215" t="n">
        <v>1</v>
      </c>
      <c r="P215" t="n">
        <v>0</v>
      </c>
      <c r="Q215" t="n">
        <v>1</v>
      </c>
      <c r="R215" s="2" t="inlineStr">
        <is>
          <t>Tallticka</t>
        </is>
      </c>
      <c r="S215">
        <f>HYPERLINK("https://klasma.github.io/Logging_0883/artfynd/A 6025-2024 artfynd.xlsx", "A 6025-2024")</f>
        <v/>
      </c>
      <c r="T215">
        <f>HYPERLINK("https://klasma.github.io/Logging_0883/kartor/A 6025-2024 karta.png", "A 6025-2024")</f>
        <v/>
      </c>
      <c r="V215">
        <f>HYPERLINK("https://klasma.github.io/Logging_0883/klagomål/A 6025-2024 FSC-klagomål.docx", "A 6025-2024")</f>
        <v/>
      </c>
      <c r="W215">
        <f>HYPERLINK("https://klasma.github.io/Logging_0883/klagomålsmail/A 6025-2024 FSC-klagomål mail.docx", "A 6025-2024")</f>
        <v/>
      </c>
      <c r="X215">
        <f>HYPERLINK("https://klasma.github.io/Logging_0883/tillsyn/A 6025-2024 tillsynsbegäran.docx", "A 6025-2024")</f>
        <v/>
      </c>
      <c r="Y215">
        <f>HYPERLINK("https://klasma.github.io/Logging_0883/tillsynsmail/A 6025-2024 tillsynsbegäran mail.docx", "A 6025-2024")</f>
        <v/>
      </c>
    </row>
    <row r="216" ht="15" customHeight="1">
      <c r="A216" t="inlineStr">
        <is>
          <t>A 61319-2021</t>
        </is>
      </c>
      <c r="B216" s="1" t="n">
        <v>44498</v>
      </c>
      <c r="C216" s="1" t="n">
        <v>45923</v>
      </c>
      <c r="D216" t="inlineStr">
        <is>
          <t>KALMAR LÄN</t>
        </is>
      </c>
      <c r="E216" t="inlineStr">
        <is>
          <t>VÄSTERVIK</t>
        </is>
      </c>
      <c r="G216" t="n">
        <v>2.2</v>
      </c>
      <c r="H216" t="n">
        <v>1</v>
      </c>
      <c r="I216" t="n">
        <v>1</v>
      </c>
      <c r="J216" t="n">
        <v>0</v>
      </c>
      <c r="K216" t="n">
        <v>0</v>
      </c>
      <c r="L216" t="n">
        <v>0</v>
      </c>
      <c r="M216" t="n">
        <v>0</v>
      </c>
      <c r="N216" t="n">
        <v>0</v>
      </c>
      <c r="O216" t="n">
        <v>0</v>
      </c>
      <c r="P216" t="n">
        <v>0</v>
      </c>
      <c r="Q216" t="n">
        <v>1</v>
      </c>
      <c r="R216" s="2" t="inlineStr">
        <is>
          <t>Ekoxe</t>
        </is>
      </c>
      <c r="S216">
        <f>HYPERLINK("https://klasma.github.io/Logging_0883/artfynd/A 61319-2021 artfynd.xlsx", "A 61319-2021")</f>
        <v/>
      </c>
      <c r="T216">
        <f>HYPERLINK("https://klasma.github.io/Logging_0883/kartor/A 61319-2021 karta.png", "A 61319-2021")</f>
        <v/>
      </c>
      <c r="V216">
        <f>HYPERLINK("https://klasma.github.io/Logging_0883/klagomål/A 61319-2021 FSC-klagomål.docx", "A 61319-2021")</f>
        <v/>
      </c>
      <c r="W216">
        <f>HYPERLINK("https://klasma.github.io/Logging_0883/klagomålsmail/A 61319-2021 FSC-klagomål mail.docx", "A 61319-2021")</f>
        <v/>
      </c>
      <c r="X216">
        <f>HYPERLINK("https://klasma.github.io/Logging_0883/tillsyn/A 61319-2021 tillsynsbegäran.docx", "A 61319-2021")</f>
        <v/>
      </c>
      <c r="Y216">
        <f>HYPERLINK("https://klasma.github.io/Logging_0883/tillsynsmail/A 61319-2021 tillsynsbegäran mail.docx", "A 61319-2021")</f>
        <v/>
      </c>
    </row>
    <row r="217" ht="15" customHeight="1">
      <c r="A217" t="inlineStr">
        <is>
          <t>A 32653-2023</t>
        </is>
      </c>
      <c r="B217" s="1" t="n">
        <v>45121</v>
      </c>
      <c r="C217" s="1" t="n">
        <v>45923</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9265-2025</t>
        </is>
      </c>
      <c r="B218" s="1" t="n">
        <v>45714.61153935185</v>
      </c>
      <c r="C218" s="1" t="n">
        <v>45923</v>
      </c>
      <c r="D218" t="inlineStr">
        <is>
          <t>KALMAR LÄN</t>
        </is>
      </c>
      <c r="E218" t="inlineStr">
        <is>
          <t>VÄSTERVIK</t>
        </is>
      </c>
      <c r="F218" t="inlineStr">
        <is>
          <t>Sveaskog</t>
        </is>
      </c>
      <c r="G218" t="n">
        <v>2.2</v>
      </c>
      <c r="H218" t="n">
        <v>1</v>
      </c>
      <c r="I218" t="n">
        <v>0</v>
      </c>
      <c r="J218" t="n">
        <v>1</v>
      </c>
      <c r="K218" t="n">
        <v>0</v>
      </c>
      <c r="L218" t="n">
        <v>0</v>
      </c>
      <c r="M218" t="n">
        <v>0</v>
      </c>
      <c r="N218" t="n">
        <v>0</v>
      </c>
      <c r="O218" t="n">
        <v>1</v>
      </c>
      <c r="P218" t="n">
        <v>0</v>
      </c>
      <c r="Q218" t="n">
        <v>1</v>
      </c>
      <c r="R218" s="2" t="inlineStr">
        <is>
          <t>Havsörn</t>
        </is>
      </c>
      <c r="S218">
        <f>HYPERLINK("https://klasma.github.io/Logging_0883/artfynd/A 9265-2025 artfynd.xlsx", "A 9265-2025")</f>
        <v/>
      </c>
      <c r="T218">
        <f>HYPERLINK("https://klasma.github.io/Logging_0883/kartor/A 9265-2025 karta.png", "A 9265-2025")</f>
        <v/>
      </c>
      <c r="V218">
        <f>HYPERLINK("https://klasma.github.io/Logging_0883/klagomål/A 9265-2025 FSC-klagomål.docx", "A 9265-2025")</f>
        <v/>
      </c>
      <c r="W218">
        <f>HYPERLINK("https://klasma.github.io/Logging_0883/klagomålsmail/A 9265-2025 FSC-klagomål mail.docx", "A 9265-2025")</f>
        <v/>
      </c>
      <c r="X218">
        <f>HYPERLINK("https://klasma.github.io/Logging_0883/tillsyn/A 9265-2025 tillsynsbegäran.docx", "A 9265-2025")</f>
        <v/>
      </c>
      <c r="Y218">
        <f>HYPERLINK("https://klasma.github.io/Logging_0883/tillsynsmail/A 9265-2025 tillsynsbegäran mail.docx", "A 9265-2025")</f>
        <v/>
      </c>
      <c r="Z218">
        <f>HYPERLINK("https://klasma.github.io/Logging_0883/fåglar/A 9265-2025 prioriterade fågelarter.docx", "A 9265-2025")</f>
        <v/>
      </c>
    </row>
    <row r="219" ht="15" customHeight="1">
      <c r="A219" t="inlineStr">
        <is>
          <t>A 56439-2024</t>
        </is>
      </c>
      <c r="B219" s="1" t="n">
        <v>45625.4175</v>
      </c>
      <c r="C219" s="1" t="n">
        <v>45923</v>
      </c>
      <c r="D219" t="inlineStr">
        <is>
          <t>KALMAR LÄN</t>
        </is>
      </c>
      <c r="E219" t="inlineStr">
        <is>
          <t>VÄSTERVIK</t>
        </is>
      </c>
      <c r="F219" t="inlineStr">
        <is>
          <t>Övriga Aktiebolag</t>
        </is>
      </c>
      <c r="G219" t="n">
        <v>3.3</v>
      </c>
      <c r="H219" t="n">
        <v>0</v>
      </c>
      <c r="I219" t="n">
        <v>1</v>
      </c>
      <c r="J219" t="n">
        <v>0</v>
      </c>
      <c r="K219" t="n">
        <v>0</v>
      </c>
      <c r="L219" t="n">
        <v>0</v>
      </c>
      <c r="M219" t="n">
        <v>0</v>
      </c>
      <c r="N219" t="n">
        <v>0</v>
      </c>
      <c r="O219" t="n">
        <v>0</v>
      </c>
      <c r="P219" t="n">
        <v>0</v>
      </c>
      <c r="Q219" t="n">
        <v>1</v>
      </c>
      <c r="R219" s="2" t="inlineStr">
        <is>
          <t>Hasselticka</t>
        </is>
      </c>
      <c r="S219">
        <f>HYPERLINK("https://klasma.github.io/Logging_0883/artfynd/A 56439-2024 artfynd.xlsx", "A 56439-2024")</f>
        <v/>
      </c>
      <c r="T219">
        <f>HYPERLINK("https://klasma.github.io/Logging_0883/kartor/A 56439-2024 karta.png", "A 56439-2024")</f>
        <v/>
      </c>
      <c r="V219">
        <f>HYPERLINK("https://klasma.github.io/Logging_0883/klagomål/A 56439-2024 FSC-klagomål.docx", "A 56439-2024")</f>
        <v/>
      </c>
      <c r="W219">
        <f>HYPERLINK("https://klasma.github.io/Logging_0883/klagomålsmail/A 56439-2024 FSC-klagomål mail.docx", "A 56439-2024")</f>
        <v/>
      </c>
      <c r="X219">
        <f>HYPERLINK("https://klasma.github.io/Logging_0883/tillsyn/A 56439-2024 tillsynsbegäran.docx", "A 56439-2024")</f>
        <v/>
      </c>
      <c r="Y219">
        <f>HYPERLINK("https://klasma.github.io/Logging_0883/tillsynsmail/A 56439-2024 tillsynsbegäran mail.docx", "A 56439-2024")</f>
        <v/>
      </c>
    </row>
    <row r="220" ht="15" customHeight="1">
      <c r="A220" t="inlineStr">
        <is>
          <t>A 28495-2023</t>
        </is>
      </c>
      <c r="B220" s="1" t="n">
        <v>45103</v>
      </c>
      <c r="C220" s="1" t="n">
        <v>45923</v>
      </c>
      <c r="D220" t="inlineStr">
        <is>
          <t>KALMAR LÄN</t>
        </is>
      </c>
      <c r="E220" t="inlineStr">
        <is>
          <t>VÄSTERVIK</t>
        </is>
      </c>
      <c r="G220" t="n">
        <v>3.1</v>
      </c>
      <c r="H220" t="n">
        <v>1</v>
      </c>
      <c r="I220" t="n">
        <v>0</v>
      </c>
      <c r="J220" t="n">
        <v>0</v>
      </c>
      <c r="K220" t="n">
        <v>1</v>
      </c>
      <c r="L220" t="n">
        <v>0</v>
      </c>
      <c r="M220" t="n">
        <v>0</v>
      </c>
      <c r="N220" t="n">
        <v>0</v>
      </c>
      <c r="O220" t="n">
        <v>1</v>
      </c>
      <c r="P220" t="n">
        <v>1</v>
      </c>
      <c r="Q220" t="n">
        <v>1</v>
      </c>
      <c r="R220" s="2" t="inlineStr">
        <is>
          <t>Knärot</t>
        </is>
      </c>
      <c r="S220">
        <f>HYPERLINK("https://klasma.github.io/Logging_0883/artfynd/A 28495-2023 artfynd.xlsx", "A 28495-2023")</f>
        <v/>
      </c>
      <c r="T220">
        <f>HYPERLINK("https://klasma.github.io/Logging_0883/kartor/A 28495-2023 karta.png", "A 28495-2023")</f>
        <v/>
      </c>
      <c r="U220">
        <f>HYPERLINK("https://klasma.github.io/Logging_0883/knärot/A 28495-2023 karta knärot.png", "A 28495-2023")</f>
        <v/>
      </c>
      <c r="V220">
        <f>HYPERLINK("https://klasma.github.io/Logging_0883/klagomål/A 28495-2023 FSC-klagomål.docx", "A 28495-2023")</f>
        <v/>
      </c>
      <c r="W220">
        <f>HYPERLINK("https://klasma.github.io/Logging_0883/klagomålsmail/A 28495-2023 FSC-klagomål mail.docx", "A 28495-2023")</f>
        <v/>
      </c>
      <c r="X220">
        <f>HYPERLINK("https://klasma.github.io/Logging_0883/tillsyn/A 28495-2023 tillsynsbegäran.docx", "A 28495-2023")</f>
        <v/>
      </c>
      <c r="Y220">
        <f>HYPERLINK("https://klasma.github.io/Logging_0883/tillsynsmail/A 28495-2023 tillsynsbegäran mail.docx", "A 28495-2023")</f>
        <v/>
      </c>
    </row>
    <row r="221" ht="15" customHeight="1">
      <c r="A221" t="inlineStr">
        <is>
          <t>A 14103-2025</t>
        </is>
      </c>
      <c r="B221" s="1" t="n">
        <v>45740.45232638889</v>
      </c>
      <c r="C221" s="1" t="n">
        <v>45923</v>
      </c>
      <c r="D221" t="inlineStr">
        <is>
          <t>KALMAR LÄN</t>
        </is>
      </c>
      <c r="E221" t="inlineStr">
        <is>
          <t>VÄSTERVIK</t>
        </is>
      </c>
      <c r="F221" t="inlineStr">
        <is>
          <t>Sveaskog</t>
        </is>
      </c>
      <c r="G221" t="n">
        <v>0.8</v>
      </c>
      <c r="H221" t="n">
        <v>1</v>
      </c>
      <c r="I221" t="n">
        <v>0</v>
      </c>
      <c r="J221" t="n">
        <v>0</v>
      </c>
      <c r="K221" t="n">
        <v>0</v>
      </c>
      <c r="L221" t="n">
        <v>0</v>
      </c>
      <c r="M221" t="n">
        <v>0</v>
      </c>
      <c r="N221" t="n">
        <v>0</v>
      </c>
      <c r="O221" t="n">
        <v>0</v>
      </c>
      <c r="P221" t="n">
        <v>0</v>
      </c>
      <c r="Q221" t="n">
        <v>1</v>
      </c>
      <c r="R221" s="2" t="inlineStr">
        <is>
          <t>Grönvit nattviol</t>
        </is>
      </c>
      <c r="S221">
        <f>HYPERLINK("https://klasma.github.io/Logging_0883/artfynd/A 14103-2025 artfynd.xlsx", "A 14103-2025")</f>
        <v/>
      </c>
      <c r="T221">
        <f>HYPERLINK("https://klasma.github.io/Logging_0883/kartor/A 14103-2025 karta.png", "A 14103-2025")</f>
        <v/>
      </c>
      <c r="V221">
        <f>HYPERLINK("https://klasma.github.io/Logging_0883/klagomål/A 14103-2025 FSC-klagomål.docx", "A 14103-2025")</f>
        <v/>
      </c>
      <c r="W221">
        <f>HYPERLINK("https://klasma.github.io/Logging_0883/klagomålsmail/A 14103-2025 FSC-klagomål mail.docx", "A 14103-2025")</f>
        <v/>
      </c>
      <c r="X221">
        <f>HYPERLINK("https://klasma.github.io/Logging_0883/tillsyn/A 14103-2025 tillsynsbegäran.docx", "A 14103-2025")</f>
        <v/>
      </c>
      <c r="Y221">
        <f>HYPERLINK("https://klasma.github.io/Logging_0883/tillsynsmail/A 14103-2025 tillsynsbegäran mail.docx", "A 14103-2025")</f>
        <v/>
      </c>
    </row>
    <row r="222" ht="15" customHeight="1">
      <c r="A222" t="inlineStr">
        <is>
          <t>A 59368-2023</t>
        </is>
      </c>
      <c r="B222" s="1" t="n">
        <v>45253</v>
      </c>
      <c r="C222" s="1" t="n">
        <v>45923</v>
      </c>
      <c r="D222" t="inlineStr">
        <is>
          <t>KALMAR LÄN</t>
        </is>
      </c>
      <c r="E222" t="inlineStr">
        <is>
          <t>VÄSTERVIK</t>
        </is>
      </c>
      <c r="G222" t="n">
        <v>2.4</v>
      </c>
      <c r="H222" t="n">
        <v>1</v>
      </c>
      <c r="I222" t="n">
        <v>0</v>
      </c>
      <c r="J222" t="n">
        <v>0</v>
      </c>
      <c r="K222" t="n">
        <v>1</v>
      </c>
      <c r="L222" t="n">
        <v>0</v>
      </c>
      <c r="M222" t="n">
        <v>0</v>
      </c>
      <c r="N222" t="n">
        <v>0</v>
      </c>
      <c r="O222" t="n">
        <v>1</v>
      </c>
      <c r="P222" t="n">
        <v>1</v>
      </c>
      <c r="Q222" t="n">
        <v>1</v>
      </c>
      <c r="R222" s="2" t="inlineStr">
        <is>
          <t>Knärot</t>
        </is>
      </c>
      <c r="S222">
        <f>HYPERLINK("https://klasma.github.io/Logging_0883/artfynd/A 59368-2023 artfynd.xlsx", "A 59368-2023")</f>
        <v/>
      </c>
      <c r="T222">
        <f>HYPERLINK("https://klasma.github.io/Logging_0883/kartor/A 59368-2023 karta.png", "A 59368-2023")</f>
        <v/>
      </c>
      <c r="U222">
        <f>HYPERLINK("https://klasma.github.io/Logging_0883/knärot/A 59368-2023 karta knärot.png", "A 59368-2023")</f>
        <v/>
      </c>
      <c r="V222">
        <f>HYPERLINK("https://klasma.github.io/Logging_0883/klagomål/A 59368-2023 FSC-klagomål.docx", "A 59368-2023")</f>
        <v/>
      </c>
      <c r="W222">
        <f>HYPERLINK("https://klasma.github.io/Logging_0883/klagomålsmail/A 59368-2023 FSC-klagomål mail.docx", "A 59368-2023")</f>
        <v/>
      </c>
      <c r="X222">
        <f>HYPERLINK("https://klasma.github.io/Logging_0883/tillsyn/A 59368-2023 tillsynsbegäran.docx", "A 59368-2023")</f>
        <v/>
      </c>
      <c r="Y222">
        <f>HYPERLINK("https://klasma.github.io/Logging_0883/tillsynsmail/A 59368-2023 tillsynsbegäran mail.docx", "A 59368-2023")</f>
        <v/>
      </c>
    </row>
    <row r="223" ht="15" customHeight="1">
      <c r="A223" t="inlineStr">
        <is>
          <t>A 21409-2025</t>
        </is>
      </c>
      <c r="B223" s="1" t="n">
        <v>45782</v>
      </c>
      <c r="C223" s="1" t="n">
        <v>45923</v>
      </c>
      <c r="D223" t="inlineStr">
        <is>
          <t>KALMAR LÄN</t>
        </is>
      </c>
      <c r="E223" t="inlineStr">
        <is>
          <t>VÄSTERVIK</t>
        </is>
      </c>
      <c r="G223" t="n">
        <v>2.5</v>
      </c>
      <c r="H223" t="n">
        <v>1</v>
      </c>
      <c r="I223" t="n">
        <v>0</v>
      </c>
      <c r="J223" t="n">
        <v>0</v>
      </c>
      <c r="K223" t="n">
        <v>0</v>
      </c>
      <c r="L223" t="n">
        <v>0</v>
      </c>
      <c r="M223" t="n">
        <v>0</v>
      </c>
      <c r="N223" t="n">
        <v>0</v>
      </c>
      <c r="O223" t="n">
        <v>0</v>
      </c>
      <c r="P223" t="n">
        <v>0</v>
      </c>
      <c r="Q223" t="n">
        <v>1</v>
      </c>
      <c r="R223" s="2" t="inlineStr">
        <is>
          <t>Grönvit nattviol</t>
        </is>
      </c>
      <c r="S223">
        <f>HYPERLINK("https://klasma.github.io/Logging_0883/artfynd/A 21409-2025 artfynd.xlsx", "A 21409-2025")</f>
        <v/>
      </c>
      <c r="T223">
        <f>HYPERLINK("https://klasma.github.io/Logging_0883/kartor/A 21409-2025 karta.png", "A 21409-2025")</f>
        <v/>
      </c>
      <c r="V223">
        <f>HYPERLINK("https://klasma.github.io/Logging_0883/klagomål/A 21409-2025 FSC-klagomål.docx", "A 21409-2025")</f>
        <v/>
      </c>
      <c r="W223">
        <f>HYPERLINK("https://klasma.github.io/Logging_0883/klagomålsmail/A 21409-2025 FSC-klagomål mail.docx", "A 21409-2025")</f>
        <v/>
      </c>
      <c r="X223">
        <f>HYPERLINK("https://klasma.github.io/Logging_0883/tillsyn/A 21409-2025 tillsynsbegäran.docx", "A 21409-2025")</f>
        <v/>
      </c>
      <c r="Y223">
        <f>HYPERLINK("https://klasma.github.io/Logging_0883/tillsynsmail/A 21409-2025 tillsynsbegäran mail.docx", "A 21409-2025")</f>
        <v/>
      </c>
    </row>
    <row r="224" ht="15" customHeight="1">
      <c r="A224" t="inlineStr">
        <is>
          <t>A 21653-2025</t>
        </is>
      </c>
      <c r="B224" s="1" t="n">
        <v>45783.45039351852</v>
      </c>
      <c r="C224" s="1" t="n">
        <v>45923</v>
      </c>
      <c r="D224" t="inlineStr">
        <is>
          <t>KALMAR LÄN</t>
        </is>
      </c>
      <c r="E224" t="inlineStr">
        <is>
          <t>VÄSTERVIK</t>
        </is>
      </c>
      <c r="F224" t="inlineStr">
        <is>
          <t>Sveaskog</t>
        </is>
      </c>
      <c r="G224" t="n">
        <v>2.8</v>
      </c>
      <c r="H224" t="n">
        <v>1</v>
      </c>
      <c r="I224" t="n">
        <v>0</v>
      </c>
      <c r="J224" t="n">
        <v>1</v>
      </c>
      <c r="K224" t="n">
        <v>0</v>
      </c>
      <c r="L224" t="n">
        <v>0</v>
      </c>
      <c r="M224" t="n">
        <v>0</v>
      </c>
      <c r="N224" t="n">
        <v>0</v>
      </c>
      <c r="O224" t="n">
        <v>1</v>
      </c>
      <c r="P224" t="n">
        <v>0</v>
      </c>
      <c r="Q224" t="n">
        <v>1</v>
      </c>
      <c r="R224" s="2" t="inlineStr">
        <is>
          <t>Entita</t>
        </is>
      </c>
      <c r="S224">
        <f>HYPERLINK("https://klasma.github.io/Logging_0883/artfynd/A 21653-2025 artfynd.xlsx", "A 21653-2025")</f>
        <v/>
      </c>
      <c r="T224">
        <f>HYPERLINK("https://klasma.github.io/Logging_0883/kartor/A 21653-2025 karta.png", "A 21653-2025")</f>
        <v/>
      </c>
      <c r="V224">
        <f>HYPERLINK("https://klasma.github.io/Logging_0883/klagomål/A 21653-2025 FSC-klagomål.docx", "A 21653-2025")</f>
        <v/>
      </c>
      <c r="W224">
        <f>HYPERLINK("https://klasma.github.io/Logging_0883/klagomålsmail/A 21653-2025 FSC-klagomål mail.docx", "A 21653-2025")</f>
        <v/>
      </c>
      <c r="X224">
        <f>HYPERLINK("https://klasma.github.io/Logging_0883/tillsyn/A 21653-2025 tillsynsbegäran.docx", "A 21653-2025")</f>
        <v/>
      </c>
      <c r="Y224">
        <f>HYPERLINK("https://klasma.github.io/Logging_0883/tillsynsmail/A 21653-2025 tillsynsbegäran mail.docx", "A 21653-2025")</f>
        <v/>
      </c>
      <c r="Z224">
        <f>HYPERLINK("https://klasma.github.io/Logging_0883/fåglar/A 21653-2025 prioriterade fågelarter.docx", "A 21653-2025")</f>
        <v/>
      </c>
    </row>
    <row r="225" ht="15" customHeight="1">
      <c r="A225" t="inlineStr">
        <is>
          <t>A 33815-2023</t>
        </is>
      </c>
      <c r="B225" s="1" t="n">
        <v>45133.59306712963</v>
      </c>
      <c r="C225" s="1" t="n">
        <v>45923</v>
      </c>
      <c r="D225" t="inlineStr">
        <is>
          <t>KALMAR LÄN</t>
        </is>
      </c>
      <c r="E225" t="inlineStr">
        <is>
          <t>VÄSTERVIK</t>
        </is>
      </c>
      <c r="G225" t="n">
        <v>3.4</v>
      </c>
      <c r="H225" t="n">
        <v>0</v>
      </c>
      <c r="I225" t="n">
        <v>1</v>
      </c>
      <c r="J225" t="n">
        <v>0</v>
      </c>
      <c r="K225" t="n">
        <v>0</v>
      </c>
      <c r="L225" t="n">
        <v>0</v>
      </c>
      <c r="M225" t="n">
        <v>0</v>
      </c>
      <c r="N225" t="n">
        <v>0</v>
      </c>
      <c r="O225" t="n">
        <v>0</v>
      </c>
      <c r="P225" t="n">
        <v>0</v>
      </c>
      <c r="Q225" t="n">
        <v>1</v>
      </c>
      <c r="R225" s="2" t="inlineStr">
        <is>
          <t>Grönpyrola</t>
        </is>
      </c>
      <c r="S225">
        <f>HYPERLINK("https://klasma.github.io/Logging_0883/artfynd/A 33815-2023 artfynd.xlsx", "A 33815-2023")</f>
        <v/>
      </c>
      <c r="T225">
        <f>HYPERLINK("https://klasma.github.io/Logging_0883/kartor/A 33815-2023 karta.png", "A 33815-2023")</f>
        <v/>
      </c>
      <c r="V225">
        <f>HYPERLINK("https://klasma.github.io/Logging_0883/klagomål/A 33815-2023 FSC-klagomål.docx", "A 33815-2023")</f>
        <v/>
      </c>
      <c r="W225">
        <f>HYPERLINK("https://klasma.github.io/Logging_0883/klagomålsmail/A 33815-2023 FSC-klagomål mail.docx", "A 33815-2023")</f>
        <v/>
      </c>
      <c r="X225">
        <f>HYPERLINK("https://klasma.github.io/Logging_0883/tillsyn/A 33815-2023 tillsynsbegäran.docx", "A 33815-2023")</f>
        <v/>
      </c>
      <c r="Y225">
        <f>HYPERLINK("https://klasma.github.io/Logging_0883/tillsynsmail/A 33815-2023 tillsynsbegäran mail.docx", "A 33815-2023")</f>
        <v/>
      </c>
    </row>
    <row r="226" ht="15" customHeight="1">
      <c r="A226" t="inlineStr">
        <is>
          <t>A 33816-2023</t>
        </is>
      </c>
      <c r="B226" s="1" t="n">
        <v>45133.59490740741</v>
      </c>
      <c r="C226" s="1" t="n">
        <v>45923</v>
      </c>
      <c r="D226" t="inlineStr">
        <is>
          <t>KALMAR LÄN</t>
        </is>
      </c>
      <c r="E226" t="inlineStr">
        <is>
          <t>VÄSTERVIK</t>
        </is>
      </c>
      <c r="G226" t="n">
        <v>4.9</v>
      </c>
      <c r="H226" t="n">
        <v>0</v>
      </c>
      <c r="I226" t="n">
        <v>0</v>
      </c>
      <c r="J226" t="n">
        <v>1</v>
      </c>
      <c r="K226" t="n">
        <v>0</v>
      </c>
      <c r="L226" t="n">
        <v>0</v>
      </c>
      <c r="M226" t="n">
        <v>0</v>
      </c>
      <c r="N226" t="n">
        <v>0</v>
      </c>
      <c r="O226" t="n">
        <v>1</v>
      </c>
      <c r="P226" t="n">
        <v>0</v>
      </c>
      <c r="Q226" t="n">
        <v>1</v>
      </c>
      <c r="R226" s="2" t="inlineStr">
        <is>
          <t>Tallticka</t>
        </is>
      </c>
      <c r="S226">
        <f>HYPERLINK("https://klasma.github.io/Logging_0883/artfynd/A 33816-2023 artfynd.xlsx", "A 33816-2023")</f>
        <v/>
      </c>
      <c r="T226">
        <f>HYPERLINK("https://klasma.github.io/Logging_0883/kartor/A 33816-2023 karta.png", "A 33816-2023")</f>
        <v/>
      </c>
      <c r="V226">
        <f>HYPERLINK("https://klasma.github.io/Logging_0883/klagomål/A 33816-2023 FSC-klagomål.docx", "A 33816-2023")</f>
        <v/>
      </c>
      <c r="W226">
        <f>HYPERLINK("https://klasma.github.io/Logging_0883/klagomålsmail/A 33816-2023 FSC-klagomål mail.docx", "A 33816-2023")</f>
        <v/>
      </c>
      <c r="X226">
        <f>HYPERLINK("https://klasma.github.io/Logging_0883/tillsyn/A 33816-2023 tillsynsbegäran.docx", "A 33816-2023")</f>
        <v/>
      </c>
      <c r="Y226">
        <f>HYPERLINK("https://klasma.github.io/Logging_0883/tillsynsmail/A 33816-2023 tillsynsbegäran mail.docx", "A 33816-2023")</f>
        <v/>
      </c>
    </row>
    <row r="227" ht="15" customHeight="1">
      <c r="A227" t="inlineStr">
        <is>
          <t>A 3057-2025</t>
        </is>
      </c>
      <c r="B227" s="1" t="n">
        <v>45678</v>
      </c>
      <c r="C227" s="1" t="n">
        <v>45923</v>
      </c>
      <c r="D227" t="inlineStr">
        <is>
          <t>KALMAR LÄN</t>
        </is>
      </c>
      <c r="E227" t="inlineStr">
        <is>
          <t>VÄSTERVIK</t>
        </is>
      </c>
      <c r="G227" t="n">
        <v>1</v>
      </c>
      <c r="H227" t="n">
        <v>1</v>
      </c>
      <c r="I227" t="n">
        <v>0</v>
      </c>
      <c r="J227" t="n">
        <v>0</v>
      </c>
      <c r="K227" t="n">
        <v>1</v>
      </c>
      <c r="L227" t="n">
        <v>0</v>
      </c>
      <c r="M227" t="n">
        <v>0</v>
      </c>
      <c r="N227" t="n">
        <v>0</v>
      </c>
      <c r="O227" t="n">
        <v>1</v>
      </c>
      <c r="P227" t="n">
        <v>1</v>
      </c>
      <c r="Q227" t="n">
        <v>1</v>
      </c>
      <c r="R227" s="2" t="inlineStr">
        <is>
          <t>Knärot</t>
        </is>
      </c>
      <c r="S227">
        <f>HYPERLINK("https://klasma.github.io/Logging_0883/artfynd/A 3057-2025 artfynd.xlsx", "A 3057-2025")</f>
        <v/>
      </c>
      <c r="T227">
        <f>HYPERLINK("https://klasma.github.io/Logging_0883/kartor/A 3057-2025 karta.png", "A 3057-2025")</f>
        <v/>
      </c>
      <c r="U227">
        <f>HYPERLINK("https://klasma.github.io/Logging_0883/knärot/A 3057-2025 karta knärot.png", "A 3057-2025")</f>
        <v/>
      </c>
      <c r="V227">
        <f>HYPERLINK("https://klasma.github.io/Logging_0883/klagomål/A 3057-2025 FSC-klagomål.docx", "A 3057-2025")</f>
        <v/>
      </c>
      <c r="W227">
        <f>HYPERLINK("https://klasma.github.io/Logging_0883/klagomålsmail/A 3057-2025 FSC-klagomål mail.docx", "A 3057-2025")</f>
        <v/>
      </c>
      <c r="X227">
        <f>HYPERLINK("https://klasma.github.io/Logging_0883/tillsyn/A 3057-2025 tillsynsbegäran.docx", "A 3057-2025")</f>
        <v/>
      </c>
      <c r="Y227">
        <f>HYPERLINK("https://klasma.github.io/Logging_0883/tillsynsmail/A 3057-2025 tillsynsbegäran mail.docx", "A 3057-2025")</f>
        <v/>
      </c>
    </row>
    <row r="228" ht="15" customHeight="1">
      <c r="A228" t="inlineStr">
        <is>
          <t>A 1775-2025</t>
        </is>
      </c>
      <c r="B228" s="1" t="n">
        <v>45671.44059027778</v>
      </c>
      <c r="C228" s="1" t="n">
        <v>45923</v>
      </c>
      <c r="D228" t="inlineStr">
        <is>
          <t>KALMAR LÄN</t>
        </is>
      </c>
      <c r="E228" t="inlineStr">
        <is>
          <t>VÄSTERVIK</t>
        </is>
      </c>
      <c r="G228" t="n">
        <v>0.9</v>
      </c>
      <c r="H228" t="n">
        <v>1</v>
      </c>
      <c r="I228" t="n">
        <v>0</v>
      </c>
      <c r="J228" t="n">
        <v>0</v>
      </c>
      <c r="K228" t="n">
        <v>0</v>
      </c>
      <c r="L228" t="n">
        <v>0</v>
      </c>
      <c r="M228" t="n">
        <v>0</v>
      </c>
      <c r="N228" t="n">
        <v>0</v>
      </c>
      <c r="O228" t="n">
        <v>0</v>
      </c>
      <c r="P228" t="n">
        <v>0</v>
      </c>
      <c r="Q228" t="n">
        <v>1</v>
      </c>
      <c r="R228" s="2" t="inlineStr">
        <is>
          <t>Kungsfågel</t>
        </is>
      </c>
      <c r="S228">
        <f>HYPERLINK("https://klasma.github.io/Logging_0883/artfynd/A 1775-2025 artfynd.xlsx", "A 1775-2025")</f>
        <v/>
      </c>
      <c r="T228">
        <f>HYPERLINK("https://klasma.github.io/Logging_0883/kartor/A 1775-2025 karta.png", "A 1775-2025")</f>
        <v/>
      </c>
      <c r="V228">
        <f>HYPERLINK("https://klasma.github.io/Logging_0883/klagomål/A 1775-2025 FSC-klagomål.docx", "A 1775-2025")</f>
        <v/>
      </c>
      <c r="W228">
        <f>HYPERLINK("https://klasma.github.io/Logging_0883/klagomålsmail/A 1775-2025 FSC-klagomål mail.docx", "A 1775-2025")</f>
        <v/>
      </c>
      <c r="X228">
        <f>HYPERLINK("https://klasma.github.io/Logging_0883/tillsyn/A 1775-2025 tillsynsbegäran.docx", "A 1775-2025")</f>
        <v/>
      </c>
      <c r="Y228">
        <f>HYPERLINK("https://klasma.github.io/Logging_0883/tillsynsmail/A 1775-2025 tillsynsbegäran mail.docx", "A 1775-2025")</f>
        <v/>
      </c>
      <c r="Z228">
        <f>HYPERLINK("https://klasma.github.io/Logging_0883/fåglar/A 1775-2025 prioriterade fågelarter.docx", "A 1775-2025")</f>
        <v/>
      </c>
    </row>
    <row r="229" ht="15" customHeight="1">
      <c r="A229" t="inlineStr">
        <is>
          <t>A 43788-2023</t>
        </is>
      </c>
      <c r="B229" s="1" t="n">
        <v>45187.53707175926</v>
      </c>
      <c r="C229" s="1" t="n">
        <v>45923</v>
      </c>
      <c r="D229" t="inlineStr">
        <is>
          <t>KALMAR LÄN</t>
        </is>
      </c>
      <c r="E229" t="inlineStr">
        <is>
          <t>VÄSTERVIK</t>
        </is>
      </c>
      <c r="G229" t="n">
        <v>4.5</v>
      </c>
      <c r="H229" t="n">
        <v>0</v>
      </c>
      <c r="I229" t="n">
        <v>0</v>
      </c>
      <c r="J229" t="n">
        <v>1</v>
      </c>
      <c r="K229" t="n">
        <v>0</v>
      </c>
      <c r="L229" t="n">
        <v>0</v>
      </c>
      <c r="M229" t="n">
        <v>0</v>
      </c>
      <c r="N229" t="n">
        <v>0</v>
      </c>
      <c r="O229" t="n">
        <v>1</v>
      </c>
      <c r="P229" t="n">
        <v>0</v>
      </c>
      <c r="Q229" t="n">
        <v>1</v>
      </c>
      <c r="R229" s="2" t="inlineStr">
        <is>
          <t>Motaggsvamp</t>
        </is>
      </c>
      <c r="S229">
        <f>HYPERLINK("https://klasma.github.io/Logging_0883/artfynd/A 43788-2023 artfynd.xlsx", "A 43788-2023")</f>
        <v/>
      </c>
      <c r="T229">
        <f>HYPERLINK("https://klasma.github.io/Logging_0883/kartor/A 43788-2023 karta.png", "A 43788-2023")</f>
        <v/>
      </c>
      <c r="V229">
        <f>HYPERLINK("https://klasma.github.io/Logging_0883/klagomål/A 43788-2023 FSC-klagomål.docx", "A 43788-2023")</f>
        <v/>
      </c>
      <c r="W229">
        <f>HYPERLINK("https://klasma.github.io/Logging_0883/klagomålsmail/A 43788-2023 FSC-klagomål mail.docx", "A 43788-2023")</f>
        <v/>
      </c>
      <c r="X229">
        <f>HYPERLINK("https://klasma.github.io/Logging_0883/tillsyn/A 43788-2023 tillsynsbegäran.docx", "A 43788-2023")</f>
        <v/>
      </c>
      <c r="Y229">
        <f>HYPERLINK("https://klasma.github.io/Logging_0883/tillsynsmail/A 43788-2023 tillsynsbegäran mail.docx", "A 43788-2023")</f>
        <v/>
      </c>
    </row>
    <row r="230" ht="15" customHeight="1">
      <c r="A230" t="inlineStr">
        <is>
          <t>A 11729-2023</t>
        </is>
      </c>
      <c r="B230" s="1" t="n">
        <v>44994</v>
      </c>
      <c r="C230" s="1" t="n">
        <v>45923</v>
      </c>
      <c r="D230" t="inlineStr">
        <is>
          <t>KALMAR LÄN</t>
        </is>
      </c>
      <c r="E230" t="inlineStr">
        <is>
          <t>VÄSTERVIK</t>
        </is>
      </c>
      <c r="F230" t="inlineStr">
        <is>
          <t>Sveaskog</t>
        </is>
      </c>
      <c r="G230" t="n">
        <v>4.1</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HYPERLINK("https://klasma.github.io/Logging_0883/artfynd/A 11729-2023 artfynd.xlsx", "A 11729-2023")</f>
        <v/>
      </c>
      <c r="T230">
        <f>HYPERLINK("https://klasma.github.io/Logging_0883/kartor/A 11729-2023 karta.png", "A 11729-2023")</f>
        <v/>
      </c>
      <c r="V230">
        <f>HYPERLINK("https://klasma.github.io/Logging_0883/klagomål/A 11729-2023 FSC-klagomål.docx", "A 11729-2023")</f>
        <v/>
      </c>
      <c r="W230">
        <f>HYPERLINK("https://klasma.github.io/Logging_0883/klagomålsmail/A 11729-2023 FSC-klagomål mail.docx", "A 11729-2023")</f>
        <v/>
      </c>
      <c r="X230">
        <f>HYPERLINK("https://klasma.github.io/Logging_0883/tillsyn/A 11729-2023 tillsynsbegäran.docx", "A 11729-2023")</f>
        <v/>
      </c>
      <c r="Y230">
        <f>HYPERLINK("https://klasma.github.io/Logging_0883/tillsynsmail/A 11729-2023 tillsynsbegäran mail.docx", "A 11729-2023")</f>
        <v/>
      </c>
    </row>
    <row r="231" ht="15" customHeight="1">
      <c r="A231" t="inlineStr">
        <is>
          <t>A 23186-2025</t>
        </is>
      </c>
      <c r="B231" s="1" t="n">
        <v>45791.44415509259</v>
      </c>
      <c r="C231" s="1" t="n">
        <v>45923</v>
      </c>
      <c r="D231" t="inlineStr">
        <is>
          <t>KALMAR LÄN</t>
        </is>
      </c>
      <c r="E231" t="inlineStr">
        <is>
          <t>VÄSTERVIK</t>
        </is>
      </c>
      <c r="G231" t="n">
        <v>1.4</v>
      </c>
      <c r="H231" t="n">
        <v>0</v>
      </c>
      <c r="I231" t="n">
        <v>0</v>
      </c>
      <c r="J231" t="n">
        <v>1</v>
      </c>
      <c r="K231" t="n">
        <v>0</v>
      </c>
      <c r="L231" t="n">
        <v>0</v>
      </c>
      <c r="M231" t="n">
        <v>0</v>
      </c>
      <c r="N231" t="n">
        <v>0</v>
      </c>
      <c r="O231" t="n">
        <v>1</v>
      </c>
      <c r="P231" t="n">
        <v>0</v>
      </c>
      <c r="Q231" t="n">
        <v>1</v>
      </c>
      <c r="R231" s="2" t="inlineStr">
        <is>
          <t>Krusfrö</t>
        </is>
      </c>
      <c r="S231">
        <f>HYPERLINK("https://klasma.github.io/Logging_0883/artfynd/A 23186-2025 artfynd.xlsx", "A 23186-2025")</f>
        <v/>
      </c>
      <c r="T231">
        <f>HYPERLINK("https://klasma.github.io/Logging_0883/kartor/A 23186-2025 karta.png", "A 23186-2025")</f>
        <v/>
      </c>
      <c r="V231">
        <f>HYPERLINK("https://klasma.github.io/Logging_0883/klagomål/A 23186-2025 FSC-klagomål.docx", "A 23186-2025")</f>
        <v/>
      </c>
      <c r="W231">
        <f>HYPERLINK("https://klasma.github.io/Logging_0883/klagomålsmail/A 23186-2025 FSC-klagomål mail.docx", "A 23186-2025")</f>
        <v/>
      </c>
      <c r="X231">
        <f>HYPERLINK("https://klasma.github.io/Logging_0883/tillsyn/A 23186-2025 tillsynsbegäran.docx", "A 23186-2025")</f>
        <v/>
      </c>
      <c r="Y231">
        <f>HYPERLINK("https://klasma.github.io/Logging_0883/tillsynsmail/A 23186-2025 tillsynsbegäran mail.docx", "A 23186-2025")</f>
        <v/>
      </c>
    </row>
    <row r="232" ht="15" customHeight="1">
      <c r="A232" t="inlineStr">
        <is>
          <t>A 14082-2025</t>
        </is>
      </c>
      <c r="B232" s="1" t="n">
        <v>45740.43934027778</v>
      </c>
      <c r="C232" s="1" t="n">
        <v>45923</v>
      </c>
      <c r="D232" t="inlineStr">
        <is>
          <t>KALMAR LÄN</t>
        </is>
      </c>
      <c r="E232" t="inlineStr">
        <is>
          <t>VÄSTERVIK</t>
        </is>
      </c>
      <c r="F232" t="inlineStr">
        <is>
          <t>Sveaskog</t>
        </is>
      </c>
      <c r="G232" t="n">
        <v>1.2</v>
      </c>
      <c r="H232" t="n">
        <v>0</v>
      </c>
      <c r="I232" t="n">
        <v>0</v>
      </c>
      <c r="J232" t="n">
        <v>1</v>
      </c>
      <c r="K232" t="n">
        <v>0</v>
      </c>
      <c r="L232" t="n">
        <v>0</v>
      </c>
      <c r="M232" t="n">
        <v>0</v>
      </c>
      <c r="N232" t="n">
        <v>0</v>
      </c>
      <c r="O232" t="n">
        <v>1</v>
      </c>
      <c r="P232" t="n">
        <v>0</v>
      </c>
      <c r="Q232" t="n">
        <v>1</v>
      </c>
      <c r="R232" s="2" t="inlineStr">
        <is>
          <t>Bredbrämad bastardsvärmare</t>
        </is>
      </c>
      <c r="S232">
        <f>HYPERLINK("https://klasma.github.io/Logging_0883/artfynd/A 14082-2025 artfynd.xlsx", "A 14082-2025")</f>
        <v/>
      </c>
      <c r="T232">
        <f>HYPERLINK("https://klasma.github.io/Logging_0883/kartor/A 14082-2025 karta.png", "A 14082-2025")</f>
        <v/>
      </c>
      <c r="V232">
        <f>HYPERLINK("https://klasma.github.io/Logging_0883/klagomål/A 14082-2025 FSC-klagomål.docx", "A 14082-2025")</f>
        <v/>
      </c>
      <c r="W232">
        <f>HYPERLINK("https://klasma.github.io/Logging_0883/klagomålsmail/A 14082-2025 FSC-klagomål mail.docx", "A 14082-2025")</f>
        <v/>
      </c>
      <c r="X232">
        <f>HYPERLINK("https://klasma.github.io/Logging_0883/tillsyn/A 14082-2025 tillsynsbegäran.docx", "A 14082-2025")</f>
        <v/>
      </c>
      <c r="Y232">
        <f>HYPERLINK("https://klasma.github.io/Logging_0883/tillsynsmail/A 14082-2025 tillsynsbegäran mail.docx", "A 14082-2025")</f>
        <v/>
      </c>
    </row>
    <row r="233" ht="15" customHeight="1">
      <c r="A233" t="inlineStr">
        <is>
          <t>A 23192-2025</t>
        </is>
      </c>
      <c r="B233" s="1" t="n">
        <v>45791.45371527778</v>
      </c>
      <c r="C233" s="1" t="n">
        <v>45923</v>
      </c>
      <c r="D233" t="inlineStr">
        <is>
          <t>KALMAR LÄN</t>
        </is>
      </c>
      <c r="E233" t="inlineStr">
        <is>
          <t>VÄSTERVIK</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HYPERLINK("https://klasma.github.io/Logging_0883/artfynd/A 23192-2025 artfynd.xlsx", "A 23192-2025")</f>
        <v/>
      </c>
      <c r="T233">
        <f>HYPERLINK("https://klasma.github.io/Logging_0883/kartor/A 23192-2025 karta.png", "A 23192-2025")</f>
        <v/>
      </c>
      <c r="V233">
        <f>HYPERLINK("https://klasma.github.io/Logging_0883/klagomål/A 23192-2025 FSC-klagomål.docx", "A 23192-2025")</f>
        <v/>
      </c>
      <c r="W233">
        <f>HYPERLINK("https://klasma.github.io/Logging_0883/klagomålsmail/A 23192-2025 FSC-klagomål mail.docx", "A 23192-2025")</f>
        <v/>
      </c>
      <c r="X233">
        <f>HYPERLINK("https://klasma.github.io/Logging_0883/tillsyn/A 23192-2025 tillsynsbegäran.docx", "A 23192-2025")</f>
        <v/>
      </c>
      <c r="Y233">
        <f>HYPERLINK("https://klasma.github.io/Logging_0883/tillsynsmail/A 23192-2025 tillsynsbegäran mail.docx", "A 23192-2025")</f>
        <v/>
      </c>
      <c r="Z233">
        <f>HYPERLINK("https://klasma.github.io/Logging_0883/fåglar/A 23192-2025 prioriterade fågelarter.docx", "A 23192-2025")</f>
        <v/>
      </c>
    </row>
    <row r="234" ht="15" customHeight="1">
      <c r="A234" t="inlineStr">
        <is>
          <t>A 23199-2025</t>
        </is>
      </c>
      <c r="B234" s="1" t="n">
        <v>45791.45887731481</v>
      </c>
      <c r="C234" s="1" t="n">
        <v>45923</v>
      </c>
      <c r="D234" t="inlineStr">
        <is>
          <t>KALMAR LÄN</t>
        </is>
      </c>
      <c r="E234" t="inlineStr">
        <is>
          <t>VÄSTERVIK</t>
        </is>
      </c>
      <c r="G234" t="n">
        <v>2.1</v>
      </c>
      <c r="H234" t="n">
        <v>0</v>
      </c>
      <c r="I234" t="n">
        <v>1</v>
      </c>
      <c r="J234" t="n">
        <v>0</v>
      </c>
      <c r="K234" t="n">
        <v>0</v>
      </c>
      <c r="L234" t="n">
        <v>0</v>
      </c>
      <c r="M234" t="n">
        <v>0</v>
      </c>
      <c r="N234" t="n">
        <v>0</v>
      </c>
      <c r="O234" t="n">
        <v>0</v>
      </c>
      <c r="P234" t="n">
        <v>0</v>
      </c>
      <c r="Q234" t="n">
        <v>1</v>
      </c>
      <c r="R234" s="2" t="inlineStr">
        <is>
          <t>Blåmossa</t>
        </is>
      </c>
      <c r="S234">
        <f>HYPERLINK("https://klasma.github.io/Logging_0883/artfynd/A 23199-2025 artfynd.xlsx", "A 23199-2025")</f>
        <v/>
      </c>
      <c r="T234">
        <f>HYPERLINK("https://klasma.github.io/Logging_0883/kartor/A 23199-2025 karta.png", "A 23199-2025")</f>
        <v/>
      </c>
      <c r="V234">
        <f>HYPERLINK("https://klasma.github.io/Logging_0883/klagomål/A 23199-2025 FSC-klagomål.docx", "A 23199-2025")</f>
        <v/>
      </c>
      <c r="W234">
        <f>HYPERLINK("https://klasma.github.io/Logging_0883/klagomålsmail/A 23199-2025 FSC-klagomål mail.docx", "A 23199-2025")</f>
        <v/>
      </c>
      <c r="X234">
        <f>HYPERLINK("https://klasma.github.io/Logging_0883/tillsyn/A 23199-2025 tillsynsbegäran.docx", "A 23199-2025")</f>
        <v/>
      </c>
      <c r="Y234">
        <f>HYPERLINK("https://klasma.github.io/Logging_0883/tillsynsmail/A 23199-2025 tillsynsbegäran mail.docx", "A 23199-2025")</f>
        <v/>
      </c>
    </row>
    <row r="235" ht="15" customHeight="1">
      <c r="A235" t="inlineStr">
        <is>
          <t>A 40924-2022</t>
        </is>
      </c>
      <c r="B235" s="1" t="n">
        <v>44825</v>
      </c>
      <c r="C235" s="1" t="n">
        <v>45923</v>
      </c>
      <c r="D235" t="inlineStr">
        <is>
          <t>KALMAR LÄN</t>
        </is>
      </c>
      <c r="E235" t="inlineStr">
        <is>
          <t>VÄSTERVIK</t>
        </is>
      </c>
      <c r="F235" t="inlineStr">
        <is>
          <t>Sveaskog</t>
        </is>
      </c>
      <c r="G235" t="n">
        <v>0.5</v>
      </c>
      <c r="H235" t="n">
        <v>1</v>
      </c>
      <c r="I235" t="n">
        <v>0</v>
      </c>
      <c r="J235" t="n">
        <v>1</v>
      </c>
      <c r="K235" t="n">
        <v>0</v>
      </c>
      <c r="L235" t="n">
        <v>0</v>
      </c>
      <c r="M235" t="n">
        <v>0</v>
      </c>
      <c r="N235" t="n">
        <v>0</v>
      </c>
      <c r="O235" t="n">
        <v>1</v>
      </c>
      <c r="P235" t="n">
        <v>0</v>
      </c>
      <c r="Q235" t="n">
        <v>1</v>
      </c>
      <c r="R235" s="2" t="inlineStr">
        <is>
          <t>Barbastell</t>
        </is>
      </c>
      <c r="S235">
        <f>HYPERLINK("https://klasma.github.io/Logging_0883/artfynd/A 40924-2022 artfynd.xlsx", "A 40924-2022")</f>
        <v/>
      </c>
      <c r="T235">
        <f>HYPERLINK("https://klasma.github.io/Logging_0883/kartor/A 40924-2022 karta.png", "A 40924-2022")</f>
        <v/>
      </c>
      <c r="V235">
        <f>HYPERLINK("https://klasma.github.io/Logging_0883/klagomål/A 40924-2022 FSC-klagomål.docx", "A 40924-2022")</f>
        <v/>
      </c>
      <c r="W235">
        <f>HYPERLINK("https://klasma.github.io/Logging_0883/klagomålsmail/A 40924-2022 FSC-klagomål mail.docx", "A 40924-2022")</f>
        <v/>
      </c>
      <c r="X235">
        <f>HYPERLINK("https://klasma.github.io/Logging_0883/tillsyn/A 40924-2022 tillsynsbegäran.docx", "A 40924-2022")</f>
        <v/>
      </c>
      <c r="Y235">
        <f>HYPERLINK("https://klasma.github.io/Logging_0883/tillsynsmail/A 40924-2022 tillsynsbegäran mail.docx", "A 40924-2022")</f>
        <v/>
      </c>
    </row>
    <row r="236" ht="15" customHeight="1">
      <c r="A236" t="inlineStr">
        <is>
          <t>A 55360-2024</t>
        </is>
      </c>
      <c r="B236" s="1" t="n">
        <v>45621.8252199074</v>
      </c>
      <c r="C236" s="1" t="n">
        <v>45923</v>
      </c>
      <c r="D236" t="inlineStr">
        <is>
          <t>KALMAR LÄN</t>
        </is>
      </c>
      <c r="E236" t="inlineStr">
        <is>
          <t>VÄSTERVIK</t>
        </is>
      </c>
      <c r="F236" t="inlineStr">
        <is>
          <t>Sveaskog</t>
        </is>
      </c>
      <c r="G236" t="n">
        <v>11.1</v>
      </c>
      <c r="H236" t="n">
        <v>0</v>
      </c>
      <c r="I236" t="n">
        <v>0</v>
      </c>
      <c r="J236" t="n">
        <v>1</v>
      </c>
      <c r="K236" t="n">
        <v>0</v>
      </c>
      <c r="L236" t="n">
        <v>0</v>
      </c>
      <c r="M236" t="n">
        <v>0</v>
      </c>
      <c r="N236" t="n">
        <v>0</v>
      </c>
      <c r="O236" t="n">
        <v>1</v>
      </c>
      <c r="P236" t="n">
        <v>0</v>
      </c>
      <c r="Q236" t="n">
        <v>1</v>
      </c>
      <c r="R236" s="2" t="inlineStr">
        <is>
          <t>Vårstarr</t>
        </is>
      </c>
      <c r="S236">
        <f>HYPERLINK("https://klasma.github.io/Logging_0883/artfynd/A 55360-2024 artfynd.xlsx", "A 55360-2024")</f>
        <v/>
      </c>
      <c r="T236">
        <f>HYPERLINK("https://klasma.github.io/Logging_0883/kartor/A 55360-2024 karta.png", "A 55360-2024")</f>
        <v/>
      </c>
      <c r="V236">
        <f>HYPERLINK("https://klasma.github.io/Logging_0883/klagomål/A 55360-2024 FSC-klagomål.docx", "A 55360-2024")</f>
        <v/>
      </c>
      <c r="W236">
        <f>HYPERLINK("https://klasma.github.io/Logging_0883/klagomålsmail/A 55360-2024 FSC-klagomål mail.docx", "A 55360-2024")</f>
        <v/>
      </c>
      <c r="X236">
        <f>HYPERLINK("https://klasma.github.io/Logging_0883/tillsyn/A 55360-2024 tillsynsbegäran.docx", "A 55360-2024")</f>
        <v/>
      </c>
      <c r="Y236">
        <f>HYPERLINK("https://klasma.github.io/Logging_0883/tillsynsmail/A 55360-2024 tillsynsbegäran mail.docx", "A 55360-2024")</f>
        <v/>
      </c>
    </row>
    <row r="237" ht="15" customHeight="1">
      <c r="A237" t="inlineStr">
        <is>
          <t>A 24884-2025</t>
        </is>
      </c>
      <c r="B237" s="1" t="n">
        <v>45799.50620370371</v>
      </c>
      <c r="C237" s="1" t="n">
        <v>45923</v>
      </c>
      <c r="D237" t="inlineStr">
        <is>
          <t>KALMAR LÄN</t>
        </is>
      </c>
      <c r="E237" t="inlineStr">
        <is>
          <t>VÄSTERVIK</t>
        </is>
      </c>
      <c r="F237" t="inlineStr">
        <is>
          <t>Holmen skog AB</t>
        </is>
      </c>
      <c r="G237" t="n">
        <v>5.1</v>
      </c>
      <c r="H237" t="n">
        <v>0</v>
      </c>
      <c r="I237" t="n">
        <v>1</v>
      </c>
      <c r="J237" t="n">
        <v>0</v>
      </c>
      <c r="K237" t="n">
        <v>0</v>
      </c>
      <c r="L237" t="n">
        <v>0</v>
      </c>
      <c r="M237" t="n">
        <v>0</v>
      </c>
      <c r="N237" t="n">
        <v>0</v>
      </c>
      <c r="O237" t="n">
        <v>0</v>
      </c>
      <c r="P237" t="n">
        <v>0</v>
      </c>
      <c r="Q237" t="n">
        <v>1</v>
      </c>
      <c r="R237" s="2" t="inlineStr">
        <is>
          <t>Strävlosta</t>
        </is>
      </c>
      <c r="S237">
        <f>HYPERLINK("https://klasma.github.io/Logging_0883/artfynd/A 24884-2025 artfynd.xlsx", "A 24884-2025")</f>
        <v/>
      </c>
      <c r="T237">
        <f>HYPERLINK("https://klasma.github.io/Logging_0883/kartor/A 24884-2025 karta.png", "A 24884-2025")</f>
        <v/>
      </c>
      <c r="V237">
        <f>HYPERLINK("https://klasma.github.io/Logging_0883/klagomål/A 24884-2025 FSC-klagomål.docx", "A 24884-2025")</f>
        <v/>
      </c>
      <c r="W237">
        <f>HYPERLINK("https://klasma.github.io/Logging_0883/klagomålsmail/A 24884-2025 FSC-klagomål mail.docx", "A 24884-2025")</f>
        <v/>
      </c>
      <c r="X237">
        <f>HYPERLINK("https://klasma.github.io/Logging_0883/tillsyn/A 24884-2025 tillsynsbegäran.docx", "A 24884-2025")</f>
        <v/>
      </c>
      <c r="Y237">
        <f>HYPERLINK("https://klasma.github.io/Logging_0883/tillsynsmail/A 24884-2025 tillsynsbegäran mail.docx", "A 24884-2025")</f>
        <v/>
      </c>
    </row>
    <row r="238" ht="15" customHeight="1">
      <c r="A238" t="inlineStr">
        <is>
          <t>A 9571-2025</t>
        </is>
      </c>
      <c r="B238" s="1" t="n">
        <v>45715.61996527778</v>
      </c>
      <c r="C238" s="1" t="n">
        <v>45923</v>
      </c>
      <c r="D238" t="inlineStr">
        <is>
          <t>KALMAR LÄN</t>
        </is>
      </c>
      <c r="E238" t="inlineStr">
        <is>
          <t>VÄSTERVIK</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HYPERLINK("https://klasma.github.io/Logging_0883/artfynd/A 9571-2025 artfynd.xlsx", "A 9571-2025")</f>
        <v/>
      </c>
      <c r="T238">
        <f>HYPERLINK("https://klasma.github.io/Logging_0883/kartor/A 9571-2025 karta.png", "A 9571-2025")</f>
        <v/>
      </c>
      <c r="V238">
        <f>HYPERLINK("https://klasma.github.io/Logging_0883/klagomål/A 9571-2025 FSC-klagomål.docx", "A 9571-2025")</f>
        <v/>
      </c>
      <c r="W238">
        <f>HYPERLINK("https://klasma.github.io/Logging_0883/klagomålsmail/A 9571-2025 FSC-klagomål mail.docx", "A 9571-2025")</f>
        <v/>
      </c>
      <c r="X238">
        <f>HYPERLINK("https://klasma.github.io/Logging_0883/tillsyn/A 9571-2025 tillsynsbegäran.docx", "A 9571-2025")</f>
        <v/>
      </c>
      <c r="Y238">
        <f>HYPERLINK("https://klasma.github.io/Logging_0883/tillsynsmail/A 9571-2025 tillsynsbegäran mail.docx", "A 9571-2025")</f>
        <v/>
      </c>
    </row>
    <row r="239" ht="15" customHeight="1">
      <c r="A239" t="inlineStr">
        <is>
          <t>A 6657-2025</t>
        </is>
      </c>
      <c r="B239" s="1" t="n">
        <v>45700</v>
      </c>
      <c r="C239" s="1" t="n">
        <v>45923</v>
      </c>
      <c r="D239" t="inlineStr">
        <is>
          <t>KALMAR LÄN</t>
        </is>
      </c>
      <c r="E239" t="inlineStr">
        <is>
          <t>VÄSTERVIK</t>
        </is>
      </c>
      <c r="F239" t="inlineStr">
        <is>
          <t>Holmen skog AB</t>
        </is>
      </c>
      <c r="G239" t="n">
        <v>3</v>
      </c>
      <c r="H239" t="n">
        <v>1</v>
      </c>
      <c r="I239" t="n">
        <v>0</v>
      </c>
      <c r="J239" t="n">
        <v>0</v>
      </c>
      <c r="K239" t="n">
        <v>1</v>
      </c>
      <c r="L239" t="n">
        <v>0</v>
      </c>
      <c r="M239" t="n">
        <v>0</v>
      </c>
      <c r="N239" t="n">
        <v>0</v>
      </c>
      <c r="O239" t="n">
        <v>1</v>
      </c>
      <c r="P239" t="n">
        <v>1</v>
      </c>
      <c r="Q239" t="n">
        <v>1</v>
      </c>
      <c r="R239" s="2" t="inlineStr">
        <is>
          <t>Knärot</t>
        </is>
      </c>
      <c r="S239">
        <f>HYPERLINK("https://klasma.github.io/Logging_0883/artfynd/A 6657-2025 artfynd.xlsx", "A 6657-2025")</f>
        <v/>
      </c>
      <c r="T239">
        <f>HYPERLINK("https://klasma.github.io/Logging_0883/kartor/A 6657-2025 karta.png", "A 6657-2025")</f>
        <v/>
      </c>
      <c r="U239">
        <f>HYPERLINK("https://klasma.github.io/Logging_0883/knärot/A 6657-2025 karta knärot.png", "A 6657-2025")</f>
        <v/>
      </c>
      <c r="V239">
        <f>HYPERLINK("https://klasma.github.io/Logging_0883/klagomål/A 6657-2025 FSC-klagomål.docx", "A 6657-2025")</f>
        <v/>
      </c>
      <c r="W239">
        <f>HYPERLINK("https://klasma.github.io/Logging_0883/klagomålsmail/A 6657-2025 FSC-klagomål mail.docx", "A 6657-2025")</f>
        <v/>
      </c>
      <c r="X239">
        <f>HYPERLINK("https://klasma.github.io/Logging_0883/tillsyn/A 6657-2025 tillsynsbegäran.docx", "A 6657-2025")</f>
        <v/>
      </c>
      <c r="Y239">
        <f>HYPERLINK("https://klasma.github.io/Logging_0883/tillsynsmail/A 6657-2025 tillsynsbegäran mail.docx", "A 6657-2025")</f>
        <v/>
      </c>
    </row>
    <row r="240" ht="15" customHeight="1">
      <c r="A240" t="inlineStr">
        <is>
          <t>A 6634-2025</t>
        </is>
      </c>
      <c r="B240" s="1" t="n">
        <v>45700.38141203704</v>
      </c>
      <c r="C240" s="1" t="n">
        <v>45923</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Ögonpyrola</t>
        </is>
      </c>
      <c r="S240">
        <f>HYPERLINK("https://klasma.github.io/Logging_0883/artfynd/A 6634-2025 artfynd.xlsx", "A 6634-2025")</f>
        <v/>
      </c>
      <c r="T240">
        <f>HYPERLINK("https://klasma.github.io/Logging_0883/kartor/A 6634-2025 karta.png", "A 6634-2025")</f>
        <v/>
      </c>
      <c r="V240">
        <f>HYPERLINK("https://klasma.github.io/Logging_0883/klagomål/A 6634-2025 FSC-klagomål.docx", "A 6634-2025")</f>
        <v/>
      </c>
      <c r="W240">
        <f>HYPERLINK("https://klasma.github.io/Logging_0883/klagomålsmail/A 6634-2025 FSC-klagomål mail.docx", "A 6634-2025")</f>
        <v/>
      </c>
      <c r="X240">
        <f>HYPERLINK("https://klasma.github.io/Logging_0883/tillsyn/A 6634-2025 tillsynsbegäran.docx", "A 6634-2025")</f>
        <v/>
      </c>
      <c r="Y240">
        <f>HYPERLINK("https://klasma.github.io/Logging_0883/tillsynsmail/A 6634-2025 tillsynsbegäran mail.docx", "A 6634-2025")</f>
        <v/>
      </c>
    </row>
    <row r="241" ht="15" customHeight="1">
      <c r="A241" t="inlineStr">
        <is>
          <t>A 46722-2023</t>
        </is>
      </c>
      <c r="B241" s="1" t="n">
        <v>45194</v>
      </c>
      <c r="C241" s="1" t="n">
        <v>45923</v>
      </c>
      <c r="D241" t="inlineStr">
        <is>
          <t>KALMAR LÄN</t>
        </is>
      </c>
      <c r="E241" t="inlineStr">
        <is>
          <t>VÄSTERVIK</t>
        </is>
      </c>
      <c r="G241" t="n">
        <v>0.9</v>
      </c>
      <c r="H241" t="n">
        <v>1</v>
      </c>
      <c r="I241" t="n">
        <v>0</v>
      </c>
      <c r="J241" t="n">
        <v>0</v>
      </c>
      <c r="K241" t="n">
        <v>1</v>
      </c>
      <c r="L241" t="n">
        <v>0</v>
      </c>
      <c r="M241" t="n">
        <v>0</v>
      </c>
      <c r="N241" t="n">
        <v>0</v>
      </c>
      <c r="O241" t="n">
        <v>1</v>
      </c>
      <c r="P241" t="n">
        <v>1</v>
      </c>
      <c r="Q241" t="n">
        <v>1</v>
      </c>
      <c r="R241" s="2" t="inlineStr">
        <is>
          <t>Knärot</t>
        </is>
      </c>
      <c r="S241">
        <f>HYPERLINK("https://klasma.github.io/Logging_0883/artfynd/A 46722-2023 artfynd.xlsx", "A 46722-2023")</f>
        <v/>
      </c>
      <c r="T241">
        <f>HYPERLINK("https://klasma.github.io/Logging_0883/kartor/A 46722-2023 karta.png", "A 46722-2023")</f>
        <v/>
      </c>
      <c r="U241">
        <f>HYPERLINK("https://klasma.github.io/Logging_0883/knärot/A 46722-2023 karta knärot.png", "A 46722-2023")</f>
        <v/>
      </c>
      <c r="V241">
        <f>HYPERLINK("https://klasma.github.io/Logging_0883/klagomål/A 46722-2023 FSC-klagomål.docx", "A 46722-2023")</f>
        <v/>
      </c>
      <c r="W241">
        <f>HYPERLINK("https://klasma.github.io/Logging_0883/klagomålsmail/A 46722-2023 FSC-klagomål mail.docx", "A 46722-2023")</f>
        <v/>
      </c>
      <c r="X241">
        <f>HYPERLINK("https://klasma.github.io/Logging_0883/tillsyn/A 46722-2023 tillsynsbegäran.docx", "A 46722-2023")</f>
        <v/>
      </c>
      <c r="Y241">
        <f>HYPERLINK("https://klasma.github.io/Logging_0883/tillsynsmail/A 46722-2023 tillsynsbegäran mail.docx", "A 46722-2023")</f>
        <v/>
      </c>
    </row>
    <row r="242" ht="15" customHeight="1">
      <c r="A242" t="inlineStr">
        <is>
          <t>A 26516-2025</t>
        </is>
      </c>
      <c r="B242" s="1" t="n">
        <v>45807.55402777778</v>
      </c>
      <c r="C242" s="1" t="n">
        <v>45923</v>
      </c>
      <c r="D242" t="inlineStr">
        <is>
          <t>KALMAR LÄN</t>
        </is>
      </c>
      <c r="E242" t="inlineStr">
        <is>
          <t>VÄSTERVIK</t>
        </is>
      </c>
      <c r="G242" t="n">
        <v>1.3</v>
      </c>
      <c r="H242" t="n">
        <v>1</v>
      </c>
      <c r="I242" t="n">
        <v>0</v>
      </c>
      <c r="J242" t="n">
        <v>1</v>
      </c>
      <c r="K242" t="n">
        <v>0</v>
      </c>
      <c r="L242" t="n">
        <v>0</v>
      </c>
      <c r="M242" t="n">
        <v>0</v>
      </c>
      <c r="N242" t="n">
        <v>0</v>
      </c>
      <c r="O242" t="n">
        <v>1</v>
      </c>
      <c r="P242" t="n">
        <v>0</v>
      </c>
      <c r="Q242" t="n">
        <v>1</v>
      </c>
      <c r="R242" s="2" t="inlineStr">
        <is>
          <t>Grönsångare</t>
        </is>
      </c>
      <c r="S242">
        <f>HYPERLINK("https://klasma.github.io/Logging_0883/artfynd/A 26516-2025 artfynd.xlsx", "A 26516-2025")</f>
        <v/>
      </c>
      <c r="T242">
        <f>HYPERLINK("https://klasma.github.io/Logging_0883/kartor/A 26516-2025 karta.png", "A 26516-2025")</f>
        <v/>
      </c>
      <c r="V242">
        <f>HYPERLINK("https://klasma.github.io/Logging_0883/klagomål/A 26516-2025 FSC-klagomål.docx", "A 26516-2025")</f>
        <v/>
      </c>
      <c r="W242">
        <f>HYPERLINK("https://klasma.github.io/Logging_0883/klagomålsmail/A 26516-2025 FSC-klagomål mail.docx", "A 26516-2025")</f>
        <v/>
      </c>
      <c r="X242">
        <f>HYPERLINK("https://klasma.github.io/Logging_0883/tillsyn/A 26516-2025 tillsynsbegäran.docx", "A 26516-2025")</f>
        <v/>
      </c>
      <c r="Y242">
        <f>HYPERLINK("https://klasma.github.io/Logging_0883/tillsynsmail/A 26516-2025 tillsynsbegäran mail.docx", "A 26516-2025")</f>
        <v/>
      </c>
      <c r="Z242">
        <f>HYPERLINK("https://klasma.github.io/Logging_0883/fåglar/A 26516-2025 prioriterade fågelarter.docx", "A 26516-2025")</f>
        <v/>
      </c>
    </row>
    <row r="243" ht="15" customHeight="1">
      <c r="A243" t="inlineStr">
        <is>
          <t>A 3600-2025</t>
        </is>
      </c>
      <c r="B243" s="1" t="n">
        <v>45681.34420138889</v>
      </c>
      <c r="C243" s="1" t="n">
        <v>45923</v>
      </c>
      <c r="D243" t="inlineStr">
        <is>
          <t>KALMAR LÄN</t>
        </is>
      </c>
      <c r="E243" t="inlineStr">
        <is>
          <t>VÄSTERVIK</t>
        </is>
      </c>
      <c r="G243" t="n">
        <v>1</v>
      </c>
      <c r="H243" t="n">
        <v>1</v>
      </c>
      <c r="I243" t="n">
        <v>0</v>
      </c>
      <c r="J243" t="n">
        <v>1</v>
      </c>
      <c r="K243" t="n">
        <v>0</v>
      </c>
      <c r="L243" t="n">
        <v>0</v>
      </c>
      <c r="M243" t="n">
        <v>0</v>
      </c>
      <c r="N243" t="n">
        <v>0</v>
      </c>
      <c r="O243" t="n">
        <v>1</v>
      </c>
      <c r="P243" t="n">
        <v>0</v>
      </c>
      <c r="Q243" t="n">
        <v>1</v>
      </c>
      <c r="R243" s="2" t="inlineStr">
        <is>
          <t>Spillkråka</t>
        </is>
      </c>
      <c r="S243">
        <f>HYPERLINK("https://klasma.github.io/Logging_0883/artfynd/A 3600-2025 artfynd.xlsx", "A 3600-2025")</f>
        <v/>
      </c>
      <c r="T243">
        <f>HYPERLINK("https://klasma.github.io/Logging_0883/kartor/A 3600-2025 karta.png", "A 3600-2025")</f>
        <v/>
      </c>
      <c r="V243">
        <f>HYPERLINK("https://klasma.github.io/Logging_0883/klagomål/A 3600-2025 FSC-klagomål.docx", "A 3600-2025")</f>
        <v/>
      </c>
      <c r="W243">
        <f>HYPERLINK("https://klasma.github.io/Logging_0883/klagomålsmail/A 3600-2025 FSC-klagomål mail.docx", "A 3600-2025")</f>
        <v/>
      </c>
      <c r="X243">
        <f>HYPERLINK("https://klasma.github.io/Logging_0883/tillsyn/A 3600-2025 tillsynsbegäran.docx", "A 3600-2025")</f>
        <v/>
      </c>
      <c r="Y243">
        <f>HYPERLINK("https://klasma.github.io/Logging_0883/tillsynsmail/A 3600-2025 tillsynsbegäran mail.docx", "A 3600-2025")</f>
        <v/>
      </c>
      <c r="Z243">
        <f>HYPERLINK("https://klasma.github.io/Logging_0883/fåglar/A 3600-2025 prioriterade fågelarter.docx", "A 3600-2025")</f>
        <v/>
      </c>
    </row>
    <row r="244" ht="15" customHeight="1">
      <c r="A244" t="inlineStr">
        <is>
          <t>A 20233-2021</t>
        </is>
      </c>
      <c r="B244" s="1" t="n">
        <v>44314</v>
      </c>
      <c r="C244" s="1" t="n">
        <v>45923</v>
      </c>
      <c r="D244" t="inlineStr">
        <is>
          <t>KALMAR LÄN</t>
        </is>
      </c>
      <c r="E244" t="inlineStr">
        <is>
          <t>VÄSTERVIK</t>
        </is>
      </c>
      <c r="F244" t="inlineStr">
        <is>
          <t>Holmen skog AB</t>
        </is>
      </c>
      <c r="G244" t="n">
        <v>11.8</v>
      </c>
      <c r="H244" t="n">
        <v>0</v>
      </c>
      <c r="I244" t="n">
        <v>0</v>
      </c>
      <c r="J244" t="n">
        <v>1</v>
      </c>
      <c r="K244" t="n">
        <v>0</v>
      </c>
      <c r="L244" t="n">
        <v>0</v>
      </c>
      <c r="M244" t="n">
        <v>0</v>
      </c>
      <c r="N244" t="n">
        <v>0</v>
      </c>
      <c r="O244" t="n">
        <v>1</v>
      </c>
      <c r="P244" t="n">
        <v>0</v>
      </c>
      <c r="Q244" t="n">
        <v>1</v>
      </c>
      <c r="R244" s="2" t="inlineStr">
        <is>
          <t>Skogsklocka</t>
        </is>
      </c>
      <c r="S244">
        <f>HYPERLINK("https://klasma.github.io/Logging_0883/artfynd/A 20233-2021 artfynd.xlsx", "A 20233-2021")</f>
        <v/>
      </c>
      <c r="T244">
        <f>HYPERLINK("https://klasma.github.io/Logging_0883/kartor/A 20233-2021 karta.png", "A 20233-2021")</f>
        <v/>
      </c>
      <c r="V244">
        <f>HYPERLINK("https://klasma.github.io/Logging_0883/klagomål/A 20233-2021 FSC-klagomål.docx", "A 20233-2021")</f>
        <v/>
      </c>
      <c r="W244">
        <f>HYPERLINK("https://klasma.github.io/Logging_0883/klagomålsmail/A 20233-2021 FSC-klagomål mail.docx", "A 20233-2021")</f>
        <v/>
      </c>
      <c r="X244">
        <f>HYPERLINK("https://klasma.github.io/Logging_0883/tillsyn/A 20233-2021 tillsynsbegäran.docx", "A 20233-2021")</f>
        <v/>
      </c>
      <c r="Y244">
        <f>HYPERLINK("https://klasma.github.io/Logging_0883/tillsynsmail/A 20233-2021 tillsynsbegäran mail.docx", "A 20233-2021")</f>
        <v/>
      </c>
    </row>
    <row r="245" ht="15" customHeight="1">
      <c r="A245" t="inlineStr">
        <is>
          <t>A 27426-2025</t>
        </is>
      </c>
      <c r="B245" s="1" t="n">
        <v>45813</v>
      </c>
      <c r="C245" s="1" t="n">
        <v>45923</v>
      </c>
      <c r="D245" t="inlineStr">
        <is>
          <t>KALMAR LÄN</t>
        </is>
      </c>
      <c r="E245" t="inlineStr">
        <is>
          <t>VÄSTERVIK</t>
        </is>
      </c>
      <c r="G245" t="n">
        <v>2</v>
      </c>
      <c r="H245" t="n">
        <v>0</v>
      </c>
      <c r="I245" t="n">
        <v>1</v>
      </c>
      <c r="J245" t="n">
        <v>0</v>
      </c>
      <c r="K245" t="n">
        <v>0</v>
      </c>
      <c r="L245" t="n">
        <v>0</v>
      </c>
      <c r="M245" t="n">
        <v>0</v>
      </c>
      <c r="N245" t="n">
        <v>0</v>
      </c>
      <c r="O245" t="n">
        <v>0</v>
      </c>
      <c r="P245" t="n">
        <v>0</v>
      </c>
      <c r="Q245" t="n">
        <v>1</v>
      </c>
      <c r="R245" s="2" t="inlineStr">
        <is>
          <t>Vätteros</t>
        </is>
      </c>
      <c r="S245">
        <f>HYPERLINK("https://klasma.github.io/Logging_0883/artfynd/A 27426-2025 artfynd.xlsx", "A 27426-2025")</f>
        <v/>
      </c>
      <c r="T245">
        <f>HYPERLINK("https://klasma.github.io/Logging_0883/kartor/A 27426-2025 karta.png", "A 27426-2025")</f>
        <v/>
      </c>
      <c r="V245">
        <f>HYPERLINK("https://klasma.github.io/Logging_0883/klagomål/A 27426-2025 FSC-klagomål.docx", "A 27426-2025")</f>
        <v/>
      </c>
      <c r="W245">
        <f>HYPERLINK("https://klasma.github.io/Logging_0883/klagomålsmail/A 27426-2025 FSC-klagomål mail.docx", "A 27426-2025")</f>
        <v/>
      </c>
      <c r="X245">
        <f>HYPERLINK("https://klasma.github.io/Logging_0883/tillsyn/A 27426-2025 tillsynsbegäran.docx", "A 27426-2025")</f>
        <v/>
      </c>
      <c r="Y245">
        <f>HYPERLINK("https://klasma.github.io/Logging_0883/tillsynsmail/A 27426-2025 tillsynsbegäran mail.docx", "A 27426-2025")</f>
        <v/>
      </c>
    </row>
    <row r="246" ht="15" customHeight="1">
      <c r="A246" t="inlineStr">
        <is>
          <t>A 3673-2025</t>
        </is>
      </c>
      <c r="B246" s="1" t="n">
        <v>45681.43706018518</v>
      </c>
      <c r="C246" s="1" t="n">
        <v>45923</v>
      </c>
      <c r="D246" t="inlineStr">
        <is>
          <t>KALMAR LÄN</t>
        </is>
      </c>
      <c r="E246" t="inlineStr">
        <is>
          <t>VÄSTERVIK</t>
        </is>
      </c>
      <c r="G246" t="n">
        <v>1.1</v>
      </c>
      <c r="H246" t="n">
        <v>0</v>
      </c>
      <c r="I246" t="n">
        <v>1</v>
      </c>
      <c r="J246" t="n">
        <v>0</v>
      </c>
      <c r="K246" t="n">
        <v>0</v>
      </c>
      <c r="L246" t="n">
        <v>0</v>
      </c>
      <c r="M246" t="n">
        <v>0</v>
      </c>
      <c r="N246" t="n">
        <v>0</v>
      </c>
      <c r="O246" t="n">
        <v>0</v>
      </c>
      <c r="P246" t="n">
        <v>0</v>
      </c>
      <c r="Q246" t="n">
        <v>1</v>
      </c>
      <c r="R246" s="2" t="inlineStr">
        <is>
          <t>Blodticka</t>
        </is>
      </c>
      <c r="S246">
        <f>HYPERLINK("https://klasma.github.io/Logging_0883/artfynd/A 3673-2025 artfynd.xlsx", "A 3673-2025")</f>
        <v/>
      </c>
      <c r="T246">
        <f>HYPERLINK("https://klasma.github.io/Logging_0883/kartor/A 3673-2025 karta.png", "A 3673-2025")</f>
        <v/>
      </c>
      <c r="V246">
        <f>HYPERLINK("https://klasma.github.io/Logging_0883/klagomål/A 3673-2025 FSC-klagomål.docx", "A 3673-2025")</f>
        <v/>
      </c>
      <c r="W246">
        <f>HYPERLINK("https://klasma.github.io/Logging_0883/klagomålsmail/A 3673-2025 FSC-klagomål mail.docx", "A 3673-2025")</f>
        <v/>
      </c>
      <c r="X246">
        <f>HYPERLINK("https://klasma.github.io/Logging_0883/tillsyn/A 3673-2025 tillsynsbegäran.docx", "A 3673-2025")</f>
        <v/>
      </c>
      <c r="Y246">
        <f>HYPERLINK("https://klasma.github.io/Logging_0883/tillsynsmail/A 3673-2025 tillsynsbegäran mail.docx", "A 3673-2025")</f>
        <v/>
      </c>
    </row>
    <row r="247" ht="15" customHeight="1">
      <c r="A247" t="inlineStr">
        <is>
          <t>A 1176-2024</t>
        </is>
      </c>
      <c r="B247" s="1" t="n">
        <v>45302</v>
      </c>
      <c r="C247" s="1" t="n">
        <v>45923</v>
      </c>
      <c r="D247" t="inlineStr">
        <is>
          <t>KALMAR LÄN</t>
        </is>
      </c>
      <c r="E247" t="inlineStr">
        <is>
          <t>VÄSTERVIK</t>
        </is>
      </c>
      <c r="G247" t="n">
        <v>2.5</v>
      </c>
      <c r="H247" t="n">
        <v>0</v>
      </c>
      <c r="I247" t="n">
        <v>0</v>
      </c>
      <c r="J247" t="n">
        <v>1</v>
      </c>
      <c r="K247" t="n">
        <v>0</v>
      </c>
      <c r="L247" t="n">
        <v>0</v>
      </c>
      <c r="M247" t="n">
        <v>0</v>
      </c>
      <c r="N247" t="n">
        <v>0</v>
      </c>
      <c r="O247" t="n">
        <v>1</v>
      </c>
      <c r="P247" t="n">
        <v>0</v>
      </c>
      <c r="Q247" t="n">
        <v>1</v>
      </c>
      <c r="R247" s="2" t="inlineStr">
        <is>
          <t>Tallticka</t>
        </is>
      </c>
      <c r="S247">
        <f>HYPERLINK("https://klasma.github.io/Logging_0883/artfynd/A 1176-2024 artfynd.xlsx", "A 1176-2024")</f>
        <v/>
      </c>
      <c r="T247">
        <f>HYPERLINK("https://klasma.github.io/Logging_0883/kartor/A 1176-2024 karta.png", "A 1176-2024")</f>
        <v/>
      </c>
      <c r="V247">
        <f>HYPERLINK("https://klasma.github.io/Logging_0883/klagomål/A 1176-2024 FSC-klagomål.docx", "A 1176-2024")</f>
        <v/>
      </c>
      <c r="W247">
        <f>HYPERLINK("https://klasma.github.io/Logging_0883/klagomålsmail/A 1176-2024 FSC-klagomål mail.docx", "A 1176-2024")</f>
        <v/>
      </c>
      <c r="X247">
        <f>HYPERLINK("https://klasma.github.io/Logging_0883/tillsyn/A 1176-2024 tillsynsbegäran.docx", "A 1176-2024")</f>
        <v/>
      </c>
      <c r="Y247">
        <f>HYPERLINK("https://klasma.github.io/Logging_0883/tillsynsmail/A 1176-2024 tillsynsbegäran mail.docx", "A 1176-2024")</f>
        <v/>
      </c>
    </row>
    <row r="248" ht="15" customHeight="1">
      <c r="A248" t="inlineStr">
        <is>
          <t>A 51488-2024</t>
        </is>
      </c>
      <c r="B248" s="1" t="n">
        <v>45604</v>
      </c>
      <c r="C248" s="1" t="n">
        <v>45923</v>
      </c>
      <c r="D248" t="inlineStr">
        <is>
          <t>KALMAR LÄN</t>
        </is>
      </c>
      <c r="E248" t="inlineStr">
        <is>
          <t>VÄSTERVIK</t>
        </is>
      </c>
      <c r="F248" t="inlineStr">
        <is>
          <t>Övriga Aktiebolag</t>
        </is>
      </c>
      <c r="G248" t="n">
        <v>2.9</v>
      </c>
      <c r="H248" t="n">
        <v>1</v>
      </c>
      <c r="I248" t="n">
        <v>0</v>
      </c>
      <c r="J248" t="n">
        <v>1</v>
      </c>
      <c r="K248" t="n">
        <v>0</v>
      </c>
      <c r="L248" t="n">
        <v>0</v>
      </c>
      <c r="M248" t="n">
        <v>0</v>
      </c>
      <c r="N248" t="n">
        <v>0</v>
      </c>
      <c r="O248" t="n">
        <v>1</v>
      </c>
      <c r="P248" t="n">
        <v>0</v>
      </c>
      <c r="Q248" t="n">
        <v>1</v>
      </c>
      <c r="R248" s="2" t="inlineStr">
        <is>
          <t>Entita</t>
        </is>
      </c>
      <c r="S248">
        <f>HYPERLINK("https://klasma.github.io/Logging_0883/artfynd/A 51488-2024 artfynd.xlsx", "A 51488-2024")</f>
        <v/>
      </c>
      <c r="T248">
        <f>HYPERLINK("https://klasma.github.io/Logging_0883/kartor/A 51488-2024 karta.png", "A 51488-2024")</f>
        <v/>
      </c>
      <c r="V248">
        <f>HYPERLINK("https://klasma.github.io/Logging_0883/klagomål/A 51488-2024 FSC-klagomål.docx", "A 51488-2024")</f>
        <v/>
      </c>
      <c r="W248">
        <f>HYPERLINK("https://klasma.github.io/Logging_0883/klagomålsmail/A 51488-2024 FSC-klagomål mail.docx", "A 51488-2024")</f>
        <v/>
      </c>
      <c r="X248">
        <f>HYPERLINK("https://klasma.github.io/Logging_0883/tillsyn/A 51488-2024 tillsynsbegäran.docx", "A 51488-2024")</f>
        <v/>
      </c>
      <c r="Y248">
        <f>HYPERLINK("https://klasma.github.io/Logging_0883/tillsynsmail/A 51488-2024 tillsynsbegäran mail.docx", "A 51488-2024")</f>
        <v/>
      </c>
      <c r="Z248">
        <f>HYPERLINK("https://klasma.github.io/Logging_0883/fåglar/A 51488-2024 prioriterade fågelarter.docx", "A 51488-2024")</f>
        <v/>
      </c>
    </row>
    <row r="249" ht="15" customHeight="1">
      <c r="A249" t="inlineStr">
        <is>
          <t>A 30794-2025</t>
        </is>
      </c>
      <c r="B249" s="1" t="n">
        <v>45831.63834490741</v>
      </c>
      <c r="C249" s="1" t="n">
        <v>45923</v>
      </c>
      <c r="D249" t="inlineStr">
        <is>
          <t>KALMAR LÄN</t>
        </is>
      </c>
      <c r="E249" t="inlineStr">
        <is>
          <t>VÄSTERVIK</t>
        </is>
      </c>
      <c r="G249" t="n">
        <v>4.8</v>
      </c>
      <c r="H249" t="n">
        <v>0</v>
      </c>
      <c r="I249" t="n">
        <v>0</v>
      </c>
      <c r="J249" t="n">
        <v>1</v>
      </c>
      <c r="K249" t="n">
        <v>0</v>
      </c>
      <c r="L249" t="n">
        <v>0</v>
      </c>
      <c r="M249" t="n">
        <v>0</v>
      </c>
      <c r="N249" t="n">
        <v>0</v>
      </c>
      <c r="O249" t="n">
        <v>1</v>
      </c>
      <c r="P249" t="n">
        <v>0</v>
      </c>
      <c r="Q249" t="n">
        <v>1</v>
      </c>
      <c r="R249" s="2" t="inlineStr">
        <is>
          <t>Tallticka</t>
        </is>
      </c>
      <c r="S249">
        <f>HYPERLINK("https://klasma.github.io/Logging_0883/artfynd/A 30794-2025 artfynd.xlsx", "A 30794-2025")</f>
        <v/>
      </c>
      <c r="T249">
        <f>HYPERLINK("https://klasma.github.io/Logging_0883/kartor/A 30794-2025 karta.png", "A 30794-2025")</f>
        <v/>
      </c>
      <c r="V249">
        <f>HYPERLINK("https://klasma.github.io/Logging_0883/klagomål/A 30794-2025 FSC-klagomål.docx", "A 30794-2025")</f>
        <v/>
      </c>
      <c r="W249">
        <f>HYPERLINK("https://klasma.github.io/Logging_0883/klagomålsmail/A 30794-2025 FSC-klagomål mail.docx", "A 30794-2025")</f>
        <v/>
      </c>
      <c r="X249">
        <f>HYPERLINK("https://klasma.github.io/Logging_0883/tillsyn/A 30794-2025 tillsynsbegäran.docx", "A 30794-2025")</f>
        <v/>
      </c>
      <c r="Y249">
        <f>HYPERLINK("https://klasma.github.io/Logging_0883/tillsynsmail/A 30794-2025 tillsynsbegäran mail.docx", "A 30794-2025")</f>
        <v/>
      </c>
    </row>
    <row r="250" ht="15" customHeight="1">
      <c r="A250" t="inlineStr">
        <is>
          <t>A 35028-2024</t>
        </is>
      </c>
      <c r="B250" s="1" t="n">
        <v>45527.60524305556</v>
      </c>
      <c r="C250" s="1" t="n">
        <v>45923</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33916-2025</t>
        </is>
      </c>
      <c r="B251" s="1" t="n">
        <v>45842.61306712963</v>
      </c>
      <c r="C251" s="1" t="n">
        <v>45923</v>
      </c>
      <c r="D251" t="inlineStr">
        <is>
          <t>KALMAR LÄN</t>
        </is>
      </c>
      <c r="E251" t="inlineStr">
        <is>
          <t>VÄSTERVIK</t>
        </is>
      </c>
      <c r="G251" t="n">
        <v>0.7</v>
      </c>
      <c r="H251" t="n">
        <v>1</v>
      </c>
      <c r="I251" t="n">
        <v>0</v>
      </c>
      <c r="J251" t="n">
        <v>1</v>
      </c>
      <c r="K251" t="n">
        <v>0</v>
      </c>
      <c r="L251" t="n">
        <v>0</v>
      </c>
      <c r="M251" t="n">
        <v>0</v>
      </c>
      <c r="N251" t="n">
        <v>0</v>
      </c>
      <c r="O251" t="n">
        <v>1</v>
      </c>
      <c r="P251" t="n">
        <v>0</v>
      </c>
      <c r="Q251" t="n">
        <v>1</v>
      </c>
      <c r="R251" s="2" t="inlineStr">
        <is>
          <t>Talltita</t>
        </is>
      </c>
      <c r="S251">
        <f>HYPERLINK("https://klasma.github.io/Logging_0883/artfynd/A 33916-2025 artfynd.xlsx", "A 33916-2025")</f>
        <v/>
      </c>
      <c r="T251">
        <f>HYPERLINK("https://klasma.github.io/Logging_0883/kartor/A 33916-2025 karta.png", "A 33916-2025")</f>
        <v/>
      </c>
      <c r="V251">
        <f>HYPERLINK("https://klasma.github.io/Logging_0883/klagomål/A 33916-2025 FSC-klagomål.docx", "A 33916-2025")</f>
        <v/>
      </c>
      <c r="W251">
        <f>HYPERLINK("https://klasma.github.io/Logging_0883/klagomålsmail/A 33916-2025 FSC-klagomål mail.docx", "A 33916-2025")</f>
        <v/>
      </c>
      <c r="X251">
        <f>HYPERLINK("https://klasma.github.io/Logging_0883/tillsyn/A 33916-2025 tillsynsbegäran.docx", "A 33916-2025")</f>
        <v/>
      </c>
      <c r="Y251">
        <f>HYPERLINK("https://klasma.github.io/Logging_0883/tillsynsmail/A 33916-2025 tillsynsbegäran mail.docx", "A 33916-2025")</f>
        <v/>
      </c>
      <c r="Z251">
        <f>HYPERLINK("https://klasma.github.io/Logging_0883/fåglar/A 33916-2025 prioriterade fågelarter.docx", "A 33916-2025")</f>
        <v/>
      </c>
    </row>
    <row r="252" ht="15" customHeight="1">
      <c r="A252" t="inlineStr">
        <is>
          <t>A 11165-2024</t>
        </is>
      </c>
      <c r="B252" s="1" t="n">
        <v>45371</v>
      </c>
      <c r="C252" s="1" t="n">
        <v>45923</v>
      </c>
      <c r="D252" t="inlineStr">
        <is>
          <t>KALMAR LÄN</t>
        </is>
      </c>
      <c r="E252" t="inlineStr">
        <is>
          <t>VÄSTERVIK</t>
        </is>
      </c>
      <c r="G252" t="n">
        <v>3.7</v>
      </c>
      <c r="H252" t="n">
        <v>1</v>
      </c>
      <c r="I252" t="n">
        <v>0</v>
      </c>
      <c r="J252" t="n">
        <v>1</v>
      </c>
      <c r="K252" t="n">
        <v>0</v>
      </c>
      <c r="L252" t="n">
        <v>0</v>
      </c>
      <c r="M252" t="n">
        <v>0</v>
      </c>
      <c r="N252" t="n">
        <v>0</v>
      </c>
      <c r="O252" t="n">
        <v>1</v>
      </c>
      <c r="P252" t="n">
        <v>0</v>
      </c>
      <c r="Q252" t="n">
        <v>1</v>
      </c>
      <c r="R252" s="2" t="inlineStr">
        <is>
          <t>Spillkråka</t>
        </is>
      </c>
      <c r="S252">
        <f>HYPERLINK("https://klasma.github.io/Logging_0883/artfynd/A 11165-2024 artfynd.xlsx", "A 11165-2024")</f>
        <v/>
      </c>
      <c r="T252">
        <f>HYPERLINK("https://klasma.github.io/Logging_0883/kartor/A 11165-2024 karta.png", "A 11165-2024")</f>
        <v/>
      </c>
      <c r="V252">
        <f>HYPERLINK("https://klasma.github.io/Logging_0883/klagomål/A 11165-2024 FSC-klagomål.docx", "A 11165-2024")</f>
        <v/>
      </c>
      <c r="W252">
        <f>HYPERLINK("https://klasma.github.io/Logging_0883/klagomålsmail/A 11165-2024 FSC-klagomål mail.docx", "A 11165-2024")</f>
        <v/>
      </c>
      <c r="X252">
        <f>HYPERLINK("https://klasma.github.io/Logging_0883/tillsyn/A 11165-2024 tillsynsbegäran.docx", "A 11165-2024")</f>
        <v/>
      </c>
      <c r="Y252">
        <f>HYPERLINK("https://klasma.github.io/Logging_0883/tillsynsmail/A 11165-2024 tillsynsbegäran mail.docx", "A 11165-2024")</f>
        <v/>
      </c>
      <c r="Z252">
        <f>HYPERLINK("https://klasma.github.io/Logging_0883/fåglar/A 11165-2024 prioriterade fågelarter.docx", "A 11165-2024")</f>
        <v/>
      </c>
    </row>
    <row r="253" ht="15" customHeight="1">
      <c r="A253" t="inlineStr">
        <is>
          <t>A 4750-2025</t>
        </is>
      </c>
      <c r="B253" s="1" t="n">
        <v>45688</v>
      </c>
      <c r="C253" s="1" t="n">
        <v>45923</v>
      </c>
      <c r="D253" t="inlineStr">
        <is>
          <t>KALMAR LÄN</t>
        </is>
      </c>
      <c r="E253" t="inlineStr">
        <is>
          <t>VÄSTERVIK</t>
        </is>
      </c>
      <c r="F253" t="inlineStr">
        <is>
          <t>Holmen skog AB</t>
        </is>
      </c>
      <c r="G253" t="n">
        <v>0.9</v>
      </c>
      <c r="H253" t="n">
        <v>1</v>
      </c>
      <c r="I253" t="n">
        <v>0</v>
      </c>
      <c r="J253" t="n">
        <v>1</v>
      </c>
      <c r="K253" t="n">
        <v>0</v>
      </c>
      <c r="L253" t="n">
        <v>0</v>
      </c>
      <c r="M253" t="n">
        <v>0</v>
      </c>
      <c r="N253" t="n">
        <v>0</v>
      </c>
      <c r="O253" t="n">
        <v>1</v>
      </c>
      <c r="P253" t="n">
        <v>0</v>
      </c>
      <c r="Q253" t="n">
        <v>1</v>
      </c>
      <c r="R253" s="2" t="inlineStr">
        <is>
          <t>Talltita</t>
        </is>
      </c>
      <c r="S253">
        <f>HYPERLINK("https://klasma.github.io/Logging_0883/artfynd/A 4750-2025 artfynd.xlsx", "A 4750-2025")</f>
        <v/>
      </c>
      <c r="T253">
        <f>HYPERLINK("https://klasma.github.io/Logging_0883/kartor/A 4750-2025 karta.png", "A 4750-2025")</f>
        <v/>
      </c>
      <c r="V253">
        <f>HYPERLINK("https://klasma.github.io/Logging_0883/klagomål/A 4750-2025 FSC-klagomål.docx", "A 4750-2025")</f>
        <v/>
      </c>
      <c r="W253">
        <f>HYPERLINK("https://klasma.github.io/Logging_0883/klagomålsmail/A 4750-2025 FSC-klagomål mail.docx", "A 4750-2025")</f>
        <v/>
      </c>
      <c r="X253">
        <f>HYPERLINK("https://klasma.github.io/Logging_0883/tillsyn/A 4750-2025 tillsynsbegäran.docx", "A 4750-2025")</f>
        <v/>
      </c>
      <c r="Y253">
        <f>HYPERLINK("https://klasma.github.io/Logging_0883/tillsynsmail/A 4750-2025 tillsynsbegäran mail.docx", "A 4750-2025")</f>
        <v/>
      </c>
      <c r="Z253">
        <f>HYPERLINK("https://klasma.github.io/Logging_0883/fåglar/A 4750-2025 prioriterade fågelarter.docx", "A 4750-2025")</f>
        <v/>
      </c>
    </row>
    <row r="254" ht="15" customHeight="1">
      <c r="A254" t="inlineStr">
        <is>
          <t>A 34168-2025</t>
        </is>
      </c>
      <c r="B254" s="1" t="n">
        <v>45845.58349537037</v>
      </c>
      <c r="C254" s="1" t="n">
        <v>45923</v>
      </c>
      <c r="D254" t="inlineStr">
        <is>
          <t>KALMAR LÄN</t>
        </is>
      </c>
      <c r="E254" t="inlineStr">
        <is>
          <t>VÄSTERVIK</t>
        </is>
      </c>
      <c r="G254" t="n">
        <v>2.7</v>
      </c>
      <c r="H254" t="n">
        <v>1</v>
      </c>
      <c r="I254" t="n">
        <v>0</v>
      </c>
      <c r="J254" t="n">
        <v>1</v>
      </c>
      <c r="K254" t="n">
        <v>0</v>
      </c>
      <c r="L254" t="n">
        <v>0</v>
      </c>
      <c r="M254" t="n">
        <v>0</v>
      </c>
      <c r="N254" t="n">
        <v>0</v>
      </c>
      <c r="O254" t="n">
        <v>1</v>
      </c>
      <c r="P254" t="n">
        <v>0</v>
      </c>
      <c r="Q254" t="n">
        <v>1</v>
      </c>
      <c r="R254" s="2" t="inlineStr">
        <is>
          <t>Grönsångare</t>
        </is>
      </c>
      <c r="S254">
        <f>HYPERLINK("https://klasma.github.io/Logging_0883/artfynd/A 34168-2025 artfynd.xlsx", "A 34168-2025")</f>
        <v/>
      </c>
      <c r="T254">
        <f>HYPERLINK("https://klasma.github.io/Logging_0883/kartor/A 34168-2025 karta.png", "A 34168-2025")</f>
        <v/>
      </c>
      <c r="V254">
        <f>HYPERLINK("https://klasma.github.io/Logging_0883/klagomål/A 34168-2025 FSC-klagomål.docx", "A 34168-2025")</f>
        <v/>
      </c>
      <c r="W254">
        <f>HYPERLINK("https://klasma.github.io/Logging_0883/klagomålsmail/A 34168-2025 FSC-klagomål mail.docx", "A 34168-2025")</f>
        <v/>
      </c>
      <c r="X254">
        <f>HYPERLINK("https://klasma.github.io/Logging_0883/tillsyn/A 34168-2025 tillsynsbegäran.docx", "A 34168-2025")</f>
        <v/>
      </c>
      <c r="Y254">
        <f>HYPERLINK("https://klasma.github.io/Logging_0883/tillsynsmail/A 34168-2025 tillsynsbegäran mail.docx", "A 34168-2025")</f>
        <v/>
      </c>
      <c r="Z254">
        <f>HYPERLINK("https://klasma.github.io/Logging_0883/fåglar/A 34168-2025 prioriterade fågelarter.docx", "A 34168-2025")</f>
        <v/>
      </c>
    </row>
    <row r="255" ht="15" customHeight="1">
      <c r="A255" t="inlineStr">
        <is>
          <t>A 34166-2025</t>
        </is>
      </c>
      <c r="B255" s="1" t="n">
        <v>45845.5819675926</v>
      </c>
      <c r="C255" s="1" t="n">
        <v>45923</v>
      </c>
      <c r="D255" t="inlineStr">
        <is>
          <t>KALMAR LÄN</t>
        </is>
      </c>
      <c r="E255" t="inlineStr">
        <is>
          <t>VÄSTERVIK</t>
        </is>
      </c>
      <c r="G255" t="n">
        <v>3.5</v>
      </c>
      <c r="H255" t="n">
        <v>0</v>
      </c>
      <c r="I255" t="n">
        <v>0</v>
      </c>
      <c r="J255" t="n">
        <v>0</v>
      </c>
      <c r="K255" t="n">
        <v>0</v>
      </c>
      <c r="L255" t="n">
        <v>0</v>
      </c>
      <c r="M255" t="n">
        <v>1</v>
      </c>
      <c r="N255" t="n">
        <v>0</v>
      </c>
      <c r="O255" t="n">
        <v>1</v>
      </c>
      <c r="P255" t="n">
        <v>1</v>
      </c>
      <c r="Q255" t="n">
        <v>1</v>
      </c>
      <c r="R255" s="2" t="inlineStr">
        <is>
          <t>Skogsalm</t>
        </is>
      </c>
      <c r="S255">
        <f>HYPERLINK("https://klasma.github.io/Logging_0883/artfynd/A 34166-2025 artfynd.xlsx", "A 34166-2025")</f>
        <v/>
      </c>
      <c r="T255">
        <f>HYPERLINK("https://klasma.github.io/Logging_0883/kartor/A 34166-2025 karta.png", "A 34166-2025")</f>
        <v/>
      </c>
      <c r="V255">
        <f>HYPERLINK("https://klasma.github.io/Logging_0883/klagomål/A 34166-2025 FSC-klagomål.docx", "A 34166-2025")</f>
        <v/>
      </c>
      <c r="W255">
        <f>HYPERLINK("https://klasma.github.io/Logging_0883/klagomålsmail/A 34166-2025 FSC-klagomål mail.docx", "A 34166-2025")</f>
        <v/>
      </c>
      <c r="X255">
        <f>HYPERLINK("https://klasma.github.io/Logging_0883/tillsyn/A 34166-2025 tillsynsbegäran.docx", "A 34166-2025")</f>
        <v/>
      </c>
      <c r="Y255">
        <f>HYPERLINK("https://klasma.github.io/Logging_0883/tillsynsmail/A 34166-2025 tillsynsbegäran mail.docx", "A 34166-2025")</f>
        <v/>
      </c>
    </row>
    <row r="256" ht="15" customHeight="1">
      <c r="A256" t="inlineStr">
        <is>
          <t>A 34212-2025</t>
        </is>
      </c>
      <c r="B256" s="1" t="n">
        <v>45845.64383101852</v>
      </c>
      <c r="C256" s="1" t="n">
        <v>45923</v>
      </c>
      <c r="D256" t="inlineStr">
        <is>
          <t>KALMAR LÄN</t>
        </is>
      </c>
      <c r="E256" t="inlineStr">
        <is>
          <t>VÄSTERVIK</t>
        </is>
      </c>
      <c r="G256" t="n">
        <v>6.4</v>
      </c>
      <c r="H256" t="n">
        <v>0</v>
      </c>
      <c r="I256" t="n">
        <v>1</v>
      </c>
      <c r="J256" t="n">
        <v>0</v>
      </c>
      <c r="K256" t="n">
        <v>0</v>
      </c>
      <c r="L256" t="n">
        <v>0</v>
      </c>
      <c r="M256" t="n">
        <v>0</v>
      </c>
      <c r="N256" t="n">
        <v>0</v>
      </c>
      <c r="O256" t="n">
        <v>0</v>
      </c>
      <c r="P256" t="n">
        <v>0</v>
      </c>
      <c r="Q256" t="n">
        <v>1</v>
      </c>
      <c r="R256" s="2" t="inlineStr">
        <is>
          <t>Blåmossa</t>
        </is>
      </c>
      <c r="S256">
        <f>HYPERLINK("https://klasma.github.io/Logging_0883/artfynd/A 34212-2025 artfynd.xlsx", "A 34212-2025")</f>
        <v/>
      </c>
      <c r="T256">
        <f>HYPERLINK("https://klasma.github.io/Logging_0883/kartor/A 34212-2025 karta.png", "A 34212-2025")</f>
        <v/>
      </c>
      <c r="V256">
        <f>HYPERLINK("https://klasma.github.io/Logging_0883/klagomål/A 34212-2025 FSC-klagomål.docx", "A 34212-2025")</f>
        <v/>
      </c>
      <c r="W256">
        <f>HYPERLINK("https://klasma.github.io/Logging_0883/klagomålsmail/A 34212-2025 FSC-klagomål mail.docx", "A 34212-2025")</f>
        <v/>
      </c>
      <c r="X256">
        <f>HYPERLINK("https://klasma.github.io/Logging_0883/tillsyn/A 34212-2025 tillsynsbegäran.docx", "A 34212-2025")</f>
        <v/>
      </c>
      <c r="Y256">
        <f>HYPERLINK("https://klasma.github.io/Logging_0883/tillsynsmail/A 34212-2025 tillsynsbegäran mail.docx", "A 34212-2025")</f>
        <v/>
      </c>
    </row>
    <row r="257" ht="15" customHeight="1">
      <c r="A257" t="inlineStr">
        <is>
          <t>A 1959-2021</t>
        </is>
      </c>
      <c r="B257" s="1" t="n">
        <v>44210.65167824074</v>
      </c>
      <c r="C257" s="1" t="n">
        <v>45923</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45923</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45923</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45923</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45923</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45923</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45923</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45923</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45923</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45923</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45923</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45923</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45923</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17953-2022</t>
        </is>
      </c>
      <c r="B270" s="1" t="n">
        <v>44683.64341435185</v>
      </c>
      <c r="C270" s="1" t="n">
        <v>45923</v>
      </c>
      <c r="D270" t="inlineStr">
        <is>
          <t>KALMAR LÄN</t>
        </is>
      </c>
      <c r="E270" t="inlineStr">
        <is>
          <t>VÄSTERVIK</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14149-2021</t>
        </is>
      </c>
      <c r="B271" s="1" t="n">
        <v>44278</v>
      </c>
      <c r="C271" s="1" t="n">
        <v>45923</v>
      </c>
      <c r="D271" t="inlineStr">
        <is>
          <t>KALMAR LÄN</t>
        </is>
      </c>
      <c r="E271" t="inlineStr">
        <is>
          <t>VÄSTERVIK</t>
        </is>
      </c>
      <c r="G271" t="n">
        <v>4.1</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45923</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45923</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45923</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45923</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45923</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45923</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45923</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45923</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45923</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45923</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45923</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45923</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45923</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45923</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45923</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45923</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45923</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45923</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45923</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45923</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45923</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45923</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45923</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45923</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45923</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45923</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45923</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45923</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45923</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45923</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45923</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45923</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45923</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45923</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45923</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45923</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45923</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38613-2021</t>
        </is>
      </c>
      <c r="B309" s="1" t="n">
        <v>44409</v>
      </c>
      <c r="C309" s="1" t="n">
        <v>45923</v>
      </c>
      <c r="D309" t="inlineStr">
        <is>
          <t>KALMAR LÄN</t>
        </is>
      </c>
      <c r="E309" t="inlineStr">
        <is>
          <t>VÄSTERVIK</t>
        </is>
      </c>
      <c r="G309" t="n">
        <v>7</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45923</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45923</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45923</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45923</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45923</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45923</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45923</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45923</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45923</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45923</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45923</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45923</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45923</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45923</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45923</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45923</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45923</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45923</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45923</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45923</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45923</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45923</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45923</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45923</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45923</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45923</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45923</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45923</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45923</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45923</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45923</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45923</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45923</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45923</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45923</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55240-2020</t>
        </is>
      </c>
      <c r="B347" s="1" t="n">
        <v>44130.63965277778</v>
      </c>
      <c r="C347" s="1" t="n">
        <v>45923</v>
      </c>
      <c r="D347" t="inlineStr">
        <is>
          <t>KALMAR LÄN</t>
        </is>
      </c>
      <c r="E347" t="inlineStr">
        <is>
          <t>VÄSTERVIK</t>
        </is>
      </c>
      <c r="G347" t="n">
        <v>1.2</v>
      </c>
      <c r="H347" t="n">
        <v>0</v>
      </c>
      <c r="I347" t="n">
        <v>0</v>
      </c>
      <c r="J347" t="n">
        <v>0</v>
      </c>
      <c r="K347" t="n">
        <v>0</v>
      </c>
      <c r="L347" t="n">
        <v>0</v>
      </c>
      <c r="M347" t="n">
        <v>0</v>
      </c>
      <c r="N347" t="n">
        <v>0</v>
      </c>
      <c r="O347" t="n">
        <v>0</v>
      </c>
      <c r="P347" t="n">
        <v>0</v>
      </c>
      <c r="Q347" t="n">
        <v>0</v>
      </c>
      <c r="R347" s="2" t="inlineStr"/>
    </row>
    <row r="348" ht="15" customHeight="1">
      <c r="A348" t="inlineStr">
        <is>
          <t>A 13230-2021</t>
        </is>
      </c>
      <c r="B348" s="1" t="n">
        <v>44272</v>
      </c>
      <c r="C348" s="1" t="n">
        <v>45923</v>
      </c>
      <c r="D348" t="inlineStr">
        <is>
          <t>KALMAR LÄN</t>
        </is>
      </c>
      <c r="E348" t="inlineStr">
        <is>
          <t>VÄSTERVIK</t>
        </is>
      </c>
      <c r="G348" t="n">
        <v>7.2</v>
      </c>
      <c r="H348" t="n">
        <v>0</v>
      </c>
      <c r="I348" t="n">
        <v>0</v>
      </c>
      <c r="J348" t="n">
        <v>0</v>
      </c>
      <c r="K348" t="n">
        <v>0</v>
      </c>
      <c r="L348" t="n">
        <v>0</v>
      </c>
      <c r="M348" t="n">
        <v>0</v>
      </c>
      <c r="N348" t="n">
        <v>0</v>
      </c>
      <c r="O348" t="n">
        <v>0</v>
      </c>
      <c r="P348" t="n">
        <v>0</v>
      </c>
      <c r="Q348" t="n">
        <v>0</v>
      </c>
      <c r="R348" s="2" t="inlineStr"/>
    </row>
    <row r="349" ht="15" customHeight="1">
      <c r="A349" t="inlineStr">
        <is>
          <t>A 63635-2020</t>
        </is>
      </c>
      <c r="B349" s="1" t="n">
        <v>44162</v>
      </c>
      <c r="C349" s="1" t="n">
        <v>45923</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48135-2020</t>
        </is>
      </c>
      <c r="B350" s="1" t="n">
        <v>44099</v>
      </c>
      <c r="C350" s="1" t="n">
        <v>45923</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61799-2020</t>
        </is>
      </c>
      <c r="B351" s="1" t="n">
        <v>44158</v>
      </c>
      <c r="C351" s="1" t="n">
        <v>45923</v>
      </c>
      <c r="D351" t="inlineStr">
        <is>
          <t>KALMAR LÄN</t>
        </is>
      </c>
      <c r="E351" t="inlineStr">
        <is>
          <t>VÄSTERVIK</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49404-2021</t>
        </is>
      </c>
      <c r="B352" s="1" t="n">
        <v>44454.63494212963</v>
      </c>
      <c r="C352" s="1" t="n">
        <v>45923</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49407-2021</t>
        </is>
      </c>
      <c r="B353" s="1" t="n">
        <v>44454.63644675926</v>
      </c>
      <c r="C353" s="1" t="n">
        <v>45923</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320-2022</t>
        </is>
      </c>
      <c r="B354" s="1" t="n">
        <v>44565</v>
      </c>
      <c r="C354" s="1" t="n">
        <v>45923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61317-2021</t>
        </is>
      </c>
      <c r="B355" s="1" t="n">
        <v>44498.65975694444</v>
      </c>
      <c r="C355" s="1" t="n">
        <v>45923</v>
      </c>
      <c r="D355" t="inlineStr">
        <is>
          <t>KALMAR LÄN</t>
        </is>
      </c>
      <c r="E355" t="inlineStr">
        <is>
          <t>VÄSTERVIK</t>
        </is>
      </c>
      <c r="G355" t="n">
        <v>0.6</v>
      </c>
      <c r="H355" t="n">
        <v>0</v>
      </c>
      <c r="I355" t="n">
        <v>0</v>
      </c>
      <c r="J355" t="n">
        <v>0</v>
      </c>
      <c r="K355" t="n">
        <v>0</v>
      </c>
      <c r="L355" t="n">
        <v>0</v>
      </c>
      <c r="M355" t="n">
        <v>0</v>
      </c>
      <c r="N355" t="n">
        <v>0</v>
      </c>
      <c r="O355" t="n">
        <v>0</v>
      </c>
      <c r="P355" t="n">
        <v>0</v>
      </c>
      <c r="Q355" t="n">
        <v>0</v>
      </c>
      <c r="R355" s="2" t="inlineStr"/>
    </row>
    <row r="356" ht="15" customHeight="1">
      <c r="A356" t="inlineStr">
        <is>
          <t>A 56127-2020</t>
        </is>
      </c>
      <c r="B356" s="1" t="n">
        <v>44132</v>
      </c>
      <c r="C356" s="1" t="n">
        <v>45923</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10517-2021</t>
        </is>
      </c>
      <c r="B357" s="1" t="n">
        <v>44258</v>
      </c>
      <c r="C357" s="1" t="n">
        <v>45923</v>
      </c>
      <c r="D357" t="inlineStr">
        <is>
          <t>KALMAR LÄN</t>
        </is>
      </c>
      <c r="E357" t="inlineStr">
        <is>
          <t>VÄSTERVIK</t>
        </is>
      </c>
      <c r="G357" t="n">
        <v>3.6</v>
      </c>
      <c r="H357" t="n">
        <v>0</v>
      </c>
      <c r="I357" t="n">
        <v>0</v>
      </c>
      <c r="J357" t="n">
        <v>0</v>
      </c>
      <c r="K357" t="n">
        <v>0</v>
      </c>
      <c r="L357" t="n">
        <v>0</v>
      </c>
      <c r="M357" t="n">
        <v>0</v>
      </c>
      <c r="N357" t="n">
        <v>0</v>
      </c>
      <c r="O357" t="n">
        <v>0</v>
      </c>
      <c r="P357" t="n">
        <v>0</v>
      </c>
      <c r="Q357" t="n">
        <v>0</v>
      </c>
      <c r="R357" s="2" t="inlineStr"/>
    </row>
    <row r="358" ht="15" customHeight="1">
      <c r="A358" t="inlineStr">
        <is>
          <t>A 56620-2021</t>
        </is>
      </c>
      <c r="B358" s="1" t="n">
        <v>44480.82778935185</v>
      </c>
      <c r="C358" s="1" t="n">
        <v>45923</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19660-2021</t>
        </is>
      </c>
      <c r="B359" s="1" t="n">
        <v>44312</v>
      </c>
      <c r="C359" s="1" t="n">
        <v>45923</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51504-2021</t>
        </is>
      </c>
      <c r="B360" s="1" t="n">
        <v>44461</v>
      </c>
      <c r="C360" s="1" t="n">
        <v>45923</v>
      </c>
      <c r="D360" t="inlineStr">
        <is>
          <t>KALMAR LÄN</t>
        </is>
      </c>
      <c r="E360" t="inlineStr">
        <is>
          <t>VÄSTERVIK</t>
        </is>
      </c>
      <c r="G360" t="n">
        <v>6.4</v>
      </c>
      <c r="H360" t="n">
        <v>0</v>
      </c>
      <c r="I360" t="n">
        <v>0</v>
      </c>
      <c r="J360" t="n">
        <v>0</v>
      </c>
      <c r="K360" t="n">
        <v>0</v>
      </c>
      <c r="L360" t="n">
        <v>0</v>
      </c>
      <c r="M360" t="n">
        <v>0</v>
      </c>
      <c r="N360" t="n">
        <v>0</v>
      </c>
      <c r="O360" t="n">
        <v>0</v>
      </c>
      <c r="P360" t="n">
        <v>0</v>
      </c>
      <c r="Q360" t="n">
        <v>0</v>
      </c>
      <c r="R360" s="2" t="inlineStr"/>
    </row>
    <row r="361" ht="15" customHeight="1">
      <c r="A361" t="inlineStr">
        <is>
          <t>A 63212-2020</t>
        </is>
      </c>
      <c r="B361" s="1" t="n">
        <v>44163</v>
      </c>
      <c r="C361" s="1" t="n">
        <v>45923</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43759-2021</t>
        </is>
      </c>
      <c r="B362" s="1" t="n">
        <v>44433</v>
      </c>
      <c r="C362" s="1" t="n">
        <v>45923</v>
      </c>
      <c r="D362" t="inlineStr">
        <is>
          <t>KALMAR LÄN</t>
        </is>
      </c>
      <c r="E362" t="inlineStr">
        <is>
          <t>VÄSTERVIK</t>
        </is>
      </c>
      <c r="G362" t="n">
        <v>0.4</v>
      </c>
      <c r="H362" t="n">
        <v>0</v>
      </c>
      <c r="I362" t="n">
        <v>0</v>
      </c>
      <c r="J362" t="n">
        <v>0</v>
      </c>
      <c r="K362" t="n">
        <v>0</v>
      </c>
      <c r="L362" t="n">
        <v>0</v>
      </c>
      <c r="M362" t="n">
        <v>0</v>
      </c>
      <c r="N362" t="n">
        <v>0</v>
      </c>
      <c r="O362" t="n">
        <v>0</v>
      </c>
      <c r="P362" t="n">
        <v>0</v>
      </c>
      <c r="Q362" t="n">
        <v>0</v>
      </c>
      <c r="R362" s="2" t="inlineStr"/>
    </row>
    <row r="363" ht="15" customHeight="1">
      <c r="A363" t="inlineStr">
        <is>
          <t>A 61682-2020</t>
        </is>
      </c>
      <c r="B363" s="1" t="n">
        <v>44154</v>
      </c>
      <c r="C363" s="1" t="n">
        <v>45923</v>
      </c>
      <c r="D363" t="inlineStr">
        <is>
          <t>KALMAR LÄN</t>
        </is>
      </c>
      <c r="E363" t="inlineStr">
        <is>
          <t>VÄSTERVIK</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43826-2021</t>
        </is>
      </c>
      <c r="B364" s="1" t="n">
        <v>44433</v>
      </c>
      <c r="C364" s="1" t="n">
        <v>45923</v>
      </c>
      <c r="D364" t="inlineStr">
        <is>
          <t>KALMAR LÄN</t>
        </is>
      </c>
      <c r="E364" t="inlineStr">
        <is>
          <t>VÄSTERVIK</t>
        </is>
      </c>
      <c r="G364" t="n">
        <v>4.2</v>
      </c>
      <c r="H364" t="n">
        <v>0</v>
      </c>
      <c r="I364" t="n">
        <v>0</v>
      </c>
      <c r="J364" t="n">
        <v>0</v>
      </c>
      <c r="K364" t="n">
        <v>0</v>
      </c>
      <c r="L364" t="n">
        <v>0</v>
      </c>
      <c r="M364" t="n">
        <v>0</v>
      </c>
      <c r="N364" t="n">
        <v>0</v>
      </c>
      <c r="O364" t="n">
        <v>0</v>
      </c>
      <c r="P364" t="n">
        <v>0</v>
      </c>
      <c r="Q364" t="n">
        <v>0</v>
      </c>
      <c r="R364" s="2" t="inlineStr"/>
    </row>
    <row r="365" ht="15" customHeight="1">
      <c r="A365" t="inlineStr">
        <is>
          <t>A 10119-2022</t>
        </is>
      </c>
      <c r="B365" s="1" t="n">
        <v>44621.91652777778</v>
      </c>
      <c r="C365" s="1" t="n">
        <v>45923</v>
      </c>
      <c r="D365" t="inlineStr">
        <is>
          <t>KALMAR LÄN</t>
        </is>
      </c>
      <c r="E365" t="inlineStr">
        <is>
          <t>VÄSTERVIK</t>
        </is>
      </c>
      <c r="G365" t="n">
        <v>0.9</v>
      </c>
      <c r="H365" t="n">
        <v>0</v>
      </c>
      <c r="I365" t="n">
        <v>0</v>
      </c>
      <c r="J365" t="n">
        <v>0</v>
      </c>
      <c r="K365" t="n">
        <v>0</v>
      </c>
      <c r="L365" t="n">
        <v>0</v>
      </c>
      <c r="M365" t="n">
        <v>0</v>
      </c>
      <c r="N365" t="n">
        <v>0</v>
      </c>
      <c r="O365" t="n">
        <v>0</v>
      </c>
      <c r="P365" t="n">
        <v>0</v>
      </c>
      <c r="Q365" t="n">
        <v>0</v>
      </c>
      <c r="R365" s="2" t="inlineStr"/>
    </row>
    <row r="366" ht="15" customHeight="1">
      <c r="A366" t="inlineStr">
        <is>
          <t>A 34836-2022</t>
        </is>
      </c>
      <c r="B366" s="1" t="n">
        <v>44796</v>
      </c>
      <c r="C366" s="1" t="n">
        <v>45923</v>
      </c>
      <c r="D366" t="inlineStr">
        <is>
          <t>KALMAR LÄN</t>
        </is>
      </c>
      <c r="E366" t="inlineStr">
        <is>
          <t>VÄSTERVIK</t>
        </is>
      </c>
      <c r="G366" t="n">
        <v>1.3</v>
      </c>
      <c r="H366" t="n">
        <v>0</v>
      </c>
      <c r="I366" t="n">
        <v>0</v>
      </c>
      <c r="J366" t="n">
        <v>0</v>
      </c>
      <c r="K366" t="n">
        <v>0</v>
      </c>
      <c r="L366" t="n">
        <v>0</v>
      </c>
      <c r="M366" t="n">
        <v>0</v>
      </c>
      <c r="N366" t="n">
        <v>0</v>
      </c>
      <c r="O366" t="n">
        <v>0</v>
      </c>
      <c r="P366" t="n">
        <v>0</v>
      </c>
      <c r="Q366" t="n">
        <v>0</v>
      </c>
      <c r="R366" s="2" t="inlineStr"/>
    </row>
    <row r="367" ht="15" customHeight="1">
      <c r="A367" t="inlineStr">
        <is>
          <t>A 68811-2020</t>
        </is>
      </c>
      <c r="B367" s="1" t="n">
        <v>44187</v>
      </c>
      <c r="C367" s="1" t="n">
        <v>45923</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46527-2022</t>
        </is>
      </c>
      <c r="B368" s="1" t="n">
        <v>44848.59880787037</v>
      </c>
      <c r="C368" s="1" t="n">
        <v>45923</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37753-2021</t>
        </is>
      </c>
      <c r="B369" s="1" t="n">
        <v>44400.63810185185</v>
      </c>
      <c r="C369" s="1" t="n">
        <v>45923</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45923</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45923</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45923</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360-2022</t>
        </is>
      </c>
      <c r="B373" s="1" t="n">
        <v>44565.63162037037</v>
      </c>
      <c r="C373" s="1" t="n">
        <v>45923</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66757-2020</t>
        </is>
      </c>
      <c r="B374" s="1" t="n">
        <v>44175</v>
      </c>
      <c r="C374" s="1" t="n">
        <v>45923</v>
      </c>
      <c r="D374" t="inlineStr">
        <is>
          <t>KALMAR LÄN</t>
        </is>
      </c>
      <c r="E374" t="inlineStr">
        <is>
          <t>VÄSTERVIK</t>
        </is>
      </c>
      <c r="G374" t="n">
        <v>1.1</v>
      </c>
      <c r="H374" t="n">
        <v>0</v>
      </c>
      <c r="I374" t="n">
        <v>0</v>
      </c>
      <c r="J374" t="n">
        <v>0</v>
      </c>
      <c r="K374" t="n">
        <v>0</v>
      </c>
      <c r="L374" t="n">
        <v>0</v>
      </c>
      <c r="M374" t="n">
        <v>0</v>
      </c>
      <c r="N374" t="n">
        <v>0</v>
      </c>
      <c r="O374" t="n">
        <v>0</v>
      </c>
      <c r="P374" t="n">
        <v>0</v>
      </c>
      <c r="Q374" t="n">
        <v>0</v>
      </c>
      <c r="R374" s="2" t="inlineStr"/>
    </row>
    <row r="375" ht="15" customHeight="1">
      <c r="A375" t="inlineStr">
        <is>
          <t>A 959-2022</t>
        </is>
      </c>
      <c r="B375" s="1" t="n">
        <v>44571</v>
      </c>
      <c r="C375" s="1" t="n">
        <v>45923</v>
      </c>
      <c r="D375" t="inlineStr">
        <is>
          <t>KALMAR LÄN</t>
        </is>
      </c>
      <c r="E375" t="inlineStr">
        <is>
          <t>VÄSTERVIK</t>
        </is>
      </c>
      <c r="G375" t="n">
        <v>2.5</v>
      </c>
      <c r="H375" t="n">
        <v>0</v>
      </c>
      <c r="I375" t="n">
        <v>0</v>
      </c>
      <c r="J375" t="n">
        <v>0</v>
      </c>
      <c r="K375" t="n">
        <v>0</v>
      </c>
      <c r="L375" t="n">
        <v>0</v>
      </c>
      <c r="M375" t="n">
        <v>0</v>
      </c>
      <c r="N375" t="n">
        <v>0</v>
      </c>
      <c r="O375" t="n">
        <v>0</v>
      </c>
      <c r="P375" t="n">
        <v>0</v>
      </c>
      <c r="Q375" t="n">
        <v>0</v>
      </c>
      <c r="R375" s="2" t="inlineStr"/>
    </row>
    <row r="376" ht="15" customHeight="1">
      <c r="A376" t="inlineStr">
        <is>
          <t>A 46018-2022</t>
        </is>
      </c>
      <c r="B376" s="1" t="n">
        <v>44846</v>
      </c>
      <c r="C376" s="1" t="n">
        <v>45923</v>
      </c>
      <c r="D376" t="inlineStr">
        <is>
          <t>KALMAR LÄN</t>
        </is>
      </c>
      <c r="E376" t="inlineStr">
        <is>
          <t>VÄSTERVIK</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29909-2022</t>
        </is>
      </c>
      <c r="B377" s="1" t="n">
        <v>44756</v>
      </c>
      <c r="C377" s="1" t="n">
        <v>45923</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34118-2021</t>
        </is>
      </c>
      <c r="B378" s="1" t="n">
        <v>44379.45400462963</v>
      </c>
      <c r="C378" s="1" t="n">
        <v>45923</v>
      </c>
      <c r="D378" t="inlineStr">
        <is>
          <t>KALMAR LÄN</t>
        </is>
      </c>
      <c r="E378" t="inlineStr">
        <is>
          <t>VÄSTERVIK</t>
        </is>
      </c>
      <c r="G378" t="n">
        <v>0.4</v>
      </c>
      <c r="H378" t="n">
        <v>0</v>
      </c>
      <c r="I378" t="n">
        <v>0</v>
      </c>
      <c r="J378" t="n">
        <v>0</v>
      </c>
      <c r="K378" t="n">
        <v>0</v>
      </c>
      <c r="L378" t="n">
        <v>0</v>
      </c>
      <c r="M378" t="n">
        <v>0</v>
      </c>
      <c r="N378" t="n">
        <v>0</v>
      </c>
      <c r="O378" t="n">
        <v>0</v>
      </c>
      <c r="P378" t="n">
        <v>0</v>
      </c>
      <c r="Q378" t="n">
        <v>0</v>
      </c>
      <c r="R378" s="2" t="inlineStr"/>
    </row>
    <row r="379" ht="15" customHeight="1">
      <c r="A379" t="inlineStr">
        <is>
          <t>A 34125-2021</t>
        </is>
      </c>
      <c r="B379" s="1" t="n">
        <v>44379.4646875</v>
      </c>
      <c r="C379" s="1" t="n">
        <v>45923</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34493-2021</t>
        </is>
      </c>
      <c r="B380" s="1" t="n">
        <v>44382</v>
      </c>
      <c r="C380" s="1" t="n">
        <v>45923</v>
      </c>
      <c r="D380" t="inlineStr">
        <is>
          <t>KALMAR LÄN</t>
        </is>
      </c>
      <c r="E380" t="inlineStr">
        <is>
          <t>VÄSTERVIK</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45923</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45923</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69064-2020</t>
        </is>
      </c>
      <c r="B383" s="1" t="n">
        <v>44188.47537037037</v>
      </c>
      <c r="C383" s="1" t="n">
        <v>45923</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45923</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31319-2021</t>
        </is>
      </c>
      <c r="B385" s="1" t="n">
        <v>44368.91321759259</v>
      </c>
      <c r="C385" s="1" t="n">
        <v>45923</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55053-2024</t>
        </is>
      </c>
      <c r="B386" s="1" t="n">
        <v>45621.39938657408</v>
      </c>
      <c r="C386" s="1" t="n">
        <v>45923</v>
      </c>
      <c r="D386" t="inlineStr">
        <is>
          <t>KALMAR LÄN</t>
        </is>
      </c>
      <c r="E386" t="inlineStr">
        <is>
          <t>VÄSTERVIK</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38399-2022</t>
        </is>
      </c>
      <c r="B387" s="1" t="n">
        <v>44812</v>
      </c>
      <c r="C387" s="1" t="n">
        <v>45923</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43759-2023</t>
        </is>
      </c>
      <c r="B388" s="1" t="n">
        <v>45187</v>
      </c>
      <c r="C388" s="1" t="n">
        <v>45923</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57009-2020</t>
        </is>
      </c>
      <c r="B389" s="1" t="n">
        <v>44138</v>
      </c>
      <c r="C389" s="1" t="n">
        <v>45923</v>
      </c>
      <c r="D389" t="inlineStr">
        <is>
          <t>KALMAR LÄN</t>
        </is>
      </c>
      <c r="E389" t="inlineStr">
        <is>
          <t>VÄSTERVIK</t>
        </is>
      </c>
      <c r="F389" t="inlineStr">
        <is>
          <t>Holmen skog AB</t>
        </is>
      </c>
      <c r="G389" t="n">
        <v>1.7</v>
      </c>
      <c r="H389" t="n">
        <v>0</v>
      </c>
      <c r="I389" t="n">
        <v>0</v>
      </c>
      <c r="J389" t="n">
        <v>0</v>
      </c>
      <c r="K389" t="n">
        <v>0</v>
      </c>
      <c r="L389" t="n">
        <v>0</v>
      </c>
      <c r="M389" t="n">
        <v>0</v>
      </c>
      <c r="N389" t="n">
        <v>0</v>
      </c>
      <c r="O389" t="n">
        <v>0</v>
      </c>
      <c r="P389" t="n">
        <v>0</v>
      </c>
      <c r="Q389" t="n">
        <v>0</v>
      </c>
      <c r="R389" s="2" t="inlineStr"/>
      <c r="U389">
        <f>HYPERLINK("https://klasma.github.io/Logging_0883/knärot/A 57009-2020 karta knärot.png", "A 57009-2020")</f>
        <v/>
      </c>
      <c r="V389">
        <f>HYPERLINK("https://klasma.github.io/Logging_0883/klagomål/A 57009-2020 FSC-klagomål.docx", "A 57009-2020")</f>
        <v/>
      </c>
      <c r="W389">
        <f>HYPERLINK("https://klasma.github.io/Logging_0883/klagomålsmail/A 57009-2020 FSC-klagomål mail.docx", "A 57009-2020")</f>
        <v/>
      </c>
      <c r="X389">
        <f>HYPERLINK("https://klasma.github.io/Logging_0883/tillsyn/A 57009-2020 tillsynsbegäran.docx", "A 57009-2020")</f>
        <v/>
      </c>
      <c r="Y389">
        <f>HYPERLINK("https://klasma.github.io/Logging_0883/tillsynsmail/A 57009-2020 tillsynsbegäran mail.docx", "A 57009-2020")</f>
        <v/>
      </c>
    </row>
    <row r="390" ht="15" customHeight="1">
      <c r="A390" t="inlineStr">
        <is>
          <t>A 44705-2023</t>
        </is>
      </c>
      <c r="B390" s="1" t="n">
        <v>45190</v>
      </c>
      <c r="C390" s="1" t="n">
        <v>45923</v>
      </c>
      <c r="D390" t="inlineStr">
        <is>
          <t>KALMAR LÄN</t>
        </is>
      </c>
      <c r="E390" t="inlineStr">
        <is>
          <t>VÄSTERVIK</t>
        </is>
      </c>
      <c r="G390" t="n">
        <v>1.4</v>
      </c>
      <c r="H390" t="n">
        <v>0</v>
      </c>
      <c r="I390" t="n">
        <v>0</v>
      </c>
      <c r="J390" t="n">
        <v>0</v>
      </c>
      <c r="K390" t="n">
        <v>0</v>
      </c>
      <c r="L390" t="n">
        <v>0</v>
      </c>
      <c r="M390" t="n">
        <v>0</v>
      </c>
      <c r="N390" t="n">
        <v>0</v>
      </c>
      <c r="O390" t="n">
        <v>0</v>
      </c>
      <c r="P390" t="n">
        <v>0</v>
      </c>
      <c r="Q390" t="n">
        <v>0</v>
      </c>
      <c r="R390" s="2" t="inlineStr"/>
    </row>
    <row r="391" ht="15" customHeight="1">
      <c r="A391" t="inlineStr">
        <is>
          <t>A 66149-2020</t>
        </is>
      </c>
      <c r="B391" s="1" t="n">
        <v>44173</v>
      </c>
      <c r="C391" s="1" t="n">
        <v>45923</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12333-2025</t>
        </is>
      </c>
      <c r="B392" s="1" t="n">
        <v>45730</v>
      </c>
      <c r="C392" s="1" t="n">
        <v>45923</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45923</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57922-2020</t>
        </is>
      </c>
      <c r="B394" s="1" t="n">
        <v>44141</v>
      </c>
      <c r="C394" s="1" t="n">
        <v>45923</v>
      </c>
      <c r="D394" t="inlineStr">
        <is>
          <t>KALMAR LÄN</t>
        </is>
      </c>
      <c r="E394" t="inlineStr">
        <is>
          <t>VÄSTERVIK</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45923</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45450-2023</t>
        </is>
      </c>
      <c r="B396" s="1" t="n">
        <v>45194</v>
      </c>
      <c r="C396" s="1" t="n">
        <v>45923</v>
      </c>
      <c r="D396" t="inlineStr">
        <is>
          <t>KALMAR LÄN</t>
        </is>
      </c>
      <c r="E396" t="inlineStr">
        <is>
          <t>VÄSTERVIK</t>
        </is>
      </c>
      <c r="F396" t="inlineStr">
        <is>
          <t>Holmen skog AB</t>
        </is>
      </c>
      <c r="G396" t="n">
        <v>1.5</v>
      </c>
      <c r="H396" t="n">
        <v>0</v>
      </c>
      <c r="I396" t="n">
        <v>0</v>
      </c>
      <c r="J396" t="n">
        <v>0</v>
      </c>
      <c r="K396" t="n">
        <v>0</v>
      </c>
      <c r="L396" t="n">
        <v>0</v>
      </c>
      <c r="M396" t="n">
        <v>0</v>
      </c>
      <c r="N396" t="n">
        <v>0</v>
      </c>
      <c r="O396" t="n">
        <v>0</v>
      </c>
      <c r="P396" t="n">
        <v>0</v>
      </c>
      <c r="Q396" t="n">
        <v>0</v>
      </c>
      <c r="R396" s="2" t="inlineStr"/>
    </row>
    <row r="397" ht="15" customHeight="1">
      <c r="A397" t="inlineStr">
        <is>
          <t>A 45474-2023</t>
        </is>
      </c>
      <c r="B397" s="1" t="n">
        <v>45194</v>
      </c>
      <c r="C397" s="1" t="n">
        <v>45923</v>
      </c>
      <c r="D397" t="inlineStr">
        <is>
          <t>KALMAR LÄN</t>
        </is>
      </c>
      <c r="E397" t="inlineStr">
        <is>
          <t>VÄSTERVIK</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18837-2021</t>
        </is>
      </c>
      <c r="B398" s="1" t="n">
        <v>44307</v>
      </c>
      <c r="C398" s="1" t="n">
        <v>45923</v>
      </c>
      <c r="D398" t="inlineStr">
        <is>
          <t>KALMAR LÄN</t>
        </is>
      </c>
      <c r="E398" t="inlineStr">
        <is>
          <t>VÄSTERVIK</t>
        </is>
      </c>
      <c r="G398" t="n">
        <v>1.6</v>
      </c>
      <c r="H398" t="n">
        <v>0</v>
      </c>
      <c r="I398" t="n">
        <v>0</v>
      </c>
      <c r="J398" t="n">
        <v>0</v>
      </c>
      <c r="K398" t="n">
        <v>0</v>
      </c>
      <c r="L398" t="n">
        <v>0</v>
      </c>
      <c r="M398" t="n">
        <v>0</v>
      </c>
      <c r="N398" t="n">
        <v>0</v>
      </c>
      <c r="O398" t="n">
        <v>0</v>
      </c>
      <c r="P398" t="n">
        <v>0</v>
      </c>
      <c r="Q398" t="n">
        <v>0</v>
      </c>
      <c r="R398" s="2" t="inlineStr"/>
    </row>
    <row r="399" ht="15" customHeight="1">
      <c r="A399" t="inlineStr">
        <is>
          <t>A 4520-2024</t>
        </is>
      </c>
      <c r="B399" s="1" t="n">
        <v>45327</v>
      </c>
      <c r="C399" s="1" t="n">
        <v>45923</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15591-2021</t>
        </is>
      </c>
      <c r="B400" s="1" t="n">
        <v>44285.66303240741</v>
      </c>
      <c r="C400" s="1" t="n">
        <v>45923</v>
      </c>
      <c r="D400" t="inlineStr">
        <is>
          <t>KALMAR LÄN</t>
        </is>
      </c>
      <c r="E400" t="inlineStr">
        <is>
          <t>VÄSTERVIK</t>
        </is>
      </c>
      <c r="G400" t="n">
        <v>2.1</v>
      </c>
      <c r="H400" t="n">
        <v>0</v>
      </c>
      <c r="I400" t="n">
        <v>0</v>
      </c>
      <c r="J400" t="n">
        <v>0</v>
      </c>
      <c r="K400" t="n">
        <v>0</v>
      </c>
      <c r="L400" t="n">
        <v>0</v>
      </c>
      <c r="M400" t="n">
        <v>0</v>
      </c>
      <c r="N400" t="n">
        <v>0</v>
      </c>
      <c r="O400" t="n">
        <v>0</v>
      </c>
      <c r="P400" t="n">
        <v>0</v>
      </c>
      <c r="Q400" t="n">
        <v>0</v>
      </c>
      <c r="R400" s="2" t="inlineStr"/>
    </row>
    <row r="401" ht="15" customHeight="1">
      <c r="A401" t="inlineStr">
        <is>
          <t>A 49398-2021</t>
        </is>
      </c>
      <c r="B401" s="1" t="n">
        <v>44454.63141203704</v>
      </c>
      <c r="C401" s="1" t="n">
        <v>45923</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47363-2023</t>
        </is>
      </c>
      <c r="B402" s="1" t="n">
        <v>45202.59584490741</v>
      </c>
      <c r="C402" s="1" t="n">
        <v>45923</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45923</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789-2021</t>
        </is>
      </c>
      <c r="B404" s="1" t="n">
        <v>44204</v>
      </c>
      <c r="C404" s="1" t="n">
        <v>45923</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5355-2024</t>
        </is>
      </c>
      <c r="B405" s="1" t="n">
        <v>45331</v>
      </c>
      <c r="C405" s="1" t="n">
        <v>45923</v>
      </c>
      <c r="D405" t="inlineStr">
        <is>
          <t>KALMAR LÄN</t>
        </is>
      </c>
      <c r="E405" t="inlineStr">
        <is>
          <t>VÄSTERVIK</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43807-2021</t>
        </is>
      </c>
      <c r="B406" s="1" t="n">
        <v>44433</v>
      </c>
      <c r="C406" s="1" t="n">
        <v>45923</v>
      </c>
      <c r="D406" t="inlineStr">
        <is>
          <t>KALMAR LÄN</t>
        </is>
      </c>
      <c r="E406" t="inlineStr">
        <is>
          <t>VÄSTERVIK</t>
        </is>
      </c>
      <c r="G406" t="n">
        <v>3.2</v>
      </c>
      <c r="H406" t="n">
        <v>0</v>
      </c>
      <c r="I406" t="n">
        <v>0</v>
      </c>
      <c r="J406" t="n">
        <v>0</v>
      </c>
      <c r="K406" t="n">
        <v>0</v>
      </c>
      <c r="L406" t="n">
        <v>0</v>
      </c>
      <c r="M406" t="n">
        <v>0</v>
      </c>
      <c r="N406" t="n">
        <v>0</v>
      </c>
      <c r="O406" t="n">
        <v>0</v>
      </c>
      <c r="P406" t="n">
        <v>0</v>
      </c>
      <c r="Q406" t="n">
        <v>0</v>
      </c>
      <c r="R406" s="2" t="inlineStr"/>
    </row>
    <row r="407" ht="15" customHeight="1">
      <c r="A407" t="inlineStr">
        <is>
          <t>A 40920-2022</t>
        </is>
      </c>
      <c r="B407" s="1" t="n">
        <v>44825.40943287037</v>
      </c>
      <c r="C407" s="1" t="n">
        <v>45923</v>
      </c>
      <c r="D407" t="inlineStr">
        <is>
          <t>KALMAR LÄN</t>
        </is>
      </c>
      <c r="E407" t="inlineStr">
        <is>
          <t>VÄSTERVIK</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45923</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45923</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72378-2021</t>
        </is>
      </c>
      <c r="B410" s="1" t="n">
        <v>44545.56285879629</v>
      </c>
      <c r="C410" s="1" t="n">
        <v>45923</v>
      </c>
      <c r="D410" t="inlineStr">
        <is>
          <t>KALMAR LÄN</t>
        </is>
      </c>
      <c r="E410" t="inlineStr">
        <is>
          <t>VÄSTERVIK</t>
        </is>
      </c>
      <c r="G410" t="n">
        <v>4.4</v>
      </c>
      <c r="H410" t="n">
        <v>0</v>
      </c>
      <c r="I410" t="n">
        <v>0</v>
      </c>
      <c r="J410" t="n">
        <v>0</v>
      </c>
      <c r="K410" t="n">
        <v>0</v>
      </c>
      <c r="L410" t="n">
        <v>0</v>
      </c>
      <c r="M410" t="n">
        <v>0</v>
      </c>
      <c r="N410" t="n">
        <v>0</v>
      </c>
      <c r="O410" t="n">
        <v>0</v>
      </c>
      <c r="P410" t="n">
        <v>0</v>
      </c>
      <c r="Q410" t="n">
        <v>0</v>
      </c>
      <c r="R410" s="2" t="inlineStr"/>
    </row>
    <row r="411" ht="15" customHeight="1">
      <c r="A411" t="inlineStr">
        <is>
          <t>A 47530-2021</t>
        </is>
      </c>
      <c r="B411" s="1" t="n">
        <v>44447</v>
      </c>
      <c r="C411" s="1" t="n">
        <v>45923</v>
      </c>
      <c r="D411" t="inlineStr">
        <is>
          <t>KALMAR LÄN</t>
        </is>
      </c>
      <c r="E411" t="inlineStr">
        <is>
          <t>VÄSTERVIK</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45923</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45923</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16689-2025</t>
        </is>
      </c>
      <c r="B414" s="1" t="n">
        <v>45754.45739583333</v>
      </c>
      <c r="C414" s="1" t="n">
        <v>45923</v>
      </c>
      <c r="D414" t="inlineStr">
        <is>
          <t>KALMAR LÄN</t>
        </is>
      </c>
      <c r="E414" t="inlineStr">
        <is>
          <t>VÄSTERVIK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16693-2025</t>
        </is>
      </c>
      <c r="B415" s="1" t="n">
        <v>45754.4644675926</v>
      </c>
      <c r="C415" s="1" t="n">
        <v>45923</v>
      </c>
      <c r="D415" t="inlineStr">
        <is>
          <t>KALMAR LÄN</t>
        </is>
      </c>
      <c r="E415" t="inlineStr">
        <is>
          <t>VÄSTERVIK</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562-2023</t>
        </is>
      </c>
      <c r="B416" s="1" t="n">
        <v>44930</v>
      </c>
      <c r="C416" s="1" t="n">
        <v>45923</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7925-2023</t>
        </is>
      </c>
      <c r="B417" s="1" t="n">
        <v>44973.64606481481</v>
      </c>
      <c r="C417" s="1" t="n">
        <v>45923</v>
      </c>
      <c r="D417" t="inlineStr">
        <is>
          <t>KALMAR LÄN</t>
        </is>
      </c>
      <c r="E417" t="inlineStr">
        <is>
          <t>VÄSTERVIK</t>
        </is>
      </c>
      <c r="G417" t="n">
        <v>4.9</v>
      </c>
      <c r="H417" t="n">
        <v>0</v>
      </c>
      <c r="I417" t="n">
        <v>0</v>
      </c>
      <c r="J417" t="n">
        <v>0</v>
      </c>
      <c r="K417" t="n">
        <v>0</v>
      </c>
      <c r="L417" t="n">
        <v>0</v>
      </c>
      <c r="M417" t="n">
        <v>0</v>
      </c>
      <c r="N417" t="n">
        <v>0</v>
      </c>
      <c r="O417" t="n">
        <v>0</v>
      </c>
      <c r="P417" t="n">
        <v>0</v>
      </c>
      <c r="Q417" t="n">
        <v>0</v>
      </c>
      <c r="R417" s="2" t="inlineStr"/>
    </row>
    <row r="418" ht="15" customHeight="1">
      <c r="A418" t="inlineStr">
        <is>
          <t>A 51510-2024</t>
        </is>
      </c>
      <c r="B418" s="1" t="n">
        <v>45604.55837962963</v>
      </c>
      <c r="C418" s="1" t="n">
        <v>45923</v>
      </c>
      <c r="D418" t="inlineStr">
        <is>
          <t>KALMAR LÄN</t>
        </is>
      </c>
      <c r="E418" t="inlineStr">
        <is>
          <t>VÄSTERVIK</t>
        </is>
      </c>
      <c r="F418" t="inlineStr">
        <is>
          <t>Övriga Aktiebolag</t>
        </is>
      </c>
      <c r="G418" t="n">
        <v>1.5</v>
      </c>
      <c r="H418" t="n">
        <v>0</v>
      </c>
      <c r="I418" t="n">
        <v>0</v>
      </c>
      <c r="J418" t="n">
        <v>0</v>
      </c>
      <c r="K418" t="n">
        <v>0</v>
      </c>
      <c r="L418" t="n">
        <v>0</v>
      </c>
      <c r="M418" t="n">
        <v>0</v>
      </c>
      <c r="N418" t="n">
        <v>0</v>
      </c>
      <c r="O418" t="n">
        <v>0</v>
      </c>
      <c r="P418" t="n">
        <v>0</v>
      </c>
      <c r="Q418" t="n">
        <v>0</v>
      </c>
      <c r="R418" s="2" t="inlineStr"/>
    </row>
    <row r="419" ht="15" customHeight="1">
      <c r="A419" t="inlineStr">
        <is>
          <t>A 34644-2022</t>
        </is>
      </c>
      <c r="B419" s="1" t="n">
        <v>44795</v>
      </c>
      <c r="C419" s="1" t="n">
        <v>45923</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928-2024</t>
        </is>
      </c>
      <c r="B420" s="1" t="n">
        <v>45301</v>
      </c>
      <c r="C420" s="1" t="n">
        <v>45923</v>
      </c>
      <c r="D420" t="inlineStr">
        <is>
          <t>KALMAR LÄN</t>
        </is>
      </c>
      <c r="E420" t="inlineStr">
        <is>
          <t>VÄSTERVIK</t>
        </is>
      </c>
      <c r="G420" t="n">
        <v>4.8</v>
      </c>
      <c r="H420" t="n">
        <v>0</v>
      </c>
      <c r="I420" t="n">
        <v>0</v>
      </c>
      <c r="J420" t="n">
        <v>0</v>
      </c>
      <c r="K420" t="n">
        <v>0</v>
      </c>
      <c r="L420" t="n">
        <v>0</v>
      </c>
      <c r="M420" t="n">
        <v>0</v>
      </c>
      <c r="N420" t="n">
        <v>0</v>
      </c>
      <c r="O420" t="n">
        <v>0</v>
      </c>
      <c r="P420" t="n">
        <v>0</v>
      </c>
      <c r="Q420" t="n">
        <v>0</v>
      </c>
      <c r="R420" s="2" t="inlineStr"/>
    </row>
    <row r="421" ht="15" customHeight="1">
      <c r="A421" t="inlineStr">
        <is>
          <t>A 12433-2024</t>
        </is>
      </c>
      <c r="B421" s="1" t="n">
        <v>45379.44450231481</v>
      </c>
      <c r="C421" s="1" t="n">
        <v>45923</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8007-2023</t>
        </is>
      </c>
      <c r="B422" s="1" t="n">
        <v>44973.88759259259</v>
      </c>
      <c r="C422" s="1" t="n">
        <v>45923</v>
      </c>
      <c r="D422" t="inlineStr">
        <is>
          <t>KALMAR LÄN</t>
        </is>
      </c>
      <c r="E422" t="inlineStr">
        <is>
          <t>VÄSTERVIK</t>
        </is>
      </c>
      <c r="G422" t="n">
        <v>4.5</v>
      </c>
      <c r="H422" t="n">
        <v>0</v>
      </c>
      <c r="I422" t="n">
        <v>0</v>
      </c>
      <c r="J422" t="n">
        <v>0</v>
      </c>
      <c r="K422" t="n">
        <v>0</v>
      </c>
      <c r="L422" t="n">
        <v>0</v>
      </c>
      <c r="M422" t="n">
        <v>0</v>
      </c>
      <c r="N422" t="n">
        <v>0</v>
      </c>
      <c r="O422" t="n">
        <v>0</v>
      </c>
      <c r="P422" t="n">
        <v>0</v>
      </c>
      <c r="Q422" t="n">
        <v>0</v>
      </c>
      <c r="R422" s="2" t="inlineStr"/>
    </row>
    <row r="423" ht="15" customHeight="1">
      <c r="A423" t="inlineStr">
        <is>
          <t>A 17650-2023</t>
        </is>
      </c>
      <c r="B423" s="1" t="n">
        <v>45036.70215277778</v>
      </c>
      <c r="C423" s="1" t="n">
        <v>45923</v>
      </c>
      <c r="D423" t="inlineStr">
        <is>
          <t>KALMAR LÄN</t>
        </is>
      </c>
      <c r="E423" t="inlineStr">
        <is>
          <t>VÄSTERVIK</t>
        </is>
      </c>
      <c r="G423" t="n">
        <v>0.3</v>
      </c>
      <c r="H423" t="n">
        <v>0</v>
      </c>
      <c r="I423" t="n">
        <v>0</v>
      </c>
      <c r="J423" t="n">
        <v>0</v>
      </c>
      <c r="K423" t="n">
        <v>0</v>
      </c>
      <c r="L423" t="n">
        <v>0</v>
      </c>
      <c r="M423" t="n">
        <v>0</v>
      </c>
      <c r="N423" t="n">
        <v>0</v>
      </c>
      <c r="O423" t="n">
        <v>0</v>
      </c>
      <c r="P423" t="n">
        <v>0</v>
      </c>
      <c r="Q423" t="n">
        <v>0</v>
      </c>
      <c r="R423" s="2" t="inlineStr"/>
    </row>
    <row r="424" ht="15" customHeight="1">
      <c r="A424" t="inlineStr">
        <is>
          <t>A 48035-2024</t>
        </is>
      </c>
      <c r="B424" s="1" t="n">
        <v>45589.49168981481</v>
      </c>
      <c r="C424" s="1" t="n">
        <v>45923</v>
      </c>
      <c r="D424" t="inlineStr">
        <is>
          <t>KALMAR LÄN</t>
        </is>
      </c>
      <c r="E424" t="inlineStr">
        <is>
          <t>VÄSTERVIK</t>
        </is>
      </c>
      <c r="G424" t="n">
        <v>2.1</v>
      </c>
      <c r="H424" t="n">
        <v>0</v>
      </c>
      <c r="I424" t="n">
        <v>0</v>
      </c>
      <c r="J424" t="n">
        <v>0</v>
      </c>
      <c r="K424" t="n">
        <v>0</v>
      </c>
      <c r="L424" t="n">
        <v>0</v>
      </c>
      <c r="M424" t="n">
        <v>0</v>
      </c>
      <c r="N424" t="n">
        <v>0</v>
      </c>
      <c r="O424" t="n">
        <v>0</v>
      </c>
      <c r="P424" t="n">
        <v>0</v>
      </c>
      <c r="Q424" t="n">
        <v>0</v>
      </c>
      <c r="R424" s="2" t="inlineStr"/>
    </row>
    <row r="425" ht="15" customHeight="1">
      <c r="A425" t="inlineStr">
        <is>
          <t>A 46267-2022</t>
        </is>
      </c>
      <c r="B425" s="1" t="n">
        <v>44847</v>
      </c>
      <c r="C425" s="1" t="n">
        <v>45923</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11189-2024</t>
        </is>
      </c>
      <c r="B426" s="1" t="n">
        <v>45371</v>
      </c>
      <c r="C426" s="1" t="n">
        <v>45923</v>
      </c>
      <c r="D426" t="inlineStr">
        <is>
          <t>KALMAR LÄN</t>
        </is>
      </c>
      <c r="E426" t="inlineStr">
        <is>
          <t>VÄSTERVIK</t>
        </is>
      </c>
      <c r="G426" t="n">
        <v>5.2</v>
      </c>
      <c r="H426" t="n">
        <v>0</v>
      </c>
      <c r="I426" t="n">
        <v>0</v>
      </c>
      <c r="J426" t="n">
        <v>0</v>
      </c>
      <c r="K426" t="n">
        <v>0</v>
      </c>
      <c r="L426" t="n">
        <v>0</v>
      </c>
      <c r="M426" t="n">
        <v>0</v>
      </c>
      <c r="N426" t="n">
        <v>0</v>
      </c>
      <c r="O426" t="n">
        <v>0</v>
      </c>
      <c r="P426" t="n">
        <v>0</v>
      </c>
      <c r="Q426" t="n">
        <v>0</v>
      </c>
      <c r="R426" s="2" t="inlineStr"/>
    </row>
    <row r="427" ht="15" customHeight="1">
      <c r="A427" t="inlineStr">
        <is>
          <t>A 39428-2025</t>
        </is>
      </c>
      <c r="B427" s="1" t="n">
        <v>45889.67436342593</v>
      </c>
      <c r="C427" s="1" t="n">
        <v>45923</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31952-2021</t>
        </is>
      </c>
      <c r="B428" s="1" t="n">
        <v>44370</v>
      </c>
      <c r="C428" s="1" t="n">
        <v>45923</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34916-2025</t>
        </is>
      </c>
      <c r="B429" s="1" t="n">
        <v>45849.54420138889</v>
      </c>
      <c r="C429" s="1" t="n">
        <v>45923</v>
      </c>
      <c r="D429" t="inlineStr">
        <is>
          <t>KALMAR LÄN</t>
        </is>
      </c>
      <c r="E429" t="inlineStr">
        <is>
          <t>VÄSTERVIK</t>
        </is>
      </c>
      <c r="G429" t="n">
        <v>0.7</v>
      </c>
      <c r="H429" t="n">
        <v>0</v>
      </c>
      <c r="I429" t="n">
        <v>0</v>
      </c>
      <c r="J429" t="n">
        <v>0</v>
      </c>
      <c r="K429" t="n">
        <v>0</v>
      </c>
      <c r="L429" t="n">
        <v>0</v>
      </c>
      <c r="M429" t="n">
        <v>0</v>
      </c>
      <c r="N429" t="n">
        <v>0</v>
      </c>
      <c r="O429" t="n">
        <v>0</v>
      </c>
      <c r="P429" t="n">
        <v>0</v>
      </c>
      <c r="Q429" t="n">
        <v>0</v>
      </c>
      <c r="R429" s="2" t="inlineStr"/>
    </row>
    <row r="430" ht="15" customHeight="1">
      <c r="A430" t="inlineStr">
        <is>
          <t>A 46560-2022</t>
        </is>
      </c>
      <c r="B430" s="1" t="n">
        <v>44848</v>
      </c>
      <c r="C430" s="1" t="n">
        <v>45923</v>
      </c>
      <c r="D430" t="inlineStr">
        <is>
          <t>KALMAR LÄN</t>
        </is>
      </c>
      <c r="E430" t="inlineStr">
        <is>
          <t>VÄSTERVIK</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10012-2025</t>
        </is>
      </c>
      <c r="B431" s="1" t="n">
        <v>45719.46681712963</v>
      </c>
      <c r="C431" s="1" t="n">
        <v>45923</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49452-2023</t>
        </is>
      </c>
      <c r="B432" s="1" t="n">
        <v>45211.49424768519</v>
      </c>
      <c r="C432" s="1" t="n">
        <v>45923</v>
      </c>
      <c r="D432" t="inlineStr">
        <is>
          <t>KALMAR LÄN</t>
        </is>
      </c>
      <c r="E432" t="inlineStr">
        <is>
          <t>VÄSTERVIK</t>
        </is>
      </c>
      <c r="F432" t="inlineStr">
        <is>
          <t>Övriga Aktiebolag</t>
        </is>
      </c>
      <c r="G432" t="n">
        <v>2.2</v>
      </c>
      <c r="H432" t="n">
        <v>0</v>
      </c>
      <c r="I432" t="n">
        <v>0</v>
      </c>
      <c r="J432" t="n">
        <v>0</v>
      </c>
      <c r="K432" t="n">
        <v>0</v>
      </c>
      <c r="L432" t="n">
        <v>0</v>
      </c>
      <c r="M432" t="n">
        <v>0</v>
      </c>
      <c r="N432" t="n">
        <v>0</v>
      </c>
      <c r="O432" t="n">
        <v>0</v>
      </c>
      <c r="P432" t="n">
        <v>0</v>
      </c>
      <c r="Q432" t="n">
        <v>0</v>
      </c>
      <c r="R432" s="2" t="inlineStr"/>
    </row>
    <row r="433" ht="15" customHeight="1">
      <c r="A433" t="inlineStr">
        <is>
          <t>A 13836-2024</t>
        </is>
      </c>
      <c r="B433" s="1" t="n">
        <v>45391.44385416667</v>
      </c>
      <c r="C433" s="1" t="n">
        <v>45923</v>
      </c>
      <c r="D433" t="inlineStr">
        <is>
          <t>KALMAR LÄN</t>
        </is>
      </c>
      <c r="E433" t="inlineStr">
        <is>
          <t>VÄSTERVIK</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63812-2021</t>
        </is>
      </c>
      <c r="B434" s="1" t="n">
        <v>44509.56346064815</v>
      </c>
      <c r="C434" s="1" t="n">
        <v>45923</v>
      </c>
      <c r="D434" t="inlineStr">
        <is>
          <t>KALMAR LÄN</t>
        </is>
      </c>
      <c r="E434" t="inlineStr">
        <is>
          <t>VÄSTERVIK</t>
        </is>
      </c>
      <c r="G434" t="n">
        <v>2.1</v>
      </c>
      <c r="H434" t="n">
        <v>0</v>
      </c>
      <c r="I434" t="n">
        <v>0</v>
      </c>
      <c r="J434" t="n">
        <v>0</v>
      </c>
      <c r="K434" t="n">
        <v>0</v>
      </c>
      <c r="L434" t="n">
        <v>0</v>
      </c>
      <c r="M434" t="n">
        <v>0</v>
      </c>
      <c r="N434" t="n">
        <v>0</v>
      </c>
      <c r="O434" t="n">
        <v>0</v>
      </c>
      <c r="P434" t="n">
        <v>0</v>
      </c>
      <c r="Q434" t="n">
        <v>0</v>
      </c>
      <c r="R434" s="2" t="inlineStr"/>
    </row>
    <row r="435" ht="15" customHeight="1">
      <c r="A435" t="inlineStr">
        <is>
          <t>A 64920-2021</t>
        </is>
      </c>
      <c r="B435" s="1" t="n">
        <v>44512</v>
      </c>
      <c r="C435" s="1" t="n">
        <v>45923</v>
      </c>
      <c r="D435" t="inlineStr">
        <is>
          <t>KALMAR LÄN</t>
        </is>
      </c>
      <c r="E435" t="inlineStr">
        <is>
          <t>VÄSTERVIK</t>
        </is>
      </c>
      <c r="G435" t="n">
        <v>1.2</v>
      </c>
      <c r="H435" t="n">
        <v>0</v>
      </c>
      <c r="I435" t="n">
        <v>0</v>
      </c>
      <c r="J435" t="n">
        <v>0</v>
      </c>
      <c r="K435" t="n">
        <v>0</v>
      </c>
      <c r="L435" t="n">
        <v>0</v>
      </c>
      <c r="M435" t="n">
        <v>0</v>
      </c>
      <c r="N435" t="n">
        <v>0</v>
      </c>
      <c r="O435" t="n">
        <v>0</v>
      </c>
      <c r="P435" t="n">
        <v>0</v>
      </c>
      <c r="Q435" t="n">
        <v>0</v>
      </c>
      <c r="R435" s="2" t="inlineStr"/>
      <c r="U435">
        <f>HYPERLINK("https://klasma.github.io/Logging_0883/knärot/A 64920-2021 karta knärot.png", "A 64920-2021")</f>
        <v/>
      </c>
      <c r="V435">
        <f>HYPERLINK("https://klasma.github.io/Logging_0883/klagomål/A 64920-2021 FSC-klagomål.docx", "A 64920-2021")</f>
        <v/>
      </c>
      <c r="W435">
        <f>HYPERLINK("https://klasma.github.io/Logging_0883/klagomålsmail/A 64920-2021 FSC-klagomål mail.docx", "A 64920-2021")</f>
        <v/>
      </c>
      <c r="X435">
        <f>HYPERLINK("https://klasma.github.io/Logging_0883/tillsyn/A 64920-2021 tillsynsbegäran.docx", "A 64920-2021")</f>
        <v/>
      </c>
      <c r="Y435">
        <f>HYPERLINK("https://klasma.github.io/Logging_0883/tillsynsmail/A 64920-2021 tillsynsbegäran mail.docx", "A 64920-2021")</f>
        <v/>
      </c>
    </row>
    <row r="436" ht="15" customHeight="1">
      <c r="A436" t="inlineStr">
        <is>
          <t>A 59196-2024</t>
        </is>
      </c>
      <c r="B436" s="1" t="n">
        <v>45637.54589120371</v>
      </c>
      <c r="C436" s="1" t="n">
        <v>45923</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57924-2024</t>
        </is>
      </c>
      <c r="B437" s="1" t="n">
        <v>45631.51325231481</v>
      </c>
      <c r="C437" s="1" t="n">
        <v>45923</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51264-2020</t>
        </is>
      </c>
      <c r="B438" s="1" t="n">
        <v>44112</v>
      </c>
      <c r="C438" s="1" t="n">
        <v>45923</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59170-2022</t>
        </is>
      </c>
      <c r="B439" s="1" t="n">
        <v>44904.48152777777</v>
      </c>
      <c r="C439" s="1" t="n">
        <v>45923</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59212-2022</t>
        </is>
      </c>
      <c r="B440" s="1" t="n">
        <v>44904.52560185185</v>
      </c>
      <c r="C440" s="1" t="n">
        <v>45923</v>
      </c>
      <c r="D440" t="inlineStr">
        <is>
          <t>KALMAR LÄN</t>
        </is>
      </c>
      <c r="E440" t="inlineStr">
        <is>
          <t>VÄSTERVIK</t>
        </is>
      </c>
      <c r="G440" t="n">
        <v>2.3</v>
      </c>
      <c r="H440" t="n">
        <v>0</v>
      </c>
      <c r="I440" t="n">
        <v>0</v>
      </c>
      <c r="J440" t="n">
        <v>0</v>
      </c>
      <c r="K440" t="n">
        <v>0</v>
      </c>
      <c r="L440" t="n">
        <v>0</v>
      </c>
      <c r="M440" t="n">
        <v>0</v>
      </c>
      <c r="N440" t="n">
        <v>0</v>
      </c>
      <c r="O440" t="n">
        <v>0</v>
      </c>
      <c r="P440" t="n">
        <v>0</v>
      </c>
      <c r="Q440" t="n">
        <v>0</v>
      </c>
      <c r="R440" s="2" t="inlineStr"/>
    </row>
    <row r="441" ht="15" customHeight="1">
      <c r="A441" t="inlineStr">
        <is>
          <t>A 59227-2022</t>
        </is>
      </c>
      <c r="B441" s="1" t="n">
        <v>44904</v>
      </c>
      <c r="C441" s="1" t="n">
        <v>45923</v>
      </c>
      <c r="D441" t="inlineStr">
        <is>
          <t>KALMAR LÄN</t>
        </is>
      </c>
      <c r="E441" t="inlineStr">
        <is>
          <t>VÄSTERVIK</t>
        </is>
      </c>
      <c r="G441" t="n">
        <v>6</v>
      </c>
      <c r="H441" t="n">
        <v>0</v>
      </c>
      <c r="I441" t="n">
        <v>0</v>
      </c>
      <c r="J441" t="n">
        <v>0</v>
      </c>
      <c r="K441" t="n">
        <v>0</v>
      </c>
      <c r="L441" t="n">
        <v>0</v>
      </c>
      <c r="M441" t="n">
        <v>0</v>
      </c>
      <c r="N441" t="n">
        <v>0</v>
      </c>
      <c r="O441" t="n">
        <v>0</v>
      </c>
      <c r="P441" t="n">
        <v>0</v>
      </c>
      <c r="Q441" t="n">
        <v>0</v>
      </c>
      <c r="R441" s="2" t="inlineStr"/>
    </row>
    <row r="442" ht="15" customHeight="1">
      <c r="A442" t="inlineStr">
        <is>
          <t>A 1699-2023</t>
        </is>
      </c>
      <c r="B442" s="1" t="n">
        <v>44935</v>
      </c>
      <c r="C442" s="1" t="n">
        <v>45923</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31318-2021</t>
        </is>
      </c>
      <c r="B443" s="1" t="n">
        <v>44368</v>
      </c>
      <c r="C443" s="1" t="n">
        <v>45923</v>
      </c>
      <c r="D443" t="inlineStr">
        <is>
          <t>KALMAR LÄN</t>
        </is>
      </c>
      <c r="E443" t="inlineStr">
        <is>
          <t>VÄSTERVIK</t>
        </is>
      </c>
      <c r="G443" t="n">
        <v>1.6</v>
      </c>
      <c r="H443" t="n">
        <v>0</v>
      </c>
      <c r="I443" t="n">
        <v>0</v>
      </c>
      <c r="J443" t="n">
        <v>0</v>
      </c>
      <c r="K443" t="n">
        <v>0</v>
      </c>
      <c r="L443" t="n">
        <v>0</v>
      </c>
      <c r="M443" t="n">
        <v>0</v>
      </c>
      <c r="N443" t="n">
        <v>0</v>
      </c>
      <c r="O443" t="n">
        <v>0</v>
      </c>
      <c r="P443" t="n">
        <v>0</v>
      </c>
      <c r="Q443" t="n">
        <v>0</v>
      </c>
      <c r="R443" s="2" t="inlineStr"/>
    </row>
    <row r="444" ht="15" customHeight="1">
      <c r="A444" t="inlineStr">
        <is>
          <t>A 12643-2024</t>
        </is>
      </c>
      <c r="B444" s="1" t="n">
        <v>45379</v>
      </c>
      <c r="C444" s="1" t="n">
        <v>45923</v>
      </c>
      <c r="D444" t="inlineStr">
        <is>
          <t>KALMAR LÄN</t>
        </is>
      </c>
      <c r="E444" t="inlineStr">
        <is>
          <t>VÄSTERVIK</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40165-2025</t>
        </is>
      </c>
      <c r="B445" s="1" t="n">
        <v>45894.62219907407</v>
      </c>
      <c r="C445" s="1" t="n">
        <v>45923</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40168-2025</t>
        </is>
      </c>
      <c r="B446" s="1" t="n">
        <v>45894.62775462963</v>
      </c>
      <c r="C446" s="1" t="n">
        <v>45923</v>
      </c>
      <c r="D446" t="inlineStr">
        <is>
          <t>KALMAR LÄN</t>
        </is>
      </c>
      <c r="E446" t="inlineStr">
        <is>
          <t>VÄSTERVIK</t>
        </is>
      </c>
      <c r="G446" t="n">
        <v>0.3</v>
      </c>
      <c r="H446" t="n">
        <v>0</v>
      </c>
      <c r="I446" t="n">
        <v>0</v>
      </c>
      <c r="J446" t="n">
        <v>0</v>
      </c>
      <c r="K446" t="n">
        <v>0</v>
      </c>
      <c r="L446" t="n">
        <v>0</v>
      </c>
      <c r="M446" t="n">
        <v>0</v>
      </c>
      <c r="N446" t="n">
        <v>0</v>
      </c>
      <c r="O446" t="n">
        <v>0</v>
      </c>
      <c r="P446" t="n">
        <v>0</v>
      </c>
      <c r="Q446" t="n">
        <v>0</v>
      </c>
      <c r="R446" s="2" t="inlineStr"/>
    </row>
    <row r="447" ht="15" customHeight="1">
      <c r="A447" t="inlineStr">
        <is>
          <t>A 7255-2023</t>
        </is>
      </c>
      <c r="B447" s="1" t="n">
        <v>44970</v>
      </c>
      <c r="C447" s="1" t="n">
        <v>45923</v>
      </c>
      <c r="D447" t="inlineStr">
        <is>
          <t>KALMAR LÄN</t>
        </is>
      </c>
      <c r="E447" t="inlineStr">
        <is>
          <t>VÄSTERVIK</t>
        </is>
      </c>
      <c r="F447" t="inlineStr">
        <is>
          <t>Naturvårdsverket</t>
        </is>
      </c>
      <c r="G447" t="n">
        <v>0.6</v>
      </c>
      <c r="H447" t="n">
        <v>0</v>
      </c>
      <c r="I447" t="n">
        <v>0</v>
      </c>
      <c r="J447" t="n">
        <v>0</v>
      </c>
      <c r="K447" t="n">
        <v>0</v>
      </c>
      <c r="L447" t="n">
        <v>0</v>
      </c>
      <c r="M447" t="n">
        <v>0</v>
      </c>
      <c r="N447" t="n">
        <v>0</v>
      </c>
      <c r="O447" t="n">
        <v>0</v>
      </c>
      <c r="P447" t="n">
        <v>0</v>
      </c>
      <c r="Q447" t="n">
        <v>0</v>
      </c>
      <c r="R447" s="2" t="inlineStr"/>
      <c r="U447">
        <f>HYPERLINK("https://klasma.github.io/Logging_0883/knärot/A 7255-2023 karta knärot.png", "A 7255-2023")</f>
        <v/>
      </c>
      <c r="V447">
        <f>HYPERLINK("https://klasma.github.io/Logging_0883/klagomål/A 7255-2023 FSC-klagomål.docx", "A 7255-2023")</f>
        <v/>
      </c>
      <c r="W447">
        <f>HYPERLINK("https://klasma.github.io/Logging_0883/klagomålsmail/A 7255-2023 FSC-klagomål mail.docx", "A 7255-2023")</f>
        <v/>
      </c>
      <c r="X447">
        <f>HYPERLINK("https://klasma.github.io/Logging_0883/tillsyn/A 7255-2023 tillsynsbegäran.docx", "A 7255-2023")</f>
        <v/>
      </c>
      <c r="Y447">
        <f>HYPERLINK("https://klasma.github.io/Logging_0883/tillsynsmail/A 7255-2023 tillsynsbegäran mail.docx", "A 7255-2023")</f>
        <v/>
      </c>
    </row>
    <row r="448" ht="15" customHeight="1">
      <c r="A448" t="inlineStr">
        <is>
          <t>A 36050-2024</t>
        </is>
      </c>
      <c r="B448" s="1" t="n">
        <v>45533.620625</v>
      </c>
      <c r="C448" s="1" t="n">
        <v>45923</v>
      </c>
      <c r="D448" t="inlineStr">
        <is>
          <t>KALMAR LÄN</t>
        </is>
      </c>
      <c r="E448" t="inlineStr">
        <is>
          <t>VÄSTERVIK</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45463-2024</t>
        </is>
      </c>
      <c r="B449" s="1" t="n">
        <v>45576.69753472223</v>
      </c>
      <c r="C449" s="1" t="n">
        <v>45923</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9025-2022</t>
        </is>
      </c>
      <c r="B450" s="1" t="n">
        <v>44615</v>
      </c>
      <c r="C450" s="1" t="n">
        <v>45923</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1096-2024</t>
        </is>
      </c>
      <c r="B451" s="1" t="n">
        <v>45302</v>
      </c>
      <c r="C451" s="1" t="n">
        <v>45923</v>
      </c>
      <c r="D451" t="inlineStr">
        <is>
          <t>KALMAR LÄN</t>
        </is>
      </c>
      <c r="E451" t="inlineStr">
        <is>
          <t>VÄSTERVIK</t>
        </is>
      </c>
      <c r="G451" t="n">
        <v>2.6</v>
      </c>
      <c r="H451" t="n">
        <v>0</v>
      </c>
      <c r="I451" t="n">
        <v>0</v>
      </c>
      <c r="J451" t="n">
        <v>0</v>
      </c>
      <c r="K451" t="n">
        <v>0</v>
      </c>
      <c r="L451" t="n">
        <v>0</v>
      </c>
      <c r="M451" t="n">
        <v>0</v>
      </c>
      <c r="N451" t="n">
        <v>0</v>
      </c>
      <c r="O451" t="n">
        <v>0</v>
      </c>
      <c r="P451" t="n">
        <v>0</v>
      </c>
      <c r="Q451" t="n">
        <v>0</v>
      </c>
      <c r="R451" s="2" t="inlineStr"/>
    </row>
    <row r="452" ht="15" customHeight="1">
      <c r="A452" t="inlineStr">
        <is>
          <t>A 58217-2022</t>
        </is>
      </c>
      <c r="B452" s="1" t="n">
        <v>44901.36453703704</v>
      </c>
      <c r="C452" s="1" t="n">
        <v>45923</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27982-2025</t>
        </is>
      </c>
      <c r="B453" s="1" t="n">
        <v>45817.57549768518</v>
      </c>
      <c r="C453" s="1" t="n">
        <v>45923</v>
      </c>
      <c r="D453" t="inlineStr">
        <is>
          <t>KALMAR LÄN</t>
        </is>
      </c>
      <c r="E453" t="inlineStr">
        <is>
          <t>VÄSTERVIK</t>
        </is>
      </c>
      <c r="G453" t="n">
        <v>2.5</v>
      </c>
      <c r="H453" t="n">
        <v>0</v>
      </c>
      <c r="I453" t="n">
        <v>0</v>
      </c>
      <c r="J453" t="n">
        <v>0</v>
      </c>
      <c r="K453" t="n">
        <v>0</v>
      </c>
      <c r="L453" t="n">
        <v>0</v>
      </c>
      <c r="M453" t="n">
        <v>0</v>
      </c>
      <c r="N453" t="n">
        <v>0</v>
      </c>
      <c r="O453" t="n">
        <v>0</v>
      </c>
      <c r="P453" t="n">
        <v>0</v>
      </c>
      <c r="Q453" t="n">
        <v>0</v>
      </c>
      <c r="R453" s="2" t="inlineStr"/>
    </row>
    <row r="454" ht="15" customHeight="1">
      <c r="A454" t="inlineStr">
        <is>
          <t>A 24567-2024</t>
        </is>
      </c>
      <c r="B454" s="1" t="n">
        <v>45460.44732638889</v>
      </c>
      <c r="C454" s="1" t="n">
        <v>45923</v>
      </c>
      <c r="D454" t="inlineStr">
        <is>
          <t>KALMAR LÄN</t>
        </is>
      </c>
      <c r="E454" t="inlineStr">
        <is>
          <t>VÄSTERVIK</t>
        </is>
      </c>
      <c r="G454" t="n">
        <v>5.1</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45923</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1874-2025</t>
        </is>
      </c>
      <c r="B456" s="1" t="n">
        <v>45671.61953703704</v>
      </c>
      <c r="C456" s="1" t="n">
        <v>45923</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40038-2025</t>
        </is>
      </c>
      <c r="B457" s="1" t="n">
        <v>45894.39395833333</v>
      </c>
      <c r="C457" s="1" t="n">
        <v>45923</v>
      </c>
      <c r="D457" t="inlineStr">
        <is>
          <t>KALMAR LÄN</t>
        </is>
      </c>
      <c r="E457" t="inlineStr">
        <is>
          <t>VÄSTERVIK</t>
        </is>
      </c>
      <c r="G457" t="n">
        <v>3.2</v>
      </c>
      <c r="H457" t="n">
        <v>0</v>
      </c>
      <c r="I457" t="n">
        <v>0</v>
      </c>
      <c r="J457" t="n">
        <v>0</v>
      </c>
      <c r="K457" t="n">
        <v>0</v>
      </c>
      <c r="L457" t="n">
        <v>0</v>
      </c>
      <c r="M457" t="n">
        <v>0</v>
      </c>
      <c r="N457" t="n">
        <v>0</v>
      </c>
      <c r="O457" t="n">
        <v>0</v>
      </c>
      <c r="P457" t="n">
        <v>0</v>
      </c>
      <c r="Q457" t="n">
        <v>0</v>
      </c>
      <c r="R457" s="2" t="inlineStr"/>
    </row>
    <row r="458" ht="15" customHeight="1">
      <c r="A458" t="inlineStr">
        <is>
          <t>A 18143-2024</t>
        </is>
      </c>
      <c r="B458" s="1" t="n">
        <v>45420</v>
      </c>
      <c r="C458" s="1" t="n">
        <v>45923</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15106-2023</t>
        </is>
      </c>
      <c r="B459" s="1" t="n">
        <v>45016.41767361111</v>
      </c>
      <c r="C459" s="1" t="n">
        <v>45923</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59871-2022</t>
        </is>
      </c>
      <c r="B460" s="1" t="n">
        <v>44908</v>
      </c>
      <c r="C460" s="1" t="n">
        <v>45923</v>
      </c>
      <c r="D460" t="inlineStr">
        <is>
          <t>KALMAR LÄN</t>
        </is>
      </c>
      <c r="E460" t="inlineStr">
        <is>
          <t>VÄSTERVIK</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16834-2023</t>
        </is>
      </c>
      <c r="B461" s="1" t="n">
        <v>45033</v>
      </c>
      <c r="C461" s="1" t="n">
        <v>45923</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11183-2024</t>
        </is>
      </c>
      <c r="B462" s="1" t="n">
        <v>45371.53141203704</v>
      </c>
      <c r="C462" s="1" t="n">
        <v>45923</v>
      </c>
      <c r="D462" t="inlineStr">
        <is>
          <t>KALMAR LÄN</t>
        </is>
      </c>
      <c r="E462" t="inlineStr">
        <is>
          <t>VÄSTERVIK</t>
        </is>
      </c>
      <c r="G462" t="n">
        <v>4.5</v>
      </c>
      <c r="H462" t="n">
        <v>0</v>
      </c>
      <c r="I462" t="n">
        <v>0</v>
      </c>
      <c r="J462" t="n">
        <v>0</v>
      </c>
      <c r="K462" t="n">
        <v>0</v>
      </c>
      <c r="L462" t="n">
        <v>0</v>
      </c>
      <c r="M462" t="n">
        <v>0</v>
      </c>
      <c r="N462" t="n">
        <v>0</v>
      </c>
      <c r="O462" t="n">
        <v>0</v>
      </c>
      <c r="P462" t="n">
        <v>0</v>
      </c>
      <c r="Q462" t="n">
        <v>0</v>
      </c>
      <c r="R462" s="2" t="inlineStr"/>
    </row>
    <row r="463" ht="15" customHeight="1">
      <c r="A463" t="inlineStr">
        <is>
          <t>A 28588-2022</t>
        </is>
      </c>
      <c r="B463" s="1" t="n">
        <v>44748</v>
      </c>
      <c r="C463" s="1" t="n">
        <v>45923</v>
      </c>
      <c r="D463" t="inlineStr">
        <is>
          <t>KALMAR LÄN</t>
        </is>
      </c>
      <c r="E463" t="inlineStr">
        <is>
          <t>VÄSTERVIK</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31592-2021</t>
        </is>
      </c>
      <c r="B464" s="1" t="n">
        <v>44369.56576388889</v>
      </c>
      <c r="C464" s="1" t="n">
        <v>45923</v>
      </c>
      <c r="D464" t="inlineStr">
        <is>
          <t>KALMAR LÄN</t>
        </is>
      </c>
      <c r="E464" t="inlineStr">
        <is>
          <t>VÄSTERVIK</t>
        </is>
      </c>
      <c r="G464" t="n">
        <v>1.3</v>
      </c>
      <c r="H464" t="n">
        <v>0</v>
      </c>
      <c r="I464" t="n">
        <v>0</v>
      </c>
      <c r="J464" t="n">
        <v>0</v>
      </c>
      <c r="K464" t="n">
        <v>0</v>
      </c>
      <c r="L464" t="n">
        <v>0</v>
      </c>
      <c r="M464" t="n">
        <v>0</v>
      </c>
      <c r="N464" t="n">
        <v>0</v>
      </c>
      <c r="O464" t="n">
        <v>0</v>
      </c>
      <c r="P464" t="n">
        <v>0</v>
      </c>
      <c r="Q464" t="n">
        <v>0</v>
      </c>
      <c r="R464" s="2" t="inlineStr"/>
    </row>
    <row r="465" ht="15" customHeight="1">
      <c r="A465" t="inlineStr">
        <is>
          <t>A 28291-2024</t>
        </is>
      </c>
      <c r="B465" s="1" t="n">
        <v>45477</v>
      </c>
      <c r="C465" s="1" t="n">
        <v>45923</v>
      </c>
      <c r="D465" t="inlineStr">
        <is>
          <t>KALMAR LÄN</t>
        </is>
      </c>
      <c r="E465" t="inlineStr">
        <is>
          <t>VÄSTERVIK</t>
        </is>
      </c>
      <c r="G465" t="n">
        <v>3.2</v>
      </c>
      <c r="H465" t="n">
        <v>0</v>
      </c>
      <c r="I465" t="n">
        <v>0</v>
      </c>
      <c r="J465" t="n">
        <v>0</v>
      </c>
      <c r="K465" t="n">
        <v>0</v>
      </c>
      <c r="L465" t="n">
        <v>0</v>
      </c>
      <c r="M465" t="n">
        <v>0</v>
      </c>
      <c r="N465" t="n">
        <v>0</v>
      </c>
      <c r="O465" t="n">
        <v>0</v>
      </c>
      <c r="P465" t="n">
        <v>0</v>
      </c>
      <c r="Q465" t="n">
        <v>0</v>
      </c>
      <c r="R465" s="2" t="inlineStr"/>
    </row>
    <row r="466" ht="15" customHeight="1">
      <c r="A466" t="inlineStr">
        <is>
          <t>A 944-2024</t>
        </is>
      </c>
      <c r="B466" s="1" t="n">
        <v>45301.54230324074</v>
      </c>
      <c r="C466" s="1" t="n">
        <v>45923</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946-2024</t>
        </is>
      </c>
      <c r="B467" s="1" t="n">
        <v>45301.54412037037</v>
      </c>
      <c r="C467" s="1" t="n">
        <v>45923</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13840-2024</t>
        </is>
      </c>
      <c r="B468" s="1" t="n">
        <v>45391.44885416667</v>
      </c>
      <c r="C468" s="1" t="n">
        <v>45923</v>
      </c>
      <c r="D468" t="inlineStr">
        <is>
          <t>KALMAR LÄN</t>
        </is>
      </c>
      <c r="E468" t="inlineStr">
        <is>
          <t>VÄSTERVIK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15553-2024</t>
        </is>
      </c>
      <c r="B469" s="1" t="n">
        <v>45401.63736111111</v>
      </c>
      <c r="C469" s="1" t="n">
        <v>45923</v>
      </c>
      <c r="D469" t="inlineStr">
        <is>
          <t>KALMAR LÄN</t>
        </is>
      </c>
      <c r="E469" t="inlineStr">
        <is>
          <t>VÄSTERVIK</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35214-2025</t>
        </is>
      </c>
      <c r="B470" s="1" t="n">
        <v>45853.47163194444</v>
      </c>
      <c r="C470" s="1" t="n">
        <v>45923</v>
      </c>
      <c r="D470" t="inlineStr">
        <is>
          <t>KALMAR LÄN</t>
        </is>
      </c>
      <c r="E470" t="inlineStr">
        <is>
          <t>VÄSTERVIK</t>
        </is>
      </c>
      <c r="G470" t="n">
        <v>10.7</v>
      </c>
      <c r="H470" t="n">
        <v>0</v>
      </c>
      <c r="I470" t="n">
        <v>0</v>
      </c>
      <c r="J470" t="n">
        <v>0</v>
      </c>
      <c r="K470" t="n">
        <v>0</v>
      </c>
      <c r="L470" t="n">
        <v>0</v>
      </c>
      <c r="M470" t="n">
        <v>0</v>
      </c>
      <c r="N470" t="n">
        <v>0</v>
      </c>
      <c r="O470" t="n">
        <v>0</v>
      </c>
      <c r="P470" t="n">
        <v>0</v>
      </c>
      <c r="Q470" t="n">
        <v>0</v>
      </c>
      <c r="R470" s="2" t="inlineStr"/>
    </row>
    <row r="471" ht="15" customHeight="1">
      <c r="A471" t="inlineStr">
        <is>
          <t>A 34471-2024</t>
        </is>
      </c>
      <c r="B471" s="1" t="n">
        <v>45525.59111111111</v>
      </c>
      <c r="C471" s="1" t="n">
        <v>45923</v>
      </c>
      <c r="D471" t="inlineStr">
        <is>
          <t>KALMAR LÄN</t>
        </is>
      </c>
      <c r="E471" t="inlineStr">
        <is>
          <t>VÄSTERVIK</t>
        </is>
      </c>
      <c r="G471" t="n">
        <v>1.1</v>
      </c>
      <c r="H471" t="n">
        <v>0</v>
      </c>
      <c r="I471" t="n">
        <v>0</v>
      </c>
      <c r="J471" t="n">
        <v>0</v>
      </c>
      <c r="K471" t="n">
        <v>0</v>
      </c>
      <c r="L471" t="n">
        <v>0</v>
      </c>
      <c r="M471" t="n">
        <v>0</v>
      </c>
      <c r="N471" t="n">
        <v>0</v>
      </c>
      <c r="O471" t="n">
        <v>0</v>
      </c>
      <c r="P471" t="n">
        <v>0</v>
      </c>
      <c r="Q471" t="n">
        <v>0</v>
      </c>
      <c r="R471" s="2" t="inlineStr"/>
    </row>
    <row r="472" ht="15" customHeight="1">
      <c r="A472" t="inlineStr">
        <is>
          <t>A 19608-2025</t>
        </is>
      </c>
      <c r="B472" s="1" t="n">
        <v>45770.60177083333</v>
      </c>
      <c r="C472" s="1" t="n">
        <v>45923</v>
      </c>
      <c r="D472" t="inlineStr">
        <is>
          <t>KALMAR LÄN</t>
        </is>
      </c>
      <c r="E472" t="inlineStr">
        <is>
          <t>VÄSTERVIK</t>
        </is>
      </c>
      <c r="G472" t="n">
        <v>3.5</v>
      </c>
      <c r="H472" t="n">
        <v>0</v>
      </c>
      <c r="I472" t="n">
        <v>0</v>
      </c>
      <c r="J472" t="n">
        <v>0</v>
      </c>
      <c r="K472" t="n">
        <v>0</v>
      </c>
      <c r="L472" t="n">
        <v>0</v>
      </c>
      <c r="M472" t="n">
        <v>0</v>
      </c>
      <c r="N472" t="n">
        <v>0</v>
      </c>
      <c r="O472" t="n">
        <v>0</v>
      </c>
      <c r="P472" t="n">
        <v>0</v>
      </c>
      <c r="Q472" t="n">
        <v>0</v>
      </c>
      <c r="R472" s="2" t="inlineStr"/>
    </row>
    <row r="473" ht="15" customHeight="1">
      <c r="A473" t="inlineStr">
        <is>
          <t>A 61580-2022</t>
        </is>
      </c>
      <c r="B473" s="1" t="n">
        <v>44916.62880787037</v>
      </c>
      <c r="C473" s="1" t="n">
        <v>45923</v>
      </c>
      <c r="D473" t="inlineStr">
        <is>
          <t>KALMAR LÄN</t>
        </is>
      </c>
      <c r="E473" t="inlineStr">
        <is>
          <t>VÄSTERVIK</t>
        </is>
      </c>
      <c r="G473" t="n">
        <v>3.5</v>
      </c>
      <c r="H473" t="n">
        <v>0</v>
      </c>
      <c r="I473" t="n">
        <v>0</v>
      </c>
      <c r="J473" t="n">
        <v>0</v>
      </c>
      <c r="K473" t="n">
        <v>0</v>
      </c>
      <c r="L473" t="n">
        <v>0</v>
      </c>
      <c r="M473" t="n">
        <v>0</v>
      </c>
      <c r="N473" t="n">
        <v>0</v>
      </c>
      <c r="O473" t="n">
        <v>0</v>
      </c>
      <c r="P473" t="n">
        <v>0</v>
      </c>
      <c r="Q473" t="n">
        <v>0</v>
      </c>
      <c r="R473" s="2" t="inlineStr"/>
    </row>
    <row r="474" ht="15" customHeight="1">
      <c r="A474" t="inlineStr">
        <is>
          <t>A 35207-2025</t>
        </is>
      </c>
      <c r="B474" s="1" t="n">
        <v>45853.43320601852</v>
      </c>
      <c r="C474" s="1" t="n">
        <v>45923</v>
      </c>
      <c r="D474" t="inlineStr">
        <is>
          <t>KALMAR LÄN</t>
        </is>
      </c>
      <c r="E474" t="inlineStr">
        <is>
          <t>VÄSTERVIK</t>
        </is>
      </c>
      <c r="G474" t="n">
        <v>7</v>
      </c>
      <c r="H474" t="n">
        <v>0</v>
      </c>
      <c r="I474" t="n">
        <v>0</v>
      </c>
      <c r="J474" t="n">
        <v>0</v>
      </c>
      <c r="K474" t="n">
        <v>0</v>
      </c>
      <c r="L474" t="n">
        <v>0</v>
      </c>
      <c r="M474" t="n">
        <v>0</v>
      </c>
      <c r="N474" t="n">
        <v>0</v>
      </c>
      <c r="O474" t="n">
        <v>0</v>
      </c>
      <c r="P474" t="n">
        <v>0</v>
      </c>
      <c r="Q474" t="n">
        <v>0</v>
      </c>
      <c r="R474" s="2" t="inlineStr"/>
    </row>
    <row r="475" ht="15" customHeight="1">
      <c r="A475" t="inlineStr">
        <is>
          <t>A 13957-2025</t>
        </is>
      </c>
      <c r="B475" s="1" t="n">
        <v>45737.85231481482</v>
      </c>
      <c r="C475" s="1" t="n">
        <v>45923</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60848-2020</t>
        </is>
      </c>
      <c r="B476" s="1" t="n">
        <v>44152</v>
      </c>
      <c r="C476" s="1" t="n">
        <v>45923</v>
      </c>
      <c r="D476" t="inlineStr">
        <is>
          <t>KALMAR LÄN</t>
        </is>
      </c>
      <c r="E476" t="inlineStr">
        <is>
          <t>VÄSTERVIK</t>
        </is>
      </c>
      <c r="G476" t="n">
        <v>2.7</v>
      </c>
      <c r="H476" t="n">
        <v>0</v>
      </c>
      <c r="I476" t="n">
        <v>0</v>
      </c>
      <c r="J476" t="n">
        <v>0</v>
      </c>
      <c r="K476" t="n">
        <v>0</v>
      </c>
      <c r="L476" t="n">
        <v>0</v>
      </c>
      <c r="M476" t="n">
        <v>0</v>
      </c>
      <c r="N476" t="n">
        <v>0</v>
      </c>
      <c r="O476" t="n">
        <v>0</v>
      </c>
      <c r="P476" t="n">
        <v>0</v>
      </c>
      <c r="Q476" t="n">
        <v>0</v>
      </c>
      <c r="R476" s="2" t="inlineStr"/>
    </row>
    <row r="477" ht="15" customHeight="1">
      <c r="A477" t="inlineStr">
        <is>
          <t>A 35187-2025</t>
        </is>
      </c>
      <c r="B477" s="1" t="n">
        <v>45853.31940972222</v>
      </c>
      <c r="C477" s="1" t="n">
        <v>45923</v>
      </c>
      <c r="D477" t="inlineStr">
        <is>
          <t>KALMAR LÄN</t>
        </is>
      </c>
      <c r="E477" t="inlineStr">
        <is>
          <t>VÄSTERVIK</t>
        </is>
      </c>
      <c r="G477" t="n">
        <v>1.6</v>
      </c>
      <c r="H477" t="n">
        <v>0</v>
      </c>
      <c r="I477" t="n">
        <v>0</v>
      </c>
      <c r="J477" t="n">
        <v>0</v>
      </c>
      <c r="K477" t="n">
        <v>0</v>
      </c>
      <c r="L477" t="n">
        <v>0</v>
      </c>
      <c r="M477" t="n">
        <v>0</v>
      </c>
      <c r="N477" t="n">
        <v>0</v>
      </c>
      <c r="O477" t="n">
        <v>0</v>
      </c>
      <c r="P477" t="n">
        <v>0</v>
      </c>
      <c r="Q477" t="n">
        <v>0</v>
      </c>
      <c r="R477" s="2" t="inlineStr"/>
    </row>
    <row r="478" ht="15" customHeight="1">
      <c r="A478" t="inlineStr">
        <is>
          <t>A 23580-2023</t>
        </is>
      </c>
      <c r="B478" s="1" t="n">
        <v>45077</v>
      </c>
      <c r="C478" s="1" t="n">
        <v>45923</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11584-2023</t>
        </is>
      </c>
      <c r="B479" s="1" t="n">
        <v>44994.35707175926</v>
      </c>
      <c r="C479" s="1" t="n">
        <v>45923</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56610-2022</t>
        </is>
      </c>
      <c r="B480" s="1" t="n">
        <v>44893.5862037037</v>
      </c>
      <c r="C480" s="1" t="n">
        <v>45923</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21752-2024</t>
        </is>
      </c>
      <c r="B481" s="1" t="n">
        <v>45442.58048611111</v>
      </c>
      <c r="C481" s="1" t="n">
        <v>45923</v>
      </c>
      <c r="D481" t="inlineStr">
        <is>
          <t>KALMAR LÄN</t>
        </is>
      </c>
      <c r="E481" t="inlineStr">
        <is>
          <t>VÄSTERVIK</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13837-2024</t>
        </is>
      </c>
      <c r="B482" s="1" t="n">
        <v>45391.4450462963</v>
      </c>
      <c r="C482" s="1" t="n">
        <v>45923</v>
      </c>
      <c r="D482" t="inlineStr">
        <is>
          <t>KALMAR LÄN</t>
        </is>
      </c>
      <c r="E482" t="inlineStr">
        <is>
          <t>VÄSTERVIK</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13839-2024</t>
        </is>
      </c>
      <c r="B483" s="1" t="n">
        <v>45391.44789351852</v>
      </c>
      <c r="C483" s="1" t="n">
        <v>45923</v>
      </c>
      <c r="D483" t="inlineStr">
        <is>
          <t>KALMAR LÄN</t>
        </is>
      </c>
      <c r="E483" t="inlineStr">
        <is>
          <t>VÄSTERVIK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7100-2023</t>
        </is>
      </c>
      <c r="B484" s="1" t="n">
        <v>44970.37244212963</v>
      </c>
      <c r="C484" s="1" t="n">
        <v>45923</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31686-2023</t>
        </is>
      </c>
      <c r="B485" s="1" t="n">
        <v>45117</v>
      </c>
      <c r="C485" s="1" t="n">
        <v>45923</v>
      </c>
      <c r="D485" t="inlineStr">
        <is>
          <t>KALMAR LÄN</t>
        </is>
      </c>
      <c r="E485" t="inlineStr">
        <is>
          <t>VÄSTERVIK</t>
        </is>
      </c>
      <c r="G485" t="n">
        <v>1.7</v>
      </c>
      <c r="H485" t="n">
        <v>0</v>
      </c>
      <c r="I485" t="n">
        <v>0</v>
      </c>
      <c r="J485" t="n">
        <v>0</v>
      </c>
      <c r="K485" t="n">
        <v>0</v>
      </c>
      <c r="L485" t="n">
        <v>0</v>
      </c>
      <c r="M485" t="n">
        <v>0</v>
      </c>
      <c r="N485" t="n">
        <v>0</v>
      </c>
      <c r="O485" t="n">
        <v>0</v>
      </c>
      <c r="P485" t="n">
        <v>0</v>
      </c>
      <c r="Q485" t="n">
        <v>0</v>
      </c>
      <c r="R485" s="2" t="inlineStr"/>
    </row>
    <row r="486" ht="15" customHeight="1">
      <c r="A486" t="inlineStr">
        <is>
          <t>A 6312-2024</t>
        </is>
      </c>
      <c r="B486" s="1" t="n">
        <v>45338</v>
      </c>
      <c r="C486" s="1" t="n">
        <v>45923</v>
      </c>
      <c r="D486" t="inlineStr">
        <is>
          <t>KALMAR LÄN</t>
        </is>
      </c>
      <c r="E486" t="inlineStr">
        <is>
          <t>VÄSTERVIK</t>
        </is>
      </c>
      <c r="F486" t="inlineStr">
        <is>
          <t>Holmen skog AB</t>
        </is>
      </c>
      <c r="G486" t="n">
        <v>1.9</v>
      </c>
      <c r="H486" t="n">
        <v>0</v>
      </c>
      <c r="I486" t="n">
        <v>0</v>
      </c>
      <c r="J486" t="n">
        <v>0</v>
      </c>
      <c r="K486" t="n">
        <v>0</v>
      </c>
      <c r="L486" t="n">
        <v>0</v>
      </c>
      <c r="M486" t="n">
        <v>0</v>
      </c>
      <c r="N486" t="n">
        <v>0</v>
      </c>
      <c r="O486" t="n">
        <v>0</v>
      </c>
      <c r="P486" t="n">
        <v>0</v>
      </c>
      <c r="Q486" t="n">
        <v>0</v>
      </c>
      <c r="R486" s="2" t="inlineStr"/>
    </row>
    <row r="487" ht="15" customHeight="1">
      <c r="A487" t="inlineStr">
        <is>
          <t>A 25180-2023</t>
        </is>
      </c>
      <c r="B487" s="1" t="n">
        <v>45086</v>
      </c>
      <c r="C487" s="1" t="n">
        <v>45923</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41312-2025</t>
        </is>
      </c>
      <c r="B488" s="1" t="n">
        <v>45898.80314814814</v>
      </c>
      <c r="C488" s="1" t="n">
        <v>45923</v>
      </c>
      <c r="D488" t="inlineStr">
        <is>
          <t>KALMAR LÄN</t>
        </is>
      </c>
      <c r="E488" t="inlineStr">
        <is>
          <t>VÄSTERVIK</t>
        </is>
      </c>
      <c r="G488" t="n">
        <v>0.8</v>
      </c>
      <c r="H488" t="n">
        <v>0</v>
      </c>
      <c r="I488" t="n">
        <v>0</v>
      </c>
      <c r="J488" t="n">
        <v>0</v>
      </c>
      <c r="K488" t="n">
        <v>0</v>
      </c>
      <c r="L488" t="n">
        <v>0</v>
      </c>
      <c r="M488" t="n">
        <v>0</v>
      </c>
      <c r="N488" t="n">
        <v>0</v>
      </c>
      <c r="O488" t="n">
        <v>0</v>
      </c>
      <c r="P488" t="n">
        <v>0</v>
      </c>
      <c r="Q488" t="n">
        <v>0</v>
      </c>
      <c r="R488" s="2" t="inlineStr"/>
    </row>
    <row r="489" ht="15" customHeight="1">
      <c r="A489" t="inlineStr">
        <is>
          <t>A 24881-2023</t>
        </is>
      </c>
      <c r="B489" s="1" t="n">
        <v>45085</v>
      </c>
      <c r="C489" s="1" t="n">
        <v>45923</v>
      </c>
      <c r="D489" t="inlineStr">
        <is>
          <t>KALMAR LÄN</t>
        </is>
      </c>
      <c r="E489" t="inlineStr">
        <is>
          <t>VÄSTERVIK</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6616-2021</t>
        </is>
      </c>
      <c r="B490" s="1" t="n">
        <v>44236</v>
      </c>
      <c r="C490" s="1" t="n">
        <v>45923</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23626-2024</t>
        </is>
      </c>
      <c r="B491" s="1" t="n">
        <v>45454</v>
      </c>
      <c r="C491" s="1" t="n">
        <v>45923</v>
      </c>
      <c r="D491" t="inlineStr">
        <is>
          <t>KALMAR LÄN</t>
        </is>
      </c>
      <c r="E491" t="inlineStr">
        <is>
          <t>VÄSTERVIK</t>
        </is>
      </c>
      <c r="G491" t="n">
        <v>2.1</v>
      </c>
      <c r="H491" t="n">
        <v>0</v>
      </c>
      <c r="I491" t="n">
        <v>0</v>
      </c>
      <c r="J491" t="n">
        <v>0</v>
      </c>
      <c r="K491" t="n">
        <v>0</v>
      </c>
      <c r="L491" t="n">
        <v>0</v>
      </c>
      <c r="M491" t="n">
        <v>0</v>
      </c>
      <c r="N491" t="n">
        <v>0</v>
      </c>
      <c r="O491" t="n">
        <v>0</v>
      </c>
      <c r="P491" t="n">
        <v>0</v>
      </c>
      <c r="Q491" t="n">
        <v>0</v>
      </c>
      <c r="R491" s="2" t="inlineStr"/>
    </row>
    <row r="492" ht="15" customHeight="1">
      <c r="A492" t="inlineStr">
        <is>
          <t>A 46596-2022</t>
        </is>
      </c>
      <c r="B492" s="1" t="n">
        <v>44848.8315625</v>
      </c>
      <c r="C492" s="1" t="n">
        <v>45923</v>
      </c>
      <c r="D492" t="inlineStr">
        <is>
          <t>KALMAR LÄN</t>
        </is>
      </c>
      <c r="E492" t="inlineStr">
        <is>
          <t>VÄSTERVIK</t>
        </is>
      </c>
      <c r="G492" t="n">
        <v>3.9</v>
      </c>
      <c r="H492" t="n">
        <v>0</v>
      </c>
      <c r="I492" t="n">
        <v>0</v>
      </c>
      <c r="J492" t="n">
        <v>0</v>
      </c>
      <c r="K492" t="n">
        <v>0</v>
      </c>
      <c r="L492" t="n">
        <v>0</v>
      </c>
      <c r="M492" t="n">
        <v>0</v>
      </c>
      <c r="N492" t="n">
        <v>0</v>
      </c>
      <c r="O492" t="n">
        <v>0</v>
      </c>
      <c r="P492" t="n">
        <v>0</v>
      </c>
      <c r="Q492" t="n">
        <v>0</v>
      </c>
      <c r="R492" s="2" t="inlineStr"/>
    </row>
    <row r="493" ht="15" customHeight="1">
      <c r="A493" t="inlineStr">
        <is>
          <t>A 26140-2024</t>
        </is>
      </c>
      <c r="B493" s="1" t="n">
        <v>45468</v>
      </c>
      <c r="C493" s="1" t="n">
        <v>45923</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30148-2024</t>
        </is>
      </c>
      <c r="B494" s="1" t="n">
        <v>45489.60528935185</v>
      </c>
      <c r="C494" s="1" t="n">
        <v>45923</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32647-2023</t>
        </is>
      </c>
      <c r="B495" s="1" t="n">
        <v>45121</v>
      </c>
      <c r="C495" s="1" t="n">
        <v>45923</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1785-2025</t>
        </is>
      </c>
      <c r="B496" s="1" t="n">
        <v>45671.45061342593</v>
      </c>
      <c r="C496" s="1" t="n">
        <v>45923</v>
      </c>
      <c r="D496" t="inlineStr">
        <is>
          <t>KALMAR LÄN</t>
        </is>
      </c>
      <c r="E496" t="inlineStr">
        <is>
          <t>VÄSTERVIK</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60634-2023</t>
        </is>
      </c>
      <c r="B497" s="1" t="n">
        <v>45260.40186342593</v>
      </c>
      <c r="C497" s="1" t="n">
        <v>45923</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56188-2023</t>
        </is>
      </c>
      <c r="B498" s="1" t="n">
        <v>45240.65173611111</v>
      </c>
      <c r="C498" s="1" t="n">
        <v>45923</v>
      </c>
      <c r="D498" t="inlineStr">
        <is>
          <t>KALMAR LÄN</t>
        </is>
      </c>
      <c r="E498" t="inlineStr">
        <is>
          <t>VÄSTERVIK</t>
        </is>
      </c>
      <c r="G498" t="n">
        <v>1.9</v>
      </c>
      <c r="H498" t="n">
        <v>0</v>
      </c>
      <c r="I498" t="n">
        <v>0</v>
      </c>
      <c r="J498" t="n">
        <v>0</v>
      </c>
      <c r="K498" t="n">
        <v>0</v>
      </c>
      <c r="L498" t="n">
        <v>0</v>
      </c>
      <c r="M498" t="n">
        <v>0</v>
      </c>
      <c r="N498" t="n">
        <v>0</v>
      </c>
      <c r="O498" t="n">
        <v>0</v>
      </c>
      <c r="P498" t="n">
        <v>0</v>
      </c>
      <c r="Q498" t="n">
        <v>0</v>
      </c>
      <c r="R498" s="2" t="inlineStr"/>
    </row>
    <row r="499" ht="15" customHeight="1">
      <c r="A499" t="inlineStr">
        <is>
          <t>A 24584-2024</t>
        </is>
      </c>
      <c r="B499" s="1" t="n">
        <v>45460</v>
      </c>
      <c r="C499" s="1" t="n">
        <v>45923</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49286-2022</t>
        </is>
      </c>
      <c r="B500" s="1" t="n">
        <v>44861.45876157407</v>
      </c>
      <c r="C500" s="1" t="n">
        <v>45923</v>
      </c>
      <c r="D500" t="inlineStr">
        <is>
          <t>KALMAR LÄN</t>
        </is>
      </c>
      <c r="E500" t="inlineStr">
        <is>
          <t>VÄSTERVIK</t>
        </is>
      </c>
      <c r="G500" t="n">
        <v>2.6</v>
      </c>
      <c r="H500" t="n">
        <v>0</v>
      </c>
      <c r="I500" t="n">
        <v>0</v>
      </c>
      <c r="J500" t="n">
        <v>0</v>
      </c>
      <c r="K500" t="n">
        <v>0</v>
      </c>
      <c r="L500" t="n">
        <v>0</v>
      </c>
      <c r="M500" t="n">
        <v>0</v>
      </c>
      <c r="N500" t="n">
        <v>0</v>
      </c>
      <c r="O500" t="n">
        <v>0</v>
      </c>
      <c r="P500" t="n">
        <v>0</v>
      </c>
      <c r="Q500" t="n">
        <v>0</v>
      </c>
      <c r="R500" s="2" t="inlineStr"/>
    </row>
    <row r="501" ht="15" customHeight="1">
      <c r="A501" t="inlineStr">
        <is>
          <t>A 32764-2022</t>
        </is>
      </c>
      <c r="B501" s="1" t="n">
        <v>44783</v>
      </c>
      <c r="C501" s="1" t="n">
        <v>45923</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4624-2023</t>
        </is>
      </c>
      <c r="B502" s="1" t="n">
        <v>44956</v>
      </c>
      <c r="C502" s="1" t="n">
        <v>45923</v>
      </c>
      <c r="D502" t="inlineStr">
        <is>
          <t>KALMAR LÄN</t>
        </is>
      </c>
      <c r="E502" t="inlineStr">
        <is>
          <t>VÄSTERVIK</t>
        </is>
      </c>
      <c r="F502" t="inlineStr">
        <is>
          <t>Holmen skog AB</t>
        </is>
      </c>
      <c r="G502" t="n">
        <v>7.1</v>
      </c>
      <c r="H502" t="n">
        <v>0</v>
      </c>
      <c r="I502" t="n">
        <v>0</v>
      </c>
      <c r="J502" t="n">
        <v>0</v>
      </c>
      <c r="K502" t="n">
        <v>0</v>
      </c>
      <c r="L502" t="n">
        <v>0</v>
      </c>
      <c r="M502" t="n">
        <v>0</v>
      </c>
      <c r="N502" t="n">
        <v>0</v>
      </c>
      <c r="O502" t="n">
        <v>0</v>
      </c>
      <c r="P502" t="n">
        <v>0</v>
      </c>
      <c r="Q502" t="n">
        <v>0</v>
      </c>
      <c r="R502" s="2" t="inlineStr"/>
    </row>
    <row r="503" ht="15" customHeight="1">
      <c r="A503" t="inlineStr">
        <is>
          <t>A 9549-2024</t>
        </is>
      </c>
      <c r="B503" s="1" t="n">
        <v>45359.87989583334</v>
      </c>
      <c r="C503" s="1" t="n">
        <v>45923</v>
      </c>
      <c r="D503" t="inlineStr">
        <is>
          <t>KALMAR LÄN</t>
        </is>
      </c>
      <c r="E503" t="inlineStr">
        <is>
          <t>VÄSTERVIK</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3185-2023</t>
        </is>
      </c>
      <c r="B504" s="1" t="n">
        <v>44946.60753472222</v>
      </c>
      <c r="C504" s="1" t="n">
        <v>45923</v>
      </c>
      <c r="D504" t="inlineStr">
        <is>
          <t>KALMAR LÄN</t>
        </is>
      </c>
      <c r="E504" t="inlineStr">
        <is>
          <t>VÄSTERVIK</t>
        </is>
      </c>
      <c r="G504" t="n">
        <v>0.9</v>
      </c>
      <c r="H504" t="n">
        <v>0</v>
      </c>
      <c r="I504" t="n">
        <v>0</v>
      </c>
      <c r="J504" t="n">
        <v>0</v>
      </c>
      <c r="K504" t="n">
        <v>0</v>
      </c>
      <c r="L504" t="n">
        <v>0</v>
      </c>
      <c r="M504" t="n">
        <v>0</v>
      </c>
      <c r="N504" t="n">
        <v>0</v>
      </c>
      <c r="O504" t="n">
        <v>0</v>
      </c>
      <c r="P504" t="n">
        <v>0</v>
      </c>
      <c r="Q504" t="n">
        <v>0</v>
      </c>
      <c r="R504" s="2" t="inlineStr"/>
    </row>
    <row r="505" ht="15" customHeight="1">
      <c r="A505" t="inlineStr">
        <is>
          <t>A 8005-2023</t>
        </is>
      </c>
      <c r="B505" s="1" t="n">
        <v>44973.88452546296</v>
      </c>
      <c r="C505" s="1" t="n">
        <v>45923</v>
      </c>
      <c r="D505" t="inlineStr">
        <is>
          <t>KALMAR LÄN</t>
        </is>
      </c>
      <c r="E505" t="inlineStr">
        <is>
          <t>VÄSTERVIK</t>
        </is>
      </c>
      <c r="G505" t="n">
        <v>2</v>
      </c>
      <c r="H505" t="n">
        <v>0</v>
      </c>
      <c r="I505" t="n">
        <v>0</v>
      </c>
      <c r="J505" t="n">
        <v>0</v>
      </c>
      <c r="K505" t="n">
        <v>0</v>
      </c>
      <c r="L505" t="n">
        <v>0</v>
      </c>
      <c r="M505" t="n">
        <v>0</v>
      </c>
      <c r="N505" t="n">
        <v>0</v>
      </c>
      <c r="O505" t="n">
        <v>0</v>
      </c>
      <c r="P505" t="n">
        <v>0</v>
      </c>
      <c r="Q505" t="n">
        <v>0</v>
      </c>
      <c r="R505" s="2" t="inlineStr"/>
    </row>
    <row r="506" ht="15" customHeight="1">
      <c r="A506" t="inlineStr">
        <is>
          <t>A 59202-2022</t>
        </is>
      </c>
      <c r="B506" s="1" t="n">
        <v>44904</v>
      </c>
      <c r="C506" s="1" t="n">
        <v>45923</v>
      </c>
      <c r="D506" t="inlineStr">
        <is>
          <t>KALMAR LÄN</t>
        </is>
      </c>
      <c r="E506" t="inlineStr">
        <is>
          <t>VÄSTERVIK</t>
        </is>
      </c>
      <c r="G506" t="n">
        <v>1.5</v>
      </c>
      <c r="H506" t="n">
        <v>0</v>
      </c>
      <c r="I506" t="n">
        <v>0</v>
      </c>
      <c r="J506" t="n">
        <v>0</v>
      </c>
      <c r="K506" t="n">
        <v>0</v>
      </c>
      <c r="L506" t="n">
        <v>0</v>
      </c>
      <c r="M506" t="n">
        <v>0</v>
      </c>
      <c r="N506" t="n">
        <v>0</v>
      </c>
      <c r="O506" t="n">
        <v>0</v>
      </c>
      <c r="P506" t="n">
        <v>0</v>
      </c>
      <c r="Q506" t="n">
        <v>0</v>
      </c>
      <c r="R506" s="2" t="inlineStr"/>
    </row>
    <row r="507" ht="15" customHeight="1">
      <c r="A507" t="inlineStr">
        <is>
          <t>A 59210-2022</t>
        </is>
      </c>
      <c r="B507" s="1" t="n">
        <v>44904.51767361111</v>
      </c>
      <c r="C507" s="1" t="n">
        <v>45923</v>
      </c>
      <c r="D507" t="inlineStr">
        <is>
          <t>KALMAR LÄN</t>
        </is>
      </c>
      <c r="E507" t="inlineStr">
        <is>
          <t>VÄSTERVIK</t>
        </is>
      </c>
      <c r="G507" t="n">
        <v>21.2</v>
      </c>
      <c r="H507" t="n">
        <v>0</v>
      </c>
      <c r="I507" t="n">
        <v>0</v>
      </c>
      <c r="J507" t="n">
        <v>0</v>
      </c>
      <c r="K507" t="n">
        <v>0</v>
      </c>
      <c r="L507" t="n">
        <v>0</v>
      </c>
      <c r="M507" t="n">
        <v>0</v>
      </c>
      <c r="N507" t="n">
        <v>0</v>
      </c>
      <c r="O507" t="n">
        <v>0</v>
      </c>
      <c r="P507" t="n">
        <v>0</v>
      </c>
      <c r="Q507" t="n">
        <v>0</v>
      </c>
      <c r="R507" s="2" t="inlineStr"/>
    </row>
    <row r="508" ht="15" customHeight="1">
      <c r="A508" t="inlineStr">
        <is>
          <t>A 59220-2022</t>
        </is>
      </c>
      <c r="B508" s="1" t="n">
        <v>44904.53423611111</v>
      </c>
      <c r="C508" s="1" t="n">
        <v>45923</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45256.85211805555</v>
      </c>
      <c r="C509" s="1" t="n">
        <v>45923</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2098-2023</t>
        </is>
      </c>
      <c r="B510" s="1" t="n">
        <v>44939</v>
      </c>
      <c r="C510" s="1" t="n">
        <v>45923</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60056-2023</t>
        </is>
      </c>
      <c r="B511" s="1" t="n">
        <v>45258</v>
      </c>
      <c r="C511" s="1" t="n">
        <v>45923</v>
      </c>
      <c r="D511" t="inlineStr">
        <is>
          <t>KALMAR LÄN</t>
        </is>
      </c>
      <c r="E511" t="inlineStr">
        <is>
          <t>VÄSTERVIK</t>
        </is>
      </c>
      <c r="G511" t="n">
        <v>0.4</v>
      </c>
      <c r="H511" t="n">
        <v>0</v>
      </c>
      <c r="I511" t="n">
        <v>0</v>
      </c>
      <c r="J511" t="n">
        <v>0</v>
      </c>
      <c r="K511" t="n">
        <v>0</v>
      </c>
      <c r="L511" t="n">
        <v>0</v>
      </c>
      <c r="M511" t="n">
        <v>0</v>
      </c>
      <c r="N511" t="n">
        <v>0</v>
      </c>
      <c r="O511" t="n">
        <v>0</v>
      </c>
      <c r="P511" t="n">
        <v>0</v>
      </c>
      <c r="Q511" t="n">
        <v>0</v>
      </c>
      <c r="R511" s="2" t="inlineStr"/>
    </row>
    <row r="512" ht="15" customHeight="1">
      <c r="A512" t="inlineStr">
        <is>
          <t>A 41342-2023</t>
        </is>
      </c>
      <c r="B512" s="1" t="n">
        <v>45174.72416666667</v>
      </c>
      <c r="C512" s="1" t="n">
        <v>45923</v>
      </c>
      <c r="D512" t="inlineStr">
        <is>
          <t>KALMAR LÄN</t>
        </is>
      </c>
      <c r="E512" t="inlineStr">
        <is>
          <t>VÄSTERVIK</t>
        </is>
      </c>
      <c r="G512" t="n">
        <v>0.6</v>
      </c>
      <c r="H512" t="n">
        <v>0</v>
      </c>
      <c r="I512" t="n">
        <v>0</v>
      </c>
      <c r="J512" t="n">
        <v>0</v>
      </c>
      <c r="K512" t="n">
        <v>0</v>
      </c>
      <c r="L512" t="n">
        <v>0</v>
      </c>
      <c r="M512" t="n">
        <v>0</v>
      </c>
      <c r="N512" t="n">
        <v>0</v>
      </c>
      <c r="O512" t="n">
        <v>0</v>
      </c>
      <c r="P512" t="n">
        <v>0</v>
      </c>
      <c r="Q512" t="n">
        <v>0</v>
      </c>
      <c r="R512" s="2" t="inlineStr"/>
    </row>
    <row r="513" ht="15" customHeight="1">
      <c r="A513" t="inlineStr">
        <is>
          <t>A 13490-2022</t>
        </is>
      </c>
      <c r="B513" s="1" t="n">
        <v>44646</v>
      </c>
      <c r="C513" s="1" t="n">
        <v>45923</v>
      </c>
      <c r="D513" t="inlineStr">
        <is>
          <t>KALMAR LÄN</t>
        </is>
      </c>
      <c r="E513" t="inlineStr">
        <is>
          <t>VÄSTERVIK</t>
        </is>
      </c>
      <c r="G513" t="n">
        <v>2.4</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45923</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56617-2021</t>
        </is>
      </c>
      <c r="B515" s="1" t="n">
        <v>44480</v>
      </c>
      <c r="C515" s="1" t="n">
        <v>45923</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41993-2025</t>
        </is>
      </c>
      <c r="B516" s="1" t="n">
        <v>45903.54821759259</v>
      </c>
      <c r="C516" s="1" t="n">
        <v>45923</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27568-2024</t>
        </is>
      </c>
      <c r="B517" s="1" t="n">
        <v>45474</v>
      </c>
      <c r="C517" s="1" t="n">
        <v>45923</v>
      </c>
      <c r="D517" t="inlineStr">
        <is>
          <t>KALMAR LÄN</t>
        </is>
      </c>
      <c r="E517" t="inlineStr">
        <is>
          <t>VÄSTERVIK</t>
        </is>
      </c>
      <c r="G517" t="n">
        <v>7.7</v>
      </c>
      <c r="H517" t="n">
        <v>0</v>
      </c>
      <c r="I517" t="n">
        <v>0</v>
      </c>
      <c r="J517" t="n">
        <v>0</v>
      </c>
      <c r="K517" t="n">
        <v>0</v>
      </c>
      <c r="L517" t="n">
        <v>0</v>
      </c>
      <c r="M517" t="n">
        <v>0</v>
      </c>
      <c r="N517" t="n">
        <v>0</v>
      </c>
      <c r="O517" t="n">
        <v>0</v>
      </c>
      <c r="P517" t="n">
        <v>0</v>
      </c>
      <c r="Q517" t="n">
        <v>0</v>
      </c>
      <c r="R517" s="2" t="inlineStr"/>
    </row>
    <row r="518" ht="15" customHeight="1">
      <c r="A518" t="inlineStr">
        <is>
          <t>A 23148-2025</t>
        </is>
      </c>
      <c r="B518" s="1" t="n">
        <v>45791.40225694444</v>
      </c>
      <c r="C518" s="1" t="n">
        <v>45923</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27094-2024</t>
        </is>
      </c>
      <c r="B519" s="1" t="n">
        <v>45471</v>
      </c>
      <c r="C519" s="1" t="n">
        <v>45923</v>
      </c>
      <c r="D519" t="inlineStr">
        <is>
          <t>KALMAR LÄN</t>
        </is>
      </c>
      <c r="E519" t="inlineStr">
        <is>
          <t>VÄSTERVIK</t>
        </is>
      </c>
      <c r="F519" t="inlineStr">
        <is>
          <t>Holmen skog AB</t>
        </is>
      </c>
      <c r="G519" t="n">
        <v>2.4</v>
      </c>
      <c r="H519" t="n">
        <v>0</v>
      </c>
      <c r="I519" t="n">
        <v>0</v>
      </c>
      <c r="J519" t="n">
        <v>0</v>
      </c>
      <c r="K519" t="n">
        <v>0</v>
      </c>
      <c r="L519" t="n">
        <v>0</v>
      </c>
      <c r="M519" t="n">
        <v>0</v>
      </c>
      <c r="N519" t="n">
        <v>0</v>
      </c>
      <c r="O519" t="n">
        <v>0</v>
      </c>
      <c r="P519" t="n">
        <v>0</v>
      </c>
      <c r="Q519" t="n">
        <v>0</v>
      </c>
      <c r="R519" s="2" t="inlineStr"/>
      <c r="U519">
        <f>HYPERLINK("https://klasma.github.io/Logging_0883/knärot/A 27094-2024 karta knärot.png", "A 27094-2024")</f>
        <v/>
      </c>
      <c r="V519">
        <f>HYPERLINK("https://klasma.github.io/Logging_0883/klagomål/A 27094-2024 FSC-klagomål.docx", "A 27094-2024")</f>
        <v/>
      </c>
      <c r="W519">
        <f>HYPERLINK("https://klasma.github.io/Logging_0883/klagomålsmail/A 27094-2024 FSC-klagomål mail.docx", "A 27094-2024")</f>
        <v/>
      </c>
      <c r="X519">
        <f>HYPERLINK("https://klasma.github.io/Logging_0883/tillsyn/A 27094-2024 tillsynsbegäran.docx", "A 27094-2024")</f>
        <v/>
      </c>
      <c r="Y519">
        <f>HYPERLINK("https://klasma.github.io/Logging_0883/tillsynsmail/A 27094-2024 tillsynsbegäran mail.docx", "A 27094-2024")</f>
        <v/>
      </c>
    </row>
    <row r="520" ht="15" customHeight="1">
      <c r="A520" t="inlineStr">
        <is>
          <t>A 21660-2025</t>
        </is>
      </c>
      <c r="B520" s="1" t="n">
        <v>45783.45542824074</v>
      </c>
      <c r="C520" s="1" t="n">
        <v>45923</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51883-2021</t>
        </is>
      </c>
      <c r="B521" s="1" t="n">
        <v>44462.80449074074</v>
      </c>
      <c r="C521" s="1" t="n">
        <v>45923</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51884-2021</t>
        </is>
      </c>
      <c r="B522" s="1" t="n">
        <v>44462.806875</v>
      </c>
      <c r="C522" s="1" t="n">
        <v>45923</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61728-2023</t>
        </is>
      </c>
      <c r="B523" s="1" t="n">
        <v>45265</v>
      </c>
      <c r="C523" s="1" t="n">
        <v>45923</v>
      </c>
      <c r="D523" t="inlineStr">
        <is>
          <t>KALMAR LÄN</t>
        </is>
      </c>
      <c r="E523" t="inlineStr">
        <is>
          <t>VÄSTERVIK</t>
        </is>
      </c>
      <c r="G523" t="n">
        <v>1.9</v>
      </c>
      <c r="H523" t="n">
        <v>0</v>
      </c>
      <c r="I523" t="n">
        <v>0</v>
      </c>
      <c r="J523" t="n">
        <v>0</v>
      </c>
      <c r="K523" t="n">
        <v>0</v>
      </c>
      <c r="L523" t="n">
        <v>0</v>
      </c>
      <c r="M523" t="n">
        <v>0</v>
      </c>
      <c r="N523" t="n">
        <v>0</v>
      </c>
      <c r="O523" t="n">
        <v>0</v>
      </c>
      <c r="P523" t="n">
        <v>0</v>
      </c>
      <c r="Q523" t="n">
        <v>0</v>
      </c>
      <c r="R523" s="2" t="inlineStr"/>
    </row>
    <row r="524" ht="15" customHeight="1">
      <c r="A524" t="inlineStr">
        <is>
          <t>A 35655-2023</t>
        </is>
      </c>
      <c r="B524" s="1" t="n">
        <v>45147.59408564815</v>
      </c>
      <c r="C524" s="1" t="n">
        <v>45923</v>
      </c>
      <c r="D524" t="inlineStr">
        <is>
          <t>KALMAR LÄN</t>
        </is>
      </c>
      <c r="E524" t="inlineStr">
        <is>
          <t>VÄSTERVIK</t>
        </is>
      </c>
      <c r="G524" t="n">
        <v>3.3</v>
      </c>
      <c r="H524" t="n">
        <v>0</v>
      </c>
      <c r="I524" t="n">
        <v>0</v>
      </c>
      <c r="J524" t="n">
        <v>0</v>
      </c>
      <c r="K524" t="n">
        <v>0</v>
      </c>
      <c r="L524" t="n">
        <v>0</v>
      </c>
      <c r="M524" t="n">
        <v>0</v>
      </c>
      <c r="N524" t="n">
        <v>0</v>
      </c>
      <c r="O524" t="n">
        <v>0</v>
      </c>
      <c r="P524" t="n">
        <v>0</v>
      </c>
      <c r="Q524" t="n">
        <v>0</v>
      </c>
      <c r="R524" s="2" t="inlineStr"/>
    </row>
    <row r="525" ht="15" customHeight="1">
      <c r="A525" t="inlineStr">
        <is>
          <t>A 66328-2020</t>
        </is>
      </c>
      <c r="B525" s="1" t="n">
        <v>44176</v>
      </c>
      <c r="C525" s="1" t="n">
        <v>45923</v>
      </c>
      <c r="D525" t="inlineStr">
        <is>
          <t>KALMAR LÄN</t>
        </is>
      </c>
      <c r="E525" t="inlineStr">
        <is>
          <t>VÄSTERVIK</t>
        </is>
      </c>
      <c r="G525" t="n">
        <v>1.4</v>
      </c>
      <c r="H525" t="n">
        <v>0</v>
      </c>
      <c r="I525" t="n">
        <v>0</v>
      </c>
      <c r="J525" t="n">
        <v>0</v>
      </c>
      <c r="K525" t="n">
        <v>0</v>
      </c>
      <c r="L525" t="n">
        <v>0</v>
      </c>
      <c r="M525" t="n">
        <v>0</v>
      </c>
      <c r="N525" t="n">
        <v>0</v>
      </c>
      <c r="O525" t="n">
        <v>0</v>
      </c>
      <c r="P525" t="n">
        <v>0</v>
      </c>
      <c r="Q525" t="n">
        <v>0</v>
      </c>
      <c r="R525" s="2" t="inlineStr"/>
    </row>
    <row r="526" ht="15" customHeight="1">
      <c r="A526" t="inlineStr">
        <is>
          <t>A 29722-2025</t>
        </is>
      </c>
      <c r="B526" s="1" t="n">
        <v>45825.57524305556</v>
      </c>
      <c r="C526" s="1" t="n">
        <v>45923</v>
      </c>
      <c r="D526" t="inlineStr">
        <is>
          <t>KALMAR LÄN</t>
        </is>
      </c>
      <c r="E526" t="inlineStr">
        <is>
          <t>VÄSTERVIK</t>
        </is>
      </c>
      <c r="G526" t="n">
        <v>2.9</v>
      </c>
      <c r="H526" t="n">
        <v>0</v>
      </c>
      <c r="I526" t="n">
        <v>0</v>
      </c>
      <c r="J526" t="n">
        <v>0</v>
      </c>
      <c r="K526" t="n">
        <v>0</v>
      </c>
      <c r="L526" t="n">
        <v>0</v>
      </c>
      <c r="M526" t="n">
        <v>0</v>
      </c>
      <c r="N526" t="n">
        <v>0</v>
      </c>
      <c r="O526" t="n">
        <v>0</v>
      </c>
      <c r="P526" t="n">
        <v>0</v>
      </c>
      <c r="Q526" t="n">
        <v>0</v>
      </c>
      <c r="R526" s="2" t="inlineStr"/>
    </row>
    <row r="527" ht="15" customHeight="1">
      <c r="A527" t="inlineStr">
        <is>
          <t>A 3492-2021</t>
        </is>
      </c>
      <c r="B527" s="1" t="n">
        <v>44218.60984953704</v>
      </c>
      <c r="C527" s="1" t="n">
        <v>45923</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42868-2025</t>
        </is>
      </c>
      <c r="B528" s="1" t="n">
        <v>45908.62329861111</v>
      </c>
      <c r="C528" s="1" t="n">
        <v>45923</v>
      </c>
      <c r="D528" t="inlineStr">
        <is>
          <t>KALMAR LÄN</t>
        </is>
      </c>
      <c r="E528" t="inlineStr">
        <is>
          <t>VÄSTERVIK</t>
        </is>
      </c>
      <c r="F528" t="inlineStr">
        <is>
          <t>Holmen skog AB</t>
        </is>
      </c>
      <c r="G528" t="n">
        <v>3.7</v>
      </c>
      <c r="H528" t="n">
        <v>0</v>
      </c>
      <c r="I528" t="n">
        <v>0</v>
      </c>
      <c r="J528" t="n">
        <v>0</v>
      </c>
      <c r="K528" t="n">
        <v>0</v>
      </c>
      <c r="L528" t="n">
        <v>0</v>
      </c>
      <c r="M528" t="n">
        <v>0</v>
      </c>
      <c r="N528" t="n">
        <v>0</v>
      </c>
      <c r="O528" t="n">
        <v>0</v>
      </c>
      <c r="P528" t="n">
        <v>0</v>
      </c>
      <c r="Q528" t="n">
        <v>0</v>
      </c>
      <c r="R528" s="2" t="inlineStr"/>
    </row>
    <row r="529" ht="15" customHeight="1">
      <c r="A529" t="inlineStr">
        <is>
          <t>A 32388-2024</t>
        </is>
      </c>
      <c r="B529" s="1" t="n">
        <v>45512.63465277778</v>
      </c>
      <c r="C529" s="1" t="n">
        <v>45923</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32389-2024</t>
        </is>
      </c>
      <c r="B530" s="1" t="n">
        <v>45512.63642361111</v>
      </c>
      <c r="C530" s="1" t="n">
        <v>45923</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8593-2023</t>
        </is>
      </c>
      <c r="B531" s="1" t="n">
        <v>44977</v>
      </c>
      <c r="C531" s="1" t="n">
        <v>45923</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34463-2024</t>
        </is>
      </c>
      <c r="B532" s="1" t="n">
        <v>45525.57712962963</v>
      </c>
      <c r="C532" s="1" t="n">
        <v>45923</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54190-2022</t>
        </is>
      </c>
      <c r="B533" s="1" t="n">
        <v>44881.68282407407</v>
      </c>
      <c r="C533" s="1" t="n">
        <v>45923</v>
      </c>
      <c r="D533" t="inlineStr">
        <is>
          <t>KALMAR LÄN</t>
        </is>
      </c>
      <c r="E533" t="inlineStr">
        <is>
          <t>VÄSTERVIK</t>
        </is>
      </c>
      <c r="G533" t="n">
        <v>7.4</v>
      </c>
      <c r="H533" t="n">
        <v>0</v>
      </c>
      <c r="I533" t="n">
        <v>0</v>
      </c>
      <c r="J533" t="n">
        <v>0</v>
      </c>
      <c r="K533" t="n">
        <v>0</v>
      </c>
      <c r="L533" t="n">
        <v>0</v>
      </c>
      <c r="M533" t="n">
        <v>0</v>
      </c>
      <c r="N533" t="n">
        <v>0</v>
      </c>
      <c r="O533" t="n">
        <v>0</v>
      </c>
      <c r="P533" t="n">
        <v>0</v>
      </c>
      <c r="Q533" t="n">
        <v>0</v>
      </c>
      <c r="R533" s="2" t="inlineStr"/>
    </row>
    <row r="534" ht="15" customHeight="1">
      <c r="A534" t="inlineStr">
        <is>
          <t>A 11198-2024</t>
        </is>
      </c>
      <c r="B534" s="1" t="n">
        <v>45371</v>
      </c>
      <c r="C534" s="1" t="n">
        <v>45923</v>
      </c>
      <c r="D534" t="inlineStr">
        <is>
          <t>KALMAR LÄN</t>
        </is>
      </c>
      <c r="E534" t="inlineStr">
        <is>
          <t>VÄSTERVIK</t>
        </is>
      </c>
      <c r="G534" t="n">
        <v>4.1</v>
      </c>
      <c r="H534" t="n">
        <v>0</v>
      </c>
      <c r="I534" t="n">
        <v>0</v>
      </c>
      <c r="J534" t="n">
        <v>0</v>
      </c>
      <c r="K534" t="n">
        <v>0</v>
      </c>
      <c r="L534" t="n">
        <v>0</v>
      </c>
      <c r="M534" t="n">
        <v>0</v>
      </c>
      <c r="N534" t="n">
        <v>0</v>
      </c>
      <c r="O534" t="n">
        <v>0</v>
      </c>
      <c r="P534" t="n">
        <v>0</v>
      </c>
      <c r="Q534" t="n">
        <v>0</v>
      </c>
      <c r="R534" s="2" t="inlineStr"/>
    </row>
    <row r="535" ht="15" customHeight="1">
      <c r="A535" t="inlineStr">
        <is>
          <t>A 9760-2024</t>
        </is>
      </c>
      <c r="B535" s="1" t="n">
        <v>45362</v>
      </c>
      <c r="C535" s="1" t="n">
        <v>45923</v>
      </c>
      <c r="D535" t="inlineStr">
        <is>
          <t>KALMAR LÄN</t>
        </is>
      </c>
      <c r="E535" t="inlineStr">
        <is>
          <t>VÄSTERVIK</t>
        </is>
      </c>
      <c r="G535" t="n">
        <v>2.1</v>
      </c>
      <c r="H535" t="n">
        <v>0</v>
      </c>
      <c r="I535" t="n">
        <v>0</v>
      </c>
      <c r="J535" t="n">
        <v>0</v>
      </c>
      <c r="K535" t="n">
        <v>0</v>
      </c>
      <c r="L535" t="n">
        <v>0</v>
      </c>
      <c r="M535" t="n">
        <v>0</v>
      </c>
      <c r="N535" t="n">
        <v>0</v>
      </c>
      <c r="O535" t="n">
        <v>0</v>
      </c>
      <c r="P535" t="n">
        <v>0</v>
      </c>
      <c r="Q535" t="n">
        <v>0</v>
      </c>
      <c r="R535" s="2" t="inlineStr"/>
    </row>
    <row r="536" ht="15" customHeight="1">
      <c r="A536" t="inlineStr">
        <is>
          <t>A 58090-2021</t>
        </is>
      </c>
      <c r="B536" s="1" t="n">
        <v>44487.50277777778</v>
      </c>
      <c r="C536" s="1" t="n">
        <v>45923</v>
      </c>
      <c r="D536" t="inlineStr">
        <is>
          <t>KALMAR LÄN</t>
        </is>
      </c>
      <c r="E536" t="inlineStr">
        <is>
          <t>VÄSTERVIK</t>
        </is>
      </c>
      <c r="G536" t="n">
        <v>2.9</v>
      </c>
      <c r="H536" t="n">
        <v>0</v>
      </c>
      <c r="I536" t="n">
        <v>0</v>
      </c>
      <c r="J536" t="n">
        <v>0</v>
      </c>
      <c r="K536" t="n">
        <v>0</v>
      </c>
      <c r="L536" t="n">
        <v>0</v>
      </c>
      <c r="M536" t="n">
        <v>0</v>
      </c>
      <c r="N536" t="n">
        <v>0</v>
      </c>
      <c r="O536" t="n">
        <v>0</v>
      </c>
      <c r="P536" t="n">
        <v>0</v>
      </c>
      <c r="Q536" t="n">
        <v>0</v>
      </c>
      <c r="R536" s="2" t="inlineStr"/>
    </row>
    <row r="537" ht="15" customHeight="1">
      <c r="A537" t="inlineStr">
        <is>
          <t>A 36725-2024</t>
        </is>
      </c>
      <c r="B537" s="1" t="n">
        <v>45537.90300925926</v>
      </c>
      <c r="C537" s="1" t="n">
        <v>45923</v>
      </c>
      <c r="D537" t="inlineStr">
        <is>
          <t>KALMAR LÄN</t>
        </is>
      </c>
      <c r="E537" t="inlineStr">
        <is>
          <t>VÄSTERVIK</t>
        </is>
      </c>
      <c r="G537" t="n">
        <v>10.1</v>
      </c>
      <c r="H537" t="n">
        <v>0</v>
      </c>
      <c r="I537" t="n">
        <v>0</v>
      </c>
      <c r="J537" t="n">
        <v>0</v>
      </c>
      <c r="K537" t="n">
        <v>0</v>
      </c>
      <c r="L537" t="n">
        <v>0</v>
      </c>
      <c r="M537" t="n">
        <v>0</v>
      </c>
      <c r="N537" t="n">
        <v>0</v>
      </c>
      <c r="O537" t="n">
        <v>0</v>
      </c>
      <c r="P537" t="n">
        <v>0</v>
      </c>
      <c r="Q537" t="n">
        <v>0</v>
      </c>
      <c r="R537" s="2" t="inlineStr"/>
    </row>
    <row r="538" ht="15" customHeight="1">
      <c r="A538" t="inlineStr">
        <is>
          <t>A 31825-2022</t>
        </is>
      </c>
      <c r="B538" s="1" t="n">
        <v>44776.74908564815</v>
      </c>
      <c r="C538" s="1" t="n">
        <v>45923</v>
      </c>
      <c r="D538" t="inlineStr">
        <is>
          <t>KALMAR LÄN</t>
        </is>
      </c>
      <c r="E538" t="inlineStr">
        <is>
          <t>VÄSTERVIK</t>
        </is>
      </c>
      <c r="G538" t="n">
        <v>0.9</v>
      </c>
      <c r="H538" t="n">
        <v>0</v>
      </c>
      <c r="I538" t="n">
        <v>0</v>
      </c>
      <c r="J538" t="n">
        <v>0</v>
      </c>
      <c r="K538" t="n">
        <v>0</v>
      </c>
      <c r="L538" t="n">
        <v>0</v>
      </c>
      <c r="M538" t="n">
        <v>0</v>
      </c>
      <c r="N538" t="n">
        <v>0</v>
      </c>
      <c r="O538" t="n">
        <v>0</v>
      </c>
      <c r="P538" t="n">
        <v>0</v>
      </c>
      <c r="Q538" t="n">
        <v>0</v>
      </c>
      <c r="R538" s="2" t="inlineStr"/>
    </row>
    <row r="539" ht="15" customHeight="1">
      <c r="A539" t="inlineStr">
        <is>
          <t>A 57366-2023</t>
        </is>
      </c>
      <c r="B539" s="1" t="n">
        <v>45245</v>
      </c>
      <c r="C539" s="1" t="n">
        <v>45923</v>
      </c>
      <c r="D539" t="inlineStr">
        <is>
          <t>KALMAR LÄN</t>
        </is>
      </c>
      <c r="E539" t="inlineStr">
        <is>
          <t>VÄSTERVIK</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942-2024</t>
        </is>
      </c>
      <c r="B540" s="1" t="n">
        <v>45301.53930555555</v>
      </c>
      <c r="C540" s="1" t="n">
        <v>45923</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25403-2023</t>
        </is>
      </c>
      <c r="B541" s="1" t="n">
        <v>45079</v>
      </c>
      <c r="C541" s="1" t="n">
        <v>45923</v>
      </c>
      <c r="D541" t="inlineStr">
        <is>
          <t>KALMAR LÄN</t>
        </is>
      </c>
      <c r="E541" t="inlineStr">
        <is>
          <t>VÄSTERVIK</t>
        </is>
      </c>
      <c r="G541" t="n">
        <v>4.3</v>
      </c>
      <c r="H541" t="n">
        <v>0</v>
      </c>
      <c r="I541" t="n">
        <v>0</v>
      </c>
      <c r="J541" t="n">
        <v>0</v>
      </c>
      <c r="K541" t="n">
        <v>0</v>
      </c>
      <c r="L541" t="n">
        <v>0</v>
      </c>
      <c r="M541" t="n">
        <v>0</v>
      </c>
      <c r="N541" t="n">
        <v>0</v>
      </c>
      <c r="O541" t="n">
        <v>0</v>
      </c>
      <c r="P541" t="n">
        <v>0</v>
      </c>
      <c r="Q541" t="n">
        <v>0</v>
      </c>
      <c r="R541" s="2" t="inlineStr"/>
    </row>
    <row r="542" ht="15" customHeight="1">
      <c r="A542" t="inlineStr">
        <is>
          <t>A 12595-2023</t>
        </is>
      </c>
      <c r="B542" s="1" t="n">
        <v>45000.43240740741</v>
      </c>
      <c r="C542" s="1" t="n">
        <v>45923</v>
      </c>
      <c r="D542" t="inlineStr">
        <is>
          <t>KALMAR LÄN</t>
        </is>
      </c>
      <c r="E542" t="inlineStr">
        <is>
          <t>VÄSTERVIK</t>
        </is>
      </c>
      <c r="F542" t="inlineStr">
        <is>
          <t>Holmen skog AB</t>
        </is>
      </c>
      <c r="G542" t="n">
        <v>2.2</v>
      </c>
      <c r="H542" t="n">
        <v>0</v>
      </c>
      <c r="I542" t="n">
        <v>0</v>
      </c>
      <c r="J542" t="n">
        <v>0</v>
      </c>
      <c r="K542" t="n">
        <v>0</v>
      </c>
      <c r="L542" t="n">
        <v>0</v>
      </c>
      <c r="M542" t="n">
        <v>0</v>
      </c>
      <c r="N542" t="n">
        <v>0</v>
      </c>
      <c r="O542" t="n">
        <v>0</v>
      </c>
      <c r="P542" t="n">
        <v>0</v>
      </c>
      <c r="Q542" t="n">
        <v>0</v>
      </c>
      <c r="R542" s="2" t="inlineStr"/>
    </row>
    <row r="543" ht="15" customHeight="1">
      <c r="A543" t="inlineStr">
        <is>
          <t>A 23411-2022</t>
        </is>
      </c>
      <c r="B543" s="1" t="n">
        <v>44720.70361111111</v>
      </c>
      <c r="C543" s="1" t="n">
        <v>45923</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34655-2023</t>
        </is>
      </c>
      <c r="B544" s="1" t="n">
        <v>45140</v>
      </c>
      <c r="C544" s="1" t="n">
        <v>45923</v>
      </c>
      <c r="D544" t="inlineStr">
        <is>
          <t>KALMAR LÄN</t>
        </is>
      </c>
      <c r="E544" t="inlineStr">
        <is>
          <t>VÄSTERVIK</t>
        </is>
      </c>
      <c r="G544" t="n">
        <v>3.6</v>
      </c>
      <c r="H544" t="n">
        <v>0</v>
      </c>
      <c r="I544" t="n">
        <v>0</v>
      </c>
      <c r="J544" t="n">
        <v>0</v>
      </c>
      <c r="K544" t="n">
        <v>0</v>
      </c>
      <c r="L544" t="n">
        <v>0</v>
      </c>
      <c r="M544" t="n">
        <v>0</v>
      </c>
      <c r="N544" t="n">
        <v>0</v>
      </c>
      <c r="O544" t="n">
        <v>0</v>
      </c>
      <c r="P544" t="n">
        <v>0</v>
      </c>
      <c r="Q544" t="n">
        <v>0</v>
      </c>
      <c r="R544" s="2" t="inlineStr"/>
    </row>
    <row r="545" ht="15" customHeight="1">
      <c r="A545" t="inlineStr">
        <is>
          <t>A 6042-2023</t>
        </is>
      </c>
      <c r="B545" s="1" t="n">
        <v>44964</v>
      </c>
      <c r="C545" s="1" t="n">
        <v>45923</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10419-2023</t>
        </is>
      </c>
      <c r="B546" s="1" t="n">
        <v>44987</v>
      </c>
      <c r="C546" s="1" t="n">
        <v>45923</v>
      </c>
      <c r="D546" t="inlineStr">
        <is>
          <t>KALMAR LÄN</t>
        </is>
      </c>
      <c r="E546" t="inlineStr">
        <is>
          <t>VÄSTERVIK</t>
        </is>
      </c>
      <c r="G546" t="n">
        <v>0.4</v>
      </c>
      <c r="H546" t="n">
        <v>0</v>
      </c>
      <c r="I546" t="n">
        <v>0</v>
      </c>
      <c r="J546" t="n">
        <v>0</v>
      </c>
      <c r="K546" t="n">
        <v>0</v>
      </c>
      <c r="L546" t="n">
        <v>0</v>
      </c>
      <c r="M546" t="n">
        <v>0</v>
      </c>
      <c r="N546" t="n">
        <v>0</v>
      </c>
      <c r="O546" t="n">
        <v>0</v>
      </c>
      <c r="P546" t="n">
        <v>0</v>
      </c>
      <c r="Q546" t="n">
        <v>0</v>
      </c>
      <c r="R546" s="2" t="inlineStr"/>
    </row>
    <row r="547" ht="15" customHeight="1">
      <c r="A547" t="inlineStr">
        <is>
          <t>A 10406-2022</t>
        </is>
      </c>
      <c r="B547" s="1" t="n">
        <v>44623</v>
      </c>
      <c r="C547" s="1" t="n">
        <v>45923</v>
      </c>
      <c r="D547" t="inlineStr">
        <is>
          <t>KALMAR LÄN</t>
        </is>
      </c>
      <c r="E547" t="inlineStr">
        <is>
          <t>VÄSTERVIK</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29405-2024</t>
        </is>
      </c>
      <c r="B548" s="1" t="n">
        <v>45483</v>
      </c>
      <c r="C548" s="1" t="n">
        <v>45923</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55023-2021</t>
        </is>
      </c>
      <c r="B549" s="1" t="n">
        <v>44474</v>
      </c>
      <c r="C549" s="1" t="n">
        <v>45923</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43651-2025</t>
        </is>
      </c>
      <c r="B550" s="1" t="n">
        <v>45912.32259259259</v>
      </c>
      <c r="C550" s="1" t="n">
        <v>45923</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61649-2022</t>
        </is>
      </c>
      <c r="B551" s="1" t="n">
        <v>44916.90010416666</v>
      </c>
      <c r="C551" s="1" t="n">
        <v>45923</v>
      </c>
      <c r="D551" t="inlineStr">
        <is>
          <t>KALMAR LÄN</t>
        </is>
      </c>
      <c r="E551" t="inlineStr">
        <is>
          <t>VÄSTERVIK</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3190-2023</t>
        </is>
      </c>
      <c r="B552" s="1" t="n">
        <v>44946.61086805556</v>
      </c>
      <c r="C552" s="1" t="n">
        <v>45923</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43828-2021</t>
        </is>
      </c>
      <c r="B553" s="1" t="n">
        <v>44433</v>
      </c>
      <c r="C553" s="1" t="n">
        <v>45923</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4508-2023</t>
        </is>
      </c>
      <c r="B554" s="1" t="n">
        <v>44956</v>
      </c>
      <c r="C554" s="1" t="n">
        <v>45923</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55047-2024</t>
        </is>
      </c>
      <c r="B555" s="1" t="n">
        <v>45621.39516203704</v>
      </c>
      <c r="C555" s="1" t="n">
        <v>45923</v>
      </c>
      <c r="D555" t="inlineStr">
        <is>
          <t>KALMAR LÄN</t>
        </is>
      </c>
      <c r="E555" t="inlineStr">
        <is>
          <t>VÄSTERVIK</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5769-2023</t>
        </is>
      </c>
      <c r="B556" s="1" t="n">
        <v>44963.37194444444</v>
      </c>
      <c r="C556" s="1" t="n">
        <v>45923</v>
      </c>
      <c r="D556" t="inlineStr">
        <is>
          <t>KALMAR LÄN</t>
        </is>
      </c>
      <c r="E556" t="inlineStr">
        <is>
          <t>VÄSTERVIK</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14151-2021</t>
        </is>
      </c>
      <c r="B557" s="1" t="n">
        <v>44278.41052083333</v>
      </c>
      <c r="C557" s="1" t="n">
        <v>45923</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35162-2024</t>
        </is>
      </c>
      <c r="B558" s="1" t="n">
        <v>45530.40025462963</v>
      </c>
      <c r="C558" s="1" t="n">
        <v>45923</v>
      </c>
      <c r="D558" t="inlineStr">
        <is>
          <t>KALMAR LÄN</t>
        </is>
      </c>
      <c r="E558" t="inlineStr">
        <is>
          <t>VÄSTERVIK</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59695-2023</t>
        </is>
      </c>
      <c r="B559" s="1" t="n">
        <v>45256.85107638889</v>
      </c>
      <c r="C559" s="1" t="n">
        <v>45923</v>
      </c>
      <c r="D559" t="inlineStr">
        <is>
          <t>KALMAR LÄN</t>
        </is>
      </c>
      <c r="E559" t="inlineStr">
        <is>
          <t>VÄSTERVIK</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7090-2024</t>
        </is>
      </c>
      <c r="B560" s="1" t="n">
        <v>45343.80621527778</v>
      </c>
      <c r="C560" s="1" t="n">
        <v>45923</v>
      </c>
      <c r="D560" t="inlineStr">
        <is>
          <t>KALMAR LÄN</t>
        </is>
      </c>
      <c r="E560" t="inlineStr">
        <is>
          <t>VÄSTERVIK</t>
        </is>
      </c>
      <c r="G560" t="n">
        <v>1.2</v>
      </c>
      <c r="H560" t="n">
        <v>0</v>
      </c>
      <c r="I560" t="n">
        <v>0</v>
      </c>
      <c r="J560" t="n">
        <v>0</v>
      </c>
      <c r="K560" t="n">
        <v>0</v>
      </c>
      <c r="L560" t="n">
        <v>0</v>
      </c>
      <c r="M560" t="n">
        <v>0</v>
      </c>
      <c r="N560" t="n">
        <v>0</v>
      </c>
      <c r="O560" t="n">
        <v>0</v>
      </c>
      <c r="P560" t="n">
        <v>0</v>
      </c>
      <c r="Q560" t="n">
        <v>0</v>
      </c>
      <c r="R560" s="2" t="inlineStr"/>
    </row>
    <row r="561" ht="15" customHeight="1">
      <c r="A561" t="inlineStr">
        <is>
          <t>A 52645-2021</t>
        </is>
      </c>
      <c r="B561" s="1" t="n">
        <v>44466</v>
      </c>
      <c r="C561" s="1" t="n">
        <v>45923</v>
      </c>
      <c r="D561" t="inlineStr">
        <is>
          <t>KALMAR LÄN</t>
        </is>
      </c>
      <c r="E561" t="inlineStr">
        <is>
          <t>VÄSTERVIK</t>
        </is>
      </c>
      <c r="G561" t="n">
        <v>5</v>
      </c>
      <c r="H561" t="n">
        <v>0</v>
      </c>
      <c r="I561" t="n">
        <v>0</v>
      </c>
      <c r="J561" t="n">
        <v>0</v>
      </c>
      <c r="K561" t="n">
        <v>0</v>
      </c>
      <c r="L561" t="n">
        <v>0</v>
      </c>
      <c r="M561" t="n">
        <v>0</v>
      </c>
      <c r="N561" t="n">
        <v>0</v>
      </c>
      <c r="O561" t="n">
        <v>0</v>
      </c>
      <c r="P561" t="n">
        <v>0</v>
      </c>
      <c r="Q561" t="n">
        <v>0</v>
      </c>
      <c r="R561" s="2" t="inlineStr"/>
    </row>
    <row r="562" ht="15" customHeight="1">
      <c r="A562" t="inlineStr">
        <is>
          <t>A 1568-2023</t>
        </is>
      </c>
      <c r="B562" s="1" t="n">
        <v>44937</v>
      </c>
      <c r="C562" s="1" t="n">
        <v>45923</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60147-2024</t>
        </is>
      </c>
      <c r="B563" s="1" t="n">
        <v>45642.61109953704</v>
      </c>
      <c r="C563" s="1" t="n">
        <v>45923</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20483-2025</t>
        </is>
      </c>
      <c r="B564" s="1" t="n">
        <v>45775.55954861111</v>
      </c>
      <c r="C564" s="1" t="n">
        <v>45923</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45721-2022</t>
        </is>
      </c>
      <c r="B565" s="1" t="n">
        <v>44845</v>
      </c>
      <c r="C565" s="1" t="n">
        <v>45923</v>
      </c>
      <c r="D565" t="inlineStr">
        <is>
          <t>KALMAR LÄN</t>
        </is>
      </c>
      <c r="E565" t="inlineStr">
        <is>
          <t>VÄSTERVIK</t>
        </is>
      </c>
      <c r="F565" t="inlineStr">
        <is>
          <t>Holmen skog AB</t>
        </is>
      </c>
      <c r="G565" t="n">
        <v>3.3</v>
      </c>
      <c r="H565" t="n">
        <v>0</v>
      </c>
      <c r="I565" t="n">
        <v>0</v>
      </c>
      <c r="J565" t="n">
        <v>0</v>
      </c>
      <c r="K565" t="n">
        <v>0</v>
      </c>
      <c r="L565" t="n">
        <v>0</v>
      </c>
      <c r="M565" t="n">
        <v>0</v>
      </c>
      <c r="N565" t="n">
        <v>0</v>
      </c>
      <c r="O565" t="n">
        <v>0</v>
      </c>
      <c r="P565" t="n">
        <v>0</v>
      </c>
      <c r="Q565" t="n">
        <v>0</v>
      </c>
      <c r="R565" s="2" t="inlineStr"/>
      <c r="U565">
        <f>HYPERLINK("https://klasma.github.io/Logging_0883/knärot/A 45721-2022 karta knärot.png", "A 45721-2022")</f>
        <v/>
      </c>
      <c r="V565">
        <f>HYPERLINK("https://klasma.github.io/Logging_0883/klagomål/A 45721-2022 FSC-klagomål.docx", "A 45721-2022")</f>
        <v/>
      </c>
      <c r="W565">
        <f>HYPERLINK("https://klasma.github.io/Logging_0883/klagomålsmail/A 45721-2022 FSC-klagomål mail.docx", "A 45721-2022")</f>
        <v/>
      </c>
      <c r="X565">
        <f>HYPERLINK("https://klasma.github.io/Logging_0883/tillsyn/A 45721-2022 tillsynsbegäran.docx", "A 45721-2022")</f>
        <v/>
      </c>
      <c r="Y565">
        <f>HYPERLINK("https://klasma.github.io/Logging_0883/tillsynsmail/A 45721-2022 tillsynsbegäran mail.docx", "A 45721-2022")</f>
        <v/>
      </c>
    </row>
    <row r="566" ht="15" customHeight="1">
      <c r="A566" t="inlineStr">
        <is>
          <t>A 7163-2025</t>
        </is>
      </c>
      <c r="B566" s="1" t="n">
        <v>45702.3918287037</v>
      </c>
      <c r="C566" s="1" t="n">
        <v>45923</v>
      </c>
      <c r="D566" t="inlineStr">
        <is>
          <t>KALMAR LÄN</t>
        </is>
      </c>
      <c r="E566" t="inlineStr">
        <is>
          <t>VÄSTERVIK</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36754-2025</t>
        </is>
      </c>
      <c r="B567" s="1" t="n">
        <v>45873.5591087963</v>
      </c>
      <c r="C567" s="1" t="n">
        <v>45923</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35417-2022</t>
        </is>
      </c>
      <c r="B568" s="1" t="n">
        <v>44798</v>
      </c>
      <c r="C568" s="1" t="n">
        <v>45923</v>
      </c>
      <c r="D568" t="inlineStr">
        <is>
          <t>KALMAR LÄN</t>
        </is>
      </c>
      <c r="E568" t="inlineStr">
        <is>
          <t>VÄSTERVIK</t>
        </is>
      </c>
      <c r="G568" t="n">
        <v>5.2</v>
      </c>
      <c r="H568" t="n">
        <v>0</v>
      </c>
      <c r="I568" t="n">
        <v>0</v>
      </c>
      <c r="J568" t="n">
        <v>0</v>
      </c>
      <c r="K568" t="n">
        <v>0</v>
      </c>
      <c r="L568" t="n">
        <v>0</v>
      </c>
      <c r="M568" t="n">
        <v>0</v>
      </c>
      <c r="N568" t="n">
        <v>0</v>
      </c>
      <c r="O568" t="n">
        <v>0</v>
      </c>
      <c r="P568" t="n">
        <v>0</v>
      </c>
      <c r="Q568" t="n">
        <v>0</v>
      </c>
      <c r="R568" s="2" t="inlineStr"/>
    </row>
    <row r="569" ht="15" customHeight="1">
      <c r="A569" t="inlineStr">
        <is>
          <t>A 47945-2023</t>
        </is>
      </c>
      <c r="B569" s="1" t="n">
        <v>45204.5684837963</v>
      </c>
      <c r="C569" s="1" t="n">
        <v>45923</v>
      </c>
      <c r="D569" t="inlineStr">
        <is>
          <t>KALMAR LÄN</t>
        </is>
      </c>
      <c r="E569" t="inlineStr">
        <is>
          <t>VÄSTERVIK</t>
        </is>
      </c>
      <c r="G569" t="n">
        <v>2</v>
      </c>
      <c r="H569" t="n">
        <v>0</v>
      </c>
      <c r="I569" t="n">
        <v>0</v>
      </c>
      <c r="J569" t="n">
        <v>0</v>
      </c>
      <c r="K569" t="n">
        <v>0</v>
      </c>
      <c r="L569" t="n">
        <v>0</v>
      </c>
      <c r="M569" t="n">
        <v>0</v>
      </c>
      <c r="N569" t="n">
        <v>0</v>
      </c>
      <c r="O569" t="n">
        <v>0</v>
      </c>
      <c r="P569" t="n">
        <v>0</v>
      </c>
      <c r="Q569" t="n">
        <v>0</v>
      </c>
      <c r="R569" s="2" t="inlineStr"/>
    </row>
    <row r="570" ht="15" customHeight="1">
      <c r="A570" t="inlineStr">
        <is>
          <t>A 25238-2021</t>
        </is>
      </c>
      <c r="B570" s="1" t="n">
        <v>44342</v>
      </c>
      <c r="C570" s="1" t="n">
        <v>45923</v>
      </c>
      <c r="D570" t="inlineStr">
        <is>
          <t>KALMAR LÄN</t>
        </is>
      </c>
      <c r="E570" t="inlineStr">
        <is>
          <t>VÄSTERVIK</t>
        </is>
      </c>
      <c r="G570" t="n">
        <v>1</v>
      </c>
      <c r="H570" t="n">
        <v>0</v>
      </c>
      <c r="I570" t="n">
        <v>0</v>
      </c>
      <c r="J570" t="n">
        <v>0</v>
      </c>
      <c r="K570" t="n">
        <v>0</v>
      </c>
      <c r="L570" t="n">
        <v>0</v>
      </c>
      <c r="M570" t="n">
        <v>0</v>
      </c>
      <c r="N570" t="n">
        <v>0</v>
      </c>
      <c r="O570" t="n">
        <v>0</v>
      </c>
      <c r="P570" t="n">
        <v>0</v>
      </c>
      <c r="Q570" t="n">
        <v>0</v>
      </c>
      <c r="R570" s="2" t="inlineStr"/>
    </row>
    <row r="571" ht="15" customHeight="1">
      <c r="A571" t="inlineStr">
        <is>
          <t>A 49708-2024</t>
        </is>
      </c>
      <c r="B571" s="1" t="n">
        <v>45596.69846064815</v>
      </c>
      <c r="C571" s="1" t="n">
        <v>45923</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12520-2021</t>
        </is>
      </c>
      <c r="B572" s="1" t="n">
        <v>44269</v>
      </c>
      <c r="C572" s="1" t="n">
        <v>45923</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44461-2025</t>
        </is>
      </c>
      <c r="B573" s="1" t="n">
        <v>45916.62190972222</v>
      </c>
      <c r="C573" s="1" t="n">
        <v>45923</v>
      </c>
      <c r="D573" t="inlineStr">
        <is>
          <t>KALMAR LÄN</t>
        </is>
      </c>
      <c r="E573" t="inlineStr">
        <is>
          <t>VÄSTERVIK</t>
        </is>
      </c>
      <c r="G573" t="n">
        <v>3.4</v>
      </c>
      <c r="H573" t="n">
        <v>0</v>
      </c>
      <c r="I573" t="n">
        <v>0</v>
      </c>
      <c r="J573" t="n">
        <v>0</v>
      </c>
      <c r="K573" t="n">
        <v>0</v>
      </c>
      <c r="L573" t="n">
        <v>0</v>
      </c>
      <c r="M573" t="n">
        <v>0</v>
      </c>
      <c r="N573" t="n">
        <v>0</v>
      </c>
      <c r="O573" t="n">
        <v>0</v>
      </c>
      <c r="P573" t="n">
        <v>0</v>
      </c>
      <c r="Q573" t="n">
        <v>0</v>
      </c>
      <c r="R573" s="2" t="inlineStr"/>
    </row>
    <row r="574" ht="15" customHeight="1">
      <c r="A574" t="inlineStr">
        <is>
          <t>A 36757-2025</t>
        </is>
      </c>
      <c r="B574" s="1" t="n">
        <v>45873.56483796296</v>
      </c>
      <c r="C574" s="1" t="n">
        <v>45923</v>
      </c>
      <c r="D574" t="inlineStr">
        <is>
          <t>KALMAR LÄN</t>
        </is>
      </c>
      <c r="E574" t="inlineStr">
        <is>
          <t>VÄSTERVIK</t>
        </is>
      </c>
      <c r="G574" t="n">
        <v>2.3</v>
      </c>
      <c r="H574" t="n">
        <v>0</v>
      </c>
      <c r="I574" t="n">
        <v>0</v>
      </c>
      <c r="J574" t="n">
        <v>0</v>
      </c>
      <c r="K574" t="n">
        <v>0</v>
      </c>
      <c r="L574" t="n">
        <v>0</v>
      </c>
      <c r="M574" t="n">
        <v>0</v>
      </c>
      <c r="N574" t="n">
        <v>0</v>
      </c>
      <c r="O574" t="n">
        <v>0</v>
      </c>
      <c r="P574" t="n">
        <v>0</v>
      </c>
      <c r="Q574" t="n">
        <v>0</v>
      </c>
      <c r="R574" s="2" t="inlineStr"/>
    </row>
    <row r="575" ht="15" customHeight="1">
      <c r="A575" t="inlineStr">
        <is>
          <t>A 5510-2021</t>
        </is>
      </c>
      <c r="B575" s="1" t="n">
        <v>44230</v>
      </c>
      <c r="C575" s="1" t="n">
        <v>45923</v>
      </c>
      <c r="D575" t="inlineStr">
        <is>
          <t>KALMAR LÄN</t>
        </is>
      </c>
      <c r="E575" t="inlineStr">
        <is>
          <t>VÄSTERVIK</t>
        </is>
      </c>
      <c r="G575" t="n">
        <v>3.2</v>
      </c>
      <c r="H575" t="n">
        <v>0</v>
      </c>
      <c r="I575" t="n">
        <v>0</v>
      </c>
      <c r="J575" t="n">
        <v>0</v>
      </c>
      <c r="K575" t="n">
        <v>0</v>
      </c>
      <c r="L575" t="n">
        <v>0</v>
      </c>
      <c r="M575" t="n">
        <v>0</v>
      </c>
      <c r="N575" t="n">
        <v>0</v>
      </c>
      <c r="O575" t="n">
        <v>0</v>
      </c>
      <c r="P575" t="n">
        <v>0</v>
      </c>
      <c r="Q575" t="n">
        <v>0</v>
      </c>
      <c r="R575" s="2" t="inlineStr"/>
    </row>
    <row r="576" ht="15" customHeight="1">
      <c r="A576" t="inlineStr">
        <is>
          <t>A 2738-2023</t>
        </is>
      </c>
      <c r="B576" s="1" t="n">
        <v>44944</v>
      </c>
      <c r="C576" s="1" t="n">
        <v>45923</v>
      </c>
      <c r="D576" t="inlineStr">
        <is>
          <t>KALMAR LÄN</t>
        </is>
      </c>
      <c r="E576" t="inlineStr">
        <is>
          <t>VÄSTERVIK</t>
        </is>
      </c>
      <c r="G576" t="n">
        <v>3</v>
      </c>
      <c r="H576" t="n">
        <v>0</v>
      </c>
      <c r="I576" t="n">
        <v>0</v>
      </c>
      <c r="J576" t="n">
        <v>0</v>
      </c>
      <c r="K576" t="n">
        <v>0</v>
      </c>
      <c r="L576" t="n">
        <v>0</v>
      </c>
      <c r="M576" t="n">
        <v>0</v>
      </c>
      <c r="N576" t="n">
        <v>0</v>
      </c>
      <c r="O576" t="n">
        <v>0</v>
      </c>
      <c r="P576" t="n">
        <v>0</v>
      </c>
      <c r="Q576" t="n">
        <v>0</v>
      </c>
      <c r="R576" s="2" t="inlineStr"/>
    </row>
    <row r="577" ht="15" customHeight="1">
      <c r="A577" t="inlineStr">
        <is>
          <t>A 6940-2025</t>
        </is>
      </c>
      <c r="B577" s="1" t="n">
        <v>45701.46581018518</v>
      </c>
      <c r="C577" s="1" t="n">
        <v>45923</v>
      </c>
      <c r="D577" t="inlineStr">
        <is>
          <t>KALMAR LÄN</t>
        </is>
      </c>
      <c r="E577" t="inlineStr">
        <is>
          <t>VÄSTERVIK</t>
        </is>
      </c>
      <c r="G577" t="n">
        <v>1.2</v>
      </c>
      <c r="H577" t="n">
        <v>0</v>
      </c>
      <c r="I577" t="n">
        <v>0</v>
      </c>
      <c r="J577" t="n">
        <v>0</v>
      </c>
      <c r="K577" t="n">
        <v>0</v>
      </c>
      <c r="L577" t="n">
        <v>0</v>
      </c>
      <c r="M577" t="n">
        <v>0</v>
      </c>
      <c r="N577" t="n">
        <v>0</v>
      </c>
      <c r="O577" t="n">
        <v>0</v>
      </c>
      <c r="P577" t="n">
        <v>0</v>
      </c>
      <c r="Q577" t="n">
        <v>0</v>
      </c>
      <c r="R577" s="2" t="inlineStr"/>
    </row>
    <row r="578" ht="15" customHeight="1">
      <c r="A578" t="inlineStr">
        <is>
          <t>A 57178-2024</t>
        </is>
      </c>
      <c r="B578" s="1" t="n">
        <v>45629.43973379629</v>
      </c>
      <c r="C578" s="1" t="n">
        <v>45923</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170-2022</t>
        </is>
      </c>
      <c r="B579" s="1" t="n">
        <v>44564.62540509259</v>
      </c>
      <c r="C579" s="1" t="n">
        <v>45923</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174-2022</t>
        </is>
      </c>
      <c r="B580" s="1" t="n">
        <v>44564.62763888889</v>
      </c>
      <c r="C580" s="1" t="n">
        <v>45923</v>
      </c>
      <c r="D580" t="inlineStr">
        <is>
          <t>KALMAR LÄN</t>
        </is>
      </c>
      <c r="E580" t="inlineStr">
        <is>
          <t>VÄSTERVIK</t>
        </is>
      </c>
      <c r="G580" t="n">
        <v>1.9</v>
      </c>
      <c r="H580" t="n">
        <v>0</v>
      </c>
      <c r="I580" t="n">
        <v>0</v>
      </c>
      <c r="J580" t="n">
        <v>0</v>
      </c>
      <c r="K580" t="n">
        <v>0</v>
      </c>
      <c r="L580" t="n">
        <v>0</v>
      </c>
      <c r="M580" t="n">
        <v>0</v>
      </c>
      <c r="N580" t="n">
        <v>0</v>
      </c>
      <c r="O580" t="n">
        <v>0</v>
      </c>
      <c r="P580" t="n">
        <v>0</v>
      </c>
      <c r="Q580" t="n">
        <v>0</v>
      </c>
      <c r="R580" s="2" t="inlineStr"/>
    </row>
    <row r="581" ht="15" customHeight="1">
      <c r="A581" t="inlineStr">
        <is>
          <t>A 47939-2023</t>
        </is>
      </c>
      <c r="B581" s="1" t="n">
        <v>45204.56195601852</v>
      </c>
      <c r="C581" s="1" t="n">
        <v>45923</v>
      </c>
      <c r="D581" t="inlineStr">
        <is>
          <t>KALMAR LÄN</t>
        </is>
      </c>
      <c r="E581" t="inlineStr">
        <is>
          <t>VÄSTERVIK</t>
        </is>
      </c>
      <c r="G581" t="n">
        <v>3.7</v>
      </c>
      <c r="H581" t="n">
        <v>0</v>
      </c>
      <c r="I581" t="n">
        <v>0</v>
      </c>
      <c r="J581" t="n">
        <v>0</v>
      </c>
      <c r="K581" t="n">
        <v>0</v>
      </c>
      <c r="L581" t="n">
        <v>0</v>
      </c>
      <c r="M581" t="n">
        <v>0</v>
      </c>
      <c r="N581" t="n">
        <v>0</v>
      </c>
      <c r="O581" t="n">
        <v>0</v>
      </c>
      <c r="P581" t="n">
        <v>0</v>
      </c>
      <c r="Q581" t="n">
        <v>0</v>
      </c>
      <c r="R581" s="2" t="inlineStr"/>
    </row>
    <row r="582" ht="15" customHeight="1">
      <c r="A582" t="inlineStr">
        <is>
          <t>A 58731-2024</t>
        </is>
      </c>
      <c r="B582" s="1" t="n">
        <v>45635.67120370371</v>
      </c>
      <c r="C582" s="1" t="n">
        <v>45923</v>
      </c>
      <c r="D582" t="inlineStr">
        <is>
          <t>KALMAR LÄN</t>
        </is>
      </c>
      <c r="E582" t="inlineStr">
        <is>
          <t>VÄSTERVIK</t>
        </is>
      </c>
      <c r="G582" t="n">
        <v>2.3</v>
      </c>
      <c r="H582" t="n">
        <v>0</v>
      </c>
      <c r="I582" t="n">
        <v>0</v>
      </c>
      <c r="J582" t="n">
        <v>0</v>
      </c>
      <c r="K582" t="n">
        <v>0</v>
      </c>
      <c r="L582" t="n">
        <v>0</v>
      </c>
      <c r="M582" t="n">
        <v>0</v>
      </c>
      <c r="N582" t="n">
        <v>0</v>
      </c>
      <c r="O582" t="n">
        <v>0</v>
      </c>
      <c r="P582" t="n">
        <v>0</v>
      </c>
      <c r="Q582" t="n">
        <v>0</v>
      </c>
      <c r="R582" s="2" t="inlineStr"/>
    </row>
    <row r="583" ht="15" customHeight="1">
      <c r="A583" t="inlineStr">
        <is>
          <t>A 59221-2022</t>
        </is>
      </c>
      <c r="B583" s="1" t="n">
        <v>44904.53858796296</v>
      </c>
      <c r="C583" s="1" t="n">
        <v>45923</v>
      </c>
      <c r="D583" t="inlineStr">
        <is>
          <t>KALMAR LÄN</t>
        </is>
      </c>
      <c r="E583" t="inlineStr">
        <is>
          <t>VÄSTERVIK</t>
        </is>
      </c>
      <c r="G583" t="n">
        <v>6.1</v>
      </c>
      <c r="H583" t="n">
        <v>0</v>
      </c>
      <c r="I583" t="n">
        <v>0</v>
      </c>
      <c r="J583" t="n">
        <v>0</v>
      </c>
      <c r="K583" t="n">
        <v>0</v>
      </c>
      <c r="L583" t="n">
        <v>0</v>
      </c>
      <c r="M583" t="n">
        <v>0</v>
      </c>
      <c r="N583" t="n">
        <v>0</v>
      </c>
      <c r="O583" t="n">
        <v>0</v>
      </c>
      <c r="P583" t="n">
        <v>0</v>
      </c>
      <c r="Q583" t="n">
        <v>0</v>
      </c>
      <c r="R583" s="2" t="inlineStr"/>
    </row>
    <row r="584" ht="15" customHeight="1">
      <c r="A584" t="inlineStr">
        <is>
          <t>A 4463-2022</t>
        </is>
      </c>
      <c r="B584" s="1" t="n">
        <v>44589</v>
      </c>
      <c r="C584" s="1" t="n">
        <v>45923</v>
      </c>
      <c r="D584" t="inlineStr">
        <is>
          <t>KALMAR LÄN</t>
        </is>
      </c>
      <c r="E584" t="inlineStr">
        <is>
          <t>VÄSTERVIK</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35652-2023</t>
        </is>
      </c>
      <c r="B585" s="1" t="n">
        <v>45147.59215277778</v>
      </c>
      <c r="C585" s="1" t="n">
        <v>45923</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63606-2023</t>
        </is>
      </c>
      <c r="B586" s="1" t="n">
        <v>45275</v>
      </c>
      <c r="C586" s="1" t="n">
        <v>45923</v>
      </c>
      <c r="D586" t="inlineStr">
        <is>
          <t>KALMAR LÄN</t>
        </is>
      </c>
      <c r="E586" t="inlineStr">
        <is>
          <t>VÄSTERVIK</t>
        </is>
      </c>
      <c r="G586" t="n">
        <v>2.9</v>
      </c>
      <c r="H586" t="n">
        <v>0</v>
      </c>
      <c r="I586" t="n">
        <v>0</v>
      </c>
      <c r="J586" t="n">
        <v>0</v>
      </c>
      <c r="K586" t="n">
        <v>0</v>
      </c>
      <c r="L586" t="n">
        <v>0</v>
      </c>
      <c r="M586" t="n">
        <v>0</v>
      </c>
      <c r="N586" t="n">
        <v>0</v>
      </c>
      <c r="O586" t="n">
        <v>0</v>
      </c>
      <c r="P586" t="n">
        <v>0</v>
      </c>
      <c r="Q586" t="n">
        <v>0</v>
      </c>
      <c r="R586" s="2" t="inlineStr"/>
    </row>
    <row r="587" ht="15" customHeight="1">
      <c r="A587" t="inlineStr">
        <is>
          <t>A 46561-2022</t>
        </is>
      </c>
      <c r="B587" s="1" t="n">
        <v>44848</v>
      </c>
      <c r="C587" s="1" t="n">
        <v>45923</v>
      </c>
      <c r="D587" t="inlineStr">
        <is>
          <t>KALMAR LÄN</t>
        </is>
      </c>
      <c r="E587" t="inlineStr">
        <is>
          <t>VÄSTERVIK</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6938-2025</t>
        </is>
      </c>
      <c r="B588" s="1" t="n">
        <v>45701.46288194445</v>
      </c>
      <c r="C588" s="1" t="n">
        <v>45923</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18884-2025</t>
        </is>
      </c>
      <c r="B589" s="1" t="n">
        <v>45764.4417824074</v>
      </c>
      <c r="C589" s="1" t="n">
        <v>45923</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row>
    <row r="590" ht="15" customHeight="1">
      <c r="A590" t="inlineStr">
        <is>
          <t>A 44981-2025</t>
        </is>
      </c>
      <c r="B590" s="1" t="n">
        <v>45918.64869212963</v>
      </c>
      <c r="C590" s="1" t="n">
        <v>45923</v>
      </c>
      <c r="D590" t="inlineStr">
        <is>
          <t>KALMAR LÄN</t>
        </is>
      </c>
      <c r="E590" t="inlineStr">
        <is>
          <t>VÄSTERVIK</t>
        </is>
      </c>
      <c r="G590" t="n">
        <v>0.4</v>
      </c>
      <c r="H590" t="n">
        <v>0</v>
      </c>
      <c r="I590" t="n">
        <v>0</v>
      </c>
      <c r="J590" t="n">
        <v>0</v>
      </c>
      <c r="K590" t="n">
        <v>0</v>
      </c>
      <c r="L590" t="n">
        <v>0</v>
      </c>
      <c r="M590" t="n">
        <v>0</v>
      </c>
      <c r="N590" t="n">
        <v>0</v>
      </c>
      <c r="O590" t="n">
        <v>0</v>
      </c>
      <c r="P590" t="n">
        <v>0</v>
      </c>
      <c r="Q590" t="n">
        <v>0</v>
      </c>
      <c r="R590" s="2" t="inlineStr"/>
    </row>
    <row r="591" ht="15" customHeight="1">
      <c r="A591" t="inlineStr">
        <is>
          <t>A 44848-2025</t>
        </is>
      </c>
      <c r="B591" s="1" t="n">
        <v>45918.44344907408</v>
      </c>
      <c r="C591" s="1" t="n">
        <v>45923</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44861-2025</t>
        </is>
      </c>
      <c r="B592" s="1" t="n">
        <v>45918.45793981481</v>
      </c>
      <c r="C592" s="1" t="n">
        <v>45923</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c r="U592">
        <f>HYPERLINK("https://klasma.github.io/Logging_0883/knärot/A 44861-2025 karta knärot.png", "A 44861-2025")</f>
        <v/>
      </c>
      <c r="V592">
        <f>HYPERLINK("https://klasma.github.io/Logging_0883/klagomål/A 44861-2025 FSC-klagomål.docx", "A 44861-2025")</f>
        <v/>
      </c>
      <c r="W592">
        <f>HYPERLINK("https://klasma.github.io/Logging_0883/klagomålsmail/A 44861-2025 FSC-klagomål mail.docx", "A 44861-2025")</f>
        <v/>
      </c>
      <c r="X592">
        <f>HYPERLINK("https://klasma.github.io/Logging_0883/tillsyn/A 44861-2025 tillsynsbegäran.docx", "A 44861-2025")</f>
        <v/>
      </c>
      <c r="Y592">
        <f>HYPERLINK("https://klasma.github.io/Logging_0883/tillsynsmail/A 44861-2025 tillsynsbegäran mail.docx", "A 44861-2025")</f>
        <v/>
      </c>
    </row>
    <row r="593" ht="15" customHeight="1">
      <c r="A593" t="inlineStr">
        <is>
          <t>A 58927-2022</t>
        </is>
      </c>
      <c r="B593" s="1" t="n">
        <v>44896</v>
      </c>
      <c r="C593" s="1" t="n">
        <v>45923</v>
      </c>
      <c r="D593" t="inlineStr">
        <is>
          <t>KALMAR LÄN</t>
        </is>
      </c>
      <c r="E593" t="inlineStr">
        <is>
          <t>VÄSTERVIK</t>
        </is>
      </c>
      <c r="G593" t="n">
        <v>2.5</v>
      </c>
      <c r="H593" t="n">
        <v>0</v>
      </c>
      <c r="I593" t="n">
        <v>0</v>
      </c>
      <c r="J593" t="n">
        <v>0</v>
      </c>
      <c r="K593" t="n">
        <v>0</v>
      </c>
      <c r="L593" t="n">
        <v>0</v>
      </c>
      <c r="M593" t="n">
        <v>0</v>
      </c>
      <c r="N593" t="n">
        <v>0</v>
      </c>
      <c r="O593" t="n">
        <v>0</v>
      </c>
      <c r="P593" t="n">
        <v>0</v>
      </c>
      <c r="Q593" t="n">
        <v>0</v>
      </c>
      <c r="R593" s="2" t="inlineStr"/>
    </row>
    <row r="594" ht="15" customHeight="1">
      <c r="A594" t="inlineStr">
        <is>
          <t>A 55042-2024</t>
        </is>
      </c>
      <c r="B594" s="1" t="n">
        <v>45621.39081018518</v>
      </c>
      <c r="C594" s="1" t="n">
        <v>45923</v>
      </c>
      <c r="D594" t="inlineStr">
        <is>
          <t>KALMAR LÄN</t>
        </is>
      </c>
      <c r="E594" t="inlineStr">
        <is>
          <t>VÄSTERVIK</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1115-2025</t>
        </is>
      </c>
      <c r="B595" s="1" t="n">
        <v>45666.65664351852</v>
      </c>
      <c r="C595" s="1" t="n">
        <v>45923</v>
      </c>
      <c r="D595" t="inlineStr">
        <is>
          <t>KALMAR LÄN</t>
        </is>
      </c>
      <c r="E595" t="inlineStr">
        <is>
          <t>VÄSTERVIK</t>
        </is>
      </c>
      <c r="G595" t="n">
        <v>1.9</v>
      </c>
      <c r="H595" t="n">
        <v>0</v>
      </c>
      <c r="I595" t="n">
        <v>0</v>
      </c>
      <c r="J595" t="n">
        <v>0</v>
      </c>
      <c r="K595" t="n">
        <v>0</v>
      </c>
      <c r="L595" t="n">
        <v>0</v>
      </c>
      <c r="M595" t="n">
        <v>0</v>
      </c>
      <c r="N595" t="n">
        <v>0</v>
      </c>
      <c r="O595" t="n">
        <v>0</v>
      </c>
      <c r="P595" t="n">
        <v>0</v>
      </c>
      <c r="Q595" t="n">
        <v>0</v>
      </c>
      <c r="R595" s="2" t="inlineStr"/>
    </row>
    <row r="596" ht="15" customHeight="1">
      <c r="A596" t="inlineStr">
        <is>
          <t>A 14068-2025</t>
        </is>
      </c>
      <c r="B596" s="1" t="n">
        <v>45740.42127314815</v>
      </c>
      <c r="C596" s="1" t="n">
        <v>45923</v>
      </c>
      <c r="D596" t="inlineStr">
        <is>
          <t>KALMAR LÄN</t>
        </is>
      </c>
      <c r="E596" t="inlineStr">
        <is>
          <t>VÄSTERVIK</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14071-2025</t>
        </is>
      </c>
      <c r="B597" s="1" t="n">
        <v>45740.42738425926</v>
      </c>
      <c r="C597" s="1" t="n">
        <v>45923</v>
      </c>
      <c r="D597" t="inlineStr">
        <is>
          <t>KALMAR LÄN</t>
        </is>
      </c>
      <c r="E597" t="inlineStr">
        <is>
          <t>VÄSTERVIK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10766-2025</t>
        </is>
      </c>
      <c r="B598" s="1" t="n">
        <v>45722.4630787037</v>
      </c>
      <c r="C598" s="1" t="n">
        <v>45923</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24578-2024</t>
        </is>
      </c>
      <c r="B599" s="1" t="n">
        <v>45460</v>
      </c>
      <c r="C599" s="1" t="n">
        <v>45923</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2357-2025</t>
        </is>
      </c>
      <c r="B600" s="1" t="n">
        <v>45673.68859953704</v>
      </c>
      <c r="C600" s="1" t="n">
        <v>45923</v>
      </c>
      <c r="D600" t="inlineStr">
        <is>
          <t>KALMAR LÄN</t>
        </is>
      </c>
      <c r="E600" t="inlineStr">
        <is>
          <t>VÄSTERVIK</t>
        </is>
      </c>
      <c r="G600" t="n">
        <v>2.6</v>
      </c>
      <c r="H600" t="n">
        <v>0</v>
      </c>
      <c r="I600" t="n">
        <v>0</v>
      </c>
      <c r="J600" t="n">
        <v>0</v>
      </c>
      <c r="K600" t="n">
        <v>0</v>
      </c>
      <c r="L600" t="n">
        <v>0</v>
      </c>
      <c r="M600" t="n">
        <v>0</v>
      </c>
      <c r="N600" t="n">
        <v>0</v>
      </c>
      <c r="O600" t="n">
        <v>0</v>
      </c>
      <c r="P600" t="n">
        <v>0</v>
      </c>
      <c r="Q600" t="n">
        <v>0</v>
      </c>
      <c r="R600" s="2" t="inlineStr"/>
    </row>
    <row r="601" ht="15" customHeight="1">
      <c r="A601" t="inlineStr">
        <is>
          <t>A 9770-2023</t>
        </is>
      </c>
      <c r="B601" s="1" t="n">
        <v>44984</v>
      </c>
      <c r="C601" s="1" t="n">
        <v>45923</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9792-2023</t>
        </is>
      </c>
      <c r="B602" s="1" t="n">
        <v>44984.64269675926</v>
      </c>
      <c r="C602" s="1" t="n">
        <v>45923</v>
      </c>
      <c r="D602" t="inlineStr">
        <is>
          <t>KALMAR LÄN</t>
        </is>
      </c>
      <c r="E602" t="inlineStr">
        <is>
          <t>VÄSTERVIK</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36400-2024</t>
        </is>
      </c>
      <c r="B603" s="1" t="n">
        <v>45535.67180555555</v>
      </c>
      <c r="C603" s="1" t="n">
        <v>45923</v>
      </c>
      <c r="D603" t="inlineStr">
        <is>
          <t>KALMAR LÄN</t>
        </is>
      </c>
      <c r="E603" t="inlineStr">
        <is>
          <t>VÄSTERVIK</t>
        </is>
      </c>
      <c r="G603" t="n">
        <v>1.7</v>
      </c>
      <c r="H603" t="n">
        <v>0</v>
      </c>
      <c r="I603" t="n">
        <v>0</v>
      </c>
      <c r="J603" t="n">
        <v>0</v>
      </c>
      <c r="K603" t="n">
        <v>0</v>
      </c>
      <c r="L603" t="n">
        <v>0</v>
      </c>
      <c r="M603" t="n">
        <v>0</v>
      </c>
      <c r="N603" t="n">
        <v>0</v>
      </c>
      <c r="O603" t="n">
        <v>0</v>
      </c>
      <c r="P603" t="n">
        <v>0</v>
      </c>
      <c r="Q603" t="n">
        <v>0</v>
      </c>
      <c r="R603" s="2" t="inlineStr"/>
    </row>
    <row r="604" ht="15" customHeight="1">
      <c r="A604" t="inlineStr">
        <is>
          <t>A 3776-2024</t>
        </is>
      </c>
      <c r="B604" s="1" t="n">
        <v>45321.58569444445</v>
      </c>
      <c r="C604" s="1" t="n">
        <v>45923</v>
      </c>
      <c r="D604" t="inlineStr">
        <is>
          <t>KALMAR LÄN</t>
        </is>
      </c>
      <c r="E604" t="inlineStr">
        <is>
          <t>VÄSTERVIK</t>
        </is>
      </c>
      <c r="G604" t="n">
        <v>4.8</v>
      </c>
      <c r="H604" t="n">
        <v>0</v>
      </c>
      <c r="I604" t="n">
        <v>0</v>
      </c>
      <c r="J604" t="n">
        <v>0</v>
      </c>
      <c r="K604" t="n">
        <v>0</v>
      </c>
      <c r="L604" t="n">
        <v>0</v>
      </c>
      <c r="M604" t="n">
        <v>0</v>
      </c>
      <c r="N604" t="n">
        <v>0</v>
      </c>
      <c r="O604" t="n">
        <v>0</v>
      </c>
      <c r="P604" t="n">
        <v>0</v>
      </c>
      <c r="Q604" t="n">
        <v>0</v>
      </c>
      <c r="R604" s="2" t="inlineStr"/>
    </row>
    <row r="605" ht="15" customHeight="1">
      <c r="A605" t="inlineStr">
        <is>
          <t>A 10803-2025</t>
        </is>
      </c>
      <c r="B605" s="1" t="n">
        <v>45722.52284722222</v>
      </c>
      <c r="C605" s="1" t="n">
        <v>45923</v>
      </c>
      <c r="D605" t="inlineStr">
        <is>
          <t>KALMAR LÄN</t>
        </is>
      </c>
      <c r="E605" t="inlineStr">
        <is>
          <t>VÄSTERVIK</t>
        </is>
      </c>
      <c r="F605" t="inlineStr">
        <is>
          <t>Övriga Aktiebolag</t>
        </is>
      </c>
      <c r="G605" t="n">
        <v>3.5</v>
      </c>
      <c r="H605" t="n">
        <v>0</v>
      </c>
      <c r="I605" t="n">
        <v>0</v>
      </c>
      <c r="J605" t="n">
        <v>0</v>
      </c>
      <c r="K605" t="n">
        <v>0</v>
      </c>
      <c r="L605" t="n">
        <v>0</v>
      </c>
      <c r="M605" t="n">
        <v>0</v>
      </c>
      <c r="N605" t="n">
        <v>0</v>
      </c>
      <c r="O605" t="n">
        <v>0</v>
      </c>
      <c r="P605" t="n">
        <v>0</v>
      </c>
      <c r="Q605" t="n">
        <v>0</v>
      </c>
      <c r="R605" s="2" t="inlineStr"/>
    </row>
    <row r="606" ht="15" customHeight="1">
      <c r="A606" t="inlineStr">
        <is>
          <t>A 28390-2024</t>
        </is>
      </c>
      <c r="B606" s="1" t="n">
        <v>45477</v>
      </c>
      <c r="C606" s="1" t="n">
        <v>45923</v>
      </c>
      <c r="D606" t="inlineStr">
        <is>
          <t>KALMAR LÄN</t>
        </is>
      </c>
      <c r="E606" t="inlineStr">
        <is>
          <t>VÄSTERVIK</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60710-2022</t>
        </is>
      </c>
      <c r="B607" s="1" t="n">
        <v>44912</v>
      </c>
      <c r="C607" s="1" t="n">
        <v>45923</v>
      </c>
      <c r="D607" t="inlineStr">
        <is>
          <t>KALMAR LÄN</t>
        </is>
      </c>
      <c r="E607" t="inlineStr">
        <is>
          <t>VÄSTERVIK</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60713-2022</t>
        </is>
      </c>
      <c r="B608" s="1" t="n">
        <v>44912</v>
      </c>
      <c r="C608" s="1" t="n">
        <v>45923</v>
      </c>
      <c r="D608" t="inlineStr">
        <is>
          <t>KALMAR LÄN</t>
        </is>
      </c>
      <c r="E608" t="inlineStr">
        <is>
          <t>VÄSTERVIK</t>
        </is>
      </c>
      <c r="F608" t="inlineStr">
        <is>
          <t>Övriga Aktiebolag</t>
        </is>
      </c>
      <c r="G608" t="n">
        <v>2.6</v>
      </c>
      <c r="H608" t="n">
        <v>0</v>
      </c>
      <c r="I608" t="n">
        <v>0</v>
      </c>
      <c r="J608" t="n">
        <v>0</v>
      </c>
      <c r="K608" t="n">
        <v>0</v>
      </c>
      <c r="L608" t="n">
        <v>0</v>
      </c>
      <c r="M608" t="n">
        <v>0</v>
      </c>
      <c r="N608" t="n">
        <v>0</v>
      </c>
      <c r="O608" t="n">
        <v>0</v>
      </c>
      <c r="P608" t="n">
        <v>0</v>
      </c>
      <c r="Q608" t="n">
        <v>0</v>
      </c>
      <c r="R608" s="2" t="inlineStr"/>
    </row>
    <row r="609" ht="15" customHeight="1">
      <c r="A609" t="inlineStr">
        <is>
          <t>A 18081-2023</t>
        </is>
      </c>
      <c r="B609" s="1" t="n">
        <v>45040</v>
      </c>
      <c r="C609" s="1" t="n">
        <v>45923</v>
      </c>
      <c r="D609" t="inlineStr">
        <is>
          <t>KALMAR LÄN</t>
        </is>
      </c>
      <c r="E609" t="inlineStr">
        <is>
          <t>VÄSTERVIK</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34650-2023</t>
        </is>
      </c>
      <c r="B610" s="1" t="n">
        <v>45140</v>
      </c>
      <c r="C610" s="1" t="n">
        <v>45923</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28895-2023</t>
        </is>
      </c>
      <c r="B611" s="1" t="n">
        <v>45104</v>
      </c>
      <c r="C611" s="1" t="n">
        <v>45923</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44792-2025</t>
        </is>
      </c>
      <c r="B612" s="1" t="n">
        <v>45918.31287037037</v>
      </c>
      <c r="C612" s="1" t="n">
        <v>45923</v>
      </c>
      <c r="D612" t="inlineStr">
        <is>
          <t>KALMAR LÄN</t>
        </is>
      </c>
      <c r="E612" t="inlineStr">
        <is>
          <t>VÄSTERVIK</t>
        </is>
      </c>
      <c r="G612" t="n">
        <v>3.9</v>
      </c>
      <c r="H612" t="n">
        <v>0</v>
      </c>
      <c r="I612" t="n">
        <v>0</v>
      </c>
      <c r="J612" t="n">
        <v>0</v>
      </c>
      <c r="K612" t="n">
        <v>0</v>
      </c>
      <c r="L612" t="n">
        <v>0</v>
      </c>
      <c r="M612" t="n">
        <v>0</v>
      </c>
      <c r="N612" t="n">
        <v>0</v>
      </c>
      <c r="O612" t="n">
        <v>0</v>
      </c>
      <c r="P612" t="n">
        <v>0</v>
      </c>
      <c r="Q612" t="n">
        <v>0</v>
      </c>
      <c r="R612" s="2" t="inlineStr"/>
    </row>
    <row r="613" ht="15" customHeight="1">
      <c r="A613" t="inlineStr">
        <is>
          <t>A 12386-2025</t>
        </is>
      </c>
      <c r="B613" s="1" t="n">
        <v>45730</v>
      </c>
      <c r="C613" s="1" t="n">
        <v>45923</v>
      </c>
      <c r="D613" t="inlineStr">
        <is>
          <t>KALMAR LÄN</t>
        </is>
      </c>
      <c r="E613" t="inlineStr">
        <is>
          <t>VÄSTERVIK</t>
        </is>
      </c>
      <c r="G613" t="n">
        <v>4.4</v>
      </c>
      <c r="H613" t="n">
        <v>0</v>
      </c>
      <c r="I613" t="n">
        <v>0</v>
      </c>
      <c r="J613" t="n">
        <v>0</v>
      </c>
      <c r="K613" t="n">
        <v>0</v>
      </c>
      <c r="L613" t="n">
        <v>0</v>
      </c>
      <c r="M613" t="n">
        <v>0</v>
      </c>
      <c r="N613" t="n">
        <v>0</v>
      </c>
      <c r="O613" t="n">
        <v>0</v>
      </c>
      <c r="P613" t="n">
        <v>0</v>
      </c>
      <c r="Q613" t="n">
        <v>0</v>
      </c>
      <c r="R613" s="2" t="inlineStr"/>
    </row>
    <row r="614" ht="15" customHeight="1">
      <c r="A614" t="inlineStr">
        <is>
          <t>A 56440-2024</t>
        </is>
      </c>
      <c r="B614" s="1" t="n">
        <v>45625.41949074074</v>
      </c>
      <c r="C614" s="1" t="n">
        <v>45923</v>
      </c>
      <c r="D614" t="inlineStr">
        <is>
          <t>KALMAR LÄN</t>
        </is>
      </c>
      <c r="E614" t="inlineStr">
        <is>
          <t>VÄSTERVIK</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53266-2021</t>
        </is>
      </c>
      <c r="B615" s="1" t="n">
        <v>44468.48255787037</v>
      </c>
      <c r="C615" s="1" t="n">
        <v>45923</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50911-2022</t>
        </is>
      </c>
      <c r="B616" s="1" t="n">
        <v>44867.62262731481</v>
      </c>
      <c r="C616" s="1" t="n">
        <v>45923</v>
      </c>
      <c r="D616" t="inlineStr">
        <is>
          <t>KALMAR LÄN</t>
        </is>
      </c>
      <c r="E616" t="inlineStr">
        <is>
          <t>VÄSTERVIK</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36906-2024</t>
        </is>
      </c>
      <c r="B617" s="1" t="n">
        <v>45538</v>
      </c>
      <c r="C617" s="1" t="n">
        <v>45923</v>
      </c>
      <c r="D617" t="inlineStr">
        <is>
          <t>KALMAR LÄN</t>
        </is>
      </c>
      <c r="E617" t="inlineStr">
        <is>
          <t>VÄSTERVIK</t>
        </is>
      </c>
      <c r="G617" t="n">
        <v>2</v>
      </c>
      <c r="H617" t="n">
        <v>0</v>
      </c>
      <c r="I617" t="n">
        <v>0</v>
      </c>
      <c r="J617" t="n">
        <v>0</v>
      </c>
      <c r="K617" t="n">
        <v>0</v>
      </c>
      <c r="L617" t="n">
        <v>0</v>
      </c>
      <c r="M617" t="n">
        <v>0</v>
      </c>
      <c r="N617" t="n">
        <v>0</v>
      </c>
      <c r="O617" t="n">
        <v>0</v>
      </c>
      <c r="P617" t="n">
        <v>0</v>
      </c>
      <c r="Q617" t="n">
        <v>0</v>
      </c>
      <c r="R617" s="2" t="inlineStr"/>
    </row>
    <row r="618" ht="15" customHeight="1">
      <c r="A618" t="inlineStr">
        <is>
          <t>A 44849-2025</t>
        </is>
      </c>
      <c r="B618" s="1" t="n">
        <v>45918.44545138889</v>
      </c>
      <c r="C618" s="1" t="n">
        <v>45923</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44853-2025</t>
        </is>
      </c>
      <c r="B619" s="1" t="n">
        <v>45918.44818287037</v>
      </c>
      <c r="C619" s="1" t="n">
        <v>45923</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15765-2023</t>
        </is>
      </c>
      <c r="B620" s="1" t="n">
        <v>45021</v>
      </c>
      <c r="C620" s="1" t="n">
        <v>45923</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14055-2025</t>
        </is>
      </c>
      <c r="B621" s="1" t="n">
        <v>45740.39541666667</v>
      </c>
      <c r="C621" s="1" t="n">
        <v>45923</v>
      </c>
      <c r="D621" t="inlineStr">
        <is>
          <t>KALMAR LÄN</t>
        </is>
      </c>
      <c r="E621" t="inlineStr">
        <is>
          <t>VÄSTERVIK</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48121-2021</t>
        </is>
      </c>
      <c r="B622" s="1" t="n">
        <v>44449.46614583334</v>
      </c>
      <c r="C622" s="1" t="n">
        <v>45923</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51645-2023</t>
        </is>
      </c>
      <c r="B623" s="1" t="n">
        <v>45222.55333333334</v>
      </c>
      <c r="C623" s="1" t="n">
        <v>45923</v>
      </c>
      <c r="D623" t="inlineStr">
        <is>
          <t>KALMAR LÄN</t>
        </is>
      </c>
      <c r="E623" t="inlineStr">
        <is>
          <t>VÄSTERVIK</t>
        </is>
      </c>
      <c r="G623" t="n">
        <v>3.7</v>
      </c>
      <c r="H623" t="n">
        <v>0</v>
      </c>
      <c r="I623" t="n">
        <v>0</v>
      </c>
      <c r="J623" t="n">
        <v>0</v>
      </c>
      <c r="K623" t="n">
        <v>0</v>
      </c>
      <c r="L623" t="n">
        <v>0</v>
      </c>
      <c r="M623" t="n">
        <v>0</v>
      </c>
      <c r="N623" t="n">
        <v>0</v>
      </c>
      <c r="O623" t="n">
        <v>0</v>
      </c>
      <c r="P623" t="n">
        <v>0</v>
      </c>
      <c r="Q623" t="n">
        <v>0</v>
      </c>
      <c r="R623" s="2" t="inlineStr"/>
    </row>
    <row r="624" ht="15" customHeight="1">
      <c r="A624" t="inlineStr">
        <is>
          <t>A 69702-2021</t>
        </is>
      </c>
      <c r="B624" s="1" t="n">
        <v>44532.48237268518</v>
      </c>
      <c r="C624" s="1" t="n">
        <v>45923</v>
      </c>
      <c r="D624" t="inlineStr">
        <is>
          <t>KALMAR LÄN</t>
        </is>
      </c>
      <c r="E624" t="inlineStr">
        <is>
          <t>VÄSTERVIK</t>
        </is>
      </c>
      <c r="G624" t="n">
        <v>4.4</v>
      </c>
      <c r="H624" t="n">
        <v>0</v>
      </c>
      <c r="I624" t="n">
        <v>0</v>
      </c>
      <c r="J624" t="n">
        <v>0</v>
      </c>
      <c r="K624" t="n">
        <v>0</v>
      </c>
      <c r="L624" t="n">
        <v>0</v>
      </c>
      <c r="M624" t="n">
        <v>0</v>
      </c>
      <c r="N624" t="n">
        <v>0</v>
      </c>
      <c r="O624" t="n">
        <v>0</v>
      </c>
      <c r="P624" t="n">
        <v>0</v>
      </c>
      <c r="Q624" t="n">
        <v>0</v>
      </c>
      <c r="R624" s="2" t="inlineStr"/>
    </row>
    <row r="625" ht="15" customHeight="1">
      <c r="A625" t="inlineStr">
        <is>
          <t>A 10778-2025</t>
        </is>
      </c>
      <c r="B625" s="1" t="n">
        <v>45722</v>
      </c>
      <c r="C625" s="1" t="n">
        <v>45923</v>
      </c>
      <c r="D625" t="inlineStr">
        <is>
          <t>KALMAR LÄN</t>
        </is>
      </c>
      <c r="E625" t="inlineStr">
        <is>
          <t>VÄSTERVIK</t>
        </is>
      </c>
      <c r="G625" t="n">
        <v>0.6</v>
      </c>
      <c r="H625" t="n">
        <v>0</v>
      </c>
      <c r="I625" t="n">
        <v>0</v>
      </c>
      <c r="J625" t="n">
        <v>0</v>
      </c>
      <c r="K625" t="n">
        <v>0</v>
      </c>
      <c r="L625" t="n">
        <v>0</v>
      </c>
      <c r="M625" t="n">
        <v>0</v>
      </c>
      <c r="N625" t="n">
        <v>0</v>
      </c>
      <c r="O625" t="n">
        <v>0</v>
      </c>
      <c r="P625" t="n">
        <v>0</v>
      </c>
      <c r="Q625" t="n">
        <v>0</v>
      </c>
      <c r="R625" s="2" t="inlineStr"/>
    </row>
    <row r="626" ht="15" customHeight="1">
      <c r="A626" t="inlineStr">
        <is>
          <t>A 6126-2023</t>
        </is>
      </c>
      <c r="B626" s="1" t="n">
        <v>44964.61592592593</v>
      </c>
      <c r="C626" s="1" t="n">
        <v>45923</v>
      </c>
      <c r="D626" t="inlineStr">
        <is>
          <t>KALMAR LÄN</t>
        </is>
      </c>
      <c r="E626" t="inlineStr">
        <is>
          <t>VÄSTERVIK</t>
        </is>
      </c>
      <c r="F626" t="inlineStr">
        <is>
          <t>Övriga Aktiebolag</t>
        </is>
      </c>
      <c r="G626" t="n">
        <v>0.9</v>
      </c>
      <c r="H626" t="n">
        <v>0</v>
      </c>
      <c r="I626" t="n">
        <v>0</v>
      </c>
      <c r="J626" t="n">
        <v>0</v>
      </c>
      <c r="K626" t="n">
        <v>0</v>
      </c>
      <c r="L626" t="n">
        <v>0</v>
      </c>
      <c r="M626" t="n">
        <v>0</v>
      </c>
      <c r="N626" t="n">
        <v>0</v>
      </c>
      <c r="O626" t="n">
        <v>0</v>
      </c>
      <c r="P626" t="n">
        <v>0</v>
      </c>
      <c r="Q626" t="n">
        <v>0</v>
      </c>
      <c r="R626" s="2" t="inlineStr"/>
    </row>
    <row r="627" ht="15" customHeight="1">
      <c r="A627" t="inlineStr">
        <is>
          <t>A 62921-2023</t>
        </is>
      </c>
      <c r="B627" s="1" t="n">
        <v>45272</v>
      </c>
      <c r="C627" s="1" t="n">
        <v>45923</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2872-2025</t>
        </is>
      </c>
      <c r="B628" s="1" t="n">
        <v>45677.68357638889</v>
      </c>
      <c r="C628" s="1" t="n">
        <v>45923</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15099-2023</t>
        </is>
      </c>
      <c r="B629" s="1" t="n">
        <v>45016.39048611111</v>
      </c>
      <c r="C629" s="1" t="n">
        <v>45923</v>
      </c>
      <c r="D629" t="inlineStr">
        <is>
          <t>KALMAR LÄN</t>
        </is>
      </c>
      <c r="E629" t="inlineStr">
        <is>
          <t>VÄSTERVIK</t>
        </is>
      </c>
      <c r="G629" t="n">
        <v>3</v>
      </c>
      <c r="H629" t="n">
        <v>0</v>
      </c>
      <c r="I629" t="n">
        <v>0</v>
      </c>
      <c r="J629" t="n">
        <v>0</v>
      </c>
      <c r="K629" t="n">
        <v>0</v>
      </c>
      <c r="L629" t="n">
        <v>0</v>
      </c>
      <c r="M629" t="n">
        <v>0</v>
      </c>
      <c r="N629" t="n">
        <v>0</v>
      </c>
      <c r="O629" t="n">
        <v>0</v>
      </c>
      <c r="P629" t="n">
        <v>0</v>
      </c>
      <c r="Q629" t="n">
        <v>0</v>
      </c>
      <c r="R629" s="2" t="inlineStr"/>
    </row>
    <row r="630" ht="15" customHeight="1">
      <c r="A630" t="inlineStr">
        <is>
          <t>A 71114-2021</t>
        </is>
      </c>
      <c r="B630" s="1" t="n">
        <v>44539.37123842593</v>
      </c>
      <c r="C630" s="1" t="n">
        <v>45923</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5982-2023</t>
        </is>
      </c>
      <c r="B631" s="1" t="n">
        <v>44964.35730324074</v>
      </c>
      <c r="C631" s="1" t="n">
        <v>45923</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37774-2025</t>
        </is>
      </c>
      <c r="B632" s="1" t="n">
        <v>45880</v>
      </c>
      <c r="C632" s="1" t="n">
        <v>45923</v>
      </c>
      <c r="D632" t="inlineStr">
        <is>
          <t>KALMAR LÄN</t>
        </is>
      </c>
      <c r="E632" t="inlineStr">
        <is>
          <t>VÄSTERVIK</t>
        </is>
      </c>
      <c r="G632" t="n">
        <v>1.3</v>
      </c>
      <c r="H632" t="n">
        <v>0</v>
      </c>
      <c r="I632" t="n">
        <v>0</v>
      </c>
      <c r="J632" t="n">
        <v>0</v>
      </c>
      <c r="K632" t="n">
        <v>0</v>
      </c>
      <c r="L632" t="n">
        <v>0</v>
      </c>
      <c r="M632" t="n">
        <v>0</v>
      </c>
      <c r="N632" t="n">
        <v>0</v>
      </c>
      <c r="O632" t="n">
        <v>0</v>
      </c>
      <c r="P632" t="n">
        <v>0</v>
      </c>
      <c r="Q632" t="n">
        <v>0</v>
      </c>
      <c r="R632" s="2" t="inlineStr"/>
    </row>
    <row r="633" ht="15" customHeight="1">
      <c r="A633" t="inlineStr">
        <is>
          <t>A 13838-2024</t>
        </is>
      </c>
      <c r="B633" s="1" t="n">
        <v>45391.44646990741</v>
      </c>
      <c r="C633" s="1" t="n">
        <v>45923</v>
      </c>
      <c r="D633" t="inlineStr">
        <is>
          <t>KALMAR LÄN</t>
        </is>
      </c>
      <c r="E633" t="inlineStr">
        <is>
          <t>VÄSTERVIK</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62422-2022</t>
        </is>
      </c>
      <c r="B634" s="1" t="n">
        <v>44924</v>
      </c>
      <c r="C634" s="1" t="n">
        <v>45923</v>
      </c>
      <c r="D634" t="inlineStr">
        <is>
          <t>KALMAR LÄN</t>
        </is>
      </c>
      <c r="E634" t="inlineStr">
        <is>
          <t>VÄSTERVIK</t>
        </is>
      </c>
      <c r="G634" t="n">
        <v>4.9</v>
      </c>
      <c r="H634" t="n">
        <v>0</v>
      </c>
      <c r="I634" t="n">
        <v>0</v>
      </c>
      <c r="J634" t="n">
        <v>0</v>
      </c>
      <c r="K634" t="n">
        <v>0</v>
      </c>
      <c r="L634" t="n">
        <v>0</v>
      </c>
      <c r="M634" t="n">
        <v>0</v>
      </c>
      <c r="N634" t="n">
        <v>0</v>
      </c>
      <c r="O634" t="n">
        <v>0</v>
      </c>
      <c r="P634" t="n">
        <v>0</v>
      </c>
      <c r="Q634" t="n">
        <v>0</v>
      </c>
      <c r="R634" s="2" t="inlineStr"/>
    </row>
    <row r="635" ht="15" customHeight="1">
      <c r="A635" t="inlineStr">
        <is>
          <t>A 60453-2024</t>
        </is>
      </c>
      <c r="B635" s="1" t="n">
        <v>45643.60487268519</v>
      </c>
      <c r="C635" s="1" t="n">
        <v>45923</v>
      </c>
      <c r="D635" t="inlineStr">
        <is>
          <t>KALMAR LÄN</t>
        </is>
      </c>
      <c r="E635" t="inlineStr">
        <is>
          <t>VÄSTERVIK</t>
        </is>
      </c>
      <c r="G635" t="n">
        <v>7.1</v>
      </c>
      <c r="H635" t="n">
        <v>0</v>
      </c>
      <c r="I635" t="n">
        <v>0</v>
      </c>
      <c r="J635" t="n">
        <v>0</v>
      </c>
      <c r="K635" t="n">
        <v>0</v>
      </c>
      <c r="L635" t="n">
        <v>0</v>
      </c>
      <c r="M635" t="n">
        <v>0</v>
      </c>
      <c r="N635" t="n">
        <v>0</v>
      </c>
      <c r="O635" t="n">
        <v>0</v>
      </c>
      <c r="P635" t="n">
        <v>0</v>
      </c>
      <c r="Q635" t="n">
        <v>0</v>
      </c>
      <c r="R635" s="2" t="inlineStr"/>
    </row>
    <row r="636" ht="15" customHeight="1">
      <c r="A636" t="inlineStr">
        <is>
          <t>A 7381-2025</t>
        </is>
      </c>
      <c r="B636" s="1" t="n">
        <v>45705.32234953704</v>
      </c>
      <c r="C636" s="1" t="n">
        <v>45923</v>
      </c>
      <c r="D636" t="inlineStr">
        <is>
          <t>KALMAR LÄN</t>
        </is>
      </c>
      <c r="E636" t="inlineStr">
        <is>
          <t>VÄSTERVIK</t>
        </is>
      </c>
      <c r="F636" t="inlineStr">
        <is>
          <t>Kyrkan</t>
        </is>
      </c>
      <c r="G636" t="n">
        <v>4.1</v>
      </c>
      <c r="H636" t="n">
        <v>0</v>
      </c>
      <c r="I636" t="n">
        <v>0</v>
      </c>
      <c r="J636" t="n">
        <v>0</v>
      </c>
      <c r="K636" t="n">
        <v>0</v>
      </c>
      <c r="L636" t="n">
        <v>0</v>
      </c>
      <c r="M636" t="n">
        <v>0</v>
      </c>
      <c r="N636" t="n">
        <v>0</v>
      </c>
      <c r="O636" t="n">
        <v>0</v>
      </c>
      <c r="P636" t="n">
        <v>0</v>
      </c>
      <c r="Q636" t="n">
        <v>0</v>
      </c>
      <c r="R636" s="2" t="inlineStr"/>
    </row>
    <row r="637" ht="15" customHeight="1">
      <c r="A637" t="inlineStr">
        <is>
          <t>A 5079-2025</t>
        </is>
      </c>
      <c r="B637" s="1" t="n">
        <v>45691.50069444445</v>
      </c>
      <c r="C637" s="1" t="n">
        <v>45923</v>
      </c>
      <c r="D637" t="inlineStr">
        <is>
          <t>KALMAR LÄN</t>
        </is>
      </c>
      <c r="E637" t="inlineStr">
        <is>
          <t>VÄSTERVIK</t>
        </is>
      </c>
      <c r="F637" t="inlineStr">
        <is>
          <t>Holmen skog AB</t>
        </is>
      </c>
      <c r="G637" t="n">
        <v>3.3</v>
      </c>
      <c r="H637" t="n">
        <v>0</v>
      </c>
      <c r="I637" t="n">
        <v>0</v>
      </c>
      <c r="J637" t="n">
        <v>0</v>
      </c>
      <c r="K637" t="n">
        <v>0</v>
      </c>
      <c r="L637" t="n">
        <v>0</v>
      </c>
      <c r="M637" t="n">
        <v>0</v>
      </c>
      <c r="N637" t="n">
        <v>0</v>
      </c>
      <c r="O637" t="n">
        <v>0</v>
      </c>
      <c r="P637" t="n">
        <v>0</v>
      </c>
      <c r="Q637" t="n">
        <v>0</v>
      </c>
      <c r="R637" s="2" t="inlineStr"/>
    </row>
    <row r="638" ht="15" customHeight="1">
      <c r="A638" t="inlineStr">
        <is>
          <t>A 37523-2025</t>
        </is>
      </c>
      <c r="B638" s="1" t="n">
        <v>45877</v>
      </c>
      <c r="C638" s="1" t="n">
        <v>45923</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17315-2023</t>
        </is>
      </c>
      <c r="B639" s="1" t="n">
        <v>45035.54475694444</v>
      </c>
      <c r="C639" s="1" t="n">
        <v>45923</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32137-2024</t>
        </is>
      </c>
      <c r="B640" s="1" t="n">
        <v>45511</v>
      </c>
      <c r="C640" s="1" t="n">
        <v>45923</v>
      </c>
      <c r="D640" t="inlineStr">
        <is>
          <t>KALMAR LÄN</t>
        </is>
      </c>
      <c r="E640" t="inlineStr">
        <is>
          <t>VÄSTERVIK</t>
        </is>
      </c>
      <c r="F640" t="inlineStr">
        <is>
          <t>Övriga Aktiebolag</t>
        </is>
      </c>
      <c r="G640" t="n">
        <v>1.4</v>
      </c>
      <c r="H640" t="n">
        <v>0</v>
      </c>
      <c r="I640" t="n">
        <v>0</v>
      </c>
      <c r="J640" t="n">
        <v>0</v>
      </c>
      <c r="K640" t="n">
        <v>0</v>
      </c>
      <c r="L640" t="n">
        <v>0</v>
      </c>
      <c r="M640" t="n">
        <v>0</v>
      </c>
      <c r="N640" t="n">
        <v>0</v>
      </c>
      <c r="O640" t="n">
        <v>0</v>
      </c>
      <c r="P640" t="n">
        <v>0</v>
      </c>
      <c r="Q640" t="n">
        <v>0</v>
      </c>
      <c r="R640" s="2" t="inlineStr"/>
    </row>
    <row r="641" ht="15" customHeight="1">
      <c r="A641" t="inlineStr">
        <is>
          <t>A 37526-2025</t>
        </is>
      </c>
      <c r="B641" s="1" t="n">
        <v>45877</v>
      </c>
      <c r="C641" s="1" t="n">
        <v>45923</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14529-2022</t>
        </is>
      </c>
      <c r="B642" s="1" t="n">
        <v>44655</v>
      </c>
      <c r="C642" s="1" t="n">
        <v>45923</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5450-2022</t>
        </is>
      </c>
      <c r="B643" s="1" t="n">
        <v>44595</v>
      </c>
      <c r="C643" s="1" t="n">
        <v>45923</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16617-2023</t>
        </is>
      </c>
      <c r="B644" s="1" t="n">
        <v>45030</v>
      </c>
      <c r="C644" s="1" t="n">
        <v>45923</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34672-2022</t>
        </is>
      </c>
      <c r="B645" s="1" t="n">
        <v>44795.48444444445</v>
      </c>
      <c r="C645" s="1" t="n">
        <v>45923</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2866-2025</t>
        </is>
      </c>
      <c r="B646" s="1" t="n">
        <v>45677.67711805556</v>
      </c>
      <c r="C646" s="1" t="n">
        <v>45923</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10020-2021</t>
        </is>
      </c>
      <c r="B647" s="1" t="n">
        <v>44256</v>
      </c>
      <c r="C647" s="1" t="n">
        <v>45923</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64762-2023</t>
        </is>
      </c>
      <c r="B648" s="1" t="n">
        <v>45282.27841435185</v>
      </c>
      <c r="C648" s="1" t="n">
        <v>45923</v>
      </c>
      <c r="D648" t="inlineStr">
        <is>
          <t>KALMAR LÄN</t>
        </is>
      </c>
      <c r="E648" t="inlineStr">
        <is>
          <t>VÄSTERVIK</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64763-2023</t>
        </is>
      </c>
      <c r="B649" s="1" t="n">
        <v>45282.28041666667</v>
      </c>
      <c r="C649" s="1" t="n">
        <v>45923</v>
      </c>
      <c r="D649" t="inlineStr">
        <is>
          <t>KALMAR LÄN</t>
        </is>
      </c>
      <c r="E649" t="inlineStr">
        <is>
          <t>VÄSTERVIK</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37326-2024</t>
        </is>
      </c>
      <c r="B650" s="1" t="n">
        <v>45540</v>
      </c>
      <c r="C650" s="1" t="n">
        <v>45923</v>
      </c>
      <c r="D650" t="inlineStr">
        <is>
          <t>KALMAR LÄN</t>
        </is>
      </c>
      <c r="E650" t="inlineStr">
        <is>
          <t>VÄSTERVIK</t>
        </is>
      </c>
      <c r="F650" t="inlineStr">
        <is>
          <t>Holmen skog AB</t>
        </is>
      </c>
      <c r="G650" t="n">
        <v>6</v>
      </c>
      <c r="H650" t="n">
        <v>0</v>
      </c>
      <c r="I650" t="n">
        <v>0</v>
      </c>
      <c r="J650" t="n">
        <v>0</v>
      </c>
      <c r="K650" t="n">
        <v>0</v>
      </c>
      <c r="L650" t="n">
        <v>0</v>
      </c>
      <c r="M650" t="n">
        <v>0</v>
      </c>
      <c r="N650" t="n">
        <v>0</v>
      </c>
      <c r="O650" t="n">
        <v>0</v>
      </c>
      <c r="P650" t="n">
        <v>0</v>
      </c>
      <c r="Q650" t="n">
        <v>0</v>
      </c>
      <c r="R650" s="2" t="inlineStr"/>
    </row>
    <row r="651" ht="15" customHeight="1">
      <c r="A651" t="inlineStr">
        <is>
          <t>A 16586-2022</t>
        </is>
      </c>
      <c r="B651" s="1" t="n">
        <v>44672.47105324074</v>
      </c>
      <c r="C651" s="1" t="n">
        <v>45923</v>
      </c>
      <c r="D651" t="inlineStr">
        <is>
          <t>KALMAR LÄN</t>
        </is>
      </c>
      <c r="E651" t="inlineStr">
        <is>
          <t>VÄSTERVIK</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2830-2025</t>
        </is>
      </c>
      <c r="B652" s="1" t="n">
        <v>45677.62704861111</v>
      </c>
      <c r="C652" s="1" t="n">
        <v>45923</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8440-2023</t>
        </is>
      </c>
      <c r="B653" s="1" t="n">
        <v>44977.46979166667</v>
      </c>
      <c r="C653" s="1" t="n">
        <v>45923</v>
      </c>
      <c r="D653" t="inlineStr">
        <is>
          <t>KALMAR LÄN</t>
        </is>
      </c>
      <c r="E653" t="inlineStr">
        <is>
          <t>VÄSTERVIK</t>
        </is>
      </c>
      <c r="G653" t="n">
        <v>5.5</v>
      </c>
      <c r="H653" t="n">
        <v>0</v>
      </c>
      <c r="I653" t="n">
        <v>0</v>
      </c>
      <c r="J653" t="n">
        <v>0</v>
      </c>
      <c r="K653" t="n">
        <v>0</v>
      </c>
      <c r="L653" t="n">
        <v>0</v>
      </c>
      <c r="M653" t="n">
        <v>0</v>
      </c>
      <c r="N653" t="n">
        <v>0</v>
      </c>
      <c r="O653" t="n">
        <v>0</v>
      </c>
      <c r="P653" t="n">
        <v>0</v>
      </c>
      <c r="Q653" t="n">
        <v>0</v>
      </c>
      <c r="R653" s="2" t="inlineStr"/>
    </row>
    <row r="654" ht="15" customHeight="1">
      <c r="A654" t="inlineStr">
        <is>
          <t>A 8513-2023</t>
        </is>
      </c>
      <c r="B654" s="1" t="n">
        <v>44977.56759259259</v>
      </c>
      <c r="C654" s="1" t="n">
        <v>45923</v>
      </c>
      <c r="D654" t="inlineStr">
        <is>
          <t>KALMAR LÄN</t>
        </is>
      </c>
      <c r="E654" t="inlineStr">
        <is>
          <t>VÄSTERVIK</t>
        </is>
      </c>
      <c r="G654" t="n">
        <v>2</v>
      </c>
      <c r="H654" t="n">
        <v>0</v>
      </c>
      <c r="I654" t="n">
        <v>0</v>
      </c>
      <c r="J654" t="n">
        <v>0</v>
      </c>
      <c r="K654" t="n">
        <v>0</v>
      </c>
      <c r="L654" t="n">
        <v>0</v>
      </c>
      <c r="M654" t="n">
        <v>0</v>
      </c>
      <c r="N654" t="n">
        <v>0</v>
      </c>
      <c r="O654" t="n">
        <v>0</v>
      </c>
      <c r="P654" t="n">
        <v>0</v>
      </c>
      <c r="Q654" t="n">
        <v>0</v>
      </c>
      <c r="R654" s="2" t="inlineStr"/>
    </row>
    <row r="655" ht="15" customHeight="1">
      <c r="A655" t="inlineStr">
        <is>
          <t>A 42130-2022</t>
        </is>
      </c>
      <c r="B655" s="1" t="n">
        <v>44830</v>
      </c>
      <c r="C655" s="1" t="n">
        <v>45923</v>
      </c>
      <c r="D655" t="inlineStr">
        <is>
          <t>KALMAR LÄN</t>
        </is>
      </c>
      <c r="E655" t="inlineStr">
        <is>
          <t>VÄSTERVIK</t>
        </is>
      </c>
      <c r="G655" t="n">
        <v>1.8</v>
      </c>
      <c r="H655" t="n">
        <v>0</v>
      </c>
      <c r="I655" t="n">
        <v>0</v>
      </c>
      <c r="J655" t="n">
        <v>0</v>
      </c>
      <c r="K655" t="n">
        <v>0</v>
      </c>
      <c r="L655" t="n">
        <v>0</v>
      </c>
      <c r="M655" t="n">
        <v>0</v>
      </c>
      <c r="N655" t="n">
        <v>0</v>
      </c>
      <c r="O655" t="n">
        <v>0</v>
      </c>
      <c r="P655" t="n">
        <v>0</v>
      </c>
      <c r="Q655" t="n">
        <v>0</v>
      </c>
      <c r="R655" s="2" t="inlineStr"/>
    </row>
    <row r="656" ht="15" customHeight="1">
      <c r="A656" t="inlineStr">
        <is>
          <t>A 16839-2025</t>
        </is>
      </c>
      <c r="B656" s="1" t="n">
        <v>45754.66733796296</v>
      </c>
      <c r="C656" s="1" t="n">
        <v>45923</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1867-2025</t>
        </is>
      </c>
      <c r="B657" s="1" t="n">
        <v>45671.61569444444</v>
      </c>
      <c r="C657" s="1" t="n">
        <v>45923</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14685-2025</t>
        </is>
      </c>
      <c r="B658" s="1" t="n">
        <v>45742.57653935185</v>
      </c>
      <c r="C658" s="1" t="n">
        <v>45923</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11791-2024</t>
        </is>
      </c>
      <c r="B659" s="1" t="n">
        <v>45374.97038194445</v>
      </c>
      <c r="C659" s="1" t="n">
        <v>45923</v>
      </c>
      <c r="D659" t="inlineStr">
        <is>
          <t>KALMAR LÄN</t>
        </is>
      </c>
      <c r="E659" t="inlineStr">
        <is>
          <t>VÄSTERVIK</t>
        </is>
      </c>
      <c r="G659" t="n">
        <v>3.4</v>
      </c>
      <c r="H659" t="n">
        <v>0</v>
      </c>
      <c r="I659" t="n">
        <v>0</v>
      </c>
      <c r="J659" t="n">
        <v>0</v>
      </c>
      <c r="K659" t="n">
        <v>0</v>
      </c>
      <c r="L659" t="n">
        <v>0</v>
      </c>
      <c r="M659" t="n">
        <v>0</v>
      </c>
      <c r="N659" t="n">
        <v>0</v>
      </c>
      <c r="O659" t="n">
        <v>0</v>
      </c>
      <c r="P659" t="n">
        <v>0</v>
      </c>
      <c r="Q659" t="n">
        <v>0</v>
      </c>
      <c r="R659" s="2" t="inlineStr"/>
    </row>
    <row r="660" ht="15" customHeight="1">
      <c r="A660" t="inlineStr">
        <is>
          <t>A 3679-2025</t>
        </is>
      </c>
      <c r="B660" s="1" t="n">
        <v>45681.44637731482</v>
      </c>
      <c r="C660" s="1" t="n">
        <v>45923</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2951-2025</t>
        </is>
      </c>
      <c r="B661" s="1" t="n">
        <v>45678</v>
      </c>
      <c r="C661" s="1" t="n">
        <v>45923</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12455-2025</t>
        </is>
      </c>
      <c r="B662" s="1" t="n">
        <v>45730</v>
      </c>
      <c r="C662" s="1" t="n">
        <v>45923</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16683-2025</t>
        </is>
      </c>
      <c r="B663" s="1" t="n">
        <v>45754.45234953704</v>
      </c>
      <c r="C663" s="1" t="n">
        <v>45923</v>
      </c>
      <c r="D663" t="inlineStr">
        <is>
          <t>KALMAR LÄN</t>
        </is>
      </c>
      <c r="E663" t="inlineStr">
        <is>
          <t>VÄSTERVIK</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16686-2025</t>
        </is>
      </c>
      <c r="B664" s="1" t="n">
        <v>45754.45355324074</v>
      </c>
      <c r="C664" s="1" t="n">
        <v>45923</v>
      </c>
      <c r="D664" t="inlineStr">
        <is>
          <t>KALMAR LÄN</t>
        </is>
      </c>
      <c r="E664" t="inlineStr">
        <is>
          <t>VÄSTERVIK</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29420-2024</t>
        </is>
      </c>
      <c r="B665" s="1" t="n">
        <v>45483</v>
      </c>
      <c r="C665" s="1" t="n">
        <v>45923</v>
      </c>
      <c r="D665" t="inlineStr">
        <is>
          <t>KALMAR LÄN</t>
        </is>
      </c>
      <c r="E665" t="inlineStr">
        <is>
          <t>VÄSTERVIK</t>
        </is>
      </c>
      <c r="G665" t="n">
        <v>1.3</v>
      </c>
      <c r="H665" t="n">
        <v>0</v>
      </c>
      <c r="I665" t="n">
        <v>0</v>
      </c>
      <c r="J665" t="n">
        <v>0</v>
      </c>
      <c r="K665" t="n">
        <v>0</v>
      </c>
      <c r="L665" t="n">
        <v>0</v>
      </c>
      <c r="M665" t="n">
        <v>0</v>
      </c>
      <c r="N665" t="n">
        <v>0</v>
      </c>
      <c r="O665" t="n">
        <v>0</v>
      </c>
      <c r="P665" t="n">
        <v>0</v>
      </c>
      <c r="Q665" t="n">
        <v>0</v>
      </c>
      <c r="R665" s="2" t="inlineStr"/>
    </row>
    <row r="666" ht="15" customHeight="1">
      <c r="A666" t="inlineStr">
        <is>
          <t>A 47267-2023</t>
        </is>
      </c>
      <c r="B666" s="1" t="n">
        <v>45202.42667824074</v>
      </c>
      <c r="C666" s="1" t="n">
        <v>45923</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38048-2023</t>
        </is>
      </c>
      <c r="B667" s="1" t="n">
        <v>45160.67677083334</v>
      </c>
      <c r="C667" s="1" t="n">
        <v>45923</v>
      </c>
      <c r="D667" t="inlineStr">
        <is>
          <t>KALMAR LÄN</t>
        </is>
      </c>
      <c r="E667" t="inlineStr">
        <is>
          <t>VÄSTERVIK</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17648-2023</t>
        </is>
      </c>
      <c r="B668" s="1" t="n">
        <v>45036</v>
      </c>
      <c r="C668" s="1" t="n">
        <v>45923</v>
      </c>
      <c r="D668" t="inlineStr">
        <is>
          <t>KALMAR LÄN</t>
        </is>
      </c>
      <c r="E668" t="inlineStr">
        <is>
          <t>VÄSTERVIK</t>
        </is>
      </c>
      <c r="G668" t="n">
        <v>0.4</v>
      </c>
      <c r="H668" t="n">
        <v>0</v>
      </c>
      <c r="I668" t="n">
        <v>0</v>
      </c>
      <c r="J668" t="n">
        <v>0</v>
      </c>
      <c r="K668" t="n">
        <v>0</v>
      </c>
      <c r="L668" t="n">
        <v>0</v>
      </c>
      <c r="M668" t="n">
        <v>0</v>
      </c>
      <c r="N668" t="n">
        <v>0</v>
      </c>
      <c r="O668" t="n">
        <v>0</v>
      </c>
      <c r="P668" t="n">
        <v>0</v>
      </c>
      <c r="Q668" t="n">
        <v>0</v>
      </c>
      <c r="R668" s="2" t="inlineStr"/>
    </row>
    <row r="669" ht="15" customHeight="1">
      <c r="A669" t="inlineStr">
        <is>
          <t>A 35108-2024</t>
        </is>
      </c>
      <c r="B669" s="1" t="n">
        <v>45529.64638888889</v>
      </c>
      <c r="C669" s="1" t="n">
        <v>45923</v>
      </c>
      <c r="D669" t="inlineStr">
        <is>
          <t>KALMAR LÄN</t>
        </is>
      </c>
      <c r="E669" t="inlineStr">
        <is>
          <t>VÄSTERVIK</t>
        </is>
      </c>
      <c r="G669" t="n">
        <v>10.5</v>
      </c>
      <c r="H669" t="n">
        <v>0</v>
      </c>
      <c r="I669" t="n">
        <v>0</v>
      </c>
      <c r="J669" t="n">
        <v>0</v>
      </c>
      <c r="K669" t="n">
        <v>0</v>
      </c>
      <c r="L669" t="n">
        <v>0</v>
      </c>
      <c r="M669" t="n">
        <v>0</v>
      </c>
      <c r="N669" t="n">
        <v>0</v>
      </c>
      <c r="O669" t="n">
        <v>0</v>
      </c>
      <c r="P669" t="n">
        <v>0</v>
      </c>
      <c r="Q669" t="n">
        <v>0</v>
      </c>
      <c r="R669" s="2" t="inlineStr"/>
    </row>
    <row r="670" ht="15" customHeight="1">
      <c r="A670" t="inlineStr">
        <is>
          <t>A 28952-2023</t>
        </is>
      </c>
      <c r="B670" s="1" t="n">
        <v>45104</v>
      </c>
      <c r="C670" s="1" t="n">
        <v>45923</v>
      </c>
      <c r="D670" t="inlineStr">
        <is>
          <t>KALMAR LÄN</t>
        </is>
      </c>
      <c r="E670" t="inlineStr">
        <is>
          <t>VÄSTERVIK</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47527-2021</t>
        </is>
      </c>
      <c r="B671" s="1" t="n">
        <v>44447</v>
      </c>
      <c r="C671" s="1" t="n">
        <v>45923</v>
      </c>
      <c r="D671" t="inlineStr">
        <is>
          <t>KALMAR LÄN</t>
        </is>
      </c>
      <c r="E671" t="inlineStr">
        <is>
          <t>VÄSTERVIK</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29404-2024</t>
        </is>
      </c>
      <c r="B672" s="1" t="n">
        <v>45483</v>
      </c>
      <c r="C672" s="1" t="n">
        <v>45923</v>
      </c>
      <c r="D672" t="inlineStr">
        <is>
          <t>KALMAR LÄN</t>
        </is>
      </c>
      <c r="E672" t="inlineStr">
        <is>
          <t>VÄSTERVIK</t>
        </is>
      </c>
      <c r="G672" t="n">
        <v>2.2</v>
      </c>
      <c r="H672" t="n">
        <v>0</v>
      </c>
      <c r="I672" t="n">
        <v>0</v>
      </c>
      <c r="J672" t="n">
        <v>0</v>
      </c>
      <c r="K672" t="n">
        <v>0</v>
      </c>
      <c r="L672" t="n">
        <v>0</v>
      </c>
      <c r="M672" t="n">
        <v>0</v>
      </c>
      <c r="N672" t="n">
        <v>0</v>
      </c>
      <c r="O672" t="n">
        <v>0</v>
      </c>
      <c r="P672" t="n">
        <v>0</v>
      </c>
      <c r="Q672" t="n">
        <v>0</v>
      </c>
      <c r="R672" s="2" t="inlineStr"/>
    </row>
    <row r="673" ht="15" customHeight="1">
      <c r="A673" t="inlineStr">
        <is>
          <t>A 37986-2023</t>
        </is>
      </c>
      <c r="B673" s="1" t="n">
        <v>45160.60331018519</v>
      </c>
      <c r="C673" s="1" t="n">
        <v>45923</v>
      </c>
      <c r="D673" t="inlineStr">
        <is>
          <t>KALMAR LÄN</t>
        </is>
      </c>
      <c r="E673" t="inlineStr">
        <is>
          <t>VÄSTERVIK</t>
        </is>
      </c>
      <c r="F673" t="inlineStr">
        <is>
          <t>Sveaskog</t>
        </is>
      </c>
      <c r="G673" t="n">
        <v>4</v>
      </c>
      <c r="H673" t="n">
        <v>0</v>
      </c>
      <c r="I673" t="n">
        <v>0</v>
      </c>
      <c r="J673" t="n">
        <v>0</v>
      </c>
      <c r="K673" t="n">
        <v>0</v>
      </c>
      <c r="L673" t="n">
        <v>0</v>
      </c>
      <c r="M673" t="n">
        <v>0</v>
      </c>
      <c r="N673" t="n">
        <v>0</v>
      </c>
      <c r="O673" t="n">
        <v>0</v>
      </c>
      <c r="P673" t="n">
        <v>0</v>
      </c>
      <c r="Q673" t="n">
        <v>0</v>
      </c>
      <c r="R673" s="2" t="inlineStr"/>
    </row>
    <row r="674" ht="15" customHeight="1">
      <c r="A674" t="inlineStr">
        <is>
          <t>A 35456-2024</t>
        </is>
      </c>
      <c r="B674" s="1" t="n">
        <v>45531</v>
      </c>
      <c r="C674" s="1" t="n">
        <v>45923</v>
      </c>
      <c r="D674" t="inlineStr">
        <is>
          <t>KALMAR LÄN</t>
        </is>
      </c>
      <c r="E674" t="inlineStr">
        <is>
          <t>VÄSTERVIK</t>
        </is>
      </c>
      <c r="G674" t="n">
        <v>5.8</v>
      </c>
      <c r="H674" t="n">
        <v>0</v>
      </c>
      <c r="I674" t="n">
        <v>0</v>
      </c>
      <c r="J674" t="n">
        <v>0</v>
      </c>
      <c r="K674" t="n">
        <v>0</v>
      </c>
      <c r="L674" t="n">
        <v>0</v>
      </c>
      <c r="M674" t="n">
        <v>0</v>
      </c>
      <c r="N674" t="n">
        <v>0</v>
      </c>
      <c r="O674" t="n">
        <v>0</v>
      </c>
      <c r="P674" t="n">
        <v>0</v>
      </c>
      <c r="Q674" t="n">
        <v>0</v>
      </c>
      <c r="R674" s="2" t="inlineStr"/>
    </row>
    <row r="675" ht="15" customHeight="1">
      <c r="A675" t="inlineStr">
        <is>
          <t>A 61448-2023</t>
        </is>
      </c>
      <c r="B675" s="1" t="n">
        <v>45264.81439814815</v>
      </c>
      <c r="C675" s="1" t="n">
        <v>45923</v>
      </c>
      <c r="D675" t="inlineStr">
        <is>
          <t>KALMAR LÄN</t>
        </is>
      </c>
      <c r="E675" t="inlineStr">
        <is>
          <t>VÄSTERVIK</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4496-2022</t>
        </is>
      </c>
      <c r="B676" s="1" t="n">
        <v>44589.67060185185</v>
      </c>
      <c r="C676" s="1" t="n">
        <v>45923</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69098-2020</t>
        </is>
      </c>
      <c r="B677" s="1" t="n">
        <v>44187</v>
      </c>
      <c r="C677" s="1" t="n">
        <v>45923</v>
      </c>
      <c r="D677" t="inlineStr">
        <is>
          <t>KALMAR LÄN</t>
        </is>
      </c>
      <c r="E677" t="inlineStr">
        <is>
          <t>VÄSTERVIK</t>
        </is>
      </c>
      <c r="G677" t="n">
        <v>1.9</v>
      </c>
      <c r="H677" t="n">
        <v>0</v>
      </c>
      <c r="I677" t="n">
        <v>0</v>
      </c>
      <c r="J677" t="n">
        <v>0</v>
      </c>
      <c r="K677" t="n">
        <v>0</v>
      </c>
      <c r="L677" t="n">
        <v>0</v>
      </c>
      <c r="M677" t="n">
        <v>0</v>
      </c>
      <c r="N677" t="n">
        <v>0</v>
      </c>
      <c r="O677" t="n">
        <v>0</v>
      </c>
      <c r="P677" t="n">
        <v>0</v>
      </c>
      <c r="Q677" t="n">
        <v>0</v>
      </c>
      <c r="R677" s="2" t="inlineStr"/>
    </row>
    <row r="678" ht="15" customHeight="1">
      <c r="A678" t="inlineStr">
        <is>
          <t>A 61449-2023</t>
        </is>
      </c>
      <c r="B678" s="1" t="n">
        <v>45264.81490740741</v>
      </c>
      <c r="C678" s="1" t="n">
        <v>45923</v>
      </c>
      <c r="D678" t="inlineStr">
        <is>
          <t>KALMAR LÄN</t>
        </is>
      </c>
      <c r="E678" t="inlineStr">
        <is>
          <t>VÄSTERVIK</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31691-2023</t>
        </is>
      </c>
      <c r="B679" s="1" t="n">
        <v>45117.72543981481</v>
      </c>
      <c r="C679" s="1" t="n">
        <v>45923</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52035-2023</t>
        </is>
      </c>
      <c r="B680" s="1" t="n">
        <v>45216</v>
      </c>
      <c r="C680" s="1" t="n">
        <v>45923</v>
      </c>
      <c r="D680" t="inlineStr">
        <is>
          <t>KALMAR LÄN</t>
        </is>
      </c>
      <c r="E680" t="inlineStr">
        <is>
          <t>VÄSTERVIK</t>
        </is>
      </c>
      <c r="G680" t="n">
        <v>3.4</v>
      </c>
      <c r="H680" t="n">
        <v>0</v>
      </c>
      <c r="I680" t="n">
        <v>0</v>
      </c>
      <c r="J680" t="n">
        <v>0</v>
      </c>
      <c r="K680" t="n">
        <v>0</v>
      </c>
      <c r="L680" t="n">
        <v>0</v>
      </c>
      <c r="M680" t="n">
        <v>0</v>
      </c>
      <c r="N680" t="n">
        <v>0</v>
      </c>
      <c r="O680" t="n">
        <v>0</v>
      </c>
      <c r="P680" t="n">
        <v>0</v>
      </c>
      <c r="Q680" t="n">
        <v>0</v>
      </c>
      <c r="R680" s="2" t="inlineStr"/>
    </row>
    <row r="681" ht="15" customHeight="1">
      <c r="A681" t="inlineStr">
        <is>
          <t>A 24877-2023</t>
        </is>
      </c>
      <c r="B681" s="1" t="n">
        <v>45085.43271990741</v>
      </c>
      <c r="C681" s="1" t="n">
        <v>45923</v>
      </c>
      <c r="D681" t="inlineStr">
        <is>
          <t>KALMAR LÄN</t>
        </is>
      </c>
      <c r="E681" t="inlineStr">
        <is>
          <t>VÄSTERVIK</t>
        </is>
      </c>
      <c r="G681" t="n">
        <v>3.8</v>
      </c>
      <c r="H681" t="n">
        <v>0</v>
      </c>
      <c r="I681" t="n">
        <v>0</v>
      </c>
      <c r="J681" t="n">
        <v>0</v>
      </c>
      <c r="K681" t="n">
        <v>0</v>
      </c>
      <c r="L681" t="n">
        <v>0</v>
      </c>
      <c r="M681" t="n">
        <v>0</v>
      </c>
      <c r="N681" t="n">
        <v>0</v>
      </c>
      <c r="O681" t="n">
        <v>0</v>
      </c>
      <c r="P681" t="n">
        <v>0</v>
      </c>
      <c r="Q681" t="n">
        <v>0</v>
      </c>
      <c r="R681" s="2" t="inlineStr"/>
    </row>
    <row r="682" ht="15" customHeight="1">
      <c r="A682" t="inlineStr">
        <is>
          <t>A 29789-2024</t>
        </is>
      </c>
      <c r="B682" s="1" t="n">
        <v>45485.46721064814</v>
      </c>
      <c r="C682" s="1" t="n">
        <v>45923</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14080-2025</t>
        </is>
      </c>
      <c r="B683" s="1" t="n">
        <v>45740.43785879629</v>
      </c>
      <c r="C683" s="1" t="n">
        <v>45923</v>
      </c>
      <c r="D683" t="inlineStr">
        <is>
          <t>KALMAR LÄN</t>
        </is>
      </c>
      <c r="E683" t="inlineStr">
        <is>
          <t>VÄSTERVIK</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9249-2024</t>
        </is>
      </c>
      <c r="B684" s="1" t="n">
        <v>45358.59056712963</v>
      </c>
      <c r="C684" s="1" t="n">
        <v>45923</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56046-2023</t>
        </is>
      </c>
      <c r="B685" s="1" t="n">
        <v>45240.45217592592</v>
      </c>
      <c r="C685" s="1" t="n">
        <v>45923</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12435-2024</t>
        </is>
      </c>
      <c r="B686" s="1" t="n">
        <v>45379.4459375</v>
      </c>
      <c r="C686" s="1" t="n">
        <v>45923</v>
      </c>
      <c r="D686" t="inlineStr">
        <is>
          <t>KALMAR LÄN</t>
        </is>
      </c>
      <c r="E686" t="inlineStr">
        <is>
          <t>VÄSTERVIK</t>
        </is>
      </c>
      <c r="G686" t="n">
        <v>0.4</v>
      </c>
      <c r="H686" t="n">
        <v>0</v>
      </c>
      <c r="I686" t="n">
        <v>0</v>
      </c>
      <c r="J686" t="n">
        <v>0</v>
      </c>
      <c r="K686" t="n">
        <v>0</v>
      </c>
      <c r="L686" t="n">
        <v>0</v>
      </c>
      <c r="M686" t="n">
        <v>0</v>
      </c>
      <c r="N686" t="n">
        <v>0</v>
      </c>
      <c r="O686" t="n">
        <v>0</v>
      </c>
      <c r="P686" t="n">
        <v>0</v>
      </c>
      <c r="Q686" t="n">
        <v>0</v>
      </c>
      <c r="R686" s="2" t="inlineStr"/>
    </row>
    <row r="687" ht="15" customHeight="1">
      <c r="A687" t="inlineStr">
        <is>
          <t>A 3828-2024</t>
        </is>
      </c>
      <c r="B687" s="1" t="n">
        <v>45321</v>
      </c>
      <c r="C687" s="1" t="n">
        <v>45923</v>
      </c>
      <c r="D687" t="inlineStr">
        <is>
          <t>KALMAR LÄN</t>
        </is>
      </c>
      <c r="E687" t="inlineStr">
        <is>
          <t>VÄSTERVIK</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47124-2023</t>
        </is>
      </c>
      <c r="B688" s="1" t="n">
        <v>45201</v>
      </c>
      <c r="C688" s="1" t="n">
        <v>45923</v>
      </c>
      <c r="D688" t="inlineStr">
        <is>
          <t>KALMAR LÄN</t>
        </is>
      </c>
      <c r="E688" t="inlineStr">
        <is>
          <t>VÄSTERVIK</t>
        </is>
      </c>
      <c r="G688" t="n">
        <v>1.5</v>
      </c>
      <c r="H688" t="n">
        <v>0</v>
      </c>
      <c r="I688" t="n">
        <v>0</v>
      </c>
      <c r="J688" t="n">
        <v>0</v>
      </c>
      <c r="K688" t="n">
        <v>0</v>
      </c>
      <c r="L688" t="n">
        <v>0</v>
      </c>
      <c r="M688" t="n">
        <v>0</v>
      </c>
      <c r="N688" t="n">
        <v>0</v>
      </c>
      <c r="O688" t="n">
        <v>0</v>
      </c>
      <c r="P688" t="n">
        <v>0</v>
      </c>
      <c r="Q688" t="n">
        <v>0</v>
      </c>
      <c r="R688" s="2" t="inlineStr"/>
    </row>
    <row r="689" ht="15" customHeight="1">
      <c r="A689" t="inlineStr">
        <is>
          <t>A 52774-2024</t>
        </is>
      </c>
      <c r="B689" s="1" t="n">
        <v>45610.53413194444</v>
      </c>
      <c r="C689" s="1" t="n">
        <v>45923</v>
      </c>
      <c r="D689" t="inlineStr">
        <is>
          <t>KALMAR LÄN</t>
        </is>
      </c>
      <c r="E689" t="inlineStr">
        <is>
          <t>VÄSTERVIK</t>
        </is>
      </c>
      <c r="F689" t="inlineStr">
        <is>
          <t>Holmen skog AB</t>
        </is>
      </c>
      <c r="G689" t="n">
        <v>2.9</v>
      </c>
      <c r="H689" t="n">
        <v>0</v>
      </c>
      <c r="I689" t="n">
        <v>0</v>
      </c>
      <c r="J689" t="n">
        <v>0</v>
      </c>
      <c r="K689" t="n">
        <v>0</v>
      </c>
      <c r="L689" t="n">
        <v>0</v>
      </c>
      <c r="M689" t="n">
        <v>0</v>
      </c>
      <c r="N689" t="n">
        <v>0</v>
      </c>
      <c r="O689" t="n">
        <v>0</v>
      </c>
      <c r="P689" t="n">
        <v>0</v>
      </c>
      <c r="Q689" t="n">
        <v>0</v>
      </c>
      <c r="R689" s="2" t="inlineStr"/>
    </row>
    <row r="690" ht="15" customHeight="1">
      <c r="A690" t="inlineStr">
        <is>
          <t>A 64741-2020</t>
        </is>
      </c>
      <c r="B690" s="1" t="n">
        <v>44169</v>
      </c>
      <c r="C690" s="1" t="n">
        <v>45923</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39193-2024</t>
        </is>
      </c>
      <c r="B691" s="1" t="n">
        <v>45548.68</v>
      </c>
      <c r="C691" s="1" t="n">
        <v>45923</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352-2023</t>
        </is>
      </c>
      <c r="B692" s="1" t="n">
        <v>44929.51619212963</v>
      </c>
      <c r="C692" s="1" t="n">
        <v>45923</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13843-2024</t>
        </is>
      </c>
      <c r="B693" s="1" t="n">
        <v>45391.45087962963</v>
      </c>
      <c r="C693" s="1" t="n">
        <v>45923</v>
      </c>
      <c r="D693" t="inlineStr">
        <is>
          <t>KALMAR LÄN</t>
        </is>
      </c>
      <c r="E693" t="inlineStr">
        <is>
          <t>VÄSTERVIK</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57804-2021</t>
        </is>
      </c>
      <c r="B694" s="1" t="n">
        <v>44484</v>
      </c>
      <c r="C694" s="1" t="n">
        <v>45923</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59675-2022</t>
        </is>
      </c>
      <c r="B695" s="1" t="n">
        <v>44908</v>
      </c>
      <c r="C695" s="1" t="n">
        <v>45923</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46790-2022</t>
        </is>
      </c>
      <c r="B696" s="1" t="n">
        <v>44851</v>
      </c>
      <c r="C696" s="1" t="n">
        <v>45923</v>
      </c>
      <c r="D696" t="inlineStr">
        <is>
          <t>KALMAR LÄN</t>
        </is>
      </c>
      <c r="E696" t="inlineStr">
        <is>
          <t>VÄSTERVIK</t>
        </is>
      </c>
      <c r="G696" t="n">
        <v>9.9</v>
      </c>
      <c r="H696" t="n">
        <v>0</v>
      </c>
      <c r="I696" t="n">
        <v>0</v>
      </c>
      <c r="J696" t="n">
        <v>0</v>
      </c>
      <c r="K696" t="n">
        <v>0</v>
      </c>
      <c r="L696" t="n">
        <v>0</v>
      </c>
      <c r="M696" t="n">
        <v>0</v>
      </c>
      <c r="N696" t="n">
        <v>0</v>
      </c>
      <c r="O696" t="n">
        <v>0</v>
      </c>
      <c r="P696" t="n">
        <v>0</v>
      </c>
      <c r="Q696" t="n">
        <v>0</v>
      </c>
      <c r="R696" s="2" t="inlineStr"/>
    </row>
    <row r="697" ht="15" customHeight="1">
      <c r="A697" t="inlineStr">
        <is>
          <t>A 50127-2023</t>
        </is>
      </c>
      <c r="B697" s="1" t="n">
        <v>45215.65043981482</v>
      </c>
      <c r="C697" s="1" t="n">
        <v>45923</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15379-2025</t>
        </is>
      </c>
      <c r="B698" s="1" t="n">
        <v>45747.40813657407</v>
      </c>
      <c r="C698" s="1" t="n">
        <v>45923</v>
      </c>
      <c r="D698" t="inlineStr">
        <is>
          <t>KALMAR LÄN</t>
        </is>
      </c>
      <c r="E698" t="inlineStr">
        <is>
          <t>VÄSTERVIK</t>
        </is>
      </c>
      <c r="G698" t="n">
        <v>0.7</v>
      </c>
      <c r="H698" t="n">
        <v>0</v>
      </c>
      <c r="I698" t="n">
        <v>0</v>
      </c>
      <c r="J698" t="n">
        <v>0</v>
      </c>
      <c r="K698" t="n">
        <v>0</v>
      </c>
      <c r="L698" t="n">
        <v>0</v>
      </c>
      <c r="M698" t="n">
        <v>0</v>
      </c>
      <c r="N698" t="n">
        <v>0</v>
      </c>
      <c r="O698" t="n">
        <v>0</v>
      </c>
      <c r="P698" t="n">
        <v>0</v>
      </c>
      <c r="Q698" t="n">
        <v>0</v>
      </c>
      <c r="R698" s="2" t="inlineStr"/>
    </row>
    <row r="699" ht="15" customHeight="1">
      <c r="A699" t="inlineStr">
        <is>
          <t>A 55050-2024</t>
        </is>
      </c>
      <c r="B699" s="1" t="n">
        <v>45621.39759259259</v>
      </c>
      <c r="C699" s="1" t="n">
        <v>45923</v>
      </c>
      <c r="D699" t="inlineStr">
        <is>
          <t>KALMAR LÄN</t>
        </is>
      </c>
      <c r="E699" t="inlineStr">
        <is>
          <t>VÄSTERVIK</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21942-2023</t>
        </is>
      </c>
      <c r="B700" s="1" t="n">
        <v>45068</v>
      </c>
      <c r="C700" s="1" t="n">
        <v>45923</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2314-2023</t>
        </is>
      </c>
      <c r="B701" s="1" t="n">
        <v>44942</v>
      </c>
      <c r="C701" s="1" t="n">
        <v>45923</v>
      </c>
      <c r="D701" t="inlineStr">
        <is>
          <t>KALMAR LÄN</t>
        </is>
      </c>
      <c r="E701" t="inlineStr">
        <is>
          <t>VÄSTERVIK</t>
        </is>
      </c>
      <c r="G701" t="n">
        <v>2.3</v>
      </c>
      <c r="H701" t="n">
        <v>0</v>
      </c>
      <c r="I701" t="n">
        <v>0</v>
      </c>
      <c r="J701" t="n">
        <v>0</v>
      </c>
      <c r="K701" t="n">
        <v>0</v>
      </c>
      <c r="L701" t="n">
        <v>0</v>
      </c>
      <c r="M701" t="n">
        <v>0</v>
      </c>
      <c r="N701" t="n">
        <v>0</v>
      </c>
      <c r="O701" t="n">
        <v>0</v>
      </c>
      <c r="P701" t="n">
        <v>0</v>
      </c>
      <c r="Q701" t="n">
        <v>0</v>
      </c>
      <c r="R701" s="2" t="inlineStr"/>
    </row>
    <row r="702" ht="15" customHeight="1">
      <c r="A702" t="inlineStr">
        <is>
          <t>A 62304-2022</t>
        </is>
      </c>
      <c r="B702" s="1" t="n">
        <v>44923.46215277778</v>
      </c>
      <c r="C702" s="1" t="n">
        <v>45923</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62306-2022</t>
        </is>
      </c>
      <c r="B703" s="1" t="n">
        <v>44923</v>
      </c>
      <c r="C703" s="1" t="n">
        <v>45923</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23080-2023</t>
        </is>
      </c>
      <c r="B704" s="1" t="n">
        <v>45075</v>
      </c>
      <c r="C704" s="1" t="n">
        <v>45923</v>
      </c>
      <c r="D704" t="inlineStr">
        <is>
          <t>KALMAR LÄN</t>
        </is>
      </c>
      <c r="E704" t="inlineStr">
        <is>
          <t>VÄSTERVIK</t>
        </is>
      </c>
      <c r="G704" t="n">
        <v>0.6</v>
      </c>
      <c r="H704" t="n">
        <v>0</v>
      </c>
      <c r="I704" t="n">
        <v>0</v>
      </c>
      <c r="J704" t="n">
        <v>0</v>
      </c>
      <c r="K704" t="n">
        <v>0</v>
      </c>
      <c r="L704" t="n">
        <v>0</v>
      </c>
      <c r="M704" t="n">
        <v>0</v>
      </c>
      <c r="N704" t="n">
        <v>0</v>
      </c>
      <c r="O704" t="n">
        <v>0</v>
      </c>
      <c r="P704" t="n">
        <v>0</v>
      </c>
      <c r="Q704" t="n">
        <v>0</v>
      </c>
      <c r="R704" s="2" t="inlineStr"/>
    </row>
    <row r="705" ht="15" customHeight="1">
      <c r="A705" t="inlineStr">
        <is>
          <t>A 38040-2023</t>
        </is>
      </c>
      <c r="B705" s="1" t="n">
        <v>45160.66336805555</v>
      </c>
      <c r="C705" s="1" t="n">
        <v>45923</v>
      </c>
      <c r="D705" t="inlineStr">
        <is>
          <t>KALMAR LÄN</t>
        </is>
      </c>
      <c r="E705" t="inlineStr">
        <is>
          <t>VÄSTERVIK</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55609-2024</t>
        </is>
      </c>
      <c r="B706" s="1" t="n">
        <v>45622.58350694444</v>
      </c>
      <c r="C706" s="1" t="n">
        <v>45923</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33208-2022</t>
        </is>
      </c>
      <c r="B707" s="1" t="n">
        <v>44785</v>
      </c>
      <c r="C707" s="1" t="n">
        <v>45923</v>
      </c>
      <c r="D707" t="inlineStr">
        <is>
          <t>KALMAR LÄN</t>
        </is>
      </c>
      <c r="E707" t="inlineStr">
        <is>
          <t>VÄSTERVIK</t>
        </is>
      </c>
      <c r="G707" t="n">
        <v>2.6</v>
      </c>
      <c r="H707" t="n">
        <v>0</v>
      </c>
      <c r="I707" t="n">
        <v>0</v>
      </c>
      <c r="J707" t="n">
        <v>0</v>
      </c>
      <c r="K707" t="n">
        <v>0</v>
      </c>
      <c r="L707" t="n">
        <v>0</v>
      </c>
      <c r="M707" t="n">
        <v>0</v>
      </c>
      <c r="N707" t="n">
        <v>0</v>
      </c>
      <c r="O707" t="n">
        <v>0</v>
      </c>
      <c r="P707" t="n">
        <v>0</v>
      </c>
      <c r="Q707" t="n">
        <v>0</v>
      </c>
      <c r="R707" s="2" t="inlineStr"/>
    </row>
    <row r="708" ht="15" customHeight="1">
      <c r="A708" t="inlineStr">
        <is>
          <t>A 12652-2022</t>
        </is>
      </c>
      <c r="B708" s="1" t="n">
        <v>44641</v>
      </c>
      <c r="C708" s="1" t="n">
        <v>45923</v>
      </c>
      <c r="D708" t="inlineStr">
        <is>
          <t>KALMAR LÄN</t>
        </is>
      </c>
      <c r="E708" t="inlineStr">
        <is>
          <t>VÄSTERVIK</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20204-2021</t>
        </is>
      </c>
      <c r="B709" s="1" t="n">
        <v>44314</v>
      </c>
      <c r="C709" s="1" t="n">
        <v>45923</v>
      </c>
      <c r="D709" t="inlineStr">
        <is>
          <t>KALMAR LÄN</t>
        </is>
      </c>
      <c r="E709" t="inlineStr">
        <is>
          <t>VÄSTERVIK</t>
        </is>
      </c>
      <c r="F709" t="inlineStr">
        <is>
          <t>Holmen skog AB</t>
        </is>
      </c>
      <c r="G709" t="n">
        <v>12.1</v>
      </c>
      <c r="H709" t="n">
        <v>0</v>
      </c>
      <c r="I709" t="n">
        <v>0</v>
      </c>
      <c r="J709" t="n">
        <v>0</v>
      </c>
      <c r="K709" t="n">
        <v>0</v>
      </c>
      <c r="L709" t="n">
        <v>0</v>
      </c>
      <c r="M709" t="n">
        <v>0</v>
      </c>
      <c r="N709" t="n">
        <v>0</v>
      </c>
      <c r="O709" t="n">
        <v>0</v>
      </c>
      <c r="P709" t="n">
        <v>0</v>
      </c>
      <c r="Q709" t="n">
        <v>0</v>
      </c>
      <c r="R709" s="2" t="inlineStr"/>
    </row>
    <row r="710" ht="15" customHeight="1">
      <c r="A710" t="inlineStr">
        <is>
          <t>A 11741-2023</t>
        </is>
      </c>
      <c r="B710" s="1" t="n">
        <v>44994.58689814815</v>
      </c>
      <c r="C710" s="1" t="n">
        <v>45923</v>
      </c>
      <c r="D710" t="inlineStr">
        <is>
          <t>KALMAR LÄN</t>
        </is>
      </c>
      <c r="E710" t="inlineStr">
        <is>
          <t>VÄSTERVIK</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17307-2023</t>
        </is>
      </c>
      <c r="B711" s="1" t="n">
        <v>45035.53497685185</v>
      </c>
      <c r="C711" s="1" t="n">
        <v>45923</v>
      </c>
      <c r="D711" t="inlineStr">
        <is>
          <t>KALMAR LÄN</t>
        </is>
      </c>
      <c r="E711" t="inlineStr">
        <is>
          <t>VÄSTERVIK</t>
        </is>
      </c>
      <c r="G711" t="n">
        <v>0</v>
      </c>
      <c r="H711" t="n">
        <v>0</v>
      </c>
      <c r="I711" t="n">
        <v>0</v>
      </c>
      <c r="J711" t="n">
        <v>0</v>
      </c>
      <c r="K711" t="n">
        <v>0</v>
      </c>
      <c r="L711" t="n">
        <v>0</v>
      </c>
      <c r="M711" t="n">
        <v>0</v>
      </c>
      <c r="N711" t="n">
        <v>0</v>
      </c>
      <c r="O711" t="n">
        <v>0</v>
      </c>
      <c r="P711" t="n">
        <v>0</v>
      </c>
      <c r="Q711" t="n">
        <v>0</v>
      </c>
      <c r="R711" s="2" t="inlineStr"/>
    </row>
    <row r="712" ht="15" customHeight="1">
      <c r="A712" t="inlineStr">
        <is>
          <t>A 3555-2021</t>
        </is>
      </c>
      <c r="B712" s="1" t="n">
        <v>44218</v>
      </c>
      <c r="C712" s="1" t="n">
        <v>45923</v>
      </c>
      <c r="D712" t="inlineStr">
        <is>
          <t>KALMAR LÄN</t>
        </is>
      </c>
      <c r="E712" t="inlineStr">
        <is>
          <t>VÄSTERVIK</t>
        </is>
      </c>
      <c r="G712" t="n">
        <v>0.9</v>
      </c>
      <c r="H712" t="n">
        <v>0</v>
      </c>
      <c r="I712" t="n">
        <v>0</v>
      </c>
      <c r="J712" t="n">
        <v>0</v>
      </c>
      <c r="K712" t="n">
        <v>0</v>
      </c>
      <c r="L712" t="n">
        <v>0</v>
      </c>
      <c r="M712" t="n">
        <v>0</v>
      </c>
      <c r="N712" t="n">
        <v>0</v>
      </c>
      <c r="O712" t="n">
        <v>0</v>
      </c>
      <c r="P712" t="n">
        <v>0</v>
      </c>
      <c r="Q712" t="n">
        <v>0</v>
      </c>
      <c r="R712" s="2" t="inlineStr"/>
    </row>
    <row r="713" ht="15" customHeight="1">
      <c r="A713" t="inlineStr">
        <is>
          <t>A 11120-2025</t>
        </is>
      </c>
      <c r="B713" s="1" t="n">
        <v>45723.63655092593</v>
      </c>
      <c r="C713" s="1" t="n">
        <v>45923</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11122-2025</t>
        </is>
      </c>
      <c r="B714" s="1" t="n">
        <v>45723.63827546296</v>
      </c>
      <c r="C714" s="1" t="n">
        <v>45923</v>
      </c>
      <c r="D714" t="inlineStr">
        <is>
          <t>KALMAR LÄN</t>
        </is>
      </c>
      <c r="E714" t="inlineStr">
        <is>
          <t>VÄSTERVIK</t>
        </is>
      </c>
      <c r="G714" t="n">
        <v>0.3</v>
      </c>
      <c r="H714" t="n">
        <v>0</v>
      </c>
      <c r="I714" t="n">
        <v>0</v>
      </c>
      <c r="J714" t="n">
        <v>0</v>
      </c>
      <c r="K714" t="n">
        <v>0</v>
      </c>
      <c r="L714" t="n">
        <v>0</v>
      </c>
      <c r="M714" t="n">
        <v>0</v>
      </c>
      <c r="N714" t="n">
        <v>0</v>
      </c>
      <c r="O714" t="n">
        <v>0</v>
      </c>
      <c r="P714" t="n">
        <v>0</v>
      </c>
      <c r="Q714" t="n">
        <v>0</v>
      </c>
      <c r="R714" s="2" t="inlineStr"/>
    </row>
    <row r="715" ht="15" customHeight="1">
      <c r="A715" t="inlineStr">
        <is>
          <t>A 16680-2025</t>
        </is>
      </c>
      <c r="B715" s="1" t="n">
        <v>45754.44952546297</v>
      </c>
      <c r="C715" s="1" t="n">
        <v>45923</v>
      </c>
      <c r="D715" t="inlineStr">
        <is>
          <t>KALMAR LÄN</t>
        </is>
      </c>
      <c r="E715" t="inlineStr">
        <is>
          <t>VÄSTERVIK</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16691-2025</t>
        </is>
      </c>
      <c r="B716" s="1" t="n">
        <v>45754.46086805555</v>
      </c>
      <c r="C716" s="1" t="n">
        <v>45923</v>
      </c>
      <c r="D716" t="inlineStr">
        <is>
          <t>KALMAR LÄN</t>
        </is>
      </c>
      <c r="E716" t="inlineStr">
        <is>
          <t>VÄSTERVIK</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8597-2023</t>
        </is>
      </c>
      <c r="B717" s="1" t="n">
        <v>44977</v>
      </c>
      <c r="C717" s="1" t="n">
        <v>45923</v>
      </c>
      <c r="D717" t="inlineStr">
        <is>
          <t>KALMAR LÄN</t>
        </is>
      </c>
      <c r="E717" t="inlineStr">
        <is>
          <t>VÄSTERVIK</t>
        </is>
      </c>
      <c r="G717" t="n">
        <v>0.2</v>
      </c>
      <c r="H717" t="n">
        <v>0</v>
      </c>
      <c r="I717" t="n">
        <v>0</v>
      </c>
      <c r="J717" t="n">
        <v>0</v>
      </c>
      <c r="K717" t="n">
        <v>0</v>
      </c>
      <c r="L717" t="n">
        <v>0</v>
      </c>
      <c r="M717" t="n">
        <v>0</v>
      </c>
      <c r="N717" t="n">
        <v>0</v>
      </c>
      <c r="O717" t="n">
        <v>0</v>
      </c>
      <c r="P717" t="n">
        <v>0</v>
      </c>
      <c r="Q717" t="n">
        <v>0</v>
      </c>
      <c r="R717" s="2" t="inlineStr"/>
    </row>
    <row r="718" ht="15" customHeight="1">
      <c r="A718" t="inlineStr">
        <is>
          <t>A 23992-2021</t>
        </is>
      </c>
      <c r="B718" s="1" t="n">
        <v>44335</v>
      </c>
      <c r="C718" s="1" t="n">
        <v>45923</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59331-2023</t>
        </is>
      </c>
      <c r="B719" s="1" t="n">
        <v>45253</v>
      </c>
      <c r="C719" s="1" t="n">
        <v>45923</v>
      </c>
      <c r="D719" t="inlineStr">
        <is>
          <t>KALMAR LÄN</t>
        </is>
      </c>
      <c r="E719" t="inlineStr">
        <is>
          <t>VÄSTERVIK</t>
        </is>
      </c>
      <c r="G719" t="n">
        <v>3.9</v>
      </c>
      <c r="H719" t="n">
        <v>0</v>
      </c>
      <c r="I719" t="n">
        <v>0</v>
      </c>
      <c r="J719" t="n">
        <v>0</v>
      </c>
      <c r="K719" t="n">
        <v>0</v>
      </c>
      <c r="L719" t="n">
        <v>0</v>
      </c>
      <c r="M719" t="n">
        <v>0</v>
      </c>
      <c r="N719" t="n">
        <v>0</v>
      </c>
      <c r="O719" t="n">
        <v>0</v>
      </c>
      <c r="P719" t="n">
        <v>0</v>
      </c>
      <c r="Q719" t="n">
        <v>0</v>
      </c>
      <c r="R719" s="2" t="inlineStr"/>
    </row>
    <row r="720" ht="15" customHeight="1">
      <c r="A720" t="inlineStr">
        <is>
          <t>A 21831-2023</t>
        </is>
      </c>
      <c r="B720" s="1" t="n">
        <v>45068</v>
      </c>
      <c r="C720" s="1" t="n">
        <v>45923</v>
      </c>
      <c r="D720" t="inlineStr">
        <is>
          <t>KALMAR LÄN</t>
        </is>
      </c>
      <c r="E720" t="inlineStr">
        <is>
          <t>VÄSTERVIK</t>
        </is>
      </c>
      <c r="G720" t="n">
        <v>0.4</v>
      </c>
      <c r="H720" t="n">
        <v>0</v>
      </c>
      <c r="I720" t="n">
        <v>0</v>
      </c>
      <c r="J720" t="n">
        <v>0</v>
      </c>
      <c r="K720" t="n">
        <v>0</v>
      </c>
      <c r="L720" t="n">
        <v>0</v>
      </c>
      <c r="M720" t="n">
        <v>0</v>
      </c>
      <c r="N720" t="n">
        <v>0</v>
      </c>
      <c r="O720" t="n">
        <v>0</v>
      </c>
      <c r="P720" t="n">
        <v>0</v>
      </c>
      <c r="Q720" t="n">
        <v>0</v>
      </c>
      <c r="R720" s="2" t="inlineStr"/>
    </row>
    <row r="721" ht="15" customHeight="1">
      <c r="A721" t="inlineStr">
        <is>
          <t>A 7165-2025</t>
        </is>
      </c>
      <c r="B721" s="1" t="n">
        <v>45702.39491898148</v>
      </c>
      <c r="C721" s="1" t="n">
        <v>45923</v>
      </c>
      <c r="D721" t="inlineStr">
        <is>
          <t>KALMAR LÄN</t>
        </is>
      </c>
      <c r="E721" t="inlineStr">
        <is>
          <t>VÄSTERVIK</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33969-2024</t>
        </is>
      </c>
      <c r="B722" s="1" t="n">
        <v>45523.49450231482</v>
      </c>
      <c r="C722" s="1" t="n">
        <v>45923</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35667-2023</t>
        </is>
      </c>
      <c r="B723" s="1" t="n">
        <v>45147.60667824074</v>
      </c>
      <c r="C723" s="1" t="n">
        <v>45923</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23316-2023</t>
        </is>
      </c>
      <c r="B724" s="1" t="n">
        <v>45076.02563657407</v>
      </c>
      <c r="C724" s="1" t="n">
        <v>45923</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15875-2023</t>
        </is>
      </c>
      <c r="B725" s="1" t="n">
        <v>45022.41916666667</v>
      </c>
      <c r="C725" s="1" t="n">
        <v>45923</v>
      </c>
      <c r="D725" t="inlineStr">
        <is>
          <t>KALMAR LÄN</t>
        </is>
      </c>
      <c r="E725" t="inlineStr">
        <is>
          <t>VÄSTERVIK</t>
        </is>
      </c>
      <c r="F725" t="inlineStr">
        <is>
          <t>Kyrkan</t>
        </is>
      </c>
      <c r="G725" t="n">
        <v>3.2</v>
      </c>
      <c r="H725" t="n">
        <v>0</v>
      </c>
      <c r="I725" t="n">
        <v>0</v>
      </c>
      <c r="J725" t="n">
        <v>0</v>
      </c>
      <c r="K725" t="n">
        <v>0</v>
      </c>
      <c r="L725" t="n">
        <v>0</v>
      </c>
      <c r="M725" t="n">
        <v>0</v>
      </c>
      <c r="N725" t="n">
        <v>0</v>
      </c>
      <c r="O725" t="n">
        <v>0</v>
      </c>
      <c r="P725" t="n">
        <v>0</v>
      </c>
      <c r="Q725" t="n">
        <v>0</v>
      </c>
      <c r="R725" s="2" t="inlineStr"/>
    </row>
    <row r="726" ht="15" customHeight="1">
      <c r="A726" t="inlineStr">
        <is>
          <t>A 60478-2024</t>
        </is>
      </c>
      <c r="B726" s="1" t="n">
        <v>45643</v>
      </c>
      <c r="C726" s="1" t="n">
        <v>45923</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9269-2025</t>
        </is>
      </c>
      <c r="B727" s="1" t="n">
        <v>45714.61543981481</v>
      </c>
      <c r="C727" s="1" t="n">
        <v>45923</v>
      </c>
      <c r="D727" t="inlineStr">
        <is>
          <t>KALMAR LÄN</t>
        </is>
      </c>
      <c r="E727" t="inlineStr">
        <is>
          <t>VÄSTERVIK</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14385-2023</t>
        </is>
      </c>
      <c r="B728" s="1" t="n">
        <v>45012</v>
      </c>
      <c r="C728" s="1" t="n">
        <v>45923</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5348-2024</t>
        </is>
      </c>
      <c r="B729" s="1" t="n">
        <v>45331</v>
      </c>
      <c r="C729" s="1" t="n">
        <v>45923</v>
      </c>
      <c r="D729" t="inlineStr">
        <is>
          <t>KALMAR LÄN</t>
        </is>
      </c>
      <c r="E729" t="inlineStr">
        <is>
          <t>VÄSTERVIK</t>
        </is>
      </c>
      <c r="F729" t="inlineStr">
        <is>
          <t>Övriga Aktiebolag</t>
        </is>
      </c>
      <c r="G729" t="n">
        <v>0.8</v>
      </c>
      <c r="H729" t="n">
        <v>0</v>
      </c>
      <c r="I729" t="n">
        <v>0</v>
      </c>
      <c r="J729" t="n">
        <v>0</v>
      </c>
      <c r="K729" t="n">
        <v>0</v>
      </c>
      <c r="L729" t="n">
        <v>0</v>
      </c>
      <c r="M729" t="n">
        <v>0</v>
      </c>
      <c r="N729" t="n">
        <v>0</v>
      </c>
      <c r="O729" t="n">
        <v>0</v>
      </c>
      <c r="P729" t="n">
        <v>0</v>
      </c>
      <c r="Q729" t="n">
        <v>0</v>
      </c>
      <c r="R729" s="2" t="inlineStr"/>
    </row>
    <row r="730" ht="15" customHeight="1">
      <c r="A730" t="inlineStr">
        <is>
          <t>A 46562-2022</t>
        </is>
      </c>
      <c r="B730" s="1" t="n">
        <v>44848</v>
      </c>
      <c r="C730" s="1" t="n">
        <v>45923</v>
      </c>
      <c r="D730" t="inlineStr">
        <is>
          <t>KALMAR LÄN</t>
        </is>
      </c>
      <c r="E730" t="inlineStr">
        <is>
          <t>VÄSTERVIK</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32822-2021</t>
        </is>
      </c>
      <c r="B731" s="1" t="n">
        <v>44375</v>
      </c>
      <c r="C731" s="1" t="n">
        <v>45923</v>
      </c>
      <c r="D731" t="inlineStr">
        <is>
          <t>KALMAR LÄN</t>
        </is>
      </c>
      <c r="E731" t="inlineStr">
        <is>
          <t>VÄSTERVIK</t>
        </is>
      </c>
      <c r="G731" t="n">
        <v>5.1</v>
      </c>
      <c r="H731" t="n">
        <v>0</v>
      </c>
      <c r="I731" t="n">
        <v>0</v>
      </c>
      <c r="J731" t="n">
        <v>0</v>
      </c>
      <c r="K731" t="n">
        <v>0</v>
      </c>
      <c r="L731" t="n">
        <v>0</v>
      </c>
      <c r="M731" t="n">
        <v>0</v>
      </c>
      <c r="N731" t="n">
        <v>0</v>
      </c>
      <c r="O731" t="n">
        <v>0</v>
      </c>
      <c r="P731" t="n">
        <v>0</v>
      </c>
      <c r="Q731" t="n">
        <v>0</v>
      </c>
      <c r="R731" s="2" t="inlineStr"/>
    </row>
    <row r="732" ht="15" customHeight="1">
      <c r="A732" t="inlineStr">
        <is>
          <t>A 48446-2024</t>
        </is>
      </c>
      <c r="B732" s="1" t="n">
        <v>45590.69163194444</v>
      </c>
      <c r="C732" s="1" t="n">
        <v>45923</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23873-2024</t>
        </is>
      </c>
      <c r="B733" s="1" t="n">
        <v>45455</v>
      </c>
      <c r="C733" s="1" t="n">
        <v>45923</v>
      </c>
      <c r="D733" t="inlineStr">
        <is>
          <t>KALMAR LÄN</t>
        </is>
      </c>
      <c r="E733" t="inlineStr">
        <is>
          <t>VÄSTERVIK</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16692-2025</t>
        </is>
      </c>
      <c r="B734" s="1" t="n">
        <v>45754.4621412037</v>
      </c>
      <c r="C734" s="1" t="n">
        <v>45923</v>
      </c>
      <c r="D734" t="inlineStr">
        <is>
          <t>KALMAR LÄN</t>
        </is>
      </c>
      <c r="E734" t="inlineStr">
        <is>
          <t>VÄSTERVIK</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29784-2024</t>
        </is>
      </c>
      <c r="B735" s="1" t="n">
        <v>45485.46129629629</v>
      </c>
      <c r="C735" s="1" t="n">
        <v>45923</v>
      </c>
      <c r="D735" t="inlineStr">
        <is>
          <t>KALMAR LÄN</t>
        </is>
      </c>
      <c r="E735" t="inlineStr">
        <is>
          <t>VÄSTERVIK</t>
        </is>
      </c>
      <c r="G735" t="n">
        <v>1.8</v>
      </c>
      <c r="H735" t="n">
        <v>0</v>
      </c>
      <c r="I735" t="n">
        <v>0</v>
      </c>
      <c r="J735" t="n">
        <v>0</v>
      </c>
      <c r="K735" t="n">
        <v>0</v>
      </c>
      <c r="L735" t="n">
        <v>0</v>
      </c>
      <c r="M735" t="n">
        <v>0</v>
      </c>
      <c r="N735" t="n">
        <v>0</v>
      </c>
      <c r="O735" t="n">
        <v>0</v>
      </c>
      <c r="P735" t="n">
        <v>0</v>
      </c>
      <c r="Q735" t="n">
        <v>0</v>
      </c>
      <c r="R735" s="2" t="inlineStr"/>
    </row>
    <row r="736" ht="15" customHeight="1">
      <c r="A736" t="inlineStr">
        <is>
          <t>A 54569-2023</t>
        </is>
      </c>
      <c r="B736" s="1" t="n">
        <v>45233.65532407408</v>
      </c>
      <c r="C736" s="1" t="n">
        <v>45923</v>
      </c>
      <c r="D736" t="inlineStr">
        <is>
          <t>KALMAR LÄN</t>
        </is>
      </c>
      <c r="E736" t="inlineStr">
        <is>
          <t>VÄSTERVIK</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24562-2024</t>
        </is>
      </c>
      <c r="B737" s="1" t="n">
        <v>45460</v>
      </c>
      <c r="C737" s="1" t="n">
        <v>45923</v>
      </c>
      <c r="D737" t="inlineStr">
        <is>
          <t>KALMAR LÄN</t>
        </is>
      </c>
      <c r="E737" t="inlineStr">
        <is>
          <t>VÄSTERVIK</t>
        </is>
      </c>
      <c r="G737" t="n">
        <v>1.5</v>
      </c>
      <c r="H737" t="n">
        <v>0</v>
      </c>
      <c r="I737" t="n">
        <v>0</v>
      </c>
      <c r="J737" t="n">
        <v>0</v>
      </c>
      <c r="K737" t="n">
        <v>0</v>
      </c>
      <c r="L737" t="n">
        <v>0</v>
      </c>
      <c r="M737" t="n">
        <v>0</v>
      </c>
      <c r="N737" t="n">
        <v>0</v>
      </c>
      <c r="O737" t="n">
        <v>0</v>
      </c>
      <c r="P737" t="n">
        <v>0</v>
      </c>
      <c r="Q737" t="n">
        <v>0</v>
      </c>
      <c r="R737" s="2" t="inlineStr"/>
    </row>
    <row r="738" ht="15" customHeight="1">
      <c r="A738" t="inlineStr">
        <is>
          <t>A 10807-2023</t>
        </is>
      </c>
      <c r="B738" s="1" t="n">
        <v>44989.64261574074</v>
      </c>
      <c r="C738" s="1" t="n">
        <v>45923</v>
      </c>
      <c r="D738" t="inlineStr">
        <is>
          <t>KALMAR LÄN</t>
        </is>
      </c>
      <c r="E738" t="inlineStr">
        <is>
          <t>VÄSTERVIK</t>
        </is>
      </c>
      <c r="G738" t="n">
        <v>0.4</v>
      </c>
      <c r="H738" t="n">
        <v>0</v>
      </c>
      <c r="I738" t="n">
        <v>0</v>
      </c>
      <c r="J738" t="n">
        <v>0</v>
      </c>
      <c r="K738" t="n">
        <v>0</v>
      </c>
      <c r="L738" t="n">
        <v>0</v>
      </c>
      <c r="M738" t="n">
        <v>0</v>
      </c>
      <c r="N738" t="n">
        <v>0</v>
      </c>
      <c r="O738" t="n">
        <v>0</v>
      </c>
      <c r="P738" t="n">
        <v>0</v>
      </c>
      <c r="Q738" t="n">
        <v>0</v>
      </c>
      <c r="R738" s="2" t="inlineStr"/>
    </row>
    <row r="739" ht="15" customHeight="1">
      <c r="A739" t="inlineStr">
        <is>
          <t>A 10725-2023</t>
        </is>
      </c>
      <c r="B739" s="1" t="n">
        <v>44988.66966435185</v>
      </c>
      <c r="C739" s="1" t="n">
        <v>45923</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7360-2023</t>
        </is>
      </c>
      <c r="B740" s="1" t="n">
        <v>44971</v>
      </c>
      <c r="C740" s="1" t="n">
        <v>45923</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17306-2023</t>
        </is>
      </c>
      <c r="B741" s="1" t="n">
        <v>45035</v>
      </c>
      <c r="C741" s="1" t="n">
        <v>45923</v>
      </c>
      <c r="D741" t="inlineStr">
        <is>
          <t>KALMAR LÄN</t>
        </is>
      </c>
      <c r="E741" t="inlineStr">
        <is>
          <t>VÄSTERVIK</t>
        </is>
      </c>
      <c r="G741" t="n">
        <v>4.3</v>
      </c>
      <c r="H741" t="n">
        <v>0</v>
      </c>
      <c r="I741" t="n">
        <v>0</v>
      </c>
      <c r="J741" t="n">
        <v>0</v>
      </c>
      <c r="K741" t="n">
        <v>0</v>
      </c>
      <c r="L741" t="n">
        <v>0</v>
      </c>
      <c r="M741" t="n">
        <v>0</v>
      </c>
      <c r="N741" t="n">
        <v>0</v>
      </c>
      <c r="O741" t="n">
        <v>0</v>
      </c>
      <c r="P741" t="n">
        <v>0</v>
      </c>
      <c r="Q741" t="n">
        <v>0</v>
      </c>
      <c r="R741" s="2" t="inlineStr"/>
    </row>
    <row r="742" ht="15" customHeight="1">
      <c r="A742" t="inlineStr">
        <is>
          <t>A 23317-2023</t>
        </is>
      </c>
      <c r="B742" s="1" t="n">
        <v>45076</v>
      </c>
      <c r="C742" s="1" t="n">
        <v>45923</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2543-2024</t>
        </is>
      </c>
      <c r="B743" s="1" t="n">
        <v>45313</v>
      </c>
      <c r="C743" s="1" t="n">
        <v>45923</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9220-2023</t>
        </is>
      </c>
      <c r="B744" s="1" t="n">
        <v>44980.52182870371</v>
      </c>
      <c r="C744" s="1" t="n">
        <v>45923</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19950-2025</t>
        </is>
      </c>
      <c r="B745" s="1" t="n">
        <v>45771.65724537037</v>
      </c>
      <c r="C745" s="1" t="n">
        <v>45923</v>
      </c>
      <c r="D745" t="inlineStr">
        <is>
          <t>KALMAR LÄN</t>
        </is>
      </c>
      <c r="E745" t="inlineStr">
        <is>
          <t>VÄSTERVIK</t>
        </is>
      </c>
      <c r="G745" t="n">
        <v>2.4</v>
      </c>
      <c r="H745" t="n">
        <v>0</v>
      </c>
      <c r="I745" t="n">
        <v>0</v>
      </c>
      <c r="J745" t="n">
        <v>0</v>
      </c>
      <c r="K745" t="n">
        <v>0</v>
      </c>
      <c r="L745" t="n">
        <v>0</v>
      </c>
      <c r="M745" t="n">
        <v>0</v>
      </c>
      <c r="N745" t="n">
        <v>0</v>
      </c>
      <c r="O745" t="n">
        <v>0</v>
      </c>
      <c r="P745" t="n">
        <v>0</v>
      </c>
      <c r="Q745" t="n">
        <v>0</v>
      </c>
      <c r="R745" s="2" t="inlineStr"/>
    </row>
    <row r="746" ht="15" customHeight="1">
      <c r="A746" t="inlineStr">
        <is>
          <t>A 36418-2023</t>
        </is>
      </c>
      <c r="B746" s="1" t="n">
        <v>45152</v>
      </c>
      <c r="C746" s="1" t="n">
        <v>45923</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c r="U746">
        <f>HYPERLINK("https://klasma.github.io/Logging_0883/knärot/A 36418-2023 karta knärot.png", "A 36418-2023")</f>
        <v/>
      </c>
      <c r="V746">
        <f>HYPERLINK("https://klasma.github.io/Logging_0883/klagomål/A 36418-2023 FSC-klagomål.docx", "A 36418-2023")</f>
        <v/>
      </c>
      <c r="W746">
        <f>HYPERLINK("https://klasma.github.io/Logging_0883/klagomålsmail/A 36418-2023 FSC-klagomål mail.docx", "A 36418-2023")</f>
        <v/>
      </c>
      <c r="X746">
        <f>HYPERLINK("https://klasma.github.io/Logging_0883/tillsyn/A 36418-2023 tillsynsbegäran.docx", "A 36418-2023")</f>
        <v/>
      </c>
      <c r="Y746">
        <f>HYPERLINK("https://klasma.github.io/Logging_0883/tillsynsmail/A 36418-2023 tillsynsbegäran mail.docx", "A 36418-2023")</f>
        <v/>
      </c>
    </row>
    <row r="747" ht="15" customHeight="1">
      <c r="A747" t="inlineStr">
        <is>
          <t>A 34646-2023</t>
        </is>
      </c>
      <c r="B747" s="1" t="n">
        <v>45140</v>
      </c>
      <c r="C747" s="1" t="n">
        <v>45923</v>
      </c>
      <c r="D747" t="inlineStr">
        <is>
          <t>KALMAR LÄN</t>
        </is>
      </c>
      <c r="E747" t="inlineStr">
        <is>
          <t>VÄSTERVIK</t>
        </is>
      </c>
      <c r="G747" t="n">
        <v>3.1</v>
      </c>
      <c r="H747" t="n">
        <v>0</v>
      </c>
      <c r="I747" t="n">
        <v>0</v>
      </c>
      <c r="J747" t="n">
        <v>0</v>
      </c>
      <c r="K747" t="n">
        <v>0</v>
      </c>
      <c r="L747" t="n">
        <v>0</v>
      </c>
      <c r="M747" t="n">
        <v>0</v>
      </c>
      <c r="N747" t="n">
        <v>0</v>
      </c>
      <c r="O747" t="n">
        <v>0</v>
      </c>
      <c r="P747" t="n">
        <v>0</v>
      </c>
      <c r="Q747" t="n">
        <v>0</v>
      </c>
      <c r="R747" s="2" t="inlineStr"/>
    </row>
    <row r="748" ht="15" customHeight="1">
      <c r="A748" t="inlineStr">
        <is>
          <t>A 6941-2025</t>
        </is>
      </c>
      <c r="B748" s="1" t="n">
        <v>45701.46835648148</v>
      </c>
      <c r="C748" s="1" t="n">
        <v>45923</v>
      </c>
      <c r="D748" t="inlineStr">
        <is>
          <t>KALMAR LÄN</t>
        </is>
      </c>
      <c r="E748" t="inlineStr">
        <is>
          <t>VÄSTERVIK</t>
        </is>
      </c>
      <c r="G748" t="n">
        <v>1.3</v>
      </c>
      <c r="H748" t="n">
        <v>0</v>
      </c>
      <c r="I748" t="n">
        <v>0</v>
      </c>
      <c r="J748" t="n">
        <v>0</v>
      </c>
      <c r="K748" t="n">
        <v>0</v>
      </c>
      <c r="L748" t="n">
        <v>0</v>
      </c>
      <c r="M748" t="n">
        <v>0</v>
      </c>
      <c r="N748" t="n">
        <v>0</v>
      </c>
      <c r="O748" t="n">
        <v>0</v>
      </c>
      <c r="P748" t="n">
        <v>0</v>
      </c>
      <c r="Q748" t="n">
        <v>0</v>
      </c>
      <c r="R748" s="2" t="inlineStr"/>
    </row>
    <row r="749" ht="15" customHeight="1">
      <c r="A749" t="inlineStr">
        <is>
          <t>A 37033-2021</t>
        </is>
      </c>
      <c r="B749" s="1" t="n">
        <v>44393</v>
      </c>
      <c r="C749" s="1" t="n">
        <v>45923</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58707-2022</t>
        </is>
      </c>
      <c r="B750" s="1" t="n">
        <v>44902.80462962963</v>
      </c>
      <c r="C750" s="1" t="n">
        <v>45923</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65-2023</t>
        </is>
      </c>
      <c r="B751" s="1" t="n">
        <v>44928.44431712963</v>
      </c>
      <c r="C751" s="1" t="n">
        <v>45923</v>
      </c>
      <c r="D751" t="inlineStr">
        <is>
          <t>KALMAR LÄN</t>
        </is>
      </c>
      <c r="E751" t="inlineStr">
        <is>
          <t>VÄSTERVIK</t>
        </is>
      </c>
      <c r="G751" t="n">
        <v>1.8</v>
      </c>
      <c r="H751" t="n">
        <v>0</v>
      </c>
      <c r="I751" t="n">
        <v>0</v>
      </c>
      <c r="J751" t="n">
        <v>0</v>
      </c>
      <c r="K751" t="n">
        <v>0</v>
      </c>
      <c r="L751" t="n">
        <v>0</v>
      </c>
      <c r="M751" t="n">
        <v>0</v>
      </c>
      <c r="N751" t="n">
        <v>0</v>
      </c>
      <c r="O751" t="n">
        <v>0</v>
      </c>
      <c r="P751" t="n">
        <v>0</v>
      </c>
      <c r="Q751" t="n">
        <v>0</v>
      </c>
      <c r="R751" s="2" t="inlineStr"/>
    </row>
    <row r="752" ht="15" customHeight="1">
      <c r="A752" t="inlineStr">
        <is>
          <t>A 9110-2023</t>
        </is>
      </c>
      <c r="B752" s="1" t="n">
        <v>44979</v>
      </c>
      <c r="C752" s="1" t="n">
        <v>45923</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9112-2023</t>
        </is>
      </c>
      <c r="B753" s="1" t="n">
        <v>44979</v>
      </c>
      <c r="C753" s="1" t="n">
        <v>45923</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25714-2023</t>
        </is>
      </c>
      <c r="B754" s="1" t="n">
        <v>45089</v>
      </c>
      <c r="C754" s="1" t="n">
        <v>45923</v>
      </c>
      <c r="D754" t="inlineStr">
        <is>
          <t>KALMAR LÄN</t>
        </is>
      </c>
      <c r="E754" t="inlineStr">
        <is>
          <t>VÄSTERVIK</t>
        </is>
      </c>
      <c r="G754" t="n">
        <v>10.5</v>
      </c>
      <c r="H754" t="n">
        <v>0</v>
      </c>
      <c r="I754" t="n">
        <v>0</v>
      </c>
      <c r="J754" t="n">
        <v>0</v>
      </c>
      <c r="K754" t="n">
        <v>0</v>
      </c>
      <c r="L754" t="n">
        <v>0</v>
      </c>
      <c r="M754" t="n">
        <v>0</v>
      </c>
      <c r="N754" t="n">
        <v>0</v>
      </c>
      <c r="O754" t="n">
        <v>0</v>
      </c>
      <c r="P754" t="n">
        <v>0</v>
      </c>
      <c r="Q754" t="n">
        <v>0</v>
      </c>
      <c r="R754" s="2" t="inlineStr"/>
    </row>
    <row r="755" ht="15" customHeight="1">
      <c r="A755" t="inlineStr">
        <is>
          <t>A 22740-2024</t>
        </is>
      </c>
      <c r="B755" s="1" t="n">
        <v>45448.39869212963</v>
      </c>
      <c r="C755" s="1" t="n">
        <v>45923</v>
      </c>
      <c r="D755" t="inlineStr">
        <is>
          <t>KALMAR LÄN</t>
        </is>
      </c>
      <c r="E755" t="inlineStr">
        <is>
          <t>VÄSTERVIK</t>
        </is>
      </c>
      <c r="F755" t="inlineStr">
        <is>
          <t>Holmen skog AB</t>
        </is>
      </c>
      <c r="G755" t="n">
        <v>2.5</v>
      </c>
      <c r="H755" t="n">
        <v>0</v>
      </c>
      <c r="I755" t="n">
        <v>0</v>
      </c>
      <c r="J755" t="n">
        <v>0</v>
      </c>
      <c r="K755" t="n">
        <v>0</v>
      </c>
      <c r="L755" t="n">
        <v>0</v>
      </c>
      <c r="M755" t="n">
        <v>0</v>
      </c>
      <c r="N755" t="n">
        <v>0</v>
      </c>
      <c r="O755" t="n">
        <v>0</v>
      </c>
      <c r="P755" t="n">
        <v>0</v>
      </c>
      <c r="Q755" t="n">
        <v>0</v>
      </c>
      <c r="R755" s="2" t="inlineStr"/>
    </row>
    <row r="756" ht="15" customHeight="1">
      <c r="A756" t="inlineStr">
        <is>
          <t>A 45202-2023</t>
        </is>
      </c>
      <c r="B756" s="1" t="n">
        <v>45191</v>
      </c>
      <c r="C756" s="1" t="n">
        <v>45923</v>
      </c>
      <c r="D756" t="inlineStr">
        <is>
          <t>KALMAR LÄN</t>
        </is>
      </c>
      <c r="E756" t="inlineStr">
        <is>
          <t>VÄSTERVIK</t>
        </is>
      </c>
      <c r="F756" t="inlineStr">
        <is>
          <t>Holmen skog AB</t>
        </is>
      </c>
      <c r="G756" t="n">
        <v>1.3</v>
      </c>
      <c r="H756" t="n">
        <v>0</v>
      </c>
      <c r="I756" t="n">
        <v>0</v>
      </c>
      <c r="J756" t="n">
        <v>0</v>
      </c>
      <c r="K756" t="n">
        <v>0</v>
      </c>
      <c r="L756" t="n">
        <v>0</v>
      </c>
      <c r="M756" t="n">
        <v>0</v>
      </c>
      <c r="N756" t="n">
        <v>0</v>
      </c>
      <c r="O756" t="n">
        <v>0</v>
      </c>
      <c r="P756" t="n">
        <v>0</v>
      </c>
      <c r="Q756" t="n">
        <v>0</v>
      </c>
      <c r="R756" s="2" t="inlineStr"/>
    </row>
    <row r="757" ht="15" customHeight="1">
      <c r="A757" t="inlineStr">
        <is>
          <t>A 32763-2022</t>
        </is>
      </c>
      <c r="B757" s="1" t="n">
        <v>44783</v>
      </c>
      <c r="C757" s="1" t="n">
        <v>45923</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24829-2022</t>
        </is>
      </c>
      <c r="B758" s="1" t="n">
        <v>44728.45674768519</v>
      </c>
      <c r="C758" s="1" t="n">
        <v>45923</v>
      </c>
      <c r="D758" t="inlineStr">
        <is>
          <t>KALMAR LÄN</t>
        </is>
      </c>
      <c r="E758" t="inlineStr">
        <is>
          <t>VÄSTERVIK</t>
        </is>
      </c>
      <c r="G758" t="n">
        <v>2.2</v>
      </c>
      <c r="H758" t="n">
        <v>0</v>
      </c>
      <c r="I758" t="n">
        <v>0</v>
      </c>
      <c r="J758" t="n">
        <v>0</v>
      </c>
      <c r="K758" t="n">
        <v>0</v>
      </c>
      <c r="L758" t="n">
        <v>0</v>
      </c>
      <c r="M758" t="n">
        <v>0</v>
      </c>
      <c r="N758" t="n">
        <v>0</v>
      </c>
      <c r="O758" t="n">
        <v>0</v>
      </c>
      <c r="P758" t="n">
        <v>0</v>
      </c>
      <c r="Q758" t="n">
        <v>0</v>
      </c>
      <c r="R758" s="2" t="inlineStr"/>
    </row>
    <row r="759" ht="15" customHeight="1">
      <c r="A759" t="inlineStr">
        <is>
          <t>A 52845-2023</t>
        </is>
      </c>
      <c r="B759" s="1" t="n">
        <v>45226.43667824074</v>
      </c>
      <c r="C759" s="1" t="n">
        <v>45923</v>
      </c>
      <c r="D759" t="inlineStr">
        <is>
          <t>KALMAR LÄN</t>
        </is>
      </c>
      <c r="E759" t="inlineStr">
        <is>
          <t>VÄSTERVIK</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14114-2025</t>
        </is>
      </c>
      <c r="B760" s="1" t="n">
        <v>45740.45964120371</v>
      </c>
      <c r="C760" s="1" t="n">
        <v>45923</v>
      </c>
      <c r="D760" t="inlineStr">
        <is>
          <t>KALMAR LÄN</t>
        </is>
      </c>
      <c r="E760" t="inlineStr">
        <is>
          <t>VÄSTERVIK</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57802-2024</t>
        </is>
      </c>
      <c r="B761" s="1" t="n">
        <v>45631.34590277778</v>
      </c>
      <c r="C761" s="1" t="n">
        <v>45923</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17214-2024</t>
        </is>
      </c>
      <c r="B762" s="1" t="n">
        <v>45414</v>
      </c>
      <c r="C762" s="1" t="n">
        <v>45923</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25488-2023</t>
        </is>
      </c>
      <c r="B763" s="1" t="n">
        <v>45089</v>
      </c>
      <c r="C763" s="1" t="n">
        <v>45923</v>
      </c>
      <c r="D763" t="inlineStr">
        <is>
          <t>KALMAR LÄN</t>
        </is>
      </c>
      <c r="E763" t="inlineStr">
        <is>
          <t>VÄSTERVIK</t>
        </is>
      </c>
      <c r="G763" t="n">
        <v>2.3</v>
      </c>
      <c r="H763" t="n">
        <v>0</v>
      </c>
      <c r="I763" t="n">
        <v>0</v>
      </c>
      <c r="J763" t="n">
        <v>0</v>
      </c>
      <c r="K763" t="n">
        <v>0</v>
      </c>
      <c r="L763" t="n">
        <v>0</v>
      </c>
      <c r="M763" t="n">
        <v>0</v>
      </c>
      <c r="N763" t="n">
        <v>0</v>
      </c>
      <c r="O763" t="n">
        <v>0</v>
      </c>
      <c r="P763" t="n">
        <v>0</v>
      </c>
      <c r="Q763" t="n">
        <v>0</v>
      </c>
      <c r="R763" s="2" t="inlineStr"/>
    </row>
    <row r="764" ht="15" customHeight="1">
      <c r="A764" t="inlineStr">
        <is>
          <t>A 14212-2022</t>
        </is>
      </c>
      <c r="B764" s="1" t="n">
        <v>44651</v>
      </c>
      <c r="C764" s="1" t="n">
        <v>45923</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15021-2025</t>
        </is>
      </c>
      <c r="B765" s="1" t="n">
        <v>45743.64482638889</v>
      </c>
      <c r="C765" s="1" t="n">
        <v>45923</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35961-2023</t>
        </is>
      </c>
      <c r="B766" s="1" t="n">
        <v>45148.85041666667</v>
      </c>
      <c r="C766" s="1" t="n">
        <v>45923</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14105-2025</t>
        </is>
      </c>
      <c r="B767" s="1" t="n">
        <v>45740.45425925926</v>
      </c>
      <c r="C767" s="1" t="n">
        <v>45923</v>
      </c>
      <c r="D767" t="inlineStr">
        <is>
          <t>KALMAR LÄN</t>
        </is>
      </c>
      <c r="E767" t="inlineStr">
        <is>
          <t>VÄSTERVIK</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14109-2025</t>
        </is>
      </c>
      <c r="B768" s="1" t="n">
        <v>45740.45748842593</v>
      </c>
      <c r="C768" s="1" t="n">
        <v>45923</v>
      </c>
      <c r="D768" t="inlineStr">
        <is>
          <t>KALMAR LÄN</t>
        </is>
      </c>
      <c r="E768" t="inlineStr">
        <is>
          <t>VÄSTERVIK</t>
        </is>
      </c>
      <c r="F768" t="inlineStr">
        <is>
          <t>Sveaskog</t>
        </is>
      </c>
      <c r="G768" t="n">
        <v>2.2</v>
      </c>
      <c r="H768" t="n">
        <v>0</v>
      </c>
      <c r="I768" t="n">
        <v>0</v>
      </c>
      <c r="J768" t="n">
        <v>0</v>
      </c>
      <c r="K768" t="n">
        <v>0</v>
      </c>
      <c r="L768" t="n">
        <v>0</v>
      </c>
      <c r="M768" t="n">
        <v>0</v>
      </c>
      <c r="N768" t="n">
        <v>0</v>
      </c>
      <c r="O768" t="n">
        <v>0</v>
      </c>
      <c r="P768" t="n">
        <v>0</v>
      </c>
      <c r="Q768" t="n">
        <v>0</v>
      </c>
      <c r="R768" s="2" t="inlineStr"/>
    </row>
    <row r="769" ht="15" customHeight="1">
      <c r="A769" t="inlineStr">
        <is>
          <t>A 10808-2025</t>
        </is>
      </c>
      <c r="B769" s="1" t="n">
        <v>45722.53427083333</v>
      </c>
      <c r="C769" s="1" t="n">
        <v>45923</v>
      </c>
      <c r="D769" t="inlineStr">
        <is>
          <t>KALMAR LÄN</t>
        </is>
      </c>
      <c r="E769" t="inlineStr">
        <is>
          <t>VÄSTERVIK</t>
        </is>
      </c>
      <c r="G769" t="n">
        <v>2.2</v>
      </c>
      <c r="H769" t="n">
        <v>0</v>
      </c>
      <c r="I769" t="n">
        <v>0</v>
      </c>
      <c r="J769" t="n">
        <v>0</v>
      </c>
      <c r="K769" t="n">
        <v>0</v>
      </c>
      <c r="L769" t="n">
        <v>0</v>
      </c>
      <c r="M769" t="n">
        <v>0</v>
      </c>
      <c r="N769" t="n">
        <v>0</v>
      </c>
      <c r="O769" t="n">
        <v>0</v>
      </c>
      <c r="P769" t="n">
        <v>0</v>
      </c>
      <c r="Q769" t="n">
        <v>0</v>
      </c>
      <c r="R769" s="2" t="inlineStr"/>
    </row>
    <row r="770" ht="15" customHeight="1">
      <c r="A770" t="inlineStr">
        <is>
          <t>A 43199-2024</t>
        </is>
      </c>
      <c r="B770" s="1" t="n">
        <v>45567.68774305555</v>
      </c>
      <c r="C770" s="1" t="n">
        <v>45923</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28894-2023</t>
        </is>
      </c>
      <c r="B771" s="1" t="n">
        <v>45104.49659722222</v>
      </c>
      <c r="C771" s="1" t="n">
        <v>45923</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6346-2023</t>
        </is>
      </c>
      <c r="B772" s="1" t="n">
        <v>44960</v>
      </c>
      <c r="C772" s="1" t="n">
        <v>45923</v>
      </c>
      <c r="D772" t="inlineStr">
        <is>
          <t>KALMAR LÄN</t>
        </is>
      </c>
      <c r="E772" t="inlineStr">
        <is>
          <t>VÄSTERVIK</t>
        </is>
      </c>
      <c r="G772" t="n">
        <v>4.5</v>
      </c>
      <c r="H772" t="n">
        <v>0</v>
      </c>
      <c r="I772" t="n">
        <v>0</v>
      </c>
      <c r="J772" t="n">
        <v>0</v>
      </c>
      <c r="K772" t="n">
        <v>0</v>
      </c>
      <c r="L772" t="n">
        <v>0</v>
      </c>
      <c r="M772" t="n">
        <v>0</v>
      </c>
      <c r="N772" t="n">
        <v>0</v>
      </c>
      <c r="O772" t="n">
        <v>0</v>
      </c>
      <c r="P772" t="n">
        <v>0</v>
      </c>
      <c r="Q772" t="n">
        <v>0</v>
      </c>
      <c r="R772" s="2" t="inlineStr"/>
    </row>
    <row r="773" ht="15" customHeight="1">
      <c r="A773" t="inlineStr">
        <is>
          <t>A 26285-2024</t>
        </is>
      </c>
      <c r="B773" s="1" t="n">
        <v>45468.70357638889</v>
      </c>
      <c r="C773" s="1" t="n">
        <v>45923</v>
      </c>
      <c r="D773" t="inlineStr">
        <is>
          <t>KALMAR LÄN</t>
        </is>
      </c>
      <c r="E773" t="inlineStr">
        <is>
          <t>VÄSTERVIK</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9037-2023</t>
        </is>
      </c>
      <c r="B774" s="1" t="n">
        <v>44979.65015046296</v>
      </c>
      <c r="C774" s="1" t="n">
        <v>45923</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50086-2023</t>
        </is>
      </c>
      <c r="B775" s="1" t="n">
        <v>45215.59601851852</v>
      </c>
      <c r="C775" s="1" t="n">
        <v>45923</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13275-2023</t>
        </is>
      </c>
      <c r="B776" s="1" t="n">
        <v>45003</v>
      </c>
      <c r="C776" s="1" t="n">
        <v>45923</v>
      </c>
      <c r="D776" t="inlineStr">
        <is>
          <t>KALMAR LÄN</t>
        </is>
      </c>
      <c r="E776" t="inlineStr">
        <is>
          <t>VÄSTERVIK</t>
        </is>
      </c>
      <c r="G776" t="n">
        <v>1.6</v>
      </c>
      <c r="H776" t="n">
        <v>0</v>
      </c>
      <c r="I776" t="n">
        <v>0</v>
      </c>
      <c r="J776" t="n">
        <v>0</v>
      </c>
      <c r="K776" t="n">
        <v>0</v>
      </c>
      <c r="L776" t="n">
        <v>0</v>
      </c>
      <c r="M776" t="n">
        <v>0</v>
      </c>
      <c r="N776" t="n">
        <v>0</v>
      </c>
      <c r="O776" t="n">
        <v>0</v>
      </c>
      <c r="P776" t="n">
        <v>0</v>
      </c>
      <c r="Q776" t="n">
        <v>0</v>
      </c>
      <c r="R776" s="2" t="inlineStr"/>
      <c r="U776">
        <f>HYPERLINK("https://klasma.github.io/Logging_0883/knärot/A 13275-2023 karta knärot.png", "A 13275-2023")</f>
        <v/>
      </c>
      <c r="V776">
        <f>HYPERLINK("https://klasma.github.io/Logging_0883/klagomål/A 13275-2023 FSC-klagomål.docx", "A 13275-2023")</f>
        <v/>
      </c>
      <c r="W776">
        <f>HYPERLINK("https://klasma.github.io/Logging_0883/klagomålsmail/A 13275-2023 FSC-klagomål mail.docx", "A 13275-2023")</f>
        <v/>
      </c>
      <c r="X776">
        <f>HYPERLINK("https://klasma.github.io/Logging_0883/tillsyn/A 13275-2023 tillsynsbegäran.docx", "A 13275-2023")</f>
        <v/>
      </c>
      <c r="Y776">
        <f>HYPERLINK("https://klasma.github.io/Logging_0883/tillsynsmail/A 13275-2023 tillsynsbegäran mail.docx", "A 13275-2023")</f>
        <v/>
      </c>
    </row>
    <row r="777" ht="15" customHeight="1">
      <c r="A777" t="inlineStr">
        <is>
          <t>A 17200-2021</t>
        </is>
      </c>
      <c r="B777" s="1" t="n">
        <v>44298.47847222222</v>
      </c>
      <c r="C777" s="1" t="n">
        <v>45923</v>
      </c>
      <c r="D777" t="inlineStr">
        <is>
          <t>KALMAR LÄN</t>
        </is>
      </c>
      <c r="E777" t="inlineStr">
        <is>
          <t>VÄSTERVIK</t>
        </is>
      </c>
      <c r="G777" t="n">
        <v>3.4</v>
      </c>
      <c r="H777" t="n">
        <v>0</v>
      </c>
      <c r="I777" t="n">
        <v>0</v>
      </c>
      <c r="J777" t="n">
        <v>0</v>
      </c>
      <c r="K777" t="n">
        <v>0</v>
      </c>
      <c r="L777" t="n">
        <v>0</v>
      </c>
      <c r="M777" t="n">
        <v>0</v>
      </c>
      <c r="N777" t="n">
        <v>0</v>
      </c>
      <c r="O777" t="n">
        <v>0</v>
      </c>
      <c r="P777" t="n">
        <v>0</v>
      </c>
      <c r="Q777" t="n">
        <v>0</v>
      </c>
      <c r="R777" s="2" t="inlineStr"/>
    </row>
    <row r="778" ht="15" customHeight="1">
      <c r="A778" t="inlineStr">
        <is>
          <t>A 19333-2023</t>
        </is>
      </c>
      <c r="B778" s="1" t="n">
        <v>45049.566875</v>
      </c>
      <c r="C778" s="1" t="n">
        <v>45923</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15097-2023</t>
        </is>
      </c>
      <c r="B779" s="1" t="n">
        <v>45016</v>
      </c>
      <c r="C779" s="1" t="n">
        <v>45923</v>
      </c>
      <c r="D779" t="inlineStr">
        <is>
          <t>KALMAR LÄN</t>
        </is>
      </c>
      <c r="E779" t="inlineStr">
        <is>
          <t>VÄSTERVIK</t>
        </is>
      </c>
      <c r="G779" t="n">
        <v>5.9</v>
      </c>
      <c r="H779" t="n">
        <v>0</v>
      </c>
      <c r="I779" t="n">
        <v>0</v>
      </c>
      <c r="J779" t="n">
        <v>0</v>
      </c>
      <c r="K779" t="n">
        <v>0</v>
      </c>
      <c r="L779" t="n">
        <v>0</v>
      </c>
      <c r="M779" t="n">
        <v>0</v>
      </c>
      <c r="N779" t="n">
        <v>0</v>
      </c>
      <c r="O779" t="n">
        <v>0</v>
      </c>
      <c r="P779" t="n">
        <v>0</v>
      </c>
      <c r="Q779" t="n">
        <v>0</v>
      </c>
      <c r="R779" s="2" t="inlineStr"/>
    </row>
    <row r="780" ht="15" customHeight="1">
      <c r="A780" t="inlineStr">
        <is>
          <t>A 46070-2023</t>
        </is>
      </c>
      <c r="B780" s="1" t="n">
        <v>45196</v>
      </c>
      <c r="C780" s="1" t="n">
        <v>45923</v>
      </c>
      <c r="D780" t="inlineStr">
        <is>
          <t>KALMAR LÄN</t>
        </is>
      </c>
      <c r="E780" t="inlineStr">
        <is>
          <t>VÄSTERVIK</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38174-2023</t>
        </is>
      </c>
      <c r="B781" s="1" t="n">
        <v>45161</v>
      </c>
      <c r="C781" s="1" t="n">
        <v>45923</v>
      </c>
      <c r="D781" t="inlineStr">
        <is>
          <t>KALMAR LÄN</t>
        </is>
      </c>
      <c r="E781" t="inlineStr">
        <is>
          <t>VÄSTERVIK</t>
        </is>
      </c>
      <c r="G781" t="n">
        <v>3.4</v>
      </c>
      <c r="H781" t="n">
        <v>0</v>
      </c>
      <c r="I781" t="n">
        <v>0</v>
      </c>
      <c r="J781" t="n">
        <v>0</v>
      </c>
      <c r="K781" t="n">
        <v>0</v>
      </c>
      <c r="L781" t="n">
        <v>0</v>
      </c>
      <c r="M781" t="n">
        <v>0</v>
      </c>
      <c r="N781" t="n">
        <v>0</v>
      </c>
      <c r="O781" t="n">
        <v>0</v>
      </c>
      <c r="P781" t="n">
        <v>0</v>
      </c>
      <c r="Q781" t="n">
        <v>0</v>
      </c>
      <c r="R781" s="2" t="inlineStr"/>
    </row>
    <row r="782" ht="15" customHeight="1">
      <c r="A782" t="inlineStr">
        <is>
          <t>A 9042-2023</t>
        </is>
      </c>
      <c r="B782" s="1" t="n">
        <v>44979</v>
      </c>
      <c r="C782" s="1" t="n">
        <v>45923</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782-2024</t>
        </is>
      </c>
      <c r="B783" s="1" t="n">
        <v>45300.55188657407</v>
      </c>
      <c r="C783" s="1" t="n">
        <v>45923</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69753-2021</t>
        </is>
      </c>
      <c r="B784" s="1" t="n">
        <v>44532.56175925926</v>
      </c>
      <c r="C784" s="1" t="n">
        <v>45923</v>
      </c>
      <c r="D784" t="inlineStr">
        <is>
          <t>KALMAR LÄN</t>
        </is>
      </c>
      <c r="E784" t="inlineStr">
        <is>
          <t>VÄSTERVIK</t>
        </is>
      </c>
      <c r="G784" t="n">
        <v>3.2</v>
      </c>
      <c r="H784" t="n">
        <v>0</v>
      </c>
      <c r="I784" t="n">
        <v>0</v>
      </c>
      <c r="J784" t="n">
        <v>0</v>
      </c>
      <c r="K784" t="n">
        <v>0</v>
      </c>
      <c r="L784" t="n">
        <v>0</v>
      </c>
      <c r="M784" t="n">
        <v>0</v>
      </c>
      <c r="N784" t="n">
        <v>0</v>
      </c>
      <c r="O784" t="n">
        <v>0</v>
      </c>
      <c r="P784" t="n">
        <v>0</v>
      </c>
      <c r="Q784" t="n">
        <v>0</v>
      </c>
      <c r="R784" s="2" t="inlineStr"/>
    </row>
    <row r="785" ht="15" customHeight="1">
      <c r="A785" t="inlineStr">
        <is>
          <t>A 37716-2023</t>
        </is>
      </c>
      <c r="B785" s="1" t="n">
        <v>45159</v>
      </c>
      <c r="C785" s="1" t="n">
        <v>45923</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58216-2022</t>
        </is>
      </c>
      <c r="B786" s="1" t="n">
        <v>44901.36292824074</v>
      </c>
      <c r="C786" s="1" t="n">
        <v>45923</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5234-2024</t>
        </is>
      </c>
      <c r="B787" s="1" t="n">
        <v>45330.80729166666</v>
      </c>
      <c r="C787" s="1" t="n">
        <v>45923</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13748-2024</t>
        </is>
      </c>
      <c r="B788" s="1" t="n">
        <v>45390</v>
      </c>
      <c r="C788" s="1" t="n">
        <v>45923</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808-2023</t>
        </is>
      </c>
      <c r="B789" s="1" t="n">
        <v>44931</v>
      </c>
      <c r="C789" s="1" t="n">
        <v>45923</v>
      </c>
      <c r="D789" t="inlineStr">
        <is>
          <t>KALMAR LÄN</t>
        </is>
      </c>
      <c r="E789" t="inlineStr">
        <is>
          <t>VÄSTERVIK</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36888-2024</t>
        </is>
      </c>
      <c r="B790" s="1" t="n">
        <v>45538</v>
      </c>
      <c r="C790" s="1" t="n">
        <v>45923</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33204-2022</t>
        </is>
      </c>
      <c r="B791" s="1" t="n">
        <v>44785</v>
      </c>
      <c r="C791" s="1" t="n">
        <v>45923</v>
      </c>
      <c r="D791" t="inlineStr">
        <is>
          <t>KALMAR LÄN</t>
        </is>
      </c>
      <c r="E791" t="inlineStr">
        <is>
          <t>VÄSTERVIK</t>
        </is>
      </c>
      <c r="G791" t="n">
        <v>0.9</v>
      </c>
      <c r="H791" t="n">
        <v>0</v>
      </c>
      <c r="I791" t="n">
        <v>0</v>
      </c>
      <c r="J791" t="n">
        <v>0</v>
      </c>
      <c r="K791" t="n">
        <v>0</v>
      </c>
      <c r="L791" t="n">
        <v>0</v>
      </c>
      <c r="M791" t="n">
        <v>0</v>
      </c>
      <c r="N791" t="n">
        <v>0</v>
      </c>
      <c r="O791" t="n">
        <v>0</v>
      </c>
      <c r="P791" t="n">
        <v>0</v>
      </c>
      <c r="Q791" t="n">
        <v>0</v>
      </c>
      <c r="R791" s="2" t="inlineStr"/>
    </row>
    <row r="792" ht="15" customHeight="1">
      <c r="A792" t="inlineStr">
        <is>
          <t>A 39983-2024</t>
        </is>
      </c>
      <c r="B792" s="1" t="n">
        <v>45553.61674768518</v>
      </c>
      <c r="C792" s="1" t="n">
        <v>45923</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2746-2023</t>
        </is>
      </c>
      <c r="B793" s="1" t="n">
        <v>44944</v>
      </c>
      <c r="C793" s="1" t="n">
        <v>45923</v>
      </c>
      <c r="D793" t="inlineStr">
        <is>
          <t>KALMAR LÄN</t>
        </is>
      </c>
      <c r="E793" t="inlineStr">
        <is>
          <t>VÄSTERVIK</t>
        </is>
      </c>
      <c r="G793" t="n">
        <v>5.5</v>
      </c>
      <c r="H793" t="n">
        <v>0</v>
      </c>
      <c r="I793" t="n">
        <v>0</v>
      </c>
      <c r="J793" t="n">
        <v>0</v>
      </c>
      <c r="K793" t="n">
        <v>0</v>
      </c>
      <c r="L793" t="n">
        <v>0</v>
      </c>
      <c r="M793" t="n">
        <v>0</v>
      </c>
      <c r="N793" t="n">
        <v>0</v>
      </c>
      <c r="O793" t="n">
        <v>0</v>
      </c>
      <c r="P793" t="n">
        <v>0</v>
      </c>
      <c r="Q793" t="n">
        <v>0</v>
      </c>
      <c r="R793" s="2" t="inlineStr"/>
    </row>
    <row r="794" ht="15" customHeight="1">
      <c r="A794" t="inlineStr">
        <is>
          <t>A 11167-2024</t>
        </is>
      </c>
      <c r="B794" s="1" t="n">
        <v>45371.4966087963</v>
      </c>
      <c r="C794" s="1" t="n">
        <v>45923</v>
      </c>
      <c r="D794" t="inlineStr">
        <is>
          <t>KALMAR LÄN</t>
        </is>
      </c>
      <c r="E794" t="inlineStr">
        <is>
          <t>VÄSTERVIK</t>
        </is>
      </c>
      <c r="G794" t="n">
        <v>1.1</v>
      </c>
      <c r="H794" t="n">
        <v>0</v>
      </c>
      <c r="I794" t="n">
        <v>0</v>
      </c>
      <c r="J794" t="n">
        <v>0</v>
      </c>
      <c r="K794" t="n">
        <v>0</v>
      </c>
      <c r="L794" t="n">
        <v>0</v>
      </c>
      <c r="M794" t="n">
        <v>0</v>
      </c>
      <c r="N794" t="n">
        <v>0</v>
      </c>
      <c r="O794" t="n">
        <v>0</v>
      </c>
      <c r="P794" t="n">
        <v>0</v>
      </c>
      <c r="Q794" t="n">
        <v>0</v>
      </c>
      <c r="R794" s="2" t="inlineStr"/>
    </row>
    <row r="795" ht="15" customHeight="1">
      <c r="A795" t="inlineStr">
        <is>
          <t>A 58209-2022</t>
        </is>
      </c>
      <c r="B795" s="1" t="n">
        <v>44901</v>
      </c>
      <c r="C795" s="1" t="n">
        <v>45923</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52155-2021</t>
        </is>
      </c>
      <c r="B796" s="1" t="n">
        <v>44463</v>
      </c>
      <c r="C796" s="1" t="n">
        <v>45923</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1877-2025</t>
        </is>
      </c>
      <c r="B797" s="1" t="n">
        <v>45671.62141203704</v>
      </c>
      <c r="C797" s="1" t="n">
        <v>45923</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55828-2022</t>
        </is>
      </c>
      <c r="B798" s="1" t="n">
        <v>44888</v>
      </c>
      <c r="C798" s="1" t="n">
        <v>45923</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53077-2024</t>
        </is>
      </c>
      <c r="B799" s="1" t="n">
        <v>45611.49178240741</v>
      </c>
      <c r="C799" s="1" t="n">
        <v>45923</v>
      </c>
      <c r="D799" t="inlineStr">
        <is>
          <t>KALMAR LÄN</t>
        </is>
      </c>
      <c r="E799" t="inlineStr">
        <is>
          <t>VÄSTERVIK</t>
        </is>
      </c>
      <c r="F799" t="inlineStr">
        <is>
          <t>Holmen skog AB</t>
        </is>
      </c>
      <c r="G799" t="n">
        <v>3</v>
      </c>
      <c r="H799" t="n">
        <v>0</v>
      </c>
      <c r="I799" t="n">
        <v>0</v>
      </c>
      <c r="J799" t="n">
        <v>0</v>
      </c>
      <c r="K799" t="n">
        <v>0</v>
      </c>
      <c r="L799" t="n">
        <v>0</v>
      </c>
      <c r="M799" t="n">
        <v>0</v>
      </c>
      <c r="N799" t="n">
        <v>0</v>
      </c>
      <c r="O799" t="n">
        <v>0</v>
      </c>
      <c r="P799" t="n">
        <v>0</v>
      </c>
      <c r="Q799" t="n">
        <v>0</v>
      </c>
      <c r="R799" s="2" t="inlineStr"/>
    </row>
    <row r="800" ht="15" customHeight="1">
      <c r="A800" t="inlineStr">
        <is>
          <t>A 28222-2024</t>
        </is>
      </c>
      <c r="B800" s="1" t="n">
        <v>45477.36993055556</v>
      </c>
      <c r="C800" s="1" t="n">
        <v>45923</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4583-2023</t>
        </is>
      </c>
      <c r="B801" s="1" t="n">
        <v>44956</v>
      </c>
      <c r="C801" s="1" t="n">
        <v>45923</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11848-2024</t>
        </is>
      </c>
      <c r="B802" s="1" t="n">
        <v>45376.41653935185</v>
      </c>
      <c r="C802" s="1" t="n">
        <v>45923</v>
      </c>
      <c r="D802" t="inlineStr">
        <is>
          <t>KALMAR LÄN</t>
        </is>
      </c>
      <c r="E802" t="inlineStr">
        <is>
          <t>VÄSTERVIK</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29952-2022</t>
        </is>
      </c>
      <c r="B803" s="1" t="n">
        <v>44756.62649305556</v>
      </c>
      <c r="C803" s="1" t="n">
        <v>45923</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63361-2023</t>
        </is>
      </c>
      <c r="B804" s="1" t="n">
        <v>45274.46324074074</v>
      </c>
      <c r="C804" s="1" t="n">
        <v>45923</v>
      </c>
      <c r="D804" t="inlineStr">
        <is>
          <t>KALMAR LÄN</t>
        </is>
      </c>
      <c r="E804" t="inlineStr">
        <is>
          <t>VÄSTERVIK</t>
        </is>
      </c>
      <c r="G804" t="n">
        <v>2.2</v>
      </c>
      <c r="H804" t="n">
        <v>0</v>
      </c>
      <c r="I804" t="n">
        <v>0</v>
      </c>
      <c r="J804" t="n">
        <v>0</v>
      </c>
      <c r="K804" t="n">
        <v>0</v>
      </c>
      <c r="L804" t="n">
        <v>0</v>
      </c>
      <c r="M804" t="n">
        <v>0</v>
      </c>
      <c r="N804" t="n">
        <v>0</v>
      </c>
      <c r="O804" t="n">
        <v>0</v>
      </c>
      <c r="P804" t="n">
        <v>0</v>
      </c>
      <c r="Q804" t="n">
        <v>0</v>
      </c>
      <c r="R804" s="2" t="inlineStr"/>
    </row>
    <row r="805" ht="15" customHeight="1">
      <c r="A805" t="inlineStr">
        <is>
          <t>A 47120-2023</t>
        </is>
      </c>
      <c r="B805" s="1" t="n">
        <v>45201</v>
      </c>
      <c r="C805" s="1" t="n">
        <v>45923</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47123-2023</t>
        </is>
      </c>
      <c r="B806" s="1" t="n">
        <v>45201.68075231482</v>
      </c>
      <c r="C806" s="1" t="n">
        <v>45923</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46718-2023</t>
        </is>
      </c>
      <c r="B807" s="1" t="n">
        <v>45198</v>
      </c>
      <c r="C807" s="1" t="n">
        <v>45923</v>
      </c>
      <c r="D807" t="inlineStr">
        <is>
          <t>KALMAR LÄN</t>
        </is>
      </c>
      <c r="E807" t="inlineStr">
        <is>
          <t>VÄSTERVIK</t>
        </is>
      </c>
      <c r="G807" t="n">
        <v>0.4</v>
      </c>
      <c r="H807" t="n">
        <v>0</v>
      </c>
      <c r="I807" t="n">
        <v>0</v>
      </c>
      <c r="J807" t="n">
        <v>0</v>
      </c>
      <c r="K807" t="n">
        <v>0</v>
      </c>
      <c r="L807" t="n">
        <v>0</v>
      </c>
      <c r="M807" t="n">
        <v>0</v>
      </c>
      <c r="N807" t="n">
        <v>0</v>
      </c>
      <c r="O807" t="n">
        <v>0</v>
      </c>
      <c r="P807" t="n">
        <v>0</v>
      </c>
      <c r="Q807" t="n">
        <v>0</v>
      </c>
      <c r="R807" s="2" t="inlineStr"/>
    </row>
    <row r="808" ht="15" customHeight="1">
      <c r="A808" t="inlineStr">
        <is>
          <t>A 9267-2025</t>
        </is>
      </c>
      <c r="B808" s="1" t="n">
        <v>45714.61418981481</v>
      </c>
      <c r="C808" s="1" t="n">
        <v>45923</v>
      </c>
      <c r="D808" t="inlineStr">
        <is>
          <t>KALMAR LÄN</t>
        </is>
      </c>
      <c r="E808" t="inlineStr">
        <is>
          <t>VÄSTERVIK</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60263-2022</t>
        </is>
      </c>
      <c r="B809" s="1" t="n">
        <v>44910.48520833333</v>
      </c>
      <c r="C809" s="1" t="n">
        <v>45923</v>
      </c>
      <c r="D809" t="inlineStr">
        <is>
          <t>KALMAR LÄN</t>
        </is>
      </c>
      <c r="E809" t="inlineStr">
        <is>
          <t>VÄSTERVIK</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1798-2023</t>
        </is>
      </c>
      <c r="B810" s="1" t="n">
        <v>44938</v>
      </c>
      <c r="C810" s="1" t="n">
        <v>45923</v>
      </c>
      <c r="D810" t="inlineStr">
        <is>
          <t>KALMAR LÄN</t>
        </is>
      </c>
      <c r="E810" t="inlineStr">
        <is>
          <t>VÄSTERVIK</t>
        </is>
      </c>
      <c r="G810" t="n">
        <v>3.9</v>
      </c>
      <c r="H810" t="n">
        <v>0</v>
      </c>
      <c r="I810" t="n">
        <v>0</v>
      </c>
      <c r="J810" t="n">
        <v>0</v>
      </c>
      <c r="K810" t="n">
        <v>0</v>
      </c>
      <c r="L810" t="n">
        <v>0</v>
      </c>
      <c r="M810" t="n">
        <v>0</v>
      </c>
      <c r="N810" t="n">
        <v>0</v>
      </c>
      <c r="O810" t="n">
        <v>0</v>
      </c>
      <c r="P810" t="n">
        <v>0</v>
      </c>
      <c r="Q810" t="n">
        <v>0</v>
      </c>
      <c r="R810" s="2" t="inlineStr"/>
    </row>
    <row r="811" ht="15" customHeight="1">
      <c r="A811" t="inlineStr">
        <is>
          <t>A 26776-2023</t>
        </is>
      </c>
      <c r="B811" s="1" t="n">
        <v>45093</v>
      </c>
      <c r="C811" s="1" t="n">
        <v>45923</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18880-2025</t>
        </is>
      </c>
      <c r="B812" s="1" t="n">
        <v>45764.43959490741</v>
      </c>
      <c r="C812" s="1" t="n">
        <v>45923</v>
      </c>
      <c r="D812" t="inlineStr">
        <is>
          <t>KALMAR LÄN</t>
        </is>
      </c>
      <c r="E812" t="inlineStr">
        <is>
          <t>VÄSTERVIK</t>
        </is>
      </c>
      <c r="G812" t="n">
        <v>0.7</v>
      </c>
      <c r="H812" t="n">
        <v>0</v>
      </c>
      <c r="I812" t="n">
        <v>0</v>
      </c>
      <c r="J812" t="n">
        <v>0</v>
      </c>
      <c r="K812" t="n">
        <v>0</v>
      </c>
      <c r="L812" t="n">
        <v>0</v>
      </c>
      <c r="M812" t="n">
        <v>0</v>
      </c>
      <c r="N812" t="n">
        <v>0</v>
      </c>
      <c r="O812" t="n">
        <v>0</v>
      </c>
      <c r="P812" t="n">
        <v>0</v>
      </c>
      <c r="Q812" t="n">
        <v>0</v>
      </c>
      <c r="R812" s="2" t="inlineStr"/>
    </row>
    <row r="813" ht="15" customHeight="1">
      <c r="A813" t="inlineStr">
        <is>
          <t>A 5691-2025</t>
        </is>
      </c>
      <c r="B813" s="1" t="n">
        <v>45694.37447916667</v>
      </c>
      <c r="C813" s="1" t="n">
        <v>45923</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17652-2023</t>
        </is>
      </c>
      <c r="B814" s="1" t="n">
        <v>45036.70626157407</v>
      </c>
      <c r="C814" s="1" t="n">
        <v>45923</v>
      </c>
      <c r="D814" t="inlineStr">
        <is>
          <t>KALMAR LÄN</t>
        </is>
      </c>
      <c r="E814" t="inlineStr">
        <is>
          <t>VÄSTERVIK</t>
        </is>
      </c>
      <c r="G814" t="n">
        <v>0.2</v>
      </c>
      <c r="H814" t="n">
        <v>0</v>
      </c>
      <c r="I814" t="n">
        <v>0</v>
      </c>
      <c r="J814" t="n">
        <v>0</v>
      </c>
      <c r="K814" t="n">
        <v>0</v>
      </c>
      <c r="L814" t="n">
        <v>0</v>
      </c>
      <c r="M814" t="n">
        <v>0</v>
      </c>
      <c r="N814" t="n">
        <v>0</v>
      </c>
      <c r="O814" t="n">
        <v>0</v>
      </c>
      <c r="P814" t="n">
        <v>0</v>
      </c>
      <c r="Q814" t="n">
        <v>0</v>
      </c>
      <c r="R814" s="2" t="inlineStr"/>
    </row>
    <row r="815" ht="15" customHeight="1">
      <c r="A815" t="inlineStr">
        <is>
          <t>A 49706-2024</t>
        </is>
      </c>
      <c r="B815" s="1" t="n">
        <v>45596.69706018519</v>
      </c>
      <c r="C815" s="1" t="n">
        <v>45923</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5060-2025</t>
        </is>
      </c>
      <c r="B816" s="1" t="n">
        <v>45691.47354166667</v>
      </c>
      <c r="C816" s="1" t="n">
        <v>45923</v>
      </c>
      <c r="D816" t="inlineStr">
        <is>
          <t>KALMAR LÄN</t>
        </is>
      </c>
      <c r="E816" t="inlineStr">
        <is>
          <t>VÄSTERVIK</t>
        </is>
      </c>
      <c r="F816" t="inlineStr">
        <is>
          <t>Holmen skog AB</t>
        </is>
      </c>
      <c r="G816" t="n">
        <v>2.9</v>
      </c>
      <c r="H816" t="n">
        <v>0</v>
      </c>
      <c r="I816" t="n">
        <v>0</v>
      </c>
      <c r="J816" t="n">
        <v>0</v>
      </c>
      <c r="K816" t="n">
        <v>0</v>
      </c>
      <c r="L816" t="n">
        <v>0</v>
      </c>
      <c r="M816" t="n">
        <v>0</v>
      </c>
      <c r="N816" t="n">
        <v>0</v>
      </c>
      <c r="O816" t="n">
        <v>0</v>
      </c>
      <c r="P816" t="n">
        <v>0</v>
      </c>
      <c r="Q816" t="n">
        <v>0</v>
      </c>
      <c r="R816" s="2" t="inlineStr"/>
    </row>
    <row r="817" ht="15" customHeight="1">
      <c r="A817" t="inlineStr">
        <is>
          <t>A 57019-2023</t>
        </is>
      </c>
      <c r="B817" s="1" t="n">
        <v>45244</v>
      </c>
      <c r="C817" s="1" t="n">
        <v>45923</v>
      </c>
      <c r="D817" t="inlineStr">
        <is>
          <t>KALMAR LÄN</t>
        </is>
      </c>
      <c r="E817" t="inlineStr">
        <is>
          <t>VÄSTERVIK</t>
        </is>
      </c>
      <c r="G817" t="n">
        <v>2.2</v>
      </c>
      <c r="H817" t="n">
        <v>0</v>
      </c>
      <c r="I817" t="n">
        <v>0</v>
      </c>
      <c r="J817" t="n">
        <v>0</v>
      </c>
      <c r="K817" t="n">
        <v>0</v>
      </c>
      <c r="L817" t="n">
        <v>0</v>
      </c>
      <c r="M817" t="n">
        <v>0</v>
      </c>
      <c r="N817" t="n">
        <v>0</v>
      </c>
      <c r="O817" t="n">
        <v>0</v>
      </c>
      <c r="P817" t="n">
        <v>0</v>
      </c>
      <c r="Q817" t="n">
        <v>0</v>
      </c>
      <c r="R817" s="2" t="inlineStr"/>
    </row>
    <row r="818" ht="15" customHeight="1">
      <c r="A818" t="inlineStr">
        <is>
          <t>A 73640-2021</t>
        </is>
      </c>
      <c r="B818" s="1" t="n">
        <v>44552.43644675926</v>
      </c>
      <c r="C818" s="1" t="n">
        <v>45923</v>
      </c>
      <c r="D818" t="inlineStr">
        <is>
          <t>KALMAR LÄN</t>
        </is>
      </c>
      <c r="E818" t="inlineStr">
        <is>
          <t>VÄSTERVIK</t>
        </is>
      </c>
      <c r="G818" t="n">
        <v>1.9</v>
      </c>
      <c r="H818" t="n">
        <v>0</v>
      </c>
      <c r="I818" t="n">
        <v>0</v>
      </c>
      <c r="J818" t="n">
        <v>0</v>
      </c>
      <c r="K818" t="n">
        <v>0</v>
      </c>
      <c r="L818" t="n">
        <v>0</v>
      </c>
      <c r="M818" t="n">
        <v>0</v>
      </c>
      <c r="N818" t="n">
        <v>0</v>
      </c>
      <c r="O818" t="n">
        <v>0</v>
      </c>
      <c r="P818" t="n">
        <v>0</v>
      </c>
      <c r="Q818" t="n">
        <v>0</v>
      </c>
      <c r="R818" s="2" t="inlineStr"/>
    </row>
    <row r="819" ht="15" customHeight="1">
      <c r="A819" t="inlineStr">
        <is>
          <t>A 40050-2022</t>
        </is>
      </c>
      <c r="B819" s="1" t="n">
        <v>44820.44106481481</v>
      </c>
      <c r="C819" s="1" t="n">
        <v>45923</v>
      </c>
      <c r="D819" t="inlineStr">
        <is>
          <t>KALMAR LÄN</t>
        </is>
      </c>
      <c r="E819" t="inlineStr">
        <is>
          <t>VÄSTERVIK</t>
        </is>
      </c>
      <c r="G819" t="n">
        <v>1.8</v>
      </c>
      <c r="H819" t="n">
        <v>0</v>
      </c>
      <c r="I819" t="n">
        <v>0</v>
      </c>
      <c r="J819" t="n">
        <v>0</v>
      </c>
      <c r="K819" t="n">
        <v>0</v>
      </c>
      <c r="L819" t="n">
        <v>0</v>
      </c>
      <c r="M819" t="n">
        <v>0</v>
      </c>
      <c r="N819" t="n">
        <v>0</v>
      </c>
      <c r="O819" t="n">
        <v>0</v>
      </c>
      <c r="P819" t="n">
        <v>0</v>
      </c>
      <c r="Q819" t="n">
        <v>0</v>
      </c>
      <c r="R819" s="2" t="inlineStr"/>
    </row>
    <row r="820" ht="15" customHeight="1">
      <c r="A820" t="inlineStr">
        <is>
          <t>A 37858-2023</t>
        </is>
      </c>
      <c r="B820" s="1" t="n">
        <v>45160.40577546296</v>
      </c>
      <c r="C820" s="1" t="n">
        <v>45923</v>
      </c>
      <c r="D820" t="inlineStr">
        <is>
          <t>KALMAR LÄN</t>
        </is>
      </c>
      <c r="E820" t="inlineStr">
        <is>
          <t>VÄSTERVIK</t>
        </is>
      </c>
      <c r="G820" t="n">
        <v>3</v>
      </c>
      <c r="H820" t="n">
        <v>0</v>
      </c>
      <c r="I820" t="n">
        <v>0</v>
      </c>
      <c r="J820" t="n">
        <v>0</v>
      </c>
      <c r="K820" t="n">
        <v>0</v>
      </c>
      <c r="L820" t="n">
        <v>0</v>
      </c>
      <c r="M820" t="n">
        <v>0</v>
      </c>
      <c r="N820" t="n">
        <v>0</v>
      </c>
      <c r="O820" t="n">
        <v>0</v>
      </c>
      <c r="P820" t="n">
        <v>0</v>
      </c>
      <c r="Q820" t="n">
        <v>0</v>
      </c>
      <c r="R820" s="2" t="inlineStr"/>
    </row>
    <row r="821" ht="15" customHeight="1">
      <c r="A821" t="inlineStr">
        <is>
          <t>A 39980-2024</t>
        </is>
      </c>
      <c r="B821" s="1" t="n">
        <v>45553.61098379629</v>
      </c>
      <c r="C821" s="1" t="n">
        <v>45923</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39982-2024</t>
        </is>
      </c>
      <c r="B822" s="1" t="n">
        <v>45553.61355324074</v>
      </c>
      <c r="C822" s="1" t="n">
        <v>45923</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1568-2024</t>
        </is>
      </c>
      <c r="B823" s="1" t="n">
        <v>45306.53221064815</v>
      </c>
      <c r="C823" s="1" t="n">
        <v>45923</v>
      </c>
      <c r="D823" t="inlineStr">
        <is>
          <t>KALMAR LÄN</t>
        </is>
      </c>
      <c r="E823" t="inlineStr">
        <is>
          <t>VÄSTERVIK</t>
        </is>
      </c>
      <c r="G823" t="n">
        <v>3.4</v>
      </c>
      <c r="H823" t="n">
        <v>0</v>
      </c>
      <c r="I823" t="n">
        <v>0</v>
      </c>
      <c r="J823" t="n">
        <v>0</v>
      </c>
      <c r="K823" t="n">
        <v>0</v>
      </c>
      <c r="L823" t="n">
        <v>0</v>
      </c>
      <c r="M823" t="n">
        <v>0</v>
      </c>
      <c r="N823" t="n">
        <v>0</v>
      </c>
      <c r="O823" t="n">
        <v>0</v>
      </c>
      <c r="P823" t="n">
        <v>0</v>
      </c>
      <c r="Q823" t="n">
        <v>0</v>
      </c>
      <c r="R823" s="2" t="inlineStr"/>
    </row>
    <row r="824" ht="15" customHeight="1">
      <c r="A824" t="inlineStr">
        <is>
          <t>A 1572-2024</t>
        </is>
      </c>
      <c r="B824" s="1" t="n">
        <v>45306</v>
      </c>
      <c r="C824" s="1" t="n">
        <v>45923</v>
      </c>
      <c r="D824" t="inlineStr">
        <is>
          <t>KALMAR LÄN</t>
        </is>
      </c>
      <c r="E824" t="inlineStr">
        <is>
          <t>VÄSTERVIK</t>
        </is>
      </c>
      <c r="G824" t="n">
        <v>4.4</v>
      </c>
      <c r="H824" t="n">
        <v>0</v>
      </c>
      <c r="I824" t="n">
        <v>0</v>
      </c>
      <c r="J824" t="n">
        <v>0</v>
      </c>
      <c r="K824" t="n">
        <v>0</v>
      </c>
      <c r="L824" t="n">
        <v>0</v>
      </c>
      <c r="M824" t="n">
        <v>0</v>
      </c>
      <c r="N824" t="n">
        <v>0</v>
      </c>
      <c r="O824" t="n">
        <v>0</v>
      </c>
      <c r="P824" t="n">
        <v>0</v>
      </c>
      <c r="Q824" t="n">
        <v>0</v>
      </c>
      <c r="R824" s="2" t="inlineStr"/>
    </row>
    <row r="825" ht="15" customHeight="1">
      <c r="A825" t="inlineStr">
        <is>
          <t>A 14092-2025</t>
        </is>
      </c>
      <c r="B825" s="1" t="n">
        <v>45740.44686342592</v>
      </c>
      <c r="C825" s="1" t="n">
        <v>45923</v>
      </c>
      <c r="D825" t="inlineStr">
        <is>
          <t>KALMAR LÄN</t>
        </is>
      </c>
      <c r="E825" t="inlineStr">
        <is>
          <t>VÄSTERVIK</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7934-2023</t>
        </is>
      </c>
      <c r="B826" s="1" t="n">
        <v>44973.65422453704</v>
      </c>
      <c r="C826" s="1" t="n">
        <v>45923</v>
      </c>
      <c r="D826" t="inlineStr">
        <is>
          <t>KALMAR LÄN</t>
        </is>
      </c>
      <c r="E826" t="inlineStr">
        <is>
          <t>VÄSTERVIK</t>
        </is>
      </c>
      <c r="G826" t="n">
        <v>4.1</v>
      </c>
      <c r="H826" t="n">
        <v>0</v>
      </c>
      <c r="I826" t="n">
        <v>0</v>
      </c>
      <c r="J826" t="n">
        <v>0</v>
      </c>
      <c r="K826" t="n">
        <v>0</v>
      </c>
      <c r="L826" t="n">
        <v>0</v>
      </c>
      <c r="M826" t="n">
        <v>0</v>
      </c>
      <c r="N826" t="n">
        <v>0</v>
      </c>
      <c r="O826" t="n">
        <v>0</v>
      </c>
      <c r="P826" t="n">
        <v>0</v>
      </c>
      <c r="Q826" t="n">
        <v>0</v>
      </c>
      <c r="R826" s="2" t="inlineStr"/>
    </row>
    <row r="827" ht="15" customHeight="1">
      <c r="A827" t="inlineStr">
        <is>
          <t>A 14072-2025</t>
        </is>
      </c>
      <c r="B827" s="1" t="n">
        <v>45740.42978009259</v>
      </c>
      <c r="C827" s="1" t="n">
        <v>45923</v>
      </c>
      <c r="D827" t="inlineStr">
        <is>
          <t>KALMAR LÄN</t>
        </is>
      </c>
      <c r="E827" t="inlineStr">
        <is>
          <t>VÄSTERVIK</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14075-2025</t>
        </is>
      </c>
      <c r="B828" s="1" t="n">
        <v>45740.43222222223</v>
      </c>
      <c r="C828" s="1" t="n">
        <v>45923</v>
      </c>
      <c r="D828" t="inlineStr">
        <is>
          <t>KALMAR LÄN</t>
        </is>
      </c>
      <c r="E828" t="inlineStr">
        <is>
          <t>VÄSTERVIK</t>
        </is>
      </c>
      <c r="F828" t="inlineStr">
        <is>
          <t>Sveaskog</t>
        </is>
      </c>
      <c r="G828" t="n">
        <v>4.6</v>
      </c>
      <c r="H828" t="n">
        <v>0</v>
      </c>
      <c r="I828" t="n">
        <v>0</v>
      </c>
      <c r="J828" t="n">
        <v>0</v>
      </c>
      <c r="K828" t="n">
        <v>0</v>
      </c>
      <c r="L828" t="n">
        <v>0</v>
      </c>
      <c r="M828" t="n">
        <v>0</v>
      </c>
      <c r="N828" t="n">
        <v>0</v>
      </c>
      <c r="O828" t="n">
        <v>0</v>
      </c>
      <c r="P828" t="n">
        <v>0</v>
      </c>
      <c r="Q828" t="n">
        <v>0</v>
      </c>
      <c r="R828" s="2" t="inlineStr"/>
    </row>
    <row r="829" ht="15" customHeight="1">
      <c r="A829" t="inlineStr">
        <is>
          <t>A 17314-2023</t>
        </is>
      </c>
      <c r="B829" s="1" t="n">
        <v>45035</v>
      </c>
      <c r="C829" s="1" t="n">
        <v>45923</v>
      </c>
      <c r="D829" t="inlineStr">
        <is>
          <t>KALMAR LÄN</t>
        </is>
      </c>
      <c r="E829" t="inlineStr">
        <is>
          <t>VÄSTERVIK</t>
        </is>
      </c>
      <c r="G829" t="n">
        <v>0.7</v>
      </c>
      <c r="H829" t="n">
        <v>0</v>
      </c>
      <c r="I829" t="n">
        <v>0</v>
      </c>
      <c r="J829" t="n">
        <v>0</v>
      </c>
      <c r="K829" t="n">
        <v>0</v>
      </c>
      <c r="L829" t="n">
        <v>0</v>
      </c>
      <c r="M829" t="n">
        <v>0</v>
      </c>
      <c r="N829" t="n">
        <v>0</v>
      </c>
      <c r="O829" t="n">
        <v>0</v>
      </c>
      <c r="P829" t="n">
        <v>0</v>
      </c>
      <c r="Q829" t="n">
        <v>0</v>
      </c>
      <c r="R829" s="2" t="inlineStr"/>
    </row>
    <row r="830" ht="15" customHeight="1">
      <c r="A830" t="inlineStr">
        <is>
          <t>A 8594-2023</t>
        </is>
      </c>
      <c r="B830" s="1" t="n">
        <v>44977</v>
      </c>
      <c r="C830" s="1" t="n">
        <v>45923</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28344-2024</t>
        </is>
      </c>
      <c r="B831" s="1" t="n">
        <v>45477.55280092593</v>
      </c>
      <c r="C831" s="1" t="n">
        <v>45923</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949-2024</t>
        </is>
      </c>
      <c r="B832" s="1" t="n">
        <v>45301</v>
      </c>
      <c r="C832" s="1" t="n">
        <v>45923</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29786-2024</t>
        </is>
      </c>
      <c r="B833" s="1" t="n">
        <v>45485.46388888889</v>
      </c>
      <c r="C833" s="1" t="n">
        <v>45923</v>
      </c>
      <c r="D833" t="inlineStr">
        <is>
          <t>KALMAR LÄN</t>
        </is>
      </c>
      <c r="E833" t="inlineStr">
        <is>
          <t>VÄSTERVIK</t>
        </is>
      </c>
      <c r="G833" t="n">
        <v>2.1</v>
      </c>
      <c r="H833" t="n">
        <v>0</v>
      </c>
      <c r="I833" t="n">
        <v>0</v>
      </c>
      <c r="J833" t="n">
        <v>0</v>
      </c>
      <c r="K833" t="n">
        <v>0</v>
      </c>
      <c r="L833" t="n">
        <v>0</v>
      </c>
      <c r="M833" t="n">
        <v>0</v>
      </c>
      <c r="N833" t="n">
        <v>0</v>
      </c>
      <c r="O833" t="n">
        <v>0</v>
      </c>
      <c r="P833" t="n">
        <v>0</v>
      </c>
      <c r="Q833" t="n">
        <v>0</v>
      </c>
      <c r="R833" s="2" t="inlineStr"/>
    </row>
    <row r="834" ht="15" customHeight="1">
      <c r="A834" t="inlineStr">
        <is>
          <t>A 42746-2024</t>
        </is>
      </c>
      <c r="B834" s="1" t="n">
        <v>45566.48361111111</v>
      </c>
      <c r="C834" s="1" t="n">
        <v>45923</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61529-2022</t>
        </is>
      </c>
      <c r="B835" s="1" t="n">
        <v>44910</v>
      </c>
      <c r="C835" s="1" t="n">
        <v>45923</v>
      </c>
      <c r="D835" t="inlineStr">
        <is>
          <t>KALMAR LÄN</t>
        </is>
      </c>
      <c r="E835" t="inlineStr">
        <is>
          <t>VÄSTERVIK</t>
        </is>
      </c>
      <c r="G835" t="n">
        <v>6.5</v>
      </c>
      <c r="H835" t="n">
        <v>0</v>
      </c>
      <c r="I835" t="n">
        <v>0</v>
      </c>
      <c r="J835" t="n">
        <v>0</v>
      </c>
      <c r="K835" t="n">
        <v>0</v>
      </c>
      <c r="L835" t="n">
        <v>0</v>
      </c>
      <c r="M835" t="n">
        <v>0</v>
      </c>
      <c r="N835" t="n">
        <v>0</v>
      </c>
      <c r="O835" t="n">
        <v>0</v>
      </c>
      <c r="P835" t="n">
        <v>0</v>
      </c>
      <c r="Q835" t="n">
        <v>0</v>
      </c>
      <c r="R835" s="2" t="inlineStr"/>
    </row>
    <row r="836" ht="15" customHeight="1">
      <c r="A836" t="inlineStr">
        <is>
          <t>A 53259-2021</t>
        </is>
      </c>
      <c r="B836" s="1" t="n">
        <v>44468.47153935185</v>
      </c>
      <c r="C836" s="1" t="n">
        <v>45923</v>
      </c>
      <c r="D836" t="inlineStr">
        <is>
          <t>KALMAR LÄN</t>
        </is>
      </c>
      <c r="E836" t="inlineStr">
        <is>
          <t>VÄSTERVIK</t>
        </is>
      </c>
      <c r="G836" t="n">
        <v>2.8</v>
      </c>
      <c r="H836" t="n">
        <v>0</v>
      </c>
      <c r="I836" t="n">
        <v>0</v>
      </c>
      <c r="J836" t="n">
        <v>0</v>
      </c>
      <c r="K836" t="n">
        <v>0</v>
      </c>
      <c r="L836" t="n">
        <v>0</v>
      </c>
      <c r="M836" t="n">
        <v>0</v>
      </c>
      <c r="N836" t="n">
        <v>0</v>
      </c>
      <c r="O836" t="n">
        <v>0</v>
      </c>
      <c r="P836" t="n">
        <v>0</v>
      </c>
      <c r="Q836" t="n">
        <v>0</v>
      </c>
      <c r="R836" s="2" t="inlineStr"/>
    </row>
    <row r="837" ht="15" customHeight="1">
      <c r="A837" t="inlineStr">
        <is>
          <t>A 10116-2022</t>
        </is>
      </c>
      <c r="B837" s="1" t="n">
        <v>44621</v>
      </c>
      <c r="C837" s="1" t="n">
        <v>45923</v>
      </c>
      <c r="D837" t="inlineStr">
        <is>
          <t>KALMAR LÄN</t>
        </is>
      </c>
      <c r="E837" t="inlineStr">
        <is>
          <t>VÄSTERVIK</t>
        </is>
      </c>
      <c r="G837" t="n">
        <v>1.6</v>
      </c>
      <c r="H837" t="n">
        <v>0</v>
      </c>
      <c r="I837" t="n">
        <v>0</v>
      </c>
      <c r="J837" t="n">
        <v>0</v>
      </c>
      <c r="K837" t="n">
        <v>0</v>
      </c>
      <c r="L837" t="n">
        <v>0</v>
      </c>
      <c r="M837" t="n">
        <v>0</v>
      </c>
      <c r="N837" t="n">
        <v>0</v>
      </c>
      <c r="O837" t="n">
        <v>0</v>
      </c>
      <c r="P837" t="n">
        <v>0</v>
      </c>
      <c r="Q837" t="n">
        <v>0</v>
      </c>
      <c r="R837" s="2" t="inlineStr"/>
    </row>
    <row r="838" ht="15" customHeight="1">
      <c r="A838" t="inlineStr">
        <is>
          <t>A 39278-2024</t>
        </is>
      </c>
      <c r="B838" s="1" t="n">
        <v>45551.35216435185</v>
      </c>
      <c r="C838" s="1" t="n">
        <v>45923</v>
      </c>
      <c r="D838" t="inlineStr">
        <is>
          <t>KALMAR LÄN</t>
        </is>
      </c>
      <c r="E838" t="inlineStr">
        <is>
          <t>VÄSTERVIK</t>
        </is>
      </c>
      <c r="G838" t="n">
        <v>2.9</v>
      </c>
      <c r="H838" t="n">
        <v>0</v>
      </c>
      <c r="I838" t="n">
        <v>0</v>
      </c>
      <c r="J838" t="n">
        <v>0</v>
      </c>
      <c r="K838" t="n">
        <v>0</v>
      </c>
      <c r="L838" t="n">
        <v>0</v>
      </c>
      <c r="M838" t="n">
        <v>0</v>
      </c>
      <c r="N838" t="n">
        <v>0</v>
      </c>
      <c r="O838" t="n">
        <v>0</v>
      </c>
      <c r="P838" t="n">
        <v>0</v>
      </c>
      <c r="Q838" t="n">
        <v>0</v>
      </c>
      <c r="R838" s="2" t="inlineStr"/>
    </row>
    <row r="839" ht="15" customHeight="1">
      <c r="A839" t="inlineStr">
        <is>
          <t>A 9973-2025</t>
        </is>
      </c>
      <c r="B839" s="1" t="n">
        <v>45719.38739583334</v>
      </c>
      <c r="C839" s="1" t="n">
        <v>45923</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21015-2025</t>
        </is>
      </c>
      <c r="B840" s="1" t="n">
        <v>45777.50200231482</v>
      </c>
      <c r="C840" s="1" t="n">
        <v>45923</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54629-2024</t>
        </is>
      </c>
      <c r="B841" s="1" t="n">
        <v>45617.85399305556</v>
      </c>
      <c r="C841" s="1" t="n">
        <v>45923</v>
      </c>
      <c r="D841" t="inlineStr">
        <is>
          <t>KALMAR LÄN</t>
        </is>
      </c>
      <c r="E841" t="inlineStr">
        <is>
          <t>VÄSTERVIK</t>
        </is>
      </c>
      <c r="F841" t="inlineStr">
        <is>
          <t>Sveaskog</t>
        </is>
      </c>
      <c r="G841" t="n">
        <v>6.7</v>
      </c>
      <c r="H841" t="n">
        <v>0</v>
      </c>
      <c r="I841" t="n">
        <v>0</v>
      </c>
      <c r="J841" t="n">
        <v>0</v>
      </c>
      <c r="K841" t="n">
        <v>0</v>
      </c>
      <c r="L841" t="n">
        <v>0</v>
      </c>
      <c r="M841" t="n">
        <v>0</v>
      </c>
      <c r="N841" t="n">
        <v>0</v>
      </c>
      <c r="O841" t="n">
        <v>0</v>
      </c>
      <c r="P841" t="n">
        <v>0</v>
      </c>
      <c r="Q841" t="n">
        <v>0</v>
      </c>
      <c r="R841" s="2" t="inlineStr"/>
    </row>
    <row r="842" ht="15" customHeight="1">
      <c r="A842" t="inlineStr">
        <is>
          <t>A 29557-2024</t>
        </is>
      </c>
      <c r="B842" s="1" t="n">
        <v>45484.52023148148</v>
      </c>
      <c r="C842" s="1" t="n">
        <v>45923</v>
      </c>
      <c r="D842" t="inlineStr">
        <is>
          <t>KALMAR LÄN</t>
        </is>
      </c>
      <c r="E842" t="inlineStr">
        <is>
          <t>VÄSTERVIK</t>
        </is>
      </c>
      <c r="G842" t="n">
        <v>5.9</v>
      </c>
      <c r="H842" t="n">
        <v>0</v>
      </c>
      <c r="I842" t="n">
        <v>0</v>
      </c>
      <c r="J842" t="n">
        <v>0</v>
      </c>
      <c r="K842" t="n">
        <v>0</v>
      </c>
      <c r="L842" t="n">
        <v>0</v>
      </c>
      <c r="M842" t="n">
        <v>0</v>
      </c>
      <c r="N842" t="n">
        <v>0</v>
      </c>
      <c r="O842" t="n">
        <v>0</v>
      </c>
      <c r="P842" t="n">
        <v>0</v>
      </c>
      <c r="Q842" t="n">
        <v>0</v>
      </c>
      <c r="R842" s="2" t="inlineStr"/>
    </row>
    <row r="843" ht="15" customHeight="1">
      <c r="A843" t="inlineStr">
        <is>
          <t>A 21503-2025</t>
        </is>
      </c>
      <c r="B843" s="1" t="n">
        <v>45782.61456018518</v>
      </c>
      <c r="C843" s="1" t="n">
        <v>45923</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8382-2023</t>
        </is>
      </c>
      <c r="B844" s="1" t="n">
        <v>44977.40112268519</v>
      </c>
      <c r="C844" s="1" t="n">
        <v>45923</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35959-2023</t>
        </is>
      </c>
      <c r="B845" s="1" t="n">
        <v>45148.84875</v>
      </c>
      <c r="C845" s="1" t="n">
        <v>45923</v>
      </c>
      <c r="D845" t="inlineStr">
        <is>
          <t>KALMAR LÄN</t>
        </is>
      </c>
      <c r="E845" t="inlineStr">
        <is>
          <t>VÄSTERVIK</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4461-2025</t>
        </is>
      </c>
      <c r="B846" s="1" t="n">
        <v>45686</v>
      </c>
      <c r="C846" s="1" t="n">
        <v>45923</v>
      </c>
      <c r="D846" t="inlineStr">
        <is>
          <t>KALMAR LÄN</t>
        </is>
      </c>
      <c r="E846" t="inlineStr">
        <is>
          <t>VÄSTERVIK</t>
        </is>
      </c>
      <c r="G846" t="n">
        <v>0.8</v>
      </c>
      <c r="H846" t="n">
        <v>0</v>
      </c>
      <c r="I846" t="n">
        <v>0</v>
      </c>
      <c r="J846" t="n">
        <v>0</v>
      </c>
      <c r="K846" t="n">
        <v>0</v>
      </c>
      <c r="L846" t="n">
        <v>0</v>
      </c>
      <c r="M846" t="n">
        <v>0</v>
      </c>
      <c r="N846" t="n">
        <v>0</v>
      </c>
      <c r="O846" t="n">
        <v>0</v>
      </c>
      <c r="P846" t="n">
        <v>0</v>
      </c>
      <c r="Q846" t="n">
        <v>0</v>
      </c>
      <c r="R846" s="2" t="inlineStr"/>
      <c r="U846">
        <f>HYPERLINK("https://klasma.github.io/Logging_0883/knärot/A 4461-2025 karta knärot.png", "A 4461-2025")</f>
        <v/>
      </c>
      <c r="V846">
        <f>HYPERLINK("https://klasma.github.io/Logging_0883/klagomål/A 4461-2025 FSC-klagomål.docx", "A 4461-2025")</f>
        <v/>
      </c>
      <c r="W846">
        <f>HYPERLINK("https://klasma.github.io/Logging_0883/klagomålsmail/A 4461-2025 FSC-klagomål mail.docx", "A 4461-2025")</f>
        <v/>
      </c>
      <c r="X846">
        <f>HYPERLINK("https://klasma.github.io/Logging_0883/tillsyn/A 4461-2025 tillsynsbegäran.docx", "A 4461-2025")</f>
        <v/>
      </c>
      <c r="Y846">
        <f>HYPERLINK("https://klasma.github.io/Logging_0883/tillsynsmail/A 4461-2025 tillsynsbegäran mail.docx", "A 4461-2025")</f>
        <v/>
      </c>
    </row>
    <row r="847" ht="15" customHeight="1">
      <c r="A847" t="inlineStr">
        <is>
          <t>A 60685-2024</t>
        </is>
      </c>
      <c r="B847" s="1" t="n">
        <v>45644.46804398148</v>
      </c>
      <c r="C847" s="1" t="n">
        <v>45923</v>
      </c>
      <c r="D847" t="inlineStr">
        <is>
          <t>KALMAR LÄN</t>
        </is>
      </c>
      <c r="E847" t="inlineStr">
        <is>
          <t>VÄSTERVIK</t>
        </is>
      </c>
      <c r="F847" t="inlineStr">
        <is>
          <t>Holmen skog AB</t>
        </is>
      </c>
      <c r="G847" t="n">
        <v>1</v>
      </c>
      <c r="H847" t="n">
        <v>0</v>
      </c>
      <c r="I847" t="n">
        <v>0</v>
      </c>
      <c r="J847" t="n">
        <v>0</v>
      </c>
      <c r="K847" t="n">
        <v>0</v>
      </c>
      <c r="L847" t="n">
        <v>0</v>
      </c>
      <c r="M847" t="n">
        <v>0</v>
      </c>
      <c r="N847" t="n">
        <v>0</v>
      </c>
      <c r="O847" t="n">
        <v>0</v>
      </c>
      <c r="P847" t="n">
        <v>0</v>
      </c>
      <c r="Q847" t="n">
        <v>0</v>
      </c>
      <c r="R847" s="2" t="inlineStr"/>
    </row>
    <row r="848" ht="15" customHeight="1">
      <c r="A848" t="inlineStr">
        <is>
          <t>A 21657-2025</t>
        </is>
      </c>
      <c r="B848" s="1" t="n">
        <v>45783.45325231482</v>
      </c>
      <c r="C848" s="1" t="n">
        <v>45923</v>
      </c>
      <c r="D848" t="inlineStr">
        <is>
          <t>KALMAR LÄN</t>
        </is>
      </c>
      <c r="E848" t="inlineStr">
        <is>
          <t>VÄSTERVIK</t>
        </is>
      </c>
      <c r="F848" t="inlineStr">
        <is>
          <t>Sveaskog</t>
        </is>
      </c>
      <c r="G848" t="n">
        <v>5.8</v>
      </c>
      <c r="H848" t="n">
        <v>0</v>
      </c>
      <c r="I848" t="n">
        <v>0</v>
      </c>
      <c r="J848" t="n">
        <v>0</v>
      </c>
      <c r="K848" t="n">
        <v>0</v>
      </c>
      <c r="L848" t="n">
        <v>0</v>
      </c>
      <c r="M848" t="n">
        <v>0</v>
      </c>
      <c r="N848" t="n">
        <v>0</v>
      </c>
      <c r="O848" t="n">
        <v>0</v>
      </c>
      <c r="P848" t="n">
        <v>0</v>
      </c>
      <c r="Q848" t="n">
        <v>0</v>
      </c>
      <c r="R848" s="2" t="inlineStr"/>
    </row>
    <row r="849" ht="15" customHeight="1">
      <c r="A849" t="inlineStr">
        <is>
          <t>A 33814-2023</t>
        </is>
      </c>
      <c r="B849" s="1" t="n">
        <v>45133.59230324074</v>
      </c>
      <c r="C849" s="1" t="n">
        <v>45923</v>
      </c>
      <c r="D849" t="inlineStr">
        <is>
          <t>KALMAR LÄN</t>
        </is>
      </c>
      <c r="E849" t="inlineStr">
        <is>
          <t>VÄSTERVIK</t>
        </is>
      </c>
      <c r="G849" t="n">
        <v>3.9</v>
      </c>
      <c r="H849" t="n">
        <v>0</v>
      </c>
      <c r="I849" t="n">
        <v>0</v>
      </c>
      <c r="J849" t="n">
        <v>0</v>
      </c>
      <c r="K849" t="n">
        <v>0</v>
      </c>
      <c r="L849" t="n">
        <v>0</v>
      </c>
      <c r="M849" t="n">
        <v>0</v>
      </c>
      <c r="N849" t="n">
        <v>0</v>
      </c>
      <c r="O849" t="n">
        <v>0</v>
      </c>
      <c r="P849" t="n">
        <v>0</v>
      </c>
      <c r="Q849" t="n">
        <v>0</v>
      </c>
      <c r="R849" s="2" t="inlineStr"/>
    </row>
    <row r="850" ht="15" customHeight="1">
      <c r="A850" t="inlineStr">
        <is>
          <t>A 21991-2025</t>
        </is>
      </c>
      <c r="B850" s="1" t="n">
        <v>45784.6615625</v>
      </c>
      <c r="C850" s="1" t="n">
        <v>45923</v>
      </c>
      <c r="D850" t="inlineStr">
        <is>
          <t>KALMAR LÄN</t>
        </is>
      </c>
      <c r="E850" t="inlineStr">
        <is>
          <t>VÄSTERVIK</t>
        </is>
      </c>
      <c r="G850" t="n">
        <v>0.8</v>
      </c>
      <c r="H850" t="n">
        <v>0</v>
      </c>
      <c r="I850" t="n">
        <v>0</v>
      </c>
      <c r="J850" t="n">
        <v>0</v>
      </c>
      <c r="K850" t="n">
        <v>0</v>
      </c>
      <c r="L850" t="n">
        <v>0</v>
      </c>
      <c r="M850" t="n">
        <v>0</v>
      </c>
      <c r="N850" t="n">
        <v>0</v>
      </c>
      <c r="O850" t="n">
        <v>0</v>
      </c>
      <c r="P850" t="n">
        <v>0</v>
      </c>
      <c r="Q850" t="n">
        <v>0</v>
      </c>
      <c r="R850" s="2" t="inlineStr"/>
    </row>
    <row r="851" ht="15" customHeight="1">
      <c r="A851" t="inlineStr">
        <is>
          <t>A 1787-2025</t>
        </is>
      </c>
      <c r="B851" s="1" t="n">
        <v>45671.45357638889</v>
      </c>
      <c r="C851" s="1" t="n">
        <v>45923</v>
      </c>
      <c r="D851" t="inlineStr">
        <is>
          <t>KALMAR LÄN</t>
        </is>
      </c>
      <c r="E851" t="inlineStr">
        <is>
          <t>VÄSTERVIK</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40674-2023</t>
        </is>
      </c>
      <c r="B852" s="1" t="n">
        <v>45170.59288194445</v>
      </c>
      <c r="C852" s="1" t="n">
        <v>45923</v>
      </c>
      <c r="D852" t="inlineStr">
        <is>
          <t>KALMAR LÄN</t>
        </is>
      </c>
      <c r="E852" t="inlineStr">
        <is>
          <t>VÄSTERVIK</t>
        </is>
      </c>
      <c r="G852" t="n">
        <v>4.2</v>
      </c>
      <c r="H852" t="n">
        <v>0</v>
      </c>
      <c r="I852" t="n">
        <v>0</v>
      </c>
      <c r="J852" t="n">
        <v>0</v>
      </c>
      <c r="K852" t="n">
        <v>0</v>
      </c>
      <c r="L852" t="n">
        <v>0</v>
      </c>
      <c r="M852" t="n">
        <v>0</v>
      </c>
      <c r="N852" t="n">
        <v>0</v>
      </c>
      <c r="O852" t="n">
        <v>0</v>
      </c>
      <c r="P852" t="n">
        <v>0</v>
      </c>
      <c r="Q852" t="n">
        <v>0</v>
      </c>
      <c r="R852" s="2" t="inlineStr"/>
    </row>
    <row r="853" ht="15" customHeight="1">
      <c r="A853" t="inlineStr">
        <is>
          <t>A 40677-2023</t>
        </is>
      </c>
      <c r="B853" s="1" t="n">
        <v>45170.59443287037</v>
      </c>
      <c r="C853" s="1" t="n">
        <v>45923</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57688-2024</t>
        </is>
      </c>
      <c r="B854" s="1" t="n">
        <v>45630.65180555556</v>
      </c>
      <c r="C854" s="1" t="n">
        <v>45923</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5923-2024</t>
        </is>
      </c>
      <c r="B855" s="1" t="n">
        <v>45335</v>
      </c>
      <c r="C855" s="1" t="n">
        <v>45923</v>
      </c>
      <c r="D855" t="inlineStr">
        <is>
          <t>KALMAR LÄN</t>
        </is>
      </c>
      <c r="E855" t="inlineStr">
        <is>
          <t>VÄSTERVIK</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21661-2025</t>
        </is>
      </c>
      <c r="B856" s="1" t="n">
        <v>45783.45644675926</v>
      </c>
      <c r="C856" s="1" t="n">
        <v>45923</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55359-2024</t>
        </is>
      </c>
      <c r="B857" s="1" t="n">
        <v>45621.82230324074</v>
      </c>
      <c r="C857" s="1" t="n">
        <v>45923</v>
      </c>
      <c r="D857" t="inlineStr">
        <is>
          <t>KALMAR LÄN</t>
        </is>
      </c>
      <c r="E857" t="inlineStr">
        <is>
          <t>VÄSTERVIK</t>
        </is>
      </c>
      <c r="F857" t="inlineStr">
        <is>
          <t>Sveaskog</t>
        </is>
      </c>
      <c r="G857" t="n">
        <v>6.8</v>
      </c>
      <c r="H857" t="n">
        <v>0</v>
      </c>
      <c r="I857" t="n">
        <v>0</v>
      </c>
      <c r="J857" t="n">
        <v>0</v>
      </c>
      <c r="K857" t="n">
        <v>0</v>
      </c>
      <c r="L857" t="n">
        <v>0</v>
      </c>
      <c r="M857" t="n">
        <v>0</v>
      </c>
      <c r="N857" t="n">
        <v>0</v>
      </c>
      <c r="O857" t="n">
        <v>0</v>
      </c>
      <c r="P857" t="n">
        <v>0</v>
      </c>
      <c r="Q857" t="n">
        <v>0</v>
      </c>
      <c r="R857" s="2" t="inlineStr"/>
    </row>
    <row r="858" ht="15" customHeight="1">
      <c r="A858" t="inlineStr">
        <is>
          <t>A 8402-2025</t>
        </is>
      </c>
      <c r="B858" s="1" t="n">
        <v>45709.38065972222</v>
      </c>
      <c r="C858" s="1" t="n">
        <v>45923</v>
      </c>
      <c r="D858" t="inlineStr">
        <is>
          <t>KALMAR LÄN</t>
        </is>
      </c>
      <c r="E858" t="inlineStr">
        <is>
          <t>VÄSTERVIK</t>
        </is>
      </c>
      <c r="G858" t="n">
        <v>4.3</v>
      </c>
      <c r="H858" t="n">
        <v>0</v>
      </c>
      <c r="I858" t="n">
        <v>0</v>
      </c>
      <c r="J858" t="n">
        <v>0</v>
      </c>
      <c r="K858" t="n">
        <v>0</v>
      </c>
      <c r="L858" t="n">
        <v>0</v>
      </c>
      <c r="M858" t="n">
        <v>0</v>
      </c>
      <c r="N858" t="n">
        <v>0</v>
      </c>
      <c r="O858" t="n">
        <v>0</v>
      </c>
      <c r="P858" t="n">
        <v>0</v>
      </c>
      <c r="Q858" t="n">
        <v>0</v>
      </c>
      <c r="R858" s="2" t="inlineStr"/>
    </row>
    <row r="859" ht="15" customHeight="1">
      <c r="A859" t="inlineStr">
        <is>
          <t>A 9263-2025</t>
        </is>
      </c>
      <c r="B859" s="1" t="n">
        <v>45714.60927083333</v>
      </c>
      <c r="C859" s="1" t="n">
        <v>45923</v>
      </c>
      <c r="D859" t="inlineStr">
        <is>
          <t>KALMAR LÄN</t>
        </is>
      </c>
      <c r="E859" t="inlineStr">
        <is>
          <t>VÄSTERVIK</t>
        </is>
      </c>
      <c r="F859" t="inlineStr">
        <is>
          <t>Sveaskog</t>
        </is>
      </c>
      <c r="G859" t="n">
        <v>5.2</v>
      </c>
      <c r="H859" t="n">
        <v>0</v>
      </c>
      <c r="I859" t="n">
        <v>0</v>
      </c>
      <c r="J859" t="n">
        <v>0</v>
      </c>
      <c r="K859" t="n">
        <v>0</v>
      </c>
      <c r="L859" t="n">
        <v>0</v>
      </c>
      <c r="M859" t="n">
        <v>0</v>
      </c>
      <c r="N859" t="n">
        <v>0</v>
      </c>
      <c r="O859" t="n">
        <v>0</v>
      </c>
      <c r="P859" t="n">
        <v>0</v>
      </c>
      <c r="Q859" t="n">
        <v>0</v>
      </c>
      <c r="R859" s="2" t="inlineStr"/>
    </row>
    <row r="860" ht="15" customHeight="1">
      <c r="A860" t="inlineStr">
        <is>
          <t>A 28037-2024</t>
        </is>
      </c>
      <c r="B860" s="1" t="n">
        <v>45476</v>
      </c>
      <c r="C860" s="1" t="n">
        <v>45923</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38045-2023</t>
        </is>
      </c>
      <c r="B861" s="1" t="n">
        <v>45160.67251157408</v>
      </c>
      <c r="C861" s="1" t="n">
        <v>45923</v>
      </c>
      <c r="D861" t="inlineStr">
        <is>
          <t>KALMAR LÄN</t>
        </is>
      </c>
      <c r="E861" t="inlineStr">
        <is>
          <t>VÄSTERVIK</t>
        </is>
      </c>
      <c r="F861" t="inlineStr">
        <is>
          <t>Sveaskog</t>
        </is>
      </c>
      <c r="G861" t="n">
        <v>7.9</v>
      </c>
      <c r="H861" t="n">
        <v>0</v>
      </c>
      <c r="I861" t="n">
        <v>0</v>
      </c>
      <c r="J861" t="n">
        <v>0</v>
      </c>
      <c r="K861" t="n">
        <v>0</v>
      </c>
      <c r="L861" t="n">
        <v>0</v>
      </c>
      <c r="M861" t="n">
        <v>0</v>
      </c>
      <c r="N861" t="n">
        <v>0</v>
      </c>
      <c r="O861" t="n">
        <v>0</v>
      </c>
      <c r="P861" t="n">
        <v>0</v>
      </c>
      <c r="Q861" t="n">
        <v>0</v>
      </c>
      <c r="R861" s="2" t="inlineStr"/>
    </row>
    <row r="862" ht="15" customHeight="1">
      <c r="A862" t="inlineStr">
        <is>
          <t>A 6731-2024</t>
        </is>
      </c>
      <c r="B862" s="1" t="n">
        <v>45342.38787037037</v>
      </c>
      <c r="C862" s="1" t="n">
        <v>45923</v>
      </c>
      <c r="D862" t="inlineStr">
        <is>
          <t>KALMAR LÄN</t>
        </is>
      </c>
      <c r="E862" t="inlineStr">
        <is>
          <t>VÄSTERVIK</t>
        </is>
      </c>
      <c r="F862" t="inlineStr">
        <is>
          <t>Holmen skog AB</t>
        </is>
      </c>
      <c r="G862" t="n">
        <v>6.7</v>
      </c>
      <c r="H862" t="n">
        <v>0</v>
      </c>
      <c r="I862" t="n">
        <v>0</v>
      </c>
      <c r="J862" t="n">
        <v>0</v>
      </c>
      <c r="K862" t="n">
        <v>0</v>
      </c>
      <c r="L862" t="n">
        <v>0</v>
      </c>
      <c r="M862" t="n">
        <v>0</v>
      </c>
      <c r="N862" t="n">
        <v>0</v>
      </c>
      <c r="O862" t="n">
        <v>0</v>
      </c>
      <c r="P862" t="n">
        <v>0</v>
      </c>
      <c r="Q862" t="n">
        <v>0</v>
      </c>
      <c r="R862" s="2" t="inlineStr"/>
    </row>
    <row r="863" ht="15" customHeight="1">
      <c r="A863" t="inlineStr">
        <is>
          <t>A 36555-2024</t>
        </is>
      </c>
      <c r="B863" s="1" t="n">
        <v>45537</v>
      </c>
      <c r="C863" s="1" t="n">
        <v>45923</v>
      </c>
      <c r="D863" t="inlineStr">
        <is>
          <t>KALMAR LÄN</t>
        </is>
      </c>
      <c r="E863" t="inlineStr">
        <is>
          <t>VÄSTERVIK</t>
        </is>
      </c>
      <c r="F863" t="inlineStr">
        <is>
          <t>Kommuner</t>
        </is>
      </c>
      <c r="G863" t="n">
        <v>0.8</v>
      </c>
      <c r="H863" t="n">
        <v>0</v>
      </c>
      <c r="I863" t="n">
        <v>0</v>
      </c>
      <c r="J863" t="n">
        <v>0</v>
      </c>
      <c r="K863" t="n">
        <v>0</v>
      </c>
      <c r="L863" t="n">
        <v>0</v>
      </c>
      <c r="M863" t="n">
        <v>0</v>
      </c>
      <c r="N863" t="n">
        <v>0</v>
      </c>
      <c r="O863" t="n">
        <v>0</v>
      </c>
      <c r="P863" t="n">
        <v>0</v>
      </c>
      <c r="Q863" t="n">
        <v>0</v>
      </c>
      <c r="R863" s="2" t="inlineStr"/>
    </row>
    <row r="864" ht="15" customHeight="1">
      <c r="A864" t="inlineStr">
        <is>
          <t>A 56377-2024</t>
        </is>
      </c>
      <c r="B864" s="1" t="n">
        <v>45625.33342592593</v>
      </c>
      <c r="C864" s="1" t="n">
        <v>45923</v>
      </c>
      <c r="D864" t="inlineStr">
        <is>
          <t>KALMAR LÄN</t>
        </is>
      </c>
      <c r="E864" t="inlineStr">
        <is>
          <t>VÄSTERVIK</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51496-2024</t>
        </is>
      </c>
      <c r="B865" s="1" t="n">
        <v>45604.54060185186</v>
      </c>
      <c r="C865" s="1" t="n">
        <v>45923</v>
      </c>
      <c r="D865" t="inlineStr">
        <is>
          <t>KALMAR LÄN</t>
        </is>
      </c>
      <c r="E865" t="inlineStr">
        <is>
          <t>VÄSTERVIK</t>
        </is>
      </c>
      <c r="F865" t="inlineStr">
        <is>
          <t>Övriga Aktiebolag</t>
        </is>
      </c>
      <c r="G865" t="n">
        <v>4.6</v>
      </c>
      <c r="H865" t="n">
        <v>0</v>
      </c>
      <c r="I865" t="n">
        <v>0</v>
      </c>
      <c r="J865" t="n">
        <v>0</v>
      </c>
      <c r="K865" t="n">
        <v>0</v>
      </c>
      <c r="L865" t="n">
        <v>0</v>
      </c>
      <c r="M865" t="n">
        <v>0</v>
      </c>
      <c r="N865" t="n">
        <v>0</v>
      </c>
      <c r="O865" t="n">
        <v>0</v>
      </c>
      <c r="P865" t="n">
        <v>0</v>
      </c>
      <c r="Q865" t="n">
        <v>0</v>
      </c>
      <c r="R865" s="2" t="inlineStr"/>
    </row>
    <row r="866" ht="15" customHeight="1">
      <c r="A866" t="inlineStr">
        <is>
          <t>A 55361-2024</t>
        </is>
      </c>
      <c r="B866" s="1" t="n">
        <v>45621.83300925926</v>
      </c>
      <c r="C866" s="1" t="n">
        <v>45923</v>
      </c>
      <c r="D866" t="inlineStr">
        <is>
          <t>KALMAR LÄN</t>
        </is>
      </c>
      <c r="E866" t="inlineStr">
        <is>
          <t>VÄSTERVIK</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55362-2024</t>
        </is>
      </c>
      <c r="B867" s="1" t="n">
        <v>45621.83461805555</v>
      </c>
      <c r="C867" s="1" t="n">
        <v>45923</v>
      </c>
      <c r="D867" t="inlineStr">
        <is>
          <t>KALMAR LÄN</t>
        </is>
      </c>
      <c r="E867" t="inlineStr">
        <is>
          <t>VÄSTERVIK</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6406-2024</t>
        </is>
      </c>
      <c r="B868" s="1" t="n">
        <v>45338</v>
      </c>
      <c r="C868" s="1" t="n">
        <v>45923</v>
      </c>
      <c r="D868" t="inlineStr">
        <is>
          <t>KALMAR LÄN</t>
        </is>
      </c>
      <c r="E868" t="inlineStr">
        <is>
          <t>VÄSTERVIK</t>
        </is>
      </c>
      <c r="G868" t="n">
        <v>5.5</v>
      </c>
      <c r="H868" t="n">
        <v>0</v>
      </c>
      <c r="I868" t="n">
        <v>0</v>
      </c>
      <c r="J868" t="n">
        <v>0</v>
      </c>
      <c r="K868" t="n">
        <v>0</v>
      </c>
      <c r="L868" t="n">
        <v>0</v>
      </c>
      <c r="M868" t="n">
        <v>0</v>
      </c>
      <c r="N868" t="n">
        <v>0</v>
      </c>
      <c r="O868" t="n">
        <v>0</v>
      </c>
      <c r="P868" t="n">
        <v>0</v>
      </c>
      <c r="Q868" t="n">
        <v>0</v>
      </c>
      <c r="R868" s="2" t="inlineStr"/>
      <c r="U868">
        <f>HYPERLINK("https://klasma.github.io/Logging_0883/knärot/A 6406-2024 karta knärot.png", "A 6406-2024")</f>
        <v/>
      </c>
      <c r="V868">
        <f>HYPERLINK("https://klasma.github.io/Logging_0883/klagomål/A 6406-2024 FSC-klagomål.docx", "A 6406-2024")</f>
        <v/>
      </c>
      <c r="W868">
        <f>HYPERLINK("https://klasma.github.io/Logging_0883/klagomålsmail/A 6406-2024 FSC-klagomål mail.docx", "A 6406-2024")</f>
        <v/>
      </c>
      <c r="X868">
        <f>HYPERLINK("https://klasma.github.io/Logging_0883/tillsyn/A 6406-2024 tillsynsbegäran.docx", "A 6406-2024")</f>
        <v/>
      </c>
      <c r="Y868">
        <f>HYPERLINK("https://klasma.github.io/Logging_0883/tillsynsmail/A 6406-2024 tillsynsbegäran mail.docx", "A 6406-2024")</f>
        <v/>
      </c>
    </row>
    <row r="869" ht="15" customHeight="1">
      <c r="A869" t="inlineStr">
        <is>
          <t>A 3041-2025</t>
        </is>
      </c>
      <c r="B869" s="1" t="n">
        <v>45678.60493055556</v>
      </c>
      <c r="C869" s="1" t="n">
        <v>45923</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c r="U869">
        <f>HYPERLINK("https://klasma.github.io/Logging_0883/knärot/A 3041-2025 karta knärot.png", "A 3041-2025")</f>
        <v/>
      </c>
      <c r="V869">
        <f>HYPERLINK("https://klasma.github.io/Logging_0883/klagomål/A 3041-2025 FSC-klagomål.docx", "A 3041-2025")</f>
        <v/>
      </c>
      <c r="W869">
        <f>HYPERLINK("https://klasma.github.io/Logging_0883/klagomålsmail/A 3041-2025 FSC-klagomål mail.docx", "A 3041-2025")</f>
        <v/>
      </c>
      <c r="X869">
        <f>HYPERLINK("https://klasma.github.io/Logging_0883/tillsyn/A 3041-2025 tillsynsbegäran.docx", "A 3041-2025")</f>
        <v/>
      </c>
      <c r="Y869">
        <f>HYPERLINK("https://klasma.github.io/Logging_0883/tillsynsmail/A 3041-2025 tillsynsbegäran mail.docx", "A 3041-2025")</f>
        <v/>
      </c>
    </row>
    <row r="870" ht="15" customHeight="1">
      <c r="A870" t="inlineStr">
        <is>
          <t>A 22891-2025</t>
        </is>
      </c>
      <c r="B870" s="1" t="n">
        <v>45790.39267361111</v>
      </c>
      <c r="C870" s="1" t="n">
        <v>45923</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2360-2025</t>
        </is>
      </c>
      <c r="B871" s="1" t="n">
        <v>45673.69037037037</v>
      </c>
      <c r="C871" s="1" t="n">
        <v>45923</v>
      </c>
      <c r="D871" t="inlineStr">
        <is>
          <t>KALMAR LÄN</t>
        </is>
      </c>
      <c r="E871" t="inlineStr">
        <is>
          <t>VÄSTERVIK</t>
        </is>
      </c>
      <c r="G871" t="n">
        <v>3</v>
      </c>
      <c r="H871" t="n">
        <v>0</v>
      </c>
      <c r="I871" t="n">
        <v>0</v>
      </c>
      <c r="J871" t="n">
        <v>0</v>
      </c>
      <c r="K871" t="n">
        <v>0</v>
      </c>
      <c r="L871" t="n">
        <v>0</v>
      </c>
      <c r="M871" t="n">
        <v>0</v>
      </c>
      <c r="N871" t="n">
        <v>0</v>
      </c>
      <c r="O871" t="n">
        <v>0</v>
      </c>
      <c r="P871" t="n">
        <v>0</v>
      </c>
      <c r="Q871" t="n">
        <v>0</v>
      </c>
      <c r="R871" s="2" t="inlineStr"/>
    </row>
    <row r="872" ht="15" customHeight="1">
      <c r="A872" t="inlineStr">
        <is>
          <t>A 22893-2025</t>
        </is>
      </c>
      <c r="B872" s="1" t="n">
        <v>45790.39622685185</v>
      </c>
      <c r="C872" s="1" t="n">
        <v>45923</v>
      </c>
      <c r="D872" t="inlineStr">
        <is>
          <t>KALMAR LÄN</t>
        </is>
      </c>
      <c r="E872" t="inlineStr">
        <is>
          <t>VÄSTERVIK</t>
        </is>
      </c>
      <c r="G872" t="n">
        <v>2.1</v>
      </c>
      <c r="H872" t="n">
        <v>0</v>
      </c>
      <c r="I872" t="n">
        <v>0</v>
      </c>
      <c r="J872" t="n">
        <v>0</v>
      </c>
      <c r="K872" t="n">
        <v>0</v>
      </c>
      <c r="L872" t="n">
        <v>0</v>
      </c>
      <c r="M872" t="n">
        <v>0</v>
      </c>
      <c r="N872" t="n">
        <v>0</v>
      </c>
      <c r="O872" t="n">
        <v>0</v>
      </c>
      <c r="P872" t="n">
        <v>0</v>
      </c>
      <c r="Q872" t="n">
        <v>0</v>
      </c>
      <c r="R872" s="2" t="inlineStr"/>
    </row>
    <row r="873" ht="15" customHeight="1">
      <c r="A873" t="inlineStr">
        <is>
          <t>A 42816-2024</t>
        </is>
      </c>
      <c r="B873" s="1" t="n">
        <v>45566</v>
      </c>
      <c r="C873" s="1" t="n">
        <v>45923</v>
      </c>
      <c r="D873" t="inlineStr">
        <is>
          <t>KALMAR LÄN</t>
        </is>
      </c>
      <c r="E873" t="inlineStr">
        <is>
          <t>VÄSTERVIK</t>
        </is>
      </c>
      <c r="G873" t="n">
        <v>0.1</v>
      </c>
      <c r="H873" t="n">
        <v>0</v>
      </c>
      <c r="I873" t="n">
        <v>0</v>
      </c>
      <c r="J873" t="n">
        <v>0</v>
      </c>
      <c r="K873" t="n">
        <v>0</v>
      </c>
      <c r="L873" t="n">
        <v>0</v>
      </c>
      <c r="M873" t="n">
        <v>0</v>
      </c>
      <c r="N873" t="n">
        <v>0</v>
      </c>
      <c r="O873" t="n">
        <v>0</v>
      </c>
      <c r="P873" t="n">
        <v>0</v>
      </c>
      <c r="Q873" t="n">
        <v>0</v>
      </c>
      <c r="R873" s="2" t="inlineStr"/>
    </row>
    <row r="874" ht="15" customHeight="1">
      <c r="A874" t="inlineStr">
        <is>
          <t>A 23042-2025</t>
        </is>
      </c>
      <c r="B874" s="1" t="n">
        <v>45790.67273148148</v>
      </c>
      <c r="C874" s="1" t="n">
        <v>45923</v>
      </c>
      <c r="D874" t="inlineStr">
        <is>
          <t>KALMAR LÄN</t>
        </is>
      </c>
      <c r="E874" t="inlineStr">
        <is>
          <t>VÄSTERVIK</t>
        </is>
      </c>
      <c r="G874" t="n">
        <v>0.6</v>
      </c>
      <c r="H874" t="n">
        <v>0</v>
      </c>
      <c r="I874" t="n">
        <v>0</v>
      </c>
      <c r="J874" t="n">
        <v>0</v>
      </c>
      <c r="K874" t="n">
        <v>0</v>
      </c>
      <c r="L874" t="n">
        <v>0</v>
      </c>
      <c r="M874" t="n">
        <v>0</v>
      </c>
      <c r="N874" t="n">
        <v>0</v>
      </c>
      <c r="O874" t="n">
        <v>0</v>
      </c>
      <c r="P874" t="n">
        <v>0</v>
      </c>
      <c r="Q874" t="n">
        <v>0</v>
      </c>
      <c r="R874" s="2" t="inlineStr"/>
    </row>
    <row r="875" ht="15" customHeight="1">
      <c r="A875" t="inlineStr">
        <is>
          <t>A 21824-2023</t>
        </is>
      </c>
      <c r="B875" s="1" t="n">
        <v>45068</v>
      </c>
      <c r="C875" s="1" t="n">
        <v>45923</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1788-2025</t>
        </is>
      </c>
      <c r="B876" s="1" t="n">
        <v>45671.45521990741</v>
      </c>
      <c r="C876" s="1" t="n">
        <v>45923</v>
      </c>
      <c r="D876" t="inlineStr">
        <is>
          <t>KALMAR LÄN</t>
        </is>
      </c>
      <c r="E876" t="inlineStr">
        <is>
          <t>VÄSTERVIK</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55565-2024</t>
        </is>
      </c>
      <c r="B877" s="1" t="n">
        <v>45622.54515046296</v>
      </c>
      <c r="C877" s="1" t="n">
        <v>45923</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10771-2025</t>
        </is>
      </c>
      <c r="B878" s="1" t="n">
        <v>45722.46953703704</v>
      </c>
      <c r="C878" s="1" t="n">
        <v>45923</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28657-2024</t>
        </is>
      </c>
      <c r="B879" s="1" t="n">
        <v>45478</v>
      </c>
      <c r="C879" s="1" t="n">
        <v>45923</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26061-2024</t>
        </is>
      </c>
      <c r="B880" s="1" t="n">
        <v>45468.35030092593</v>
      </c>
      <c r="C880" s="1" t="n">
        <v>45923</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26066-2024</t>
        </is>
      </c>
      <c r="B881" s="1" t="n">
        <v>45468.35390046296</v>
      </c>
      <c r="C881" s="1" t="n">
        <v>45923</v>
      </c>
      <c r="D881" t="inlineStr">
        <is>
          <t>KALMAR LÄN</t>
        </is>
      </c>
      <c r="E881" t="inlineStr">
        <is>
          <t>VÄSTERVIK</t>
        </is>
      </c>
      <c r="G881" t="n">
        <v>0.6</v>
      </c>
      <c r="H881" t="n">
        <v>0</v>
      </c>
      <c r="I881" t="n">
        <v>0</v>
      </c>
      <c r="J881" t="n">
        <v>0</v>
      </c>
      <c r="K881" t="n">
        <v>0</v>
      </c>
      <c r="L881" t="n">
        <v>0</v>
      </c>
      <c r="M881" t="n">
        <v>0</v>
      </c>
      <c r="N881" t="n">
        <v>0</v>
      </c>
      <c r="O881" t="n">
        <v>0</v>
      </c>
      <c r="P881" t="n">
        <v>0</v>
      </c>
      <c r="Q881" t="n">
        <v>0</v>
      </c>
      <c r="R881" s="2" t="inlineStr"/>
    </row>
    <row r="882" ht="15" customHeight="1">
      <c r="A882" t="inlineStr">
        <is>
          <t>A 58764-2024</t>
        </is>
      </c>
      <c r="B882" s="1" t="n">
        <v>45635.72293981481</v>
      </c>
      <c r="C882" s="1" t="n">
        <v>45923</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13489-2022</t>
        </is>
      </c>
      <c r="B883" s="1" t="n">
        <v>44646</v>
      </c>
      <c r="C883" s="1" t="n">
        <v>45923</v>
      </c>
      <c r="D883" t="inlineStr">
        <is>
          <t>KALMAR LÄN</t>
        </is>
      </c>
      <c r="E883" t="inlineStr">
        <is>
          <t>VÄSTERVIK</t>
        </is>
      </c>
      <c r="G883" t="n">
        <v>2.5</v>
      </c>
      <c r="H883" t="n">
        <v>0</v>
      </c>
      <c r="I883" t="n">
        <v>0</v>
      </c>
      <c r="J883" t="n">
        <v>0</v>
      </c>
      <c r="K883" t="n">
        <v>0</v>
      </c>
      <c r="L883" t="n">
        <v>0</v>
      </c>
      <c r="M883" t="n">
        <v>0</v>
      </c>
      <c r="N883" t="n">
        <v>0</v>
      </c>
      <c r="O883" t="n">
        <v>0</v>
      </c>
      <c r="P883" t="n">
        <v>0</v>
      </c>
      <c r="Q883" t="n">
        <v>0</v>
      </c>
      <c r="R883" s="2" t="inlineStr"/>
    </row>
    <row r="884" ht="15" customHeight="1">
      <c r="A884" t="inlineStr">
        <is>
          <t>A 7883-2025</t>
        </is>
      </c>
      <c r="B884" s="1" t="n">
        <v>45706.8156712963</v>
      </c>
      <c r="C884" s="1" t="n">
        <v>45923</v>
      </c>
      <c r="D884" t="inlineStr">
        <is>
          <t>KALMAR LÄN</t>
        </is>
      </c>
      <c r="E884" t="inlineStr">
        <is>
          <t>VÄSTERVIK</t>
        </is>
      </c>
      <c r="G884" t="n">
        <v>0.2</v>
      </c>
      <c r="H884" t="n">
        <v>0</v>
      </c>
      <c r="I884" t="n">
        <v>0</v>
      </c>
      <c r="J884" t="n">
        <v>0</v>
      </c>
      <c r="K884" t="n">
        <v>0</v>
      </c>
      <c r="L884" t="n">
        <v>0</v>
      </c>
      <c r="M884" t="n">
        <v>0</v>
      </c>
      <c r="N884" t="n">
        <v>0</v>
      </c>
      <c r="O884" t="n">
        <v>0</v>
      </c>
      <c r="P884" t="n">
        <v>0</v>
      </c>
      <c r="Q884" t="n">
        <v>0</v>
      </c>
      <c r="R884" s="2" t="inlineStr"/>
    </row>
    <row r="885" ht="15" customHeight="1">
      <c r="A885" t="inlineStr">
        <is>
          <t>A 2859-2025</t>
        </is>
      </c>
      <c r="B885" s="1" t="n">
        <v>45677.67003472222</v>
      </c>
      <c r="C885" s="1" t="n">
        <v>45923</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2870-2025</t>
        </is>
      </c>
      <c r="B886" s="1" t="n">
        <v>45677.68149305556</v>
      </c>
      <c r="C886" s="1" t="n">
        <v>45923</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23745-2025</t>
        </is>
      </c>
      <c r="B887" s="1" t="n">
        <v>45793.44484953704</v>
      </c>
      <c r="C887" s="1" t="n">
        <v>45923</v>
      </c>
      <c r="D887" t="inlineStr">
        <is>
          <t>KALMAR LÄN</t>
        </is>
      </c>
      <c r="E887" t="inlineStr">
        <is>
          <t>VÄSTERVIK</t>
        </is>
      </c>
      <c r="F887" t="inlineStr">
        <is>
          <t>Holmen skog AB</t>
        </is>
      </c>
      <c r="G887" t="n">
        <v>3.7</v>
      </c>
      <c r="H887" t="n">
        <v>0</v>
      </c>
      <c r="I887" t="n">
        <v>0</v>
      </c>
      <c r="J887" t="n">
        <v>0</v>
      </c>
      <c r="K887" t="n">
        <v>0</v>
      </c>
      <c r="L887" t="n">
        <v>0</v>
      </c>
      <c r="M887" t="n">
        <v>0</v>
      </c>
      <c r="N887" t="n">
        <v>0</v>
      </c>
      <c r="O887" t="n">
        <v>0</v>
      </c>
      <c r="P887" t="n">
        <v>0</v>
      </c>
      <c r="Q887" t="n">
        <v>0</v>
      </c>
      <c r="R887" s="2" t="inlineStr"/>
    </row>
    <row r="888" ht="15" customHeight="1">
      <c r="A888" t="inlineStr">
        <is>
          <t>A 23739-2025</t>
        </is>
      </c>
      <c r="B888" s="1" t="n">
        <v>45793.42939814815</v>
      </c>
      <c r="C888" s="1" t="n">
        <v>45923</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23859-2025</t>
        </is>
      </c>
      <c r="B889" s="1" t="n">
        <v>45793.65996527778</v>
      </c>
      <c r="C889" s="1" t="n">
        <v>45923</v>
      </c>
      <c r="D889" t="inlineStr">
        <is>
          <t>KALMAR LÄN</t>
        </is>
      </c>
      <c r="E889" t="inlineStr">
        <is>
          <t>VÄSTERVIK</t>
        </is>
      </c>
      <c r="F889" t="inlineStr">
        <is>
          <t>Holmen skog AB</t>
        </is>
      </c>
      <c r="G889" t="n">
        <v>17.7</v>
      </c>
      <c r="H889" t="n">
        <v>0</v>
      </c>
      <c r="I889" t="n">
        <v>0</v>
      </c>
      <c r="J889" t="n">
        <v>0</v>
      </c>
      <c r="K889" t="n">
        <v>0</v>
      </c>
      <c r="L889" t="n">
        <v>0</v>
      </c>
      <c r="M889" t="n">
        <v>0</v>
      </c>
      <c r="N889" t="n">
        <v>0</v>
      </c>
      <c r="O889" t="n">
        <v>0</v>
      </c>
      <c r="P889" t="n">
        <v>0</v>
      </c>
      <c r="Q889" t="n">
        <v>0</v>
      </c>
      <c r="R889" s="2" t="inlineStr"/>
    </row>
    <row r="890" ht="15" customHeight="1">
      <c r="A890" t="inlineStr">
        <is>
          <t>A 55032-2024</t>
        </is>
      </c>
      <c r="B890" s="1" t="n">
        <v>45621.38190972222</v>
      </c>
      <c r="C890" s="1" t="n">
        <v>45923</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55037-2024</t>
        </is>
      </c>
      <c r="B891" s="1" t="n">
        <v>45621.38459490741</v>
      </c>
      <c r="C891" s="1" t="n">
        <v>45923</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55358-2024</t>
        </is>
      </c>
      <c r="B892" s="1" t="n">
        <v>45621.82039351852</v>
      </c>
      <c r="C892" s="1" t="n">
        <v>45923</v>
      </c>
      <c r="D892" t="inlineStr">
        <is>
          <t>KALMAR LÄN</t>
        </is>
      </c>
      <c r="E892" t="inlineStr">
        <is>
          <t>VÄSTERVIK</t>
        </is>
      </c>
      <c r="F892" t="inlineStr">
        <is>
          <t>Sveaskog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19551-2023</t>
        </is>
      </c>
      <c r="B893" s="1" t="n">
        <v>45049</v>
      </c>
      <c r="C893" s="1" t="n">
        <v>45923</v>
      </c>
      <c r="D893" t="inlineStr">
        <is>
          <t>KALMAR LÄN</t>
        </is>
      </c>
      <c r="E893" t="inlineStr">
        <is>
          <t>VÄSTERVIK</t>
        </is>
      </c>
      <c r="G893" t="n">
        <v>3.2</v>
      </c>
      <c r="H893" t="n">
        <v>0</v>
      </c>
      <c r="I893" t="n">
        <v>0</v>
      </c>
      <c r="J893" t="n">
        <v>0</v>
      </c>
      <c r="K893" t="n">
        <v>0</v>
      </c>
      <c r="L893" t="n">
        <v>0</v>
      </c>
      <c r="M893" t="n">
        <v>0</v>
      </c>
      <c r="N893" t="n">
        <v>0</v>
      </c>
      <c r="O893" t="n">
        <v>0</v>
      </c>
      <c r="P893" t="n">
        <v>0</v>
      </c>
      <c r="Q893" t="n">
        <v>0</v>
      </c>
      <c r="R893" s="2" t="inlineStr"/>
    </row>
    <row r="894" ht="15" customHeight="1">
      <c r="A894" t="inlineStr">
        <is>
          <t>A 23022-2025</t>
        </is>
      </c>
      <c r="B894" s="1" t="n">
        <v>45790.65489583334</v>
      </c>
      <c r="C894" s="1" t="n">
        <v>45923</v>
      </c>
      <c r="D894" t="inlineStr">
        <is>
          <t>KALMAR LÄN</t>
        </is>
      </c>
      <c r="E894" t="inlineStr">
        <is>
          <t>VÄSTERVIK</t>
        </is>
      </c>
      <c r="G894" t="n">
        <v>3.3</v>
      </c>
      <c r="H894" t="n">
        <v>0</v>
      </c>
      <c r="I894" t="n">
        <v>0</v>
      </c>
      <c r="J894" t="n">
        <v>0</v>
      </c>
      <c r="K894" t="n">
        <v>0</v>
      </c>
      <c r="L894" t="n">
        <v>0</v>
      </c>
      <c r="M894" t="n">
        <v>0</v>
      </c>
      <c r="N894" t="n">
        <v>0</v>
      </c>
      <c r="O894" t="n">
        <v>0</v>
      </c>
      <c r="P894" t="n">
        <v>0</v>
      </c>
      <c r="Q894" t="n">
        <v>0</v>
      </c>
      <c r="R894" s="2" t="inlineStr"/>
    </row>
    <row r="895" ht="15" customHeight="1">
      <c r="A895" t="inlineStr">
        <is>
          <t>A 32394-2021</t>
        </is>
      </c>
      <c r="B895" s="1" t="n">
        <v>44371.63414351852</v>
      </c>
      <c r="C895" s="1" t="n">
        <v>45923</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17052-2025</t>
        </is>
      </c>
      <c r="B896" s="1" t="n">
        <v>45755.60236111111</v>
      </c>
      <c r="C896" s="1" t="n">
        <v>45923</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17054-2025</t>
        </is>
      </c>
      <c r="B897" s="1" t="n">
        <v>45755.60278935185</v>
      </c>
      <c r="C897" s="1" t="n">
        <v>45923</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26770-2023</t>
        </is>
      </c>
      <c r="B898" s="1" t="n">
        <v>45093</v>
      </c>
      <c r="C898" s="1" t="n">
        <v>45923</v>
      </c>
      <c r="D898" t="inlineStr">
        <is>
          <t>KALMAR LÄN</t>
        </is>
      </c>
      <c r="E898" t="inlineStr">
        <is>
          <t>VÄSTERVIK</t>
        </is>
      </c>
      <c r="G898" t="n">
        <v>2.6</v>
      </c>
      <c r="H898" t="n">
        <v>0</v>
      </c>
      <c r="I898" t="n">
        <v>0</v>
      </c>
      <c r="J898" t="n">
        <v>0</v>
      </c>
      <c r="K898" t="n">
        <v>0</v>
      </c>
      <c r="L898" t="n">
        <v>0</v>
      </c>
      <c r="M898" t="n">
        <v>0</v>
      </c>
      <c r="N898" t="n">
        <v>0</v>
      </c>
      <c r="O898" t="n">
        <v>0</v>
      </c>
      <c r="P898" t="n">
        <v>0</v>
      </c>
      <c r="Q898" t="n">
        <v>0</v>
      </c>
      <c r="R898" s="2" t="inlineStr"/>
    </row>
    <row r="899" ht="15" customHeight="1">
      <c r="A899" t="inlineStr">
        <is>
          <t>A 26772-2023</t>
        </is>
      </c>
      <c r="B899" s="1" t="n">
        <v>45093</v>
      </c>
      <c r="C899" s="1" t="n">
        <v>45923</v>
      </c>
      <c r="D899" t="inlineStr">
        <is>
          <t>KALMAR LÄN</t>
        </is>
      </c>
      <c r="E899" t="inlineStr">
        <is>
          <t>VÄSTERVIK</t>
        </is>
      </c>
      <c r="G899" t="n">
        <v>2</v>
      </c>
      <c r="H899" t="n">
        <v>0</v>
      </c>
      <c r="I899" t="n">
        <v>0</v>
      </c>
      <c r="J899" t="n">
        <v>0</v>
      </c>
      <c r="K899" t="n">
        <v>0</v>
      </c>
      <c r="L899" t="n">
        <v>0</v>
      </c>
      <c r="M899" t="n">
        <v>0</v>
      </c>
      <c r="N899" t="n">
        <v>0</v>
      </c>
      <c r="O899" t="n">
        <v>0</v>
      </c>
      <c r="P899" t="n">
        <v>0</v>
      </c>
      <c r="Q899" t="n">
        <v>0</v>
      </c>
      <c r="R899" s="2" t="inlineStr"/>
    </row>
    <row r="900" ht="15" customHeight="1">
      <c r="A900" t="inlineStr">
        <is>
          <t>A 26773-2023</t>
        </is>
      </c>
      <c r="B900" s="1" t="n">
        <v>45093</v>
      </c>
      <c r="C900" s="1" t="n">
        <v>45923</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46130-2023</t>
        </is>
      </c>
      <c r="B901" s="1" t="n">
        <v>45196.55849537037</v>
      </c>
      <c r="C901" s="1" t="n">
        <v>45923</v>
      </c>
      <c r="D901" t="inlineStr">
        <is>
          <t>KALMAR LÄN</t>
        </is>
      </c>
      <c r="E901" t="inlineStr">
        <is>
          <t>VÄSTERVIK</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16207-2022</t>
        </is>
      </c>
      <c r="B902" s="1" t="n">
        <v>44669</v>
      </c>
      <c r="C902" s="1" t="n">
        <v>45923</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7840-2025</t>
        </is>
      </c>
      <c r="B903" s="1" t="n">
        <v>45706.65895833333</v>
      </c>
      <c r="C903" s="1" t="n">
        <v>45923</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24819-2025</t>
        </is>
      </c>
      <c r="B904" s="1" t="n">
        <v>45799.45109953704</v>
      </c>
      <c r="C904" s="1" t="n">
        <v>45923</v>
      </c>
      <c r="D904" t="inlineStr">
        <is>
          <t>KALMAR LÄN</t>
        </is>
      </c>
      <c r="E904" t="inlineStr">
        <is>
          <t>VÄSTERVIK</t>
        </is>
      </c>
      <c r="G904" t="n">
        <v>1.2</v>
      </c>
      <c r="H904" t="n">
        <v>0</v>
      </c>
      <c r="I904" t="n">
        <v>0</v>
      </c>
      <c r="J904" t="n">
        <v>0</v>
      </c>
      <c r="K904" t="n">
        <v>0</v>
      </c>
      <c r="L904" t="n">
        <v>0</v>
      </c>
      <c r="M904" t="n">
        <v>0</v>
      </c>
      <c r="N904" t="n">
        <v>0</v>
      </c>
      <c r="O904" t="n">
        <v>0</v>
      </c>
      <c r="P904" t="n">
        <v>0</v>
      </c>
      <c r="Q904" t="n">
        <v>0</v>
      </c>
      <c r="R904" s="2" t="inlineStr"/>
    </row>
    <row r="905" ht="15" customHeight="1">
      <c r="A905" t="inlineStr">
        <is>
          <t>A 54164-2020</t>
        </is>
      </c>
      <c r="B905" s="1" t="n">
        <v>44125</v>
      </c>
      <c r="C905" s="1" t="n">
        <v>45923</v>
      </c>
      <c r="D905" t="inlineStr">
        <is>
          <t>KALMAR LÄN</t>
        </is>
      </c>
      <c r="E905" t="inlineStr">
        <is>
          <t>VÄSTERVIK</t>
        </is>
      </c>
      <c r="F905" t="inlineStr">
        <is>
          <t>Sveaskog</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16080-2025</t>
        </is>
      </c>
      <c r="B906" s="1" t="n">
        <v>45749.72953703703</v>
      </c>
      <c r="C906" s="1" t="n">
        <v>45923</v>
      </c>
      <c r="D906" t="inlineStr">
        <is>
          <t>KALMAR LÄN</t>
        </is>
      </c>
      <c r="E906" t="inlineStr">
        <is>
          <t>VÄSTERVIK</t>
        </is>
      </c>
      <c r="G906" t="n">
        <v>1.9</v>
      </c>
      <c r="H906" t="n">
        <v>0</v>
      </c>
      <c r="I906" t="n">
        <v>0</v>
      </c>
      <c r="J906" t="n">
        <v>0</v>
      </c>
      <c r="K906" t="n">
        <v>0</v>
      </c>
      <c r="L906" t="n">
        <v>0</v>
      </c>
      <c r="M906" t="n">
        <v>0</v>
      </c>
      <c r="N906" t="n">
        <v>0</v>
      </c>
      <c r="O906" t="n">
        <v>0</v>
      </c>
      <c r="P906" t="n">
        <v>0</v>
      </c>
      <c r="Q906" t="n">
        <v>0</v>
      </c>
      <c r="R906" s="2" t="inlineStr"/>
    </row>
    <row r="907" ht="15" customHeight="1">
      <c r="A907" t="inlineStr">
        <is>
          <t>A 19694-2025</t>
        </is>
      </c>
      <c r="B907" s="1" t="n">
        <v>45771.30550925926</v>
      </c>
      <c r="C907" s="1" t="n">
        <v>45923</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41926-2024</t>
        </is>
      </c>
      <c r="B908" s="1" t="n">
        <v>45561</v>
      </c>
      <c r="C908" s="1" t="n">
        <v>45923</v>
      </c>
      <c r="D908" t="inlineStr">
        <is>
          <t>KALMAR LÄN</t>
        </is>
      </c>
      <c r="E908" t="inlineStr">
        <is>
          <t>VÄSTERVIK</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14237-2024</t>
        </is>
      </c>
      <c r="B909" s="1" t="n">
        <v>45393.47158564815</v>
      </c>
      <c r="C909" s="1" t="n">
        <v>45923</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4579-2023</t>
        </is>
      </c>
      <c r="B910" s="1" t="n">
        <v>44956.72383101852</v>
      </c>
      <c r="C910" s="1" t="n">
        <v>45923</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65059-2023</t>
        </is>
      </c>
      <c r="B911" s="1" t="n">
        <v>45287</v>
      </c>
      <c r="C911" s="1" t="n">
        <v>45923</v>
      </c>
      <c r="D911" t="inlineStr">
        <is>
          <t>KALMAR LÄN</t>
        </is>
      </c>
      <c r="E911" t="inlineStr">
        <is>
          <t>VÄSTERVIK</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25819-2025</t>
        </is>
      </c>
      <c r="B912" s="1" t="n">
        <v>45804.43547453704</v>
      </c>
      <c r="C912" s="1" t="n">
        <v>45923</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25827-2025</t>
        </is>
      </c>
      <c r="B913" s="1" t="n">
        <v>45804.443125</v>
      </c>
      <c r="C913" s="1" t="n">
        <v>45923</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56042-2023</t>
        </is>
      </c>
      <c r="B914" s="1" t="n">
        <v>45240.44670138889</v>
      </c>
      <c r="C914" s="1" t="n">
        <v>45923</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35662-2023</t>
        </is>
      </c>
      <c r="B915" s="1" t="n">
        <v>45147</v>
      </c>
      <c r="C915" s="1" t="n">
        <v>45923</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7164-2025</t>
        </is>
      </c>
      <c r="B916" s="1" t="n">
        <v>45702.39331018519</v>
      </c>
      <c r="C916" s="1" t="n">
        <v>45923</v>
      </c>
      <c r="D916" t="inlineStr">
        <is>
          <t>KALMAR LÄN</t>
        </is>
      </c>
      <c r="E916" t="inlineStr">
        <is>
          <t>VÄSTERVIK</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1585-2022</t>
        </is>
      </c>
      <c r="B917" s="1" t="n">
        <v>44573</v>
      </c>
      <c r="C917" s="1" t="n">
        <v>45923</v>
      </c>
      <c r="D917" t="inlineStr">
        <is>
          <t>KALMAR LÄN</t>
        </is>
      </c>
      <c r="E917" t="inlineStr">
        <is>
          <t>VÄSTERVIK</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56077-2024</t>
        </is>
      </c>
      <c r="B918" s="1" t="n">
        <v>45624.38690972222</v>
      </c>
      <c r="C918" s="1" t="n">
        <v>45923</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11856-2024</t>
        </is>
      </c>
      <c r="B919" s="1" t="n">
        <v>45376.43302083333</v>
      </c>
      <c r="C919" s="1" t="n">
        <v>45923</v>
      </c>
      <c r="D919" t="inlineStr">
        <is>
          <t>KALMAR LÄN</t>
        </is>
      </c>
      <c r="E919" t="inlineStr">
        <is>
          <t>VÄSTERVIK</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57367-2023</t>
        </is>
      </c>
      <c r="B920" s="1" t="n">
        <v>45245</v>
      </c>
      <c r="C920" s="1" t="n">
        <v>45923</v>
      </c>
      <c r="D920" t="inlineStr">
        <is>
          <t>KALMAR LÄN</t>
        </is>
      </c>
      <c r="E920" t="inlineStr">
        <is>
          <t>VÄSTERVIK</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35960-2023</t>
        </is>
      </c>
      <c r="B921" s="1" t="n">
        <v>45148.84990740741</v>
      </c>
      <c r="C921" s="1" t="n">
        <v>45923</v>
      </c>
      <c r="D921" t="inlineStr">
        <is>
          <t>KALMAR LÄN</t>
        </is>
      </c>
      <c r="E921" t="inlineStr">
        <is>
          <t>VÄSTERVIK</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35962-2023</t>
        </is>
      </c>
      <c r="B922" s="1" t="n">
        <v>45148</v>
      </c>
      <c r="C922" s="1" t="n">
        <v>45923</v>
      </c>
      <c r="D922" t="inlineStr">
        <is>
          <t>KALMAR LÄN</t>
        </is>
      </c>
      <c r="E922" t="inlineStr">
        <is>
          <t>VÄSTERVIK</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10441-2022</t>
        </is>
      </c>
      <c r="B923" s="1" t="n">
        <v>44623</v>
      </c>
      <c r="C923" s="1" t="n">
        <v>45923</v>
      </c>
      <c r="D923" t="inlineStr">
        <is>
          <t>KALMAR LÄN</t>
        </is>
      </c>
      <c r="E923" t="inlineStr">
        <is>
          <t>VÄSTERVIK</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11988-2022</t>
        </is>
      </c>
      <c r="B924" s="1" t="n">
        <v>44635.68771990741</v>
      </c>
      <c r="C924" s="1" t="n">
        <v>45923</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55866-2023</t>
        </is>
      </c>
      <c r="B925" s="1" t="n">
        <v>45239</v>
      </c>
      <c r="C925" s="1" t="n">
        <v>45923</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35770-2023</t>
        </is>
      </c>
      <c r="B926" s="1" t="n">
        <v>45147</v>
      </c>
      <c r="C926" s="1" t="n">
        <v>45923</v>
      </c>
      <c r="D926" t="inlineStr">
        <is>
          <t>KALMAR LÄN</t>
        </is>
      </c>
      <c r="E926" t="inlineStr">
        <is>
          <t>VÄSTERVIK</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26633-2025</t>
        </is>
      </c>
      <c r="B927" s="1" t="n">
        <v>45810.35262731482</v>
      </c>
      <c r="C927" s="1" t="n">
        <v>45923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26566-2025</t>
        </is>
      </c>
      <c r="B928" s="1" t="n">
        <v>45807.66685185185</v>
      </c>
      <c r="C928" s="1" t="n">
        <v>45923</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26569-2025</t>
        </is>
      </c>
      <c r="B929" s="1" t="n">
        <v>45807.67638888889</v>
      </c>
      <c r="C929" s="1" t="n">
        <v>45923</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26572-2025</t>
        </is>
      </c>
      <c r="B930" s="1" t="n">
        <v>45807.68232638889</v>
      </c>
      <c r="C930" s="1" t="n">
        <v>45923</v>
      </c>
      <c r="D930" t="inlineStr">
        <is>
          <t>KALMAR LÄN</t>
        </is>
      </c>
      <c r="E930" t="inlineStr">
        <is>
          <t>VÄSTERVIK</t>
        </is>
      </c>
      <c r="G930" t="n">
        <v>2.9</v>
      </c>
      <c r="H930" t="n">
        <v>0</v>
      </c>
      <c r="I930" t="n">
        <v>0</v>
      </c>
      <c r="J930" t="n">
        <v>0</v>
      </c>
      <c r="K930" t="n">
        <v>0</v>
      </c>
      <c r="L930" t="n">
        <v>0</v>
      </c>
      <c r="M930" t="n">
        <v>0</v>
      </c>
      <c r="N930" t="n">
        <v>0</v>
      </c>
      <c r="O930" t="n">
        <v>0</v>
      </c>
      <c r="P930" t="n">
        <v>0</v>
      </c>
      <c r="Q930" t="n">
        <v>0</v>
      </c>
      <c r="R930" s="2" t="inlineStr"/>
    </row>
    <row r="931" ht="15" customHeight="1">
      <c r="A931" t="inlineStr">
        <is>
          <t>A 36643-2023</t>
        </is>
      </c>
      <c r="B931" s="1" t="n">
        <v>45153</v>
      </c>
      <c r="C931" s="1" t="n">
        <v>45923</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54784-2023</t>
        </is>
      </c>
      <c r="B932" s="1" t="n">
        <v>45236.4803587963</v>
      </c>
      <c r="C932" s="1" t="n">
        <v>45923</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67133-2020</t>
        </is>
      </c>
      <c r="B933" s="1" t="n">
        <v>44180</v>
      </c>
      <c r="C933" s="1" t="n">
        <v>45923</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49507-2023</t>
        </is>
      </c>
      <c r="B934" s="1" t="n">
        <v>45211.5790625</v>
      </c>
      <c r="C934" s="1" t="n">
        <v>45923</v>
      </c>
      <c r="D934" t="inlineStr">
        <is>
          <t>KALMAR LÄN</t>
        </is>
      </c>
      <c r="E934" t="inlineStr">
        <is>
          <t>VÄSTERVIK</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26568-2025</t>
        </is>
      </c>
      <c r="B935" s="1" t="n">
        <v>45807.67447916666</v>
      </c>
      <c r="C935" s="1" t="n">
        <v>45923</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26571-2025</t>
        </is>
      </c>
      <c r="B936" s="1" t="n">
        <v>45807.6794212963</v>
      </c>
      <c r="C936" s="1" t="n">
        <v>45923</v>
      </c>
      <c r="D936" t="inlineStr">
        <is>
          <t>KALMAR LÄN</t>
        </is>
      </c>
      <c r="E936" t="inlineStr">
        <is>
          <t>VÄSTERVIK</t>
        </is>
      </c>
      <c r="G936" t="n">
        <v>2.8</v>
      </c>
      <c r="H936" t="n">
        <v>0</v>
      </c>
      <c r="I936" t="n">
        <v>0</v>
      </c>
      <c r="J936" t="n">
        <v>0</v>
      </c>
      <c r="K936" t="n">
        <v>0</v>
      </c>
      <c r="L936" t="n">
        <v>0</v>
      </c>
      <c r="M936" t="n">
        <v>0</v>
      </c>
      <c r="N936" t="n">
        <v>0</v>
      </c>
      <c r="O936" t="n">
        <v>0</v>
      </c>
      <c r="P936" t="n">
        <v>0</v>
      </c>
      <c r="Q936" t="n">
        <v>0</v>
      </c>
      <c r="R936" s="2" t="inlineStr"/>
    </row>
    <row r="937" ht="15" customHeight="1">
      <c r="A937" t="inlineStr">
        <is>
          <t>A 58703-2023</t>
        </is>
      </c>
      <c r="B937" s="1" t="n">
        <v>45251</v>
      </c>
      <c r="C937" s="1" t="n">
        <v>45923</v>
      </c>
      <c r="D937" t="inlineStr">
        <is>
          <t>KALMAR LÄN</t>
        </is>
      </c>
      <c r="E937" t="inlineStr">
        <is>
          <t>VÄSTERVIK</t>
        </is>
      </c>
      <c r="F937" t="inlineStr">
        <is>
          <t>Övriga Aktiebolag</t>
        </is>
      </c>
      <c r="G937" t="n">
        <v>2.7</v>
      </c>
      <c r="H937" t="n">
        <v>0</v>
      </c>
      <c r="I937" t="n">
        <v>0</v>
      </c>
      <c r="J937" t="n">
        <v>0</v>
      </c>
      <c r="K937" t="n">
        <v>0</v>
      </c>
      <c r="L937" t="n">
        <v>0</v>
      </c>
      <c r="M937" t="n">
        <v>0</v>
      </c>
      <c r="N937" t="n">
        <v>0</v>
      </c>
      <c r="O937" t="n">
        <v>0</v>
      </c>
      <c r="P937" t="n">
        <v>0</v>
      </c>
      <c r="Q937" t="n">
        <v>0</v>
      </c>
      <c r="R937" s="2" t="inlineStr"/>
    </row>
    <row r="938" ht="15" customHeight="1">
      <c r="A938" t="inlineStr">
        <is>
          <t>A 16395-2024</t>
        </is>
      </c>
      <c r="B938" s="1" t="n">
        <v>45407.62733796296</v>
      </c>
      <c r="C938" s="1" t="n">
        <v>45923</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c r="U938">
        <f>HYPERLINK("https://klasma.github.io/Logging_0883/knärot/A 16395-2024 karta knärot.png", "A 16395-2024")</f>
        <v/>
      </c>
      <c r="V938">
        <f>HYPERLINK("https://klasma.github.io/Logging_0883/klagomål/A 16395-2024 FSC-klagomål.docx", "A 16395-2024")</f>
        <v/>
      </c>
      <c r="W938">
        <f>HYPERLINK("https://klasma.github.io/Logging_0883/klagomålsmail/A 16395-2024 FSC-klagomål mail.docx", "A 16395-2024")</f>
        <v/>
      </c>
      <c r="X938">
        <f>HYPERLINK("https://klasma.github.io/Logging_0883/tillsyn/A 16395-2024 tillsynsbegäran.docx", "A 16395-2024")</f>
        <v/>
      </c>
      <c r="Y938">
        <f>HYPERLINK("https://klasma.github.io/Logging_0883/tillsynsmail/A 16395-2024 tillsynsbegäran mail.docx", "A 16395-2024")</f>
        <v/>
      </c>
    </row>
    <row r="939" ht="15" customHeight="1">
      <c r="A939" t="inlineStr">
        <is>
          <t>A 55958-2023</t>
        </is>
      </c>
      <c r="B939" s="1" t="n">
        <v>45240.34900462963</v>
      </c>
      <c r="C939" s="1" t="n">
        <v>45923</v>
      </c>
      <c r="D939" t="inlineStr">
        <is>
          <t>KALMAR LÄN</t>
        </is>
      </c>
      <c r="E939" t="inlineStr">
        <is>
          <t>VÄSTERVIK</t>
        </is>
      </c>
      <c r="G939" t="n">
        <v>1.6</v>
      </c>
      <c r="H939" t="n">
        <v>0</v>
      </c>
      <c r="I939" t="n">
        <v>0</v>
      </c>
      <c r="J939" t="n">
        <v>0</v>
      </c>
      <c r="K939" t="n">
        <v>0</v>
      </c>
      <c r="L939" t="n">
        <v>0</v>
      </c>
      <c r="M939" t="n">
        <v>0</v>
      </c>
      <c r="N939" t="n">
        <v>0</v>
      </c>
      <c r="O939" t="n">
        <v>0</v>
      </c>
      <c r="P939" t="n">
        <v>0</v>
      </c>
      <c r="Q939" t="n">
        <v>0</v>
      </c>
      <c r="R939" s="2" t="inlineStr"/>
    </row>
    <row r="940" ht="15" customHeight="1">
      <c r="A940" t="inlineStr">
        <is>
          <t>A 27446-2025</t>
        </is>
      </c>
      <c r="B940" s="1" t="n">
        <v>45813.32667824074</v>
      </c>
      <c r="C940" s="1" t="n">
        <v>45923</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27980-2025</t>
        </is>
      </c>
      <c r="B941" s="1" t="n">
        <v>45817.57395833333</v>
      </c>
      <c r="C941" s="1" t="n">
        <v>45923</v>
      </c>
      <c r="D941" t="inlineStr">
        <is>
          <t>KALMAR LÄN</t>
        </is>
      </c>
      <c r="E941" t="inlineStr">
        <is>
          <t>VÄSTERVIK</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27978-2025</t>
        </is>
      </c>
      <c r="B942" s="1" t="n">
        <v>45817.57153935185</v>
      </c>
      <c r="C942" s="1" t="n">
        <v>45923</v>
      </c>
      <c r="D942" t="inlineStr">
        <is>
          <t>KALMAR LÄN</t>
        </is>
      </c>
      <c r="E942" t="inlineStr">
        <is>
          <t>VÄSTERVIK</t>
        </is>
      </c>
      <c r="F942" t="inlineStr">
        <is>
          <t>Sveaskog</t>
        </is>
      </c>
      <c r="G942" t="n">
        <v>10.8</v>
      </c>
      <c r="H942" t="n">
        <v>0</v>
      </c>
      <c r="I942" t="n">
        <v>0</v>
      </c>
      <c r="J942" t="n">
        <v>0</v>
      </c>
      <c r="K942" t="n">
        <v>0</v>
      </c>
      <c r="L942" t="n">
        <v>0</v>
      </c>
      <c r="M942" t="n">
        <v>0</v>
      </c>
      <c r="N942" t="n">
        <v>0</v>
      </c>
      <c r="O942" t="n">
        <v>0</v>
      </c>
      <c r="P942" t="n">
        <v>0</v>
      </c>
      <c r="Q942" t="n">
        <v>0</v>
      </c>
      <c r="R942" s="2" t="inlineStr"/>
    </row>
    <row r="943" ht="15" customHeight="1">
      <c r="A943" t="inlineStr">
        <is>
          <t>A 28203-2025</t>
        </is>
      </c>
      <c r="B943" s="1" t="n">
        <v>45818.44662037037</v>
      </c>
      <c r="C943" s="1" t="n">
        <v>45923</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10774-2025</t>
        </is>
      </c>
      <c r="B944" s="1" t="n">
        <v>45722.47424768518</v>
      </c>
      <c r="C944" s="1" t="n">
        <v>45923</v>
      </c>
      <c r="D944" t="inlineStr">
        <is>
          <t>KALMAR LÄN</t>
        </is>
      </c>
      <c r="E944" t="inlineStr">
        <is>
          <t>VÄSTERVIK</t>
        </is>
      </c>
      <c r="G944" t="n">
        <v>0.6</v>
      </c>
      <c r="H944" t="n">
        <v>0</v>
      </c>
      <c r="I944" t="n">
        <v>0</v>
      </c>
      <c r="J944" t="n">
        <v>0</v>
      </c>
      <c r="K944" t="n">
        <v>0</v>
      </c>
      <c r="L944" t="n">
        <v>0</v>
      </c>
      <c r="M944" t="n">
        <v>0</v>
      </c>
      <c r="N944" t="n">
        <v>0</v>
      </c>
      <c r="O944" t="n">
        <v>0</v>
      </c>
      <c r="P944" t="n">
        <v>0</v>
      </c>
      <c r="Q944" t="n">
        <v>0</v>
      </c>
      <c r="R944" s="2" t="inlineStr"/>
    </row>
    <row r="945" ht="15" customHeight="1">
      <c r="A945" t="inlineStr">
        <is>
          <t>A 40977-2023</t>
        </is>
      </c>
      <c r="B945" s="1" t="n">
        <v>45173</v>
      </c>
      <c r="C945" s="1" t="n">
        <v>45923</v>
      </c>
      <c r="D945" t="inlineStr">
        <is>
          <t>KALMAR LÄN</t>
        </is>
      </c>
      <c r="E945" t="inlineStr">
        <is>
          <t>VÄSTERVIK</t>
        </is>
      </c>
      <c r="F945" t="inlineStr">
        <is>
          <t>Holmen skog AB</t>
        </is>
      </c>
      <c r="G945" t="n">
        <v>1</v>
      </c>
      <c r="H945" t="n">
        <v>0</v>
      </c>
      <c r="I945" t="n">
        <v>0</v>
      </c>
      <c r="J945" t="n">
        <v>0</v>
      </c>
      <c r="K945" t="n">
        <v>0</v>
      </c>
      <c r="L945" t="n">
        <v>0</v>
      </c>
      <c r="M945" t="n">
        <v>0</v>
      </c>
      <c r="N945" t="n">
        <v>0</v>
      </c>
      <c r="O945" t="n">
        <v>0</v>
      </c>
      <c r="P945" t="n">
        <v>0</v>
      </c>
      <c r="Q945" t="n">
        <v>0</v>
      </c>
      <c r="R945" s="2" t="inlineStr"/>
    </row>
    <row r="946" ht="15" customHeight="1">
      <c r="A946" t="inlineStr">
        <is>
          <t>A 23743-2022</t>
        </is>
      </c>
      <c r="B946" s="1" t="n">
        <v>44722.35611111111</v>
      </c>
      <c r="C946" s="1" t="n">
        <v>45923</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27974-2025</t>
        </is>
      </c>
      <c r="B947" s="1" t="n">
        <v>45817.56891203704</v>
      </c>
      <c r="C947" s="1" t="n">
        <v>45923</v>
      </c>
      <c r="D947" t="inlineStr">
        <is>
          <t>KALMAR LÄN</t>
        </is>
      </c>
      <c r="E947" t="inlineStr">
        <is>
          <t>VÄSTERVIK</t>
        </is>
      </c>
      <c r="F947" t="inlineStr">
        <is>
          <t>Sveaskog</t>
        </is>
      </c>
      <c r="G947" t="n">
        <v>5</v>
      </c>
      <c r="H947" t="n">
        <v>0</v>
      </c>
      <c r="I947" t="n">
        <v>0</v>
      </c>
      <c r="J947" t="n">
        <v>0</v>
      </c>
      <c r="K947" t="n">
        <v>0</v>
      </c>
      <c r="L947" t="n">
        <v>0</v>
      </c>
      <c r="M947" t="n">
        <v>0</v>
      </c>
      <c r="N947" t="n">
        <v>0</v>
      </c>
      <c r="O947" t="n">
        <v>0</v>
      </c>
      <c r="P947" t="n">
        <v>0</v>
      </c>
      <c r="Q947" t="n">
        <v>0</v>
      </c>
      <c r="R947" s="2" t="inlineStr"/>
    </row>
    <row r="948" ht="15" customHeight="1">
      <c r="A948" t="inlineStr">
        <is>
          <t>A 28096-2025</t>
        </is>
      </c>
      <c r="B948" s="1" t="n">
        <v>45817.81831018518</v>
      </c>
      <c r="C948" s="1" t="n">
        <v>45923</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37642-2023</t>
        </is>
      </c>
      <c r="B949" s="1" t="n">
        <v>45159.47940972223</v>
      </c>
      <c r="C949" s="1" t="n">
        <v>45923</v>
      </c>
      <c r="D949" t="inlineStr">
        <is>
          <t>KALMAR LÄN</t>
        </is>
      </c>
      <c r="E949" t="inlineStr">
        <is>
          <t>VÄSTERVIK</t>
        </is>
      </c>
      <c r="G949" t="n">
        <v>0.6</v>
      </c>
      <c r="H949" t="n">
        <v>0</v>
      </c>
      <c r="I949" t="n">
        <v>0</v>
      </c>
      <c r="J949" t="n">
        <v>0</v>
      </c>
      <c r="K949" t="n">
        <v>0</v>
      </c>
      <c r="L949" t="n">
        <v>0</v>
      </c>
      <c r="M949" t="n">
        <v>0</v>
      </c>
      <c r="N949" t="n">
        <v>0</v>
      </c>
      <c r="O949" t="n">
        <v>0</v>
      </c>
      <c r="P949" t="n">
        <v>0</v>
      </c>
      <c r="Q949" t="n">
        <v>0</v>
      </c>
      <c r="R949" s="2" t="inlineStr"/>
    </row>
    <row r="950" ht="15" customHeight="1">
      <c r="A950" t="inlineStr">
        <is>
          <t>A 54951-2023</t>
        </is>
      </c>
      <c r="B950" s="1" t="n">
        <v>45236.82902777778</v>
      </c>
      <c r="C950" s="1" t="n">
        <v>45923</v>
      </c>
      <c r="D950" t="inlineStr">
        <is>
          <t>KALMAR LÄN</t>
        </is>
      </c>
      <c r="E950" t="inlineStr">
        <is>
          <t>VÄSTERVIK</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52049-2023</t>
        </is>
      </c>
      <c r="B951" s="1" t="n">
        <v>45216</v>
      </c>
      <c r="C951" s="1" t="n">
        <v>45923</v>
      </c>
      <c r="D951" t="inlineStr">
        <is>
          <t>KALMAR LÄN</t>
        </is>
      </c>
      <c r="E951" t="inlineStr">
        <is>
          <t>VÄSTERVIK</t>
        </is>
      </c>
      <c r="G951" t="n">
        <v>4.4</v>
      </c>
      <c r="H951" t="n">
        <v>0</v>
      </c>
      <c r="I951" t="n">
        <v>0</v>
      </c>
      <c r="J951" t="n">
        <v>0</v>
      </c>
      <c r="K951" t="n">
        <v>0</v>
      </c>
      <c r="L951" t="n">
        <v>0</v>
      </c>
      <c r="M951" t="n">
        <v>0</v>
      </c>
      <c r="N951" t="n">
        <v>0</v>
      </c>
      <c r="O951" t="n">
        <v>0</v>
      </c>
      <c r="P951" t="n">
        <v>0</v>
      </c>
      <c r="Q951" t="n">
        <v>0</v>
      </c>
      <c r="R951" s="2" t="inlineStr"/>
    </row>
    <row r="952" ht="15" customHeight="1">
      <c r="A952" t="inlineStr">
        <is>
          <t>A 30035-2023</t>
        </is>
      </c>
      <c r="B952" s="1" t="n">
        <v>45110</v>
      </c>
      <c r="C952" s="1" t="n">
        <v>45923</v>
      </c>
      <c r="D952" t="inlineStr">
        <is>
          <t>KALMAR LÄN</t>
        </is>
      </c>
      <c r="E952" t="inlineStr">
        <is>
          <t>VÄSTERVIK</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61556-2023</t>
        </is>
      </c>
      <c r="B953" s="1" t="n">
        <v>45261</v>
      </c>
      <c r="C953" s="1" t="n">
        <v>45923</v>
      </c>
      <c r="D953" t="inlineStr">
        <is>
          <t>KALMAR LÄN</t>
        </is>
      </c>
      <c r="E953" t="inlineStr">
        <is>
          <t>VÄSTERVIK</t>
        </is>
      </c>
      <c r="F953" t="inlineStr">
        <is>
          <t>Övriga Aktiebolag</t>
        </is>
      </c>
      <c r="G953" t="n">
        <v>13.9</v>
      </c>
      <c r="H953" t="n">
        <v>0</v>
      </c>
      <c r="I953" t="n">
        <v>0</v>
      </c>
      <c r="J953" t="n">
        <v>0</v>
      </c>
      <c r="K953" t="n">
        <v>0</v>
      </c>
      <c r="L953" t="n">
        <v>0</v>
      </c>
      <c r="M953" t="n">
        <v>0</v>
      </c>
      <c r="N953" t="n">
        <v>0</v>
      </c>
      <c r="O953" t="n">
        <v>0</v>
      </c>
      <c r="P953" t="n">
        <v>0</v>
      </c>
      <c r="Q953" t="n">
        <v>0</v>
      </c>
      <c r="R953" s="2" t="inlineStr"/>
    </row>
    <row r="954" ht="15" customHeight="1">
      <c r="A954" t="inlineStr">
        <is>
          <t>A 34420-2024</t>
        </is>
      </c>
      <c r="B954" s="1" t="n">
        <v>45525.49710648148</v>
      </c>
      <c r="C954" s="1" t="n">
        <v>45923</v>
      </c>
      <c r="D954" t="inlineStr">
        <is>
          <t>KALMAR LÄN</t>
        </is>
      </c>
      <c r="E954" t="inlineStr">
        <is>
          <t>VÄSTERVIK</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63018-2023</t>
        </is>
      </c>
      <c r="B955" s="1" t="n">
        <v>45272</v>
      </c>
      <c r="C955" s="1" t="n">
        <v>45923</v>
      </c>
      <c r="D955" t="inlineStr">
        <is>
          <t>KALMAR LÄN</t>
        </is>
      </c>
      <c r="E955" t="inlineStr">
        <is>
          <t>VÄSTERVIK</t>
        </is>
      </c>
      <c r="G955" t="n">
        <v>1.7</v>
      </c>
      <c r="H955" t="n">
        <v>0</v>
      </c>
      <c r="I955" t="n">
        <v>0</v>
      </c>
      <c r="J955" t="n">
        <v>0</v>
      </c>
      <c r="K955" t="n">
        <v>0</v>
      </c>
      <c r="L955" t="n">
        <v>0</v>
      </c>
      <c r="M955" t="n">
        <v>0</v>
      </c>
      <c r="N955" t="n">
        <v>0</v>
      </c>
      <c r="O955" t="n">
        <v>0</v>
      </c>
      <c r="P955" t="n">
        <v>0</v>
      </c>
      <c r="Q955" t="n">
        <v>0</v>
      </c>
      <c r="R955" s="2" t="inlineStr"/>
    </row>
    <row r="956" ht="15" customHeight="1">
      <c r="A956" t="inlineStr">
        <is>
          <t>A 3467-2025</t>
        </is>
      </c>
      <c r="B956" s="1" t="n">
        <v>45680.50885416667</v>
      </c>
      <c r="C956" s="1" t="n">
        <v>45923</v>
      </c>
      <c r="D956" t="inlineStr">
        <is>
          <t>KALMAR LÄN</t>
        </is>
      </c>
      <c r="E956" t="inlineStr">
        <is>
          <t>VÄSTERVIK</t>
        </is>
      </c>
      <c r="G956" t="n">
        <v>2.7</v>
      </c>
      <c r="H956" t="n">
        <v>0</v>
      </c>
      <c r="I956" t="n">
        <v>0</v>
      </c>
      <c r="J956" t="n">
        <v>0</v>
      </c>
      <c r="K956" t="n">
        <v>0</v>
      </c>
      <c r="L956" t="n">
        <v>0</v>
      </c>
      <c r="M956" t="n">
        <v>0</v>
      </c>
      <c r="N956" t="n">
        <v>0</v>
      </c>
      <c r="O956" t="n">
        <v>0</v>
      </c>
      <c r="P956" t="n">
        <v>0</v>
      </c>
      <c r="Q956" t="n">
        <v>0</v>
      </c>
      <c r="R956" s="2" t="inlineStr"/>
    </row>
    <row r="957" ht="15" customHeight="1">
      <c r="A957" t="inlineStr">
        <is>
          <t>A 6021-2024</t>
        </is>
      </c>
      <c r="B957" s="1" t="n">
        <v>45336.62131944444</v>
      </c>
      <c r="C957" s="1" t="n">
        <v>45923</v>
      </c>
      <c r="D957" t="inlineStr">
        <is>
          <t>KALMAR LÄN</t>
        </is>
      </c>
      <c r="E957" t="inlineStr">
        <is>
          <t>VÄSTERVIK</t>
        </is>
      </c>
      <c r="G957" t="n">
        <v>1.7</v>
      </c>
      <c r="H957" t="n">
        <v>0</v>
      </c>
      <c r="I957" t="n">
        <v>0</v>
      </c>
      <c r="J957" t="n">
        <v>0</v>
      </c>
      <c r="K957" t="n">
        <v>0</v>
      </c>
      <c r="L957" t="n">
        <v>0</v>
      </c>
      <c r="M957" t="n">
        <v>0</v>
      </c>
      <c r="N957" t="n">
        <v>0</v>
      </c>
      <c r="O957" t="n">
        <v>0</v>
      </c>
      <c r="P957" t="n">
        <v>0</v>
      </c>
      <c r="Q957" t="n">
        <v>0</v>
      </c>
      <c r="R957" s="2" t="inlineStr"/>
    </row>
    <row r="958" ht="15" customHeight="1">
      <c r="A958" t="inlineStr">
        <is>
          <t>A 28696-2025</t>
        </is>
      </c>
      <c r="B958" s="1" t="n">
        <v>45819.91342592592</v>
      </c>
      <c r="C958" s="1" t="n">
        <v>45923</v>
      </c>
      <c r="D958" t="inlineStr">
        <is>
          <t>KALMAR LÄN</t>
        </is>
      </c>
      <c r="E958" t="inlineStr">
        <is>
          <t>VÄSTERVIK</t>
        </is>
      </c>
      <c r="G958" t="n">
        <v>2.8</v>
      </c>
      <c r="H958" t="n">
        <v>0</v>
      </c>
      <c r="I958" t="n">
        <v>0</v>
      </c>
      <c r="J958" t="n">
        <v>0</v>
      </c>
      <c r="K958" t="n">
        <v>0</v>
      </c>
      <c r="L958" t="n">
        <v>0</v>
      </c>
      <c r="M958" t="n">
        <v>0</v>
      </c>
      <c r="N958" t="n">
        <v>0</v>
      </c>
      <c r="O958" t="n">
        <v>0</v>
      </c>
      <c r="P958" t="n">
        <v>0</v>
      </c>
      <c r="Q958" t="n">
        <v>0</v>
      </c>
      <c r="R958" s="2" t="inlineStr"/>
    </row>
    <row r="959" ht="15" customHeight="1">
      <c r="A959" t="inlineStr">
        <is>
          <t>A 55287-2023</t>
        </is>
      </c>
      <c r="B959" s="1" t="n">
        <v>45237.75578703704</v>
      </c>
      <c r="C959" s="1" t="n">
        <v>45923</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2168-2024</t>
        </is>
      </c>
      <c r="B960" s="1" t="n">
        <v>45309.61756944445</v>
      </c>
      <c r="C960" s="1" t="n">
        <v>45923</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10688-2024</t>
        </is>
      </c>
      <c r="B961" s="1" t="n">
        <v>45369.39894675926</v>
      </c>
      <c r="C961" s="1" t="n">
        <v>45923</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37936-2022</t>
        </is>
      </c>
      <c r="B962" s="1" t="n">
        <v>44811.46958333333</v>
      </c>
      <c r="C962" s="1" t="n">
        <v>45923</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row>
    <row r="963" ht="15" customHeight="1">
      <c r="A963" t="inlineStr">
        <is>
          <t>A 55289-2023</t>
        </is>
      </c>
      <c r="B963" s="1" t="n">
        <v>45237.76106481482</v>
      </c>
      <c r="C963" s="1" t="n">
        <v>45923</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33207-2022</t>
        </is>
      </c>
      <c r="B964" s="1" t="n">
        <v>44785.72373842593</v>
      </c>
      <c r="C964" s="1" t="n">
        <v>45923</v>
      </c>
      <c r="D964" t="inlineStr">
        <is>
          <t>KALMAR LÄN</t>
        </is>
      </c>
      <c r="E964" t="inlineStr">
        <is>
          <t>VÄSTERVIK</t>
        </is>
      </c>
      <c r="G964" t="n">
        <v>0.9</v>
      </c>
      <c r="H964" t="n">
        <v>0</v>
      </c>
      <c r="I964" t="n">
        <v>0</v>
      </c>
      <c r="J964" t="n">
        <v>0</v>
      </c>
      <c r="K964" t="n">
        <v>0</v>
      </c>
      <c r="L964" t="n">
        <v>0</v>
      </c>
      <c r="M964" t="n">
        <v>0</v>
      </c>
      <c r="N964" t="n">
        <v>0</v>
      </c>
      <c r="O964" t="n">
        <v>0</v>
      </c>
      <c r="P964" t="n">
        <v>0</v>
      </c>
      <c r="Q964" t="n">
        <v>0</v>
      </c>
      <c r="R964" s="2" t="inlineStr"/>
    </row>
    <row r="965" ht="15" customHeight="1">
      <c r="A965" t="inlineStr">
        <is>
          <t>A 33210-2022</t>
        </is>
      </c>
      <c r="B965" s="1" t="n">
        <v>44785.74811342593</v>
      </c>
      <c r="C965" s="1" t="n">
        <v>45923</v>
      </c>
      <c r="D965" t="inlineStr">
        <is>
          <t>KALMAR LÄN</t>
        </is>
      </c>
      <c r="E965" t="inlineStr">
        <is>
          <t>VÄSTERVIK</t>
        </is>
      </c>
      <c r="G965" t="n">
        <v>3.2</v>
      </c>
      <c r="H965" t="n">
        <v>0</v>
      </c>
      <c r="I965" t="n">
        <v>0</v>
      </c>
      <c r="J965" t="n">
        <v>0</v>
      </c>
      <c r="K965" t="n">
        <v>0</v>
      </c>
      <c r="L965" t="n">
        <v>0</v>
      </c>
      <c r="M965" t="n">
        <v>0</v>
      </c>
      <c r="N965" t="n">
        <v>0</v>
      </c>
      <c r="O965" t="n">
        <v>0</v>
      </c>
      <c r="P965" t="n">
        <v>0</v>
      </c>
      <c r="Q965" t="n">
        <v>0</v>
      </c>
      <c r="R965" s="2" t="inlineStr"/>
    </row>
    <row r="966" ht="15" customHeight="1">
      <c r="A966" t="inlineStr">
        <is>
          <t>A 10515-2024</t>
        </is>
      </c>
      <c r="B966" s="1" t="n">
        <v>45366</v>
      </c>
      <c r="C966" s="1" t="n">
        <v>45923</v>
      </c>
      <c r="D966" t="inlineStr">
        <is>
          <t>KALMAR LÄN</t>
        </is>
      </c>
      <c r="E966" t="inlineStr">
        <is>
          <t>VÄSTERVIK</t>
        </is>
      </c>
      <c r="F966" t="inlineStr">
        <is>
          <t>Kyrkan</t>
        </is>
      </c>
      <c r="G966" t="n">
        <v>3.5</v>
      </c>
      <c r="H966" t="n">
        <v>0</v>
      </c>
      <c r="I966" t="n">
        <v>0</v>
      </c>
      <c r="J966" t="n">
        <v>0</v>
      </c>
      <c r="K966" t="n">
        <v>0</v>
      </c>
      <c r="L966" t="n">
        <v>0</v>
      </c>
      <c r="M966" t="n">
        <v>0</v>
      </c>
      <c r="N966" t="n">
        <v>0</v>
      </c>
      <c r="O966" t="n">
        <v>0</v>
      </c>
      <c r="P966" t="n">
        <v>0</v>
      </c>
      <c r="Q966" t="n">
        <v>0</v>
      </c>
      <c r="R966" s="2" t="inlineStr"/>
    </row>
    <row r="967" ht="15" customHeight="1">
      <c r="A967" t="inlineStr">
        <is>
          <t>A 46088-2023</t>
        </is>
      </c>
      <c r="B967" s="1" t="n">
        <v>45196.50065972222</v>
      </c>
      <c r="C967" s="1" t="n">
        <v>45923</v>
      </c>
      <c r="D967" t="inlineStr">
        <is>
          <t>KALMAR LÄN</t>
        </is>
      </c>
      <c r="E967" t="inlineStr">
        <is>
          <t>VÄSTERVIK</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46121-2023</t>
        </is>
      </c>
      <c r="B968" s="1" t="n">
        <v>45196.55392361111</v>
      </c>
      <c r="C968" s="1" t="n">
        <v>45923</v>
      </c>
      <c r="D968" t="inlineStr">
        <is>
          <t>KALMAR LÄN</t>
        </is>
      </c>
      <c r="E968" t="inlineStr">
        <is>
          <t>VÄSTERVIK</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61450-2023</t>
        </is>
      </c>
      <c r="B969" s="1" t="n">
        <v>45264.8162037037</v>
      </c>
      <c r="C969" s="1" t="n">
        <v>45923</v>
      </c>
      <c r="D969" t="inlineStr">
        <is>
          <t>KALMAR LÄN</t>
        </is>
      </c>
      <c r="E969" t="inlineStr">
        <is>
          <t>VÄSTERVIK</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56033-2023</t>
        </is>
      </c>
      <c r="B970" s="1" t="n">
        <v>45240.43778935185</v>
      </c>
      <c r="C970" s="1" t="n">
        <v>45923</v>
      </c>
      <c r="D970" t="inlineStr">
        <is>
          <t>KALMAR LÄN</t>
        </is>
      </c>
      <c r="E970" t="inlineStr">
        <is>
          <t>VÄSTERVIK</t>
        </is>
      </c>
      <c r="G970" t="n">
        <v>0.4</v>
      </c>
      <c r="H970" t="n">
        <v>0</v>
      </c>
      <c r="I970" t="n">
        <v>0</v>
      </c>
      <c r="J970" t="n">
        <v>0</v>
      </c>
      <c r="K970" t="n">
        <v>0</v>
      </c>
      <c r="L970" t="n">
        <v>0</v>
      </c>
      <c r="M970" t="n">
        <v>0</v>
      </c>
      <c r="N970" t="n">
        <v>0</v>
      </c>
      <c r="O970" t="n">
        <v>0</v>
      </c>
      <c r="P970" t="n">
        <v>0</v>
      </c>
      <c r="Q970" t="n">
        <v>0</v>
      </c>
      <c r="R970" s="2" t="inlineStr"/>
    </row>
    <row r="971" ht="15" customHeight="1">
      <c r="A971" t="inlineStr">
        <is>
          <t>A 28404-2024</t>
        </is>
      </c>
      <c r="B971" s="1" t="n">
        <v>45477.61552083334</v>
      </c>
      <c r="C971" s="1" t="n">
        <v>45923</v>
      </c>
      <c r="D971" t="inlineStr">
        <is>
          <t>KALMAR LÄN</t>
        </is>
      </c>
      <c r="E971" t="inlineStr">
        <is>
          <t>VÄSTERVIK</t>
        </is>
      </c>
      <c r="F971" t="inlineStr">
        <is>
          <t>Holmen skog AB</t>
        </is>
      </c>
      <c r="G971" t="n">
        <v>0.6</v>
      </c>
      <c r="H971" t="n">
        <v>0</v>
      </c>
      <c r="I971" t="n">
        <v>0</v>
      </c>
      <c r="J971" t="n">
        <v>0</v>
      </c>
      <c r="K971" t="n">
        <v>0</v>
      </c>
      <c r="L971" t="n">
        <v>0</v>
      </c>
      <c r="M971" t="n">
        <v>0</v>
      </c>
      <c r="N971" t="n">
        <v>0</v>
      </c>
      <c r="O971" t="n">
        <v>0</v>
      </c>
      <c r="P971" t="n">
        <v>0</v>
      </c>
      <c r="Q971" t="n">
        <v>0</v>
      </c>
      <c r="R971" s="2" t="inlineStr"/>
    </row>
    <row r="972" ht="15" customHeight="1">
      <c r="A972" t="inlineStr">
        <is>
          <t>A 28415-2024</t>
        </is>
      </c>
      <c r="B972" s="1" t="n">
        <v>45477.62924768519</v>
      </c>
      <c r="C972" s="1" t="n">
        <v>45923</v>
      </c>
      <c r="D972" t="inlineStr">
        <is>
          <t>KALMAR LÄN</t>
        </is>
      </c>
      <c r="E972" t="inlineStr">
        <is>
          <t>VÄSTERVIK</t>
        </is>
      </c>
      <c r="F972" t="inlineStr">
        <is>
          <t>Holmen skog AB</t>
        </is>
      </c>
      <c r="G972" t="n">
        <v>2.7</v>
      </c>
      <c r="H972" t="n">
        <v>0</v>
      </c>
      <c r="I972" t="n">
        <v>0</v>
      </c>
      <c r="J972" t="n">
        <v>0</v>
      </c>
      <c r="K972" t="n">
        <v>0</v>
      </c>
      <c r="L972" t="n">
        <v>0</v>
      </c>
      <c r="M972" t="n">
        <v>0</v>
      </c>
      <c r="N972" t="n">
        <v>0</v>
      </c>
      <c r="O972" t="n">
        <v>0</v>
      </c>
      <c r="P972" t="n">
        <v>0</v>
      </c>
      <c r="Q972" t="n">
        <v>0</v>
      </c>
      <c r="R972" s="2" t="inlineStr"/>
    </row>
    <row r="973" ht="15" customHeight="1">
      <c r="A973" t="inlineStr">
        <is>
          <t>A 934-2024</t>
        </is>
      </c>
      <c r="B973" s="1" t="n">
        <v>45301.51439814815</v>
      </c>
      <c r="C973" s="1" t="n">
        <v>45923</v>
      </c>
      <c r="D973" t="inlineStr">
        <is>
          <t>KALMAR LÄN</t>
        </is>
      </c>
      <c r="E973" t="inlineStr">
        <is>
          <t>VÄSTERVIK</t>
        </is>
      </c>
      <c r="G973" t="n">
        <v>2.3</v>
      </c>
      <c r="H973" t="n">
        <v>0</v>
      </c>
      <c r="I973" t="n">
        <v>0</v>
      </c>
      <c r="J973" t="n">
        <v>0</v>
      </c>
      <c r="K973" t="n">
        <v>0</v>
      </c>
      <c r="L973" t="n">
        <v>0</v>
      </c>
      <c r="M973" t="n">
        <v>0</v>
      </c>
      <c r="N973" t="n">
        <v>0</v>
      </c>
      <c r="O973" t="n">
        <v>0</v>
      </c>
      <c r="P973" t="n">
        <v>0</v>
      </c>
      <c r="Q973" t="n">
        <v>0</v>
      </c>
      <c r="R973" s="2" t="inlineStr"/>
    </row>
    <row r="974" ht="15" customHeight="1">
      <c r="A974" t="inlineStr">
        <is>
          <t>A 936-2024</t>
        </is>
      </c>
      <c r="B974" s="1" t="n">
        <v>45301.51950231481</v>
      </c>
      <c r="C974" s="1" t="n">
        <v>45923</v>
      </c>
      <c r="D974" t="inlineStr">
        <is>
          <t>KALMAR LÄN</t>
        </is>
      </c>
      <c r="E974" t="inlineStr">
        <is>
          <t>VÄSTERVIK</t>
        </is>
      </c>
      <c r="G974" t="n">
        <v>1.4</v>
      </c>
      <c r="H974" t="n">
        <v>0</v>
      </c>
      <c r="I974" t="n">
        <v>0</v>
      </c>
      <c r="J974" t="n">
        <v>0</v>
      </c>
      <c r="K974" t="n">
        <v>0</v>
      </c>
      <c r="L974" t="n">
        <v>0</v>
      </c>
      <c r="M974" t="n">
        <v>0</v>
      </c>
      <c r="N974" t="n">
        <v>0</v>
      </c>
      <c r="O974" t="n">
        <v>0</v>
      </c>
      <c r="P974" t="n">
        <v>0</v>
      </c>
      <c r="Q974" t="n">
        <v>0</v>
      </c>
      <c r="R974" s="2" t="inlineStr"/>
    </row>
    <row r="975" ht="15" customHeight="1">
      <c r="A975" t="inlineStr">
        <is>
          <t>A 29678-2025</t>
        </is>
      </c>
      <c r="B975" s="1" t="n">
        <v>45825.50804398148</v>
      </c>
      <c r="C975" s="1" t="n">
        <v>45923</v>
      </c>
      <c r="D975" t="inlineStr">
        <is>
          <t>KALMAR LÄN</t>
        </is>
      </c>
      <c r="E975" t="inlineStr">
        <is>
          <t>VÄSTERVIK</t>
        </is>
      </c>
      <c r="G975" t="n">
        <v>1.6</v>
      </c>
      <c r="H975" t="n">
        <v>0</v>
      </c>
      <c r="I975" t="n">
        <v>0</v>
      </c>
      <c r="J975" t="n">
        <v>0</v>
      </c>
      <c r="K975" t="n">
        <v>0</v>
      </c>
      <c r="L975" t="n">
        <v>0</v>
      </c>
      <c r="M975" t="n">
        <v>0</v>
      </c>
      <c r="N975" t="n">
        <v>0</v>
      </c>
      <c r="O975" t="n">
        <v>0</v>
      </c>
      <c r="P975" t="n">
        <v>0</v>
      </c>
      <c r="Q975" t="n">
        <v>0</v>
      </c>
      <c r="R975" s="2" t="inlineStr"/>
    </row>
    <row r="976" ht="15" customHeight="1">
      <c r="A976" t="inlineStr">
        <is>
          <t>A 25434-2023</t>
        </is>
      </c>
      <c r="B976" s="1" t="n">
        <v>45089.41912037037</v>
      </c>
      <c r="C976" s="1" t="n">
        <v>45923</v>
      </c>
      <c r="D976" t="inlineStr">
        <is>
          <t>KALMAR LÄN</t>
        </is>
      </c>
      <c r="E976" t="inlineStr">
        <is>
          <t>VÄSTERVIK</t>
        </is>
      </c>
      <c r="G976" t="n">
        <v>0.9</v>
      </c>
      <c r="H976" t="n">
        <v>0</v>
      </c>
      <c r="I976" t="n">
        <v>0</v>
      </c>
      <c r="J976" t="n">
        <v>0</v>
      </c>
      <c r="K976" t="n">
        <v>0</v>
      </c>
      <c r="L976" t="n">
        <v>0</v>
      </c>
      <c r="M976" t="n">
        <v>0</v>
      </c>
      <c r="N976" t="n">
        <v>0</v>
      </c>
      <c r="O976" t="n">
        <v>0</v>
      </c>
      <c r="P976" t="n">
        <v>0</v>
      </c>
      <c r="Q976" t="n">
        <v>0</v>
      </c>
      <c r="R976" s="2" t="inlineStr"/>
    </row>
    <row r="977" ht="15" customHeight="1">
      <c r="A977" t="inlineStr">
        <is>
          <t>A 30644-2025</t>
        </is>
      </c>
      <c r="B977" s="1" t="n">
        <v>45831</v>
      </c>
      <c r="C977" s="1" t="n">
        <v>45923</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30811-2025</t>
        </is>
      </c>
      <c r="B978" s="1" t="n">
        <v>45831.65712962963</v>
      </c>
      <c r="C978" s="1" t="n">
        <v>45923</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18068-2023</t>
        </is>
      </c>
      <c r="B979" s="1" t="n">
        <v>45040</v>
      </c>
      <c r="C979" s="1" t="n">
        <v>45923</v>
      </c>
      <c r="D979" t="inlineStr">
        <is>
          <t>KALMAR LÄN</t>
        </is>
      </c>
      <c r="E979" t="inlineStr">
        <is>
          <t>VÄSTERVIK</t>
        </is>
      </c>
      <c r="G979" t="n">
        <v>1.5</v>
      </c>
      <c r="H979" t="n">
        <v>0</v>
      </c>
      <c r="I979" t="n">
        <v>0</v>
      </c>
      <c r="J979" t="n">
        <v>0</v>
      </c>
      <c r="K979" t="n">
        <v>0</v>
      </c>
      <c r="L979" t="n">
        <v>0</v>
      </c>
      <c r="M979" t="n">
        <v>0</v>
      </c>
      <c r="N979" t="n">
        <v>0</v>
      </c>
      <c r="O979" t="n">
        <v>0</v>
      </c>
      <c r="P979" t="n">
        <v>0</v>
      </c>
      <c r="Q979" t="n">
        <v>0</v>
      </c>
      <c r="R979" s="2" t="inlineStr"/>
    </row>
    <row r="980" ht="15" customHeight="1">
      <c r="A980" t="inlineStr">
        <is>
          <t>A 30800-2025</t>
        </is>
      </c>
      <c r="B980" s="1" t="n">
        <v>45831.65177083333</v>
      </c>
      <c r="C980" s="1" t="n">
        <v>45923</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30789-2025</t>
        </is>
      </c>
      <c r="B981" s="1" t="n">
        <v>45831.63174768518</v>
      </c>
      <c r="C981" s="1" t="n">
        <v>45923</v>
      </c>
      <c r="D981" t="inlineStr">
        <is>
          <t>KALMAR LÄN</t>
        </is>
      </c>
      <c r="E981" t="inlineStr">
        <is>
          <t>VÄSTERVIK</t>
        </is>
      </c>
      <c r="G981" t="n">
        <v>7</v>
      </c>
      <c r="H981" t="n">
        <v>0</v>
      </c>
      <c r="I981" t="n">
        <v>0</v>
      </c>
      <c r="J981" t="n">
        <v>0</v>
      </c>
      <c r="K981" t="n">
        <v>0</v>
      </c>
      <c r="L981" t="n">
        <v>0</v>
      </c>
      <c r="M981" t="n">
        <v>0</v>
      </c>
      <c r="N981" t="n">
        <v>0</v>
      </c>
      <c r="O981" t="n">
        <v>0</v>
      </c>
      <c r="P981" t="n">
        <v>0</v>
      </c>
      <c r="Q981" t="n">
        <v>0</v>
      </c>
      <c r="R981" s="2" t="inlineStr"/>
    </row>
    <row r="982" ht="15" customHeight="1">
      <c r="A982" t="inlineStr">
        <is>
          <t>A 925-2024</t>
        </is>
      </c>
      <c r="B982" s="1" t="n">
        <v>45301</v>
      </c>
      <c r="C982" s="1" t="n">
        <v>45923</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33277-2023</t>
        </is>
      </c>
      <c r="B983" s="1" t="n">
        <v>45114</v>
      </c>
      <c r="C983" s="1" t="n">
        <v>45923</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30690-2025</t>
        </is>
      </c>
      <c r="B984" s="1" t="n">
        <v>45831.53775462963</v>
      </c>
      <c r="C984" s="1" t="n">
        <v>45923</v>
      </c>
      <c r="D984" t="inlineStr">
        <is>
          <t>KALMAR LÄN</t>
        </is>
      </c>
      <c r="E984" t="inlineStr">
        <is>
          <t>VÄSTERVIK</t>
        </is>
      </c>
      <c r="G984" t="n">
        <v>1.6</v>
      </c>
      <c r="H984" t="n">
        <v>0</v>
      </c>
      <c r="I984" t="n">
        <v>0</v>
      </c>
      <c r="J984" t="n">
        <v>0</v>
      </c>
      <c r="K984" t="n">
        <v>0</v>
      </c>
      <c r="L984" t="n">
        <v>0</v>
      </c>
      <c r="M984" t="n">
        <v>0</v>
      </c>
      <c r="N984" t="n">
        <v>0</v>
      </c>
      <c r="O984" t="n">
        <v>0</v>
      </c>
      <c r="P984" t="n">
        <v>0</v>
      </c>
      <c r="Q984" t="n">
        <v>0</v>
      </c>
      <c r="R984" s="2" t="inlineStr"/>
    </row>
    <row r="985" ht="15" customHeight="1">
      <c r="A985" t="inlineStr">
        <is>
          <t>A 30648-2025</t>
        </is>
      </c>
      <c r="B985" s="1" t="n">
        <v>45831</v>
      </c>
      <c r="C985" s="1" t="n">
        <v>45923</v>
      </c>
      <c r="D985" t="inlineStr">
        <is>
          <t>KALMAR LÄN</t>
        </is>
      </c>
      <c r="E985" t="inlineStr">
        <is>
          <t>VÄSTERVIK</t>
        </is>
      </c>
      <c r="G985" t="n">
        <v>3</v>
      </c>
      <c r="H985" t="n">
        <v>0</v>
      </c>
      <c r="I985" t="n">
        <v>0</v>
      </c>
      <c r="J985" t="n">
        <v>0</v>
      </c>
      <c r="K985" t="n">
        <v>0</v>
      </c>
      <c r="L985" t="n">
        <v>0</v>
      </c>
      <c r="M985" t="n">
        <v>0</v>
      </c>
      <c r="N985" t="n">
        <v>0</v>
      </c>
      <c r="O985" t="n">
        <v>0</v>
      </c>
      <c r="P985" t="n">
        <v>0</v>
      </c>
      <c r="Q985" t="n">
        <v>0</v>
      </c>
      <c r="R985" s="2" t="inlineStr"/>
    </row>
    <row r="986" ht="15" customHeight="1">
      <c r="A986" t="inlineStr">
        <is>
          <t>A 31576-2025</t>
        </is>
      </c>
      <c r="B986" s="1" t="n">
        <v>45833.67266203704</v>
      </c>
      <c r="C986" s="1" t="n">
        <v>45923</v>
      </c>
      <c r="D986" t="inlineStr">
        <is>
          <t>KALMAR LÄN</t>
        </is>
      </c>
      <c r="E986" t="inlineStr">
        <is>
          <t>VÄSTERVIK</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31826-2025</t>
        </is>
      </c>
      <c r="B987" s="1" t="n">
        <v>45834.58306712963</v>
      </c>
      <c r="C987" s="1" t="n">
        <v>45923</v>
      </c>
      <c r="D987" t="inlineStr">
        <is>
          <t>KALMAR LÄN</t>
        </is>
      </c>
      <c r="E987" t="inlineStr">
        <is>
          <t>VÄSTERVIK</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63890-2023</t>
        </is>
      </c>
      <c r="B988" s="1" t="n">
        <v>45278</v>
      </c>
      <c r="C988" s="1" t="n">
        <v>45923</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31843-2025</t>
        </is>
      </c>
      <c r="B989" s="1" t="n">
        <v>45834.5984375</v>
      </c>
      <c r="C989" s="1" t="n">
        <v>45923</v>
      </c>
      <c r="D989" t="inlineStr">
        <is>
          <t>KALMAR LÄN</t>
        </is>
      </c>
      <c r="E989" t="inlineStr">
        <is>
          <t>VÄSTERVIK</t>
        </is>
      </c>
      <c r="F989" t="inlineStr">
        <is>
          <t>Holmen skog AB</t>
        </is>
      </c>
      <c r="G989" t="n">
        <v>4.5</v>
      </c>
      <c r="H989" t="n">
        <v>0</v>
      </c>
      <c r="I989" t="n">
        <v>0</v>
      </c>
      <c r="J989" t="n">
        <v>0</v>
      </c>
      <c r="K989" t="n">
        <v>0</v>
      </c>
      <c r="L989" t="n">
        <v>0</v>
      </c>
      <c r="M989" t="n">
        <v>0</v>
      </c>
      <c r="N989" t="n">
        <v>0</v>
      </c>
      <c r="O989" t="n">
        <v>0</v>
      </c>
      <c r="P989" t="n">
        <v>0</v>
      </c>
      <c r="Q989" t="n">
        <v>0</v>
      </c>
      <c r="R989" s="2" t="inlineStr"/>
    </row>
    <row r="990" ht="15" customHeight="1">
      <c r="A990" t="inlineStr">
        <is>
          <t>A 31857-2025</t>
        </is>
      </c>
      <c r="B990" s="1" t="n">
        <v>45834.62629629629</v>
      </c>
      <c r="C990" s="1" t="n">
        <v>45923</v>
      </c>
      <c r="D990" t="inlineStr">
        <is>
          <t>KALMAR LÄN</t>
        </is>
      </c>
      <c r="E990" t="inlineStr">
        <is>
          <t>VÄSTERVIK</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31419-2025</t>
        </is>
      </c>
      <c r="B991" s="1" t="n">
        <v>45833.48370370371</v>
      </c>
      <c r="C991" s="1" t="n">
        <v>45923</v>
      </c>
      <c r="D991" t="inlineStr">
        <is>
          <t>KALMAR LÄN</t>
        </is>
      </c>
      <c r="E991" t="inlineStr">
        <is>
          <t>VÄSTERVIK</t>
        </is>
      </c>
      <c r="F991" t="inlineStr">
        <is>
          <t>Kommuner</t>
        </is>
      </c>
      <c r="G991" t="n">
        <v>1.1</v>
      </c>
      <c r="H991" t="n">
        <v>0</v>
      </c>
      <c r="I991" t="n">
        <v>0</v>
      </c>
      <c r="J991" t="n">
        <v>0</v>
      </c>
      <c r="K991" t="n">
        <v>0</v>
      </c>
      <c r="L991" t="n">
        <v>0</v>
      </c>
      <c r="M991" t="n">
        <v>0</v>
      </c>
      <c r="N991" t="n">
        <v>0</v>
      </c>
      <c r="O991" t="n">
        <v>0</v>
      </c>
      <c r="P991" t="n">
        <v>0</v>
      </c>
      <c r="Q991" t="n">
        <v>0</v>
      </c>
      <c r="R991" s="2" t="inlineStr"/>
    </row>
    <row r="992" ht="15" customHeight="1">
      <c r="A992" t="inlineStr">
        <is>
          <t>A 23706-2025</t>
        </is>
      </c>
      <c r="B992" s="1" t="n">
        <v>45793.36922453704</v>
      </c>
      <c r="C992" s="1" t="n">
        <v>45923</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31886-2025</t>
        </is>
      </c>
      <c r="B993" s="1" t="n">
        <v>45834.65864583333</v>
      </c>
      <c r="C993" s="1" t="n">
        <v>45923</v>
      </c>
      <c r="D993" t="inlineStr">
        <is>
          <t>KALMAR LÄN</t>
        </is>
      </c>
      <c r="E993" t="inlineStr">
        <is>
          <t>VÄSTERVIK</t>
        </is>
      </c>
      <c r="F993" t="inlineStr">
        <is>
          <t>Holmen skog AB</t>
        </is>
      </c>
      <c r="G993" t="n">
        <v>4.1</v>
      </c>
      <c r="H993" t="n">
        <v>0</v>
      </c>
      <c r="I993" t="n">
        <v>0</v>
      </c>
      <c r="J993" t="n">
        <v>0</v>
      </c>
      <c r="K993" t="n">
        <v>0</v>
      </c>
      <c r="L993" t="n">
        <v>0</v>
      </c>
      <c r="M993" t="n">
        <v>0</v>
      </c>
      <c r="N993" t="n">
        <v>0</v>
      </c>
      <c r="O993" t="n">
        <v>0</v>
      </c>
      <c r="P993" t="n">
        <v>0</v>
      </c>
      <c r="Q993" t="n">
        <v>0</v>
      </c>
      <c r="R993" s="2" t="inlineStr"/>
    </row>
    <row r="994" ht="15" customHeight="1">
      <c r="A994" t="inlineStr">
        <is>
          <t>A 31600-2025</t>
        </is>
      </c>
      <c r="B994" s="1" t="n">
        <v>45833.72505787037</v>
      </c>
      <c r="C994" s="1" t="n">
        <v>45923</v>
      </c>
      <c r="D994" t="inlineStr">
        <is>
          <t>KALMAR LÄN</t>
        </is>
      </c>
      <c r="E994" t="inlineStr">
        <is>
          <t>VÄSTERVIK</t>
        </is>
      </c>
      <c r="F994" t="inlineStr">
        <is>
          <t>Holmen skog AB</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32018-2025</t>
        </is>
      </c>
      <c r="B995" s="1" t="n">
        <v>45835.40452546296</v>
      </c>
      <c r="C995" s="1" t="n">
        <v>45923</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32495-2025</t>
        </is>
      </c>
      <c r="B996" s="1" t="n">
        <v>45838.4546875</v>
      </c>
      <c r="C996" s="1" t="n">
        <v>45923</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32778-2025</t>
        </is>
      </c>
      <c r="B997" s="1" t="n">
        <v>45839.46924768519</v>
      </c>
      <c r="C997" s="1" t="n">
        <v>45923</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32400-2025</t>
        </is>
      </c>
      <c r="B998" s="1" t="n">
        <v>45838.25818287037</v>
      </c>
      <c r="C998" s="1" t="n">
        <v>45923</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33922-2025</t>
        </is>
      </c>
      <c r="B999" s="1" t="n">
        <v>45842.61993055556</v>
      </c>
      <c r="C999" s="1" t="n">
        <v>45923</v>
      </c>
      <c r="D999" t="inlineStr">
        <is>
          <t>KALMAR LÄN</t>
        </is>
      </c>
      <c r="E999" t="inlineStr">
        <is>
          <t>VÄSTERVIK</t>
        </is>
      </c>
      <c r="G999" t="n">
        <v>1.5</v>
      </c>
      <c r="H999" t="n">
        <v>0</v>
      </c>
      <c r="I999" t="n">
        <v>0</v>
      </c>
      <c r="J999" t="n">
        <v>0</v>
      </c>
      <c r="K999" t="n">
        <v>0</v>
      </c>
      <c r="L999" t="n">
        <v>0</v>
      </c>
      <c r="M999" t="n">
        <v>0</v>
      </c>
      <c r="N999" t="n">
        <v>0</v>
      </c>
      <c r="O999" t="n">
        <v>0</v>
      </c>
      <c r="P999" t="n">
        <v>0</v>
      </c>
      <c r="Q999" t="n">
        <v>0</v>
      </c>
      <c r="R999" s="2" t="inlineStr"/>
    </row>
    <row r="1000" ht="15" customHeight="1">
      <c r="A1000" t="inlineStr">
        <is>
          <t>A 33928-2025</t>
        </is>
      </c>
      <c r="B1000" s="1" t="n">
        <v>45842.62488425926</v>
      </c>
      <c r="C1000" s="1" t="n">
        <v>45923</v>
      </c>
      <c r="D1000" t="inlineStr">
        <is>
          <t>KALMAR LÄN</t>
        </is>
      </c>
      <c r="E1000" t="inlineStr">
        <is>
          <t>VÄSTERVIK</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33903-2025</t>
        </is>
      </c>
      <c r="B1001" s="1" t="n">
        <v>45842.59581018519</v>
      </c>
      <c r="C1001" s="1" t="n">
        <v>45923</v>
      </c>
      <c r="D1001" t="inlineStr">
        <is>
          <t>KALMAR LÄN</t>
        </is>
      </c>
      <c r="E1001" t="inlineStr">
        <is>
          <t>VÄSTERVIK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33924-2025</t>
        </is>
      </c>
      <c r="B1002" s="1" t="n">
        <v>45842.62152777778</v>
      </c>
      <c r="C1002" s="1" t="n">
        <v>45923</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33921-2025</t>
        </is>
      </c>
      <c r="B1003" s="1" t="n">
        <v>45842.61626157408</v>
      </c>
      <c r="C1003" s="1" t="n">
        <v>45923</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33842-2025</t>
        </is>
      </c>
      <c r="B1004" s="1" t="n">
        <v>45842.48217592593</v>
      </c>
      <c r="C1004" s="1" t="n">
        <v>45923</v>
      </c>
      <c r="D1004" t="inlineStr">
        <is>
          <t>KALMAR LÄN</t>
        </is>
      </c>
      <c r="E1004" t="inlineStr">
        <is>
          <t>VÄSTERVIK</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33931-2025</t>
        </is>
      </c>
      <c r="B1005" s="1" t="n">
        <v>45842.63288194445</v>
      </c>
      <c r="C1005" s="1" t="n">
        <v>45923</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33907-2025</t>
        </is>
      </c>
      <c r="B1006" s="1" t="n">
        <v>45842.59880787037</v>
      </c>
      <c r="C1006" s="1" t="n">
        <v>45923</v>
      </c>
      <c r="D1006" t="inlineStr">
        <is>
          <t>KALMAR LÄN</t>
        </is>
      </c>
      <c r="E1006" t="inlineStr">
        <is>
          <t>VÄSTERVIK</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23024-2025</t>
        </is>
      </c>
      <c r="B1007" s="1" t="n">
        <v>45790.65615740741</v>
      </c>
      <c r="C1007" s="1" t="n">
        <v>45923</v>
      </c>
      <c r="D1007" t="inlineStr">
        <is>
          <t>KALMAR LÄN</t>
        </is>
      </c>
      <c r="E1007" t="inlineStr">
        <is>
          <t>VÄSTERVIK</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34162-2025</t>
        </is>
      </c>
      <c r="B1008" s="1" t="n">
        <v>45845.57983796296</v>
      </c>
      <c r="C1008" s="1" t="n">
        <v>45923</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34289-2025</t>
        </is>
      </c>
      <c r="B1009" s="1" t="n">
        <v>45846.334375</v>
      </c>
      <c r="C1009" s="1" t="n">
        <v>45923</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34397-2025</t>
        </is>
      </c>
      <c r="B1010" s="1" t="n">
        <v>45846.59813657407</v>
      </c>
      <c r="C1010" s="1" t="n">
        <v>45923</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34160-2025</t>
        </is>
      </c>
      <c r="B1011" s="1" t="n">
        <v>45845.57701388889</v>
      </c>
      <c r="C1011" s="1" t="n">
        <v>45923</v>
      </c>
      <c r="D1011" t="inlineStr">
        <is>
          <t>KALMAR LÄN</t>
        </is>
      </c>
      <c r="E1011" t="inlineStr">
        <is>
          <t>VÄSTERVIK</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34171-2025</t>
        </is>
      </c>
      <c r="B1012" s="1" t="n">
        <v>45845.58966435185</v>
      </c>
      <c r="C1012" s="1" t="n">
        <v>45923</v>
      </c>
      <c r="D1012" t="inlineStr">
        <is>
          <t>KALMAR LÄN</t>
        </is>
      </c>
      <c r="E1012" t="inlineStr">
        <is>
          <t>VÄSTERVIK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38442-2025</t>
        </is>
      </c>
      <c r="B1013" s="1" t="n">
        <v>45883</v>
      </c>
      <c r="C1013" s="1" t="n">
        <v>45923</v>
      </c>
      <c r="D1013" t="inlineStr">
        <is>
          <t>KALMAR LÄN</t>
        </is>
      </c>
      <c r="E1013" t="inlineStr">
        <is>
          <t>VÄSTERVIK</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34617-2025</t>
        </is>
      </c>
      <c r="B1014" s="1" t="n">
        <v>45847</v>
      </c>
      <c r="C1014" s="1" t="n">
        <v>45923</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34618-2025</t>
        </is>
      </c>
      <c r="B1015" s="1" t="n">
        <v>45847</v>
      </c>
      <c r="C1015" s="1" t="n">
        <v>45923</v>
      </c>
      <c r="D1015" t="inlineStr">
        <is>
          <t>KALMAR LÄN</t>
        </is>
      </c>
      <c r="E1015" t="inlineStr">
        <is>
          <t>VÄSTERVIK</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34639-2025</t>
        </is>
      </c>
      <c r="B1016" s="1" t="n">
        <v>45848</v>
      </c>
      <c r="C1016" s="1" t="n">
        <v>45923</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39425-2025</t>
        </is>
      </c>
      <c r="B1017" s="1" t="n">
        <v>45889.67297453704</v>
      </c>
      <c r="C1017" s="1" t="n">
        <v>45923</v>
      </c>
      <c r="D1017" t="inlineStr">
        <is>
          <t>KALMAR LÄN</t>
        </is>
      </c>
      <c r="E1017" t="inlineStr">
        <is>
          <t>VÄSTERVIK</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39430-2025</t>
        </is>
      </c>
      <c r="B1018" s="1" t="n">
        <v>45889.67606481481</v>
      </c>
      <c r="C1018" s="1" t="n">
        <v>45923</v>
      </c>
      <c r="D1018" t="inlineStr">
        <is>
          <t>KALMAR LÄN</t>
        </is>
      </c>
      <c r="E1018" t="inlineStr">
        <is>
          <t>VÄSTERVIK</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34531-2025</t>
        </is>
      </c>
      <c r="B1019" s="1" t="n">
        <v>45847.50152777778</v>
      </c>
      <c r="C1019" s="1" t="n">
        <v>45923</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34619-2025</t>
        </is>
      </c>
      <c r="B1020" s="1" t="n">
        <v>45847</v>
      </c>
      <c r="C1020" s="1" t="n">
        <v>45923</v>
      </c>
      <c r="D1020" t="inlineStr">
        <is>
          <t>KALMAR LÄN</t>
        </is>
      </c>
      <c r="E1020" t="inlineStr">
        <is>
          <t>VÄSTERVIK</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39442-2025</t>
        </is>
      </c>
      <c r="B1021" s="1" t="n">
        <v>45889.6947337963</v>
      </c>
      <c r="C1021" s="1" t="n">
        <v>45923</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c r="A1022" t="inlineStr">
        <is>
          <t>A 34643-2025</t>
        </is>
      </c>
      <c r="B1022" s="1" t="n">
        <v>45848.32959490741</v>
      </c>
      <c r="C1022" s="1" t="n">
        <v>45923</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2025-09-23T10:22:48Z</dcterms:created>
  <dcterms:modified xmlns:dcterms="http://purl.org/dc/terms/" xmlns:xsi="http://www.w3.org/2001/XMLSchema-instance" xsi:type="dcterms:W3CDTF">2025-09-23T10:22:49Z</dcterms:modified>
</cp:coreProperties>
</file>