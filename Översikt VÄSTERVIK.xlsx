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45882</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45882</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45882</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11444-2025</t>
        </is>
      </c>
      <c r="B8" s="1" t="n">
        <v>45726.63050925926</v>
      </c>
      <c r="C8" s="1" t="n">
        <v>45882</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45882</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45882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45882</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45882</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45882</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45882</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45882</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56737-2023</t>
        </is>
      </c>
      <c r="B16" s="1" t="n">
        <v>45244</v>
      </c>
      <c r="C16" s="1" t="n">
        <v>45882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20094-2024</t>
        </is>
      </c>
      <c r="B17" s="1" t="n">
        <v>45434</v>
      </c>
      <c r="C17" s="1" t="n">
        <v>45882</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46954-2024</t>
        </is>
      </c>
      <c r="B18" s="1" t="n">
        <v>45585</v>
      </c>
      <c r="C18" s="1" t="n">
        <v>45882</v>
      </c>
      <c r="D18" t="inlineStr">
        <is>
          <t>KALMAR LÄN</t>
        </is>
      </c>
      <c r="E18" t="inlineStr">
        <is>
          <t>VÄSTERVIK</t>
        </is>
      </c>
      <c r="G18" t="n">
        <v>6.5</v>
      </c>
      <c r="H18" t="n">
        <v>3</v>
      </c>
      <c r="I18" t="n">
        <v>2</v>
      </c>
      <c r="J18" t="n">
        <v>4</v>
      </c>
      <c r="K18" t="n">
        <v>1</v>
      </c>
      <c r="L18" t="n">
        <v>0</v>
      </c>
      <c r="M18" t="n">
        <v>0</v>
      </c>
      <c r="N18" t="n">
        <v>0</v>
      </c>
      <c r="O18" t="n">
        <v>5</v>
      </c>
      <c r="P18" t="n">
        <v>1</v>
      </c>
      <c r="Q18" t="n">
        <v>8</v>
      </c>
      <c r="R18" s="2" t="inlineStr">
        <is>
          <t>Knärot
Ekticka
Kandelabersvamp
Tallticka
Talltita
Dropptaggsvamp
Murgröna
Blåsippa</t>
        </is>
      </c>
      <c r="S18">
        <f>HYPERLINK("https://klasma.github.io/Logging_0883/artfynd/A 46954-2024 artfynd.xlsx", "A 46954-2024")</f>
        <v/>
      </c>
      <c r="T18">
        <f>HYPERLINK("https://klasma.github.io/Logging_0883/kartor/A 46954-2024 karta.png", "A 46954-2024")</f>
        <v/>
      </c>
      <c r="U18">
        <f>HYPERLINK("https://klasma.github.io/Logging_0883/knärot/A 46954-2024 karta knärot.png", "A 46954-2024")</f>
        <v/>
      </c>
      <c r="V18">
        <f>HYPERLINK("https://klasma.github.io/Logging_0883/klagomål/A 46954-2024 FSC-klagomål.docx", "A 46954-2024")</f>
        <v/>
      </c>
      <c r="W18">
        <f>HYPERLINK("https://klasma.github.io/Logging_0883/klagomålsmail/A 46954-2024 FSC-klagomål mail.docx", "A 46954-2024")</f>
        <v/>
      </c>
      <c r="X18">
        <f>HYPERLINK("https://klasma.github.io/Logging_0883/tillsyn/A 46954-2024 tillsynsbegäran.docx", "A 46954-2024")</f>
        <v/>
      </c>
      <c r="Y18">
        <f>HYPERLINK("https://klasma.github.io/Logging_0883/tillsynsmail/A 46954-2024 tillsynsbegäran mail.docx", "A 46954-2024")</f>
        <v/>
      </c>
      <c r="Z18">
        <f>HYPERLINK("https://klasma.github.io/Logging_0883/fåglar/A 46954-2024 prioriterade fågelarter.docx", "A 46954-2024")</f>
        <v/>
      </c>
    </row>
    <row r="19" ht="15" customHeight="1">
      <c r="A19" t="inlineStr">
        <is>
          <t>A 26281-2024</t>
        </is>
      </c>
      <c r="B19" s="1" t="n">
        <v>45468</v>
      </c>
      <c r="C19" s="1" t="n">
        <v>45882</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45882</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45882</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27378-2024</t>
        </is>
      </c>
      <c r="B22" s="1" t="n">
        <v>45473</v>
      </c>
      <c r="C22" s="1" t="n">
        <v>45882</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34624-2022</t>
        </is>
      </c>
      <c r="B23" s="1" t="n">
        <v>44795</v>
      </c>
      <c r="C23" s="1" t="n">
        <v>45882</v>
      </c>
      <c r="D23" t="inlineStr">
        <is>
          <t>KALMAR LÄN</t>
        </is>
      </c>
      <c r="E23" t="inlineStr">
        <is>
          <t>VÄSTERVIK</t>
        </is>
      </c>
      <c r="G23" t="n">
        <v>14</v>
      </c>
      <c r="H23" t="n">
        <v>2</v>
      </c>
      <c r="I23" t="n">
        <v>3</v>
      </c>
      <c r="J23" t="n">
        <v>3</v>
      </c>
      <c r="K23" t="n">
        <v>1</v>
      </c>
      <c r="L23" t="n">
        <v>0</v>
      </c>
      <c r="M23" t="n">
        <v>0</v>
      </c>
      <c r="N23" t="n">
        <v>0</v>
      </c>
      <c r="O23" t="n">
        <v>4</v>
      </c>
      <c r="P23" t="n">
        <v>1</v>
      </c>
      <c r="Q23" t="n">
        <v>7</v>
      </c>
      <c r="R23" s="2" t="inlineStr">
        <is>
          <t>Knärot
Svart taggsvamp
Tallticka
Talltita
Blomkålssvamp
Blåmossa
Grönpyrola</t>
        </is>
      </c>
      <c r="S23">
        <f>HYPERLINK("https://klasma.github.io/Logging_0883/artfynd/A 34624-2022 artfynd.xlsx", "A 34624-2022")</f>
        <v/>
      </c>
      <c r="T23">
        <f>HYPERLINK("https://klasma.github.io/Logging_0883/kartor/A 34624-2022 karta.png", "A 34624-2022")</f>
        <v/>
      </c>
      <c r="U23">
        <f>HYPERLINK("https://klasma.github.io/Logging_0883/knärot/A 34624-2022 karta knärot.png", "A 34624-2022")</f>
        <v/>
      </c>
      <c r="V23">
        <f>HYPERLINK("https://klasma.github.io/Logging_0883/klagomål/A 34624-2022 FSC-klagomål.docx", "A 34624-2022")</f>
        <v/>
      </c>
      <c r="W23">
        <f>HYPERLINK("https://klasma.github.io/Logging_0883/klagomålsmail/A 34624-2022 FSC-klagomål mail.docx", "A 34624-2022")</f>
        <v/>
      </c>
      <c r="X23">
        <f>HYPERLINK("https://klasma.github.io/Logging_0883/tillsyn/A 34624-2022 tillsynsbegäran.docx", "A 34624-2022")</f>
        <v/>
      </c>
      <c r="Y23">
        <f>HYPERLINK("https://klasma.github.io/Logging_0883/tillsynsmail/A 34624-2022 tillsynsbegäran mail.docx", "A 34624-2022")</f>
        <v/>
      </c>
      <c r="Z23">
        <f>HYPERLINK("https://klasma.github.io/Logging_0883/fåglar/A 34624-2022 prioriterade fågelarter.docx", "A 34624-2022")</f>
        <v/>
      </c>
    </row>
    <row r="24" ht="15" customHeight="1">
      <c r="A24" t="inlineStr">
        <is>
          <t>A 59457-2024</t>
        </is>
      </c>
      <c r="B24" s="1" t="n">
        <v>45638</v>
      </c>
      <c r="C24" s="1" t="n">
        <v>45882</v>
      </c>
      <c r="D24" t="inlineStr">
        <is>
          <t>KALMAR LÄN</t>
        </is>
      </c>
      <c r="E24" t="inlineStr">
        <is>
          <t>VÄSTERVIK</t>
        </is>
      </c>
      <c r="F24" t="inlineStr">
        <is>
          <t>Holmen skog AB</t>
        </is>
      </c>
      <c r="G24" t="n">
        <v>1.2</v>
      </c>
      <c r="H24" t="n">
        <v>4</v>
      </c>
      <c r="I24" t="n">
        <v>2</v>
      </c>
      <c r="J24" t="n">
        <v>3</v>
      </c>
      <c r="K24" t="n">
        <v>0</v>
      </c>
      <c r="L24" t="n">
        <v>0</v>
      </c>
      <c r="M24" t="n">
        <v>0</v>
      </c>
      <c r="N24" t="n">
        <v>0</v>
      </c>
      <c r="O24" t="n">
        <v>3</v>
      </c>
      <c r="P24" t="n">
        <v>0</v>
      </c>
      <c r="Q24" t="n">
        <v>7</v>
      </c>
      <c r="R24" s="2" t="inlineStr">
        <is>
          <t>Spillkråka
Tallticka
Talltita
Blåmossa
Flagellkvastmossa
Kungsfågel
Revlummer</t>
        </is>
      </c>
      <c r="S24">
        <f>HYPERLINK("https://klasma.github.io/Logging_0883/artfynd/A 59457-2024 artfynd.xlsx", "A 59457-2024")</f>
        <v/>
      </c>
      <c r="T24">
        <f>HYPERLINK("https://klasma.github.io/Logging_0883/kartor/A 59457-2024 karta.png", "A 59457-2024")</f>
        <v/>
      </c>
      <c r="V24">
        <f>HYPERLINK("https://klasma.github.io/Logging_0883/klagomål/A 59457-2024 FSC-klagomål.docx", "A 59457-2024")</f>
        <v/>
      </c>
      <c r="W24">
        <f>HYPERLINK("https://klasma.github.io/Logging_0883/klagomålsmail/A 59457-2024 FSC-klagomål mail.docx", "A 59457-2024")</f>
        <v/>
      </c>
      <c r="X24">
        <f>HYPERLINK("https://klasma.github.io/Logging_0883/tillsyn/A 59457-2024 tillsynsbegäran.docx", "A 59457-2024")</f>
        <v/>
      </c>
      <c r="Y24">
        <f>HYPERLINK("https://klasma.github.io/Logging_0883/tillsynsmail/A 59457-2024 tillsynsbegäran mail.docx", "A 59457-2024")</f>
        <v/>
      </c>
      <c r="Z24">
        <f>HYPERLINK("https://klasma.github.io/Logging_0883/fåglar/A 59457-2024 prioriterade fågelarter.docx", "A 59457-2024")</f>
        <v/>
      </c>
    </row>
    <row r="25" ht="15" customHeight="1">
      <c r="A25" t="inlineStr">
        <is>
          <t>A 39298-2024</t>
        </is>
      </c>
      <c r="B25" s="1" t="n">
        <v>45551</v>
      </c>
      <c r="C25" s="1" t="n">
        <v>45882</v>
      </c>
      <c r="D25" t="inlineStr">
        <is>
          <t>KALMAR LÄN</t>
        </is>
      </c>
      <c r="E25" t="inlineStr">
        <is>
          <t>VÄSTERVIK</t>
        </is>
      </c>
      <c r="G25" t="n">
        <v>1.2</v>
      </c>
      <c r="H25" t="n">
        <v>3</v>
      </c>
      <c r="I25" t="n">
        <v>5</v>
      </c>
      <c r="J25" t="n">
        <v>1</v>
      </c>
      <c r="K25" t="n">
        <v>1</v>
      </c>
      <c r="L25" t="n">
        <v>0</v>
      </c>
      <c r="M25" t="n">
        <v>0</v>
      </c>
      <c r="N25" t="n">
        <v>0</v>
      </c>
      <c r="O25" t="n">
        <v>2</v>
      </c>
      <c r="P25" t="n">
        <v>1</v>
      </c>
      <c r="Q25" t="n">
        <v>7</v>
      </c>
      <c r="R25" s="2" t="inlineStr">
        <is>
          <t>Knärot
Talltita
Dropptaggsvamp
Grön sköldmossa
Grönpyrola
Rödgul trumpetsvamp
Stubbspretmossa</t>
        </is>
      </c>
      <c r="S25">
        <f>HYPERLINK("https://klasma.github.io/Logging_0883/artfynd/A 39298-2024 artfynd.xlsx", "A 39298-2024")</f>
        <v/>
      </c>
      <c r="T25">
        <f>HYPERLINK("https://klasma.github.io/Logging_0883/kartor/A 39298-2024 karta.png", "A 39298-2024")</f>
        <v/>
      </c>
      <c r="U25">
        <f>HYPERLINK("https://klasma.github.io/Logging_0883/knärot/A 39298-2024 karta knärot.png", "A 39298-2024")</f>
        <v/>
      </c>
      <c r="V25">
        <f>HYPERLINK("https://klasma.github.io/Logging_0883/klagomål/A 39298-2024 FSC-klagomål.docx", "A 39298-2024")</f>
        <v/>
      </c>
      <c r="W25">
        <f>HYPERLINK("https://klasma.github.io/Logging_0883/klagomålsmail/A 39298-2024 FSC-klagomål mail.docx", "A 39298-2024")</f>
        <v/>
      </c>
      <c r="X25">
        <f>HYPERLINK("https://klasma.github.io/Logging_0883/tillsyn/A 39298-2024 tillsynsbegäran.docx", "A 39298-2024")</f>
        <v/>
      </c>
      <c r="Y25">
        <f>HYPERLINK("https://klasma.github.io/Logging_0883/tillsynsmail/A 39298-2024 tillsynsbegäran mail.docx", "A 39298-2024")</f>
        <v/>
      </c>
      <c r="Z25">
        <f>HYPERLINK("https://klasma.github.io/Logging_0883/fåglar/A 39298-2024 prioriterade fågelarter.docx", "A 39298-2024")</f>
        <v/>
      </c>
    </row>
    <row r="26" ht="15" customHeight="1">
      <c r="A26" t="inlineStr">
        <is>
          <t>A 16996-2025</t>
        </is>
      </c>
      <c r="B26" s="1" t="n">
        <v>45755.51844907407</v>
      </c>
      <c r="C26" s="1" t="n">
        <v>45882</v>
      </c>
      <c r="D26" t="inlineStr">
        <is>
          <t>KALMAR LÄN</t>
        </is>
      </c>
      <c r="E26" t="inlineStr">
        <is>
          <t>VÄSTERVIK</t>
        </is>
      </c>
      <c r="G26" t="n">
        <v>2.1</v>
      </c>
      <c r="H26" t="n">
        <v>3</v>
      </c>
      <c r="I26" t="n">
        <v>5</v>
      </c>
      <c r="J26" t="n">
        <v>0</v>
      </c>
      <c r="K26" t="n">
        <v>1</v>
      </c>
      <c r="L26" t="n">
        <v>0</v>
      </c>
      <c r="M26" t="n">
        <v>0</v>
      </c>
      <c r="N26" t="n">
        <v>0</v>
      </c>
      <c r="O26" t="n">
        <v>1</v>
      </c>
      <c r="P26" t="n">
        <v>1</v>
      </c>
      <c r="Q26" t="n">
        <v>7</v>
      </c>
      <c r="R26" s="2" t="inlineStr">
        <is>
          <t>Knärot
Fällmossa
Grön sköldmossa
Grönpyrola
Guldlockmossa
Trädporella
Blåsippa</t>
        </is>
      </c>
      <c r="S26">
        <f>HYPERLINK("https://klasma.github.io/Logging_0883/artfynd/A 16996-2025 artfynd.xlsx", "A 16996-2025")</f>
        <v/>
      </c>
      <c r="T26">
        <f>HYPERLINK("https://klasma.github.io/Logging_0883/kartor/A 16996-2025 karta.png", "A 16996-2025")</f>
        <v/>
      </c>
      <c r="U26">
        <f>HYPERLINK("https://klasma.github.io/Logging_0883/knärot/A 16996-2025 karta knärot.png", "A 16996-2025")</f>
        <v/>
      </c>
      <c r="V26">
        <f>HYPERLINK("https://klasma.github.io/Logging_0883/klagomål/A 16996-2025 FSC-klagomål.docx", "A 16996-2025")</f>
        <v/>
      </c>
      <c r="W26">
        <f>HYPERLINK("https://klasma.github.io/Logging_0883/klagomålsmail/A 16996-2025 FSC-klagomål mail.docx", "A 16996-2025")</f>
        <v/>
      </c>
      <c r="X26">
        <f>HYPERLINK("https://klasma.github.io/Logging_0883/tillsyn/A 16996-2025 tillsynsbegäran.docx", "A 16996-2025")</f>
        <v/>
      </c>
      <c r="Y26">
        <f>HYPERLINK("https://klasma.github.io/Logging_0883/tillsynsmail/A 16996-2025 tillsynsbegäran mail.docx", "A 16996-2025")</f>
        <v/>
      </c>
    </row>
    <row r="27" ht="15" customHeight="1">
      <c r="A27" t="inlineStr">
        <is>
          <t>A 63850-2021</t>
        </is>
      </c>
      <c r="B27" s="1" t="n">
        <v>44505</v>
      </c>
      <c r="C27" s="1" t="n">
        <v>45882</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23021-2025</t>
        </is>
      </c>
      <c r="B28" s="1" t="n">
        <v>45790</v>
      </c>
      <c r="C28" s="1" t="n">
        <v>45882</v>
      </c>
      <c r="D28" t="inlineStr">
        <is>
          <t>KALMAR LÄN</t>
        </is>
      </c>
      <c r="E28" t="inlineStr">
        <is>
          <t>VÄSTERVIK</t>
        </is>
      </c>
      <c r="G28" t="n">
        <v>5</v>
      </c>
      <c r="H28" t="n">
        <v>5</v>
      </c>
      <c r="I28" t="n">
        <v>0</v>
      </c>
      <c r="J28" t="n">
        <v>5</v>
      </c>
      <c r="K28" t="n">
        <v>1</v>
      </c>
      <c r="L28" t="n">
        <v>0</v>
      </c>
      <c r="M28" t="n">
        <v>0</v>
      </c>
      <c r="N28" t="n">
        <v>0</v>
      </c>
      <c r="O28" t="n">
        <v>6</v>
      </c>
      <c r="P28" t="n">
        <v>1</v>
      </c>
      <c r="Q28" t="n">
        <v>7</v>
      </c>
      <c r="R28" s="2" t="inlineStr">
        <is>
          <t>Stare
Grönsångare
Mindre hackspett
Spillkråka
Tallticka
Vintertagging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51597-2024</t>
        </is>
      </c>
      <c r="B29" s="1" t="n">
        <v>45604</v>
      </c>
      <c r="C29" s="1" t="n">
        <v>45882</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4397-2025</t>
        </is>
      </c>
      <c r="B30" s="1" t="n">
        <v>45686</v>
      </c>
      <c r="C30" s="1" t="n">
        <v>45882</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26574-2025</t>
        </is>
      </c>
      <c r="B31" s="1" t="n">
        <v>45807.68491898148</v>
      </c>
      <c r="C31" s="1" t="n">
        <v>45882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34638-2025</t>
        </is>
      </c>
      <c r="B32" s="1" t="n">
        <v>45848.30584490741</v>
      </c>
      <c r="C32" s="1" t="n">
        <v>45882</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45882</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45882</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45882</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11740-2023</t>
        </is>
      </c>
      <c r="B36" s="1" t="n">
        <v>44994</v>
      </c>
      <c r="C36" s="1" t="n">
        <v>45882</v>
      </c>
      <c r="D36" t="inlineStr">
        <is>
          <t>KALMAR LÄN</t>
        </is>
      </c>
      <c r="E36" t="inlineStr">
        <is>
          <t>VÄSTERVIK</t>
        </is>
      </c>
      <c r="F36" t="inlineStr">
        <is>
          <t>Sveaskog</t>
        </is>
      </c>
      <c r="G36" t="n">
        <v>2.9</v>
      </c>
      <c r="H36" t="n">
        <v>1</v>
      </c>
      <c r="I36" t="n">
        <v>1</v>
      </c>
      <c r="J36" t="n">
        <v>4</v>
      </c>
      <c r="K36" t="n">
        <v>0</v>
      </c>
      <c r="L36" t="n">
        <v>0</v>
      </c>
      <c r="M36" t="n">
        <v>0</v>
      </c>
      <c r="N36" t="n">
        <v>0</v>
      </c>
      <c r="O36" t="n">
        <v>4</v>
      </c>
      <c r="P36" t="n">
        <v>0</v>
      </c>
      <c r="Q36" t="n">
        <v>6</v>
      </c>
      <c r="R36" s="2" t="inlineStr">
        <is>
          <t>Mindre bastardsvärmare
Skogsklocka
Smalsprötad bastardsvärmare
Tallticka
Fällmossa
Blåsippa</t>
        </is>
      </c>
      <c r="S36">
        <f>HYPERLINK("https://klasma.github.io/Logging_0883/artfynd/A 11740-2023 artfynd.xlsx", "A 11740-2023")</f>
        <v/>
      </c>
      <c r="T36">
        <f>HYPERLINK("https://klasma.github.io/Logging_0883/kartor/A 11740-2023 karta.png", "A 11740-2023")</f>
        <v/>
      </c>
      <c r="V36">
        <f>HYPERLINK("https://klasma.github.io/Logging_0883/klagomål/A 11740-2023 FSC-klagomål.docx", "A 11740-2023")</f>
        <v/>
      </c>
      <c r="W36">
        <f>HYPERLINK("https://klasma.github.io/Logging_0883/klagomålsmail/A 11740-2023 FSC-klagomål mail.docx", "A 11740-2023")</f>
        <v/>
      </c>
      <c r="X36">
        <f>HYPERLINK("https://klasma.github.io/Logging_0883/tillsyn/A 11740-2023 tillsynsbegäran.docx", "A 11740-2023")</f>
        <v/>
      </c>
      <c r="Y36">
        <f>HYPERLINK("https://klasma.github.io/Logging_0883/tillsynsmail/A 11740-2023 tillsynsbegäran mail.docx", "A 11740-2023")</f>
        <v/>
      </c>
    </row>
    <row r="37" ht="15" customHeight="1">
      <c r="A37" t="inlineStr">
        <is>
          <t>A 52916-2020</t>
        </is>
      </c>
      <c r="B37" s="1" t="n">
        <v>44120</v>
      </c>
      <c r="C37" s="1" t="n">
        <v>45882</v>
      </c>
      <c r="D37" t="inlineStr">
        <is>
          <t>KALMAR LÄN</t>
        </is>
      </c>
      <c r="E37" t="inlineStr">
        <is>
          <t>VÄSTERVIK</t>
        </is>
      </c>
      <c r="G37" t="n">
        <v>1.2</v>
      </c>
      <c r="H37" t="n">
        <v>2</v>
      </c>
      <c r="I37" t="n">
        <v>2</v>
      </c>
      <c r="J37" t="n">
        <v>3</v>
      </c>
      <c r="K37" t="n">
        <v>1</v>
      </c>
      <c r="L37" t="n">
        <v>0</v>
      </c>
      <c r="M37" t="n">
        <v>0</v>
      </c>
      <c r="N37" t="n">
        <v>0</v>
      </c>
      <c r="O37" t="n">
        <v>4</v>
      </c>
      <c r="P37" t="n">
        <v>1</v>
      </c>
      <c r="Q37" t="n">
        <v>6</v>
      </c>
      <c r="R37" s="2" t="inlineStr">
        <is>
          <t>Knärot
Orange taggsvamp
Svart taggsvamp
Talltita
Blomkålssvamp
Dropptaggsvamp</t>
        </is>
      </c>
      <c r="S37">
        <f>HYPERLINK("https://klasma.github.io/Logging_0883/artfynd/A 52916-2020 artfynd.xlsx", "A 52916-2020")</f>
        <v/>
      </c>
      <c r="T37">
        <f>HYPERLINK("https://klasma.github.io/Logging_0883/kartor/A 52916-2020 karta.png", "A 52916-2020")</f>
        <v/>
      </c>
      <c r="U37">
        <f>HYPERLINK("https://klasma.github.io/Logging_0883/knärot/A 52916-2020 karta knärot.png", "A 52916-2020")</f>
        <v/>
      </c>
      <c r="V37">
        <f>HYPERLINK("https://klasma.github.io/Logging_0883/klagomål/A 52916-2020 FSC-klagomål.docx", "A 52916-2020")</f>
        <v/>
      </c>
      <c r="W37">
        <f>HYPERLINK("https://klasma.github.io/Logging_0883/klagomålsmail/A 52916-2020 FSC-klagomål mail.docx", "A 52916-2020")</f>
        <v/>
      </c>
      <c r="X37">
        <f>HYPERLINK("https://klasma.github.io/Logging_0883/tillsyn/A 52916-2020 tillsynsbegäran.docx", "A 52916-2020")</f>
        <v/>
      </c>
      <c r="Y37">
        <f>HYPERLINK("https://klasma.github.io/Logging_0883/tillsynsmail/A 52916-2020 tillsynsbegäran mail.docx", "A 52916-2020")</f>
        <v/>
      </c>
      <c r="Z37">
        <f>HYPERLINK("https://klasma.github.io/Logging_0883/fåglar/A 52916-2020 prioriterade fågelarter.docx", "A 52916-2020")</f>
        <v/>
      </c>
    </row>
    <row r="38" ht="15" customHeight="1">
      <c r="A38" t="inlineStr">
        <is>
          <t>A 5922-2024</t>
        </is>
      </c>
      <c r="B38" s="1" t="n">
        <v>45335</v>
      </c>
      <c r="C38" s="1" t="n">
        <v>45882</v>
      </c>
      <c r="D38" t="inlineStr">
        <is>
          <t>KALMAR LÄN</t>
        </is>
      </c>
      <c r="E38" t="inlineStr">
        <is>
          <t>VÄSTERVIK</t>
        </is>
      </c>
      <c r="F38" t="inlineStr">
        <is>
          <t>Holmen skog AB</t>
        </is>
      </c>
      <c r="G38" t="n">
        <v>9</v>
      </c>
      <c r="H38" t="n">
        <v>2</v>
      </c>
      <c r="I38" t="n">
        <v>0</v>
      </c>
      <c r="J38" t="n">
        <v>5</v>
      </c>
      <c r="K38" t="n">
        <v>1</v>
      </c>
      <c r="L38" t="n">
        <v>0</v>
      </c>
      <c r="M38" t="n">
        <v>0</v>
      </c>
      <c r="N38" t="n">
        <v>0</v>
      </c>
      <c r="O38" t="n">
        <v>6</v>
      </c>
      <c r="P38" t="n">
        <v>1</v>
      </c>
      <c r="Q38" t="n">
        <v>6</v>
      </c>
      <c r="R38" s="2" t="inlineStr">
        <is>
          <t>Lungrot
Entita
Klubbsprötad bastardsvärmare
Smalsprötad bastardsvärmare
Tallticka
Talltita</t>
        </is>
      </c>
      <c r="S38">
        <f>HYPERLINK("https://klasma.github.io/Logging_0883/artfynd/A 5922-2024 artfynd.xlsx", "A 5922-2024")</f>
        <v/>
      </c>
      <c r="T38">
        <f>HYPERLINK("https://klasma.github.io/Logging_0883/kartor/A 5922-2024 karta.png", "A 5922-2024")</f>
        <v/>
      </c>
      <c r="V38">
        <f>HYPERLINK("https://klasma.github.io/Logging_0883/klagomål/A 5922-2024 FSC-klagomål.docx", "A 5922-2024")</f>
        <v/>
      </c>
      <c r="W38">
        <f>HYPERLINK("https://klasma.github.io/Logging_0883/klagomålsmail/A 5922-2024 FSC-klagomål mail.docx", "A 5922-2024")</f>
        <v/>
      </c>
      <c r="X38">
        <f>HYPERLINK("https://klasma.github.io/Logging_0883/tillsyn/A 5922-2024 tillsynsbegäran.docx", "A 5922-2024")</f>
        <v/>
      </c>
      <c r="Y38">
        <f>HYPERLINK("https://klasma.github.io/Logging_0883/tillsynsmail/A 5922-2024 tillsynsbegäran mail.docx", "A 5922-2024")</f>
        <v/>
      </c>
      <c r="Z38">
        <f>HYPERLINK("https://klasma.github.io/Logging_0883/fåglar/A 5922-2024 prioriterade fågelarter.docx", "A 5922-2024")</f>
        <v/>
      </c>
    </row>
    <row r="39" ht="15" customHeight="1">
      <c r="A39" t="inlineStr">
        <is>
          <t>A 39295-2024</t>
        </is>
      </c>
      <c r="B39" s="1" t="n">
        <v>45551</v>
      </c>
      <c r="C39" s="1" t="n">
        <v>45882</v>
      </c>
      <c r="D39" t="inlineStr">
        <is>
          <t>KALMAR LÄN</t>
        </is>
      </c>
      <c r="E39" t="inlineStr">
        <is>
          <t>VÄSTERVIK</t>
        </is>
      </c>
      <c r="G39" t="n">
        <v>4.4</v>
      </c>
      <c r="H39" t="n">
        <v>3</v>
      </c>
      <c r="I39" t="n">
        <v>3</v>
      </c>
      <c r="J39" t="n">
        <v>2</v>
      </c>
      <c r="K39" t="n">
        <v>1</v>
      </c>
      <c r="L39" t="n">
        <v>0</v>
      </c>
      <c r="M39" t="n">
        <v>0</v>
      </c>
      <c r="N39" t="n">
        <v>0</v>
      </c>
      <c r="O39" t="n">
        <v>3</v>
      </c>
      <c r="P39" t="n">
        <v>1</v>
      </c>
      <c r="Q39" t="n">
        <v>6</v>
      </c>
      <c r="R39" s="2" t="inlineStr">
        <is>
          <t>Knärot
Entita
Talltita
Dropptaggsvamp
Fjällig taggsvamp s.str.
Grönpyrola</t>
        </is>
      </c>
      <c r="S39">
        <f>HYPERLINK("https://klasma.github.io/Logging_0883/artfynd/A 39295-2024 artfynd.xlsx", "A 39295-2024")</f>
        <v/>
      </c>
      <c r="T39">
        <f>HYPERLINK("https://klasma.github.io/Logging_0883/kartor/A 39295-2024 karta.png", "A 39295-2024")</f>
        <v/>
      </c>
      <c r="U39">
        <f>HYPERLINK("https://klasma.github.io/Logging_0883/knärot/A 39295-2024 karta knärot.png", "A 39295-2024")</f>
        <v/>
      </c>
      <c r="V39">
        <f>HYPERLINK("https://klasma.github.io/Logging_0883/klagomål/A 39295-2024 FSC-klagomål.docx", "A 39295-2024")</f>
        <v/>
      </c>
      <c r="W39">
        <f>HYPERLINK("https://klasma.github.io/Logging_0883/klagomålsmail/A 39295-2024 FSC-klagomål mail.docx", "A 39295-2024")</f>
        <v/>
      </c>
      <c r="X39">
        <f>HYPERLINK("https://klasma.github.io/Logging_0883/tillsyn/A 39295-2024 tillsynsbegäran.docx", "A 39295-2024")</f>
        <v/>
      </c>
      <c r="Y39">
        <f>HYPERLINK("https://klasma.github.io/Logging_0883/tillsynsmail/A 39295-2024 tillsynsbegäran mail.docx", "A 39295-2024")</f>
        <v/>
      </c>
      <c r="Z39">
        <f>HYPERLINK("https://klasma.github.io/Logging_0883/fåglar/A 39295-2024 prioriterade fågelarter.docx", "A 39295-2024")</f>
        <v/>
      </c>
    </row>
    <row r="40" ht="15" customHeight="1">
      <c r="A40" t="inlineStr">
        <is>
          <t>A 47936-2023</t>
        </is>
      </c>
      <c r="B40" s="1" t="n">
        <v>45204</v>
      </c>
      <c r="C40" s="1" t="n">
        <v>45882</v>
      </c>
      <c r="D40" t="inlineStr">
        <is>
          <t>KALMAR LÄN</t>
        </is>
      </c>
      <c r="E40" t="inlineStr">
        <is>
          <t>VÄSTERVIK</t>
        </is>
      </c>
      <c r="G40" t="n">
        <v>6.3</v>
      </c>
      <c r="H40" t="n">
        <v>2</v>
      </c>
      <c r="I40" t="n">
        <v>4</v>
      </c>
      <c r="J40" t="n">
        <v>1</v>
      </c>
      <c r="K40" t="n">
        <v>1</v>
      </c>
      <c r="L40" t="n">
        <v>0</v>
      </c>
      <c r="M40" t="n">
        <v>0</v>
      </c>
      <c r="N40" t="n">
        <v>0</v>
      </c>
      <c r="O40" t="n">
        <v>2</v>
      </c>
      <c r="P40" t="n">
        <v>1</v>
      </c>
      <c r="Q40" t="n">
        <v>6</v>
      </c>
      <c r="R40" s="2" t="inlineStr">
        <is>
          <t>Knärot
Talltita
Blomkålssvamp
Blåmossa
Grovticka
Grönpyrola</t>
        </is>
      </c>
      <c r="S40">
        <f>HYPERLINK("https://klasma.github.io/Logging_0883/artfynd/A 47936-2023 artfynd.xlsx", "A 47936-2023")</f>
        <v/>
      </c>
      <c r="T40">
        <f>HYPERLINK("https://klasma.github.io/Logging_0883/kartor/A 47936-2023 karta.png", "A 47936-2023")</f>
        <v/>
      </c>
      <c r="U40">
        <f>HYPERLINK("https://klasma.github.io/Logging_0883/knärot/A 47936-2023 karta knärot.png", "A 47936-2023")</f>
        <v/>
      </c>
      <c r="V40">
        <f>HYPERLINK("https://klasma.github.io/Logging_0883/klagomål/A 47936-2023 FSC-klagomål.docx", "A 47936-2023")</f>
        <v/>
      </c>
      <c r="W40">
        <f>HYPERLINK("https://klasma.github.io/Logging_0883/klagomålsmail/A 47936-2023 FSC-klagomål mail.docx", "A 47936-2023")</f>
        <v/>
      </c>
      <c r="X40">
        <f>HYPERLINK("https://klasma.github.io/Logging_0883/tillsyn/A 47936-2023 tillsynsbegäran.docx", "A 47936-2023")</f>
        <v/>
      </c>
      <c r="Y40">
        <f>HYPERLINK("https://klasma.github.io/Logging_0883/tillsynsmail/A 47936-2023 tillsynsbegäran mail.docx", "A 47936-2023")</f>
        <v/>
      </c>
      <c r="Z40">
        <f>HYPERLINK("https://klasma.github.io/Logging_0883/fåglar/A 47936-2023 prioriterade fågelarter.docx", "A 47936-2023")</f>
        <v/>
      </c>
    </row>
    <row r="41" ht="15" customHeight="1">
      <c r="A41" t="inlineStr">
        <is>
          <t>A 4456-2025</t>
        </is>
      </c>
      <c r="B41" s="1" t="n">
        <v>45686</v>
      </c>
      <c r="C41" s="1" t="n">
        <v>45882</v>
      </c>
      <c r="D41" t="inlineStr">
        <is>
          <t>KALMAR LÄN</t>
        </is>
      </c>
      <c r="E41" t="inlineStr">
        <is>
          <t>VÄSTERVIK</t>
        </is>
      </c>
      <c r="G41" t="n">
        <v>1.3</v>
      </c>
      <c r="H41" t="n">
        <v>2</v>
      </c>
      <c r="I41" t="n">
        <v>2</v>
      </c>
      <c r="J41" t="n">
        <v>3</v>
      </c>
      <c r="K41" t="n">
        <v>1</v>
      </c>
      <c r="L41" t="n">
        <v>0</v>
      </c>
      <c r="M41" t="n">
        <v>0</v>
      </c>
      <c r="N41" t="n">
        <v>0</v>
      </c>
      <c r="O41" t="n">
        <v>4</v>
      </c>
      <c r="P41" t="n">
        <v>1</v>
      </c>
      <c r="Q41" t="n">
        <v>6</v>
      </c>
      <c r="R41" s="2" t="inlineStr">
        <is>
          <t>Knärot
Spillkråka
Tallticka
Ullticka
Grovticka
Grönpyrola</t>
        </is>
      </c>
      <c r="S41">
        <f>HYPERLINK("https://klasma.github.io/Logging_0883/artfynd/A 4456-2025 artfynd.xlsx", "A 4456-2025")</f>
        <v/>
      </c>
      <c r="T41">
        <f>HYPERLINK("https://klasma.github.io/Logging_0883/kartor/A 4456-2025 karta.png", "A 4456-2025")</f>
        <v/>
      </c>
      <c r="U41">
        <f>HYPERLINK("https://klasma.github.io/Logging_0883/knärot/A 4456-2025 karta knärot.png", "A 4456-2025")</f>
        <v/>
      </c>
      <c r="V41">
        <f>HYPERLINK("https://klasma.github.io/Logging_0883/klagomål/A 4456-2025 FSC-klagomål.docx", "A 4456-2025")</f>
        <v/>
      </c>
      <c r="W41">
        <f>HYPERLINK("https://klasma.github.io/Logging_0883/klagomålsmail/A 4456-2025 FSC-klagomål mail.docx", "A 4456-2025")</f>
        <v/>
      </c>
      <c r="X41">
        <f>HYPERLINK("https://klasma.github.io/Logging_0883/tillsyn/A 4456-2025 tillsynsbegäran.docx", "A 4456-2025")</f>
        <v/>
      </c>
      <c r="Y41">
        <f>HYPERLINK("https://klasma.github.io/Logging_0883/tillsynsmail/A 4456-2025 tillsynsbegäran mail.docx", "A 4456-2025")</f>
        <v/>
      </c>
      <c r="Z41">
        <f>HYPERLINK("https://klasma.github.io/Logging_0883/fåglar/A 4456-2025 prioriterade fågelarter.docx", "A 4456-2025")</f>
        <v/>
      </c>
    </row>
    <row r="42" ht="15" customHeight="1">
      <c r="A42" t="inlineStr">
        <is>
          <t>A 2806-2025</t>
        </is>
      </c>
      <c r="B42" s="1" t="n">
        <v>45677</v>
      </c>
      <c r="C42" s="1" t="n">
        <v>45882</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5067-2025</t>
        </is>
      </c>
      <c r="B43" s="1" t="n">
        <v>45691</v>
      </c>
      <c r="C43" s="1" t="n">
        <v>45882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34642-2025</t>
        </is>
      </c>
      <c r="B44" s="1" t="n">
        <v>45848.32703703704</v>
      </c>
      <c r="C44" s="1" t="n">
        <v>45882</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55286-2023</t>
        </is>
      </c>
      <c r="B45" s="1" t="n">
        <v>45237</v>
      </c>
      <c r="C45" s="1" t="n">
        <v>45882</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27379-2024</t>
        </is>
      </c>
      <c r="B46" s="1" t="n">
        <v>45473</v>
      </c>
      <c r="C46" s="1" t="n">
        <v>45882</v>
      </c>
      <c r="D46" t="inlineStr">
        <is>
          <t>KALMAR LÄN</t>
        </is>
      </c>
      <c r="E46" t="inlineStr">
        <is>
          <t>VÄSTERVIK</t>
        </is>
      </c>
      <c r="G46" t="n">
        <v>3.4</v>
      </c>
      <c r="H46" t="n">
        <v>3</v>
      </c>
      <c r="I46" t="n">
        <v>2</v>
      </c>
      <c r="J46" t="n">
        <v>2</v>
      </c>
      <c r="K46" t="n">
        <v>1</v>
      </c>
      <c r="L46" t="n">
        <v>0</v>
      </c>
      <c r="M46" t="n">
        <v>0</v>
      </c>
      <c r="N46" t="n">
        <v>0</v>
      </c>
      <c r="O46" t="n">
        <v>3</v>
      </c>
      <c r="P46" t="n">
        <v>1</v>
      </c>
      <c r="Q46" t="n">
        <v>6</v>
      </c>
      <c r="R46" s="2" t="inlineStr">
        <is>
          <t>Knärot
Talltita
Ullticka
Blåmossa
Grönpyrola
Revlummer</t>
        </is>
      </c>
      <c r="S46">
        <f>HYPERLINK("https://klasma.github.io/Logging_0883/artfynd/A 27379-2024 artfynd.xlsx", "A 27379-2024")</f>
        <v/>
      </c>
      <c r="T46">
        <f>HYPERLINK("https://klasma.github.io/Logging_0883/kartor/A 27379-2024 karta.png", "A 27379-2024")</f>
        <v/>
      </c>
      <c r="U46">
        <f>HYPERLINK("https://klasma.github.io/Logging_0883/knärot/A 27379-2024 karta knärot.png", "A 27379-2024")</f>
        <v/>
      </c>
      <c r="V46">
        <f>HYPERLINK("https://klasma.github.io/Logging_0883/klagomål/A 27379-2024 FSC-klagomål.docx", "A 27379-2024")</f>
        <v/>
      </c>
      <c r="W46">
        <f>HYPERLINK("https://klasma.github.io/Logging_0883/klagomålsmail/A 27379-2024 FSC-klagomål mail.docx", "A 27379-2024")</f>
        <v/>
      </c>
      <c r="X46">
        <f>HYPERLINK("https://klasma.github.io/Logging_0883/tillsyn/A 27379-2024 tillsynsbegäran.docx", "A 27379-2024")</f>
        <v/>
      </c>
      <c r="Y46">
        <f>HYPERLINK("https://klasma.github.io/Logging_0883/tillsynsmail/A 27379-2024 tillsynsbegäran mail.docx", "A 27379-2024")</f>
        <v/>
      </c>
      <c r="Z46">
        <f>HYPERLINK("https://klasma.github.io/Logging_0883/fåglar/A 27379-2024 prioriterade fågelarter.docx", "A 27379-2024")</f>
        <v/>
      </c>
    </row>
    <row r="47" ht="15" customHeight="1">
      <c r="A47" t="inlineStr">
        <is>
          <t>A 974-2023</t>
        </is>
      </c>
      <c r="B47" s="1" t="n">
        <v>44935</v>
      </c>
      <c r="C47" s="1" t="n">
        <v>45882</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52046-2024</t>
        </is>
      </c>
      <c r="B48" s="1" t="n">
        <v>45608</v>
      </c>
      <c r="C48" s="1" t="n">
        <v>45882</v>
      </c>
      <c r="D48" t="inlineStr">
        <is>
          <t>KALMAR LÄN</t>
        </is>
      </c>
      <c r="E48" t="inlineStr">
        <is>
          <t>VÄSTERVIK</t>
        </is>
      </c>
      <c r="G48" t="n">
        <v>4.6</v>
      </c>
      <c r="H48" t="n">
        <v>1</v>
      </c>
      <c r="I48" t="n">
        <v>3</v>
      </c>
      <c r="J48" t="n">
        <v>3</v>
      </c>
      <c r="K48" t="n">
        <v>0</v>
      </c>
      <c r="L48" t="n">
        <v>0</v>
      </c>
      <c r="M48" t="n">
        <v>0</v>
      </c>
      <c r="N48" t="n">
        <v>0</v>
      </c>
      <c r="O48" t="n">
        <v>3</v>
      </c>
      <c r="P48" t="n">
        <v>0</v>
      </c>
      <c r="Q48" t="n">
        <v>6</v>
      </c>
      <c r="R48" s="2" t="inlineStr">
        <is>
          <t>Motaggsvamp
Tallticka
Talltita
Blåmossa
Dropptaggsvamp
Grovticka</t>
        </is>
      </c>
      <c r="S48">
        <f>HYPERLINK("https://klasma.github.io/Logging_0883/artfynd/A 52046-2024 artfynd.xlsx", "A 52046-2024")</f>
        <v/>
      </c>
      <c r="T48">
        <f>HYPERLINK("https://klasma.github.io/Logging_0883/kartor/A 52046-2024 karta.png", "A 52046-2024")</f>
        <v/>
      </c>
      <c r="V48">
        <f>HYPERLINK("https://klasma.github.io/Logging_0883/klagomål/A 52046-2024 FSC-klagomål.docx", "A 52046-2024")</f>
        <v/>
      </c>
      <c r="W48">
        <f>HYPERLINK("https://klasma.github.io/Logging_0883/klagomålsmail/A 52046-2024 FSC-klagomål mail.docx", "A 52046-2024")</f>
        <v/>
      </c>
      <c r="X48">
        <f>HYPERLINK("https://klasma.github.io/Logging_0883/tillsyn/A 52046-2024 tillsynsbegäran.docx", "A 52046-2024")</f>
        <v/>
      </c>
      <c r="Y48">
        <f>HYPERLINK("https://klasma.github.io/Logging_0883/tillsynsmail/A 52046-2024 tillsynsbegäran mail.docx", "A 52046-2024")</f>
        <v/>
      </c>
      <c r="Z48">
        <f>HYPERLINK("https://klasma.github.io/Logging_0883/fåglar/A 52046-2024 prioriterade fågelarter.docx", "A 52046-2024")</f>
        <v/>
      </c>
    </row>
    <row r="49" ht="15" customHeight="1">
      <c r="A49" t="inlineStr">
        <is>
          <t>A 31060-2024</t>
        </is>
      </c>
      <c r="B49" s="1" t="n">
        <v>45502</v>
      </c>
      <c r="C49" s="1" t="n">
        <v>45882</v>
      </c>
      <c r="D49" t="inlineStr">
        <is>
          <t>KALMAR LÄN</t>
        </is>
      </c>
      <c r="E49" t="inlineStr">
        <is>
          <t>VÄSTERVIK</t>
        </is>
      </c>
      <c r="F49" t="inlineStr">
        <is>
          <t>Holmen skog AB</t>
        </is>
      </c>
      <c r="G49" t="n">
        <v>2.8</v>
      </c>
      <c r="H49" t="n">
        <v>3</v>
      </c>
      <c r="I49" t="n">
        <v>1</v>
      </c>
      <c r="J49" t="n">
        <v>3</v>
      </c>
      <c r="K49" t="n">
        <v>1</v>
      </c>
      <c r="L49" t="n">
        <v>0</v>
      </c>
      <c r="M49" t="n">
        <v>0</v>
      </c>
      <c r="N49" t="n">
        <v>0</v>
      </c>
      <c r="O49" t="n">
        <v>4</v>
      </c>
      <c r="P49" t="n">
        <v>1</v>
      </c>
      <c r="Q49" t="n">
        <v>5</v>
      </c>
      <c r="R49" s="2" t="inlineStr">
        <is>
          <t>Knärot
Spillkråka
Tallticka
Talltita
Blåmossa</t>
        </is>
      </c>
      <c r="S49">
        <f>HYPERLINK("https://klasma.github.io/Logging_0883/artfynd/A 31060-2024 artfynd.xlsx", "A 31060-2024")</f>
        <v/>
      </c>
      <c r="T49">
        <f>HYPERLINK("https://klasma.github.io/Logging_0883/kartor/A 31060-2024 karta.png", "A 31060-2024")</f>
        <v/>
      </c>
      <c r="U49">
        <f>HYPERLINK("https://klasma.github.io/Logging_0883/knärot/A 31060-2024 karta knärot.png", "A 31060-2024")</f>
        <v/>
      </c>
      <c r="V49">
        <f>HYPERLINK("https://klasma.github.io/Logging_0883/klagomål/A 31060-2024 FSC-klagomål.docx", "A 31060-2024")</f>
        <v/>
      </c>
      <c r="W49">
        <f>HYPERLINK("https://klasma.github.io/Logging_0883/klagomålsmail/A 31060-2024 FSC-klagomål mail.docx", "A 31060-2024")</f>
        <v/>
      </c>
      <c r="X49">
        <f>HYPERLINK("https://klasma.github.io/Logging_0883/tillsyn/A 31060-2024 tillsynsbegäran.docx", "A 31060-2024")</f>
        <v/>
      </c>
      <c r="Y49">
        <f>HYPERLINK("https://klasma.github.io/Logging_0883/tillsynsmail/A 31060-2024 tillsynsbegäran mail.docx", "A 31060-2024")</f>
        <v/>
      </c>
      <c r="Z49">
        <f>HYPERLINK("https://klasma.github.io/Logging_0883/fåglar/A 31060-2024 prioriterade fågelarter.docx", "A 31060-2024")</f>
        <v/>
      </c>
    </row>
    <row r="50" ht="15" customHeight="1">
      <c r="A50" t="inlineStr">
        <is>
          <t>A 27737-2024</t>
        </is>
      </c>
      <c r="B50" s="1" t="n">
        <v>45475</v>
      </c>
      <c r="C50" s="1" t="n">
        <v>45882</v>
      </c>
      <c r="D50" t="inlineStr">
        <is>
          <t>KALMAR LÄN</t>
        </is>
      </c>
      <c r="E50" t="inlineStr">
        <is>
          <t>VÄSTERVIK</t>
        </is>
      </c>
      <c r="F50" t="inlineStr">
        <is>
          <t>Holmen skog AB</t>
        </is>
      </c>
      <c r="G50" t="n">
        <v>2.7</v>
      </c>
      <c r="H50" t="n">
        <v>2</v>
      </c>
      <c r="I50" t="n">
        <v>0</v>
      </c>
      <c r="J50" t="n">
        <v>4</v>
      </c>
      <c r="K50" t="n">
        <v>0</v>
      </c>
      <c r="L50" t="n">
        <v>0</v>
      </c>
      <c r="M50" t="n">
        <v>0</v>
      </c>
      <c r="N50" t="n">
        <v>0</v>
      </c>
      <c r="O50" t="n">
        <v>4</v>
      </c>
      <c r="P50" t="n">
        <v>0</v>
      </c>
      <c r="Q50" t="n">
        <v>5</v>
      </c>
      <c r="R50" s="2" t="inlineStr">
        <is>
          <t>Ekticka
Oxtungssvamp
Spillkråka
Ullticka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27380-2024</t>
        </is>
      </c>
      <c r="B51" s="1" t="n">
        <v>45473</v>
      </c>
      <c r="C51" s="1" t="n">
        <v>45882</v>
      </c>
      <c r="D51" t="inlineStr">
        <is>
          <t>KALMAR LÄN</t>
        </is>
      </c>
      <c r="E51" t="inlineStr">
        <is>
          <t>VÄSTERVIK</t>
        </is>
      </c>
      <c r="G51" t="n">
        <v>1.4</v>
      </c>
      <c r="H51" t="n">
        <v>2</v>
      </c>
      <c r="I51" t="n">
        <v>2</v>
      </c>
      <c r="J51" t="n">
        <v>2</v>
      </c>
      <c r="K51" t="n">
        <v>1</v>
      </c>
      <c r="L51" t="n">
        <v>0</v>
      </c>
      <c r="M51" t="n">
        <v>0</v>
      </c>
      <c r="N51" t="n">
        <v>0</v>
      </c>
      <c r="O51" t="n">
        <v>3</v>
      </c>
      <c r="P51" t="n">
        <v>1</v>
      </c>
      <c r="Q51" t="n">
        <v>5</v>
      </c>
      <c r="R51" s="2" t="inlineStr">
        <is>
          <t>Knärot
Tallticka
Talltita
Dropptaggsvamp
Zontaggsvamp</t>
        </is>
      </c>
      <c r="S51">
        <f>HYPERLINK("https://klasma.github.io/Logging_0883/artfynd/A 27380-2024 artfynd.xlsx", "A 27380-2024")</f>
        <v/>
      </c>
      <c r="T51">
        <f>HYPERLINK("https://klasma.github.io/Logging_0883/kartor/A 27380-2024 karta.png", "A 27380-2024")</f>
        <v/>
      </c>
      <c r="U51">
        <f>HYPERLINK("https://klasma.github.io/Logging_0883/knärot/A 27380-2024 karta knärot.png", "A 27380-2024")</f>
        <v/>
      </c>
      <c r="V51">
        <f>HYPERLINK("https://klasma.github.io/Logging_0883/klagomål/A 27380-2024 FSC-klagomål.docx", "A 27380-2024")</f>
        <v/>
      </c>
      <c r="W51">
        <f>HYPERLINK("https://klasma.github.io/Logging_0883/klagomålsmail/A 27380-2024 FSC-klagomål mail.docx", "A 27380-2024")</f>
        <v/>
      </c>
      <c r="X51">
        <f>HYPERLINK("https://klasma.github.io/Logging_0883/tillsyn/A 27380-2024 tillsynsbegäran.docx", "A 27380-2024")</f>
        <v/>
      </c>
      <c r="Y51">
        <f>HYPERLINK("https://klasma.github.io/Logging_0883/tillsynsmail/A 27380-2024 tillsynsbegäran mail.docx", "A 27380-2024")</f>
        <v/>
      </c>
      <c r="Z51">
        <f>HYPERLINK("https://klasma.github.io/Logging_0883/fåglar/A 27380-2024 prioriterade fågelarter.docx", "A 27380-2024")</f>
        <v/>
      </c>
    </row>
    <row r="52" ht="15" customHeight="1">
      <c r="A52" t="inlineStr">
        <is>
          <t>A 12335-2025</t>
        </is>
      </c>
      <c r="B52" s="1" t="n">
        <v>45730</v>
      </c>
      <c r="C52" s="1" t="n">
        <v>45882</v>
      </c>
      <c r="D52" t="inlineStr">
        <is>
          <t>KALMAR LÄN</t>
        </is>
      </c>
      <c r="E52" t="inlineStr">
        <is>
          <t>VÄSTERVIK</t>
        </is>
      </c>
      <c r="G52" t="n">
        <v>3.1</v>
      </c>
      <c r="H52" t="n">
        <v>4</v>
      </c>
      <c r="I52" t="n">
        <v>1</v>
      </c>
      <c r="J52" t="n">
        <v>3</v>
      </c>
      <c r="K52" t="n">
        <v>0</v>
      </c>
      <c r="L52" t="n">
        <v>0</v>
      </c>
      <c r="M52" t="n">
        <v>0</v>
      </c>
      <c r="N52" t="n">
        <v>0</v>
      </c>
      <c r="O52" t="n">
        <v>3</v>
      </c>
      <c r="P52" t="n">
        <v>0</v>
      </c>
      <c r="Q52" t="n">
        <v>5</v>
      </c>
      <c r="R52" s="2" t="inlineStr">
        <is>
          <t>Mindre hackspett
Spillkråka
Talltita
Blåmossa
Grönsiska</t>
        </is>
      </c>
      <c r="S52">
        <f>HYPERLINK("https://klasma.github.io/Logging_0883/artfynd/A 12335-2025 artfynd.xlsx", "A 12335-2025")</f>
        <v/>
      </c>
      <c r="T52">
        <f>HYPERLINK("https://klasma.github.io/Logging_0883/kartor/A 12335-2025 karta.png", "A 12335-2025")</f>
        <v/>
      </c>
      <c r="V52">
        <f>HYPERLINK("https://klasma.github.io/Logging_0883/klagomål/A 12335-2025 FSC-klagomål.docx", "A 12335-2025")</f>
        <v/>
      </c>
      <c r="W52">
        <f>HYPERLINK("https://klasma.github.io/Logging_0883/klagomålsmail/A 12335-2025 FSC-klagomål mail.docx", "A 12335-2025")</f>
        <v/>
      </c>
      <c r="X52">
        <f>HYPERLINK("https://klasma.github.io/Logging_0883/tillsyn/A 12335-2025 tillsynsbegäran.docx", "A 12335-2025")</f>
        <v/>
      </c>
      <c r="Y52">
        <f>HYPERLINK("https://klasma.github.io/Logging_0883/tillsynsmail/A 12335-2025 tillsynsbegäran mail.docx", "A 12335-2025")</f>
        <v/>
      </c>
      <c r="Z52">
        <f>HYPERLINK("https://klasma.github.io/Logging_0883/fåglar/A 12335-2025 prioriterade fågelarter.docx", "A 12335-2025")</f>
        <v/>
      </c>
    </row>
    <row r="53" ht="15" customHeight="1">
      <c r="A53" t="inlineStr">
        <is>
          <t>A 31431-2024</t>
        </is>
      </c>
      <c r="B53" s="1" t="n">
        <v>45505</v>
      </c>
      <c r="C53" s="1" t="n">
        <v>45882</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48724-2024</t>
        </is>
      </c>
      <c r="B54" s="1" t="n">
        <v>45593.55731481482</v>
      </c>
      <c r="C54" s="1" t="n">
        <v>45882</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27727-2024</t>
        </is>
      </c>
      <c r="B55" s="1" t="n">
        <v>45475</v>
      </c>
      <c r="C55" s="1" t="n">
        <v>45882</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54334-2024</t>
        </is>
      </c>
      <c r="B56" s="1" t="n">
        <v>45617.38247685185</v>
      </c>
      <c r="C56" s="1" t="n">
        <v>45882</v>
      </c>
      <c r="D56" t="inlineStr">
        <is>
          <t>KALMAR LÄN</t>
        </is>
      </c>
      <c r="E56" t="inlineStr">
        <is>
          <t>VÄSTERVIK</t>
        </is>
      </c>
      <c r="F56" t="inlineStr">
        <is>
          <t>Kyrkan</t>
        </is>
      </c>
      <c r="G56" t="n">
        <v>2.6</v>
      </c>
      <c r="H56" t="n">
        <v>3</v>
      </c>
      <c r="I56" t="n">
        <v>3</v>
      </c>
      <c r="J56" t="n">
        <v>1</v>
      </c>
      <c r="K56" t="n">
        <v>1</v>
      </c>
      <c r="L56" t="n">
        <v>0</v>
      </c>
      <c r="M56" t="n">
        <v>0</v>
      </c>
      <c r="N56" t="n">
        <v>0</v>
      </c>
      <c r="O56" t="n">
        <v>2</v>
      </c>
      <c r="P56" t="n">
        <v>1</v>
      </c>
      <c r="Q56" t="n">
        <v>5</v>
      </c>
      <c r="R56" s="2" t="inlineStr">
        <is>
          <t>Knärot
Spillkråka
Fjällig taggsvamp s.str.
Grön sköldmossa
Grönpyrola</t>
        </is>
      </c>
      <c r="S56">
        <f>HYPERLINK("https://klasma.github.io/Logging_0883/artfynd/A 54334-2024 artfynd.xlsx", "A 54334-2024")</f>
        <v/>
      </c>
      <c r="T56">
        <f>HYPERLINK("https://klasma.github.io/Logging_0883/kartor/A 54334-2024 karta.png", "A 54334-2024")</f>
        <v/>
      </c>
      <c r="U56">
        <f>HYPERLINK("https://klasma.github.io/Logging_0883/knärot/A 54334-2024 karta knärot.png", "A 54334-2024")</f>
        <v/>
      </c>
      <c r="V56">
        <f>HYPERLINK("https://klasma.github.io/Logging_0883/klagomål/A 54334-2024 FSC-klagomål.docx", "A 54334-2024")</f>
        <v/>
      </c>
      <c r="W56">
        <f>HYPERLINK("https://klasma.github.io/Logging_0883/klagomålsmail/A 54334-2024 FSC-klagomål mail.docx", "A 54334-2024")</f>
        <v/>
      </c>
      <c r="X56">
        <f>HYPERLINK("https://klasma.github.io/Logging_0883/tillsyn/A 54334-2024 tillsynsbegäran.docx", "A 54334-2024")</f>
        <v/>
      </c>
      <c r="Y56">
        <f>HYPERLINK("https://klasma.github.io/Logging_0883/tillsynsmail/A 54334-2024 tillsynsbegäran mail.docx", "A 54334-2024")</f>
        <v/>
      </c>
      <c r="Z56">
        <f>HYPERLINK("https://klasma.github.io/Logging_0883/fåglar/A 54334-2024 prioriterade fågelarter.docx", "A 54334-2024")</f>
        <v/>
      </c>
    </row>
    <row r="57" ht="15" customHeight="1">
      <c r="A57" t="inlineStr">
        <is>
          <t>A 33691-2025</t>
        </is>
      </c>
      <c r="B57" s="1" t="n">
        <v>45841.69503472222</v>
      </c>
      <c r="C57" s="1" t="n">
        <v>45882</v>
      </c>
      <c r="D57" t="inlineStr">
        <is>
          <t>KALMAR LÄN</t>
        </is>
      </c>
      <c r="E57" t="inlineStr">
        <is>
          <t>VÄSTERVIK</t>
        </is>
      </c>
      <c r="G57" t="n">
        <v>4.8</v>
      </c>
      <c r="H57" t="n">
        <v>4</v>
      </c>
      <c r="I57" t="n">
        <v>1</v>
      </c>
      <c r="J57" t="n">
        <v>1</v>
      </c>
      <c r="K57" t="n">
        <v>1</v>
      </c>
      <c r="L57" t="n">
        <v>0</v>
      </c>
      <c r="M57" t="n">
        <v>0</v>
      </c>
      <c r="N57" t="n">
        <v>0</v>
      </c>
      <c r="O57" t="n">
        <v>2</v>
      </c>
      <c r="P57" t="n">
        <v>1</v>
      </c>
      <c r="Q57" t="n">
        <v>5</v>
      </c>
      <c r="R57" s="2" t="inlineStr">
        <is>
          <t>Knärot
Talltita
Grönpyrola
Kungsfågel
Revlummer</t>
        </is>
      </c>
      <c r="S57">
        <f>HYPERLINK("https://klasma.github.io/Logging_0883/artfynd/A 33691-2025 artfynd.xlsx", "A 33691-2025")</f>
        <v/>
      </c>
      <c r="T57">
        <f>HYPERLINK("https://klasma.github.io/Logging_0883/kartor/A 33691-2025 karta.png", "A 33691-2025")</f>
        <v/>
      </c>
      <c r="U57">
        <f>HYPERLINK("https://klasma.github.io/Logging_0883/knärot/A 33691-2025 karta knärot.png", "A 33691-2025")</f>
        <v/>
      </c>
      <c r="V57">
        <f>HYPERLINK("https://klasma.github.io/Logging_0883/klagomål/A 33691-2025 FSC-klagomål.docx", "A 33691-2025")</f>
        <v/>
      </c>
      <c r="W57">
        <f>HYPERLINK("https://klasma.github.io/Logging_0883/klagomålsmail/A 33691-2025 FSC-klagomål mail.docx", "A 33691-2025")</f>
        <v/>
      </c>
      <c r="X57">
        <f>HYPERLINK("https://klasma.github.io/Logging_0883/tillsyn/A 33691-2025 tillsynsbegäran.docx", "A 33691-2025")</f>
        <v/>
      </c>
      <c r="Y57">
        <f>HYPERLINK("https://klasma.github.io/Logging_0883/tillsynsmail/A 33691-2025 tillsynsbegäran mail.docx", "A 33691-2025")</f>
        <v/>
      </c>
      <c r="Z57">
        <f>HYPERLINK("https://klasma.github.io/Logging_0883/fåglar/A 33691-2025 prioriterade fågelarter.docx", "A 33691-2025")</f>
        <v/>
      </c>
    </row>
    <row r="58" ht="15" customHeight="1">
      <c r="A58" t="inlineStr">
        <is>
          <t>A 1779-2025</t>
        </is>
      </c>
      <c r="B58" s="1" t="n">
        <v>45671</v>
      </c>
      <c r="C58" s="1" t="n">
        <v>45882</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51923-2022</t>
        </is>
      </c>
      <c r="B59" s="1" t="n">
        <v>44868</v>
      </c>
      <c r="C59" s="1" t="n">
        <v>45882</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781-2023</t>
        </is>
      </c>
      <c r="B60" s="1" t="n">
        <v>44931</v>
      </c>
      <c r="C60" s="1" t="n">
        <v>45882</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59319-2023</t>
        </is>
      </c>
      <c r="B61" s="1" t="n">
        <v>45253</v>
      </c>
      <c r="C61" s="1" t="n">
        <v>45882</v>
      </c>
      <c r="D61" t="inlineStr">
        <is>
          <t>KALMAR LÄN</t>
        </is>
      </c>
      <c r="E61" t="inlineStr">
        <is>
          <t>VÄSTERVIK</t>
        </is>
      </c>
      <c r="G61" t="n">
        <v>1</v>
      </c>
      <c r="H61" t="n">
        <v>1</v>
      </c>
      <c r="I61" t="n">
        <v>2</v>
      </c>
      <c r="J61" t="n">
        <v>0</v>
      </c>
      <c r="K61" t="n">
        <v>1</v>
      </c>
      <c r="L61" t="n">
        <v>1</v>
      </c>
      <c r="M61" t="n">
        <v>0</v>
      </c>
      <c r="N61" t="n">
        <v>0</v>
      </c>
      <c r="O61" t="n">
        <v>2</v>
      </c>
      <c r="P61" t="n">
        <v>2</v>
      </c>
      <c r="Q61" t="n">
        <v>4</v>
      </c>
      <c r="R61" s="2" t="inlineStr">
        <is>
          <t>Tallharticka
Knärot
Blomkålssvamp
Grönpyrola</t>
        </is>
      </c>
      <c r="S61">
        <f>HYPERLINK("https://klasma.github.io/Logging_0883/artfynd/A 59319-2023 artfynd.xlsx", "A 59319-2023")</f>
        <v/>
      </c>
      <c r="T61">
        <f>HYPERLINK("https://klasma.github.io/Logging_0883/kartor/A 59319-2023 karta.png", "A 59319-2023")</f>
        <v/>
      </c>
      <c r="U61">
        <f>HYPERLINK("https://klasma.github.io/Logging_0883/knärot/A 59319-2023 karta knärot.png", "A 59319-2023")</f>
        <v/>
      </c>
      <c r="V61">
        <f>HYPERLINK("https://klasma.github.io/Logging_0883/klagomål/A 59319-2023 FSC-klagomål.docx", "A 59319-2023")</f>
        <v/>
      </c>
      <c r="W61">
        <f>HYPERLINK("https://klasma.github.io/Logging_0883/klagomålsmail/A 59319-2023 FSC-klagomål mail.docx", "A 59319-2023")</f>
        <v/>
      </c>
      <c r="X61">
        <f>HYPERLINK("https://klasma.github.io/Logging_0883/tillsyn/A 59319-2023 tillsynsbegäran.docx", "A 59319-2023")</f>
        <v/>
      </c>
      <c r="Y61">
        <f>HYPERLINK("https://klasma.github.io/Logging_0883/tillsynsmail/A 59319-2023 tillsynsbegäran mail.docx", "A 59319-2023")</f>
        <v/>
      </c>
    </row>
    <row r="62" ht="15" customHeight="1">
      <c r="A62" t="inlineStr">
        <is>
          <t>A 37438-2021</t>
        </is>
      </c>
      <c r="B62" s="1" t="n">
        <v>44398</v>
      </c>
      <c r="C62" s="1" t="n">
        <v>45882</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18164-2025</t>
        </is>
      </c>
      <c r="B63" s="1" t="n">
        <v>45761</v>
      </c>
      <c r="C63" s="1" t="n">
        <v>45882</v>
      </c>
      <c r="D63" t="inlineStr">
        <is>
          <t>KALMAR LÄN</t>
        </is>
      </c>
      <c r="E63" t="inlineStr">
        <is>
          <t>VÄSTERVIK</t>
        </is>
      </c>
      <c r="G63" t="n">
        <v>3.9</v>
      </c>
      <c r="H63" t="n">
        <v>3</v>
      </c>
      <c r="I63" t="n">
        <v>1</v>
      </c>
      <c r="J63" t="n">
        <v>1</v>
      </c>
      <c r="K63" t="n">
        <v>0</v>
      </c>
      <c r="L63" t="n">
        <v>0</v>
      </c>
      <c r="M63" t="n">
        <v>0</v>
      </c>
      <c r="N63" t="n">
        <v>0</v>
      </c>
      <c r="O63" t="n">
        <v>1</v>
      </c>
      <c r="P63" t="n">
        <v>0</v>
      </c>
      <c r="Q63" t="n">
        <v>4</v>
      </c>
      <c r="R63" s="2" t="inlineStr">
        <is>
          <t>Spillkråka
Vätteros
Kungsfågel
Fläcknycklar</t>
        </is>
      </c>
      <c r="S63">
        <f>HYPERLINK("https://klasma.github.io/Logging_0883/artfynd/A 18164-2025 artfynd.xlsx", "A 18164-2025")</f>
        <v/>
      </c>
      <c r="T63">
        <f>HYPERLINK("https://klasma.github.io/Logging_0883/kartor/A 18164-2025 karta.png", "A 18164-2025")</f>
        <v/>
      </c>
      <c r="V63">
        <f>HYPERLINK("https://klasma.github.io/Logging_0883/klagomål/A 18164-2025 FSC-klagomål.docx", "A 18164-2025")</f>
        <v/>
      </c>
      <c r="W63">
        <f>HYPERLINK("https://klasma.github.io/Logging_0883/klagomålsmail/A 18164-2025 FSC-klagomål mail.docx", "A 18164-2025")</f>
        <v/>
      </c>
      <c r="X63">
        <f>HYPERLINK("https://klasma.github.io/Logging_0883/tillsyn/A 18164-2025 tillsynsbegäran.docx", "A 18164-2025")</f>
        <v/>
      </c>
      <c r="Y63">
        <f>HYPERLINK("https://klasma.github.io/Logging_0883/tillsynsmail/A 18164-2025 tillsynsbegäran mail.docx", "A 18164-2025")</f>
        <v/>
      </c>
      <c r="Z63">
        <f>HYPERLINK("https://klasma.github.io/Logging_0883/fåglar/A 18164-2025 prioriterade fågelarter.docx", "A 18164-2025")</f>
        <v/>
      </c>
    </row>
    <row r="64" ht="15" customHeight="1">
      <c r="A64" t="inlineStr">
        <is>
          <t>A 3781-2025</t>
        </is>
      </c>
      <c r="B64" s="1" t="n">
        <v>45681.62086805556</v>
      </c>
      <c r="C64" s="1" t="n">
        <v>45882</v>
      </c>
      <c r="D64" t="inlineStr">
        <is>
          <t>KALMAR LÄN</t>
        </is>
      </c>
      <c r="E64" t="inlineStr">
        <is>
          <t>VÄSTERVIK</t>
        </is>
      </c>
      <c r="G64" t="n">
        <v>1.4</v>
      </c>
      <c r="H64" t="n">
        <v>4</v>
      </c>
      <c r="I64" t="n">
        <v>0</v>
      </c>
      <c r="J64" t="n">
        <v>2</v>
      </c>
      <c r="K64" t="n">
        <v>0</v>
      </c>
      <c r="L64" t="n">
        <v>0</v>
      </c>
      <c r="M64" t="n">
        <v>0</v>
      </c>
      <c r="N64" t="n">
        <v>0</v>
      </c>
      <c r="O64" t="n">
        <v>2</v>
      </c>
      <c r="P64" t="n">
        <v>0</v>
      </c>
      <c r="Q64" t="n">
        <v>4</v>
      </c>
      <c r="R64" s="2" t="inlineStr">
        <is>
          <t>Spillkråka
Talltita
Kungsfågel
Revlummer</t>
        </is>
      </c>
      <c r="S64">
        <f>HYPERLINK("https://klasma.github.io/Logging_0883/artfynd/A 3781-2025 artfynd.xlsx", "A 3781-2025")</f>
        <v/>
      </c>
      <c r="T64">
        <f>HYPERLINK("https://klasma.github.io/Logging_0883/kartor/A 3781-2025 karta.png", "A 3781-2025")</f>
        <v/>
      </c>
      <c r="V64">
        <f>HYPERLINK("https://klasma.github.io/Logging_0883/klagomål/A 3781-2025 FSC-klagomål.docx", "A 3781-2025")</f>
        <v/>
      </c>
      <c r="W64">
        <f>HYPERLINK("https://klasma.github.io/Logging_0883/klagomålsmail/A 3781-2025 FSC-klagomål mail.docx", "A 3781-2025")</f>
        <v/>
      </c>
      <c r="X64">
        <f>HYPERLINK("https://klasma.github.io/Logging_0883/tillsyn/A 3781-2025 tillsynsbegäran.docx", "A 3781-2025")</f>
        <v/>
      </c>
      <c r="Y64">
        <f>HYPERLINK("https://klasma.github.io/Logging_0883/tillsynsmail/A 3781-2025 tillsynsbegäran mail.docx", "A 3781-2025")</f>
        <v/>
      </c>
      <c r="Z64">
        <f>HYPERLINK("https://klasma.github.io/Logging_0883/fåglar/A 3781-2025 prioriterade fågelarter.docx", "A 3781-2025")</f>
        <v/>
      </c>
    </row>
    <row r="65" ht="15" customHeight="1">
      <c r="A65" t="inlineStr">
        <is>
          <t>A 58955-2022</t>
        </is>
      </c>
      <c r="B65" s="1" t="n">
        <v>44896</v>
      </c>
      <c r="C65" s="1" t="n">
        <v>45882</v>
      </c>
      <c r="D65" t="inlineStr">
        <is>
          <t>KALMAR LÄN</t>
        </is>
      </c>
      <c r="E65" t="inlineStr">
        <is>
          <t>VÄSTERVIK</t>
        </is>
      </c>
      <c r="G65" t="n">
        <v>4.5</v>
      </c>
      <c r="H65" t="n">
        <v>2</v>
      </c>
      <c r="I65" t="n">
        <v>1</v>
      </c>
      <c r="J65" t="n">
        <v>1</v>
      </c>
      <c r="K65" t="n">
        <v>1</v>
      </c>
      <c r="L65" t="n">
        <v>0</v>
      </c>
      <c r="M65" t="n">
        <v>0</v>
      </c>
      <c r="N65" t="n">
        <v>0</v>
      </c>
      <c r="O65" t="n">
        <v>2</v>
      </c>
      <c r="P65" t="n">
        <v>1</v>
      </c>
      <c r="Q65" t="n">
        <v>4</v>
      </c>
      <c r="R65" s="2" t="inlineStr">
        <is>
          <t>Knärot
Tallticka
Hasselticka
Blåsippa</t>
        </is>
      </c>
      <c r="S65">
        <f>HYPERLINK("https://klasma.github.io/Logging_0883/artfynd/A 58955-2022 artfynd.xlsx", "A 58955-2022")</f>
        <v/>
      </c>
      <c r="T65">
        <f>HYPERLINK("https://klasma.github.io/Logging_0883/kartor/A 58955-2022 karta.png", "A 58955-2022")</f>
        <v/>
      </c>
      <c r="U65">
        <f>HYPERLINK("https://klasma.github.io/Logging_0883/knärot/A 58955-2022 karta knärot.png", "A 58955-2022")</f>
        <v/>
      </c>
      <c r="V65">
        <f>HYPERLINK("https://klasma.github.io/Logging_0883/klagomål/A 58955-2022 FSC-klagomål.docx", "A 58955-2022")</f>
        <v/>
      </c>
      <c r="W65">
        <f>HYPERLINK("https://klasma.github.io/Logging_0883/klagomålsmail/A 58955-2022 FSC-klagomål mail.docx", "A 58955-2022")</f>
        <v/>
      </c>
      <c r="X65">
        <f>HYPERLINK("https://klasma.github.io/Logging_0883/tillsyn/A 58955-2022 tillsynsbegäran.docx", "A 58955-2022")</f>
        <v/>
      </c>
      <c r="Y65">
        <f>HYPERLINK("https://klasma.github.io/Logging_0883/tillsynsmail/A 58955-2022 tillsynsbegäran mail.docx", "A 58955-2022")</f>
        <v/>
      </c>
    </row>
    <row r="66" ht="15" customHeight="1">
      <c r="A66" t="inlineStr">
        <is>
          <t>A 25280-2021</t>
        </is>
      </c>
      <c r="B66" s="1" t="n">
        <v>44342</v>
      </c>
      <c r="C66" s="1" t="n">
        <v>45882</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41571-2024</t>
        </is>
      </c>
      <c r="B67" s="1" t="n">
        <v>45560.54571759259</v>
      </c>
      <c r="C67" s="1" t="n">
        <v>45882</v>
      </c>
      <c r="D67" t="inlineStr">
        <is>
          <t>KALMAR LÄN</t>
        </is>
      </c>
      <c r="E67" t="inlineStr">
        <is>
          <t>VÄSTERVIK</t>
        </is>
      </c>
      <c r="G67" t="n">
        <v>5.2</v>
      </c>
      <c r="H67" t="n">
        <v>1</v>
      </c>
      <c r="I67" t="n">
        <v>2</v>
      </c>
      <c r="J67" t="n">
        <v>2</v>
      </c>
      <c r="K67" t="n">
        <v>0</v>
      </c>
      <c r="L67" t="n">
        <v>0</v>
      </c>
      <c r="M67" t="n">
        <v>0</v>
      </c>
      <c r="N67" t="n">
        <v>0</v>
      </c>
      <c r="O67" t="n">
        <v>2</v>
      </c>
      <c r="P67" t="n">
        <v>0</v>
      </c>
      <c r="Q67" t="n">
        <v>4</v>
      </c>
      <c r="R67" s="2" t="inlineStr">
        <is>
          <t>Tallticka
Talltita
Blåmossa
Dropptaggsvamp</t>
        </is>
      </c>
      <c r="S67">
        <f>HYPERLINK("https://klasma.github.io/Logging_0883/artfynd/A 41571-2024 artfynd.xlsx", "A 41571-2024")</f>
        <v/>
      </c>
      <c r="T67">
        <f>HYPERLINK("https://klasma.github.io/Logging_0883/kartor/A 41571-2024 karta.png", "A 41571-2024")</f>
        <v/>
      </c>
      <c r="U67">
        <f>HYPERLINK("https://klasma.github.io/Logging_0883/knärot/A 41571-2024 karta knärot.png", "A 41571-2024")</f>
        <v/>
      </c>
      <c r="V67">
        <f>HYPERLINK("https://klasma.github.io/Logging_0883/klagomål/A 41571-2024 FSC-klagomål.docx", "A 41571-2024")</f>
        <v/>
      </c>
      <c r="W67">
        <f>HYPERLINK("https://klasma.github.io/Logging_0883/klagomålsmail/A 41571-2024 FSC-klagomål mail.docx", "A 41571-2024")</f>
        <v/>
      </c>
      <c r="X67">
        <f>HYPERLINK("https://klasma.github.io/Logging_0883/tillsyn/A 41571-2024 tillsynsbegäran.docx", "A 41571-2024")</f>
        <v/>
      </c>
      <c r="Y67">
        <f>HYPERLINK("https://klasma.github.io/Logging_0883/tillsynsmail/A 41571-2024 tillsynsbegäran mail.docx", "A 41571-2024")</f>
        <v/>
      </c>
      <c r="Z67">
        <f>HYPERLINK("https://klasma.github.io/Logging_0883/fåglar/A 41571-2024 prioriterade fågelarter.docx", "A 41571-2024")</f>
        <v/>
      </c>
    </row>
    <row r="68" ht="15" customHeight="1">
      <c r="A68" t="inlineStr">
        <is>
          <t>A 18397-2024</t>
        </is>
      </c>
      <c r="B68" s="1" t="n">
        <v>45425</v>
      </c>
      <c r="C68" s="1" t="n">
        <v>45882</v>
      </c>
      <c r="D68" t="inlineStr">
        <is>
          <t>KALMAR LÄN</t>
        </is>
      </c>
      <c r="E68" t="inlineStr">
        <is>
          <t>VÄSTERVIK</t>
        </is>
      </c>
      <c r="F68" t="inlineStr">
        <is>
          <t>Holmen skog AB</t>
        </is>
      </c>
      <c r="G68" t="n">
        <v>3.5</v>
      </c>
      <c r="H68" t="n">
        <v>3</v>
      </c>
      <c r="I68" t="n">
        <v>1</v>
      </c>
      <c r="J68" t="n">
        <v>2</v>
      </c>
      <c r="K68" t="n">
        <v>1</v>
      </c>
      <c r="L68" t="n">
        <v>0</v>
      </c>
      <c r="M68" t="n">
        <v>0</v>
      </c>
      <c r="N68" t="n">
        <v>0</v>
      </c>
      <c r="O68" t="n">
        <v>3</v>
      </c>
      <c r="P68" t="n">
        <v>1</v>
      </c>
      <c r="Q68" t="n">
        <v>4</v>
      </c>
      <c r="R68" s="2" t="inlineStr">
        <is>
          <t>Knärot
Spillkråka
Talltita
Grönpyrola</t>
        </is>
      </c>
      <c r="S68">
        <f>HYPERLINK("https://klasma.github.io/Logging_0883/artfynd/A 18397-2024 artfynd.xlsx", "A 18397-2024")</f>
        <v/>
      </c>
      <c r="T68">
        <f>HYPERLINK("https://klasma.github.io/Logging_0883/kartor/A 18397-2024 karta.png", "A 18397-2024")</f>
        <v/>
      </c>
      <c r="U68">
        <f>HYPERLINK("https://klasma.github.io/Logging_0883/knärot/A 18397-2024 karta knärot.png", "A 18397-2024")</f>
        <v/>
      </c>
      <c r="V68">
        <f>HYPERLINK("https://klasma.github.io/Logging_0883/klagomål/A 18397-2024 FSC-klagomål.docx", "A 18397-2024")</f>
        <v/>
      </c>
      <c r="W68">
        <f>HYPERLINK("https://klasma.github.io/Logging_0883/klagomålsmail/A 18397-2024 FSC-klagomål mail.docx", "A 18397-2024")</f>
        <v/>
      </c>
      <c r="X68">
        <f>HYPERLINK("https://klasma.github.io/Logging_0883/tillsyn/A 18397-2024 tillsynsbegäran.docx", "A 18397-2024")</f>
        <v/>
      </c>
      <c r="Y68">
        <f>HYPERLINK("https://klasma.github.io/Logging_0883/tillsynsmail/A 18397-2024 tillsynsbegäran mail.docx", "A 18397-2024")</f>
        <v/>
      </c>
      <c r="Z68">
        <f>HYPERLINK("https://klasma.github.io/Logging_0883/fåglar/A 18397-2024 prioriterade fågelarter.docx", "A 18397-2024")</f>
        <v/>
      </c>
    </row>
    <row r="69" ht="15" customHeight="1">
      <c r="A69" t="inlineStr">
        <is>
          <t>A 58727-2024</t>
        </is>
      </c>
      <c r="B69" s="1" t="n">
        <v>45635</v>
      </c>
      <c r="C69" s="1" t="n">
        <v>45882</v>
      </c>
      <c r="D69" t="inlineStr">
        <is>
          <t>KALMAR LÄN</t>
        </is>
      </c>
      <c r="E69" t="inlineStr">
        <is>
          <t>VÄSTERVIK</t>
        </is>
      </c>
      <c r="F69" t="inlineStr">
        <is>
          <t>Holmen skog AB</t>
        </is>
      </c>
      <c r="G69" t="n">
        <v>2.8</v>
      </c>
      <c r="H69" t="n">
        <v>3</v>
      </c>
      <c r="I69" t="n">
        <v>1</v>
      </c>
      <c r="J69" t="n">
        <v>3</v>
      </c>
      <c r="K69" t="n">
        <v>0</v>
      </c>
      <c r="L69" t="n">
        <v>0</v>
      </c>
      <c r="M69" t="n">
        <v>0</v>
      </c>
      <c r="N69" t="n">
        <v>0</v>
      </c>
      <c r="O69" t="n">
        <v>3</v>
      </c>
      <c r="P69" t="n">
        <v>0</v>
      </c>
      <c r="Q69" t="n">
        <v>4</v>
      </c>
      <c r="R69" s="2" t="inlineStr">
        <is>
          <t>Havsörn
Spillkråka
Talltita
Blåmossa</t>
        </is>
      </c>
      <c r="S69">
        <f>HYPERLINK("https://klasma.github.io/Logging_0883/artfynd/A 58727-2024 artfynd.xlsx", "A 58727-2024")</f>
        <v/>
      </c>
      <c r="T69">
        <f>HYPERLINK("https://klasma.github.io/Logging_0883/kartor/A 58727-2024 karta.png", "A 58727-2024")</f>
        <v/>
      </c>
      <c r="V69">
        <f>HYPERLINK("https://klasma.github.io/Logging_0883/klagomål/A 58727-2024 FSC-klagomål.docx", "A 58727-2024")</f>
        <v/>
      </c>
      <c r="W69">
        <f>HYPERLINK("https://klasma.github.io/Logging_0883/klagomålsmail/A 58727-2024 FSC-klagomål mail.docx", "A 58727-2024")</f>
        <v/>
      </c>
      <c r="X69">
        <f>HYPERLINK("https://klasma.github.io/Logging_0883/tillsyn/A 58727-2024 tillsynsbegäran.docx", "A 58727-2024")</f>
        <v/>
      </c>
      <c r="Y69">
        <f>HYPERLINK("https://klasma.github.io/Logging_0883/tillsynsmail/A 58727-2024 tillsynsbegäran mail.docx", "A 58727-2024")</f>
        <v/>
      </c>
      <c r="Z69">
        <f>HYPERLINK("https://klasma.github.io/Logging_0883/fåglar/A 58727-2024 prioriterade fågelarter.docx", "A 58727-2024")</f>
        <v/>
      </c>
    </row>
    <row r="70" ht="15" customHeight="1">
      <c r="A70" t="inlineStr">
        <is>
          <t>A 63366-2023</t>
        </is>
      </c>
      <c r="B70" s="1" t="n">
        <v>45274</v>
      </c>
      <c r="C70" s="1" t="n">
        <v>45882</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24839-2025</t>
        </is>
      </c>
      <c r="B71" s="1" t="n">
        <v>45799.4640625</v>
      </c>
      <c r="C71" s="1" t="n">
        <v>45882</v>
      </c>
      <c r="D71" t="inlineStr">
        <is>
          <t>KALMAR LÄN</t>
        </is>
      </c>
      <c r="E71" t="inlineStr">
        <is>
          <t>VÄSTERVIK</t>
        </is>
      </c>
      <c r="F71" t="inlineStr">
        <is>
          <t>Holmen skog AB</t>
        </is>
      </c>
      <c r="G71" t="n">
        <v>8.300000000000001</v>
      </c>
      <c r="H71" t="n">
        <v>2</v>
      </c>
      <c r="I71" t="n">
        <v>1</v>
      </c>
      <c r="J71" t="n">
        <v>2</v>
      </c>
      <c r="K71" t="n">
        <v>0</v>
      </c>
      <c r="L71" t="n">
        <v>0</v>
      </c>
      <c r="M71" t="n">
        <v>0</v>
      </c>
      <c r="N71" t="n">
        <v>0</v>
      </c>
      <c r="O71" t="n">
        <v>2</v>
      </c>
      <c r="P71" t="n">
        <v>0</v>
      </c>
      <c r="Q71" t="n">
        <v>4</v>
      </c>
      <c r="R71" s="2" t="inlineStr">
        <is>
          <t>Grönsångare
Tallticka
Murgröna
Kungsfågel</t>
        </is>
      </c>
      <c r="S71">
        <f>HYPERLINK("https://klasma.github.io/Logging_0883/artfynd/A 24839-2025 artfynd.xlsx", "A 24839-2025")</f>
        <v/>
      </c>
      <c r="T71">
        <f>HYPERLINK("https://klasma.github.io/Logging_0883/kartor/A 24839-2025 karta.png", "A 24839-2025")</f>
        <v/>
      </c>
      <c r="V71">
        <f>HYPERLINK("https://klasma.github.io/Logging_0883/klagomål/A 24839-2025 FSC-klagomål.docx", "A 24839-2025")</f>
        <v/>
      </c>
      <c r="W71">
        <f>HYPERLINK("https://klasma.github.io/Logging_0883/klagomålsmail/A 24839-2025 FSC-klagomål mail.docx", "A 24839-2025")</f>
        <v/>
      </c>
      <c r="X71">
        <f>HYPERLINK("https://klasma.github.io/Logging_0883/tillsyn/A 24839-2025 tillsynsbegäran.docx", "A 24839-2025")</f>
        <v/>
      </c>
      <c r="Y71">
        <f>HYPERLINK("https://klasma.github.io/Logging_0883/tillsynsmail/A 24839-2025 tillsynsbegäran mail.docx", "A 24839-2025")</f>
        <v/>
      </c>
      <c r="Z71">
        <f>HYPERLINK("https://klasma.github.io/Logging_0883/fåglar/A 24839-2025 prioriterade fågelarter.docx", "A 24839-2025")</f>
        <v/>
      </c>
    </row>
    <row r="72" ht="15" customHeight="1">
      <c r="A72" t="inlineStr">
        <is>
          <t>A 10781-2025</t>
        </is>
      </c>
      <c r="B72" s="1" t="n">
        <v>45722</v>
      </c>
      <c r="C72" s="1" t="n">
        <v>45882</v>
      </c>
      <c r="D72" t="inlineStr">
        <is>
          <t>KALMAR LÄN</t>
        </is>
      </c>
      <c r="E72" t="inlineStr">
        <is>
          <t>VÄSTERVIK</t>
        </is>
      </c>
      <c r="G72" t="n">
        <v>2.8</v>
      </c>
      <c r="H72" t="n">
        <v>3</v>
      </c>
      <c r="I72" t="n">
        <v>1</v>
      </c>
      <c r="J72" t="n">
        <v>2</v>
      </c>
      <c r="K72" t="n">
        <v>0</v>
      </c>
      <c r="L72" t="n">
        <v>0</v>
      </c>
      <c r="M72" t="n">
        <v>0</v>
      </c>
      <c r="N72" t="n">
        <v>0</v>
      </c>
      <c r="O72" t="n">
        <v>2</v>
      </c>
      <c r="P72" t="n">
        <v>0</v>
      </c>
      <c r="Q72" t="n">
        <v>4</v>
      </c>
      <c r="R72" s="2" t="inlineStr">
        <is>
          <t>Spillkråka
Talltita
Grovticka
Kungsfågel</t>
        </is>
      </c>
      <c r="S72">
        <f>HYPERLINK("https://klasma.github.io/Logging_0883/artfynd/A 10781-2025 artfynd.xlsx", "A 10781-2025")</f>
        <v/>
      </c>
      <c r="T72">
        <f>HYPERLINK("https://klasma.github.io/Logging_0883/kartor/A 10781-2025 karta.png", "A 10781-2025")</f>
        <v/>
      </c>
      <c r="V72">
        <f>HYPERLINK("https://klasma.github.io/Logging_0883/klagomål/A 10781-2025 FSC-klagomål.docx", "A 10781-2025")</f>
        <v/>
      </c>
      <c r="W72">
        <f>HYPERLINK("https://klasma.github.io/Logging_0883/klagomålsmail/A 10781-2025 FSC-klagomål mail.docx", "A 10781-2025")</f>
        <v/>
      </c>
      <c r="X72">
        <f>HYPERLINK("https://klasma.github.io/Logging_0883/tillsyn/A 10781-2025 tillsynsbegäran.docx", "A 10781-2025")</f>
        <v/>
      </c>
      <c r="Y72">
        <f>HYPERLINK("https://klasma.github.io/Logging_0883/tillsynsmail/A 10781-2025 tillsynsbegäran mail.docx", "A 10781-2025")</f>
        <v/>
      </c>
      <c r="Z72">
        <f>HYPERLINK("https://klasma.github.io/Logging_0883/fåglar/A 10781-2025 prioriterade fågelarter.docx", "A 10781-2025")</f>
        <v/>
      </c>
    </row>
    <row r="73" ht="15" customHeight="1">
      <c r="A73" t="inlineStr">
        <is>
          <t>A 34644-2025</t>
        </is>
      </c>
      <c r="B73" s="1" t="n">
        <v>45848.33202546297</v>
      </c>
      <c r="C73" s="1" t="n">
        <v>45882</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26985-2025</t>
        </is>
      </c>
      <c r="B74" s="1" t="n">
        <v>45811</v>
      </c>
      <c r="C74" s="1" t="n">
        <v>45882</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20366-2024</t>
        </is>
      </c>
      <c r="B75" s="1" t="n">
        <v>45435</v>
      </c>
      <c r="C75" s="1" t="n">
        <v>45882</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31914-2025</t>
        </is>
      </c>
      <c r="B76" s="1" t="n">
        <v>45834</v>
      </c>
      <c r="C76" s="1" t="n">
        <v>45882</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9975-2024</t>
        </is>
      </c>
      <c r="B77" s="1" t="n">
        <v>45363</v>
      </c>
      <c r="C77" s="1" t="n">
        <v>45882</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938-2024</t>
        </is>
      </c>
      <c r="B78" s="1" t="n">
        <v>45301</v>
      </c>
      <c r="C78" s="1" t="n">
        <v>45882</v>
      </c>
      <c r="D78" t="inlineStr">
        <is>
          <t>KALMAR LÄN</t>
        </is>
      </c>
      <c r="E78" t="inlineStr">
        <is>
          <t>VÄSTERVIK</t>
        </is>
      </c>
      <c r="G78" t="n">
        <v>10</v>
      </c>
      <c r="H78" t="n">
        <v>1</v>
      </c>
      <c r="I78" t="n">
        <v>0</v>
      </c>
      <c r="J78" t="n">
        <v>3</v>
      </c>
      <c r="K78" t="n">
        <v>0</v>
      </c>
      <c r="L78" t="n">
        <v>0</v>
      </c>
      <c r="M78" t="n">
        <v>0</v>
      </c>
      <c r="N78" t="n">
        <v>0</v>
      </c>
      <c r="O78" t="n">
        <v>3</v>
      </c>
      <c r="P78" t="n">
        <v>0</v>
      </c>
      <c r="Q78" t="n">
        <v>4</v>
      </c>
      <c r="R78" s="2" t="inlineStr">
        <is>
          <t>Reliktbock
Tallticka
Vintertagging
Tjäder</t>
        </is>
      </c>
      <c r="S78">
        <f>HYPERLINK("https://klasma.github.io/Logging_0883/artfynd/A 938-2024 artfynd.xlsx", "A 938-2024")</f>
        <v/>
      </c>
      <c r="T78">
        <f>HYPERLINK("https://klasma.github.io/Logging_0883/kartor/A 938-2024 karta.png", "A 938-2024")</f>
        <v/>
      </c>
      <c r="V78">
        <f>HYPERLINK("https://klasma.github.io/Logging_0883/klagomål/A 938-2024 FSC-klagomål.docx", "A 938-2024")</f>
        <v/>
      </c>
      <c r="W78">
        <f>HYPERLINK("https://klasma.github.io/Logging_0883/klagomålsmail/A 938-2024 FSC-klagomål mail.docx", "A 938-2024")</f>
        <v/>
      </c>
      <c r="X78">
        <f>HYPERLINK("https://klasma.github.io/Logging_0883/tillsyn/A 938-2024 tillsynsbegäran.docx", "A 938-2024")</f>
        <v/>
      </c>
      <c r="Y78">
        <f>HYPERLINK("https://klasma.github.io/Logging_0883/tillsynsmail/A 938-2024 tillsynsbegäran mail.docx", "A 938-2024")</f>
        <v/>
      </c>
      <c r="Z78">
        <f>HYPERLINK("https://klasma.github.io/Logging_0883/fåglar/A 938-2024 prioriterade fågelarter.docx", "A 938-2024")</f>
        <v/>
      </c>
    </row>
    <row r="79" ht="15" customHeight="1">
      <c r="A79" t="inlineStr">
        <is>
          <t>A 54233-2023</t>
        </is>
      </c>
      <c r="B79" s="1" t="n">
        <v>45232</v>
      </c>
      <c r="C79" s="1" t="n">
        <v>45882</v>
      </c>
      <c r="D79" t="inlineStr">
        <is>
          <t>KALMAR LÄN</t>
        </is>
      </c>
      <c r="E79" t="inlineStr">
        <is>
          <t>VÄSTERVIK</t>
        </is>
      </c>
      <c r="G79" t="n">
        <v>1.9</v>
      </c>
      <c r="H79" t="n">
        <v>2</v>
      </c>
      <c r="I79" t="n">
        <v>1</v>
      </c>
      <c r="J79" t="n">
        <v>2</v>
      </c>
      <c r="K79" t="n">
        <v>1</v>
      </c>
      <c r="L79" t="n">
        <v>0</v>
      </c>
      <c r="M79" t="n">
        <v>0</v>
      </c>
      <c r="N79" t="n">
        <v>0</v>
      </c>
      <c r="O79" t="n">
        <v>3</v>
      </c>
      <c r="P79" t="n">
        <v>1</v>
      </c>
      <c r="Q79" t="n">
        <v>4</v>
      </c>
      <c r="R79" s="2" t="inlineStr">
        <is>
          <t>Knärot
Tallticka
Talltita
Blåmossa</t>
        </is>
      </c>
      <c r="S79">
        <f>HYPERLINK("https://klasma.github.io/Logging_0883/artfynd/A 54233-2023 artfynd.xlsx", "A 54233-2023")</f>
        <v/>
      </c>
      <c r="T79">
        <f>HYPERLINK("https://klasma.github.io/Logging_0883/kartor/A 54233-2023 karta.png", "A 54233-2023")</f>
        <v/>
      </c>
      <c r="U79">
        <f>HYPERLINK("https://klasma.github.io/Logging_0883/knärot/A 54233-2023 karta knärot.png", "A 54233-2023")</f>
        <v/>
      </c>
      <c r="V79">
        <f>HYPERLINK("https://klasma.github.io/Logging_0883/klagomål/A 54233-2023 FSC-klagomål.docx", "A 54233-2023")</f>
        <v/>
      </c>
      <c r="W79">
        <f>HYPERLINK("https://klasma.github.io/Logging_0883/klagomålsmail/A 54233-2023 FSC-klagomål mail.docx", "A 54233-2023")</f>
        <v/>
      </c>
      <c r="X79">
        <f>HYPERLINK("https://klasma.github.io/Logging_0883/tillsyn/A 54233-2023 tillsynsbegäran.docx", "A 54233-2023")</f>
        <v/>
      </c>
      <c r="Y79">
        <f>HYPERLINK("https://klasma.github.io/Logging_0883/tillsynsmail/A 54233-2023 tillsynsbegäran mail.docx", "A 54233-2023")</f>
        <v/>
      </c>
      <c r="Z79">
        <f>HYPERLINK("https://klasma.github.io/Logging_0883/fåglar/A 54233-2023 prioriterade fågelarter.docx", "A 54233-2023")</f>
        <v/>
      </c>
    </row>
    <row r="80" ht="15" customHeight="1">
      <c r="A80" t="inlineStr">
        <is>
          <t>A 6472-2025</t>
        </is>
      </c>
      <c r="B80" s="1" t="n">
        <v>45699</v>
      </c>
      <c r="C80" s="1" t="n">
        <v>45882</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25534-2024</t>
        </is>
      </c>
      <c r="B81" s="1" t="n">
        <v>45463</v>
      </c>
      <c r="C81" s="1" t="n">
        <v>45882</v>
      </c>
      <c r="D81" t="inlineStr">
        <is>
          <t>KALMAR LÄN</t>
        </is>
      </c>
      <c r="E81" t="inlineStr">
        <is>
          <t>VÄSTERVIK</t>
        </is>
      </c>
      <c r="F81" t="inlineStr">
        <is>
          <t>Holmen skog AB</t>
        </is>
      </c>
      <c r="G81" t="n">
        <v>9.5</v>
      </c>
      <c r="H81" t="n">
        <v>1</v>
      </c>
      <c r="I81" t="n">
        <v>2</v>
      </c>
      <c r="J81" t="n">
        <v>1</v>
      </c>
      <c r="K81" t="n">
        <v>1</v>
      </c>
      <c r="L81" t="n">
        <v>0</v>
      </c>
      <c r="M81" t="n">
        <v>0</v>
      </c>
      <c r="N81" t="n">
        <v>0</v>
      </c>
      <c r="O81" t="n">
        <v>2</v>
      </c>
      <c r="P81" t="n">
        <v>1</v>
      </c>
      <c r="Q81" t="n">
        <v>4</v>
      </c>
      <c r="R81" s="2" t="inlineStr">
        <is>
          <t>Knärot
Tallticka
Brandticka
Bronshjon</t>
        </is>
      </c>
      <c r="S81">
        <f>HYPERLINK("https://klasma.github.io/Logging_0883/artfynd/A 25534-2024 artfynd.xlsx", "A 25534-2024")</f>
        <v/>
      </c>
      <c r="T81">
        <f>HYPERLINK("https://klasma.github.io/Logging_0883/kartor/A 25534-2024 karta.png", "A 25534-2024")</f>
        <v/>
      </c>
      <c r="U81">
        <f>HYPERLINK("https://klasma.github.io/Logging_0883/knärot/A 25534-2024 karta knärot.png", "A 25534-2024")</f>
        <v/>
      </c>
      <c r="V81">
        <f>HYPERLINK("https://klasma.github.io/Logging_0883/klagomål/A 25534-2024 FSC-klagomål.docx", "A 25534-2024")</f>
        <v/>
      </c>
      <c r="W81">
        <f>HYPERLINK("https://klasma.github.io/Logging_0883/klagomålsmail/A 25534-2024 FSC-klagomål mail.docx", "A 25534-2024")</f>
        <v/>
      </c>
      <c r="X81">
        <f>HYPERLINK("https://klasma.github.io/Logging_0883/tillsyn/A 25534-2024 tillsynsbegäran.docx", "A 25534-2024")</f>
        <v/>
      </c>
      <c r="Y81">
        <f>HYPERLINK("https://klasma.github.io/Logging_0883/tillsynsmail/A 25534-2024 tillsynsbegäran mail.docx", "A 25534-2024")</f>
        <v/>
      </c>
    </row>
    <row r="82" ht="15" customHeight="1">
      <c r="A82" t="inlineStr">
        <is>
          <t>A 35939-2024</t>
        </is>
      </c>
      <c r="B82" s="1" t="n">
        <v>45533.45459490741</v>
      </c>
      <c r="C82" s="1" t="n">
        <v>45882</v>
      </c>
      <c r="D82" t="inlineStr">
        <is>
          <t>KALMAR LÄN</t>
        </is>
      </c>
      <c r="E82" t="inlineStr">
        <is>
          <t>VÄSTERVIK</t>
        </is>
      </c>
      <c r="G82" t="n">
        <v>3.8</v>
      </c>
      <c r="H82" t="n">
        <v>1</v>
      </c>
      <c r="I82" t="n">
        <v>1</v>
      </c>
      <c r="J82" t="n">
        <v>3</v>
      </c>
      <c r="K82" t="n">
        <v>0</v>
      </c>
      <c r="L82" t="n">
        <v>0</v>
      </c>
      <c r="M82" t="n">
        <v>0</v>
      </c>
      <c r="N82" t="n">
        <v>0</v>
      </c>
      <c r="O82" t="n">
        <v>3</v>
      </c>
      <c r="P82" t="n">
        <v>0</v>
      </c>
      <c r="Q82" t="n">
        <v>4</v>
      </c>
      <c r="R82" s="2" t="inlineStr">
        <is>
          <t>Svart taggsvamp
Tallticka
Talltita
Blåmossa</t>
        </is>
      </c>
      <c r="S82">
        <f>HYPERLINK("https://klasma.github.io/Logging_0883/artfynd/A 35939-2024 artfynd.xlsx", "A 35939-2024")</f>
        <v/>
      </c>
      <c r="T82">
        <f>HYPERLINK("https://klasma.github.io/Logging_0883/kartor/A 35939-2024 karta.png", "A 35939-2024")</f>
        <v/>
      </c>
      <c r="V82">
        <f>HYPERLINK("https://klasma.github.io/Logging_0883/klagomål/A 35939-2024 FSC-klagomål.docx", "A 35939-2024")</f>
        <v/>
      </c>
      <c r="W82">
        <f>HYPERLINK("https://klasma.github.io/Logging_0883/klagomålsmail/A 35939-2024 FSC-klagomål mail.docx", "A 35939-2024")</f>
        <v/>
      </c>
      <c r="X82">
        <f>HYPERLINK("https://klasma.github.io/Logging_0883/tillsyn/A 35939-2024 tillsynsbegäran.docx", "A 35939-2024")</f>
        <v/>
      </c>
      <c r="Y82">
        <f>HYPERLINK("https://klasma.github.io/Logging_0883/tillsynsmail/A 35939-2024 tillsynsbegäran mail.docx", "A 35939-2024")</f>
        <v/>
      </c>
      <c r="Z82">
        <f>HYPERLINK("https://klasma.github.io/Logging_0883/fåglar/A 35939-2024 prioriterade fågelarter.docx", "A 35939-2024")</f>
        <v/>
      </c>
    </row>
    <row r="83" ht="15" customHeight="1">
      <c r="A83" t="inlineStr">
        <is>
          <t>A 9097-2021</t>
        </is>
      </c>
      <c r="B83" s="1" t="n">
        <v>44249</v>
      </c>
      <c r="C83" s="1" t="n">
        <v>45882</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52992-2024</t>
        </is>
      </c>
      <c r="B84" s="1" t="n">
        <v>45611</v>
      </c>
      <c r="C84" s="1" t="n">
        <v>45882</v>
      </c>
      <c r="D84" t="inlineStr">
        <is>
          <t>KALMAR LÄN</t>
        </is>
      </c>
      <c r="E84" t="inlineStr">
        <is>
          <t>VÄSTERVIK</t>
        </is>
      </c>
      <c r="F84" t="inlineStr">
        <is>
          <t>Holmen skog AB</t>
        </is>
      </c>
      <c r="G84" t="n">
        <v>5.5</v>
      </c>
      <c r="H84" t="n">
        <v>2</v>
      </c>
      <c r="I84" t="n">
        <v>1</v>
      </c>
      <c r="J84" t="n">
        <v>2</v>
      </c>
      <c r="K84" t="n">
        <v>0</v>
      </c>
      <c r="L84" t="n">
        <v>0</v>
      </c>
      <c r="M84" t="n">
        <v>0</v>
      </c>
      <c r="N84" t="n">
        <v>0</v>
      </c>
      <c r="O84" t="n">
        <v>2</v>
      </c>
      <c r="P84" t="n">
        <v>0</v>
      </c>
      <c r="Q84" t="n">
        <v>3</v>
      </c>
      <c r="R84" s="2" t="inlineStr">
        <is>
          <t>Spillkråka
Talltita
Brandticka</t>
        </is>
      </c>
      <c r="S84">
        <f>HYPERLINK("https://klasma.github.io/Logging_0883/artfynd/A 52992-2024 artfynd.xlsx", "A 52992-2024")</f>
        <v/>
      </c>
      <c r="T84">
        <f>HYPERLINK("https://klasma.github.io/Logging_0883/kartor/A 52992-2024 karta.png", "A 52992-2024")</f>
        <v/>
      </c>
      <c r="V84">
        <f>HYPERLINK("https://klasma.github.io/Logging_0883/klagomål/A 52992-2024 FSC-klagomål.docx", "A 52992-2024")</f>
        <v/>
      </c>
      <c r="W84">
        <f>HYPERLINK("https://klasma.github.io/Logging_0883/klagomålsmail/A 52992-2024 FSC-klagomål mail.docx", "A 52992-2024")</f>
        <v/>
      </c>
      <c r="X84">
        <f>HYPERLINK("https://klasma.github.io/Logging_0883/tillsyn/A 52992-2024 tillsynsbegäran.docx", "A 52992-2024")</f>
        <v/>
      </c>
      <c r="Y84">
        <f>HYPERLINK("https://klasma.github.io/Logging_0883/tillsynsmail/A 52992-2024 tillsynsbegäran mail.docx", "A 52992-2024")</f>
        <v/>
      </c>
      <c r="Z84">
        <f>HYPERLINK("https://klasma.github.io/Logging_0883/fåglar/A 52992-2024 prioriterade fågelarter.docx", "A 52992-2024")</f>
        <v/>
      </c>
    </row>
    <row r="85" ht="15" customHeight="1">
      <c r="A85" t="inlineStr">
        <is>
          <t>A 42353-2023</t>
        </is>
      </c>
      <c r="B85" s="1" t="n">
        <v>45180</v>
      </c>
      <c r="C85" s="1" t="n">
        <v>45882</v>
      </c>
      <c r="D85" t="inlineStr">
        <is>
          <t>KALMAR LÄN</t>
        </is>
      </c>
      <c r="E85" t="inlineStr">
        <is>
          <t>VÄSTERVIK</t>
        </is>
      </c>
      <c r="G85" t="n">
        <v>11.3</v>
      </c>
      <c r="H85" t="n">
        <v>1</v>
      </c>
      <c r="I85" t="n">
        <v>1</v>
      </c>
      <c r="J85" t="n">
        <v>1</v>
      </c>
      <c r="K85" t="n">
        <v>1</v>
      </c>
      <c r="L85" t="n">
        <v>0</v>
      </c>
      <c r="M85" t="n">
        <v>0</v>
      </c>
      <c r="N85" t="n">
        <v>0</v>
      </c>
      <c r="O85" t="n">
        <v>2</v>
      </c>
      <c r="P85" t="n">
        <v>1</v>
      </c>
      <c r="Q85" t="n">
        <v>3</v>
      </c>
      <c r="R85" s="2" t="inlineStr">
        <is>
          <t>Knärot
Tallticka
Blomkålssvamp</t>
        </is>
      </c>
      <c r="S85">
        <f>HYPERLINK("https://klasma.github.io/Logging_0883/artfynd/A 42353-2023 artfynd.xlsx", "A 42353-2023")</f>
        <v/>
      </c>
      <c r="T85">
        <f>HYPERLINK("https://klasma.github.io/Logging_0883/kartor/A 42353-2023 karta.png", "A 42353-2023")</f>
        <v/>
      </c>
      <c r="U85">
        <f>HYPERLINK("https://klasma.github.io/Logging_0883/knärot/A 42353-2023 karta knärot.png", "A 42353-2023")</f>
        <v/>
      </c>
      <c r="V85">
        <f>HYPERLINK("https://klasma.github.io/Logging_0883/klagomål/A 42353-2023 FSC-klagomål.docx", "A 42353-2023")</f>
        <v/>
      </c>
      <c r="W85">
        <f>HYPERLINK("https://klasma.github.io/Logging_0883/klagomålsmail/A 42353-2023 FSC-klagomål mail.docx", "A 42353-2023")</f>
        <v/>
      </c>
      <c r="X85">
        <f>HYPERLINK("https://klasma.github.io/Logging_0883/tillsyn/A 42353-2023 tillsynsbegäran.docx", "A 42353-2023")</f>
        <v/>
      </c>
      <c r="Y85">
        <f>HYPERLINK("https://klasma.github.io/Logging_0883/tillsynsmail/A 42353-2023 tillsynsbegäran mail.docx", "A 42353-2023")</f>
        <v/>
      </c>
    </row>
    <row r="86" ht="15" customHeight="1">
      <c r="A86" t="inlineStr">
        <is>
          <t>A 2657-2024</t>
        </is>
      </c>
      <c r="B86" s="1" t="n">
        <v>45314</v>
      </c>
      <c r="C86" s="1" t="n">
        <v>45882</v>
      </c>
      <c r="D86" t="inlineStr">
        <is>
          <t>KALMAR LÄN</t>
        </is>
      </c>
      <c r="E86" t="inlineStr">
        <is>
          <t>VÄSTERVIK</t>
        </is>
      </c>
      <c r="G86" t="n">
        <v>5.9</v>
      </c>
      <c r="H86" t="n">
        <v>2</v>
      </c>
      <c r="I86" t="n">
        <v>1</v>
      </c>
      <c r="J86" t="n">
        <v>1</v>
      </c>
      <c r="K86" t="n">
        <v>1</v>
      </c>
      <c r="L86" t="n">
        <v>0</v>
      </c>
      <c r="M86" t="n">
        <v>0</v>
      </c>
      <c r="N86" t="n">
        <v>0</v>
      </c>
      <c r="O86" t="n">
        <v>2</v>
      </c>
      <c r="P86" t="n">
        <v>1</v>
      </c>
      <c r="Q86" t="n">
        <v>3</v>
      </c>
      <c r="R86" s="2" t="inlineStr">
        <is>
          <t>Knärot
Spillkråka
Grönpyrola</t>
        </is>
      </c>
      <c r="S86">
        <f>HYPERLINK("https://klasma.github.io/Logging_0883/artfynd/A 2657-2024 artfynd.xlsx", "A 2657-2024")</f>
        <v/>
      </c>
      <c r="T86">
        <f>HYPERLINK("https://klasma.github.io/Logging_0883/kartor/A 2657-2024 karta.png", "A 2657-2024")</f>
        <v/>
      </c>
      <c r="U86">
        <f>HYPERLINK("https://klasma.github.io/Logging_0883/knärot/A 2657-2024 karta knärot.png", "A 2657-2024")</f>
        <v/>
      </c>
      <c r="V86">
        <f>HYPERLINK("https://klasma.github.io/Logging_0883/klagomål/A 2657-2024 FSC-klagomål.docx", "A 2657-2024")</f>
        <v/>
      </c>
      <c r="W86">
        <f>HYPERLINK("https://klasma.github.io/Logging_0883/klagomålsmail/A 2657-2024 FSC-klagomål mail.docx", "A 2657-2024")</f>
        <v/>
      </c>
      <c r="X86">
        <f>HYPERLINK("https://klasma.github.io/Logging_0883/tillsyn/A 2657-2024 tillsynsbegäran.docx", "A 2657-2024")</f>
        <v/>
      </c>
      <c r="Y86">
        <f>HYPERLINK("https://klasma.github.io/Logging_0883/tillsynsmail/A 2657-2024 tillsynsbegäran mail.docx", "A 2657-2024")</f>
        <v/>
      </c>
      <c r="Z86">
        <f>HYPERLINK("https://klasma.github.io/Logging_0883/fåglar/A 2657-2024 prioriterade fågelarter.docx", "A 2657-2024")</f>
        <v/>
      </c>
    </row>
    <row r="87" ht="15" customHeight="1">
      <c r="A87" t="inlineStr">
        <is>
          <t>A 804-2023</t>
        </is>
      </c>
      <c r="B87" s="1" t="n">
        <v>44931</v>
      </c>
      <c r="C87" s="1" t="n">
        <v>45882</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55506-2022</t>
        </is>
      </c>
      <c r="B88" s="1" t="n">
        <v>44887</v>
      </c>
      <c r="C88" s="1" t="n">
        <v>45882</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45882</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45882</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21084-2025</t>
        </is>
      </c>
      <c r="B91" s="1" t="n">
        <v>45777.6084837963</v>
      </c>
      <c r="C91" s="1" t="n">
        <v>45882</v>
      </c>
      <c r="D91" t="inlineStr">
        <is>
          <t>KALMAR LÄN</t>
        </is>
      </c>
      <c r="E91" t="inlineStr">
        <is>
          <t>VÄSTERVIK</t>
        </is>
      </c>
      <c r="G91" t="n">
        <v>0.8</v>
      </c>
      <c r="H91" t="n">
        <v>2</v>
      </c>
      <c r="I91" t="n">
        <v>1</v>
      </c>
      <c r="J91" t="n">
        <v>2</v>
      </c>
      <c r="K91" t="n">
        <v>0</v>
      </c>
      <c r="L91" t="n">
        <v>0</v>
      </c>
      <c r="M91" t="n">
        <v>0</v>
      </c>
      <c r="N91" t="n">
        <v>0</v>
      </c>
      <c r="O91" t="n">
        <v>2</v>
      </c>
      <c r="P91" t="n">
        <v>0</v>
      </c>
      <c r="Q91" t="n">
        <v>3</v>
      </c>
      <c r="R91" s="2" t="inlineStr">
        <is>
          <t>Spillkråka
Talltita
Grönpyrola</t>
        </is>
      </c>
      <c r="S91">
        <f>HYPERLINK("https://klasma.github.io/Logging_0883/artfynd/A 21084-2025 artfynd.xlsx", "A 21084-2025")</f>
        <v/>
      </c>
      <c r="T91">
        <f>HYPERLINK("https://klasma.github.io/Logging_0883/kartor/A 21084-2025 karta.png", "A 21084-2025")</f>
        <v/>
      </c>
      <c r="V91">
        <f>HYPERLINK("https://klasma.github.io/Logging_0883/klagomål/A 21084-2025 FSC-klagomål.docx", "A 21084-2025")</f>
        <v/>
      </c>
      <c r="W91">
        <f>HYPERLINK("https://klasma.github.io/Logging_0883/klagomålsmail/A 21084-2025 FSC-klagomål mail.docx", "A 21084-2025")</f>
        <v/>
      </c>
      <c r="X91">
        <f>HYPERLINK("https://klasma.github.io/Logging_0883/tillsyn/A 21084-2025 tillsynsbegäran.docx", "A 21084-2025")</f>
        <v/>
      </c>
      <c r="Y91">
        <f>HYPERLINK("https://klasma.github.io/Logging_0883/tillsynsmail/A 21084-2025 tillsynsbegäran mail.docx", "A 21084-2025")</f>
        <v/>
      </c>
      <c r="Z91">
        <f>HYPERLINK("https://klasma.github.io/Logging_0883/fåglar/A 21084-2025 prioriterade fågelarter.docx", "A 21084-2025")</f>
        <v/>
      </c>
    </row>
    <row r="92" ht="15" customHeight="1">
      <c r="A92" t="inlineStr">
        <is>
          <t>A 2340-2025</t>
        </is>
      </c>
      <c r="B92" s="1" t="n">
        <v>45673</v>
      </c>
      <c r="C92" s="1" t="n">
        <v>45882</v>
      </c>
      <c r="D92" t="inlineStr">
        <is>
          <t>KALMAR LÄN</t>
        </is>
      </c>
      <c r="E92" t="inlineStr">
        <is>
          <t>VÄSTERVIK</t>
        </is>
      </c>
      <c r="G92" t="n">
        <v>3.5</v>
      </c>
      <c r="H92" t="n">
        <v>3</v>
      </c>
      <c r="I92" t="n">
        <v>0</v>
      </c>
      <c r="J92" t="n">
        <v>2</v>
      </c>
      <c r="K92" t="n">
        <v>0</v>
      </c>
      <c r="L92" t="n">
        <v>0</v>
      </c>
      <c r="M92" t="n">
        <v>0</v>
      </c>
      <c r="N92" t="n">
        <v>0</v>
      </c>
      <c r="O92" t="n">
        <v>2</v>
      </c>
      <c r="P92" t="n">
        <v>0</v>
      </c>
      <c r="Q92" t="n">
        <v>3</v>
      </c>
      <c r="R92" s="2" t="inlineStr">
        <is>
          <t>Spillkråka
Talltita
Kungsfågel</t>
        </is>
      </c>
      <c r="S92">
        <f>HYPERLINK("https://klasma.github.io/Logging_0883/artfynd/A 2340-2025 artfynd.xlsx", "A 2340-2025")</f>
        <v/>
      </c>
      <c r="T92">
        <f>HYPERLINK("https://klasma.github.io/Logging_0883/kartor/A 2340-2025 karta.png", "A 2340-2025")</f>
        <v/>
      </c>
      <c r="U92">
        <f>HYPERLINK("https://klasma.github.io/Logging_0883/knärot/A 2340-2025 karta knärot.png", "A 2340-2025")</f>
        <v/>
      </c>
      <c r="V92">
        <f>HYPERLINK("https://klasma.github.io/Logging_0883/klagomål/A 2340-2025 FSC-klagomål.docx", "A 2340-2025")</f>
        <v/>
      </c>
      <c r="W92">
        <f>HYPERLINK("https://klasma.github.io/Logging_0883/klagomålsmail/A 2340-2025 FSC-klagomål mail.docx", "A 2340-2025")</f>
        <v/>
      </c>
      <c r="X92">
        <f>HYPERLINK("https://klasma.github.io/Logging_0883/tillsyn/A 2340-2025 tillsynsbegäran.docx", "A 2340-2025")</f>
        <v/>
      </c>
      <c r="Y92">
        <f>HYPERLINK("https://klasma.github.io/Logging_0883/tillsynsmail/A 2340-2025 tillsynsbegäran mail.docx", "A 2340-2025")</f>
        <v/>
      </c>
      <c r="Z92">
        <f>HYPERLINK("https://klasma.github.io/Logging_0883/fåglar/A 2340-2025 prioriterade fågelarter.docx", "A 2340-2025")</f>
        <v/>
      </c>
    </row>
    <row r="93" ht="15" customHeight="1">
      <c r="A93" t="inlineStr">
        <is>
          <t>A 21658-2025</t>
        </is>
      </c>
      <c r="B93" s="1" t="n">
        <v>45783.45474537037</v>
      </c>
      <c r="C93" s="1" t="n">
        <v>45882</v>
      </c>
      <c r="D93" t="inlineStr">
        <is>
          <t>KALMAR LÄN</t>
        </is>
      </c>
      <c r="E93" t="inlineStr">
        <is>
          <t>VÄSTERVIK</t>
        </is>
      </c>
      <c r="F93" t="inlineStr">
        <is>
          <t>Sveaskog</t>
        </is>
      </c>
      <c r="G93" t="n">
        <v>4</v>
      </c>
      <c r="H93" t="n">
        <v>3</v>
      </c>
      <c r="I93" t="n">
        <v>0</v>
      </c>
      <c r="J93" t="n">
        <v>2</v>
      </c>
      <c r="K93" t="n">
        <v>0</v>
      </c>
      <c r="L93" t="n">
        <v>0</v>
      </c>
      <c r="M93" t="n">
        <v>0</v>
      </c>
      <c r="N93" t="n">
        <v>0</v>
      </c>
      <c r="O93" t="n">
        <v>2</v>
      </c>
      <c r="P93" t="n">
        <v>0</v>
      </c>
      <c r="Q93" t="n">
        <v>3</v>
      </c>
      <c r="R93" s="2" t="inlineStr">
        <is>
          <t>Mindre hackspett
Talltita
Kungsfågel</t>
        </is>
      </c>
      <c r="S93">
        <f>HYPERLINK("https://klasma.github.io/Logging_0883/artfynd/A 21658-2025 artfynd.xlsx", "A 21658-2025")</f>
        <v/>
      </c>
      <c r="T93">
        <f>HYPERLINK("https://klasma.github.io/Logging_0883/kartor/A 21658-2025 karta.png", "A 21658-2025")</f>
        <v/>
      </c>
      <c r="V93">
        <f>HYPERLINK("https://klasma.github.io/Logging_0883/klagomål/A 21658-2025 FSC-klagomål.docx", "A 21658-2025")</f>
        <v/>
      </c>
      <c r="W93">
        <f>HYPERLINK("https://klasma.github.io/Logging_0883/klagomålsmail/A 21658-2025 FSC-klagomål mail.docx", "A 21658-2025")</f>
        <v/>
      </c>
      <c r="X93">
        <f>HYPERLINK("https://klasma.github.io/Logging_0883/tillsyn/A 21658-2025 tillsynsbegäran.docx", "A 21658-2025")</f>
        <v/>
      </c>
      <c r="Y93">
        <f>HYPERLINK("https://klasma.github.io/Logging_0883/tillsynsmail/A 21658-2025 tillsynsbegäran mail.docx", "A 21658-2025")</f>
        <v/>
      </c>
      <c r="Z93">
        <f>HYPERLINK("https://klasma.github.io/Logging_0883/fåglar/A 21658-2025 prioriterade fågelarter.docx", "A 21658-2025")</f>
        <v/>
      </c>
    </row>
    <row r="94" ht="15" customHeight="1">
      <c r="A94" t="inlineStr">
        <is>
          <t>A 4454-2025</t>
        </is>
      </c>
      <c r="B94" s="1" t="n">
        <v>45686</v>
      </c>
      <c r="C94" s="1" t="n">
        <v>45882</v>
      </c>
      <c r="D94" t="inlineStr">
        <is>
          <t>KALMAR LÄN</t>
        </is>
      </c>
      <c r="E94" t="inlineStr">
        <is>
          <t>VÄSTERVIK</t>
        </is>
      </c>
      <c r="G94" t="n">
        <v>1</v>
      </c>
      <c r="H94" t="n">
        <v>2</v>
      </c>
      <c r="I94" t="n">
        <v>1</v>
      </c>
      <c r="J94" t="n">
        <v>0</v>
      </c>
      <c r="K94" t="n">
        <v>1</v>
      </c>
      <c r="L94" t="n">
        <v>0</v>
      </c>
      <c r="M94" t="n">
        <v>0</v>
      </c>
      <c r="N94" t="n">
        <v>0</v>
      </c>
      <c r="O94" t="n">
        <v>1</v>
      </c>
      <c r="P94" t="n">
        <v>1</v>
      </c>
      <c r="Q94" t="n">
        <v>3</v>
      </c>
      <c r="R94" s="2" t="inlineStr">
        <is>
          <t>Knärot
Grönpyrola
Kungsfågel</t>
        </is>
      </c>
      <c r="S94">
        <f>HYPERLINK("https://klasma.github.io/Logging_0883/artfynd/A 4454-2025 artfynd.xlsx", "A 4454-2025")</f>
        <v/>
      </c>
      <c r="T94">
        <f>HYPERLINK("https://klasma.github.io/Logging_0883/kartor/A 4454-2025 karta.png", "A 4454-2025")</f>
        <v/>
      </c>
      <c r="U94">
        <f>HYPERLINK("https://klasma.github.io/Logging_0883/knärot/A 4454-2025 karta knärot.png", "A 4454-2025")</f>
        <v/>
      </c>
      <c r="V94">
        <f>HYPERLINK("https://klasma.github.io/Logging_0883/klagomål/A 4454-2025 FSC-klagomål.docx", "A 4454-2025")</f>
        <v/>
      </c>
      <c r="W94">
        <f>HYPERLINK("https://klasma.github.io/Logging_0883/klagomålsmail/A 4454-2025 FSC-klagomål mail.docx", "A 4454-2025")</f>
        <v/>
      </c>
      <c r="X94">
        <f>HYPERLINK("https://klasma.github.io/Logging_0883/tillsyn/A 4454-2025 tillsynsbegäran.docx", "A 4454-2025")</f>
        <v/>
      </c>
      <c r="Y94">
        <f>HYPERLINK("https://klasma.github.io/Logging_0883/tillsynsmail/A 4454-2025 tillsynsbegäran mail.docx", "A 4454-2025")</f>
        <v/>
      </c>
      <c r="Z94">
        <f>HYPERLINK("https://klasma.github.io/Logging_0883/fåglar/A 4454-2025 prioriterade fågelarter.docx", "A 4454-2025")</f>
        <v/>
      </c>
    </row>
    <row r="95" ht="15" customHeight="1">
      <c r="A95" t="inlineStr">
        <is>
          <t>A 16948-2024</t>
        </is>
      </c>
      <c r="B95" s="1" t="n">
        <v>45411</v>
      </c>
      <c r="C95" s="1" t="n">
        <v>45882</v>
      </c>
      <c r="D95" t="inlineStr">
        <is>
          <t>KALMAR LÄN</t>
        </is>
      </c>
      <c r="E95" t="inlineStr">
        <is>
          <t>VÄSTERVIK</t>
        </is>
      </c>
      <c r="G95" t="n">
        <v>13.3</v>
      </c>
      <c r="H95" t="n">
        <v>2</v>
      </c>
      <c r="I95" t="n">
        <v>0</v>
      </c>
      <c r="J95" t="n">
        <v>2</v>
      </c>
      <c r="K95" t="n">
        <v>1</v>
      </c>
      <c r="L95" t="n">
        <v>0</v>
      </c>
      <c r="M95" t="n">
        <v>0</v>
      </c>
      <c r="N95" t="n">
        <v>0</v>
      </c>
      <c r="O95" t="n">
        <v>3</v>
      </c>
      <c r="P95" t="n">
        <v>1</v>
      </c>
      <c r="Q95" t="n">
        <v>3</v>
      </c>
      <c r="R95" s="2" t="inlineStr">
        <is>
          <t>Knärot
Spillkråka
Tallticka</t>
        </is>
      </c>
      <c r="S95">
        <f>HYPERLINK("https://klasma.github.io/Logging_0883/artfynd/A 16948-2024 artfynd.xlsx", "A 16948-2024")</f>
        <v/>
      </c>
      <c r="T95">
        <f>HYPERLINK("https://klasma.github.io/Logging_0883/kartor/A 16948-2024 karta.png", "A 16948-2024")</f>
        <v/>
      </c>
      <c r="U95">
        <f>HYPERLINK("https://klasma.github.io/Logging_0883/knärot/A 16948-2024 karta knärot.png", "A 16948-2024")</f>
        <v/>
      </c>
      <c r="V95">
        <f>HYPERLINK("https://klasma.github.io/Logging_0883/klagomål/A 16948-2024 FSC-klagomål.docx", "A 16948-2024")</f>
        <v/>
      </c>
      <c r="W95">
        <f>HYPERLINK("https://klasma.github.io/Logging_0883/klagomålsmail/A 16948-2024 FSC-klagomål mail.docx", "A 16948-2024")</f>
        <v/>
      </c>
      <c r="X95">
        <f>HYPERLINK("https://klasma.github.io/Logging_0883/tillsyn/A 16948-2024 tillsynsbegäran.docx", "A 16948-2024")</f>
        <v/>
      </c>
      <c r="Y95">
        <f>HYPERLINK("https://klasma.github.io/Logging_0883/tillsynsmail/A 16948-2024 tillsynsbegäran mail.docx", "A 16948-2024")</f>
        <v/>
      </c>
      <c r="Z95">
        <f>HYPERLINK("https://klasma.github.io/Logging_0883/fåglar/A 16948-2024 prioriterade fågelarter.docx", "A 16948-2024")</f>
        <v/>
      </c>
    </row>
    <row r="96" ht="15" customHeight="1">
      <c r="A96" t="inlineStr">
        <is>
          <t>A 12708-2023</t>
        </is>
      </c>
      <c r="B96" s="1" t="n">
        <v>45000</v>
      </c>
      <c r="C96" s="1" t="n">
        <v>45882</v>
      </c>
      <c r="D96" t="inlineStr">
        <is>
          <t>KALMAR LÄN</t>
        </is>
      </c>
      <c r="E96" t="inlineStr">
        <is>
          <t>VÄSTERVIK</t>
        </is>
      </c>
      <c r="G96" t="n">
        <v>8.6</v>
      </c>
      <c r="H96" t="n">
        <v>2</v>
      </c>
      <c r="I96" t="n">
        <v>0</v>
      </c>
      <c r="J96" t="n">
        <v>2</v>
      </c>
      <c r="K96" t="n">
        <v>1</v>
      </c>
      <c r="L96" t="n">
        <v>0</v>
      </c>
      <c r="M96" t="n">
        <v>0</v>
      </c>
      <c r="N96" t="n">
        <v>0</v>
      </c>
      <c r="O96" t="n">
        <v>3</v>
      </c>
      <c r="P96" t="n">
        <v>1</v>
      </c>
      <c r="Q96" t="n">
        <v>3</v>
      </c>
      <c r="R96" s="2" t="inlineStr">
        <is>
          <t>Knärot
Tallticka
Talltita</t>
        </is>
      </c>
      <c r="S96">
        <f>HYPERLINK("https://klasma.github.io/Logging_0883/artfynd/A 12708-2023 artfynd.xlsx", "A 12708-2023")</f>
        <v/>
      </c>
      <c r="T96">
        <f>HYPERLINK("https://klasma.github.io/Logging_0883/kartor/A 12708-2023 karta.png", "A 12708-2023")</f>
        <v/>
      </c>
      <c r="U96">
        <f>HYPERLINK("https://klasma.github.io/Logging_0883/knärot/A 12708-2023 karta knärot.png", "A 12708-2023")</f>
        <v/>
      </c>
      <c r="V96">
        <f>HYPERLINK("https://klasma.github.io/Logging_0883/klagomål/A 12708-2023 FSC-klagomål.docx", "A 12708-2023")</f>
        <v/>
      </c>
      <c r="W96">
        <f>HYPERLINK("https://klasma.github.io/Logging_0883/klagomålsmail/A 12708-2023 FSC-klagomål mail.docx", "A 12708-2023")</f>
        <v/>
      </c>
      <c r="X96">
        <f>HYPERLINK("https://klasma.github.io/Logging_0883/tillsyn/A 12708-2023 tillsynsbegäran.docx", "A 12708-2023")</f>
        <v/>
      </c>
      <c r="Y96">
        <f>HYPERLINK("https://klasma.github.io/Logging_0883/tillsynsmail/A 12708-2023 tillsynsbegäran mail.docx", "A 12708-2023")</f>
        <v/>
      </c>
      <c r="Z96">
        <f>HYPERLINK("https://klasma.github.io/Logging_0883/fåglar/A 12708-2023 prioriterade fågelarter.docx", "A 12708-2023")</f>
        <v/>
      </c>
    </row>
    <row r="97" ht="15" customHeight="1">
      <c r="A97" t="inlineStr">
        <is>
          <t>A 39857-2020</t>
        </is>
      </c>
      <c r="B97" s="1" t="n">
        <v>44064</v>
      </c>
      <c r="C97" s="1" t="n">
        <v>45882</v>
      </c>
      <c r="D97" t="inlineStr">
        <is>
          <t>KALMAR LÄN</t>
        </is>
      </c>
      <c r="E97" t="inlineStr">
        <is>
          <t>VÄSTERVIK</t>
        </is>
      </c>
      <c r="G97" t="n">
        <v>7.6</v>
      </c>
      <c r="H97" t="n">
        <v>0</v>
      </c>
      <c r="I97" t="n">
        <v>0</v>
      </c>
      <c r="J97" t="n">
        <v>2</v>
      </c>
      <c r="K97" t="n">
        <v>1</v>
      </c>
      <c r="L97" t="n">
        <v>0</v>
      </c>
      <c r="M97" t="n">
        <v>0</v>
      </c>
      <c r="N97" t="n">
        <v>0</v>
      </c>
      <c r="O97" t="n">
        <v>3</v>
      </c>
      <c r="P97" t="n">
        <v>1</v>
      </c>
      <c r="Q97" t="n">
        <v>3</v>
      </c>
      <c r="R97" s="2" t="inlineStr">
        <is>
          <t>Slåttergubbe
Spindelört
Svinrot</t>
        </is>
      </c>
      <c r="S97">
        <f>HYPERLINK("https://klasma.github.io/Logging_0883/artfynd/A 39857-2020 artfynd.xlsx", "A 39857-2020")</f>
        <v/>
      </c>
      <c r="T97">
        <f>HYPERLINK("https://klasma.github.io/Logging_0883/kartor/A 39857-2020 karta.png", "A 39857-2020")</f>
        <v/>
      </c>
      <c r="V97">
        <f>HYPERLINK("https://klasma.github.io/Logging_0883/klagomål/A 39857-2020 FSC-klagomål.docx", "A 39857-2020")</f>
        <v/>
      </c>
      <c r="W97">
        <f>HYPERLINK("https://klasma.github.io/Logging_0883/klagomålsmail/A 39857-2020 FSC-klagomål mail.docx", "A 39857-2020")</f>
        <v/>
      </c>
      <c r="X97">
        <f>HYPERLINK("https://klasma.github.io/Logging_0883/tillsyn/A 39857-2020 tillsynsbegäran.docx", "A 39857-2020")</f>
        <v/>
      </c>
      <c r="Y97">
        <f>HYPERLINK("https://klasma.github.io/Logging_0883/tillsynsmail/A 39857-2020 tillsynsbegäran mail.docx", "A 39857-2020")</f>
        <v/>
      </c>
    </row>
    <row r="98" ht="15" customHeight="1">
      <c r="A98" t="inlineStr">
        <is>
          <t>A 58750-2024</t>
        </is>
      </c>
      <c r="B98" s="1" t="n">
        <v>45635.71747685185</v>
      </c>
      <c r="C98" s="1" t="n">
        <v>45882</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27700-2024</t>
        </is>
      </c>
      <c r="B99" s="1" t="n">
        <v>45475.35597222222</v>
      </c>
      <c r="C99" s="1" t="n">
        <v>45882</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51590-2024</t>
        </is>
      </c>
      <c r="B100" s="1" t="n">
        <v>45604</v>
      </c>
      <c r="C100" s="1" t="n">
        <v>45882</v>
      </c>
      <c r="D100" t="inlineStr">
        <is>
          <t>KALMAR LÄN</t>
        </is>
      </c>
      <c r="E100" t="inlineStr">
        <is>
          <t>VÄSTERVIK</t>
        </is>
      </c>
      <c r="F100" t="inlineStr">
        <is>
          <t>Övriga Aktiebolag</t>
        </is>
      </c>
      <c r="G100" t="n">
        <v>2.3</v>
      </c>
      <c r="H100" t="n">
        <v>3</v>
      </c>
      <c r="I100" t="n">
        <v>0</v>
      </c>
      <c r="J100" t="n">
        <v>2</v>
      </c>
      <c r="K100" t="n">
        <v>1</v>
      </c>
      <c r="L100" t="n">
        <v>0</v>
      </c>
      <c r="M100" t="n">
        <v>0</v>
      </c>
      <c r="N100" t="n">
        <v>0</v>
      </c>
      <c r="O100" t="n">
        <v>3</v>
      </c>
      <c r="P100" t="n">
        <v>1</v>
      </c>
      <c r="Q100" t="n">
        <v>3</v>
      </c>
      <c r="R100" s="2" t="inlineStr">
        <is>
          <t>Knärot
Spillkråka
Talltita</t>
        </is>
      </c>
      <c r="S100">
        <f>HYPERLINK("https://klasma.github.io/Logging_0883/artfynd/A 51590-2024 artfynd.xlsx", "A 51590-2024")</f>
        <v/>
      </c>
      <c r="T100">
        <f>HYPERLINK("https://klasma.github.io/Logging_0883/kartor/A 51590-2024 karta.png", "A 51590-2024")</f>
        <v/>
      </c>
      <c r="U100">
        <f>HYPERLINK("https://klasma.github.io/Logging_0883/knärot/A 51590-2024 karta knärot.png", "A 51590-2024")</f>
        <v/>
      </c>
      <c r="V100">
        <f>HYPERLINK("https://klasma.github.io/Logging_0883/klagomål/A 51590-2024 FSC-klagomål.docx", "A 51590-2024")</f>
        <v/>
      </c>
      <c r="W100">
        <f>HYPERLINK("https://klasma.github.io/Logging_0883/klagomålsmail/A 51590-2024 FSC-klagomål mail.docx", "A 51590-2024")</f>
        <v/>
      </c>
      <c r="X100">
        <f>HYPERLINK("https://klasma.github.io/Logging_0883/tillsyn/A 51590-2024 tillsynsbegäran.docx", "A 51590-2024")</f>
        <v/>
      </c>
      <c r="Y100">
        <f>HYPERLINK("https://klasma.github.io/Logging_0883/tillsynsmail/A 51590-2024 tillsynsbegäran mail.docx", "A 51590-2024")</f>
        <v/>
      </c>
      <c r="Z100">
        <f>HYPERLINK("https://klasma.github.io/Logging_0883/fåglar/A 51590-2024 prioriterade fågelarter.docx", "A 51590-2024")</f>
        <v/>
      </c>
    </row>
    <row r="101" ht="15" customHeight="1">
      <c r="A101" t="inlineStr">
        <is>
          <t>A 1764-2025</t>
        </is>
      </c>
      <c r="B101" s="1" t="n">
        <v>45671</v>
      </c>
      <c r="C101" s="1" t="n">
        <v>45882</v>
      </c>
      <c r="D101" t="inlineStr">
        <is>
          <t>KALMAR LÄN</t>
        </is>
      </c>
      <c r="E101" t="inlineStr">
        <is>
          <t>VÄSTERVIK</t>
        </is>
      </c>
      <c r="G101" t="n">
        <v>1.8</v>
      </c>
      <c r="H101" t="n">
        <v>1</v>
      </c>
      <c r="I101" t="n">
        <v>1</v>
      </c>
      <c r="J101" t="n">
        <v>1</v>
      </c>
      <c r="K101" t="n">
        <v>1</v>
      </c>
      <c r="L101" t="n">
        <v>0</v>
      </c>
      <c r="M101" t="n">
        <v>0</v>
      </c>
      <c r="N101" t="n">
        <v>0</v>
      </c>
      <c r="O101" t="n">
        <v>2</v>
      </c>
      <c r="P101" t="n">
        <v>1</v>
      </c>
      <c r="Q101" t="n">
        <v>3</v>
      </c>
      <c r="R101" s="2" t="inlineStr">
        <is>
          <t>Knärot
Ullticka
Grovticka</t>
        </is>
      </c>
      <c r="S101">
        <f>HYPERLINK("https://klasma.github.io/Logging_0883/artfynd/A 1764-2025 artfynd.xlsx", "A 1764-2025")</f>
        <v/>
      </c>
      <c r="T101">
        <f>HYPERLINK("https://klasma.github.io/Logging_0883/kartor/A 1764-2025 karta.png", "A 1764-2025")</f>
        <v/>
      </c>
      <c r="U101">
        <f>HYPERLINK("https://klasma.github.io/Logging_0883/knärot/A 1764-2025 karta knärot.png", "A 1764-2025")</f>
        <v/>
      </c>
      <c r="V101">
        <f>HYPERLINK("https://klasma.github.io/Logging_0883/klagomål/A 1764-2025 FSC-klagomål.docx", "A 1764-2025")</f>
        <v/>
      </c>
      <c r="W101">
        <f>HYPERLINK("https://klasma.github.io/Logging_0883/klagomålsmail/A 1764-2025 FSC-klagomål mail.docx", "A 1764-2025")</f>
        <v/>
      </c>
      <c r="X101">
        <f>HYPERLINK("https://klasma.github.io/Logging_0883/tillsyn/A 1764-2025 tillsynsbegäran.docx", "A 1764-2025")</f>
        <v/>
      </c>
      <c r="Y101">
        <f>HYPERLINK("https://klasma.github.io/Logging_0883/tillsynsmail/A 1764-2025 tillsynsbegäran mail.docx", "A 1764-2025")</f>
        <v/>
      </c>
    </row>
    <row r="102" ht="15" customHeight="1">
      <c r="A102" t="inlineStr">
        <is>
          <t>A 1763-2025</t>
        </is>
      </c>
      <c r="B102" s="1" t="n">
        <v>45671</v>
      </c>
      <c r="C102" s="1" t="n">
        <v>45882</v>
      </c>
      <c r="D102" t="inlineStr">
        <is>
          <t>KALMAR LÄN</t>
        </is>
      </c>
      <c r="E102" t="inlineStr">
        <is>
          <t>VÄSTERVIK</t>
        </is>
      </c>
      <c r="G102" t="n">
        <v>1.1</v>
      </c>
      <c r="H102" t="n">
        <v>2</v>
      </c>
      <c r="I102" t="n">
        <v>1</v>
      </c>
      <c r="J102" t="n">
        <v>2</v>
      </c>
      <c r="K102" t="n">
        <v>0</v>
      </c>
      <c r="L102" t="n">
        <v>0</v>
      </c>
      <c r="M102" t="n">
        <v>0</v>
      </c>
      <c r="N102" t="n">
        <v>0</v>
      </c>
      <c r="O102" t="n">
        <v>2</v>
      </c>
      <c r="P102" t="n">
        <v>0</v>
      </c>
      <c r="Q102" t="n">
        <v>3</v>
      </c>
      <c r="R102" s="2" t="inlineStr">
        <is>
          <t>Spillkråka
Talltita
Blåmossa</t>
        </is>
      </c>
      <c r="S102">
        <f>HYPERLINK("https://klasma.github.io/Logging_0883/artfynd/A 1763-2025 artfynd.xlsx", "A 1763-2025")</f>
        <v/>
      </c>
      <c r="T102">
        <f>HYPERLINK("https://klasma.github.io/Logging_0883/kartor/A 1763-2025 karta.png", "A 1763-2025")</f>
        <v/>
      </c>
      <c r="V102">
        <f>HYPERLINK("https://klasma.github.io/Logging_0883/klagomål/A 1763-2025 FSC-klagomål.docx", "A 1763-2025")</f>
        <v/>
      </c>
      <c r="W102">
        <f>HYPERLINK("https://klasma.github.io/Logging_0883/klagomålsmail/A 1763-2025 FSC-klagomål mail.docx", "A 1763-2025")</f>
        <v/>
      </c>
      <c r="X102">
        <f>HYPERLINK("https://klasma.github.io/Logging_0883/tillsyn/A 1763-2025 tillsynsbegäran.docx", "A 1763-2025")</f>
        <v/>
      </c>
      <c r="Y102">
        <f>HYPERLINK("https://klasma.github.io/Logging_0883/tillsynsmail/A 1763-2025 tillsynsbegäran mail.docx", "A 1763-2025")</f>
        <v/>
      </c>
      <c r="Z102">
        <f>HYPERLINK("https://klasma.github.io/Logging_0883/fåglar/A 1763-2025 prioriterade fågelarter.docx", "A 1763-2025")</f>
        <v/>
      </c>
    </row>
    <row r="103" ht="15" customHeight="1">
      <c r="A103" t="inlineStr">
        <is>
          <t>A 36109-2025</t>
        </is>
      </c>
      <c r="B103" s="1" t="n">
        <v>45866.56780092593</v>
      </c>
      <c r="C103" s="1" t="n">
        <v>45882</v>
      </c>
      <c r="D103" t="inlineStr">
        <is>
          <t>KALMAR LÄN</t>
        </is>
      </c>
      <c r="E103" t="inlineStr">
        <is>
          <t>VÄSTERVIK</t>
        </is>
      </c>
      <c r="G103" t="n">
        <v>12.5</v>
      </c>
      <c r="H103" t="n">
        <v>1</v>
      </c>
      <c r="I103" t="n">
        <v>2</v>
      </c>
      <c r="J103" t="n">
        <v>0</v>
      </c>
      <c r="K103" t="n">
        <v>1</v>
      </c>
      <c r="L103" t="n">
        <v>0</v>
      </c>
      <c r="M103" t="n">
        <v>0</v>
      </c>
      <c r="N103" t="n">
        <v>0</v>
      </c>
      <c r="O103" t="n">
        <v>1</v>
      </c>
      <c r="P103" t="n">
        <v>1</v>
      </c>
      <c r="Q103" t="n">
        <v>3</v>
      </c>
      <c r="R103" s="2" t="inlineStr">
        <is>
          <t>Knärot
Blåmossa
Grönpyrola</t>
        </is>
      </c>
      <c r="S103">
        <f>HYPERLINK("https://klasma.github.io/Logging_0883/artfynd/A 36109-2025 artfynd.xlsx", "A 36109-2025")</f>
        <v/>
      </c>
      <c r="T103">
        <f>HYPERLINK("https://klasma.github.io/Logging_0883/kartor/A 36109-2025 karta.png", "A 36109-2025")</f>
        <v/>
      </c>
      <c r="U103">
        <f>HYPERLINK("https://klasma.github.io/Logging_0883/knärot/A 36109-2025 karta knärot.png", "A 36109-2025")</f>
        <v/>
      </c>
      <c r="V103">
        <f>HYPERLINK("https://klasma.github.io/Logging_0883/klagomål/A 36109-2025 FSC-klagomål.docx", "A 36109-2025")</f>
        <v/>
      </c>
      <c r="W103">
        <f>HYPERLINK("https://klasma.github.io/Logging_0883/klagomålsmail/A 36109-2025 FSC-klagomål mail.docx", "A 36109-2025")</f>
        <v/>
      </c>
      <c r="X103">
        <f>HYPERLINK("https://klasma.github.io/Logging_0883/tillsyn/A 36109-2025 tillsynsbegäran.docx", "A 36109-2025")</f>
        <v/>
      </c>
      <c r="Y103">
        <f>HYPERLINK("https://klasma.github.io/Logging_0883/tillsynsmail/A 36109-2025 tillsynsbegäran mail.docx", "A 36109-2025")</f>
        <v/>
      </c>
    </row>
    <row r="104" ht="15" customHeight="1">
      <c r="A104" t="inlineStr">
        <is>
          <t>A 48318-2024</t>
        </is>
      </c>
      <c r="B104" s="1" t="n">
        <v>45590.49690972222</v>
      </c>
      <c r="C104" s="1" t="n">
        <v>45882</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27067-2024</t>
        </is>
      </c>
      <c r="B105" s="1" t="n">
        <v>45471</v>
      </c>
      <c r="C105" s="1" t="n">
        <v>45882</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13956-2025</t>
        </is>
      </c>
      <c r="B106" s="1" t="n">
        <v>45737</v>
      </c>
      <c r="C106" s="1" t="n">
        <v>45882</v>
      </c>
      <c r="D106" t="inlineStr">
        <is>
          <t>KALMAR LÄN</t>
        </is>
      </c>
      <c r="E106" t="inlineStr">
        <is>
          <t>VÄSTERVIK</t>
        </is>
      </c>
      <c r="G106" t="n">
        <v>2.5</v>
      </c>
      <c r="H106" t="n">
        <v>2</v>
      </c>
      <c r="I106" t="n">
        <v>1</v>
      </c>
      <c r="J106" t="n">
        <v>1</v>
      </c>
      <c r="K106" t="n">
        <v>1</v>
      </c>
      <c r="L106" t="n">
        <v>0</v>
      </c>
      <c r="M106" t="n">
        <v>0</v>
      </c>
      <c r="N106" t="n">
        <v>0</v>
      </c>
      <c r="O106" t="n">
        <v>2</v>
      </c>
      <c r="P106" t="n">
        <v>1</v>
      </c>
      <c r="Q106" t="n">
        <v>3</v>
      </c>
      <c r="R106" s="2" t="inlineStr">
        <is>
          <t>Knärot
Mindre hackspett
Grönpyrola</t>
        </is>
      </c>
      <c r="S106">
        <f>HYPERLINK("https://klasma.github.io/Logging_0883/artfynd/A 13956-2025 artfynd.xlsx", "A 13956-2025")</f>
        <v/>
      </c>
      <c r="T106">
        <f>HYPERLINK("https://klasma.github.io/Logging_0883/kartor/A 13956-2025 karta.png", "A 13956-2025")</f>
        <v/>
      </c>
      <c r="U106">
        <f>HYPERLINK("https://klasma.github.io/Logging_0883/knärot/A 13956-2025 karta knärot.png", "A 13956-2025")</f>
        <v/>
      </c>
      <c r="V106">
        <f>HYPERLINK("https://klasma.github.io/Logging_0883/klagomål/A 13956-2025 FSC-klagomål.docx", "A 13956-2025")</f>
        <v/>
      </c>
      <c r="W106">
        <f>HYPERLINK("https://klasma.github.io/Logging_0883/klagomålsmail/A 13956-2025 FSC-klagomål mail.docx", "A 13956-2025")</f>
        <v/>
      </c>
      <c r="X106">
        <f>HYPERLINK("https://klasma.github.io/Logging_0883/tillsyn/A 13956-2025 tillsynsbegäran.docx", "A 13956-2025")</f>
        <v/>
      </c>
      <c r="Y106">
        <f>HYPERLINK("https://klasma.github.io/Logging_0883/tillsynsmail/A 13956-2025 tillsynsbegäran mail.docx", "A 13956-2025")</f>
        <v/>
      </c>
      <c r="Z106">
        <f>HYPERLINK("https://klasma.github.io/Logging_0883/fåglar/A 13956-2025 prioriterade fågelarter.docx", "A 13956-2025")</f>
        <v/>
      </c>
    </row>
    <row r="107" ht="15" customHeight="1">
      <c r="A107" t="inlineStr">
        <is>
          <t>A 31854-2025</t>
        </is>
      </c>
      <c r="B107" s="1" t="n">
        <v>45834</v>
      </c>
      <c r="C107" s="1" t="n">
        <v>45882</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15595-2021</t>
        </is>
      </c>
      <c r="B108" s="1" t="n">
        <v>44285.66680555556</v>
      </c>
      <c r="C108" s="1" t="n">
        <v>45882</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53769-2021</t>
        </is>
      </c>
      <c r="B109" s="1" t="n">
        <v>44467</v>
      </c>
      <c r="C109" s="1" t="n">
        <v>45882</v>
      </c>
      <c r="D109" t="inlineStr">
        <is>
          <t>KALMAR LÄN</t>
        </is>
      </c>
      <c r="E109" t="inlineStr">
        <is>
          <t>VÄSTERVIK</t>
        </is>
      </c>
      <c r="G109" t="n">
        <v>2.2</v>
      </c>
      <c r="H109" t="n">
        <v>1</v>
      </c>
      <c r="I109" t="n">
        <v>2</v>
      </c>
      <c r="J109" t="n">
        <v>0</v>
      </c>
      <c r="K109" t="n">
        <v>0</v>
      </c>
      <c r="L109" t="n">
        <v>0</v>
      </c>
      <c r="M109" t="n">
        <v>0</v>
      </c>
      <c r="N109" t="n">
        <v>0</v>
      </c>
      <c r="O109" t="n">
        <v>0</v>
      </c>
      <c r="P109" t="n">
        <v>0</v>
      </c>
      <c r="Q109" t="n">
        <v>2</v>
      </c>
      <c r="R109" s="2" t="inlineStr">
        <is>
          <t>Grön sköldmossa
Stubbspretmossa</t>
        </is>
      </c>
      <c r="S109">
        <f>HYPERLINK("https://klasma.github.io/Logging_0883/artfynd/A 53769-2021 artfynd.xlsx", "A 53769-2021")</f>
        <v/>
      </c>
      <c r="T109">
        <f>HYPERLINK("https://klasma.github.io/Logging_0883/kartor/A 53769-2021 karta.png", "A 53769-2021")</f>
        <v/>
      </c>
      <c r="V109">
        <f>HYPERLINK("https://klasma.github.io/Logging_0883/klagomål/A 53769-2021 FSC-klagomål.docx", "A 53769-2021")</f>
        <v/>
      </c>
      <c r="W109">
        <f>HYPERLINK("https://klasma.github.io/Logging_0883/klagomålsmail/A 53769-2021 FSC-klagomål mail.docx", "A 53769-2021")</f>
        <v/>
      </c>
      <c r="X109">
        <f>HYPERLINK("https://klasma.github.io/Logging_0883/tillsyn/A 53769-2021 tillsynsbegäran.docx", "A 53769-2021")</f>
        <v/>
      </c>
      <c r="Y109">
        <f>HYPERLINK("https://klasma.github.io/Logging_0883/tillsynsmail/A 53769-2021 tillsynsbegäran mail.docx", "A 53769-2021")</f>
        <v/>
      </c>
    </row>
    <row r="110" ht="15" customHeight="1">
      <c r="A110" t="inlineStr">
        <is>
          <t>A 12212-2024</t>
        </is>
      </c>
      <c r="B110" s="1" t="n">
        <v>45378.31111111111</v>
      </c>
      <c r="C110" s="1" t="n">
        <v>45882</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941-2024</t>
        </is>
      </c>
      <c r="B111" s="1" t="n">
        <v>45301</v>
      </c>
      <c r="C111" s="1" t="n">
        <v>45882</v>
      </c>
      <c r="D111" t="inlineStr">
        <is>
          <t>KALMAR LÄN</t>
        </is>
      </c>
      <c r="E111" t="inlineStr">
        <is>
          <t>VÄSTERVIK</t>
        </is>
      </c>
      <c r="G111" t="n">
        <v>2.7</v>
      </c>
      <c r="H111" t="n">
        <v>1</v>
      </c>
      <c r="I111" t="n">
        <v>0</v>
      </c>
      <c r="J111" t="n">
        <v>1</v>
      </c>
      <c r="K111" t="n">
        <v>1</v>
      </c>
      <c r="L111" t="n">
        <v>0</v>
      </c>
      <c r="M111" t="n">
        <v>0</v>
      </c>
      <c r="N111" t="n">
        <v>0</v>
      </c>
      <c r="O111" t="n">
        <v>2</v>
      </c>
      <c r="P111" t="n">
        <v>1</v>
      </c>
      <c r="Q111" t="n">
        <v>2</v>
      </c>
      <c r="R111" s="2" t="inlineStr">
        <is>
          <t>Knärot
Svinrot</t>
        </is>
      </c>
      <c r="S111">
        <f>HYPERLINK("https://klasma.github.io/Logging_0883/artfynd/A 941-2024 artfynd.xlsx", "A 941-2024")</f>
        <v/>
      </c>
      <c r="T111">
        <f>HYPERLINK("https://klasma.github.io/Logging_0883/kartor/A 941-2024 karta.png", "A 941-2024")</f>
        <v/>
      </c>
      <c r="U111">
        <f>HYPERLINK("https://klasma.github.io/Logging_0883/knärot/A 941-2024 karta knärot.png", "A 941-2024")</f>
        <v/>
      </c>
      <c r="V111">
        <f>HYPERLINK("https://klasma.github.io/Logging_0883/klagomål/A 941-2024 FSC-klagomål.docx", "A 941-2024")</f>
        <v/>
      </c>
      <c r="W111">
        <f>HYPERLINK("https://klasma.github.io/Logging_0883/klagomålsmail/A 941-2024 FSC-klagomål mail.docx", "A 941-2024")</f>
        <v/>
      </c>
      <c r="X111">
        <f>HYPERLINK("https://klasma.github.io/Logging_0883/tillsyn/A 941-2024 tillsynsbegäran.docx", "A 941-2024")</f>
        <v/>
      </c>
      <c r="Y111">
        <f>HYPERLINK("https://klasma.github.io/Logging_0883/tillsynsmail/A 941-2024 tillsynsbegäran mail.docx", "A 941-2024")</f>
        <v/>
      </c>
    </row>
    <row r="112" ht="15" customHeight="1">
      <c r="A112" t="inlineStr">
        <is>
          <t>A 3658-2024</t>
        </is>
      </c>
      <c r="B112" s="1" t="n">
        <v>45321</v>
      </c>
      <c r="C112" s="1" t="n">
        <v>45882</v>
      </c>
      <c r="D112" t="inlineStr">
        <is>
          <t>KALMAR LÄN</t>
        </is>
      </c>
      <c r="E112" t="inlineStr">
        <is>
          <t>VÄSTERVIK</t>
        </is>
      </c>
      <c r="G112" t="n">
        <v>2.6</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3658-2024 artfynd.xlsx", "A 3658-2024")</f>
        <v/>
      </c>
      <c r="T112">
        <f>HYPERLINK("https://klasma.github.io/Logging_0883/kartor/A 3658-2024 karta.png", "A 3658-2024")</f>
        <v/>
      </c>
      <c r="U112">
        <f>HYPERLINK("https://klasma.github.io/Logging_0883/knärot/A 3658-2024 karta knärot.png", "A 3658-2024")</f>
        <v/>
      </c>
      <c r="V112">
        <f>HYPERLINK("https://klasma.github.io/Logging_0883/klagomål/A 3658-2024 FSC-klagomål.docx", "A 3658-2024")</f>
        <v/>
      </c>
      <c r="W112">
        <f>HYPERLINK("https://klasma.github.io/Logging_0883/klagomålsmail/A 3658-2024 FSC-klagomål mail.docx", "A 3658-2024")</f>
        <v/>
      </c>
      <c r="X112">
        <f>HYPERLINK("https://klasma.github.io/Logging_0883/tillsyn/A 3658-2024 tillsynsbegäran.docx", "A 3658-2024")</f>
        <v/>
      </c>
      <c r="Y112">
        <f>HYPERLINK("https://klasma.github.io/Logging_0883/tillsynsmail/A 3658-2024 tillsynsbegäran mail.docx", "A 3658-2024")</f>
        <v/>
      </c>
    </row>
    <row r="113" ht="15" customHeight="1">
      <c r="A113" t="inlineStr">
        <is>
          <t>A 15018-2025</t>
        </is>
      </c>
      <c r="B113" s="1" t="n">
        <v>45743.63806712963</v>
      </c>
      <c r="C113" s="1" t="n">
        <v>45882</v>
      </c>
      <c r="D113" t="inlineStr">
        <is>
          <t>KALMAR LÄN</t>
        </is>
      </c>
      <c r="E113" t="inlineStr">
        <is>
          <t>VÄSTERVIK</t>
        </is>
      </c>
      <c r="G113" t="n">
        <v>1.7</v>
      </c>
      <c r="H113" t="n">
        <v>2</v>
      </c>
      <c r="I113" t="n">
        <v>0</v>
      </c>
      <c r="J113" t="n">
        <v>1</v>
      </c>
      <c r="K113" t="n">
        <v>0</v>
      </c>
      <c r="L113" t="n">
        <v>0</v>
      </c>
      <c r="M113" t="n">
        <v>0</v>
      </c>
      <c r="N113" t="n">
        <v>0</v>
      </c>
      <c r="O113" t="n">
        <v>1</v>
      </c>
      <c r="P113" t="n">
        <v>0</v>
      </c>
      <c r="Q113" t="n">
        <v>2</v>
      </c>
      <c r="R113" s="2" t="inlineStr">
        <is>
          <t>Fjällvråk
Nattskärra</t>
        </is>
      </c>
      <c r="S113">
        <f>HYPERLINK("https://klasma.github.io/Logging_0883/artfynd/A 15018-2025 artfynd.xlsx", "A 15018-2025")</f>
        <v/>
      </c>
      <c r="T113">
        <f>HYPERLINK("https://klasma.github.io/Logging_0883/kartor/A 15018-2025 karta.png", "A 15018-2025")</f>
        <v/>
      </c>
      <c r="V113">
        <f>HYPERLINK("https://klasma.github.io/Logging_0883/klagomål/A 15018-2025 FSC-klagomål.docx", "A 15018-2025")</f>
        <v/>
      </c>
      <c r="W113">
        <f>HYPERLINK("https://klasma.github.io/Logging_0883/klagomålsmail/A 15018-2025 FSC-klagomål mail.docx", "A 15018-2025")</f>
        <v/>
      </c>
      <c r="X113">
        <f>HYPERLINK("https://klasma.github.io/Logging_0883/tillsyn/A 15018-2025 tillsynsbegäran.docx", "A 15018-2025")</f>
        <v/>
      </c>
      <c r="Y113">
        <f>HYPERLINK("https://klasma.github.io/Logging_0883/tillsynsmail/A 15018-2025 tillsynsbegäran mail.docx", "A 15018-2025")</f>
        <v/>
      </c>
      <c r="Z113">
        <f>HYPERLINK("https://klasma.github.io/Logging_0883/fåglar/A 15018-2025 prioriterade fågelarter.docx", "A 15018-2025")</f>
        <v/>
      </c>
    </row>
    <row r="114" ht="15" customHeight="1">
      <c r="A114" t="inlineStr">
        <is>
          <t>A 9770-2024</t>
        </is>
      </c>
      <c r="B114" s="1" t="n">
        <v>45362.63960648148</v>
      </c>
      <c r="C114" s="1" t="n">
        <v>45882</v>
      </c>
      <c r="D114" t="inlineStr">
        <is>
          <t>KALMAR LÄN</t>
        </is>
      </c>
      <c r="E114" t="inlineStr">
        <is>
          <t>VÄSTERVIK</t>
        </is>
      </c>
      <c r="G114" t="n">
        <v>2.6</v>
      </c>
      <c r="H114" t="n">
        <v>2</v>
      </c>
      <c r="I114" t="n">
        <v>0</v>
      </c>
      <c r="J114" t="n">
        <v>1</v>
      </c>
      <c r="K114" t="n">
        <v>0</v>
      </c>
      <c r="L114" t="n">
        <v>0</v>
      </c>
      <c r="M114" t="n">
        <v>0</v>
      </c>
      <c r="N114" t="n">
        <v>0</v>
      </c>
      <c r="O114" t="n">
        <v>1</v>
      </c>
      <c r="P114" t="n">
        <v>0</v>
      </c>
      <c r="Q114" t="n">
        <v>2</v>
      </c>
      <c r="R114" s="2" t="inlineStr">
        <is>
          <t>Talltita
Tjäder</t>
        </is>
      </c>
      <c r="S114">
        <f>HYPERLINK("https://klasma.github.io/Logging_0883/artfynd/A 9770-2024 artfynd.xlsx", "A 9770-2024")</f>
        <v/>
      </c>
      <c r="T114">
        <f>HYPERLINK("https://klasma.github.io/Logging_0883/kartor/A 9770-2024 karta.png", "A 9770-2024")</f>
        <v/>
      </c>
      <c r="V114">
        <f>HYPERLINK("https://klasma.github.io/Logging_0883/klagomål/A 9770-2024 FSC-klagomål.docx", "A 9770-2024")</f>
        <v/>
      </c>
      <c r="W114">
        <f>HYPERLINK("https://klasma.github.io/Logging_0883/klagomålsmail/A 9770-2024 FSC-klagomål mail.docx", "A 9770-2024")</f>
        <v/>
      </c>
      <c r="X114">
        <f>HYPERLINK("https://klasma.github.io/Logging_0883/tillsyn/A 9770-2024 tillsynsbegäran.docx", "A 9770-2024")</f>
        <v/>
      </c>
      <c r="Y114">
        <f>HYPERLINK("https://klasma.github.io/Logging_0883/tillsynsmail/A 9770-2024 tillsynsbegäran mail.docx", "A 9770-2024")</f>
        <v/>
      </c>
      <c r="Z114">
        <f>HYPERLINK("https://klasma.github.io/Logging_0883/fåglar/A 9770-2024 prioriterade fågelarter.docx", "A 9770-2024")</f>
        <v/>
      </c>
    </row>
    <row r="115" ht="15" customHeight="1">
      <c r="A115" t="inlineStr">
        <is>
          <t>A 14126-2025</t>
        </is>
      </c>
      <c r="B115" s="1" t="n">
        <v>45740.47012731482</v>
      </c>
      <c r="C115" s="1" t="n">
        <v>45882</v>
      </c>
      <c r="D115" t="inlineStr">
        <is>
          <t>KALMAR LÄN</t>
        </is>
      </c>
      <c r="E115" t="inlineStr">
        <is>
          <t>VÄSTERVIK</t>
        </is>
      </c>
      <c r="F115" t="inlineStr">
        <is>
          <t>Sveaskog</t>
        </is>
      </c>
      <c r="G115" t="n">
        <v>1.3</v>
      </c>
      <c r="H115" t="n">
        <v>2</v>
      </c>
      <c r="I115" t="n">
        <v>0</v>
      </c>
      <c r="J115" t="n">
        <v>1</v>
      </c>
      <c r="K115" t="n">
        <v>0</v>
      </c>
      <c r="L115" t="n">
        <v>0</v>
      </c>
      <c r="M115" t="n">
        <v>0</v>
      </c>
      <c r="N115" t="n">
        <v>0</v>
      </c>
      <c r="O115" t="n">
        <v>1</v>
      </c>
      <c r="P115" t="n">
        <v>0</v>
      </c>
      <c r="Q115" t="n">
        <v>2</v>
      </c>
      <c r="R115" s="2" t="inlineStr">
        <is>
          <t>Grönsångare
Blåsippa</t>
        </is>
      </c>
      <c r="S115">
        <f>HYPERLINK("https://klasma.github.io/Logging_0883/artfynd/A 14126-2025 artfynd.xlsx", "A 14126-2025")</f>
        <v/>
      </c>
      <c r="T115">
        <f>HYPERLINK("https://klasma.github.io/Logging_0883/kartor/A 14126-2025 karta.png", "A 14126-2025")</f>
        <v/>
      </c>
      <c r="V115">
        <f>HYPERLINK("https://klasma.github.io/Logging_0883/klagomål/A 14126-2025 FSC-klagomål.docx", "A 14126-2025")</f>
        <v/>
      </c>
      <c r="W115">
        <f>HYPERLINK("https://klasma.github.io/Logging_0883/klagomålsmail/A 14126-2025 FSC-klagomål mail.docx", "A 14126-2025")</f>
        <v/>
      </c>
      <c r="X115">
        <f>HYPERLINK("https://klasma.github.io/Logging_0883/tillsyn/A 14126-2025 tillsynsbegäran.docx", "A 14126-2025")</f>
        <v/>
      </c>
      <c r="Y115">
        <f>HYPERLINK("https://klasma.github.io/Logging_0883/tillsynsmail/A 14126-2025 tillsynsbegäran mail.docx", "A 14126-2025")</f>
        <v/>
      </c>
      <c r="Z115">
        <f>HYPERLINK("https://klasma.github.io/Logging_0883/fåglar/A 14126-2025 prioriterade fågelarter.docx", "A 14126-2025")</f>
        <v/>
      </c>
    </row>
    <row r="116" ht="15" customHeight="1">
      <c r="A116" t="inlineStr">
        <is>
          <t>A 56036-2024</t>
        </is>
      </c>
      <c r="B116" s="1" t="n">
        <v>45624</v>
      </c>
      <c r="C116" s="1" t="n">
        <v>45882</v>
      </c>
      <c r="D116" t="inlineStr">
        <is>
          <t>KALMAR LÄN</t>
        </is>
      </c>
      <c r="E116" t="inlineStr">
        <is>
          <t>VÄSTERVIK</t>
        </is>
      </c>
      <c r="F116" t="inlineStr">
        <is>
          <t>Kyrkan</t>
        </is>
      </c>
      <c r="G116" t="n">
        <v>5.5</v>
      </c>
      <c r="H116" t="n">
        <v>2</v>
      </c>
      <c r="I116" t="n">
        <v>0</v>
      </c>
      <c r="J116" t="n">
        <v>1</v>
      </c>
      <c r="K116" t="n">
        <v>1</v>
      </c>
      <c r="L116" t="n">
        <v>0</v>
      </c>
      <c r="M116" t="n">
        <v>0</v>
      </c>
      <c r="N116" t="n">
        <v>0</v>
      </c>
      <c r="O116" t="n">
        <v>2</v>
      </c>
      <c r="P116" t="n">
        <v>1</v>
      </c>
      <c r="Q116" t="n">
        <v>2</v>
      </c>
      <c r="R116" s="2" t="inlineStr">
        <is>
          <t>Knärot
Spillkråka</t>
        </is>
      </c>
      <c r="S116">
        <f>HYPERLINK("https://klasma.github.io/Logging_0883/artfynd/A 56036-2024 artfynd.xlsx", "A 56036-2024")</f>
        <v/>
      </c>
      <c r="T116">
        <f>HYPERLINK("https://klasma.github.io/Logging_0883/kartor/A 56036-2024 karta.png", "A 56036-2024")</f>
        <v/>
      </c>
      <c r="U116">
        <f>HYPERLINK("https://klasma.github.io/Logging_0883/knärot/A 56036-2024 karta knärot.png", "A 56036-2024")</f>
        <v/>
      </c>
      <c r="V116">
        <f>HYPERLINK("https://klasma.github.io/Logging_0883/klagomål/A 56036-2024 FSC-klagomål.docx", "A 56036-2024")</f>
        <v/>
      </c>
      <c r="W116">
        <f>HYPERLINK("https://klasma.github.io/Logging_0883/klagomålsmail/A 56036-2024 FSC-klagomål mail.docx", "A 56036-2024")</f>
        <v/>
      </c>
      <c r="X116">
        <f>HYPERLINK("https://klasma.github.io/Logging_0883/tillsyn/A 56036-2024 tillsynsbegäran.docx", "A 56036-2024")</f>
        <v/>
      </c>
      <c r="Y116">
        <f>HYPERLINK("https://klasma.github.io/Logging_0883/tillsynsmail/A 56036-2024 tillsynsbegäran mail.docx", "A 56036-2024")</f>
        <v/>
      </c>
      <c r="Z116">
        <f>HYPERLINK("https://klasma.github.io/Logging_0883/fåglar/A 56036-2024 prioriterade fågelarter.docx", "A 56036-2024")</f>
        <v/>
      </c>
    </row>
    <row r="117" ht="15" customHeight="1">
      <c r="A117" t="inlineStr">
        <is>
          <t>A 12598-2024</t>
        </is>
      </c>
      <c r="B117" s="1" t="n">
        <v>45380</v>
      </c>
      <c r="C117" s="1" t="n">
        <v>45882</v>
      </c>
      <c r="D117" t="inlineStr">
        <is>
          <t>KALMAR LÄN</t>
        </is>
      </c>
      <c r="E117" t="inlineStr">
        <is>
          <t>VÄSTERVIK</t>
        </is>
      </c>
      <c r="F117" t="inlineStr">
        <is>
          <t>Holmen skog AB</t>
        </is>
      </c>
      <c r="G117" t="n">
        <v>5</v>
      </c>
      <c r="H117" t="n">
        <v>1</v>
      </c>
      <c r="I117" t="n">
        <v>1</v>
      </c>
      <c r="J117" t="n">
        <v>0</v>
      </c>
      <c r="K117" t="n">
        <v>1</v>
      </c>
      <c r="L117" t="n">
        <v>0</v>
      </c>
      <c r="M117" t="n">
        <v>0</v>
      </c>
      <c r="N117" t="n">
        <v>0</v>
      </c>
      <c r="O117" t="n">
        <v>1</v>
      </c>
      <c r="P117" t="n">
        <v>1</v>
      </c>
      <c r="Q117" t="n">
        <v>2</v>
      </c>
      <c r="R117" s="2" t="inlineStr">
        <is>
          <t>Knärot
Grönpyrola</t>
        </is>
      </c>
      <c r="S117">
        <f>HYPERLINK("https://klasma.github.io/Logging_0883/artfynd/A 12598-2024 artfynd.xlsx", "A 12598-2024")</f>
        <v/>
      </c>
      <c r="T117">
        <f>HYPERLINK("https://klasma.github.io/Logging_0883/kartor/A 12598-2024 karta.png", "A 12598-2024")</f>
        <v/>
      </c>
      <c r="U117">
        <f>HYPERLINK("https://klasma.github.io/Logging_0883/knärot/A 12598-2024 karta knärot.png", "A 12598-2024")</f>
        <v/>
      </c>
      <c r="V117">
        <f>HYPERLINK("https://klasma.github.io/Logging_0883/klagomål/A 12598-2024 FSC-klagomål.docx", "A 12598-2024")</f>
        <v/>
      </c>
      <c r="W117">
        <f>HYPERLINK("https://klasma.github.io/Logging_0883/klagomålsmail/A 12598-2024 FSC-klagomål mail.docx", "A 12598-2024")</f>
        <v/>
      </c>
      <c r="X117">
        <f>HYPERLINK("https://klasma.github.io/Logging_0883/tillsyn/A 12598-2024 tillsynsbegäran.docx", "A 12598-2024")</f>
        <v/>
      </c>
      <c r="Y117">
        <f>HYPERLINK("https://klasma.github.io/Logging_0883/tillsynsmail/A 12598-2024 tillsynsbegäran mail.docx", "A 12598-2024")</f>
        <v/>
      </c>
    </row>
    <row r="118" ht="15" customHeight="1">
      <c r="A118" t="inlineStr">
        <is>
          <t>A 14086-2025</t>
        </is>
      </c>
      <c r="B118" s="1" t="n">
        <v>45740.44130787037</v>
      </c>
      <c r="C118" s="1" t="n">
        <v>45882</v>
      </c>
      <c r="D118" t="inlineStr">
        <is>
          <t>KALMAR LÄN</t>
        </is>
      </c>
      <c r="E118" t="inlineStr">
        <is>
          <t>VÄSTERVIK</t>
        </is>
      </c>
      <c r="F118" t="inlineStr">
        <is>
          <t>Sveaskog</t>
        </is>
      </c>
      <c r="G118" t="n">
        <v>3.2</v>
      </c>
      <c r="H118" t="n">
        <v>1</v>
      </c>
      <c r="I118" t="n">
        <v>1</v>
      </c>
      <c r="J118" t="n">
        <v>0</v>
      </c>
      <c r="K118" t="n">
        <v>0</v>
      </c>
      <c r="L118" t="n">
        <v>0</v>
      </c>
      <c r="M118" t="n">
        <v>0</v>
      </c>
      <c r="N118" t="n">
        <v>0</v>
      </c>
      <c r="O118" t="n">
        <v>0</v>
      </c>
      <c r="P118" t="n">
        <v>0</v>
      </c>
      <c r="Q118" t="n">
        <v>2</v>
      </c>
      <c r="R118" s="2" t="inlineStr">
        <is>
          <t>Skogsbräsma
Åkergroda</t>
        </is>
      </c>
      <c r="S118">
        <f>HYPERLINK("https://klasma.github.io/Logging_0883/artfynd/A 14086-2025 artfynd.xlsx", "A 14086-2025")</f>
        <v/>
      </c>
      <c r="T118">
        <f>HYPERLINK("https://klasma.github.io/Logging_0883/kartor/A 14086-2025 karta.png", "A 14086-2025")</f>
        <v/>
      </c>
      <c r="V118">
        <f>HYPERLINK("https://klasma.github.io/Logging_0883/klagomål/A 14086-2025 FSC-klagomål.docx", "A 14086-2025")</f>
        <v/>
      </c>
      <c r="W118">
        <f>HYPERLINK("https://klasma.github.io/Logging_0883/klagomålsmail/A 14086-2025 FSC-klagomål mail.docx", "A 14086-2025")</f>
        <v/>
      </c>
      <c r="X118">
        <f>HYPERLINK("https://klasma.github.io/Logging_0883/tillsyn/A 14086-2025 tillsynsbegäran.docx", "A 14086-2025")</f>
        <v/>
      </c>
      <c r="Y118">
        <f>HYPERLINK("https://klasma.github.io/Logging_0883/tillsynsmail/A 14086-2025 tillsynsbegäran mail.docx", "A 14086-2025")</f>
        <v/>
      </c>
    </row>
    <row r="119" ht="15" customHeight="1">
      <c r="A119" t="inlineStr">
        <is>
          <t>A 55408-2023</t>
        </is>
      </c>
      <c r="B119" s="1" t="n">
        <v>45238</v>
      </c>
      <c r="C119" s="1" t="n">
        <v>45882</v>
      </c>
      <c r="D119" t="inlineStr">
        <is>
          <t>KALMAR LÄN</t>
        </is>
      </c>
      <c r="E119" t="inlineStr">
        <is>
          <t>VÄSTERVIK</t>
        </is>
      </c>
      <c r="G119" t="n">
        <v>2.8</v>
      </c>
      <c r="H119" t="n">
        <v>0</v>
      </c>
      <c r="I119" t="n">
        <v>0</v>
      </c>
      <c r="J119" t="n">
        <v>2</v>
      </c>
      <c r="K119" t="n">
        <v>0</v>
      </c>
      <c r="L119" t="n">
        <v>0</v>
      </c>
      <c r="M119" t="n">
        <v>0</v>
      </c>
      <c r="N119" t="n">
        <v>0</v>
      </c>
      <c r="O119" t="n">
        <v>2</v>
      </c>
      <c r="P119" t="n">
        <v>0</v>
      </c>
      <c r="Q119" t="n">
        <v>2</v>
      </c>
      <c r="R119" s="2" t="inlineStr">
        <is>
          <t>Ekticka
Tallticka</t>
        </is>
      </c>
      <c r="S119">
        <f>HYPERLINK("https://klasma.github.io/Logging_0883/artfynd/A 55408-2023 artfynd.xlsx", "A 55408-2023")</f>
        <v/>
      </c>
      <c r="T119">
        <f>HYPERLINK("https://klasma.github.io/Logging_0883/kartor/A 55408-2023 karta.png", "A 55408-2023")</f>
        <v/>
      </c>
      <c r="V119">
        <f>HYPERLINK("https://klasma.github.io/Logging_0883/klagomål/A 55408-2023 FSC-klagomål.docx", "A 55408-2023")</f>
        <v/>
      </c>
      <c r="W119">
        <f>HYPERLINK("https://klasma.github.io/Logging_0883/klagomålsmail/A 55408-2023 FSC-klagomål mail.docx", "A 55408-2023")</f>
        <v/>
      </c>
      <c r="X119">
        <f>HYPERLINK("https://klasma.github.io/Logging_0883/tillsyn/A 55408-2023 tillsynsbegäran.docx", "A 55408-2023")</f>
        <v/>
      </c>
      <c r="Y119">
        <f>HYPERLINK("https://klasma.github.io/Logging_0883/tillsynsmail/A 55408-2023 tillsynsbegäran mail.docx", "A 55408-2023")</f>
        <v/>
      </c>
    </row>
    <row r="120" ht="15" customHeight="1">
      <c r="A120" t="inlineStr">
        <is>
          <t>A 38373-2022</t>
        </is>
      </c>
      <c r="B120" s="1" t="n">
        <v>44812</v>
      </c>
      <c r="C120" s="1" t="n">
        <v>45882</v>
      </c>
      <c r="D120" t="inlineStr">
        <is>
          <t>KALMAR LÄN</t>
        </is>
      </c>
      <c r="E120" t="inlineStr">
        <is>
          <t>VÄSTERVIK</t>
        </is>
      </c>
      <c r="G120" t="n">
        <v>3.1</v>
      </c>
      <c r="H120" t="n">
        <v>1</v>
      </c>
      <c r="I120" t="n">
        <v>1</v>
      </c>
      <c r="J120" t="n">
        <v>0</v>
      </c>
      <c r="K120" t="n">
        <v>1</v>
      </c>
      <c r="L120" t="n">
        <v>0</v>
      </c>
      <c r="M120" t="n">
        <v>0</v>
      </c>
      <c r="N120" t="n">
        <v>0</v>
      </c>
      <c r="O120" t="n">
        <v>1</v>
      </c>
      <c r="P120" t="n">
        <v>1</v>
      </c>
      <c r="Q120" t="n">
        <v>2</v>
      </c>
      <c r="R120" s="2" t="inlineStr">
        <is>
          <t>Knärot
Blåmossa</t>
        </is>
      </c>
      <c r="S120">
        <f>HYPERLINK("https://klasma.github.io/Logging_0883/artfynd/A 38373-2022 artfynd.xlsx", "A 38373-2022")</f>
        <v/>
      </c>
      <c r="T120">
        <f>HYPERLINK("https://klasma.github.io/Logging_0883/kartor/A 38373-2022 karta.png", "A 38373-2022")</f>
        <v/>
      </c>
      <c r="U120">
        <f>HYPERLINK("https://klasma.github.io/Logging_0883/knärot/A 38373-2022 karta knärot.png", "A 38373-2022")</f>
        <v/>
      </c>
      <c r="V120">
        <f>HYPERLINK("https://klasma.github.io/Logging_0883/klagomål/A 38373-2022 FSC-klagomål.docx", "A 38373-2022")</f>
        <v/>
      </c>
      <c r="W120">
        <f>HYPERLINK("https://klasma.github.io/Logging_0883/klagomålsmail/A 38373-2022 FSC-klagomål mail.docx", "A 38373-2022")</f>
        <v/>
      </c>
      <c r="X120">
        <f>HYPERLINK("https://klasma.github.io/Logging_0883/tillsyn/A 38373-2022 tillsynsbegäran.docx", "A 38373-2022")</f>
        <v/>
      </c>
      <c r="Y120">
        <f>HYPERLINK("https://klasma.github.io/Logging_0883/tillsynsmail/A 38373-2022 tillsynsbegäran mail.docx", "A 38373-2022")</f>
        <v/>
      </c>
    </row>
    <row r="121" ht="15" customHeight="1">
      <c r="A121" t="inlineStr">
        <is>
          <t>A 25435-2023</t>
        </is>
      </c>
      <c r="B121" s="1" t="n">
        <v>45089</v>
      </c>
      <c r="C121" s="1" t="n">
        <v>45882</v>
      </c>
      <c r="D121" t="inlineStr">
        <is>
          <t>KALMAR LÄN</t>
        </is>
      </c>
      <c r="E121" t="inlineStr">
        <is>
          <t>VÄSTERVIK</t>
        </is>
      </c>
      <c r="G121" t="n">
        <v>1.6</v>
      </c>
      <c r="H121" t="n">
        <v>2</v>
      </c>
      <c r="I121" t="n">
        <v>0</v>
      </c>
      <c r="J121" t="n">
        <v>0</v>
      </c>
      <c r="K121" t="n">
        <v>1</v>
      </c>
      <c r="L121" t="n">
        <v>0</v>
      </c>
      <c r="M121" t="n">
        <v>0</v>
      </c>
      <c r="N121" t="n">
        <v>0</v>
      </c>
      <c r="O121" t="n">
        <v>1</v>
      </c>
      <c r="P121" t="n">
        <v>1</v>
      </c>
      <c r="Q121" t="n">
        <v>2</v>
      </c>
      <c r="R121" s="2" t="inlineStr">
        <is>
          <t>Knärot
Tjäder</t>
        </is>
      </c>
      <c r="S121">
        <f>HYPERLINK("https://klasma.github.io/Logging_0883/artfynd/A 25435-2023 artfynd.xlsx", "A 25435-2023")</f>
        <v/>
      </c>
      <c r="T121">
        <f>HYPERLINK("https://klasma.github.io/Logging_0883/kartor/A 25435-2023 karta.png", "A 25435-2023")</f>
        <v/>
      </c>
      <c r="U121">
        <f>HYPERLINK("https://klasma.github.io/Logging_0883/knärot/A 25435-2023 karta knärot.png", "A 25435-2023")</f>
        <v/>
      </c>
      <c r="V121">
        <f>HYPERLINK("https://klasma.github.io/Logging_0883/klagomål/A 25435-2023 FSC-klagomål.docx", "A 25435-2023")</f>
        <v/>
      </c>
      <c r="W121">
        <f>HYPERLINK("https://klasma.github.io/Logging_0883/klagomålsmail/A 25435-2023 FSC-klagomål mail.docx", "A 25435-2023")</f>
        <v/>
      </c>
      <c r="X121">
        <f>HYPERLINK("https://klasma.github.io/Logging_0883/tillsyn/A 25435-2023 tillsynsbegäran.docx", "A 25435-2023")</f>
        <v/>
      </c>
      <c r="Y121">
        <f>HYPERLINK("https://klasma.github.io/Logging_0883/tillsynsmail/A 25435-2023 tillsynsbegäran mail.docx", "A 25435-2023")</f>
        <v/>
      </c>
      <c r="Z121">
        <f>HYPERLINK("https://klasma.github.io/Logging_0883/fåglar/A 25435-2023 prioriterade fågelarter.docx", "A 25435-2023")</f>
        <v/>
      </c>
    </row>
    <row r="122" ht="15" customHeight="1">
      <c r="A122" t="inlineStr">
        <is>
          <t>A 14301-2023</t>
        </is>
      </c>
      <c r="B122" s="1" t="n">
        <v>45011</v>
      </c>
      <c r="C122" s="1" t="n">
        <v>45882</v>
      </c>
      <c r="D122" t="inlineStr">
        <is>
          <t>KALMAR LÄN</t>
        </is>
      </c>
      <c r="E122" t="inlineStr">
        <is>
          <t>VÄSTERVIK</t>
        </is>
      </c>
      <c r="G122" t="n">
        <v>4.4</v>
      </c>
      <c r="H122" t="n">
        <v>1</v>
      </c>
      <c r="I122" t="n">
        <v>1</v>
      </c>
      <c r="J122" t="n">
        <v>0</v>
      </c>
      <c r="K122" t="n">
        <v>1</v>
      </c>
      <c r="L122" t="n">
        <v>0</v>
      </c>
      <c r="M122" t="n">
        <v>0</v>
      </c>
      <c r="N122" t="n">
        <v>0</v>
      </c>
      <c r="O122" t="n">
        <v>1</v>
      </c>
      <c r="P122" t="n">
        <v>1</v>
      </c>
      <c r="Q122" t="n">
        <v>2</v>
      </c>
      <c r="R122" s="2" t="inlineStr">
        <is>
          <t>Knärot
Grönpyrola</t>
        </is>
      </c>
      <c r="S122">
        <f>HYPERLINK("https://klasma.github.io/Logging_0883/artfynd/A 14301-2023 artfynd.xlsx", "A 14301-2023")</f>
        <v/>
      </c>
      <c r="T122">
        <f>HYPERLINK("https://klasma.github.io/Logging_0883/kartor/A 14301-2023 karta.png", "A 14301-2023")</f>
        <v/>
      </c>
      <c r="U122">
        <f>HYPERLINK("https://klasma.github.io/Logging_0883/knärot/A 14301-2023 karta knärot.png", "A 14301-2023")</f>
        <v/>
      </c>
      <c r="V122">
        <f>HYPERLINK("https://klasma.github.io/Logging_0883/klagomål/A 14301-2023 FSC-klagomål.docx", "A 14301-2023")</f>
        <v/>
      </c>
      <c r="W122">
        <f>HYPERLINK("https://klasma.github.io/Logging_0883/klagomålsmail/A 14301-2023 FSC-klagomål mail.docx", "A 14301-2023")</f>
        <v/>
      </c>
      <c r="X122">
        <f>HYPERLINK("https://klasma.github.io/Logging_0883/tillsyn/A 14301-2023 tillsynsbegäran.docx", "A 14301-2023")</f>
        <v/>
      </c>
      <c r="Y122">
        <f>HYPERLINK("https://klasma.github.io/Logging_0883/tillsynsmail/A 14301-2023 tillsynsbegäran mail.docx", "A 14301-2023")</f>
        <v/>
      </c>
    </row>
    <row r="123" ht="15" customHeight="1">
      <c r="A123" t="inlineStr">
        <is>
          <t>A 948-2024</t>
        </is>
      </c>
      <c r="B123" s="1" t="n">
        <v>45301</v>
      </c>
      <c r="C123" s="1" t="n">
        <v>45882</v>
      </c>
      <c r="D123" t="inlineStr">
        <is>
          <t>KALMAR LÄN</t>
        </is>
      </c>
      <c r="E123" t="inlineStr">
        <is>
          <t>VÄSTERVIK</t>
        </is>
      </c>
      <c r="G123" t="n">
        <v>4.5</v>
      </c>
      <c r="H123" t="n">
        <v>1</v>
      </c>
      <c r="I123" t="n">
        <v>1</v>
      </c>
      <c r="J123" t="n">
        <v>0</v>
      </c>
      <c r="K123" t="n">
        <v>0</v>
      </c>
      <c r="L123" t="n">
        <v>0</v>
      </c>
      <c r="M123" t="n">
        <v>0</v>
      </c>
      <c r="N123" t="n">
        <v>0</v>
      </c>
      <c r="O123" t="n">
        <v>0</v>
      </c>
      <c r="P123" t="n">
        <v>0</v>
      </c>
      <c r="Q123" t="n">
        <v>2</v>
      </c>
      <c r="R123" s="2" t="inlineStr">
        <is>
          <t>Dropptaggsvamp
Tjäder</t>
        </is>
      </c>
      <c r="S123">
        <f>HYPERLINK("https://klasma.github.io/Logging_0883/artfynd/A 948-2024 artfynd.xlsx", "A 948-2024")</f>
        <v/>
      </c>
      <c r="T123">
        <f>HYPERLINK("https://klasma.github.io/Logging_0883/kartor/A 948-2024 karta.png", "A 948-2024")</f>
        <v/>
      </c>
      <c r="V123">
        <f>HYPERLINK("https://klasma.github.io/Logging_0883/klagomål/A 948-2024 FSC-klagomål.docx", "A 948-2024")</f>
        <v/>
      </c>
      <c r="W123">
        <f>HYPERLINK("https://klasma.github.io/Logging_0883/klagomålsmail/A 948-2024 FSC-klagomål mail.docx", "A 948-2024")</f>
        <v/>
      </c>
      <c r="X123">
        <f>HYPERLINK("https://klasma.github.io/Logging_0883/tillsyn/A 948-2024 tillsynsbegäran.docx", "A 948-2024")</f>
        <v/>
      </c>
      <c r="Y123">
        <f>HYPERLINK("https://klasma.github.io/Logging_0883/tillsynsmail/A 948-2024 tillsynsbegäran mail.docx", "A 948-2024")</f>
        <v/>
      </c>
      <c r="Z123">
        <f>HYPERLINK("https://klasma.github.io/Logging_0883/fåglar/A 948-2024 prioriterade fågelarter.docx", "A 948-2024")</f>
        <v/>
      </c>
    </row>
    <row r="124" ht="15" customHeight="1">
      <c r="A124" t="inlineStr">
        <is>
          <t>A 932-2024</t>
        </is>
      </c>
      <c r="B124" s="1" t="n">
        <v>45301</v>
      </c>
      <c r="C124" s="1" t="n">
        <v>45882</v>
      </c>
      <c r="D124" t="inlineStr">
        <is>
          <t>KALMAR LÄN</t>
        </is>
      </c>
      <c r="E124" t="inlineStr">
        <is>
          <t>VÄSTERVIK</t>
        </is>
      </c>
      <c r="G124" t="n">
        <v>3.7</v>
      </c>
      <c r="H124" t="n">
        <v>1</v>
      </c>
      <c r="I124" t="n">
        <v>1</v>
      </c>
      <c r="J124" t="n">
        <v>1</v>
      </c>
      <c r="K124" t="n">
        <v>0</v>
      </c>
      <c r="L124" t="n">
        <v>0</v>
      </c>
      <c r="M124" t="n">
        <v>0</v>
      </c>
      <c r="N124" t="n">
        <v>0</v>
      </c>
      <c r="O124" t="n">
        <v>1</v>
      </c>
      <c r="P124" t="n">
        <v>0</v>
      </c>
      <c r="Q124" t="n">
        <v>2</v>
      </c>
      <c r="R124" s="2" t="inlineStr">
        <is>
          <t>Spillkråka
Grovticka</t>
        </is>
      </c>
      <c r="S124">
        <f>HYPERLINK("https://klasma.github.io/Logging_0883/artfynd/A 932-2024 artfynd.xlsx", "A 932-2024")</f>
        <v/>
      </c>
      <c r="T124">
        <f>HYPERLINK("https://klasma.github.io/Logging_0883/kartor/A 932-2024 karta.png", "A 932-2024")</f>
        <v/>
      </c>
      <c r="V124">
        <f>HYPERLINK("https://klasma.github.io/Logging_0883/klagomål/A 932-2024 FSC-klagomål.docx", "A 932-2024")</f>
        <v/>
      </c>
      <c r="W124">
        <f>HYPERLINK("https://klasma.github.io/Logging_0883/klagomålsmail/A 932-2024 FSC-klagomål mail.docx", "A 932-2024")</f>
        <v/>
      </c>
      <c r="X124">
        <f>HYPERLINK("https://klasma.github.io/Logging_0883/tillsyn/A 932-2024 tillsynsbegäran.docx", "A 932-2024")</f>
        <v/>
      </c>
      <c r="Y124">
        <f>HYPERLINK("https://klasma.github.io/Logging_0883/tillsynsmail/A 932-2024 tillsynsbegäran mail.docx", "A 932-2024")</f>
        <v/>
      </c>
      <c r="Z124">
        <f>HYPERLINK("https://klasma.github.io/Logging_0883/fåglar/A 932-2024 prioriterade fågelarter.docx", "A 932-2024")</f>
        <v/>
      </c>
    </row>
    <row r="125" ht="15" customHeight="1">
      <c r="A125" t="inlineStr">
        <is>
          <t>A 59940-2021</t>
        </is>
      </c>
      <c r="B125" s="1" t="n">
        <v>44494</v>
      </c>
      <c r="C125" s="1" t="n">
        <v>45882</v>
      </c>
      <c r="D125" t="inlineStr">
        <is>
          <t>KALMAR LÄN</t>
        </is>
      </c>
      <c r="E125" t="inlineStr">
        <is>
          <t>VÄSTERVIK</t>
        </is>
      </c>
      <c r="G125" t="n">
        <v>4.3</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59940-2021 artfynd.xlsx", "A 59940-2021")</f>
        <v/>
      </c>
      <c r="T125">
        <f>HYPERLINK("https://klasma.github.io/Logging_0883/kartor/A 59940-2021 karta.png", "A 59940-2021")</f>
        <v/>
      </c>
      <c r="U125">
        <f>HYPERLINK("https://klasma.github.io/Logging_0883/knärot/A 59940-2021 karta knärot.png", "A 59940-2021")</f>
        <v/>
      </c>
      <c r="V125">
        <f>HYPERLINK("https://klasma.github.io/Logging_0883/klagomål/A 59940-2021 FSC-klagomål.docx", "A 59940-2021")</f>
        <v/>
      </c>
      <c r="W125">
        <f>HYPERLINK("https://klasma.github.io/Logging_0883/klagomålsmail/A 59940-2021 FSC-klagomål mail.docx", "A 59940-2021")</f>
        <v/>
      </c>
      <c r="X125">
        <f>HYPERLINK("https://klasma.github.io/Logging_0883/tillsyn/A 59940-2021 tillsynsbegäran.docx", "A 59940-2021")</f>
        <v/>
      </c>
      <c r="Y125">
        <f>HYPERLINK("https://klasma.github.io/Logging_0883/tillsynsmail/A 59940-2021 tillsynsbegäran mail.docx", "A 59940-2021")</f>
        <v/>
      </c>
    </row>
    <row r="126" ht="15" customHeight="1">
      <c r="A126" t="inlineStr">
        <is>
          <t>A 59231-2022</t>
        </is>
      </c>
      <c r="B126" s="1" t="n">
        <v>44904.55646990741</v>
      </c>
      <c r="C126" s="1" t="n">
        <v>45882</v>
      </c>
      <c r="D126" t="inlineStr">
        <is>
          <t>KALMAR LÄN</t>
        </is>
      </c>
      <c r="E126" t="inlineStr">
        <is>
          <t>VÄSTERVIK</t>
        </is>
      </c>
      <c r="G126" t="n">
        <v>1.8</v>
      </c>
      <c r="H126" t="n">
        <v>0</v>
      </c>
      <c r="I126" t="n">
        <v>1</v>
      </c>
      <c r="J126" t="n">
        <v>1</v>
      </c>
      <c r="K126" t="n">
        <v>0</v>
      </c>
      <c r="L126" t="n">
        <v>0</v>
      </c>
      <c r="M126" t="n">
        <v>0</v>
      </c>
      <c r="N126" t="n">
        <v>0</v>
      </c>
      <c r="O126" t="n">
        <v>1</v>
      </c>
      <c r="P126" t="n">
        <v>0</v>
      </c>
      <c r="Q126" t="n">
        <v>2</v>
      </c>
      <c r="R126" s="2" t="inlineStr">
        <is>
          <t>Tallticka
Grönpyrola</t>
        </is>
      </c>
      <c r="S126">
        <f>HYPERLINK("https://klasma.github.io/Logging_0883/artfynd/A 59231-2022 artfynd.xlsx", "A 59231-2022")</f>
        <v/>
      </c>
      <c r="T126">
        <f>HYPERLINK("https://klasma.github.io/Logging_0883/kartor/A 59231-2022 karta.png", "A 59231-2022")</f>
        <v/>
      </c>
      <c r="V126">
        <f>HYPERLINK("https://klasma.github.io/Logging_0883/klagomål/A 59231-2022 FSC-klagomål.docx", "A 59231-2022")</f>
        <v/>
      </c>
      <c r="W126">
        <f>HYPERLINK("https://klasma.github.io/Logging_0883/klagomålsmail/A 59231-2022 FSC-klagomål mail.docx", "A 59231-2022")</f>
        <v/>
      </c>
      <c r="X126">
        <f>HYPERLINK("https://klasma.github.io/Logging_0883/tillsyn/A 59231-2022 tillsynsbegäran.docx", "A 59231-2022")</f>
        <v/>
      </c>
      <c r="Y126">
        <f>HYPERLINK("https://klasma.github.io/Logging_0883/tillsynsmail/A 59231-2022 tillsynsbegäran mail.docx", "A 59231-2022")</f>
        <v/>
      </c>
    </row>
    <row r="127" ht="15" customHeight="1">
      <c r="A127" t="inlineStr">
        <is>
          <t>A 2126-2024</t>
        </is>
      </c>
      <c r="B127" s="1" t="n">
        <v>45309</v>
      </c>
      <c r="C127" s="1" t="n">
        <v>45882</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35236-2024</t>
        </is>
      </c>
      <c r="B128" s="1" t="n">
        <v>45530.54184027778</v>
      </c>
      <c r="C128" s="1" t="n">
        <v>45882</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62008-2023</t>
        </is>
      </c>
      <c r="B129" s="1" t="n">
        <v>45266</v>
      </c>
      <c r="C129" s="1" t="n">
        <v>45882</v>
      </c>
      <c r="D129" t="inlineStr">
        <is>
          <t>KALMAR LÄN</t>
        </is>
      </c>
      <c r="E129" t="inlineStr">
        <is>
          <t>VÄSTERVIK</t>
        </is>
      </c>
      <c r="G129" t="n">
        <v>4</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62008-2023 artfynd.xlsx", "A 62008-2023")</f>
        <v/>
      </c>
      <c r="T129">
        <f>HYPERLINK("https://klasma.github.io/Logging_0883/kartor/A 62008-2023 karta.png", "A 62008-2023")</f>
        <v/>
      </c>
      <c r="U129">
        <f>HYPERLINK("https://klasma.github.io/Logging_0883/knärot/A 62008-2023 karta knärot.png", "A 62008-2023")</f>
        <v/>
      </c>
      <c r="V129">
        <f>HYPERLINK("https://klasma.github.io/Logging_0883/klagomål/A 62008-2023 FSC-klagomål.docx", "A 62008-2023")</f>
        <v/>
      </c>
      <c r="W129">
        <f>HYPERLINK("https://klasma.github.io/Logging_0883/klagomålsmail/A 62008-2023 FSC-klagomål mail.docx", "A 62008-2023")</f>
        <v/>
      </c>
      <c r="X129">
        <f>HYPERLINK("https://klasma.github.io/Logging_0883/tillsyn/A 62008-2023 tillsynsbegäran.docx", "A 62008-2023")</f>
        <v/>
      </c>
      <c r="Y129">
        <f>HYPERLINK("https://klasma.github.io/Logging_0883/tillsynsmail/A 62008-2023 tillsynsbegäran mail.docx", "A 62008-2023")</f>
        <v/>
      </c>
      <c r="Z129">
        <f>HYPERLINK("https://klasma.github.io/Logging_0883/fåglar/A 62008-2023 prioriterade fågelarter.docx", "A 62008-2023")</f>
        <v/>
      </c>
    </row>
    <row r="130" ht="15" customHeight="1">
      <c r="A130" t="inlineStr">
        <is>
          <t>A 3182-2025</t>
        </is>
      </c>
      <c r="B130" s="1" t="n">
        <v>45679</v>
      </c>
      <c r="C130" s="1" t="n">
        <v>45882</v>
      </c>
      <c r="D130" t="inlineStr">
        <is>
          <t>KALMAR LÄN</t>
        </is>
      </c>
      <c r="E130" t="inlineStr">
        <is>
          <t>VÄSTERVIK</t>
        </is>
      </c>
      <c r="G130" t="n">
        <v>1.2</v>
      </c>
      <c r="H130" t="n">
        <v>2</v>
      </c>
      <c r="I130" t="n">
        <v>0</v>
      </c>
      <c r="J130" t="n">
        <v>1</v>
      </c>
      <c r="K130" t="n">
        <v>1</v>
      </c>
      <c r="L130" t="n">
        <v>0</v>
      </c>
      <c r="M130" t="n">
        <v>0</v>
      </c>
      <c r="N130" t="n">
        <v>0</v>
      </c>
      <c r="O130" t="n">
        <v>2</v>
      </c>
      <c r="P130" t="n">
        <v>1</v>
      </c>
      <c r="Q130" t="n">
        <v>2</v>
      </c>
      <c r="R130" s="2" t="inlineStr">
        <is>
          <t>Knärot
Spillkråka</t>
        </is>
      </c>
      <c r="S130">
        <f>HYPERLINK("https://klasma.github.io/Logging_0883/artfynd/A 3182-2025 artfynd.xlsx", "A 3182-2025")</f>
        <v/>
      </c>
      <c r="T130">
        <f>HYPERLINK("https://klasma.github.io/Logging_0883/kartor/A 3182-2025 karta.png", "A 3182-2025")</f>
        <v/>
      </c>
      <c r="U130">
        <f>HYPERLINK("https://klasma.github.io/Logging_0883/knärot/A 3182-2025 karta knärot.png", "A 3182-2025")</f>
        <v/>
      </c>
      <c r="V130">
        <f>HYPERLINK("https://klasma.github.io/Logging_0883/klagomål/A 3182-2025 FSC-klagomål.docx", "A 3182-2025")</f>
        <v/>
      </c>
      <c r="W130">
        <f>HYPERLINK("https://klasma.github.io/Logging_0883/klagomålsmail/A 3182-2025 FSC-klagomål mail.docx", "A 3182-2025")</f>
        <v/>
      </c>
      <c r="X130">
        <f>HYPERLINK("https://klasma.github.io/Logging_0883/tillsyn/A 3182-2025 tillsynsbegäran.docx", "A 3182-2025")</f>
        <v/>
      </c>
      <c r="Y130">
        <f>HYPERLINK("https://klasma.github.io/Logging_0883/tillsynsmail/A 3182-2025 tillsynsbegäran mail.docx", "A 3182-2025")</f>
        <v/>
      </c>
      <c r="Z130">
        <f>HYPERLINK("https://klasma.github.io/Logging_0883/fåglar/A 3182-2025 prioriterade fågelarter.docx", "A 3182-2025")</f>
        <v/>
      </c>
    </row>
    <row r="131" ht="15" customHeight="1">
      <c r="A131" t="inlineStr">
        <is>
          <t>A 41573-2024</t>
        </is>
      </c>
      <c r="B131" s="1" t="n">
        <v>45560.54628472222</v>
      </c>
      <c r="C131" s="1" t="n">
        <v>45882</v>
      </c>
      <c r="D131" t="inlineStr">
        <is>
          <t>KALMAR LÄN</t>
        </is>
      </c>
      <c r="E131" t="inlineStr">
        <is>
          <t>VÄSTERVIK</t>
        </is>
      </c>
      <c r="G131" t="n">
        <v>1.6</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41573-2024 artfynd.xlsx", "A 41573-2024")</f>
        <v/>
      </c>
      <c r="T131">
        <f>HYPERLINK("https://klasma.github.io/Logging_0883/kartor/A 41573-2024 karta.png", "A 41573-2024")</f>
        <v/>
      </c>
      <c r="U131">
        <f>HYPERLINK("https://klasma.github.io/Logging_0883/knärot/A 41573-2024 karta knärot.png", "A 41573-2024")</f>
        <v/>
      </c>
      <c r="V131">
        <f>HYPERLINK("https://klasma.github.io/Logging_0883/klagomål/A 41573-2024 FSC-klagomål.docx", "A 41573-2024")</f>
        <v/>
      </c>
      <c r="W131">
        <f>HYPERLINK("https://klasma.github.io/Logging_0883/klagomålsmail/A 41573-2024 FSC-klagomål mail.docx", "A 41573-2024")</f>
        <v/>
      </c>
      <c r="X131">
        <f>HYPERLINK("https://klasma.github.io/Logging_0883/tillsyn/A 41573-2024 tillsynsbegäran.docx", "A 41573-2024")</f>
        <v/>
      </c>
      <c r="Y131">
        <f>HYPERLINK("https://klasma.github.io/Logging_0883/tillsynsmail/A 41573-2024 tillsynsbegäran mail.docx", "A 41573-2024")</f>
        <v/>
      </c>
    </row>
    <row r="132" ht="15" customHeight="1">
      <c r="A132" t="inlineStr">
        <is>
          <t>A 16419-2024</t>
        </is>
      </c>
      <c r="B132" s="1" t="n">
        <v>45407</v>
      </c>
      <c r="C132" s="1" t="n">
        <v>45882</v>
      </c>
      <c r="D132" t="inlineStr">
        <is>
          <t>KALMAR LÄN</t>
        </is>
      </c>
      <c r="E132" t="inlineStr">
        <is>
          <t>VÄSTERVIK</t>
        </is>
      </c>
      <c r="F132" t="inlineStr">
        <is>
          <t>Holmen skog AB</t>
        </is>
      </c>
      <c r="G132" t="n">
        <v>1.8</v>
      </c>
      <c r="H132" t="n">
        <v>2</v>
      </c>
      <c r="I132" t="n">
        <v>0</v>
      </c>
      <c r="J132" t="n">
        <v>1</v>
      </c>
      <c r="K132" t="n">
        <v>1</v>
      </c>
      <c r="L132" t="n">
        <v>0</v>
      </c>
      <c r="M132" t="n">
        <v>0</v>
      </c>
      <c r="N132" t="n">
        <v>0</v>
      </c>
      <c r="O132" t="n">
        <v>2</v>
      </c>
      <c r="P132" t="n">
        <v>1</v>
      </c>
      <c r="Q132" t="n">
        <v>2</v>
      </c>
      <c r="R132" s="2" t="inlineStr">
        <is>
          <t>Knärot
Spillkråka</t>
        </is>
      </c>
      <c r="S132">
        <f>HYPERLINK("https://klasma.github.io/Logging_0883/artfynd/A 16419-2024 artfynd.xlsx", "A 16419-2024")</f>
        <v/>
      </c>
      <c r="T132">
        <f>HYPERLINK("https://klasma.github.io/Logging_0883/kartor/A 16419-2024 karta.png", "A 16419-2024")</f>
        <v/>
      </c>
      <c r="U132">
        <f>HYPERLINK("https://klasma.github.io/Logging_0883/knärot/A 16419-2024 karta knärot.png", "A 16419-2024")</f>
        <v/>
      </c>
      <c r="V132">
        <f>HYPERLINK("https://klasma.github.io/Logging_0883/klagomål/A 16419-2024 FSC-klagomål.docx", "A 16419-2024")</f>
        <v/>
      </c>
      <c r="W132">
        <f>HYPERLINK("https://klasma.github.io/Logging_0883/klagomålsmail/A 16419-2024 FSC-klagomål mail.docx", "A 16419-2024")</f>
        <v/>
      </c>
      <c r="X132">
        <f>HYPERLINK("https://klasma.github.io/Logging_0883/tillsyn/A 16419-2024 tillsynsbegäran.docx", "A 16419-2024")</f>
        <v/>
      </c>
      <c r="Y132">
        <f>HYPERLINK("https://klasma.github.io/Logging_0883/tillsynsmail/A 16419-2024 tillsynsbegäran mail.docx", "A 16419-2024")</f>
        <v/>
      </c>
      <c r="Z132">
        <f>HYPERLINK("https://klasma.github.io/Logging_0883/fåglar/A 16419-2024 prioriterade fågelarter.docx", "A 16419-2024")</f>
        <v/>
      </c>
    </row>
    <row r="133" ht="15" customHeight="1">
      <c r="A133" t="inlineStr">
        <is>
          <t>A 52723-2024</t>
        </is>
      </c>
      <c r="B133" s="1" t="n">
        <v>45610.44008101852</v>
      </c>
      <c r="C133" s="1" t="n">
        <v>45882</v>
      </c>
      <c r="D133" t="inlineStr">
        <is>
          <t>KALMAR LÄN</t>
        </is>
      </c>
      <c r="E133" t="inlineStr">
        <is>
          <t>VÄSTERVIK</t>
        </is>
      </c>
      <c r="F133" t="inlineStr">
        <is>
          <t>Holmen skog AB</t>
        </is>
      </c>
      <c r="G133" t="n">
        <v>6.5</v>
      </c>
      <c r="H133" t="n">
        <v>2</v>
      </c>
      <c r="I133" t="n">
        <v>1</v>
      </c>
      <c r="J133" t="n">
        <v>1</v>
      </c>
      <c r="K133" t="n">
        <v>0</v>
      </c>
      <c r="L133" t="n">
        <v>0</v>
      </c>
      <c r="M133" t="n">
        <v>0</v>
      </c>
      <c r="N133" t="n">
        <v>0</v>
      </c>
      <c r="O133" t="n">
        <v>1</v>
      </c>
      <c r="P133" t="n">
        <v>0</v>
      </c>
      <c r="Q133" t="n">
        <v>2</v>
      </c>
      <c r="R133" s="2" t="inlineStr">
        <is>
          <t>Talltita
Ekoxe</t>
        </is>
      </c>
      <c r="S133">
        <f>HYPERLINK("https://klasma.github.io/Logging_0883/artfynd/A 52723-2024 artfynd.xlsx", "A 52723-2024")</f>
        <v/>
      </c>
      <c r="T133">
        <f>HYPERLINK("https://klasma.github.io/Logging_0883/kartor/A 52723-2024 karta.png", "A 52723-2024")</f>
        <v/>
      </c>
      <c r="V133">
        <f>HYPERLINK("https://klasma.github.io/Logging_0883/klagomål/A 52723-2024 FSC-klagomål.docx", "A 52723-2024")</f>
        <v/>
      </c>
      <c r="W133">
        <f>HYPERLINK("https://klasma.github.io/Logging_0883/klagomålsmail/A 52723-2024 FSC-klagomål mail.docx", "A 52723-2024")</f>
        <v/>
      </c>
      <c r="X133">
        <f>HYPERLINK("https://klasma.github.io/Logging_0883/tillsyn/A 52723-2024 tillsynsbegäran.docx", "A 52723-2024")</f>
        <v/>
      </c>
      <c r="Y133">
        <f>HYPERLINK("https://klasma.github.io/Logging_0883/tillsynsmail/A 52723-2024 tillsynsbegäran mail.docx", "A 52723-2024")</f>
        <v/>
      </c>
      <c r="Z133">
        <f>HYPERLINK("https://klasma.github.io/Logging_0883/fåglar/A 52723-2024 prioriterade fågelarter.docx", "A 52723-2024")</f>
        <v/>
      </c>
    </row>
    <row r="134" ht="15" customHeight="1">
      <c r="A134" t="inlineStr">
        <is>
          <t>A 26992-2024</t>
        </is>
      </c>
      <c r="B134" s="1" t="n">
        <v>45471</v>
      </c>
      <c r="C134" s="1" t="n">
        <v>45882</v>
      </c>
      <c r="D134" t="inlineStr">
        <is>
          <t>KALMAR LÄN</t>
        </is>
      </c>
      <c r="E134" t="inlineStr">
        <is>
          <t>VÄSTERVIK</t>
        </is>
      </c>
      <c r="F134" t="inlineStr">
        <is>
          <t>Holmen skog AB</t>
        </is>
      </c>
      <c r="G134" t="n">
        <v>4.6</v>
      </c>
      <c r="H134" t="n">
        <v>2</v>
      </c>
      <c r="I134" t="n">
        <v>0</v>
      </c>
      <c r="J134" t="n">
        <v>2</v>
      </c>
      <c r="K134" t="n">
        <v>0</v>
      </c>
      <c r="L134" t="n">
        <v>0</v>
      </c>
      <c r="M134" t="n">
        <v>0</v>
      </c>
      <c r="N134" t="n">
        <v>0</v>
      </c>
      <c r="O134" t="n">
        <v>2</v>
      </c>
      <c r="P134" t="n">
        <v>0</v>
      </c>
      <c r="Q134" t="n">
        <v>2</v>
      </c>
      <c r="R134" s="2" t="inlineStr">
        <is>
          <t>Mindre hackspett
Talltita</t>
        </is>
      </c>
      <c r="S134">
        <f>HYPERLINK("https://klasma.github.io/Logging_0883/artfynd/A 26992-2024 artfynd.xlsx", "A 26992-2024")</f>
        <v/>
      </c>
      <c r="T134">
        <f>HYPERLINK("https://klasma.github.io/Logging_0883/kartor/A 26992-2024 karta.png", "A 26992-2024")</f>
        <v/>
      </c>
      <c r="V134">
        <f>HYPERLINK("https://klasma.github.io/Logging_0883/klagomål/A 26992-2024 FSC-klagomål.docx", "A 26992-2024")</f>
        <v/>
      </c>
      <c r="W134">
        <f>HYPERLINK("https://klasma.github.io/Logging_0883/klagomålsmail/A 26992-2024 FSC-klagomål mail.docx", "A 26992-2024")</f>
        <v/>
      </c>
      <c r="X134">
        <f>HYPERLINK("https://klasma.github.io/Logging_0883/tillsyn/A 26992-2024 tillsynsbegäran.docx", "A 26992-2024")</f>
        <v/>
      </c>
      <c r="Y134">
        <f>HYPERLINK("https://klasma.github.io/Logging_0883/tillsynsmail/A 26992-2024 tillsynsbegäran mail.docx", "A 26992-2024")</f>
        <v/>
      </c>
      <c r="Z134">
        <f>HYPERLINK("https://klasma.github.io/Logging_0883/fåglar/A 26992-2024 prioriterade fågelarter.docx", "A 26992-2024")</f>
        <v/>
      </c>
    </row>
    <row r="135" ht="15" customHeight="1">
      <c r="A135" t="inlineStr">
        <is>
          <t>A 9040-2023</t>
        </is>
      </c>
      <c r="B135" s="1" t="n">
        <v>44979</v>
      </c>
      <c r="C135" s="1" t="n">
        <v>45882</v>
      </c>
      <c r="D135" t="inlineStr">
        <is>
          <t>KALMAR LÄN</t>
        </is>
      </c>
      <c r="E135" t="inlineStr">
        <is>
          <t>VÄSTERVIK</t>
        </is>
      </c>
      <c r="G135" t="n">
        <v>5.1</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9040-2023 artfynd.xlsx", "A 9040-2023")</f>
        <v/>
      </c>
      <c r="T135">
        <f>HYPERLINK("https://klasma.github.io/Logging_0883/kartor/A 9040-2023 karta.png", "A 9040-2023")</f>
        <v/>
      </c>
      <c r="U135">
        <f>HYPERLINK("https://klasma.github.io/Logging_0883/knärot/A 9040-2023 karta knärot.png", "A 9040-2023")</f>
        <v/>
      </c>
      <c r="V135">
        <f>HYPERLINK("https://klasma.github.io/Logging_0883/klagomål/A 9040-2023 FSC-klagomål.docx", "A 9040-2023")</f>
        <v/>
      </c>
      <c r="W135">
        <f>HYPERLINK("https://klasma.github.io/Logging_0883/klagomålsmail/A 9040-2023 FSC-klagomål mail.docx", "A 9040-2023")</f>
        <v/>
      </c>
      <c r="X135">
        <f>HYPERLINK("https://klasma.github.io/Logging_0883/tillsyn/A 9040-2023 tillsynsbegäran.docx", "A 9040-2023")</f>
        <v/>
      </c>
      <c r="Y135">
        <f>HYPERLINK("https://klasma.github.io/Logging_0883/tillsynsmail/A 9040-2023 tillsynsbegäran mail.docx", "A 9040-2023")</f>
        <v/>
      </c>
    </row>
    <row r="136" ht="15" customHeight="1">
      <c r="A136" t="inlineStr">
        <is>
          <t>A 14090-2025</t>
        </is>
      </c>
      <c r="B136" s="1" t="n">
        <v>45740.44487268518</v>
      </c>
      <c r="C136" s="1" t="n">
        <v>45882</v>
      </c>
      <c r="D136" t="inlineStr">
        <is>
          <t>KALMAR LÄN</t>
        </is>
      </c>
      <c r="E136" t="inlineStr">
        <is>
          <t>VÄSTERVIK</t>
        </is>
      </c>
      <c r="F136" t="inlineStr">
        <is>
          <t>Sveaskog</t>
        </is>
      </c>
      <c r="G136" t="n">
        <v>1</v>
      </c>
      <c r="H136" t="n">
        <v>2</v>
      </c>
      <c r="I136" t="n">
        <v>0</v>
      </c>
      <c r="J136" t="n">
        <v>1</v>
      </c>
      <c r="K136" t="n">
        <v>0</v>
      </c>
      <c r="L136" t="n">
        <v>0</v>
      </c>
      <c r="M136" t="n">
        <v>0</v>
      </c>
      <c r="N136" t="n">
        <v>0</v>
      </c>
      <c r="O136" t="n">
        <v>1</v>
      </c>
      <c r="P136" t="n">
        <v>0</v>
      </c>
      <c r="Q136" t="n">
        <v>2</v>
      </c>
      <c r="R136" s="2" t="inlineStr">
        <is>
          <t>Grönsångare
Åkergroda</t>
        </is>
      </c>
      <c r="S136">
        <f>HYPERLINK("https://klasma.github.io/Logging_0883/artfynd/A 14090-2025 artfynd.xlsx", "A 14090-2025")</f>
        <v/>
      </c>
      <c r="T136">
        <f>HYPERLINK("https://klasma.github.io/Logging_0883/kartor/A 14090-2025 karta.png", "A 14090-2025")</f>
        <v/>
      </c>
      <c r="V136">
        <f>HYPERLINK("https://klasma.github.io/Logging_0883/klagomål/A 14090-2025 FSC-klagomål.docx", "A 14090-2025")</f>
        <v/>
      </c>
      <c r="W136">
        <f>HYPERLINK("https://klasma.github.io/Logging_0883/klagomålsmail/A 14090-2025 FSC-klagomål mail.docx", "A 14090-2025")</f>
        <v/>
      </c>
      <c r="X136">
        <f>HYPERLINK("https://klasma.github.io/Logging_0883/tillsyn/A 14090-2025 tillsynsbegäran.docx", "A 14090-2025")</f>
        <v/>
      </c>
      <c r="Y136">
        <f>HYPERLINK("https://klasma.github.io/Logging_0883/tillsynsmail/A 14090-2025 tillsynsbegäran mail.docx", "A 14090-2025")</f>
        <v/>
      </c>
      <c r="Z136">
        <f>HYPERLINK("https://klasma.github.io/Logging_0883/fåglar/A 14090-2025 prioriterade fågelarter.docx", "A 14090-2025")</f>
        <v/>
      </c>
    </row>
    <row r="137" ht="15" customHeight="1">
      <c r="A137" t="inlineStr">
        <is>
          <t>A 11849-2024</t>
        </is>
      </c>
      <c r="B137" s="1" t="n">
        <v>45376.41797453703</v>
      </c>
      <c r="C137" s="1" t="n">
        <v>45882</v>
      </c>
      <c r="D137" t="inlineStr">
        <is>
          <t>KALMAR LÄN</t>
        </is>
      </c>
      <c r="E137" t="inlineStr">
        <is>
          <t>VÄSTERVIK</t>
        </is>
      </c>
      <c r="F137" t="inlineStr">
        <is>
          <t>Sveaskog</t>
        </is>
      </c>
      <c r="G137" t="n">
        <v>5.3</v>
      </c>
      <c r="H137" t="n">
        <v>2</v>
      </c>
      <c r="I137" t="n">
        <v>0</v>
      </c>
      <c r="J137" t="n">
        <v>0</v>
      </c>
      <c r="K137" t="n">
        <v>0</v>
      </c>
      <c r="L137" t="n">
        <v>0</v>
      </c>
      <c r="M137" t="n">
        <v>0</v>
      </c>
      <c r="N137" t="n">
        <v>0</v>
      </c>
      <c r="O137" t="n">
        <v>0</v>
      </c>
      <c r="P137" t="n">
        <v>0</v>
      </c>
      <c r="Q137" t="n">
        <v>2</v>
      </c>
      <c r="R137" s="2" t="inlineStr">
        <is>
          <t>Mattlummer
Revlummer</t>
        </is>
      </c>
      <c r="S137">
        <f>HYPERLINK("https://klasma.github.io/Logging_0883/artfynd/A 11849-2024 artfynd.xlsx", "A 11849-2024")</f>
        <v/>
      </c>
      <c r="T137">
        <f>HYPERLINK("https://klasma.github.io/Logging_0883/kartor/A 11849-2024 karta.png", "A 11849-2024")</f>
        <v/>
      </c>
      <c r="V137">
        <f>HYPERLINK("https://klasma.github.io/Logging_0883/klagomål/A 11849-2024 FSC-klagomål.docx", "A 11849-2024")</f>
        <v/>
      </c>
      <c r="W137">
        <f>HYPERLINK("https://klasma.github.io/Logging_0883/klagomålsmail/A 11849-2024 FSC-klagomål mail.docx", "A 11849-2024")</f>
        <v/>
      </c>
      <c r="X137">
        <f>HYPERLINK("https://klasma.github.io/Logging_0883/tillsyn/A 11849-2024 tillsynsbegäran.docx", "A 11849-2024")</f>
        <v/>
      </c>
      <c r="Y137">
        <f>HYPERLINK("https://klasma.github.io/Logging_0883/tillsynsmail/A 11849-2024 tillsynsbegäran mail.docx", "A 11849-2024")</f>
        <v/>
      </c>
    </row>
    <row r="138" ht="15" customHeight="1">
      <c r="A138" t="inlineStr">
        <is>
          <t>A 33184-2025</t>
        </is>
      </c>
      <c r="B138" s="1" t="n">
        <v>45840.59291666667</v>
      </c>
      <c r="C138" s="1" t="n">
        <v>45882</v>
      </c>
      <c r="D138" t="inlineStr">
        <is>
          <t>KALMAR LÄN</t>
        </is>
      </c>
      <c r="E138" t="inlineStr">
        <is>
          <t>VÄSTERVIK</t>
        </is>
      </c>
      <c r="G138" t="n">
        <v>3.5</v>
      </c>
      <c r="H138" t="n">
        <v>2</v>
      </c>
      <c r="I138" t="n">
        <v>0</v>
      </c>
      <c r="J138" t="n">
        <v>2</v>
      </c>
      <c r="K138" t="n">
        <v>0</v>
      </c>
      <c r="L138" t="n">
        <v>0</v>
      </c>
      <c r="M138" t="n">
        <v>0</v>
      </c>
      <c r="N138" t="n">
        <v>0</v>
      </c>
      <c r="O138" t="n">
        <v>2</v>
      </c>
      <c r="P138" t="n">
        <v>0</v>
      </c>
      <c r="Q138" t="n">
        <v>2</v>
      </c>
      <c r="R138" s="2" t="inlineStr">
        <is>
          <t>Spillkråka
Talltita</t>
        </is>
      </c>
      <c r="S138">
        <f>HYPERLINK("https://klasma.github.io/Logging_0883/artfynd/A 33184-2025 artfynd.xlsx", "A 33184-2025")</f>
        <v/>
      </c>
      <c r="T138">
        <f>HYPERLINK("https://klasma.github.io/Logging_0883/kartor/A 33184-2025 karta.png", "A 33184-2025")</f>
        <v/>
      </c>
      <c r="V138">
        <f>HYPERLINK("https://klasma.github.io/Logging_0883/klagomål/A 33184-2025 FSC-klagomål.docx", "A 33184-2025")</f>
        <v/>
      </c>
      <c r="W138">
        <f>HYPERLINK("https://klasma.github.io/Logging_0883/klagomålsmail/A 33184-2025 FSC-klagomål mail.docx", "A 33184-2025")</f>
        <v/>
      </c>
      <c r="X138">
        <f>HYPERLINK("https://klasma.github.io/Logging_0883/tillsyn/A 33184-2025 tillsynsbegäran.docx", "A 33184-2025")</f>
        <v/>
      </c>
      <c r="Y138">
        <f>HYPERLINK("https://klasma.github.io/Logging_0883/tillsynsmail/A 33184-2025 tillsynsbegäran mail.docx", "A 33184-2025")</f>
        <v/>
      </c>
      <c r="Z138">
        <f>HYPERLINK("https://klasma.github.io/Logging_0883/fåglar/A 33184-2025 prioriterade fågelarter.docx", "A 33184-2025")</f>
        <v/>
      </c>
    </row>
    <row r="139" ht="15" customHeight="1">
      <c r="A139" t="inlineStr">
        <is>
          <t>A 25439-2021</t>
        </is>
      </c>
      <c r="B139" s="1" t="n">
        <v>44342</v>
      </c>
      <c r="C139" s="1" t="n">
        <v>45882</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2950-2025</t>
        </is>
      </c>
      <c r="B140" s="1" t="n">
        <v>45678</v>
      </c>
      <c r="C140" s="1" t="n">
        <v>45882</v>
      </c>
      <c r="D140" t="inlineStr">
        <is>
          <t>KALMAR LÄN</t>
        </is>
      </c>
      <c r="E140" t="inlineStr">
        <is>
          <t>VÄSTERVIK</t>
        </is>
      </c>
      <c r="G140" t="n">
        <v>6.1</v>
      </c>
      <c r="H140" t="n">
        <v>1</v>
      </c>
      <c r="I140" t="n">
        <v>1</v>
      </c>
      <c r="J140" t="n">
        <v>0</v>
      </c>
      <c r="K140" t="n">
        <v>1</v>
      </c>
      <c r="L140" t="n">
        <v>0</v>
      </c>
      <c r="M140" t="n">
        <v>0</v>
      </c>
      <c r="N140" t="n">
        <v>0</v>
      </c>
      <c r="O140" t="n">
        <v>1</v>
      </c>
      <c r="P140" t="n">
        <v>1</v>
      </c>
      <c r="Q140" t="n">
        <v>2</v>
      </c>
      <c r="R140" s="2" t="inlineStr">
        <is>
          <t>Knärot
Grovticka</t>
        </is>
      </c>
      <c r="S140">
        <f>HYPERLINK("https://klasma.github.io/Logging_0883/artfynd/A 2950-2025 artfynd.xlsx", "A 2950-2025")</f>
        <v/>
      </c>
      <c r="T140">
        <f>HYPERLINK("https://klasma.github.io/Logging_0883/kartor/A 2950-2025 karta.png", "A 2950-2025")</f>
        <v/>
      </c>
      <c r="U140">
        <f>HYPERLINK("https://klasma.github.io/Logging_0883/knärot/A 2950-2025 karta knärot.png", "A 2950-2025")</f>
        <v/>
      </c>
      <c r="V140">
        <f>HYPERLINK("https://klasma.github.io/Logging_0883/klagomål/A 2950-2025 FSC-klagomål.docx", "A 2950-2025")</f>
        <v/>
      </c>
      <c r="W140">
        <f>HYPERLINK("https://klasma.github.io/Logging_0883/klagomålsmail/A 2950-2025 FSC-klagomål mail.docx", "A 2950-2025")</f>
        <v/>
      </c>
      <c r="X140">
        <f>HYPERLINK("https://klasma.github.io/Logging_0883/tillsyn/A 2950-2025 tillsynsbegäran.docx", "A 2950-2025")</f>
        <v/>
      </c>
      <c r="Y140">
        <f>HYPERLINK("https://klasma.github.io/Logging_0883/tillsynsmail/A 2950-2025 tillsynsbegäran mail.docx", "A 2950-2025")</f>
        <v/>
      </c>
    </row>
    <row r="141" ht="15" customHeight="1">
      <c r="A141" t="inlineStr">
        <is>
          <t>A 3264-2024</t>
        </is>
      </c>
      <c r="B141" s="1" t="n">
        <v>45317</v>
      </c>
      <c r="C141" s="1" t="n">
        <v>45882</v>
      </c>
      <c r="D141" t="inlineStr">
        <is>
          <t>KALMAR LÄN</t>
        </is>
      </c>
      <c r="E141" t="inlineStr">
        <is>
          <t>VÄSTERVIK</t>
        </is>
      </c>
      <c r="G141" t="n">
        <v>6.5</v>
      </c>
      <c r="H141" t="n">
        <v>1</v>
      </c>
      <c r="I141" t="n">
        <v>1</v>
      </c>
      <c r="J141" t="n">
        <v>1</v>
      </c>
      <c r="K141" t="n">
        <v>0</v>
      </c>
      <c r="L141" t="n">
        <v>0</v>
      </c>
      <c r="M141" t="n">
        <v>0</v>
      </c>
      <c r="N141" t="n">
        <v>0</v>
      </c>
      <c r="O141" t="n">
        <v>1</v>
      </c>
      <c r="P141" t="n">
        <v>0</v>
      </c>
      <c r="Q141" t="n">
        <v>2</v>
      </c>
      <c r="R141" s="2" t="inlineStr">
        <is>
          <t>Spillkråka
Blåmossa</t>
        </is>
      </c>
      <c r="S141">
        <f>HYPERLINK("https://klasma.github.io/Logging_0883/artfynd/A 3264-2024 artfynd.xlsx", "A 3264-2024")</f>
        <v/>
      </c>
      <c r="T141">
        <f>HYPERLINK("https://klasma.github.io/Logging_0883/kartor/A 3264-2024 karta.png", "A 3264-2024")</f>
        <v/>
      </c>
      <c r="V141">
        <f>HYPERLINK("https://klasma.github.io/Logging_0883/klagomål/A 3264-2024 FSC-klagomål.docx", "A 3264-2024")</f>
        <v/>
      </c>
      <c r="W141">
        <f>HYPERLINK("https://klasma.github.io/Logging_0883/klagomålsmail/A 3264-2024 FSC-klagomål mail.docx", "A 3264-2024")</f>
        <v/>
      </c>
      <c r="X141">
        <f>HYPERLINK("https://klasma.github.io/Logging_0883/tillsyn/A 3264-2024 tillsynsbegäran.docx", "A 3264-2024")</f>
        <v/>
      </c>
      <c r="Y141">
        <f>HYPERLINK("https://klasma.github.io/Logging_0883/tillsynsmail/A 3264-2024 tillsynsbegäran mail.docx", "A 3264-2024")</f>
        <v/>
      </c>
      <c r="Z141">
        <f>HYPERLINK("https://klasma.github.io/Logging_0883/fåglar/A 3264-2024 prioriterade fågelarter.docx", "A 3264-2024")</f>
        <v/>
      </c>
    </row>
    <row r="142" ht="15" customHeight="1">
      <c r="A142" t="inlineStr">
        <is>
          <t>A 33687-2025</t>
        </is>
      </c>
      <c r="B142" s="1" t="n">
        <v>45841.69072916666</v>
      </c>
      <c r="C142" s="1" t="n">
        <v>45882</v>
      </c>
      <c r="D142" t="inlineStr">
        <is>
          <t>KALMAR LÄN</t>
        </is>
      </c>
      <c r="E142" t="inlineStr">
        <is>
          <t>VÄSTERVIK</t>
        </is>
      </c>
      <c r="G142" t="n">
        <v>1.7</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33687-2025 artfynd.xlsx", "A 33687-2025")</f>
        <v/>
      </c>
      <c r="T142">
        <f>HYPERLINK("https://klasma.github.io/Logging_0883/kartor/A 33687-2025 karta.png", "A 33687-2025")</f>
        <v/>
      </c>
      <c r="U142">
        <f>HYPERLINK("https://klasma.github.io/Logging_0883/knärot/A 33687-2025 karta knärot.png", "A 33687-2025")</f>
        <v/>
      </c>
      <c r="V142">
        <f>HYPERLINK("https://klasma.github.io/Logging_0883/klagomål/A 33687-2025 FSC-klagomål.docx", "A 33687-2025")</f>
        <v/>
      </c>
      <c r="W142">
        <f>HYPERLINK("https://klasma.github.io/Logging_0883/klagomålsmail/A 33687-2025 FSC-klagomål mail.docx", "A 33687-2025")</f>
        <v/>
      </c>
      <c r="X142">
        <f>HYPERLINK("https://klasma.github.io/Logging_0883/tillsyn/A 33687-2025 tillsynsbegäran.docx", "A 33687-2025")</f>
        <v/>
      </c>
      <c r="Y142">
        <f>HYPERLINK("https://klasma.github.io/Logging_0883/tillsynsmail/A 33687-2025 tillsynsbegäran mail.docx", "A 33687-2025")</f>
        <v/>
      </c>
      <c r="Z142">
        <f>HYPERLINK("https://klasma.github.io/Logging_0883/fåglar/A 33687-2025 prioriterade fågelarter.docx", "A 33687-2025")</f>
        <v/>
      </c>
    </row>
    <row r="143" ht="15" customHeight="1">
      <c r="A143" t="inlineStr">
        <is>
          <t>A 21081-2025</t>
        </is>
      </c>
      <c r="B143" s="1" t="n">
        <v>45777.60479166666</v>
      </c>
      <c r="C143" s="1" t="n">
        <v>45882</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10784-2025</t>
        </is>
      </c>
      <c r="B144" s="1" t="n">
        <v>45722</v>
      </c>
      <c r="C144" s="1" t="n">
        <v>45882</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1767-2025</t>
        </is>
      </c>
      <c r="B145" s="1" t="n">
        <v>45671</v>
      </c>
      <c r="C145" s="1" t="n">
        <v>45882</v>
      </c>
      <c r="D145" t="inlineStr">
        <is>
          <t>KALMAR LÄN</t>
        </is>
      </c>
      <c r="E145" t="inlineStr">
        <is>
          <t>VÄSTERVIK</t>
        </is>
      </c>
      <c r="G145" t="n">
        <v>1.4</v>
      </c>
      <c r="H145" t="n">
        <v>1</v>
      </c>
      <c r="I145" t="n">
        <v>0</v>
      </c>
      <c r="J145" t="n">
        <v>2</v>
      </c>
      <c r="K145" t="n">
        <v>0</v>
      </c>
      <c r="L145" t="n">
        <v>0</v>
      </c>
      <c r="M145" t="n">
        <v>0</v>
      </c>
      <c r="N145" t="n">
        <v>0</v>
      </c>
      <c r="O145" t="n">
        <v>2</v>
      </c>
      <c r="P145" t="n">
        <v>0</v>
      </c>
      <c r="Q145" t="n">
        <v>2</v>
      </c>
      <c r="R145" s="2" t="inlineStr">
        <is>
          <t>Garnlav
Spillkråka</t>
        </is>
      </c>
      <c r="S145">
        <f>HYPERLINK("https://klasma.github.io/Logging_0883/artfynd/A 1767-2025 artfynd.xlsx", "A 1767-2025")</f>
        <v/>
      </c>
      <c r="T145">
        <f>HYPERLINK("https://klasma.github.io/Logging_0883/kartor/A 1767-2025 karta.png", "A 1767-2025")</f>
        <v/>
      </c>
      <c r="U145">
        <f>HYPERLINK("https://klasma.github.io/Logging_0883/knärot/A 1767-2025 karta knärot.png", "A 1767-2025")</f>
        <v/>
      </c>
      <c r="V145">
        <f>HYPERLINK("https://klasma.github.io/Logging_0883/klagomål/A 1767-2025 FSC-klagomål.docx", "A 1767-2025")</f>
        <v/>
      </c>
      <c r="W145">
        <f>HYPERLINK("https://klasma.github.io/Logging_0883/klagomålsmail/A 1767-2025 FSC-klagomål mail.docx", "A 1767-2025")</f>
        <v/>
      </c>
      <c r="X145">
        <f>HYPERLINK("https://klasma.github.io/Logging_0883/tillsyn/A 1767-2025 tillsynsbegäran.docx", "A 1767-2025")</f>
        <v/>
      </c>
      <c r="Y145">
        <f>HYPERLINK("https://klasma.github.io/Logging_0883/tillsynsmail/A 1767-2025 tillsynsbegäran mail.docx", "A 1767-2025")</f>
        <v/>
      </c>
      <c r="Z145">
        <f>HYPERLINK("https://klasma.github.io/Logging_0883/fåglar/A 1767-2025 prioriterade fågelarter.docx", "A 1767-2025")</f>
        <v/>
      </c>
    </row>
    <row r="146" ht="15" customHeight="1">
      <c r="A146" t="inlineStr">
        <is>
          <t>A 17438-2024</t>
        </is>
      </c>
      <c r="B146" s="1" t="n">
        <v>45415</v>
      </c>
      <c r="C146" s="1" t="n">
        <v>45882</v>
      </c>
      <c r="D146" t="inlineStr">
        <is>
          <t>KALMAR LÄN</t>
        </is>
      </c>
      <c r="E146" t="inlineStr">
        <is>
          <t>VÄSTERVIK</t>
        </is>
      </c>
      <c r="G146" t="n">
        <v>3.8</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17438-2024 artfynd.xlsx", "A 17438-2024")</f>
        <v/>
      </c>
      <c r="T146">
        <f>HYPERLINK("https://klasma.github.io/Logging_0883/kartor/A 17438-2024 karta.png", "A 17438-2024")</f>
        <v/>
      </c>
      <c r="U146">
        <f>HYPERLINK("https://klasma.github.io/Logging_0883/knärot/A 17438-2024 karta knärot.png", "A 17438-2024")</f>
        <v/>
      </c>
      <c r="V146">
        <f>HYPERLINK("https://klasma.github.io/Logging_0883/klagomål/A 17438-2024 FSC-klagomål.docx", "A 17438-2024")</f>
        <v/>
      </c>
      <c r="W146">
        <f>HYPERLINK("https://klasma.github.io/Logging_0883/klagomålsmail/A 17438-2024 FSC-klagomål mail.docx", "A 17438-2024")</f>
        <v/>
      </c>
      <c r="X146">
        <f>HYPERLINK("https://klasma.github.io/Logging_0883/tillsyn/A 17438-2024 tillsynsbegäran.docx", "A 17438-2024")</f>
        <v/>
      </c>
      <c r="Y146">
        <f>HYPERLINK("https://klasma.github.io/Logging_0883/tillsynsmail/A 17438-2024 tillsynsbegäran mail.docx", "A 17438-2024")</f>
        <v/>
      </c>
      <c r="Z146">
        <f>HYPERLINK("https://klasma.github.io/Logging_0883/fåglar/A 17438-2024 prioriterade fågelarter.docx", "A 17438-2024")</f>
        <v/>
      </c>
    </row>
    <row r="147" ht="15" customHeight="1">
      <c r="A147" t="inlineStr">
        <is>
          <t>A 46552-2022</t>
        </is>
      </c>
      <c r="B147" s="1" t="n">
        <v>44848</v>
      </c>
      <c r="C147" s="1" t="n">
        <v>45882</v>
      </c>
      <c r="D147" t="inlineStr">
        <is>
          <t>KALMAR LÄN</t>
        </is>
      </c>
      <c r="E147" t="inlineStr">
        <is>
          <t>VÄSTERVIK</t>
        </is>
      </c>
      <c r="F147" t="inlineStr">
        <is>
          <t>Sveaskog</t>
        </is>
      </c>
      <c r="G147" t="n">
        <v>1.7</v>
      </c>
      <c r="H147" t="n">
        <v>0</v>
      </c>
      <c r="I147" t="n">
        <v>1</v>
      </c>
      <c r="J147" t="n">
        <v>1</v>
      </c>
      <c r="K147" t="n">
        <v>0</v>
      </c>
      <c r="L147" t="n">
        <v>0</v>
      </c>
      <c r="M147" t="n">
        <v>0</v>
      </c>
      <c r="N147" t="n">
        <v>0</v>
      </c>
      <c r="O147" t="n">
        <v>1</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37106-2024</t>
        </is>
      </c>
      <c r="B148" s="1" t="n">
        <v>45539.51238425926</v>
      </c>
      <c r="C148" s="1" t="n">
        <v>45882</v>
      </c>
      <c r="D148" t="inlineStr">
        <is>
          <t>KALMAR LÄN</t>
        </is>
      </c>
      <c r="E148" t="inlineStr">
        <is>
          <t>VÄSTERVIK</t>
        </is>
      </c>
      <c r="F148" t="inlineStr">
        <is>
          <t>Holmen skog AB</t>
        </is>
      </c>
      <c r="G148" t="n">
        <v>8.5</v>
      </c>
      <c r="H148" t="n">
        <v>2</v>
      </c>
      <c r="I148" t="n">
        <v>0</v>
      </c>
      <c r="J148" t="n">
        <v>1</v>
      </c>
      <c r="K148" t="n">
        <v>1</v>
      </c>
      <c r="L148" t="n">
        <v>0</v>
      </c>
      <c r="M148" t="n">
        <v>0</v>
      </c>
      <c r="N148" t="n">
        <v>0</v>
      </c>
      <c r="O148" t="n">
        <v>2</v>
      </c>
      <c r="P148" t="n">
        <v>1</v>
      </c>
      <c r="Q148" t="n">
        <v>2</v>
      </c>
      <c r="R148" s="2" t="inlineStr">
        <is>
          <t>Knärot
Mindre hackspett</t>
        </is>
      </c>
      <c r="S148">
        <f>HYPERLINK("https://klasma.github.io/Logging_0883/artfynd/A 37106-2024 artfynd.xlsx", "A 37106-2024")</f>
        <v/>
      </c>
      <c r="T148">
        <f>HYPERLINK("https://klasma.github.io/Logging_0883/kartor/A 37106-2024 karta.png", "A 37106-2024")</f>
        <v/>
      </c>
      <c r="U148">
        <f>HYPERLINK("https://klasma.github.io/Logging_0883/knärot/A 37106-2024 karta knärot.png", "A 37106-2024")</f>
        <v/>
      </c>
      <c r="V148">
        <f>HYPERLINK("https://klasma.github.io/Logging_0883/klagomål/A 37106-2024 FSC-klagomål.docx", "A 37106-2024")</f>
        <v/>
      </c>
      <c r="W148">
        <f>HYPERLINK("https://klasma.github.io/Logging_0883/klagomålsmail/A 37106-2024 FSC-klagomål mail.docx", "A 37106-2024")</f>
        <v/>
      </c>
      <c r="X148">
        <f>HYPERLINK("https://klasma.github.io/Logging_0883/tillsyn/A 37106-2024 tillsynsbegäran.docx", "A 37106-2024")</f>
        <v/>
      </c>
      <c r="Y148">
        <f>HYPERLINK("https://klasma.github.io/Logging_0883/tillsynsmail/A 37106-2024 tillsynsbegäran mail.docx", "A 37106-2024")</f>
        <v/>
      </c>
      <c r="Z148">
        <f>HYPERLINK("https://klasma.github.io/Logging_0883/fåglar/A 37106-2024 prioriterade fågelarter.docx", "A 37106-2024")</f>
        <v/>
      </c>
    </row>
    <row r="149" ht="15" customHeight="1">
      <c r="A149" t="inlineStr">
        <is>
          <t>A 51833-2021</t>
        </is>
      </c>
      <c r="B149" s="1" t="n">
        <v>44462</v>
      </c>
      <c r="C149" s="1" t="n">
        <v>45882</v>
      </c>
      <c r="D149" t="inlineStr">
        <is>
          <t>KALMAR LÄN</t>
        </is>
      </c>
      <c r="E149" t="inlineStr">
        <is>
          <t>VÄSTERVIK</t>
        </is>
      </c>
      <c r="G149" t="n">
        <v>4</v>
      </c>
      <c r="H149" t="n">
        <v>1</v>
      </c>
      <c r="I149" t="n">
        <v>0</v>
      </c>
      <c r="J149" t="n">
        <v>1</v>
      </c>
      <c r="K149" t="n">
        <v>0</v>
      </c>
      <c r="L149" t="n">
        <v>0</v>
      </c>
      <c r="M149" t="n">
        <v>0</v>
      </c>
      <c r="N149" t="n">
        <v>0</v>
      </c>
      <c r="O149" t="n">
        <v>1</v>
      </c>
      <c r="P149" t="n">
        <v>0</v>
      </c>
      <c r="Q149" t="n">
        <v>2</v>
      </c>
      <c r="R149" s="2" t="inlineStr">
        <is>
          <t>Motaggsvamp
Fläcknycklar</t>
        </is>
      </c>
      <c r="S149">
        <f>HYPERLINK("https://klasma.github.io/Logging_0883/artfynd/A 51833-2021 artfynd.xlsx", "A 51833-2021")</f>
        <v/>
      </c>
      <c r="T149">
        <f>HYPERLINK("https://klasma.github.io/Logging_0883/kartor/A 51833-2021 karta.png", "A 51833-2021")</f>
        <v/>
      </c>
      <c r="V149">
        <f>HYPERLINK("https://klasma.github.io/Logging_0883/klagomål/A 51833-2021 FSC-klagomål.docx", "A 51833-2021")</f>
        <v/>
      </c>
      <c r="W149">
        <f>HYPERLINK("https://klasma.github.io/Logging_0883/klagomålsmail/A 51833-2021 FSC-klagomål mail.docx", "A 51833-2021")</f>
        <v/>
      </c>
      <c r="X149">
        <f>HYPERLINK("https://klasma.github.io/Logging_0883/tillsyn/A 51833-2021 tillsynsbegäran.docx", "A 51833-2021")</f>
        <v/>
      </c>
      <c r="Y149">
        <f>HYPERLINK("https://klasma.github.io/Logging_0883/tillsynsmail/A 51833-2021 tillsynsbegäran mail.docx", "A 51833-2021")</f>
        <v/>
      </c>
    </row>
    <row r="150" ht="15" customHeight="1">
      <c r="A150" t="inlineStr">
        <is>
          <t>A 40331-2024</t>
        </is>
      </c>
      <c r="B150" s="1" t="n">
        <v>45555.31039351852</v>
      </c>
      <c r="C150" s="1" t="n">
        <v>45882</v>
      </c>
      <c r="D150" t="inlineStr">
        <is>
          <t>KALMAR LÄN</t>
        </is>
      </c>
      <c r="E150" t="inlineStr">
        <is>
          <t>VÄSTERVIK</t>
        </is>
      </c>
      <c r="G150" t="n">
        <v>1.5</v>
      </c>
      <c r="H150" t="n">
        <v>1</v>
      </c>
      <c r="I150" t="n">
        <v>1</v>
      </c>
      <c r="J150" t="n">
        <v>0</v>
      </c>
      <c r="K150" t="n">
        <v>0</v>
      </c>
      <c r="L150" t="n">
        <v>0</v>
      </c>
      <c r="M150" t="n">
        <v>0</v>
      </c>
      <c r="N150" t="n">
        <v>0</v>
      </c>
      <c r="O150" t="n">
        <v>0</v>
      </c>
      <c r="P150" t="n">
        <v>0</v>
      </c>
      <c r="Q150" t="n">
        <v>2</v>
      </c>
      <c r="R150" s="2" t="inlineStr">
        <is>
          <t>Murgröna
Blåsippa</t>
        </is>
      </c>
      <c r="S150">
        <f>HYPERLINK("https://klasma.github.io/Logging_0883/artfynd/A 40331-2024 artfynd.xlsx", "A 40331-2024")</f>
        <v/>
      </c>
      <c r="T150">
        <f>HYPERLINK("https://klasma.github.io/Logging_0883/kartor/A 40331-2024 karta.png", "A 40331-2024")</f>
        <v/>
      </c>
      <c r="V150">
        <f>HYPERLINK("https://klasma.github.io/Logging_0883/klagomål/A 40331-2024 FSC-klagomål.docx", "A 40331-2024")</f>
        <v/>
      </c>
      <c r="W150">
        <f>HYPERLINK("https://klasma.github.io/Logging_0883/klagomålsmail/A 40331-2024 FSC-klagomål mail.docx", "A 40331-2024")</f>
        <v/>
      </c>
      <c r="X150">
        <f>HYPERLINK("https://klasma.github.io/Logging_0883/tillsyn/A 40331-2024 tillsynsbegäran.docx", "A 40331-2024")</f>
        <v/>
      </c>
      <c r="Y150">
        <f>HYPERLINK("https://klasma.github.io/Logging_0883/tillsynsmail/A 40331-2024 tillsynsbegäran mail.docx", "A 40331-2024")</f>
        <v/>
      </c>
    </row>
    <row r="151" ht="15" customHeight="1">
      <c r="A151" t="inlineStr">
        <is>
          <t>A 958-2025</t>
        </is>
      </c>
      <c r="B151" s="1" t="n">
        <v>45666</v>
      </c>
      <c r="C151" s="1" t="n">
        <v>45882</v>
      </c>
      <c r="D151" t="inlineStr">
        <is>
          <t>KALMAR LÄN</t>
        </is>
      </c>
      <c r="E151" t="inlineStr">
        <is>
          <t>VÄSTERVIK</t>
        </is>
      </c>
      <c r="G151" t="n">
        <v>2.8</v>
      </c>
      <c r="H151" t="n">
        <v>1</v>
      </c>
      <c r="I151" t="n">
        <v>0</v>
      </c>
      <c r="J151" t="n">
        <v>2</v>
      </c>
      <c r="K151" t="n">
        <v>0</v>
      </c>
      <c r="L151" t="n">
        <v>0</v>
      </c>
      <c r="M151" t="n">
        <v>0</v>
      </c>
      <c r="N151" t="n">
        <v>0</v>
      </c>
      <c r="O151" t="n">
        <v>2</v>
      </c>
      <c r="P151" t="n">
        <v>0</v>
      </c>
      <c r="Q151" t="n">
        <v>2</v>
      </c>
      <c r="R151" s="2" t="inlineStr">
        <is>
          <t>Orange taggsvamp
Spillkråka</t>
        </is>
      </c>
      <c r="S151">
        <f>HYPERLINK("https://klasma.github.io/Logging_0883/artfynd/A 958-2025 artfynd.xlsx", "A 958-2025")</f>
        <v/>
      </c>
      <c r="T151">
        <f>HYPERLINK("https://klasma.github.io/Logging_0883/kartor/A 958-2025 karta.png", "A 958-2025")</f>
        <v/>
      </c>
      <c r="V151">
        <f>HYPERLINK("https://klasma.github.io/Logging_0883/klagomål/A 958-2025 FSC-klagomål.docx", "A 958-2025")</f>
        <v/>
      </c>
      <c r="W151">
        <f>HYPERLINK("https://klasma.github.io/Logging_0883/klagomålsmail/A 958-2025 FSC-klagomål mail.docx", "A 958-2025")</f>
        <v/>
      </c>
      <c r="X151">
        <f>HYPERLINK("https://klasma.github.io/Logging_0883/tillsyn/A 958-2025 tillsynsbegäran.docx", "A 958-2025")</f>
        <v/>
      </c>
      <c r="Y151">
        <f>HYPERLINK("https://klasma.github.io/Logging_0883/tillsynsmail/A 958-2025 tillsynsbegäran mail.docx", "A 958-2025")</f>
        <v/>
      </c>
      <c r="Z151">
        <f>HYPERLINK("https://klasma.github.io/Logging_0883/fåglar/A 958-2025 prioriterade fågelarter.docx", "A 958-2025")</f>
        <v/>
      </c>
    </row>
    <row r="152" ht="15" customHeight="1">
      <c r="A152" t="inlineStr">
        <is>
          <t>A 61804-2023</t>
        </is>
      </c>
      <c r="B152" s="1" t="n">
        <v>45266</v>
      </c>
      <c r="C152" s="1" t="n">
        <v>45882</v>
      </c>
      <c r="D152" t="inlineStr">
        <is>
          <t>KALMAR LÄN</t>
        </is>
      </c>
      <c r="E152" t="inlineStr">
        <is>
          <t>VÄSTERVIK</t>
        </is>
      </c>
      <c r="G152" t="n">
        <v>2.3</v>
      </c>
      <c r="H152" t="n">
        <v>0</v>
      </c>
      <c r="I152" t="n">
        <v>0</v>
      </c>
      <c r="J152" t="n">
        <v>2</v>
      </c>
      <c r="K152" t="n">
        <v>0</v>
      </c>
      <c r="L152" t="n">
        <v>0</v>
      </c>
      <c r="M152" t="n">
        <v>0</v>
      </c>
      <c r="N152" t="n">
        <v>0</v>
      </c>
      <c r="O152" t="n">
        <v>2</v>
      </c>
      <c r="P152" t="n">
        <v>0</v>
      </c>
      <c r="Q152" t="n">
        <v>2</v>
      </c>
      <c r="R152" s="2" t="inlineStr">
        <is>
          <t>Bredbrämad bastardsvärmare
Smalsprötad bastardsvärmare</t>
        </is>
      </c>
      <c r="S152">
        <f>HYPERLINK("https://klasma.github.io/Logging_0883/artfynd/A 61804-2023 artfynd.xlsx", "A 61804-2023")</f>
        <v/>
      </c>
      <c r="T152">
        <f>HYPERLINK("https://klasma.github.io/Logging_0883/kartor/A 61804-2023 karta.png", "A 61804-2023")</f>
        <v/>
      </c>
      <c r="V152">
        <f>HYPERLINK("https://klasma.github.io/Logging_0883/klagomål/A 61804-2023 FSC-klagomål.docx", "A 61804-2023")</f>
        <v/>
      </c>
      <c r="W152">
        <f>HYPERLINK("https://klasma.github.io/Logging_0883/klagomålsmail/A 61804-2023 FSC-klagomål mail.docx", "A 61804-2023")</f>
        <v/>
      </c>
      <c r="X152">
        <f>HYPERLINK("https://klasma.github.io/Logging_0883/tillsyn/A 61804-2023 tillsynsbegäran.docx", "A 61804-2023")</f>
        <v/>
      </c>
      <c r="Y152">
        <f>HYPERLINK("https://klasma.github.io/Logging_0883/tillsynsmail/A 61804-2023 tillsynsbegäran mail.docx", "A 61804-2023")</f>
        <v/>
      </c>
    </row>
    <row r="153" ht="15" customHeight="1">
      <c r="A153" t="inlineStr">
        <is>
          <t>A 8618-2024</t>
        </is>
      </c>
      <c r="B153" s="1" t="n">
        <v>45355.73453703704</v>
      </c>
      <c r="C153" s="1" t="n">
        <v>45882</v>
      </c>
      <c r="D153" t="inlineStr">
        <is>
          <t>KALMAR LÄN</t>
        </is>
      </c>
      <c r="E153" t="inlineStr">
        <is>
          <t>VÄSTERVIK</t>
        </is>
      </c>
      <c r="G153" t="n">
        <v>4.3</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8618-2024 artfynd.xlsx", "A 8618-2024")</f>
        <v/>
      </c>
      <c r="T153">
        <f>HYPERLINK("https://klasma.github.io/Logging_0883/kartor/A 8618-2024 karta.png", "A 8618-2024")</f>
        <v/>
      </c>
      <c r="U153">
        <f>HYPERLINK("https://klasma.github.io/Logging_0883/knärot/A 8618-2024 karta knärot.png", "A 8618-2024")</f>
        <v/>
      </c>
      <c r="V153">
        <f>HYPERLINK("https://klasma.github.io/Logging_0883/klagomål/A 8618-2024 FSC-klagomål.docx", "A 8618-2024")</f>
        <v/>
      </c>
      <c r="W153">
        <f>HYPERLINK("https://klasma.github.io/Logging_0883/klagomålsmail/A 8618-2024 FSC-klagomål mail.docx", "A 8618-2024")</f>
        <v/>
      </c>
      <c r="X153">
        <f>HYPERLINK("https://klasma.github.io/Logging_0883/tillsyn/A 8618-2024 tillsynsbegäran.docx", "A 8618-2024")</f>
        <v/>
      </c>
      <c r="Y153">
        <f>HYPERLINK("https://klasma.github.io/Logging_0883/tillsynsmail/A 8618-2024 tillsynsbegäran mail.docx", "A 8618-2024")</f>
        <v/>
      </c>
    </row>
    <row r="154" ht="15" customHeight="1">
      <c r="A154" t="inlineStr">
        <is>
          <t>A 1373-2024</t>
        </is>
      </c>
      <c r="B154" s="1" t="n">
        <v>45303</v>
      </c>
      <c r="C154" s="1" t="n">
        <v>45882</v>
      </c>
      <c r="D154" t="inlineStr">
        <is>
          <t>KALMAR LÄN</t>
        </is>
      </c>
      <c r="E154" t="inlineStr">
        <is>
          <t>VÄSTERVIK</t>
        </is>
      </c>
      <c r="G154" t="n">
        <v>3.7</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U154">
        <f>HYPERLINK("https://klasma.github.io/Logging_0883/knärot/A 1373-2024 karta knärot.png",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15534-2024</t>
        </is>
      </c>
      <c r="B155" s="1" t="n">
        <v>45401</v>
      </c>
      <c r="C155" s="1" t="n">
        <v>45882</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47935-2023</t>
        </is>
      </c>
      <c r="B156" s="1" t="n">
        <v>45204</v>
      </c>
      <c r="C156" s="1" t="n">
        <v>45882</v>
      </c>
      <c r="D156" t="inlineStr">
        <is>
          <t>KALMAR LÄN</t>
        </is>
      </c>
      <c r="E156" t="inlineStr">
        <is>
          <t>VÄSTERVIK</t>
        </is>
      </c>
      <c r="G156" t="n">
        <v>4.3</v>
      </c>
      <c r="H156" t="n">
        <v>0</v>
      </c>
      <c r="I156" t="n">
        <v>1</v>
      </c>
      <c r="J156" t="n">
        <v>1</v>
      </c>
      <c r="K156" t="n">
        <v>0</v>
      </c>
      <c r="L156" t="n">
        <v>0</v>
      </c>
      <c r="M156" t="n">
        <v>0</v>
      </c>
      <c r="N156" t="n">
        <v>0</v>
      </c>
      <c r="O156" t="n">
        <v>1</v>
      </c>
      <c r="P156" t="n">
        <v>0</v>
      </c>
      <c r="Q156" t="n">
        <v>2</v>
      </c>
      <c r="R156" s="2" t="inlineStr">
        <is>
          <t>Tallticka
Blåmossa</t>
        </is>
      </c>
      <c r="S156">
        <f>HYPERLINK("https://klasma.github.io/Logging_0883/artfynd/A 47935-2023 artfynd.xlsx", "A 47935-2023")</f>
        <v/>
      </c>
      <c r="T156">
        <f>HYPERLINK("https://klasma.github.io/Logging_0883/kartor/A 47935-2023 karta.png", "A 47935-2023")</f>
        <v/>
      </c>
      <c r="V156">
        <f>HYPERLINK("https://klasma.github.io/Logging_0883/klagomål/A 47935-2023 FSC-klagomål.docx", "A 47935-2023")</f>
        <v/>
      </c>
      <c r="W156">
        <f>HYPERLINK("https://klasma.github.io/Logging_0883/klagomålsmail/A 47935-2023 FSC-klagomål mail.docx", "A 47935-2023")</f>
        <v/>
      </c>
      <c r="X156">
        <f>HYPERLINK("https://klasma.github.io/Logging_0883/tillsyn/A 47935-2023 tillsynsbegäran.docx", "A 47935-2023")</f>
        <v/>
      </c>
      <c r="Y156">
        <f>HYPERLINK("https://klasma.github.io/Logging_0883/tillsynsmail/A 47935-2023 tillsynsbegäran mail.docx", "A 47935-2023")</f>
        <v/>
      </c>
    </row>
    <row r="157" ht="15" customHeight="1">
      <c r="A157" t="inlineStr">
        <is>
          <t>A 62003-2022</t>
        </is>
      </c>
      <c r="B157" s="1" t="n">
        <v>44918</v>
      </c>
      <c r="C157" s="1" t="n">
        <v>45882</v>
      </c>
      <c r="D157" t="inlineStr">
        <is>
          <t>KALMAR LÄN</t>
        </is>
      </c>
      <c r="E157" t="inlineStr">
        <is>
          <t>VÄSTERVIK</t>
        </is>
      </c>
      <c r="G157" t="n">
        <v>6.2</v>
      </c>
      <c r="H157" t="n">
        <v>1</v>
      </c>
      <c r="I157" t="n">
        <v>0</v>
      </c>
      <c r="J157" t="n">
        <v>1</v>
      </c>
      <c r="K157" t="n">
        <v>1</v>
      </c>
      <c r="L157" t="n">
        <v>0</v>
      </c>
      <c r="M157" t="n">
        <v>0</v>
      </c>
      <c r="N157" t="n">
        <v>0</v>
      </c>
      <c r="O157" t="n">
        <v>2</v>
      </c>
      <c r="P157" t="n">
        <v>1</v>
      </c>
      <c r="Q157" t="n">
        <v>2</v>
      </c>
      <c r="R157" s="2" t="inlineStr">
        <is>
          <t>Knärot
Linmåra/småsnärjmåra</t>
        </is>
      </c>
      <c r="S157">
        <f>HYPERLINK("https://klasma.github.io/Logging_0883/artfynd/A 62003-2022 artfynd.xlsx", "A 62003-2022")</f>
        <v/>
      </c>
      <c r="T157">
        <f>HYPERLINK("https://klasma.github.io/Logging_0883/kartor/A 62003-2022 karta.png", "A 62003-2022")</f>
        <v/>
      </c>
      <c r="U157">
        <f>HYPERLINK("https://klasma.github.io/Logging_0883/knärot/A 62003-2022 karta knärot.png", "A 62003-2022")</f>
        <v/>
      </c>
      <c r="V157">
        <f>HYPERLINK("https://klasma.github.io/Logging_0883/klagomål/A 62003-2022 FSC-klagomål.docx", "A 62003-2022")</f>
        <v/>
      </c>
      <c r="W157">
        <f>HYPERLINK("https://klasma.github.io/Logging_0883/klagomålsmail/A 62003-2022 FSC-klagomål mail.docx", "A 62003-2022")</f>
        <v/>
      </c>
      <c r="X157">
        <f>HYPERLINK("https://klasma.github.io/Logging_0883/tillsyn/A 62003-2022 tillsynsbegäran.docx", "A 62003-2022")</f>
        <v/>
      </c>
      <c r="Y157">
        <f>HYPERLINK("https://klasma.github.io/Logging_0883/tillsynsmail/A 62003-2022 tillsynsbegäran mail.docx", "A 62003-2022")</f>
        <v/>
      </c>
    </row>
    <row r="158" ht="15" customHeight="1">
      <c r="A158" t="inlineStr">
        <is>
          <t>A 1955-2021</t>
        </is>
      </c>
      <c r="B158" s="1" t="n">
        <v>44210</v>
      </c>
      <c r="C158" s="1" t="n">
        <v>45882</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911-2024</t>
        </is>
      </c>
      <c r="B159" s="1" t="n">
        <v>45301</v>
      </c>
      <c r="C159" s="1" t="n">
        <v>45882</v>
      </c>
      <c r="D159" t="inlineStr">
        <is>
          <t>KALMAR LÄN</t>
        </is>
      </c>
      <c r="E159" t="inlineStr">
        <is>
          <t>VÄSTERVIK</t>
        </is>
      </c>
      <c r="G159" t="n">
        <v>5.6</v>
      </c>
      <c r="H159" t="n">
        <v>1</v>
      </c>
      <c r="I159" t="n">
        <v>1</v>
      </c>
      <c r="J159" t="n">
        <v>1</v>
      </c>
      <c r="K159" t="n">
        <v>0</v>
      </c>
      <c r="L159" t="n">
        <v>0</v>
      </c>
      <c r="M159" t="n">
        <v>0</v>
      </c>
      <c r="N159" t="n">
        <v>0</v>
      </c>
      <c r="O159" t="n">
        <v>1</v>
      </c>
      <c r="P159" t="n">
        <v>0</v>
      </c>
      <c r="Q159" t="n">
        <v>2</v>
      </c>
      <c r="R159" s="2" t="inlineStr">
        <is>
          <t>Talltita
Blodticka</t>
        </is>
      </c>
      <c r="S159">
        <f>HYPERLINK("https://klasma.github.io/Logging_0883/artfynd/A 911-2024 artfynd.xlsx", "A 911-2024")</f>
        <v/>
      </c>
      <c r="T159">
        <f>HYPERLINK("https://klasma.github.io/Logging_0883/kartor/A 911-2024 karta.png", "A 911-2024")</f>
        <v/>
      </c>
      <c r="V159">
        <f>HYPERLINK("https://klasma.github.io/Logging_0883/klagomål/A 911-2024 FSC-klagomål.docx", "A 911-2024")</f>
        <v/>
      </c>
      <c r="W159">
        <f>HYPERLINK("https://klasma.github.io/Logging_0883/klagomålsmail/A 911-2024 FSC-klagomål mail.docx", "A 911-2024")</f>
        <v/>
      </c>
      <c r="X159">
        <f>HYPERLINK("https://klasma.github.io/Logging_0883/tillsyn/A 911-2024 tillsynsbegäran.docx", "A 911-2024")</f>
        <v/>
      </c>
      <c r="Y159">
        <f>HYPERLINK("https://klasma.github.io/Logging_0883/tillsynsmail/A 911-2024 tillsynsbegäran mail.docx", "A 911-2024")</f>
        <v/>
      </c>
      <c r="Z159">
        <f>HYPERLINK("https://klasma.github.io/Logging_0883/fåglar/A 911-2024 prioriterade fågelarter.docx", "A 911-2024")</f>
        <v/>
      </c>
    </row>
    <row r="160" ht="15" customHeight="1">
      <c r="A160" t="inlineStr">
        <is>
          <t>A 72945-2021</t>
        </is>
      </c>
      <c r="B160" s="1" t="n">
        <v>44547.90868055556</v>
      </c>
      <c r="C160" s="1" t="n">
        <v>45882</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45882</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45882</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25145-2022</t>
        </is>
      </c>
      <c r="B163" s="1" t="n">
        <v>44729</v>
      </c>
      <c r="C163" s="1" t="n">
        <v>45882</v>
      </c>
      <c r="D163" t="inlineStr">
        <is>
          <t>KALMAR LÄN</t>
        </is>
      </c>
      <c r="E163" t="inlineStr">
        <is>
          <t>VÄSTERVIK</t>
        </is>
      </c>
      <c r="G163" t="n">
        <v>1.3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25145-2022 artfynd.xlsx", "A 25145-2022")</f>
        <v/>
      </c>
      <c r="T163">
        <f>HYPERLINK("https://klasma.github.io/Logging_0883/kartor/A 25145-2022 karta.png", "A 25145-2022")</f>
        <v/>
      </c>
      <c r="U163">
        <f>HYPERLINK("https://klasma.github.io/Logging_0883/knärot/A 25145-2022 karta knärot.png", "A 25145-2022")</f>
        <v/>
      </c>
      <c r="V163">
        <f>HYPERLINK("https://klasma.github.io/Logging_0883/klagomål/A 25145-2022 FSC-klagomål.docx", "A 25145-2022")</f>
        <v/>
      </c>
      <c r="W163">
        <f>HYPERLINK("https://klasma.github.io/Logging_0883/klagomålsmail/A 25145-2022 FSC-klagomål mail.docx", "A 25145-2022")</f>
        <v/>
      </c>
      <c r="X163">
        <f>HYPERLINK("https://klasma.github.io/Logging_0883/tillsyn/A 25145-2022 tillsynsbegäran.docx", "A 25145-2022")</f>
        <v/>
      </c>
      <c r="Y163">
        <f>HYPERLINK("https://klasma.github.io/Logging_0883/tillsynsmail/A 25145-2022 tillsynsbegäran mail.docx", "A 25145-2022")</f>
        <v/>
      </c>
    </row>
    <row r="164" ht="15" customHeight="1">
      <c r="A164" t="inlineStr">
        <is>
          <t>A 56180-2020</t>
        </is>
      </c>
      <c r="B164" s="1" t="n">
        <v>44133</v>
      </c>
      <c r="C164" s="1" t="n">
        <v>45882</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46787-2022</t>
        </is>
      </c>
      <c r="B165" s="1" t="n">
        <v>44851</v>
      </c>
      <c r="C165" s="1" t="n">
        <v>45882</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34119-2023</t>
        </is>
      </c>
      <c r="B166" s="1" t="n">
        <v>45135</v>
      </c>
      <c r="C166" s="1" t="n">
        <v>45882</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4778-2025</t>
        </is>
      </c>
      <c r="B167" s="1" t="n">
        <v>45688</v>
      </c>
      <c r="C167" s="1" t="n">
        <v>45882</v>
      </c>
      <c r="D167" t="inlineStr">
        <is>
          <t>KALMAR LÄN</t>
        </is>
      </c>
      <c r="E167" t="inlineStr">
        <is>
          <t>VÄSTERVIK</t>
        </is>
      </c>
      <c r="F167" t="inlineStr">
        <is>
          <t>Holmen skog AB</t>
        </is>
      </c>
      <c r="G167" t="n">
        <v>3.8</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4778-2025 artfynd.xlsx", "A 4778-2025")</f>
        <v/>
      </c>
      <c r="T167">
        <f>HYPERLINK("https://klasma.github.io/Logging_0883/kartor/A 4778-2025 karta.png", "A 4778-2025")</f>
        <v/>
      </c>
      <c r="U167">
        <f>HYPERLINK("https://klasma.github.io/Logging_0883/knärot/A 4778-2025 karta knärot.png", "A 4778-2025")</f>
        <v/>
      </c>
      <c r="V167">
        <f>HYPERLINK("https://klasma.github.io/Logging_0883/klagomål/A 4778-2025 FSC-klagomål.docx", "A 4778-2025")</f>
        <v/>
      </c>
      <c r="W167">
        <f>HYPERLINK("https://klasma.github.io/Logging_0883/klagomålsmail/A 4778-2025 FSC-klagomål mail.docx", "A 4778-2025")</f>
        <v/>
      </c>
      <c r="X167">
        <f>HYPERLINK("https://klasma.github.io/Logging_0883/tillsyn/A 4778-2025 tillsynsbegäran.docx", "A 4778-2025")</f>
        <v/>
      </c>
      <c r="Y167">
        <f>HYPERLINK("https://klasma.github.io/Logging_0883/tillsynsmail/A 4778-2025 tillsynsbegäran mail.docx", "A 4778-2025")</f>
        <v/>
      </c>
      <c r="Z167">
        <f>HYPERLINK("https://klasma.github.io/Logging_0883/fåglar/A 4778-2025 prioriterade fågelarter.docx", "A 4778-2025")</f>
        <v/>
      </c>
    </row>
    <row r="168" ht="15" customHeight="1">
      <c r="A168" t="inlineStr">
        <is>
          <t>A 28401-2024</t>
        </is>
      </c>
      <c r="B168" s="1" t="n">
        <v>45477</v>
      </c>
      <c r="C168" s="1" t="n">
        <v>45882</v>
      </c>
      <c r="D168" t="inlineStr">
        <is>
          <t>KALMAR LÄN</t>
        </is>
      </c>
      <c r="E168" t="inlineStr">
        <is>
          <t>VÄSTERVIK</t>
        </is>
      </c>
      <c r="F168" t="inlineStr">
        <is>
          <t>Holmen skog AB</t>
        </is>
      </c>
      <c r="G168" t="n">
        <v>2.4</v>
      </c>
      <c r="H168" t="n">
        <v>2</v>
      </c>
      <c r="I168" t="n">
        <v>0</v>
      </c>
      <c r="J168" t="n">
        <v>1</v>
      </c>
      <c r="K168" t="n">
        <v>0</v>
      </c>
      <c r="L168" t="n">
        <v>0</v>
      </c>
      <c r="M168" t="n">
        <v>0</v>
      </c>
      <c r="N168" t="n">
        <v>0</v>
      </c>
      <c r="O168" t="n">
        <v>1</v>
      </c>
      <c r="P168" t="n">
        <v>0</v>
      </c>
      <c r="Q168" t="n">
        <v>2</v>
      </c>
      <c r="R168" s="2" t="inlineStr">
        <is>
          <t>Talltita
Revlummer</t>
        </is>
      </c>
      <c r="S168">
        <f>HYPERLINK("https://klasma.github.io/Logging_0883/artfynd/A 28401-2024 artfynd.xlsx", "A 28401-2024")</f>
        <v/>
      </c>
      <c r="T168">
        <f>HYPERLINK("https://klasma.github.io/Logging_0883/kartor/A 28401-2024 karta.png", "A 28401-2024")</f>
        <v/>
      </c>
      <c r="V168">
        <f>HYPERLINK("https://klasma.github.io/Logging_0883/klagomål/A 28401-2024 FSC-klagomål.docx", "A 28401-2024")</f>
        <v/>
      </c>
      <c r="W168">
        <f>HYPERLINK("https://klasma.github.io/Logging_0883/klagomålsmail/A 28401-2024 FSC-klagomål mail.docx", "A 28401-2024")</f>
        <v/>
      </c>
      <c r="X168">
        <f>HYPERLINK("https://klasma.github.io/Logging_0883/tillsyn/A 28401-2024 tillsynsbegäran.docx", "A 28401-2024")</f>
        <v/>
      </c>
      <c r="Y168">
        <f>HYPERLINK("https://klasma.github.io/Logging_0883/tillsynsmail/A 28401-2024 tillsynsbegäran mail.docx", "A 28401-2024")</f>
        <v/>
      </c>
      <c r="Z168">
        <f>HYPERLINK("https://klasma.github.io/Logging_0883/fåglar/A 28401-2024 prioriterade fågelarter.docx", "A 28401-2024")</f>
        <v/>
      </c>
    </row>
    <row r="169" ht="15" customHeight="1">
      <c r="A169" t="inlineStr">
        <is>
          <t>A 3173-2023</t>
        </is>
      </c>
      <c r="B169" s="1" t="n">
        <v>44946</v>
      </c>
      <c r="C169" s="1" t="n">
        <v>45882</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16700-2025</t>
        </is>
      </c>
      <c r="B170" s="1" t="n">
        <v>45754.46833333333</v>
      </c>
      <c r="C170" s="1" t="n">
        <v>45882</v>
      </c>
      <c r="D170" t="inlineStr">
        <is>
          <t>KALMAR LÄN</t>
        </is>
      </c>
      <c r="E170" t="inlineStr">
        <is>
          <t>VÄSTERVIK</t>
        </is>
      </c>
      <c r="F170" t="inlineStr">
        <is>
          <t>Sveaskog</t>
        </is>
      </c>
      <c r="G170" t="n">
        <v>1.7</v>
      </c>
      <c r="H170" t="n">
        <v>2</v>
      </c>
      <c r="I170" t="n">
        <v>0</v>
      </c>
      <c r="J170" t="n">
        <v>1</v>
      </c>
      <c r="K170" t="n">
        <v>0</v>
      </c>
      <c r="L170" t="n">
        <v>0</v>
      </c>
      <c r="M170" t="n">
        <v>0</v>
      </c>
      <c r="N170" t="n">
        <v>0</v>
      </c>
      <c r="O170" t="n">
        <v>1</v>
      </c>
      <c r="P170" t="n">
        <v>0</v>
      </c>
      <c r="Q170" t="n">
        <v>2</v>
      </c>
      <c r="R170" s="2" t="inlineStr">
        <is>
          <t>Spillkråka
Kungsfågel</t>
        </is>
      </c>
      <c r="S170">
        <f>HYPERLINK("https://klasma.github.io/Logging_0883/artfynd/A 16700-2025 artfynd.xlsx", "A 16700-2025")</f>
        <v/>
      </c>
      <c r="T170">
        <f>HYPERLINK("https://klasma.github.io/Logging_0883/kartor/A 16700-2025 karta.png", "A 16700-2025")</f>
        <v/>
      </c>
      <c r="V170">
        <f>HYPERLINK("https://klasma.github.io/Logging_0883/klagomål/A 16700-2025 FSC-klagomål.docx", "A 16700-2025")</f>
        <v/>
      </c>
      <c r="W170">
        <f>HYPERLINK("https://klasma.github.io/Logging_0883/klagomålsmail/A 16700-2025 FSC-klagomål mail.docx", "A 16700-2025")</f>
        <v/>
      </c>
      <c r="X170">
        <f>HYPERLINK("https://klasma.github.io/Logging_0883/tillsyn/A 16700-2025 tillsynsbegäran.docx", "A 16700-2025")</f>
        <v/>
      </c>
      <c r="Y170">
        <f>HYPERLINK("https://klasma.github.io/Logging_0883/tillsynsmail/A 16700-2025 tillsynsbegäran mail.docx", "A 16700-2025")</f>
        <v/>
      </c>
      <c r="Z170">
        <f>HYPERLINK("https://klasma.github.io/Logging_0883/fåglar/A 16700-2025 prioriterade fågelarter.docx", "A 16700-2025")</f>
        <v/>
      </c>
    </row>
    <row r="171" ht="15" customHeight="1">
      <c r="A171" t="inlineStr">
        <is>
          <t>A 56857-2023</t>
        </is>
      </c>
      <c r="B171" s="1" t="n">
        <v>45244</v>
      </c>
      <c r="C171" s="1" t="n">
        <v>45882</v>
      </c>
      <c r="D171" t="inlineStr">
        <is>
          <t>KALMAR LÄN</t>
        </is>
      </c>
      <c r="E171" t="inlineStr">
        <is>
          <t>VÄSTERVIK</t>
        </is>
      </c>
      <c r="F171" t="inlineStr">
        <is>
          <t>Kyrkan</t>
        </is>
      </c>
      <c r="G171" t="n">
        <v>7.5</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56857-2023 artfynd.xlsx", "A 56857-2023")</f>
        <v/>
      </c>
      <c r="T171">
        <f>HYPERLINK("https://klasma.github.io/Logging_0883/kartor/A 56857-2023 karta.png", "A 56857-2023")</f>
        <v/>
      </c>
      <c r="U171">
        <f>HYPERLINK("https://klasma.github.io/Logging_0883/knärot/A 56857-2023 karta knärot.png", "A 56857-2023")</f>
        <v/>
      </c>
      <c r="V171">
        <f>HYPERLINK("https://klasma.github.io/Logging_0883/klagomål/A 56857-2023 FSC-klagomål.docx", "A 56857-2023")</f>
        <v/>
      </c>
      <c r="W171">
        <f>HYPERLINK("https://klasma.github.io/Logging_0883/klagomålsmail/A 56857-2023 FSC-klagomål mail.docx", "A 56857-2023")</f>
        <v/>
      </c>
      <c r="X171">
        <f>HYPERLINK("https://klasma.github.io/Logging_0883/tillsyn/A 56857-2023 tillsynsbegäran.docx", "A 56857-2023")</f>
        <v/>
      </c>
      <c r="Y171">
        <f>HYPERLINK("https://klasma.github.io/Logging_0883/tillsynsmail/A 56857-2023 tillsynsbegäran mail.docx", "A 56857-2023")</f>
        <v/>
      </c>
    </row>
    <row r="172" ht="15" customHeight="1">
      <c r="A172" t="inlineStr">
        <is>
          <t>A 39836-2020</t>
        </is>
      </c>
      <c r="B172" s="1" t="n">
        <v>44064</v>
      </c>
      <c r="C172" s="1" t="n">
        <v>45882</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45882</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45882</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59368-2023</t>
        </is>
      </c>
      <c r="B175" s="1" t="n">
        <v>45253</v>
      </c>
      <c r="C175" s="1" t="n">
        <v>45882</v>
      </c>
      <c r="D175" t="inlineStr">
        <is>
          <t>KALMAR LÄN</t>
        </is>
      </c>
      <c r="E175" t="inlineStr">
        <is>
          <t>VÄSTERVIK</t>
        </is>
      </c>
      <c r="G175" t="n">
        <v>2.4</v>
      </c>
      <c r="H175" t="n">
        <v>1</v>
      </c>
      <c r="I175" t="n">
        <v>0</v>
      </c>
      <c r="J175" t="n">
        <v>0</v>
      </c>
      <c r="K175" t="n">
        <v>1</v>
      </c>
      <c r="L175" t="n">
        <v>0</v>
      </c>
      <c r="M175" t="n">
        <v>0</v>
      </c>
      <c r="N175" t="n">
        <v>0</v>
      </c>
      <c r="O175" t="n">
        <v>1</v>
      </c>
      <c r="P175" t="n">
        <v>1</v>
      </c>
      <c r="Q175" t="n">
        <v>1</v>
      </c>
      <c r="R175" s="2" t="inlineStr">
        <is>
          <t>Knärot</t>
        </is>
      </c>
      <c r="S175">
        <f>HYPERLINK("https://klasma.github.io/Logging_0883/artfynd/A 59368-2023 artfynd.xlsx", "A 59368-2023")</f>
        <v/>
      </c>
      <c r="T175">
        <f>HYPERLINK("https://klasma.github.io/Logging_0883/kartor/A 59368-2023 karta.png", "A 59368-2023")</f>
        <v/>
      </c>
      <c r="U175">
        <f>HYPERLINK("https://klasma.github.io/Logging_0883/knärot/A 59368-2023 karta knärot.png", "A 59368-2023")</f>
        <v/>
      </c>
      <c r="V175">
        <f>HYPERLINK("https://klasma.github.io/Logging_0883/klagomål/A 59368-2023 FSC-klagomål.docx", "A 59368-2023")</f>
        <v/>
      </c>
      <c r="W175">
        <f>HYPERLINK("https://klasma.github.io/Logging_0883/klagomålsmail/A 59368-2023 FSC-klagomål mail.docx", "A 59368-2023")</f>
        <v/>
      </c>
      <c r="X175">
        <f>HYPERLINK("https://klasma.github.io/Logging_0883/tillsyn/A 59368-2023 tillsynsbegäran.docx", "A 59368-2023")</f>
        <v/>
      </c>
      <c r="Y175">
        <f>HYPERLINK("https://klasma.github.io/Logging_0883/tillsynsmail/A 59368-2023 tillsynsbegäran mail.docx", "A 59368-2023")</f>
        <v/>
      </c>
    </row>
    <row r="176" ht="15" customHeight="1">
      <c r="A176" t="inlineStr">
        <is>
          <t>A 46556-2022</t>
        </is>
      </c>
      <c r="B176" s="1" t="n">
        <v>44848</v>
      </c>
      <c r="C176" s="1" t="n">
        <v>45882</v>
      </c>
      <c r="D176" t="inlineStr">
        <is>
          <t>KALMAR LÄN</t>
        </is>
      </c>
      <c r="E176" t="inlineStr">
        <is>
          <t>VÄSTERVIK</t>
        </is>
      </c>
      <c r="F176" t="inlineStr">
        <is>
          <t>Sveaskog</t>
        </is>
      </c>
      <c r="G176" t="n">
        <v>1.5</v>
      </c>
      <c r="H176" t="n">
        <v>0</v>
      </c>
      <c r="I176" t="n">
        <v>1</v>
      </c>
      <c r="J176" t="n">
        <v>0</v>
      </c>
      <c r="K176" t="n">
        <v>0</v>
      </c>
      <c r="L176" t="n">
        <v>0</v>
      </c>
      <c r="M176" t="n">
        <v>0</v>
      </c>
      <c r="N176" t="n">
        <v>0</v>
      </c>
      <c r="O176" t="n">
        <v>0</v>
      </c>
      <c r="P176" t="n">
        <v>0</v>
      </c>
      <c r="Q176" t="n">
        <v>1</v>
      </c>
      <c r="R176" s="2" t="inlineStr">
        <is>
          <t>Fjällig taggsvamp s.str.</t>
        </is>
      </c>
      <c r="S176">
        <f>HYPERLINK("https://klasma.github.io/Logging_0883/artfynd/A 46556-2022 artfynd.xlsx", "A 46556-2022")</f>
        <v/>
      </c>
      <c r="T176">
        <f>HYPERLINK("https://klasma.github.io/Logging_0883/kartor/A 46556-2022 karta.png", "A 46556-2022")</f>
        <v/>
      </c>
      <c r="V176">
        <f>HYPERLINK("https://klasma.github.io/Logging_0883/klagomål/A 46556-2022 FSC-klagomål.docx", "A 46556-2022")</f>
        <v/>
      </c>
      <c r="W176">
        <f>HYPERLINK("https://klasma.github.io/Logging_0883/klagomålsmail/A 46556-2022 FSC-klagomål mail.docx", "A 46556-2022")</f>
        <v/>
      </c>
      <c r="X176">
        <f>HYPERLINK("https://klasma.github.io/Logging_0883/tillsyn/A 46556-2022 tillsynsbegäran.docx", "A 46556-2022")</f>
        <v/>
      </c>
      <c r="Y176">
        <f>HYPERLINK("https://klasma.github.io/Logging_0883/tillsynsmail/A 46556-2022 tillsynsbegäran mail.docx", "A 46556-2022")</f>
        <v/>
      </c>
    </row>
    <row r="177" ht="15" customHeight="1">
      <c r="A177" t="inlineStr">
        <is>
          <t>A 31315-2021</t>
        </is>
      </c>
      <c r="B177" s="1" t="n">
        <v>44368</v>
      </c>
      <c r="C177" s="1" t="n">
        <v>45882</v>
      </c>
      <c r="D177" t="inlineStr">
        <is>
          <t>KALMAR LÄN</t>
        </is>
      </c>
      <c r="E177" t="inlineStr">
        <is>
          <t>VÄSTERVIK</t>
        </is>
      </c>
      <c r="G177" t="n">
        <v>3.3</v>
      </c>
      <c r="H177" t="n">
        <v>1</v>
      </c>
      <c r="I177" t="n">
        <v>0</v>
      </c>
      <c r="J177" t="n">
        <v>0</v>
      </c>
      <c r="K177" t="n">
        <v>1</v>
      </c>
      <c r="L177" t="n">
        <v>0</v>
      </c>
      <c r="M177" t="n">
        <v>0</v>
      </c>
      <c r="N177" t="n">
        <v>0</v>
      </c>
      <c r="O177" t="n">
        <v>1</v>
      </c>
      <c r="P177" t="n">
        <v>1</v>
      </c>
      <c r="Q177" t="n">
        <v>1</v>
      </c>
      <c r="R177" s="2" t="inlineStr">
        <is>
          <t>Knärot</t>
        </is>
      </c>
      <c r="S177">
        <f>HYPERLINK("https://klasma.github.io/Logging_0883/artfynd/A 31315-2021 artfynd.xlsx", "A 31315-2021")</f>
        <v/>
      </c>
      <c r="T177">
        <f>HYPERLINK("https://klasma.github.io/Logging_0883/kartor/A 31315-2021 karta.png", "A 31315-2021")</f>
        <v/>
      </c>
      <c r="U177">
        <f>HYPERLINK("https://klasma.github.io/Logging_0883/knärot/A 31315-2021 karta knärot.png", "A 31315-2021")</f>
        <v/>
      </c>
      <c r="V177">
        <f>HYPERLINK("https://klasma.github.io/Logging_0883/klagomål/A 31315-2021 FSC-klagomål.docx", "A 31315-2021")</f>
        <v/>
      </c>
      <c r="W177">
        <f>HYPERLINK("https://klasma.github.io/Logging_0883/klagomålsmail/A 31315-2021 FSC-klagomål mail.docx", "A 31315-2021")</f>
        <v/>
      </c>
      <c r="X177">
        <f>HYPERLINK("https://klasma.github.io/Logging_0883/tillsyn/A 31315-2021 tillsynsbegäran.docx", "A 31315-2021")</f>
        <v/>
      </c>
      <c r="Y177">
        <f>HYPERLINK("https://klasma.github.io/Logging_0883/tillsynsmail/A 31315-2021 tillsynsbegäran mail.docx", "A 31315-2021")</f>
        <v/>
      </c>
    </row>
    <row r="178" ht="15" customHeight="1">
      <c r="A178" t="inlineStr">
        <is>
          <t>A 43788-2023</t>
        </is>
      </c>
      <c r="B178" s="1" t="n">
        <v>45187.53707175926</v>
      </c>
      <c r="C178" s="1" t="n">
        <v>45882</v>
      </c>
      <c r="D178" t="inlineStr">
        <is>
          <t>KALMAR LÄN</t>
        </is>
      </c>
      <c r="E178" t="inlineStr">
        <is>
          <t>VÄSTERVIK</t>
        </is>
      </c>
      <c r="G178" t="n">
        <v>4.5</v>
      </c>
      <c r="H178" t="n">
        <v>0</v>
      </c>
      <c r="I178" t="n">
        <v>0</v>
      </c>
      <c r="J178" t="n">
        <v>1</v>
      </c>
      <c r="K178" t="n">
        <v>0</v>
      </c>
      <c r="L178" t="n">
        <v>0</v>
      </c>
      <c r="M178" t="n">
        <v>0</v>
      </c>
      <c r="N178" t="n">
        <v>0</v>
      </c>
      <c r="O178" t="n">
        <v>1</v>
      </c>
      <c r="P178" t="n">
        <v>0</v>
      </c>
      <c r="Q178" t="n">
        <v>1</v>
      </c>
      <c r="R178" s="2" t="inlineStr">
        <is>
          <t>Motaggsvamp</t>
        </is>
      </c>
      <c r="S178">
        <f>HYPERLINK("https://klasma.github.io/Logging_0883/artfynd/A 43788-2023 artfynd.xlsx", "A 43788-2023")</f>
        <v/>
      </c>
      <c r="T178">
        <f>HYPERLINK("https://klasma.github.io/Logging_0883/kartor/A 43788-2023 karta.png", "A 43788-2023")</f>
        <v/>
      </c>
      <c r="V178">
        <f>HYPERLINK("https://klasma.github.io/Logging_0883/klagomål/A 43788-2023 FSC-klagomål.docx", "A 43788-2023")</f>
        <v/>
      </c>
      <c r="W178">
        <f>HYPERLINK("https://klasma.github.io/Logging_0883/klagomålsmail/A 43788-2023 FSC-klagomål mail.docx", "A 43788-2023")</f>
        <v/>
      </c>
      <c r="X178">
        <f>HYPERLINK("https://klasma.github.io/Logging_0883/tillsyn/A 43788-2023 tillsynsbegäran.docx", "A 43788-2023")</f>
        <v/>
      </c>
      <c r="Y178">
        <f>HYPERLINK("https://klasma.github.io/Logging_0883/tillsynsmail/A 43788-2023 tillsynsbegäran mail.docx", "A 43788-2023")</f>
        <v/>
      </c>
    </row>
    <row r="179" ht="15" customHeight="1">
      <c r="A179" t="inlineStr">
        <is>
          <t>A 40924-2022</t>
        </is>
      </c>
      <c r="B179" s="1" t="n">
        <v>44825</v>
      </c>
      <c r="C179" s="1" t="n">
        <v>45882</v>
      </c>
      <c r="D179" t="inlineStr">
        <is>
          <t>KALMAR LÄN</t>
        </is>
      </c>
      <c r="E179" t="inlineStr">
        <is>
          <t>VÄSTERVIK</t>
        </is>
      </c>
      <c r="F179" t="inlineStr">
        <is>
          <t>Sveaskog</t>
        </is>
      </c>
      <c r="G179" t="n">
        <v>0.5</v>
      </c>
      <c r="H179" t="n">
        <v>1</v>
      </c>
      <c r="I179" t="n">
        <v>0</v>
      </c>
      <c r="J179" t="n">
        <v>1</v>
      </c>
      <c r="K179" t="n">
        <v>0</v>
      </c>
      <c r="L179" t="n">
        <v>0</v>
      </c>
      <c r="M179" t="n">
        <v>0</v>
      </c>
      <c r="N179" t="n">
        <v>0</v>
      </c>
      <c r="O179" t="n">
        <v>1</v>
      </c>
      <c r="P179" t="n">
        <v>0</v>
      </c>
      <c r="Q179" t="n">
        <v>1</v>
      </c>
      <c r="R179" s="2" t="inlineStr">
        <is>
          <t>Barbastell</t>
        </is>
      </c>
      <c r="S179">
        <f>HYPERLINK("https://klasma.github.io/Logging_0883/artfynd/A 40924-2022 artfynd.xlsx", "A 40924-2022")</f>
        <v/>
      </c>
      <c r="T179">
        <f>HYPERLINK("https://klasma.github.io/Logging_0883/kartor/A 40924-2022 karta.png", "A 40924-2022")</f>
        <v/>
      </c>
      <c r="V179">
        <f>HYPERLINK("https://klasma.github.io/Logging_0883/klagomål/A 40924-2022 FSC-klagomål.docx", "A 40924-2022")</f>
        <v/>
      </c>
      <c r="W179">
        <f>HYPERLINK("https://klasma.github.io/Logging_0883/klagomålsmail/A 40924-2022 FSC-klagomål mail.docx", "A 40924-2022")</f>
        <v/>
      </c>
      <c r="X179">
        <f>HYPERLINK("https://klasma.github.io/Logging_0883/tillsyn/A 40924-2022 tillsynsbegäran.docx", "A 40924-2022")</f>
        <v/>
      </c>
      <c r="Y179">
        <f>HYPERLINK("https://klasma.github.io/Logging_0883/tillsynsmail/A 40924-2022 tillsynsbegäran mail.docx", "A 40924-2022")</f>
        <v/>
      </c>
    </row>
    <row r="180" ht="15" customHeight="1">
      <c r="A180" t="inlineStr">
        <is>
          <t>A 975-2023</t>
        </is>
      </c>
      <c r="B180" s="1" t="n">
        <v>44935</v>
      </c>
      <c r="C180" s="1" t="n">
        <v>45882</v>
      </c>
      <c r="D180" t="inlineStr">
        <is>
          <t>KALMAR LÄN</t>
        </is>
      </c>
      <c r="E180" t="inlineStr">
        <is>
          <t>VÄSTERVIK</t>
        </is>
      </c>
      <c r="G180" t="n">
        <v>1.7</v>
      </c>
      <c r="H180" t="n">
        <v>1</v>
      </c>
      <c r="I180" t="n">
        <v>0</v>
      </c>
      <c r="J180" t="n">
        <v>0</v>
      </c>
      <c r="K180" t="n">
        <v>1</v>
      </c>
      <c r="L180" t="n">
        <v>0</v>
      </c>
      <c r="M180" t="n">
        <v>0</v>
      </c>
      <c r="N180" t="n">
        <v>0</v>
      </c>
      <c r="O180" t="n">
        <v>1</v>
      </c>
      <c r="P180" t="n">
        <v>1</v>
      </c>
      <c r="Q180" t="n">
        <v>1</v>
      </c>
      <c r="R180" s="2" t="inlineStr">
        <is>
          <t>Läderbagge</t>
        </is>
      </c>
      <c r="S180">
        <f>HYPERLINK("https://klasma.github.io/Logging_0883/artfynd/A 975-2023 artfynd.xlsx", "A 975-2023")</f>
        <v/>
      </c>
      <c r="T180">
        <f>HYPERLINK("https://klasma.github.io/Logging_0883/kartor/A 975-2023 karta.png", "A 975-2023")</f>
        <v/>
      </c>
      <c r="V180">
        <f>HYPERLINK("https://klasma.github.io/Logging_0883/klagomål/A 975-2023 FSC-klagomål.docx", "A 975-2023")</f>
        <v/>
      </c>
      <c r="W180">
        <f>HYPERLINK("https://klasma.github.io/Logging_0883/klagomålsmail/A 975-2023 FSC-klagomål mail.docx", "A 975-2023")</f>
        <v/>
      </c>
      <c r="X180">
        <f>HYPERLINK("https://klasma.github.io/Logging_0883/tillsyn/A 975-2023 tillsynsbegäran.docx", "A 975-2023")</f>
        <v/>
      </c>
      <c r="Y180">
        <f>HYPERLINK("https://klasma.github.io/Logging_0883/tillsynsmail/A 975-2023 tillsynsbegäran mail.docx", "A 975-2023")</f>
        <v/>
      </c>
    </row>
    <row r="181" ht="15" customHeight="1">
      <c r="A181" t="inlineStr">
        <is>
          <t>A 54272-2023</t>
        </is>
      </c>
      <c r="B181" s="1" t="n">
        <v>45232</v>
      </c>
      <c r="C181" s="1" t="n">
        <v>45882</v>
      </c>
      <c r="D181" t="inlineStr">
        <is>
          <t>KALMAR LÄN</t>
        </is>
      </c>
      <c r="E181" t="inlineStr">
        <is>
          <t>VÄSTERVIK</t>
        </is>
      </c>
      <c r="G181" t="n">
        <v>1</v>
      </c>
      <c r="H181" t="n">
        <v>0</v>
      </c>
      <c r="I181" t="n">
        <v>1</v>
      </c>
      <c r="J181" t="n">
        <v>0</v>
      </c>
      <c r="K181" t="n">
        <v>0</v>
      </c>
      <c r="L181" t="n">
        <v>0</v>
      </c>
      <c r="M181" t="n">
        <v>0</v>
      </c>
      <c r="N181" t="n">
        <v>0</v>
      </c>
      <c r="O181" t="n">
        <v>0</v>
      </c>
      <c r="P181" t="n">
        <v>0</v>
      </c>
      <c r="Q181" t="n">
        <v>1</v>
      </c>
      <c r="R181" s="2" t="inlineStr">
        <is>
          <t>Aprikosfingersvamp</t>
        </is>
      </c>
      <c r="S181">
        <f>HYPERLINK("https://klasma.github.io/Logging_0883/artfynd/A 54272-2023 artfynd.xlsx", "A 54272-2023")</f>
        <v/>
      </c>
      <c r="T181">
        <f>HYPERLINK("https://klasma.github.io/Logging_0883/kartor/A 54272-2023 karta.png", "A 54272-2023")</f>
        <v/>
      </c>
      <c r="V181">
        <f>HYPERLINK("https://klasma.github.io/Logging_0883/klagomål/A 54272-2023 FSC-klagomål.docx", "A 54272-2023")</f>
        <v/>
      </c>
      <c r="W181">
        <f>HYPERLINK("https://klasma.github.io/Logging_0883/klagomålsmail/A 54272-2023 FSC-klagomål mail.docx", "A 54272-2023")</f>
        <v/>
      </c>
      <c r="X181">
        <f>HYPERLINK("https://klasma.github.io/Logging_0883/tillsyn/A 54272-2023 tillsynsbegäran.docx", "A 54272-2023")</f>
        <v/>
      </c>
      <c r="Y181">
        <f>HYPERLINK("https://klasma.github.io/Logging_0883/tillsynsmail/A 54272-2023 tillsynsbegäran mail.docx", "A 54272-2023")</f>
        <v/>
      </c>
    </row>
    <row r="182" ht="15" customHeight="1">
      <c r="A182" t="inlineStr">
        <is>
          <t>A 28495-2023</t>
        </is>
      </c>
      <c r="B182" s="1" t="n">
        <v>45103</v>
      </c>
      <c r="C182" s="1" t="n">
        <v>45882</v>
      </c>
      <c r="D182" t="inlineStr">
        <is>
          <t>KALMAR LÄN</t>
        </is>
      </c>
      <c r="E182" t="inlineStr">
        <is>
          <t>VÄSTERVIK</t>
        </is>
      </c>
      <c r="G182" t="n">
        <v>3.1</v>
      </c>
      <c r="H182" t="n">
        <v>1</v>
      </c>
      <c r="I182" t="n">
        <v>0</v>
      </c>
      <c r="J182" t="n">
        <v>0</v>
      </c>
      <c r="K182" t="n">
        <v>1</v>
      </c>
      <c r="L182" t="n">
        <v>0</v>
      </c>
      <c r="M182" t="n">
        <v>0</v>
      </c>
      <c r="N182" t="n">
        <v>0</v>
      </c>
      <c r="O182" t="n">
        <v>1</v>
      </c>
      <c r="P182" t="n">
        <v>1</v>
      </c>
      <c r="Q182" t="n">
        <v>1</v>
      </c>
      <c r="R182" s="2" t="inlineStr">
        <is>
          <t>Knärot</t>
        </is>
      </c>
      <c r="S182">
        <f>HYPERLINK("https://klasma.github.io/Logging_0883/artfynd/A 28495-2023 artfynd.xlsx", "A 28495-2023")</f>
        <v/>
      </c>
      <c r="T182">
        <f>HYPERLINK("https://klasma.github.io/Logging_0883/kartor/A 28495-2023 karta.png", "A 28495-2023")</f>
        <v/>
      </c>
      <c r="U182">
        <f>HYPERLINK("https://klasma.github.io/Logging_0883/knärot/A 28495-2023 karta knärot.png", "A 28495-2023")</f>
        <v/>
      </c>
      <c r="V182">
        <f>HYPERLINK("https://klasma.github.io/Logging_0883/klagomål/A 28495-2023 FSC-klagomål.docx", "A 28495-2023")</f>
        <v/>
      </c>
      <c r="W182">
        <f>HYPERLINK("https://klasma.github.io/Logging_0883/klagomålsmail/A 28495-2023 FSC-klagomål mail.docx", "A 28495-2023")</f>
        <v/>
      </c>
      <c r="X182">
        <f>HYPERLINK("https://klasma.github.io/Logging_0883/tillsyn/A 28495-2023 tillsynsbegäran.docx", "A 28495-2023")</f>
        <v/>
      </c>
      <c r="Y182">
        <f>HYPERLINK("https://klasma.github.io/Logging_0883/tillsynsmail/A 28495-2023 tillsynsbegäran mail.docx", "A 28495-2023")</f>
        <v/>
      </c>
    </row>
    <row r="183" ht="15" customHeight="1">
      <c r="A183" t="inlineStr">
        <is>
          <t>A 34563-2023</t>
        </is>
      </c>
      <c r="B183" s="1" t="n">
        <v>45140.52086805556</v>
      </c>
      <c r="C183" s="1" t="n">
        <v>45882</v>
      </c>
      <c r="D183" t="inlineStr">
        <is>
          <t>KALMAR LÄN</t>
        </is>
      </c>
      <c r="E183" t="inlineStr">
        <is>
          <t>VÄSTERVIK</t>
        </is>
      </c>
      <c r="G183" t="n">
        <v>1.4</v>
      </c>
      <c r="H183" t="n">
        <v>0</v>
      </c>
      <c r="I183" t="n">
        <v>1</v>
      </c>
      <c r="J183" t="n">
        <v>0</v>
      </c>
      <c r="K183" t="n">
        <v>0</v>
      </c>
      <c r="L183" t="n">
        <v>0</v>
      </c>
      <c r="M183" t="n">
        <v>0</v>
      </c>
      <c r="N183" t="n">
        <v>0</v>
      </c>
      <c r="O183" t="n">
        <v>0</v>
      </c>
      <c r="P183" t="n">
        <v>0</v>
      </c>
      <c r="Q183" t="n">
        <v>1</v>
      </c>
      <c r="R183" s="2" t="inlineStr">
        <is>
          <t>Fjällig taggsvamp s.str.</t>
        </is>
      </c>
      <c r="S183">
        <f>HYPERLINK("https://klasma.github.io/Logging_0883/artfynd/A 34563-2023 artfynd.xlsx", "A 34563-2023")</f>
        <v/>
      </c>
      <c r="T183">
        <f>HYPERLINK("https://klasma.github.io/Logging_0883/kartor/A 34563-2023 karta.png", "A 34563-2023")</f>
        <v/>
      </c>
      <c r="U183">
        <f>HYPERLINK("https://klasma.github.io/Logging_0883/knärot/A 34563-2023 karta knärot.png", "A 34563-2023")</f>
        <v/>
      </c>
      <c r="V183">
        <f>HYPERLINK("https://klasma.github.io/Logging_0883/klagomål/A 34563-2023 FSC-klagomål.docx", "A 34563-2023")</f>
        <v/>
      </c>
      <c r="W183">
        <f>HYPERLINK("https://klasma.github.io/Logging_0883/klagomålsmail/A 34563-2023 FSC-klagomål mail.docx", "A 34563-2023")</f>
        <v/>
      </c>
      <c r="X183">
        <f>HYPERLINK("https://klasma.github.io/Logging_0883/tillsyn/A 34563-2023 tillsynsbegäran.docx", "A 34563-2023")</f>
        <v/>
      </c>
      <c r="Y183">
        <f>HYPERLINK("https://klasma.github.io/Logging_0883/tillsynsmail/A 34563-2023 tillsynsbegäran mail.docx", "A 34563-2023")</f>
        <v/>
      </c>
    </row>
    <row r="184" ht="15" customHeight="1">
      <c r="A184" t="inlineStr">
        <is>
          <t>A 35028-2024</t>
        </is>
      </c>
      <c r="B184" s="1" t="n">
        <v>45527.60524305556</v>
      </c>
      <c r="C184" s="1" t="n">
        <v>45882</v>
      </c>
      <c r="D184" t="inlineStr">
        <is>
          <t>KALMAR LÄN</t>
        </is>
      </c>
      <c r="E184" t="inlineStr">
        <is>
          <t>VÄSTERVIK</t>
        </is>
      </c>
      <c r="G184" t="n">
        <v>1.3</v>
      </c>
      <c r="H184" t="n">
        <v>0</v>
      </c>
      <c r="I184" t="n">
        <v>1</v>
      </c>
      <c r="J184" t="n">
        <v>0</v>
      </c>
      <c r="K184" t="n">
        <v>0</v>
      </c>
      <c r="L184" t="n">
        <v>0</v>
      </c>
      <c r="M184" t="n">
        <v>0</v>
      </c>
      <c r="N184" t="n">
        <v>0</v>
      </c>
      <c r="O184" t="n">
        <v>0</v>
      </c>
      <c r="P184" t="n">
        <v>0</v>
      </c>
      <c r="Q184" t="n">
        <v>1</v>
      </c>
      <c r="R184" s="2" t="inlineStr">
        <is>
          <t>Blomkålssvamp</t>
        </is>
      </c>
      <c r="S184">
        <f>HYPERLINK("https://klasma.github.io/Logging_0883/artfynd/A 35028-2024 artfynd.xlsx", "A 35028-2024")</f>
        <v/>
      </c>
      <c r="T184">
        <f>HYPERLINK("https://klasma.github.io/Logging_0883/kartor/A 35028-2024 karta.png", "A 35028-2024")</f>
        <v/>
      </c>
      <c r="V184">
        <f>HYPERLINK("https://klasma.github.io/Logging_0883/klagomål/A 35028-2024 FSC-klagomål.docx", "A 35028-2024")</f>
        <v/>
      </c>
      <c r="W184">
        <f>HYPERLINK("https://klasma.github.io/Logging_0883/klagomålsmail/A 35028-2024 FSC-klagomål mail.docx", "A 35028-2024")</f>
        <v/>
      </c>
      <c r="X184">
        <f>HYPERLINK("https://klasma.github.io/Logging_0883/tillsyn/A 35028-2024 tillsynsbegäran.docx", "A 35028-2024")</f>
        <v/>
      </c>
      <c r="Y184">
        <f>HYPERLINK("https://klasma.github.io/Logging_0883/tillsynsmail/A 35028-2024 tillsynsbegäran mail.docx", "A 35028-2024")</f>
        <v/>
      </c>
    </row>
    <row r="185" ht="15" customHeight="1">
      <c r="A185" t="inlineStr">
        <is>
          <t>A 51024-2022</t>
        </is>
      </c>
      <c r="B185" s="1" t="n">
        <v>44867</v>
      </c>
      <c r="C185" s="1" t="n">
        <v>45882</v>
      </c>
      <c r="D185" t="inlineStr">
        <is>
          <t>KALMAR LÄN</t>
        </is>
      </c>
      <c r="E185" t="inlineStr">
        <is>
          <t>VÄSTERVIK</t>
        </is>
      </c>
      <c r="F185" t="inlineStr">
        <is>
          <t>Holmen skog AB</t>
        </is>
      </c>
      <c r="G185" t="n">
        <v>7.6</v>
      </c>
      <c r="H185" t="n">
        <v>1</v>
      </c>
      <c r="I185" t="n">
        <v>0</v>
      </c>
      <c r="J185" t="n">
        <v>1</v>
      </c>
      <c r="K185" t="n">
        <v>0</v>
      </c>
      <c r="L185" t="n">
        <v>0</v>
      </c>
      <c r="M185" t="n">
        <v>0</v>
      </c>
      <c r="N185" t="n">
        <v>0</v>
      </c>
      <c r="O185" t="n">
        <v>1</v>
      </c>
      <c r="P185" t="n">
        <v>0</v>
      </c>
      <c r="Q185" t="n">
        <v>1</v>
      </c>
      <c r="R185" s="2" t="inlineStr">
        <is>
          <t>Talltita</t>
        </is>
      </c>
      <c r="S185">
        <f>HYPERLINK("https://klasma.github.io/Logging_0883/artfynd/A 51024-2022 artfynd.xlsx", "A 51024-2022")</f>
        <v/>
      </c>
      <c r="T185">
        <f>HYPERLINK("https://klasma.github.io/Logging_0883/kartor/A 51024-2022 karta.png", "A 51024-2022")</f>
        <v/>
      </c>
      <c r="V185">
        <f>HYPERLINK("https://klasma.github.io/Logging_0883/klagomål/A 51024-2022 FSC-klagomål.docx", "A 51024-2022")</f>
        <v/>
      </c>
      <c r="W185">
        <f>HYPERLINK("https://klasma.github.io/Logging_0883/klagomålsmail/A 51024-2022 FSC-klagomål mail.docx", "A 51024-2022")</f>
        <v/>
      </c>
      <c r="X185">
        <f>HYPERLINK("https://klasma.github.io/Logging_0883/tillsyn/A 51024-2022 tillsynsbegäran.docx", "A 51024-2022")</f>
        <v/>
      </c>
      <c r="Y185">
        <f>HYPERLINK("https://klasma.github.io/Logging_0883/tillsynsmail/A 51024-2022 tillsynsbegäran mail.docx", "A 51024-2022")</f>
        <v/>
      </c>
      <c r="Z185">
        <f>HYPERLINK("https://klasma.github.io/Logging_0883/fåglar/A 51024-2022 prioriterade fågelarter.docx", "A 51024-2022")</f>
        <v/>
      </c>
    </row>
    <row r="186" ht="15" customHeight="1">
      <c r="A186" t="inlineStr">
        <is>
          <t>A 26056-2022</t>
        </is>
      </c>
      <c r="B186" s="1" t="n">
        <v>44734</v>
      </c>
      <c r="C186" s="1" t="n">
        <v>45882</v>
      </c>
      <c r="D186" t="inlineStr">
        <is>
          <t>KALMAR LÄN</t>
        </is>
      </c>
      <c r="E186" t="inlineStr">
        <is>
          <t>VÄSTERVIK</t>
        </is>
      </c>
      <c r="G186" t="n">
        <v>1.1</v>
      </c>
      <c r="H186" t="n">
        <v>0</v>
      </c>
      <c r="I186" t="n">
        <v>0</v>
      </c>
      <c r="J186" t="n">
        <v>1</v>
      </c>
      <c r="K186" t="n">
        <v>0</v>
      </c>
      <c r="L186" t="n">
        <v>0</v>
      </c>
      <c r="M186" t="n">
        <v>0</v>
      </c>
      <c r="N186" t="n">
        <v>0</v>
      </c>
      <c r="O186" t="n">
        <v>1</v>
      </c>
      <c r="P186" t="n">
        <v>0</v>
      </c>
      <c r="Q186" t="n">
        <v>1</v>
      </c>
      <c r="R186" s="2" t="inlineStr">
        <is>
          <t>Slåtterfibbla</t>
        </is>
      </c>
      <c r="S186">
        <f>HYPERLINK("https://klasma.github.io/Logging_0883/artfynd/A 26056-2022 artfynd.xlsx", "A 26056-2022")</f>
        <v/>
      </c>
      <c r="T186">
        <f>HYPERLINK("https://klasma.github.io/Logging_0883/kartor/A 26056-2022 karta.png", "A 26056-2022")</f>
        <v/>
      </c>
      <c r="V186">
        <f>HYPERLINK("https://klasma.github.io/Logging_0883/klagomål/A 26056-2022 FSC-klagomål.docx", "A 26056-2022")</f>
        <v/>
      </c>
      <c r="W186">
        <f>HYPERLINK("https://klasma.github.io/Logging_0883/klagomålsmail/A 26056-2022 FSC-klagomål mail.docx", "A 26056-2022")</f>
        <v/>
      </c>
      <c r="X186">
        <f>HYPERLINK("https://klasma.github.io/Logging_0883/tillsyn/A 26056-2022 tillsynsbegäran.docx", "A 26056-2022")</f>
        <v/>
      </c>
      <c r="Y186">
        <f>HYPERLINK("https://klasma.github.io/Logging_0883/tillsynsmail/A 26056-2022 tillsynsbegäran mail.docx", "A 26056-2022")</f>
        <v/>
      </c>
    </row>
    <row r="187" ht="15" customHeight="1">
      <c r="A187" t="inlineStr">
        <is>
          <t>A 14089-2025</t>
        </is>
      </c>
      <c r="B187" s="1" t="n">
        <v>45740.44363425926</v>
      </c>
      <c r="C187" s="1" t="n">
        <v>45882</v>
      </c>
      <c r="D187" t="inlineStr">
        <is>
          <t>KALMAR LÄN</t>
        </is>
      </c>
      <c r="E187" t="inlineStr">
        <is>
          <t>VÄSTERVIK</t>
        </is>
      </c>
      <c r="F187" t="inlineStr">
        <is>
          <t>Sveaskog</t>
        </is>
      </c>
      <c r="G187" t="n">
        <v>1.3</v>
      </c>
      <c r="H187" t="n">
        <v>1</v>
      </c>
      <c r="I187" t="n">
        <v>0</v>
      </c>
      <c r="J187" t="n">
        <v>1</v>
      </c>
      <c r="K187" t="n">
        <v>0</v>
      </c>
      <c r="L187" t="n">
        <v>0</v>
      </c>
      <c r="M187" t="n">
        <v>0</v>
      </c>
      <c r="N187" t="n">
        <v>0</v>
      </c>
      <c r="O187" t="n">
        <v>1</v>
      </c>
      <c r="P187" t="n">
        <v>0</v>
      </c>
      <c r="Q187" t="n">
        <v>1</v>
      </c>
      <c r="R187" s="2" t="inlineStr">
        <is>
          <t>Spillkråka</t>
        </is>
      </c>
      <c r="S187">
        <f>HYPERLINK("https://klasma.github.io/Logging_0883/artfynd/A 14089-2025 artfynd.xlsx", "A 14089-2025")</f>
        <v/>
      </c>
      <c r="T187">
        <f>HYPERLINK("https://klasma.github.io/Logging_0883/kartor/A 14089-2025 karta.png", "A 14089-2025")</f>
        <v/>
      </c>
      <c r="V187">
        <f>HYPERLINK("https://klasma.github.io/Logging_0883/klagomål/A 14089-2025 FSC-klagomål.docx", "A 14089-2025")</f>
        <v/>
      </c>
      <c r="W187">
        <f>HYPERLINK("https://klasma.github.io/Logging_0883/klagomålsmail/A 14089-2025 FSC-klagomål mail.docx", "A 14089-2025")</f>
        <v/>
      </c>
      <c r="X187">
        <f>HYPERLINK("https://klasma.github.io/Logging_0883/tillsyn/A 14089-2025 tillsynsbegäran.docx", "A 14089-2025")</f>
        <v/>
      </c>
      <c r="Y187">
        <f>HYPERLINK("https://klasma.github.io/Logging_0883/tillsynsmail/A 14089-2025 tillsynsbegäran mail.docx", "A 14089-2025")</f>
        <v/>
      </c>
      <c r="Z187">
        <f>HYPERLINK("https://klasma.github.io/Logging_0883/fåglar/A 14089-2025 prioriterade fågelarter.docx", "A 14089-2025")</f>
        <v/>
      </c>
    </row>
    <row r="188" ht="15" customHeight="1">
      <c r="A188" t="inlineStr">
        <is>
          <t>A 16695-2025</t>
        </is>
      </c>
      <c r="B188" s="1" t="n">
        <v>45754.46579861111</v>
      </c>
      <c r="C188" s="1" t="n">
        <v>45882</v>
      </c>
      <c r="D188" t="inlineStr">
        <is>
          <t>KALMAR LÄN</t>
        </is>
      </c>
      <c r="E188" t="inlineStr">
        <is>
          <t>VÄSTERVIK</t>
        </is>
      </c>
      <c r="F188" t="inlineStr">
        <is>
          <t>Sveaskog</t>
        </is>
      </c>
      <c r="G188" t="n">
        <v>1.8</v>
      </c>
      <c r="H188" t="n">
        <v>1</v>
      </c>
      <c r="I188" t="n">
        <v>0</v>
      </c>
      <c r="J188" t="n">
        <v>0</v>
      </c>
      <c r="K188" t="n">
        <v>0</v>
      </c>
      <c r="L188" t="n">
        <v>0</v>
      </c>
      <c r="M188" t="n">
        <v>0</v>
      </c>
      <c r="N188" t="n">
        <v>0</v>
      </c>
      <c r="O188" t="n">
        <v>0</v>
      </c>
      <c r="P188" t="n">
        <v>0</v>
      </c>
      <c r="Q188" t="n">
        <v>1</v>
      </c>
      <c r="R188" s="2" t="inlineStr">
        <is>
          <t>Kungsfågel</t>
        </is>
      </c>
      <c r="S188">
        <f>HYPERLINK("https://klasma.github.io/Logging_0883/artfynd/A 16695-2025 artfynd.xlsx", "A 16695-2025")</f>
        <v/>
      </c>
      <c r="T188">
        <f>HYPERLINK("https://klasma.github.io/Logging_0883/kartor/A 16695-2025 karta.png", "A 16695-2025")</f>
        <v/>
      </c>
      <c r="V188">
        <f>HYPERLINK("https://klasma.github.io/Logging_0883/klagomål/A 16695-2025 FSC-klagomål.docx", "A 16695-2025")</f>
        <v/>
      </c>
      <c r="W188">
        <f>HYPERLINK("https://klasma.github.io/Logging_0883/klagomålsmail/A 16695-2025 FSC-klagomål mail.docx", "A 16695-2025")</f>
        <v/>
      </c>
      <c r="X188">
        <f>HYPERLINK("https://klasma.github.io/Logging_0883/tillsyn/A 16695-2025 tillsynsbegäran.docx", "A 16695-2025")</f>
        <v/>
      </c>
      <c r="Y188">
        <f>HYPERLINK("https://klasma.github.io/Logging_0883/tillsynsmail/A 16695-2025 tillsynsbegäran mail.docx", "A 16695-2025")</f>
        <v/>
      </c>
      <c r="Z188">
        <f>HYPERLINK("https://klasma.github.io/Logging_0883/fåglar/A 16695-2025 prioriterade fågelarter.docx", "A 16695-2025")</f>
        <v/>
      </c>
    </row>
    <row r="189" ht="15" customHeight="1">
      <c r="A189" t="inlineStr">
        <is>
          <t>A 16697-2025</t>
        </is>
      </c>
      <c r="B189" s="1" t="n">
        <v>45754.46709490741</v>
      </c>
      <c r="C189" s="1" t="n">
        <v>45882</v>
      </c>
      <c r="D189" t="inlineStr">
        <is>
          <t>KALMAR LÄN</t>
        </is>
      </c>
      <c r="E189" t="inlineStr">
        <is>
          <t>VÄSTERVIK</t>
        </is>
      </c>
      <c r="F189" t="inlineStr">
        <is>
          <t>Sveaskog</t>
        </is>
      </c>
      <c r="G189" t="n">
        <v>1.3</v>
      </c>
      <c r="H189" t="n">
        <v>1</v>
      </c>
      <c r="I189" t="n">
        <v>0</v>
      </c>
      <c r="J189" t="n">
        <v>1</v>
      </c>
      <c r="K189" t="n">
        <v>0</v>
      </c>
      <c r="L189" t="n">
        <v>0</v>
      </c>
      <c r="M189" t="n">
        <v>0</v>
      </c>
      <c r="N189" t="n">
        <v>0</v>
      </c>
      <c r="O189" t="n">
        <v>1</v>
      </c>
      <c r="P189" t="n">
        <v>0</v>
      </c>
      <c r="Q189" t="n">
        <v>1</v>
      </c>
      <c r="R189" s="2" t="inlineStr">
        <is>
          <t>Spillkråka</t>
        </is>
      </c>
      <c r="S189">
        <f>HYPERLINK("https://klasma.github.io/Logging_0883/artfynd/A 16697-2025 artfynd.xlsx", "A 16697-2025")</f>
        <v/>
      </c>
      <c r="T189">
        <f>HYPERLINK("https://klasma.github.io/Logging_0883/kartor/A 16697-2025 karta.png", "A 16697-2025")</f>
        <v/>
      </c>
      <c r="V189">
        <f>HYPERLINK("https://klasma.github.io/Logging_0883/klagomål/A 16697-2025 FSC-klagomål.docx", "A 16697-2025")</f>
        <v/>
      </c>
      <c r="W189">
        <f>HYPERLINK("https://klasma.github.io/Logging_0883/klagomålsmail/A 16697-2025 FSC-klagomål mail.docx", "A 16697-2025")</f>
        <v/>
      </c>
      <c r="X189">
        <f>HYPERLINK("https://klasma.github.io/Logging_0883/tillsyn/A 16697-2025 tillsynsbegäran.docx", "A 16697-2025")</f>
        <v/>
      </c>
      <c r="Y189">
        <f>HYPERLINK("https://klasma.github.io/Logging_0883/tillsynsmail/A 16697-2025 tillsynsbegäran mail.docx", "A 16697-2025")</f>
        <v/>
      </c>
      <c r="Z189">
        <f>HYPERLINK("https://klasma.github.io/Logging_0883/fåglar/A 16697-2025 prioriterade fågelarter.docx", "A 16697-2025")</f>
        <v/>
      </c>
    </row>
    <row r="190" ht="15" customHeight="1">
      <c r="A190" t="inlineStr">
        <is>
          <t>A 66752-2020</t>
        </is>
      </c>
      <c r="B190" s="1" t="n">
        <v>44175</v>
      </c>
      <c r="C190" s="1" t="n">
        <v>45882</v>
      </c>
      <c r="D190" t="inlineStr">
        <is>
          <t>KALMAR LÄN</t>
        </is>
      </c>
      <c r="E190" t="inlineStr">
        <is>
          <t>VÄSTERVIK</t>
        </is>
      </c>
      <c r="G190" t="n">
        <v>0.7</v>
      </c>
      <c r="H190" t="n">
        <v>0</v>
      </c>
      <c r="I190" t="n">
        <v>0</v>
      </c>
      <c r="J190" t="n">
        <v>1</v>
      </c>
      <c r="K190" t="n">
        <v>0</v>
      </c>
      <c r="L190" t="n">
        <v>0</v>
      </c>
      <c r="M190" t="n">
        <v>0</v>
      </c>
      <c r="N190" t="n">
        <v>0</v>
      </c>
      <c r="O190" t="n">
        <v>1</v>
      </c>
      <c r="P190" t="n">
        <v>0</v>
      </c>
      <c r="Q190" t="n">
        <v>1</v>
      </c>
      <c r="R190" s="2" t="inlineStr">
        <is>
          <t>Tallticka</t>
        </is>
      </c>
      <c r="S190">
        <f>HYPERLINK("https://klasma.github.io/Logging_0883/artfynd/A 66752-2020 artfynd.xlsx", "A 66752-2020")</f>
        <v/>
      </c>
      <c r="T190">
        <f>HYPERLINK("https://klasma.github.io/Logging_0883/kartor/A 66752-2020 karta.png", "A 66752-2020")</f>
        <v/>
      </c>
      <c r="V190">
        <f>HYPERLINK("https://klasma.github.io/Logging_0883/klagomål/A 66752-2020 FSC-klagomål.docx", "A 66752-2020")</f>
        <v/>
      </c>
      <c r="W190">
        <f>HYPERLINK("https://klasma.github.io/Logging_0883/klagomålsmail/A 66752-2020 FSC-klagomål mail.docx", "A 66752-2020")</f>
        <v/>
      </c>
      <c r="X190">
        <f>HYPERLINK("https://klasma.github.io/Logging_0883/tillsyn/A 66752-2020 tillsynsbegäran.docx", "A 66752-2020")</f>
        <v/>
      </c>
      <c r="Y190">
        <f>HYPERLINK("https://klasma.github.io/Logging_0883/tillsynsmail/A 66752-2020 tillsynsbegäran mail.docx", "A 66752-2020")</f>
        <v/>
      </c>
    </row>
    <row r="191" ht="15" customHeight="1">
      <c r="A191" t="inlineStr">
        <is>
          <t>A 12662-2022</t>
        </is>
      </c>
      <c r="B191" s="1" t="n">
        <v>44641</v>
      </c>
      <c r="C191" s="1" t="n">
        <v>45882</v>
      </c>
      <c r="D191" t="inlineStr">
        <is>
          <t>KALMAR LÄN</t>
        </is>
      </c>
      <c r="E191" t="inlineStr">
        <is>
          <t>VÄSTERVIK</t>
        </is>
      </c>
      <c r="G191" t="n">
        <v>2.1</v>
      </c>
      <c r="H191" t="n">
        <v>0</v>
      </c>
      <c r="I191" t="n">
        <v>1</v>
      </c>
      <c r="J191" t="n">
        <v>0</v>
      </c>
      <c r="K191" t="n">
        <v>0</v>
      </c>
      <c r="L191" t="n">
        <v>0</v>
      </c>
      <c r="M191" t="n">
        <v>0</v>
      </c>
      <c r="N191" t="n">
        <v>0</v>
      </c>
      <c r="O191" t="n">
        <v>0</v>
      </c>
      <c r="P191" t="n">
        <v>0</v>
      </c>
      <c r="Q191" t="n">
        <v>1</v>
      </c>
      <c r="R191" s="2" t="inlineStr">
        <is>
          <t>Blåmossa</t>
        </is>
      </c>
      <c r="S191">
        <f>HYPERLINK("https://klasma.github.io/Logging_0883/artfynd/A 12662-2022 artfynd.xlsx", "A 12662-2022")</f>
        <v/>
      </c>
      <c r="T191">
        <f>HYPERLINK("https://klasma.github.io/Logging_0883/kartor/A 12662-2022 karta.png", "A 12662-2022")</f>
        <v/>
      </c>
      <c r="V191">
        <f>HYPERLINK("https://klasma.github.io/Logging_0883/klagomål/A 12662-2022 FSC-klagomål.docx", "A 12662-2022")</f>
        <v/>
      </c>
      <c r="W191">
        <f>HYPERLINK("https://klasma.github.io/Logging_0883/klagomålsmail/A 12662-2022 FSC-klagomål mail.docx", "A 12662-2022")</f>
        <v/>
      </c>
      <c r="X191">
        <f>HYPERLINK("https://klasma.github.io/Logging_0883/tillsyn/A 12662-2022 tillsynsbegäran.docx", "A 12662-2022")</f>
        <v/>
      </c>
      <c r="Y191">
        <f>HYPERLINK("https://klasma.github.io/Logging_0883/tillsynsmail/A 12662-2022 tillsynsbegäran mail.docx", "A 12662-2022")</f>
        <v/>
      </c>
    </row>
    <row r="192" ht="15" customHeight="1">
      <c r="A192" t="inlineStr">
        <is>
          <t>A 46559-2022</t>
        </is>
      </c>
      <c r="B192" s="1" t="n">
        <v>44848</v>
      </c>
      <c r="C192" s="1" t="n">
        <v>45882</v>
      </c>
      <c r="D192" t="inlineStr">
        <is>
          <t>KALMAR LÄN</t>
        </is>
      </c>
      <c r="E192" t="inlineStr">
        <is>
          <t>VÄSTERVIK</t>
        </is>
      </c>
      <c r="F192" t="inlineStr">
        <is>
          <t>Sveaskog</t>
        </is>
      </c>
      <c r="G192" t="n">
        <v>2.2</v>
      </c>
      <c r="H192" t="n">
        <v>1</v>
      </c>
      <c r="I192" t="n">
        <v>0</v>
      </c>
      <c r="J192" t="n">
        <v>0</v>
      </c>
      <c r="K192" t="n">
        <v>0</v>
      </c>
      <c r="L192" t="n">
        <v>0</v>
      </c>
      <c r="M192" t="n">
        <v>0</v>
      </c>
      <c r="N192" t="n">
        <v>0</v>
      </c>
      <c r="O192" t="n">
        <v>0</v>
      </c>
      <c r="P192" t="n">
        <v>0</v>
      </c>
      <c r="Q192" t="n">
        <v>1</v>
      </c>
      <c r="R192" s="2" t="inlineStr">
        <is>
          <t>Blåsippa</t>
        </is>
      </c>
      <c r="S192">
        <f>HYPERLINK("https://klasma.github.io/Logging_0883/artfynd/A 46559-2022 artfynd.xlsx", "A 46559-2022")</f>
        <v/>
      </c>
      <c r="T192">
        <f>HYPERLINK("https://klasma.github.io/Logging_0883/kartor/A 46559-2022 karta.png", "A 46559-2022")</f>
        <v/>
      </c>
      <c r="V192">
        <f>HYPERLINK("https://klasma.github.io/Logging_0883/klagomål/A 46559-2022 FSC-klagomål.docx", "A 46559-2022")</f>
        <v/>
      </c>
      <c r="W192">
        <f>HYPERLINK("https://klasma.github.io/Logging_0883/klagomålsmail/A 46559-2022 FSC-klagomål mail.docx", "A 46559-2022")</f>
        <v/>
      </c>
      <c r="X192">
        <f>HYPERLINK("https://klasma.github.io/Logging_0883/tillsyn/A 46559-2022 tillsynsbegäran.docx", "A 46559-2022")</f>
        <v/>
      </c>
      <c r="Y192">
        <f>HYPERLINK("https://klasma.github.io/Logging_0883/tillsynsmail/A 46559-2022 tillsynsbegäran mail.docx", "A 46559-2022")</f>
        <v/>
      </c>
    </row>
    <row r="193" ht="15" customHeight="1">
      <c r="A193" t="inlineStr">
        <is>
          <t>A 25436-2023</t>
        </is>
      </c>
      <c r="B193" s="1" t="n">
        <v>45089</v>
      </c>
      <c r="C193" s="1" t="n">
        <v>45882</v>
      </c>
      <c r="D193" t="inlineStr">
        <is>
          <t>KALMAR LÄN</t>
        </is>
      </c>
      <c r="E193" t="inlineStr">
        <is>
          <t>VÄSTERVIK</t>
        </is>
      </c>
      <c r="G193" t="n">
        <v>1.6</v>
      </c>
      <c r="H193" t="n">
        <v>1</v>
      </c>
      <c r="I193" t="n">
        <v>0</v>
      </c>
      <c r="J193" t="n">
        <v>0</v>
      </c>
      <c r="K193" t="n">
        <v>1</v>
      </c>
      <c r="L193" t="n">
        <v>0</v>
      </c>
      <c r="M193" t="n">
        <v>0</v>
      </c>
      <c r="N193" t="n">
        <v>0</v>
      </c>
      <c r="O193" t="n">
        <v>1</v>
      </c>
      <c r="P193" t="n">
        <v>1</v>
      </c>
      <c r="Q193" t="n">
        <v>1</v>
      </c>
      <c r="R193" s="2" t="inlineStr">
        <is>
          <t>Knärot</t>
        </is>
      </c>
      <c r="S193">
        <f>HYPERLINK("https://klasma.github.io/Logging_0883/artfynd/A 25436-2023 artfynd.xlsx", "A 25436-2023")</f>
        <v/>
      </c>
      <c r="T193">
        <f>HYPERLINK("https://klasma.github.io/Logging_0883/kartor/A 25436-2023 karta.png", "A 25436-2023")</f>
        <v/>
      </c>
      <c r="U193">
        <f>HYPERLINK("https://klasma.github.io/Logging_0883/knärot/A 25436-2023 karta knärot.png", "A 25436-2023")</f>
        <v/>
      </c>
      <c r="V193">
        <f>HYPERLINK("https://klasma.github.io/Logging_0883/klagomål/A 25436-2023 FSC-klagomål.docx", "A 25436-2023")</f>
        <v/>
      </c>
      <c r="W193">
        <f>HYPERLINK("https://klasma.github.io/Logging_0883/klagomålsmail/A 25436-2023 FSC-klagomål mail.docx", "A 25436-2023")</f>
        <v/>
      </c>
      <c r="X193">
        <f>HYPERLINK("https://klasma.github.io/Logging_0883/tillsyn/A 25436-2023 tillsynsbegäran.docx", "A 25436-2023")</f>
        <v/>
      </c>
      <c r="Y193">
        <f>HYPERLINK("https://klasma.github.io/Logging_0883/tillsynsmail/A 25436-2023 tillsynsbegäran mail.docx", "A 25436-2023")</f>
        <v/>
      </c>
    </row>
    <row r="194" ht="15" customHeight="1">
      <c r="A194" t="inlineStr">
        <is>
          <t>A 9265-2025</t>
        </is>
      </c>
      <c r="B194" s="1" t="n">
        <v>45714.61153935185</v>
      </c>
      <c r="C194" s="1" t="n">
        <v>45882</v>
      </c>
      <c r="D194" t="inlineStr">
        <is>
          <t>KALMAR LÄN</t>
        </is>
      </c>
      <c r="E194" t="inlineStr">
        <is>
          <t>VÄSTERVIK</t>
        </is>
      </c>
      <c r="F194" t="inlineStr">
        <is>
          <t>Sveaskog</t>
        </is>
      </c>
      <c r="G194" t="n">
        <v>2.2</v>
      </c>
      <c r="H194" t="n">
        <v>1</v>
      </c>
      <c r="I194" t="n">
        <v>0</v>
      </c>
      <c r="J194" t="n">
        <v>1</v>
      </c>
      <c r="K194" t="n">
        <v>0</v>
      </c>
      <c r="L194" t="n">
        <v>0</v>
      </c>
      <c r="M194" t="n">
        <v>0</v>
      </c>
      <c r="N194" t="n">
        <v>0</v>
      </c>
      <c r="O194" t="n">
        <v>1</v>
      </c>
      <c r="P194" t="n">
        <v>0</v>
      </c>
      <c r="Q194" t="n">
        <v>1</v>
      </c>
      <c r="R194" s="2" t="inlineStr">
        <is>
          <t>Havsörn</t>
        </is>
      </c>
      <c r="S194">
        <f>HYPERLINK("https://klasma.github.io/Logging_0883/artfynd/A 9265-2025 artfynd.xlsx", "A 9265-2025")</f>
        <v/>
      </c>
      <c r="T194">
        <f>HYPERLINK("https://klasma.github.io/Logging_0883/kartor/A 9265-2025 karta.png", "A 9265-2025")</f>
        <v/>
      </c>
      <c r="V194">
        <f>HYPERLINK("https://klasma.github.io/Logging_0883/klagomål/A 9265-2025 FSC-klagomål.docx", "A 9265-2025")</f>
        <v/>
      </c>
      <c r="W194">
        <f>HYPERLINK("https://klasma.github.io/Logging_0883/klagomålsmail/A 9265-2025 FSC-klagomål mail.docx", "A 9265-2025")</f>
        <v/>
      </c>
      <c r="X194">
        <f>HYPERLINK("https://klasma.github.io/Logging_0883/tillsyn/A 9265-2025 tillsynsbegäran.docx", "A 9265-2025")</f>
        <v/>
      </c>
      <c r="Y194">
        <f>HYPERLINK("https://klasma.github.io/Logging_0883/tillsynsmail/A 9265-2025 tillsynsbegäran mail.docx", "A 9265-2025")</f>
        <v/>
      </c>
      <c r="Z194">
        <f>HYPERLINK("https://klasma.github.io/Logging_0883/fåglar/A 9265-2025 prioriterade fågelarter.docx", "A 9265-2025")</f>
        <v/>
      </c>
    </row>
    <row r="195" ht="15" customHeight="1">
      <c r="A195" t="inlineStr">
        <is>
          <t>A 12292-2025</t>
        </is>
      </c>
      <c r="B195" s="1" t="n">
        <v>45729.68322916667</v>
      </c>
      <c r="C195" s="1" t="n">
        <v>45882</v>
      </c>
      <c r="D195" t="inlineStr">
        <is>
          <t>KALMAR LÄN</t>
        </is>
      </c>
      <c r="E195" t="inlineStr">
        <is>
          <t>VÄSTERVIK</t>
        </is>
      </c>
      <c r="G195" t="n">
        <v>1.7</v>
      </c>
      <c r="H195" t="n">
        <v>1</v>
      </c>
      <c r="I195" t="n">
        <v>0</v>
      </c>
      <c r="J195" t="n">
        <v>0</v>
      </c>
      <c r="K195" t="n">
        <v>1</v>
      </c>
      <c r="L195" t="n">
        <v>0</v>
      </c>
      <c r="M195" t="n">
        <v>0</v>
      </c>
      <c r="N195" t="n">
        <v>0</v>
      </c>
      <c r="O195" t="n">
        <v>1</v>
      </c>
      <c r="P195" t="n">
        <v>1</v>
      </c>
      <c r="Q195" t="n">
        <v>1</v>
      </c>
      <c r="R195" s="2" t="inlineStr">
        <is>
          <t>Knärot</t>
        </is>
      </c>
      <c r="S195">
        <f>HYPERLINK("https://klasma.github.io/Logging_0883/artfynd/A 12292-2025 artfynd.xlsx", "A 12292-2025")</f>
        <v/>
      </c>
      <c r="T195">
        <f>HYPERLINK("https://klasma.github.io/Logging_0883/kartor/A 12292-2025 karta.png", "A 12292-2025")</f>
        <v/>
      </c>
      <c r="U195">
        <f>HYPERLINK("https://klasma.github.io/Logging_0883/knärot/A 12292-2025 karta knärot.png", "A 12292-2025")</f>
        <v/>
      </c>
      <c r="V195">
        <f>HYPERLINK("https://klasma.github.io/Logging_0883/klagomål/A 12292-2025 FSC-klagomål.docx", "A 12292-2025")</f>
        <v/>
      </c>
      <c r="W195">
        <f>HYPERLINK("https://klasma.github.io/Logging_0883/klagomålsmail/A 12292-2025 FSC-klagomål mail.docx", "A 12292-2025")</f>
        <v/>
      </c>
      <c r="X195">
        <f>HYPERLINK("https://klasma.github.io/Logging_0883/tillsyn/A 12292-2025 tillsynsbegäran.docx", "A 12292-2025")</f>
        <v/>
      </c>
      <c r="Y195">
        <f>HYPERLINK("https://klasma.github.io/Logging_0883/tillsynsmail/A 12292-2025 tillsynsbegäran mail.docx", "A 12292-2025")</f>
        <v/>
      </c>
    </row>
    <row r="196" ht="15" customHeight="1">
      <c r="A196" t="inlineStr">
        <is>
          <t>A 53075-2024</t>
        </is>
      </c>
      <c r="B196" s="1" t="n">
        <v>45611</v>
      </c>
      <c r="C196" s="1" t="n">
        <v>45882</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17952-2025</t>
        </is>
      </c>
      <c r="B197" s="1" t="n">
        <v>45760.85842592592</v>
      </c>
      <c r="C197" s="1" t="n">
        <v>45882</v>
      </c>
      <c r="D197" t="inlineStr">
        <is>
          <t>KALMAR LÄN</t>
        </is>
      </c>
      <c r="E197" t="inlineStr">
        <is>
          <t>VÄSTERVIK</t>
        </is>
      </c>
      <c r="G197" t="n">
        <v>3.3</v>
      </c>
      <c r="H197" t="n">
        <v>1</v>
      </c>
      <c r="I197" t="n">
        <v>0</v>
      </c>
      <c r="J197" t="n">
        <v>0</v>
      </c>
      <c r="K197" t="n">
        <v>0</v>
      </c>
      <c r="L197" t="n">
        <v>0</v>
      </c>
      <c r="M197" t="n">
        <v>0</v>
      </c>
      <c r="N197" t="n">
        <v>0</v>
      </c>
      <c r="O197" t="n">
        <v>0</v>
      </c>
      <c r="P197" t="n">
        <v>0</v>
      </c>
      <c r="Q197" t="n">
        <v>1</v>
      </c>
      <c r="R197" s="2" t="inlineStr">
        <is>
          <t>Revlummer</t>
        </is>
      </c>
      <c r="S197">
        <f>HYPERLINK("https://klasma.github.io/Logging_0883/artfynd/A 17952-2025 artfynd.xlsx", "A 17952-2025")</f>
        <v/>
      </c>
      <c r="T197">
        <f>HYPERLINK("https://klasma.github.io/Logging_0883/kartor/A 17952-2025 karta.png", "A 17952-2025")</f>
        <v/>
      </c>
      <c r="V197">
        <f>HYPERLINK("https://klasma.github.io/Logging_0883/klagomål/A 17952-2025 FSC-klagomål.docx", "A 17952-2025")</f>
        <v/>
      </c>
      <c r="W197">
        <f>HYPERLINK("https://klasma.github.io/Logging_0883/klagomålsmail/A 17952-2025 FSC-klagomål mail.docx", "A 17952-2025")</f>
        <v/>
      </c>
      <c r="X197">
        <f>HYPERLINK("https://klasma.github.io/Logging_0883/tillsyn/A 17952-2025 tillsynsbegäran.docx", "A 17952-2025")</f>
        <v/>
      </c>
      <c r="Y197">
        <f>HYPERLINK("https://klasma.github.io/Logging_0883/tillsynsmail/A 17952-2025 tillsynsbegäran mail.docx", "A 17952-2025")</f>
        <v/>
      </c>
    </row>
    <row r="198" ht="15" customHeight="1">
      <c r="A198" t="inlineStr">
        <is>
          <t>A 29455-2021</t>
        </is>
      </c>
      <c r="B198" s="1" t="n">
        <v>44361</v>
      </c>
      <c r="C198" s="1" t="n">
        <v>45882</v>
      </c>
      <c r="D198" t="inlineStr">
        <is>
          <t>KALMAR LÄN</t>
        </is>
      </c>
      <c r="E198" t="inlineStr">
        <is>
          <t>VÄSTERVIK</t>
        </is>
      </c>
      <c r="F198" t="inlineStr">
        <is>
          <t>Övriga Aktiebolag</t>
        </is>
      </c>
      <c r="G198" t="n">
        <v>3.1</v>
      </c>
      <c r="H198" t="n">
        <v>1</v>
      </c>
      <c r="I198" t="n">
        <v>0</v>
      </c>
      <c r="J198" t="n">
        <v>0</v>
      </c>
      <c r="K198" t="n">
        <v>1</v>
      </c>
      <c r="L198" t="n">
        <v>0</v>
      </c>
      <c r="M198" t="n">
        <v>0</v>
      </c>
      <c r="N198" t="n">
        <v>0</v>
      </c>
      <c r="O198" t="n">
        <v>1</v>
      </c>
      <c r="P198" t="n">
        <v>1</v>
      </c>
      <c r="Q198" t="n">
        <v>1</v>
      </c>
      <c r="R198" s="2" t="inlineStr">
        <is>
          <t>Knärot</t>
        </is>
      </c>
      <c r="S198">
        <f>HYPERLINK("https://klasma.github.io/Logging_0883/artfynd/A 29455-2021 artfynd.xlsx", "A 29455-2021")</f>
        <v/>
      </c>
      <c r="T198">
        <f>HYPERLINK("https://klasma.github.io/Logging_0883/kartor/A 29455-2021 karta.png", "A 29455-2021")</f>
        <v/>
      </c>
      <c r="U198">
        <f>HYPERLINK("https://klasma.github.io/Logging_0883/knärot/A 29455-2021 karta knärot.png", "A 29455-2021")</f>
        <v/>
      </c>
      <c r="V198">
        <f>HYPERLINK("https://klasma.github.io/Logging_0883/klagomål/A 29455-2021 FSC-klagomål.docx", "A 29455-2021")</f>
        <v/>
      </c>
      <c r="W198">
        <f>HYPERLINK("https://klasma.github.io/Logging_0883/klagomålsmail/A 29455-2021 FSC-klagomål mail.docx", "A 29455-2021")</f>
        <v/>
      </c>
      <c r="X198">
        <f>HYPERLINK("https://klasma.github.io/Logging_0883/tillsyn/A 29455-2021 tillsynsbegäran.docx", "A 29455-2021")</f>
        <v/>
      </c>
      <c r="Y198">
        <f>HYPERLINK("https://klasma.github.io/Logging_0883/tillsynsmail/A 29455-2021 tillsynsbegäran mail.docx", "A 29455-2021")</f>
        <v/>
      </c>
    </row>
    <row r="199" ht="15" customHeight="1">
      <c r="A199" t="inlineStr">
        <is>
          <t>A 6025-2024</t>
        </is>
      </c>
      <c r="B199" s="1" t="n">
        <v>45336</v>
      </c>
      <c r="C199" s="1" t="n">
        <v>45882</v>
      </c>
      <c r="D199" t="inlineStr">
        <is>
          <t>KALMAR LÄN</t>
        </is>
      </c>
      <c r="E199" t="inlineStr">
        <is>
          <t>VÄSTERVIK</t>
        </is>
      </c>
      <c r="G199" t="n">
        <v>2.8</v>
      </c>
      <c r="H199" t="n">
        <v>0</v>
      </c>
      <c r="I199" t="n">
        <v>0</v>
      </c>
      <c r="J199" t="n">
        <v>1</v>
      </c>
      <c r="K199" t="n">
        <v>0</v>
      </c>
      <c r="L199" t="n">
        <v>0</v>
      </c>
      <c r="M199" t="n">
        <v>0</v>
      </c>
      <c r="N199" t="n">
        <v>0</v>
      </c>
      <c r="O199" t="n">
        <v>1</v>
      </c>
      <c r="P199" t="n">
        <v>0</v>
      </c>
      <c r="Q199" t="n">
        <v>1</v>
      </c>
      <c r="R199" s="2" t="inlineStr">
        <is>
          <t>Tallticka</t>
        </is>
      </c>
      <c r="S199">
        <f>HYPERLINK("https://klasma.github.io/Logging_0883/artfynd/A 6025-2024 artfynd.xlsx", "A 6025-2024")</f>
        <v/>
      </c>
      <c r="T199">
        <f>HYPERLINK("https://klasma.github.io/Logging_0883/kartor/A 6025-2024 karta.png", "A 6025-2024")</f>
        <v/>
      </c>
      <c r="V199">
        <f>HYPERLINK("https://klasma.github.io/Logging_0883/klagomål/A 6025-2024 FSC-klagomål.docx", "A 6025-2024")</f>
        <v/>
      </c>
      <c r="W199">
        <f>HYPERLINK("https://klasma.github.io/Logging_0883/klagomålsmail/A 6025-2024 FSC-klagomål mail.docx", "A 6025-2024")</f>
        <v/>
      </c>
      <c r="X199">
        <f>HYPERLINK("https://klasma.github.io/Logging_0883/tillsyn/A 6025-2024 tillsynsbegäran.docx", "A 6025-2024")</f>
        <v/>
      </c>
      <c r="Y199">
        <f>HYPERLINK("https://klasma.github.io/Logging_0883/tillsynsmail/A 6025-2024 tillsynsbegäran mail.docx", "A 6025-2024")</f>
        <v/>
      </c>
    </row>
    <row r="200" ht="15" customHeight="1">
      <c r="A200" t="inlineStr">
        <is>
          <t>A 11195-2024</t>
        </is>
      </c>
      <c r="B200" s="1" t="n">
        <v>45371</v>
      </c>
      <c r="C200" s="1" t="n">
        <v>45882</v>
      </c>
      <c r="D200" t="inlineStr">
        <is>
          <t>KALMAR LÄN</t>
        </is>
      </c>
      <c r="E200" t="inlineStr">
        <is>
          <t>VÄSTERVIK</t>
        </is>
      </c>
      <c r="G200" t="n">
        <v>1.9</v>
      </c>
      <c r="H200" t="n">
        <v>1</v>
      </c>
      <c r="I200" t="n">
        <v>0</v>
      </c>
      <c r="J200" t="n">
        <v>0</v>
      </c>
      <c r="K200" t="n">
        <v>1</v>
      </c>
      <c r="L200" t="n">
        <v>0</v>
      </c>
      <c r="M200" t="n">
        <v>0</v>
      </c>
      <c r="N200" t="n">
        <v>0</v>
      </c>
      <c r="O200" t="n">
        <v>1</v>
      </c>
      <c r="P200" t="n">
        <v>1</v>
      </c>
      <c r="Q200" t="n">
        <v>1</v>
      </c>
      <c r="R200" s="2" t="inlineStr">
        <is>
          <t>Knärot</t>
        </is>
      </c>
      <c r="S200">
        <f>HYPERLINK("https://klasma.github.io/Logging_0883/artfynd/A 11195-2024 artfynd.xlsx", "A 11195-2024")</f>
        <v/>
      </c>
      <c r="T200">
        <f>HYPERLINK("https://klasma.github.io/Logging_0883/kartor/A 11195-2024 karta.png", "A 11195-2024")</f>
        <v/>
      </c>
      <c r="U200">
        <f>HYPERLINK("https://klasma.github.io/Logging_0883/knärot/A 11195-2024 karta knärot.png", "A 11195-2024")</f>
        <v/>
      </c>
      <c r="V200">
        <f>HYPERLINK("https://klasma.github.io/Logging_0883/klagomål/A 11195-2024 FSC-klagomål.docx", "A 11195-2024")</f>
        <v/>
      </c>
      <c r="W200">
        <f>HYPERLINK("https://klasma.github.io/Logging_0883/klagomålsmail/A 11195-2024 FSC-klagomål mail.docx", "A 11195-2024")</f>
        <v/>
      </c>
      <c r="X200">
        <f>HYPERLINK("https://klasma.github.io/Logging_0883/tillsyn/A 11195-2024 tillsynsbegäran.docx", "A 11195-2024")</f>
        <v/>
      </c>
      <c r="Y200">
        <f>HYPERLINK("https://klasma.github.io/Logging_0883/tillsynsmail/A 11195-2024 tillsynsbegäran mail.docx", "A 11195-2024")</f>
        <v/>
      </c>
    </row>
    <row r="201" ht="15" customHeight="1">
      <c r="A201" t="inlineStr">
        <is>
          <t>A 3057-2025</t>
        </is>
      </c>
      <c r="B201" s="1" t="n">
        <v>45678</v>
      </c>
      <c r="C201" s="1" t="n">
        <v>45882</v>
      </c>
      <c r="D201" t="inlineStr">
        <is>
          <t>KALMAR LÄN</t>
        </is>
      </c>
      <c r="E201" t="inlineStr">
        <is>
          <t>VÄSTERVIK</t>
        </is>
      </c>
      <c r="G201" t="n">
        <v>1</v>
      </c>
      <c r="H201" t="n">
        <v>1</v>
      </c>
      <c r="I201" t="n">
        <v>0</v>
      </c>
      <c r="J201" t="n">
        <v>0</v>
      </c>
      <c r="K201" t="n">
        <v>1</v>
      </c>
      <c r="L201" t="n">
        <v>0</v>
      </c>
      <c r="M201" t="n">
        <v>0</v>
      </c>
      <c r="N201" t="n">
        <v>0</v>
      </c>
      <c r="O201" t="n">
        <v>1</v>
      </c>
      <c r="P201" t="n">
        <v>1</v>
      </c>
      <c r="Q201" t="n">
        <v>1</v>
      </c>
      <c r="R201" s="2" t="inlineStr">
        <is>
          <t>Knärot</t>
        </is>
      </c>
      <c r="S201">
        <f>HYPERLINK("https://klasma.github.io/Logging_0883/artfynd/A 3057-2025 artfynd.xlsx", "A 3057-2025")</f>
        <v/>
      </c>
      <c r="T201">
        <f>HYPERLINK("https://klasma.github.io/Logging_0883/kartor/A 3057-2025 karta.png", "A 3057-2025")</f>
        <v/>
      </c>
      <c r="U201">
        <f>HYPERLINK("https://klasma.github.io/Logging_0883/knärot/A 3057-2025 karta knärot.png", "A 3057-2025")</f>
        <v/>
      </c>
      <c r="V201">
        <f>HYPERLINK("https://klasma.github.io/Logging_0883/klagomål/A 3057-2025 FSC-klagomål.docx", "A 3057-2025")</f>
        <v/>
      </c>
      <c r="W201">
        <f>HYPERLINK("https://klasma.github.io/Logging_0883/klagomålsmail/A 3057-2025 FSC-klagomål mail.docx", "A 3057-2025")</f>
        <v/>
      </c>
      <c r="X201">
        <f>HYPERLINK("https://klasma.github.io/Logging_0883/tillsyn/A 3057-2025 tillsynsbegäran.docx", "A 3057-2025")</f>
        <v/>
      </c>
      <c r="Y201">
        <f>HYPERLINK("https://klasma.github.io/Logging_0883/tillsynsmail/A 3057-2025 tillsynsbegäran mail.docx", "A 3057-2025")</f>
        <v/>
      </c>
    </row>
    <row r="202" ht="15" customHeight="1">
      <c r="A202" t="inlineStr">
        <is>
          <t>A 32653-2023</t>
        </is>
      </c>
      <c r="B202" s="1" t="n">
        <v>45121</v>
      </c>
      <c r="C202" s="1" t="n">
        <v>45882</v>
      </c>
      <c r="D202" t="inlineStr">
        <is>
          <t>KALMAR LÄN</t>
        </is>
      </c>
      <c r="E202" t="inlineStr">
        <is>
          <t>VÄSTERVIK</t>
        </is>
      </c>
      <c r="G202" t="n">
        <v>1.4</v>
      </c>
      <c r="H202" t="n">
        <v>1</v>
      </c>
      <c r="I202" t="n">
        <v>0</v>
      </c>
      <c r="J202" t="n">
        <v>0</v>
      </c>
      <c r="K202" t="n">
        <v>1</v>
      </c>
      <c r="L202" t="n">
        <v>0</v>
      </c>
      <c r="M202" t="n">
        <v>0</v>
      </c>
      <c r="N202" t="n">
        <v>0</v>
      </c>
      <c r="O202" t="n">
        <v>1</v>
      </c>
      <c r="P202" t="n">
        <v>1</v>
      </c>
      <c r="Q202" t="n">
        <v>1</v>
      </c>
      <c r="R202" s="2" t="inlineStr">
        <is>
          <t>Knärot</t>
        </is>
      </c>
      <c r="S202">
        <f>HYPERLINK("https://klasma.github.io/Logging_0883/artfynd/A 32653-2023 artfynd.xlsx", "A 32653-2023")</f>
        <v/>
      </c>
      <c r="T202">
        <f>HYPERLINK("https://klasma.github.io/Logging_0883/kartor/A 32653-2023 karta.png", "A 32653-2023")</f>
        <v/>
      </c>
      <c r="U202">
        <f>HYPERLINK("https://klasma.github.io/Logging_0883/knärot/A 32653-2023 karta knärot.png", "A 32653-2023")</f>
        <v/>
      </c>
      <c r="V202">
        <f>HYPERLINK("https://klasma.github.io/Logging_0883/klagomål/A 32653-2023 FSC-klagomål.docx", "A 32653-2023")</f>
        <v/>
      </c>
      <c r="W202">
        <f>HYPERLINK("https://klasma.github.io/Logging_0883/klagomålsmail/A 32653-2023 FSC-klagomål mail.docx", "A 32653-2023")</f>
        <v/>
      </c>
      <c r="X202">
        <f>HYPERLINK("https://klasma.github.io/Logging_0883/tillsyn/A 32653-2023 tillsynsbegäran.docx", "A 32653-2023")</f>
        <v/>
      </c>
      <c r="Y202">
        <f>HYPERLINK("https://klasma.github.io/Logging_0883/tillsynsmail/A 32653-2023 tillsynsbegäran mail.docx", "A 32653-2023")</f>
        <v/>
      </c>
    </row>
    <row r="203" ht="15" customHeight="1">
      <c r="A203" t="inlineStr">
        <is>
          <t>A 6634-2025</t>
        </is>
      </c>
      <c r="B203" s="1" t="n">
        <v>45700.38141203704</v>
      </c>
      <c r="C203" s="1" t="n">
        <v>45882</v>
      </c>
      <c r="D203" t="inlineStr">
        <is>
          <t>KALMAR LÄN</t>
        </is>
      </c>
      <c r="E203" t="inlineStr">
        <is>
          <t>VÄSTERVIK</t>
        </is>
      </c>
      <c r="G203" t="n">
        <v>2.2</v>
      </c>
      <c r="H203" t="n">
        <v>0</v>
      </c>
      <c r="I203" t="n">
        <v>1</v>
      </c>
      <c r="J203" t="n">
        <v>0</v>
      </c>
      <c r="K203" t="n">
        <v>0</v>
      </c>
      <c r="L203" t="n">
        <v>0</v>
      </c>
      <c r="M203" t="n">
        <v>0</v>
      </c>
      <c r="N203" t="n">
        <v>0</v>
      </c>
      <c r="O203" t="n">
        <v>0</v>
      </c>
      <c r="P203" t="n">
        <v>0</v>
      </c>
      <c r="Q203" t="n">
        <v>1</v>
      </c>
      <c r="R203" s="2" t="inlineStr">
        <is>
          <t>Ögonpyrola</t>
        </is>
      </c>
      <c r="S203">
        <f>HYPERLINK("https://klasma.github.io/Logging_0883/artfynd/A 6634-2025 artfynd.xlsx", "A 6634-2025")</f>
        <v/>
      </c>
      <c r="T203">
        <f>HYPERLINK("https://klasma.github.io/Logging_0883/kartor/A 6634-2025 karta.png", "A 6634-2025")</f>
        <v/>
      </c>
      <c r="V203">
        <f>HYPERLINK("https://klasma.github.io/Logging_0883/klagomål/A 6634-2025 FSC-klagomål.docx", "A 6634-2025")</f>
        <v/>
      </c>
      <c r="W203">
        <f>HYPERLINK("https://klasma.github.io/Logging_0883/klagomålsmail/A 6634-2025 FSC-klagomål mail.docx", "A 6634-2025")</f>
        <v/>
      </c>
      <c r="X203">
        <f>HYPERLINK("https://klasma.github.io/Logging_0883/tillsyn/A 6634-2025 tillsynsbegäran.docx", "A 6634-2025")</f>
        <v/>
      </c>
      <c r="Y203">
        <f>HYPERLINK("https://klasma.github.io/Logging_0883/tillsynsmail/A 6634-2025 tillsynsbegäran mail.docx", "A 6634-2025")</f>
        <v/>
      </c>
    </row>
    <row r="204" ht="15" customHeight="1">
      <c r="A204" t="inlineStr">
        <is>
          <t>A 21409-2025</t>
        </is>
      </c>
      <c r="B204" s="1" t="n">
        <v>45782</v>
      </c>
      <c r="C204" s="1" t="n">
        <v>45882</v>
      </c>
      <c r="D204" t="inlineStr">
        <is>
          <t>KALMAR LÄN</t>
        </is>
      </c>
      <c r="E204" t="inlineStr">
        <is>
          <t>VÄSTERVIK</t>
        </is>
      </c>
      <c r="G204" t="n">
        <v>2.5</v>
      </c>
      <c r="H204" t="n">
        <v>1</v>
      </c>
      <c r="I204" t="n">
        <v>0</v>
      </c>
      <c r="J204" t="n">
        <v>0</v>
      </c>
      <c r="K204" t="n">
        <v>0</v>
      </c>
      <c r="L204" t="n">
        <v>0</v>
      </c>
      <c r="M204" t="n">
        <v>0</v>
      </c>
      <c r="N204" t="n">
        <v>0</v>
      </c>
      <c r="O204" t="n">
        <v>0</v>
      </c>
      <c r="P204" t="n">
        <v>0</v>
      </c>
      <c r="Q204" t="n">
        <v>1</v>
      </c>
      <c r="R204" s="2" t="inlineStr">
        <is>
          <t>Grönvit nattviol</t>
        </is>
      </c>
      <c r="S204">
        <f>HYPERLINK("https://klasma.github.io/Logging_0883/artfynd/A 21409-2025 artfynd.xlsx", "A 21409-2025")</f>
        <v/>
      </c>
      <c r="T204">
        <f>HYPERLINK("https://klasma.github.io/Logging_0883/kartor/A 21409-2025 karta.png", "A 21409-2025")</f>
        <v/>
      </c>
      <c r="V204">
        <f>HYPERLINK("https://klasma.github.io/Logging_0883/klagomål/A 21409-2025 FSC-klagomål.docx", "A 21409-2025")</f>
        <v/>
      </c>
      <c r="W204">
        <f>HYPERLINK("https://klasma.github.io/Logging_0883/klagomålsmail/A 21409-2025 FSC-klagomål mail.docx", "A 21409-2025")</f>
        <v/>
      </c>
      <c r="X204">
        <f>HYPERLINK("https://klasma.github.io/Logging_0883/tillsyn/A 21409-2025 tillsynsbegäran.docx", "A 21409-2025")</f>
        <v/>
      </c>
      <c r="Y204">
        <f>HYPERLINK("https://klasma.github.io/Logging_0883/tillsynsmail/A 21409-2025 tillsynsbegäran mail.docx", "A 21409-2025")</f>
        <v/>
      </c>
    </row>
    <row r="205" ht="15" customHeight="1">
      <c r="A205" t="inlineStr">
        <is>
          <t>A 21653-2025</t>
        </is>
      </c>
      <c r="B205" s="1" t="n">
        <v>45783.45039351852</v>
      </c>
      <c r="C205" s="1" t="n">
        <v>45882</v>
      </c>
      <c r="D205" t="inlineStr">
        <is>
          <t>KALMAR LÄN</t>
        </is>
      </c>
      <c r="E205" t="inlineStr">
        <is>
          <t>VÄSTERVIK</t>
        </is>
      </c>
      <c r="F205" t="inlineStr">
        <is>
          <t>Sveaskog</t>
        </is>
      </c>
      <c r="G205" t="n">
        <v>2.8</v>
      </c>
      <c r="H205" t="n">
        <v>1</v>
      </c>
      <c r="I205" t="n">
        <v>0</v>
      </c>
      <c r="J205" t="n">
        <v>1</v>
      </c>
      <c r="K205" t="n">
        <v>0</v>
      </c>
      <c r="L205" t="n">
        <v>0</v>
      </c>
      <c r="M205" t="n">
        <v>0</v>
      </c>
      <c r="N205" t="n">
        <v>0</v>
      </c>
      <c r="O205" t="n">
        <v>1</v>
      </c>
      <c r="P205" t="n">
        <v>0</v>
      </c>
      <c r="Q205" t="n">
        <v>1</v>
      </c>
      <c r="R205" s="2" t="inlineStr">
        <is>
          <t>Entita</t>
        </is>
      </c>
      <c r="S205">
        <f>HYPERLINK("https://klasma.github.io/Logging_0883/artfynd/A 21653-2025 artfynd.xlsx", "A 21653-2025")</f>
        <v/>
      </c>
      <c r="T205">
        <f>HYPERLINK("https://klasma.github.io/Logging_0883/kartor/A 21653-2025 karta.png", "A 21653-2025")</f>
        <v/>
      </c>
      <c r="V205">
        <f>HYPERLINK("https://klasma.github.io/Logging_0883/klagomål/A 21653-2025 FSC-klagomål.docx", "A 21653-2025")</f>
        <v/>
      </c>
      <c r="W205">
        <f>HYPERLINK("https://klasma.github.io/Logging_0883/klagomålsmail/A 21653-2025 FSC-klagomål mail.docx", "A 21653-2025")</f>
        <v/>
      </c>
      <c r="X205">
        <f>HYPERLINK("https://klasma.github.io/Logging_0883/tillsyn/A 21653-2025 tillsynsbegäran.docx", "A 21653-2025")</f>
        <v/>
      </c>
      <c r="Y205">
        <f>HYPERLINK("https://klasma.github.io/Logging_0883/tillsynsmail/A 21653-2025 tillsynsbegäran mail.docx", "A 21653-2025")</f>
        <v/>
      </c>
      <c r="Z205">
        <f>HYPERLINK("https://klasma.github.io/Logging_0883/fåglar/A 21653-2025 prioriterade fågelarter.docx", "A 21653-2025")</f>
        <v/>
      </c>
    </row>
    <row r="206" ht="15" customHeight="1">
      <c r="A206" t="inlineStr">
        <is>
          <t>A 14082-2025</t>
        </is>
      </c>
      <c r="B206" s="1" t="n">
        <v>45740.43934027778</v>
      </c>
      <c r="C206" s="1" t="n">
        <v>45882</v>
      </c>
      <c r="D206" t="inlineStr">
        <is>
          <t>KALMAR LÄN</t>
        </is>
      </c>
      <c r="E206" t="inlineStr">
        <is>
          <t>VÄSTERVIK</t>
        </is>
      </c>
      <c r="F206" t="inlineStr">
        <is>
          <t>Sveaskog</t>
        </is>
      </c>
      <c r="G206" t="n">
        <v>1.2</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HYPERLINK("https://klasma.github.io/Logging_0883/artfynd/A 14082-2025 artfynd.xlsx", "A 14082-2025")</f>
        <v/>
      </c>
      <c r="T206">
        <f>HYPERLINK("https://klasma.github.io/Logging_0883/kartor/A 14082-2025 karta.png", "A 14082-2025")</f>
        <v/>
      </c>
      <c r="V206">
        <f>HYPERLINK("https://klasma.github.io/Logging_0883/klagomål/A 14082-2025 FSC-klagomål.docx", "A 14082-2025")</f>
        <v/>
      </c>
      <c r="W206">
        <f>HYPERLINK("https://klasma.github.io/Logging_0883/klagomålsmail/A 14082-2025 FSC-klagomål mail.docx", "A 14082-2025")</f>
        <v/>
      </c>
      <c r="X206">
        <f>HYPERLINK("https://klasma.github.io/Logging_0883/tillsyn/A 14082-2025 tillsynsbegäran.docx", "A 14082-2025")</f>
        <v/>
      </c>
      <c r="Y206">
        <f>HYPERLINK("https://klasma.github.io/Logging_0883/tillsynsmail/A 14082-2025 tillsynsbegäran mail.docx", "A 14082-2025")</f>
        <v/>
      </c>
    </row>
    <row r="207" ht="15" customHeight="1">
      <c r="A207" t="inlineStr">
        <is>
          <t>A 59178-2022</t>
        </is>
      </c>
      <c r="B207" s="1" t="n">
        <v>44904</v>
      </c>
      <c r="C207" s="1" t="n">
        <v>45882</v>
      </c>
      <c r="D207" t="inlineStr">
        <is>
          <t>KALMAR LÄN</t>
        </is>
      </c>
      <c r="E207" t="inlineStr">
        <is>
          <t>VÄSTERVIK</t>
        </is>
      </c>
      <c r="G207" t="n">
        <v>3.3</v>
      </c>
      <c r="H207" t="n">
        <v>0</v>
      </c>
      <c r="I207" t="n">
        <v>0</v>
      </c>
      <c r="J207" t="n">
        <v>1</v>
      </c>
      <c r="K207" t="n">
        <v>0</v>
      </c>
      <c r="L207" t="n">
        <v>0</v>
      </c>
      <c r="M207" t="n">
        <v>0</v>
      </c>
      <c r="N207" t="n">
        <v>0</v>
      </c>
      <c r="O207" t="n">
        <v>1</v>
      </c>
      <c r="P207" t="n">
        <v>0</v>
      </c>
      <c r="Q207" t="n">
        <v>1</v>
      </c>
      <c r="R207" s="2" t="inlineStr">
        <is>
          <t>Tallticka</t>
        </is>
      </c>
      <c r="S207">
        <f>HYPERLINK("https://klasma.github.io/Logging_0883/artfynd/A 59178-2022 artfynd.xlsx", "A 59178-2022")</f>
        <v/>
      </c>
      <c r="T207">
        <f>HYPERLINK("https://klasma.github.io/Logging_0883/kartor/A 59178-2022 karta.png", "A 59178-2022")</f>
        <v/>
      </c>
      <c r="V207">
        <f>HYPERLINK("https://klasma.github.io/Logging_0883/klagomål/A 59178-2022 FSC-klagomål.docx", "A 59178-2022")</f>
        <v/>
      </c>
      <c r="W207">
        <f>HYPERLINK("https://klasma.github.io/Logging_0883/klagomålsmail/A 59178-2022 FSC-klagomål mail.docx", "A 59178-2022")</f>
        <v/>
      </c>
      <c r="X207">
        <f>HYPERLINK("https://klasma.github.io/Logging_0883/tillsyn/A 59178-2022 tillsynsbegäran.docx", "A 59178-2022")</f>
        <v/>
      </c>
      <c r="Y207">
        <f>HYPERLINK("https://klasma.github.io/Logging_0883/tillsynsmail/A 59178-2022 tillsynsbegäran mail.docx", "A 59178-2022")</f>
        <v/>
      </c>
    </row>
    <row r="208" ht="15" customHeight="1">
      <c r="A208" t="inlineStr">
        <is>
          <t>A 24048-2021</t>
        </is>
      </c>
      <c r="B208" s="1" t="n">
        <v>44336</v>
      </c>
      <c r="C208" s="1" t="n">
        <v>45882</v>
      </c>
      <c r="D208" t="inlineStr">
        <is>
          <t>KALMAR LÄN</t>
        </is>
      </c>
      <c r="E208" t="inlineStr">
        <is>
          <t>VÄSTERVIK</t>
        </is>
      </c>
      <c r="G208" t="n">
        <v>3.5</v>
      </c>
      <c r="H208" t="n">
        <v>1</v>
      </c>
      <c r="I208" t="n">
        <v>0</v>
      </c>
      <c r="J208" t="n">
        <v>0</v>
      </c>
      <c r="K208" t="n">
        <v>1</v>
      </c>
      <c r="L208" t="n">
        <v>0</v>
      </c>
      <c r="M208" t="n">
        <v>0</v>
      </c>
      <c r="N208" t="n">
        <v>0</v>
      </c>
      <c r="O208" t="n">
        <v>1</v>
      </c>
      <c r="P208" t="n">
        <v>1</v>
      </c>
      <c r="Q208" t="n">
        <v>1</v>
      </c>
      <c r="R208" s="2" t="inlineStr">
        <is>
          <t>Knärot</t>
        </is>
      </c>
      <c r="S208">
        <f>HYPERLINK("https://klasma.github.io/Logging_0883/artfynd/A 24048-2021 artfynd.xlsx", "A 24048-2021")</f>
        <v/>
      </c>
      <c r="T208">
        <f>HYPERLINK("https://klasma.github.io/Logging_0883/kartor/A 24048-2021 karta.png", "A 24048-2021")</f>
        <v/>
      </c>
      <c r="U208">
        <f>HYPERLINK("https://klasma.github.io/Logging_0883/knärot/A 24048-2021 karta knärot.png", "A 24048-2021")</f>
        <v/>
      </c>
      <c r="V208">
        <f>HYPERLINK("https://klasma.github.io/Logging_0883/klagomål/A 24048-2021 FSC-klagomål.docx", "A 24048-2021")</f>
        <v/>
      </c>
      <c r="W208">
        <f>HYPERLINK("https://klasma.github.io/Logging_0883/klagomålsmail/A 24048-2021 FSC-klagomål mail.docx", "A 24048-2021")</f>
        <v/>
      </c>
      <c r="X208">
        <f>HYPERLINK("https://klasma.github.io/Logging_0883/tillsyn/A 24048-2021 tillsynsbegäran.docx", "A 24048-2021")</f>
        <v/>
      </c>
      <c r="Y208">
        <f>HYPERLINK("https://klasma.github.io/Logging_0883/tillsynsmail/A 24048-2021 tillsynsbegäran mail.docx", "A 24048-2021")</f>
        <v/>
      </c>
    </row>
    <row r="209" ht="15" customHeight="1">
      <c r="A209" t="inlineStr">
        <is>
          <t>A 11729-2023</t>
        </is>
      </c>
      <c r="B209" s="1" t="n">
        <v>44994</v>
      </c>
      <c r="C209" s="1" t="n">
        <v>45882</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55360-2024</t>
        </is>
      </c>
      <c r="B210" s="1" t="n">
        <v>45621.8252199074</v>
      </c>
      <c r="C210" s="1" t="n">
        <v>45882</v>
      </c>
      <c r="D210" t="inlineStr">
        <is>
          <t>KALMAR LÄN</t>
        </is>
      </c>
      <c r="E210" t="inlineStr">
        <is>
          <t>VÄSTERVIK</t>
        </is>
      </c>
      <c r="F210" t="inlineStr">
        <is>
          <t>Sveaskog</t>
        </is>
      </c>
      <c r="G210" t="n">
        <v>11.1</v>
      </c>
      <c r="H210" t="n">
        <v>0</v>
      </c>
      <c r="I210" t="n">
        <v>0</v>
      </c>
      <c r="J210" t="n">
        <v>1</v>
      </c>
      <c r="K210" t="n">
        <v>0</v>
      </c>
      <c r="L210" t="n">
        <v>0</v>
      </c>
      <c r="M210" t="n">
        <v>0</v>
      </c>
      <c r="N210" t="n">
        <v>0</v>
      </c>
      <c r="O210" t="n">
        <v>1</v>
      </c>
      <c r="P210" t="n">
        <v>0</v>
      </c>
      <c r="Q210" t="n">
        <v>1</v>
      </c>
      <c r="R210" s="2" t="inlineStr">
        <is>
          <t>Vårstarr</t>
        </is>
      </c>
      <c r="S210">
        <f>HYPERLINK("https://klasma.github.io/Logging_0883/artfynd/A 55360-2024 artfynd.xlsx", "A 55360-2024")</f>
        <v/>
      </c>
      <c r="T210">
        <f>HYPERLINK("https://klasma.github.io/Logging_0883/kartor/A 55360-2024 karta.png", "A 55360-2024")</f>
        <v/>
      </c>
      <c r="V210">
        <f>HYPERLINK("https://klasma.github.io/Logging_0883/klagomål/A 55360-2024 FSC-klagomål.docx", "A 55360-2024")</f>
        <v/>
      </c>
      <c r="W210">
        <f>HYPERLINK("https://klasma.github.io/Logging_0883/klagomålsmail/A 55360-2024 FSC-klagomål mail.docx", "A 55360-2024")</f>
        <v/>
      </c>
      <c r="X210">
        <f>HYPERLINK("https://klasma.github.io/Logging_0883/tillsyn/A 55360-2024 tillsynsbegäran.docx", "A 55360-2024")</f>
        <v/>
      </c>
      <c r="Y210">
        <f>HYPERLINK("https://klasma.github.io/Logging_0883/tillsynsmail/A 55360-2024 tillsynsbegäran mail.docx", "A 55360-2024")</f>
        <v/>
      </c>
    </row>
    <row r="211" ht="15" customHeight="1">
      <c r="A211" t="inlineStr">
        <is>
          <t>A 19900-2022</t>
        </is>
      </c>
      <c r="B211" s="1" t="n">
        <v>44697</v>
      </c>
      <c r="C211" s="1" t="n">
        <v>45882</v>
      </c>
      <c r="D211" t="inlineStr">
        <is>
          <t>KALMAR LÄN</t>
        </is>
      </c>
      <c r="E211" t="inlineStr">
        <is>
          <t>VÄSTERVIK</t>
        </is>
      </c>
      <c r="G211" t="n">
        <v>2.4</v>
      </c>
      <c r="H211" t="n">
        <v>1</v>
      </c>
      <c r="I211" t="n">
        <v>0</v>
      </c>
      <c r="J211" t="n">
        <v>0</v>
      </c>
      <c r="K211" t="n">
        <v>1</v>
      </c>
      <c r="L211" t="n">
        <v>0</v>
      </c>
      <c r="M211" t="n">
        <v>0</v>
      </c>
      <c r="N211" t="n">
        <v>0</v>
      </c>
      <c r="O211" t="n">
        <v>1</v>
      </c>
      <c r="P211" t="n">
        <v>1</v>
      </c>
      <c r="Q211" t="n">
        <v>1</v>
      </c>
      <c r="R211" s="2" t="inlineStr">
        <is>
          <t>Knärot</t>
        </is>
      </c>
      <c r="S211">
        <f>HYPERLINK("https://klasma.github.io/Logging_0883/artfynd/A 19900-2022 artfynd.xlsx", "A 19900-2022")</f>
        <v/>
      </c>
      <c r="T211">
        <f>HYPERLINK("https://klasma.github.io/Logging_0883/kartor/A 19900-2022 karta.png", "A 19900-2022")</f>
        <v/>
      </c>
      <c r="U211">
        <f>HYPERLINK("https://klasma.github.io/Logging_0883/knärot/A 19900-2022 karta knärot.png", "A 19900-2022")</f>
        <v/>
      </c>
      <c r="V211">
        <f>HYPERLINK("https://klasma.github.io/Logging_0883/klagomål/A 19900-2022 FSC-klagomål.docx", "A 19900-2022")</f>
        <v/>
      </c>
      <c r="W211">
        <f>HYPERLINK("https://klasma.github.io/Logging_0883/klagomålsmail/A 19900-2022 FSC-klagomål mail.docx", "A 19900-2022")</f>
        <v/>
      </c>
      <c r="X211">
        <f>HYPERLINK("https://klasma.github.io/Logging_0883/tillsyn/A 19900-2022 tillsynsbegäran.docx", "A 19900-2022")</f>
        <v/>
      </c>
      <c r="Y211">
        <f>HYPERLINK("https://klasma.github.io/Logging_0883/tillsynsmail/A 19900-2022 tillsynsbegäran mail.docx", "A 19900-2022")</f>
        <v/>
      </c>
    </row>
    <row r="212" ht="15" customHeight="1">
      <c r="A212" t="inlineStr">
        <is>
          <t>A 23186-2025</t>
        </is>
      </c>
      <c r="B212" s="1" t="n">
        <v>45791.44415509259</v>
      </c>
      <c r="C212" s="1" t="n">
        <v>45882</v>
      </c>
      <c r="D212" t="inlineStr">
        <is>
          <t>KALMAR LÄN</t>
        </is>
      </c>
      <c r="E212" t="inlineStr">
        <is>
          <t>VÄSTERVIK</t>
        </is>
      </c>
      <c r="G212" t="n">
        <v>1.4</v>
      </c>
      <c r="H212" t="n">
        <v>0</v>
      </c>
      <c r="I212" t="n">
        <v>0</v>
      </c>
      <c r="J212" t="n">
        <v>1</v>
      </c>
      <c r="K212" t="n">
        <v>0</v>
      </c>
      <c r="L212" t="n">
        <v>0</v>
      </c>
      <c r="M212" t="n">
        <v>0</v>
      </c>
      <c r="N212" t="n">
        <v>0</v>
      </c>
      <c r="O212" t="n">
        <v>1</v>
      </c>
      <c r="P212" t="n">
        <v>0</v>
      </c>
      <c r="Q212" t="n">
        <v>1</v>
      </c>
      <c r="R212" s="2" t="inlineStr">
        <is>
          <t>Krusfrö</t>
        </is>
      </c>
      <c r="S212">
        <f>HYPERLINK("https://klasma.github.io/Logging_0883/artfynd/A 23186-2025 artfynd.xlsx", "A 23186-2025")</f>
        <v/>
      </c>
      <c r="T212">
        <f>HYPERLINK("https://klasma.github.io/Logging_0883/kartor/A 23186-2025 karta.png", "A 23186-2025")</f>
        <v/>
      </c>
      <c r="V212">
        <f>HYPERLINK("https://klasma.github.io/Logging_0883/klagomål/A 23186-2025 FSC-klagomål.docx", "A 23186-2025")</f>
        <v/>
      </c>
      <c r="W212">
        <f>HYPERLINK("https://klasma.github.io/Logging_0883/klagomålsmail/A 23186-2025 FSC-klagomål mail.docx", "A 23186-2025")</f>
        <v/>
      </c>
      <c r="X212">
        <f>HYPERLINK("https://klasma.github.io/Logging_0883/tillsyn/A 23186-2025 tillsynsbegäran.docx", "A 23186-2025")</f>
        <v/>
      </c>
      <c r="Y212">
        <f>HYPERLINK("https://klasma.github.io/Logging_0883/tillsynsmail/A 23186-2025 tillsynsbegäran mail.docx", "A 23186-2025")</f>
        <v/>
      </c>
    </row>
    <row r="213" ht="15" customHeight="1">
      <c r="A213" t="inlineStr">
        <is>
          <t>A 23192-2025</t>
        </is>
      </c>
      <c r="B213" s="1" t="n">
        <v>45791.45371527778</v>
      </c>
      <c r="C213" s="1" t="n">
        <v>45882</v>
      </c>
      <c r="D213" t="inlineStr">
        <is>
          <t>KALMAR LÄN</t>
        </is>
      </c>
      <c r="E213" t="inlineStr">
        <is>
          <t>VÄSTERVIK</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HYPERLINK("https://klasma.github.io/Logging_0883/artfynd/A 23192-2025 artfynd.xlsx", "A 23192-2025")</f>
        <v/>
      </c>
      <c r="T213">
        <f>HYPERLINK("https://klasma.github.io/Logging_0883/kartor/A 23192-2025 karta.png", "A 23192-2025")</f>
        <v/>
      </c>
      <c r="V213">
        <f>HYPERLINK("https://klasma.github.io/Logging_0883/klagomål/A 23192-2025 FSC-klagomål.docx", "A 23192-2025")</f>
        <v/>
      </c>
      <c r="W213">
        <f>HYPERLINK("https://klasma.github.io/Logging_0883/klagomålsmail/A 23192-2025 FSC-klagomål mail.docx", "A 23192-2025")</f>
        <v/>
      </c>
      <c r="X213">
        <f>HYPERLINK("https://klasma.github.io/Logging_0883/tillsyn/A 23192-2025 tillsynsbegäran.docx", "A 23192-2025")</f>
        <v/>
      </c>
      <c r="Y213">
        <f>HYPERLINK("https://klasma.github.io/Logging_0883/tillsynsmail/A 23192-2025 tillsynsbegäran mail.docx", "A 23192-2025")</f>
        <v/>
      </c>
      <c r="Z213">
        <f>HYPERLINK("https://klasma.github.io/Logging_0883/fåglar/A 23192-2025 prioriterade fågelarter.docx", "A 23192-2025")</f>
        <v/>
      </c>
    </row>
    <row r="214" ht="15" customHeight="1">
      <c r="A214" t="inlineStr">
        <is>
          <t>A 23199-2025</t>
        </is>
      </c>
      <c r="B214" s="1" t="n">
        <v>45791.45887731481</v>
      </c>
      <c r="C214" s="1" t="n">
        <v>45882</v>
      </c>
      <c r="D214" t="inlineStr">
        <is>
          <t>KALMAR LÄN</t>
        </is>
      </c>
      <c r="E214" t="inlineStr">
        <is>
          <t>VÄSTERVIK</t>
        </is>
      </c>
      <c r="G214" t="n">
        <v>2.1</v>
      </c>
      <c r="H214" t="n">
        <v>0</v>
      </c>
      <c r="I214" t="n">
        <v>1</v>
      </c>
      <c r="J214" t="n">
        <v>0</v>
      </c>
      <c r="K214" t="n">
        <v>0</v>
      </c>
      <c r="L214" t="n">
        <v>0</v>
      </c>
      <c r="M214" t="n">
        <v>0</v>
      </c>
      <c r="N214" t="n">
        <v>0</v>
      </c>
      <c r="O214" t="n">
        <v>0</v>
      </c>
      <c r="P214" t="n">
        <v>0</v>
      </c>
      <c r="Q214" t="n">
        <v>1</v>
      </c>
      <c r="R214" s="2" t="inlineStr">
        <is>
          <t>Blåmossa</t>
        </is>
      </c>
      <c r="S214">
        <f>HYPERLINK("https://klasma.github.io/Logging_0883/artfynd/A 23199-2025 artfynd.xlsx", "A 23199-2025")</f>
        <v/>
      </c>
      <c r="T214">
        <f>HYPERLINK("https://klasma.github.io/Logging_0883/kartor/A 23199-2025 karta.png", "A 23199-2025")</f>
        <v/>
      </c>
      <c r="V214">
        <f>HYPERLINK("https://klasma.github.io/Logging_0883/klagomål/A 23199-2025 FSC-klagomål.docx", "A 23199-2025")</f>
        <v/>
      </c>
      <c r="W214">
        <f>HYPERLINK("https://klasma.github.io/Logging_0883/klagomålsmail/A 23199-2025 FSC-klagomål mail.docx", "A 23199-2025")</f>
        <v/>
      </c>
      <c r="X214">
        <f>HYPERLINK("https://klasma.github.io/Logging_0883/tillsyn/A 23199-2025 tillsynsbegäran.docx", "A 23199-2025")</f>
        <v/>
      </c>
      <c r="Y214">
        <f>HYPERLINK("https://klasma.github.io/Logging_0883/tillsynsmail/A 23199-2025 tillsynsbegäran mail.docx", "A 23199-2025")</f>
        <v/>
      </c>
    </row>
    <row r="215" ht="15" customHeight="1">
      <c r="A215" t="inlineStr">
        <is>
          <t>A 61319-2021</t>
        </is>
      </c>
      <c r="B215" s="1" t="n">
        <v>44498</v>
      </c>
      <c r="C215" s="1" t="n">
        <v>45882</v>
      </c>
      <c r="D215" t="inlineStr">
        <is>
          <t>KALMAR LÄN</t>
        </is>
      </c>
      <c r="E215" t="inlineStr">
        <is>
          <t>VÄSTERVIK</t>
        </is>
      </c>
      <c r="G215" t="n">
        <v>2.2</v>
      </c>
      <c r="H215" t="n">
        <v>1</v>
      </c>
      <c r="I215" t="n">
        <v>1</v>
      </c>
      <c r="J215" t="n">
        <v>0</v>
      </c>
      <c r="K215" t="n">
        <v>0</v>
      </c>
      <c r="L215" t="n">
        <v>0</v>
      </c>
      <c r="M215" t="n">
        <v>0</v>
      </c>
      <c r="N215" t="n">
        <v>0</v>
      </c>
      <c r="O215" t="n">
        <v>0</v>
      </c>
      <c r="P215" t="n">
        <v>0</v>
      </c>
      <c r="Q215" t="n">
        <v>1</v>
      </c>
      <c r="R215" s="2" t="inlineStr">
        <is>
          <t>Ekoxe</t>
        </is>
      </c>
      <c r="S215">
        <f>HYPERLINK("https://klasma.github.io/Logging_0883/artfynd/A 61319-2021 artfynd.xlsx", "A 61319-2021")</f>
        <v/>
      </c>
      <c r="T215">
        <f>HYPERLINK("https://klasma.github.io/Logging_0883/kartor/A 61319-2021 karta.png", "A 61319-2021")</f>
        <v/>
      </c>
      <c r="V215">
        <f>HYPERLINK("https://klasma.github.io/Logging_0883/klagomål/A 61319-2021 FSC-klagomål.docx", "A 61319-2021")</f>
        <v/>
      </c>
      <c r="W215">
        <f>HYPERLINK("https://klasma.github.io/Logging_0883/klagomålsmail/A 61319-2021 FSC-klagomål mail.docx", "A 61319-2021")</f>
        <v/>
      </c>
      <c r="X215">
        <f>HYPERLINK("https://klasma.github.io/Logging_0883/tillsyn/A 61319-2021 tillsynsbegäran.docx", "A 61319-2021")</f>
        <v/>
      </c>
      <c r="Y215">
        <f>HYPERLINK("https://klasma.github.io/Logging_0883/tillsynsmail/A 61319-2021 tillsynsbegäran mail.docx", "A 61319-2021")</f>
        <v/>
      </c>
    </row>
    <row r="216" ht="15" customHeight="1">
      <c r="A216" t="inlineStr">
        <is>
          <t>A 61806-2023</t>
        </is>
      </c>
      <c r="B216" s="1" t="n">
        <v>45266.27928240741</v>
      </c>
      <c r="C216" s="1" t="n">
        <v>45882</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Veckticka</t>
        </is>
      </c>
      <c r="S216">
        <f>HYPERLINK("https://klasma.github.io/Logging_0883/artfynd/A 61806-2023 artfynd.xlsx", "A 61806-2023")</f>
        <v/>
      </c>
      <c r="T216">
        <f>HYPERLINK("https://klasma.github.io/Logging_0883/kartor/A 61806-2023 karta.png", "A 61806-2023")</f>
        <v/>
      </c>
      <c r="V216">
        <f>HYPERLINK("https://klasma.github.io/Logging_0883/klagomål/A 61806-2023 FSC-klagomål.docx", "A 61806-2023")</f>
        <v/>
      </c>
      <c r="W216">
        <f>HYPERLINK("https://klasma.github.io/Logging_0883/klagomålsmail/A 61806-2023 FSC-klagomål mail.docx", "A 61806-2023")</f>
        <v/>
      </c>
      <c r="X216">
        <f>HYPERLINK("https://klasma.github.io/Logging_0883/tillsyn/A 61806-2023 tillsynsbegäran.docx", "A 61806-2023")</f>
        <v/>
      </c>
      <c r="Y216">
        <f>HYPERLINK("https://klasma.github.io/Logging_0883/tillsynsmail/A 61806-2023 tillsynsbegäran mail.docx", "A 61806-2023")</f>
        <v/>
      </c>
    </row>
    <row r="217" ht="15" customHeight="1">
      <c r="A217" t="inlineStr">
        <is>
          <t>A 27708-2024</t>
        </is>
      </c>
      <c r="B217" s="1" t="n">
        <v>45475</v>
      </c>
      <c r="C217" s="1" t="n">
        <v>45882</v>
      </c>
      <c r="D217" t="inlineStr">
        <is>
          <t>KALMAR LÄN</t>
        </is>
      </c>
      <c r="E217" t="inlineStr">
        <is>
          <t>VÄSTERVIK</t>
        </is>
      </c>
      <c r="F217" t="inlineStr">
        <is>
          <t>Holmen skog AB</t>
        </is>
      </c>
      <c r="G217" t="n">
        <v>1.7</v>
      </c>
      <c r="H217" t="n">
        <v>1</v>
      </c>
      <c r="I217" t="n">
        <v>0</v>
      </c>
      <c r="J217" t="n">
        <v>1</v>
      </c>
      <c r="K217" t="n">
        <v>0</v>
      </c>
      <c r="L217" t="n">
        <v>0</v>
      </c>
      <c r="M217" t="n">
        <v>0</v>
      </c>
      <c r="N217" t="n">
        <v>0</v>
      </c>
      <c r="O217" t="n">
        <v>1</v>
      </c>
      <c r="P217" t="n">
        <v>0</v>
      </c>
      <c r="Q217" t="n">
        <v>1</v>
      </c>
      <c r="R217" s="2" t="inlineStr">
        <is>
          <t>Spillkråka</t>
        </is>
      </c>
      <c r="S217">
        <f>HYPERLINK("https://klasma.github.io/Logging_0883/artfynd/A 27708-2024 artfynd.xlsx", "A 27708-2024")</f>
        <v/>
      </c>
      <c r="T217">
        <f>HYPERLINK("https://klasma.github.io/Logging_0883/kartor/A 27708-2024 karta.png", "A 27708-2024")</f>
        <v/>
      </c>
      <c r="V217">
        <f>HYPERLINK("https://klasma.github.io/Logging_0883/klagomål/A 27708-2024 FSC-klagomål.docx", "A 27708-2024")</f>
        <v/>
      </c>
      <c r="W217">
        <f>HYPERLINK("https://klasma.github.io/Logging_0883/klagomålsmail/A 27708-2024 FSC-klagomål mail.docx", "A 27708-2024")</f>
        <v/>
      </c>
      <c r="X217">
        <f>HYPERLINK("https://klasma.github.io/Logging_0883/tillsyn/A 27708-2024 tillsynsbegäran.docx", "A 27708-2024")</f>
        <v/>
      </c>
      <c r="Y217">
        <f>HYPERLINK("https://klasma.github.io/Logging_0883/tillsynsmail/A 27708-2024 tillsynsbegäran mail.docx", "A 27708-2024")</f>
        <v/>
      </c>
      <c r="Z217">
        <f>HYPERLINK("https://klasma.github.io/Logging_0883/fåglar/A 27708-2024 prioriterade fågelarter.docx", "A 27708-2024")</f>
        <v/>
      </c>
    </row>
    <row r="218" ht="15" customHeight="1">
      <c r="A218" t="inlineStr">
        <is>
          <t>A 1775-2025</t>
        </is>
      </c>
      <c r="B218" s="1" t="n">
        <v>45671.44059027778</v>
      </c>
      <c r="C218" s="1" t="n">
        <v>45882</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24808-2025</t>
        </is>
      </c>
      <c r="B219" s="1" t="n">
        <v>45799.44362268518</v>
      </c>
      <c r="C219" s="1" t="n">
        <v>45882</v>
      </c>
      <c r="D219" t="inlineStr">
        <is>
          <t>KALMAR LÄN</t>
        </is>
      </c>
      <c r="E219" t="inlineStr">
        <is>
          <t>VÄSTERVIK</t>
        </is>
      </c>
      <c r="G219" t="n">
        <v>2.9</v>
      </c>
      <c r="H219" t="n">
        <v>1</v>
      </c>
      <c r="I219" t="n">
        <v>0</v>
      </c>
      <c r="J219" t="n">
        <v>0</v>
      </c>
      <c r="K219" t="n">
        <v>0</v>
      </c>
      <c r="L219" t="n">
        <v>0</v>
      </c>
      <c r="M219" t="n">
        <v>0</v>
      </c>
      <c r="N219" t="n">
        <v>0</v>
      </c>
      <c r="O219" t="n">
        <v>0</v>
      </c>
      <c r="P219" t="n">
        <v>0</v>
      </c>
      <c r="Q219" t="n">
        <v>1</v>
      </c>
      <c r="R219" s="2" t="inlineStr">
        <is>
          <t>Fläcknycklar</t>
        </is>
      </c>
      <c r="S219">
        <f>HYPERLINK("https://klasma.github.io/Logging_0883/artfynd/A 24808-2025 artfynd.xlsx", "A 24808-2025")</f>
        <v/>
      </c>
      <c r="T219">
        <f>HYPERLINK("https://klasma.github.io/Logging_0883/kartor/A 24808-2025 karta.png", "A 24808-2025")</f>
        <v/>
      </c>
      <c r="V219">
        <f>HYPERLINK("https://klasma.github.io/Logging_0883/klagomål/A 24808-2025 FSC-klagomål.docx", "A 24808-2025")</f>
        <v/>
      </c>
      <c r="W219">
        <f>HYPERLINK("https://klasma.github.io/Logging_0883/klagomålsmail/A 24808-2025 FSC-klagomål mail.docx", "A 24808-2025")</f>
        <v/>
      </c>
      <c r="X219">
        <f>HYPERLINK("https://klasma.github.io/Logging_0883/tillsyn/A 24808-2025 tillsynsbegäran.docx", "A 24808-2025")</f>
        <v/>
      </c>
      <c r="Y219">
        <f>HYPERLINK("https://klasma.github.io/Logging_0883/tillsynsmail/A 24808-2025 tillsynsbegäran mail.docx", "A 24808-2025")</f>
        <v/>
      </c>
    </row>
    <row r="220" ht="15" customHeight="1">
      <c r="A220" t="inlineStr">
        <is>
          <t>A 14103-2025</t>
        </is>
      </c>
      <c r="B220" s="1" t="n">
        <v>45740.45232638889</v>
      </c>
      <c r="C220" s="1" t="n">
        <v>45882</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24884-2025</t>
        </is>
      </c>
      <c r="B221" s="1" t="n">
        <v>45799.50620370371</v>
      </c>
      <c r="C221" s="1" t="n">
        <v>45882</v>
      </c>
      <c r="D221" t="inlineStr">
        <is>
          <t>KALMAR LÄN</t>
        </is>
      </c>
      <c r="E221" t="inlineStr">
        <is>
          <t>VÄSTERVIK</t>
        </is>
      </c>
      <c r="F221" t="inlineStr">
        <is>
          <t>Holmen skog AB</t>
        </is>
      </c>
      <c r="G221" t="n">
        <v>5.1</v>
      </c>
      <c r="H221" t="n">
        <v>0</v>
      </c>
      <c r="I221" t="n">
        <v>1</v>
      </c>
      <c r="J221" t="n">
        <v>0</v>
      </c>
      <c r="K221" t="n">
        <v>0</v>
      </c>
      <c r="L221" t="n">
        <v>0</v>
      </c>
      <c r="M221" t="n">
        <v>0</v>
      </c>
      <c r="N221" t="n">
        <v>0</v>
      </c>
      <c r="O221" t="n">
        <v>0</v>
      </c>
      <c r="P221" t="n">
        <v>0</v>
      </c>
      <c r="Q221" t="n">
        <v>1</v>
      </c>
      <c r="R221" s="2" t="inlineStr">
        <is>
          <t>Strävlosta</t>
        </is>
      </c>
      <c r="S221">
        <f>HYPERLINK("https://klasma.github.io/Logging_0883/artfynd/A 24884-2025 artfynd.xlsx", "A 24884-2025")</f>
        <v/>
      </c>
      <c r="T221">
        <f>HYPERLINK("https://klasma.github.io/Logging_0883/kartor/A 24884-2025 karta.png", "A 24884-2025")</f>
        <v/>
      </c>
      <c r="V221">
        <f>HYPERLINK("https://klasma.github.io/Logging_0883/klagomål/A 24884-2025 FSC-klagomål.docx", "A 24884-2025")</f>
        <v/>
      </c>
      <c r="W221">
        <f>HYPERLINK("https://klasma.github.io/Logging_0883/klagomålsmail/A 24884-2025 FSC-klagomål mail.docx", "A 24884-2025")</f>
        <v/>
      </c>
      <c r="X221">
        <f>HYPERLINK("https://klasma.github.io/Logging_0883/tillsyn/A 24884-2025 tillsynsbegäran.docx", "A 24884-2025")</f>
        <v/>
      </c>
      <c r="Y221">
        <f>HYPERLINK("https://klasma.github.io/Logging_0883/tillsynsmail/A 24884-2025 tillsynsbegäran mail.docx", "A 24884-2025")</f>
        <v/>
      </c>
    </row>
    <row r="222" ht="15" customHeight="1">
      <c r="A222" t="inlineStr">
        <is>
          <t>A 34168-2025</t>
        </is>
      </c>
      <c r="B222" s="1" t="n">
        <v>45845.58349537037</v>
      </c>
      <c r="C222" s="1" t="n">
        <v>45882</v>
      </c>
      <c r="D222" t="inlineStr">
        <is>
          <t>KALMAR LÄN</t>
        </is>
      </c>
      <c r="E222" t="inlineStr">
        <is>
          <t>VÄSTERVIK</t>
        </is>
      </c>
      <c r="G222" t="n">
        <v>2.7</v>
      </c>
      <c r="H222" t="n">
        <v>1</v>
      </c>
      <c r="I222" t="n">
        <v>0</v>
      </c>
      <c r="J222" t="n">
        <v>1</v>
      </c>
      <c r="K222" t="n">
        <v>0</v>
      </c>
      <c r="L222" t="n">
        <v>0</v>
      </c>
      <c r="M222" t="n">
        <v>0</v>
      </c>
      <c r="N222" t="n">
        <v>0</v>
      </c>
      <c r="O222" t="n">
        <v>1</v>
      </c>
      <c r="P222" t="n">
        <v>0</v>
      </c>
      <c r="Q222" t="n">
        <v>1</v>
      </c>
      <c r="R222" s="2" t="inlineStr">
        <is>
          <t>Grönsångare</t>
        </is>
      </c>
      <c r="S222">
        <f>HYPERLINK("https://klasma.github.io/Logging_0883/artfynd/A 34168-2025 artfynd.xlsx", "A 34168-2025")</f>
        <v/>
      </c>
      <c r="T222">
        <f>HYPERLINK("https://klasma.github.io/Logging_0883/kartor/A 34168-2025 karta.png", "A 34168-2025")</f>
        <v/>
      </c>
      <c r="V222">
        <f>HYPERLINK("https://klasma.github.io/Logging_0883/klagomål/A 34168-2025 FSC-klagomål.docx", "A 34168-2025")</f>
        <v/>
      </c>
      <c r="W222">
        <f>HYPERLINK("https://klasma.github.io/Logging_0883/klagomålsmail/A 34168-2025 FSC-klagomål mail.docx", "A 34168-2025")</f>
        <v/>
      </c>
      <c r="X222">
        <f>HYPERLINK("https://klasma.github.io/Logging_0883/tillsyn/A 34168-2025 tillsynsbegäran.docx", "A 34168-2025")</f>
        <v/>
      </c>
      <c r="Y222">
        <f>HYPERLINK("https://klasma.github.io/Logging_0883/tillsynsmail/A 34168-2025 tillsynsbegäran mail.docx", "A 34168-2025")</f>
        <v/>
      </c>
      <c r="Z222">
        <f>HYPERLINK("https://klasma.github.io/Logging_0883/fåglar/A 34168-2025 prioriterade fågelarter.docx", "A 34168-2025")</f>
        <v/>
      </c>
    </row>
    <row r="223" ht="15" customHeight="1">
      <c r="A223" t="inlineStr">
        <is>
          <t>A 33916-2025</t>
        </is>
      </c>
      <c r="B223" s="1" t="n">
        <v>45842.61306712963</v>
      </c>
      <c r="C223" s="1" t="n">
        <v>45882</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25501-2025</t>
        </is>
      </c>
      <c r="B224" s="1" t="n">
        <v>45803.34567129629</v>
      </c>
      <c r="C224" s="1" t="n">
        <v>45882</v>
      </c>
      <c r="D224" t="inlineStr">
        <is>
          <t>KALMAR LÄN</t>
        </is>
      </c>
      <c r="E224" t="inlineStr">
        <is>
          <t>VÄSTERVIK</t>
        </is>
      </c>
      <c r="G224" t="n">
        <v>1.8</v>
      </c>
      <c r="H224" t="n">
        <v>1</v>
      </c>
      <c r="I224" t="n">
        <v>0</v>
      </c>
      <c r="J224" t="n">
        <v>0</v>
      </c>
      <c r="K224" t="n">
        <v>0</v>
      </c>
      <c r="L224" t="n">
        <v>0</v>
      </c>
      <c r="M224" t="n">
        <v>0</v>
      </c>
      <c r="N224" t="n">
        <v>0</v>
      </c>
      <c r="O224" t="n">
        <v>0</v>
      </c>
      <c r="P224" t="n">
        <v>0</v>
      </c>
      <c r="Q224" t="n">
        <v>1</v>
      </c>
      <c r="R224" s="2" t="inlineStr">
        <is>
          <t>Kungsfågel</t>
        </is>
      </c>
      <c r="S224">
        <f>HYPERLINK("https://klasma.github.io/Logging_0883/artfynd/A 25501-2025 artfynd.xlsx", "A 25501-2025")</f>
        <v/>
      </c>
      <c r="T224">
        <f>HYPERLINK("https://klasma.github.io/Logging_0883/kartor/A 25501-2025 karta.png", "A 25501-2025")</f>
        <v/>
      </c>
      <c r="U224">
        <f>HYPERLINK("https://klasma.github.io/Logging_0883/knärot/A 25501-2025 karta knärot.png", "A 25501-2025")</f>
        <v/>
      </c>
      <c r="V224">
        <f>HYPERLINK("https://klasma.github.io/Logging_0883/klagomål/A 25501-2025 FSC-klagomål.docx", "A 25501-2025")</f>
        <v/>
      </c>
      <c r="W224">
        <f>HYPERLINK("https://klasma.github.io/Logging_0883/klagomålsmail/A 25501-2025 FSC-klagomål mail.docx", "A 25501-2025")</f>
        <v/>
      </c>
      <c r="X224">
        <f>HYPERLINK("https://klasma.github.io/Logging_0883/tillsyn/A 25501-2025 tillsynsbegäran.docx", "A 25501-2025")</f>
        <v/>
      </c>
      <c r="Y224">
        <f>HYPERLINK("https://klasma.github.io/Logging_0883/tillsynsmail/A 25501-2025 tillsynsbegäran mail.docx", "A 25501-2025")</f>
        <v/>
      </c>
      <c r="Z224">
        <f>HYPERLINK("https://klasma.github.io/Logging_0883/fåglar/A 25501-2025 prioriterade fågelarter.docx", "A 25501-2025")</f>
        <v/>
      </c>
    </row>
    <row r="225" ht="15" customHeight="1">
      <c r="A225" t="inlineStr">
        <is>
          <t>A 34212-2025</t>
        </is>
      </c>
      <c r="B225" s="1" t="n">
        <v>45845.64383101852</v>
      </c>
      <c r="C225" s="1" t="n">
        <v>45882</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34166-2025</t>
        </is>
      </c>
      <c r="B226" s="1" t="n">
        <v>45845.5819675926</v>
      </c>
      <c r="C226" s="1" t="n">
        <v>45882</v>
      </c>
      <c r="D226" t="inlineStr">
        <is>
          <t>KALMAR LÄN</t>
        </is>
      </c>
      <c r="E226" t="inlineStr">
        <is>
          <t>VÄSTERVIK</t>
        </is>
      </c>
      <c r="G226" t="n">
        <v>3.5</v>
      </c>
      <c r="H226" t="n">
        <v>0</v>
      </c>
      <c r="I226" t="n">
        <v>0</v>
      </c>
      <c r="J226" t="n">
        <v>0</v>
      </c>
      <c r="K226" t="n">
        <v>0</v>
      </c>
      <c r="L226" t="n">
        <v>0</v>
      </c>
      <c r="M226" t="n">
        <v>1</v>
      </c>
      <c r="N226" t="n">
        <v>0</v>
      </c>
      <c r="O226" t="n">
        <v>1</v>
      </c>
      <c r="P226" t="n">
        <v>1</v>
      </c>
      <c r="Q226" t="n">
        <v>1</v>
      </c>
      <c r="R226" s="2" t="inlineStr">
        <is>
          <t>Skogsalm</t>
        </is>
      </c>
      <c r="S226">
        <f>HYPERLINK("https://klasma.github.io/Logging_0883/artfynd/A 34166-2025 artfynd.xlsx", "A 34166-2025")</f>
        <v/>
      </c>
      <c r="T226">
        <f>HYPERLINK("https://klasma.github.io/Logging_0883/kartor/A 34166-2025 karta.png", "A 34166-2025")</f>
        <v/>
      </c>
      <c r="V226">
        <f>HYPERLINK("https://klasma.github.io/Logging_0883/klagomål/A 34166-2025 FSC-klagomål.docx", "A 34166-2025")</f>
        <v/>
      </c>
      <c r="W226">
        <f>HYPERLINK("https://klasma.github.io/Logging_0883/klagomålsmail/A 34166-2025 FSC-klagomål mail.docx", "A 34166-2025")</f>
        <v/>
      </c>
      <c r="X226">
        <f>HYPERLINK("https://klasma.github.io/Logging_0883/tillsyn/A 34166-2025 tillsynsbegäran.docx", "A 34166-2025")</f>
        <v/>
      </c>
      <c r="Y226">
        <f>HYPERLINK("https://klasma.github.io/Logging_0883/tillsynsmail/A 34166-2025 tillsynsbegäran mail.docx", "A 34166-2025")</f>
        <v/>
      </c>
    </row>
    <row r="227" ht="15" customHeight="1">
      <c r="A227" t="inlineStr">
        <is>
          <t>A 4750-2025</t>
        </is>
      </c>
      <c r="B227" s="1" t="n">
        <v>45688</v>
      </c>
      <c r="C227" s="1" t="n">
        <v>45882</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3673-2025</t>
        </is>
      </c>
      <c r="B228" s="1" t="n">
        <v>45681.43706018518</v>
      </c>
      <c r="C228" s="1" t="n">
        <v>45882</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44635-2021</t>
        </is>
      </c>
      <c r="B229" s="1" t="n">
        <v>44437</v>
      </c>
      <c r="C229" s="1" t="n">
        <v>45882</v>
      </c>
      <c r="D229" t="inlineStr">
        <is>
          <t>KALMAR LÄN</t>
        </is>
      </c>
      <c r="E229" t="inlineStr">
        <is>
          <t>VÄSTERVIK</t>
        </is>
      </c>
      <c r="G229" t="n">
        <v>0.9</v>
      </c>
      <c r="H229" t="n">
        <v>0</v>
      </c>
      <c r="I229" t="n">
        <v>1</v>
      </c>
      <c r="J229" t="n">
        <v>0</v>
      </c>
      <c r="K229" t="n">
        <v>0</v>
      </c>
      <c r="L229" t="n">
        <v>0</v>
      </c>
      <c r="M229" t="n">
        <v>0</v>
      </c>
      <c r="N229" t="n">
        <v>0</v>
      </c>
      <c r="O229" t="n">
        <v>0</v>
      </c>
      <c r="P229" t="n">
        <v>0</v>
      </c>
      <c r="Q229" t="n">
        <v>1</v>
      </c>
      <c r="R229" s="2" t="inlineStr">
        <is>
          <t>Brandticka</t>
        </is>
      </c>
      <c r="S229">
        <f>HYPERLINK("https://klasma.github.io/Logging_0883/artfynd/A 44635-2021 artfynd.xlsx", "A 44635-2021")</f>
        <v/>
      </c>
      <c r="T229">
        <f>HYPERLINK("https://klasma.github.io/Logging_0883/kartor/A 44635-2021 karta.png", "A 44635-2021")</f>
        <v/>
      </c>
      <c r="V229">
        <f>HYPERLINK("https://klasma.github.io/Logging_0883/klagomål/A 44635-2021 FSC-klagomål.docx", "A 44635-2021")</f>
        <v/>
      </c>
      <c r="W229">
        <f>HYPERLINK("https://klasma.github.io/Logging_0883/klagomålsmail/A 44635-2021 FSC-klagomål mail.docx", "A 44635-2021")</f>
        <v/>
      </c>
      <c r="X229">
        <f>HYPERLINK("https://klasma.github.io/Logging_0883/tillsyn/A 44635-2021 tillsynsbegäran.docx", "A 44635-2021")</f>
        <v/>
      </c>
      <c r="Y229">
        <f>HYPERLINK("https://klasma.github.io/Logging_0883/tillsynsmail/A 44635-2021 tillsynsbegäran mail.docx", "A 44635-2021")</f>
        <v/>
      </c>
    </row>
    <row r="230" ht="15" customHeight="1">
      <c r="A230" t="inlineStr">
        <is>
          <t>A 9261-2025</t>
        </is>
      </c>
      <c r="B230" s="1" t="n">
        <v>45714.60472222222</v>
      </c>
      <c r="C230" s="1" t="n">
        <v>45882</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6657-2025</t>
        </is>
      </c>
      <c r="B231" s="1" t="n">
        <v>45700</v>
      </c>
      <c r="C231" s="1" t="n">
        <v>45882</v>
      </c>
      <c r="D231" t="inlineStr">
        <is>
          <t>KALMAR LÄN</t>
        </is>
      </c>
      <c r="E231" t="inlineStr">
        <is>
          <t>VÄSTERVIK</t>
        </is>
      </c>
      <c r="F231" t="inlineStr">
        <is>
          <t>Holmen skog AB</t>
        </is>
      </c>
      <c r="G231" t="n">
        <v>3</v>
      </c>
      <c r="H231" t="n">
        <v>1</v>
      </c>
      <c r="I231" t="n">
        <v>0</v>
      </c>
      <c r="J231" t="n">
        <v>0</v>
      </c>
      <c r="K231" t="n">
        <v>1</v>
      </c>
      <c r="L231" t="n">
        <v>0</v>
      </c>
      <c r="M231" t="n">
        <v>0</v>
      </c>
      <c r="N231" t="n">
        <v>0</v>
      </c>
      <c r="O231" t="n">
        <v>1</v>
      </c>
      <c r="P231" t="n">
        <v>1</v>
      </c>
      <c r="Q231" t="n">
        <v>1</v>
      </c>
      <c r="R231" s="2" t="inlineStr">
        <is>
          <t>Knärot</t>
        </is>
      </c>
      <c r="S231">
        <f>HYPERLINK("https://klasma.github.io/Logging_0883/artfynd/A 6657-2025 artfynd.xlsx", "A 6657-2025")</f>
        <v/>
      </c>
      <c r="T231">
        <f>HYPERLINK("https://klasma.github.io/Logging_0883/kartor/A 6657-2025 karta.png", "A 6657-2025")</f>
        <v/>
      </c>
      <c r="U231">
        <f>HYPERLINK("https://klasma.github.io/Logging_0883/knärot/A 6657-2025 karta knärot.png", "A 6657-2025")</f>
        <v/>
      </c>
      <c r="V231">
        <f>HYPERLINK("https://klasma.github.io/Logging_0883/klagomål/A 6657-2025 FSC-klagomål.docx", "A 6657-2025")</f>
        <v/>
      </c>
      <c r="W231">
        <f>HYPERLINK("https://klasma.github.io/Logging_0883/klagomålsmail/A 6657-2025 FSC-klagomål mail.docx", "A 6657-2025")</f>
        <v/>
      </c>
      <c r="X231">
        <f>HYPERLINK("https://klasma.github.io/Logging_0883/tillsyn/A 6657-2025 tillsynsbegäran.docx", "A 6657-2025")</f>
        <v/>
      </c>
      <c r="Y231">
        <f>HYPERLINK("https://klasma.github.io/Logging_0883/tillsynsmail/A 6657-2025 tillsynsbegäran mail.docx", "A 6657-2025")</f>
        <v/>
      </c>
    </row>
    <row r="232" ht="15" customHeight="1">
      <c r="A232" t="inlineStr">
        <is>
          <t>A 26516-2025</t>
        </is>
      </c>
      <c r="B232" s="1" t="n">
        <v>45807.55402777778</v>
      </c>
      <c r="C232" s="1" t="n">
        <v>45882</v>
      </c>
      <c r="D232" t="inlineStr">
        <is>
          <t>KALMAR LÄN</t>
        </is>
      </c>
      <c r="E232" t="inlineStr">
        <is>
          <t>VÄSTERVIK</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HYPERLINK("https://klasma.github.io/Logging_0883/artfynd/A 26516-2025 artfynd.xlsx", "A 26516-2025")</f>
        <v/>
      </c>
      <c r="T232">
        <f>HYPERLINK("https://klasma.github.io/Logging_0883/kartor/A 26516-2025 karta.png", "A 26516-2025")</f>
        <v/>
      </c>
      <c r="V232">
        <f>HYPERLINK("https://klasma.github.io/Logging_0883/klagomål/A 26516-2025 FSC-klagomål.docx", "A 26516-2025")</f>
        <v/>
      </c>
      <c r="W232">
        <f>HYPERLINK("https://klasma.github.io/Logging_0883/klagomålsmail/A 26516-2025 FSC-klagomål mail.docx", "A 26516-2025")</f>
        <v/>
      </c>
      <c r="X232">
        <f>HYPERLINK("https://klasma.github.io/Logging_0883/tillsyn/A 26516-2025 tillsynsbegäran.docx", "A 26516-2025")</f>
        <v/>
      </c>
      <c r="Y232">
        <f>HYPERLINK("https://klasma.github.io/Logging_0883/tillsynsmail/A 26516-2025 tillsynsbegäran mail.docx", "A 26516-2025")</f>
        <v/>
      </c>
      <c r="Z232">
        <f>HYPERLINK("https://klasma.github.io/Logging_0883/fåglar/A 26516-2025 prioriterade fågelarter.docx", "A 26516-2025")</f>
        <v/>
      </c>
    </row>
    <row r="233" ht="15" customHeight="1">
      <c r="A233" t="inlineStr">
        <is>
          <t>A 33815-2023</t>
        </is>
      </c>
      <c r="B233" s="1" t="n">
        <v>45133.59306712963</v>
      </c>
      <c r="C233" s="1" t="n">
        <v>45882</v>
      </c>
      <c r="D233" t="inlineStr">
        <is>
          <t>KALMAR LÄN</t>
        </is>
      </c>
      <c r="E233" t="inlineStr">
        <is>
          <t>VÄSTERVIK</t>
        </is>
      </c>
      <c r="G233" t="n">
        <v>3.4</v>
      </c>
      <c r="H233" t="n">
        <v>0</v>
      </c>
      <c r="I233" t="n">
        <v>1</v>
      </c>
      <c r="J233" t="n">
        <v>0</v>
      </c>
      <c r="K233" t="n">
        <v>0</v>
      </c>
      <c r="L233" t="n">
        <v>0</v>
      </c>
      <c r="M233" t="n">
        <v>0</v>
      </c>
      <c r="N233" t="n">
        <v>0</v>
      </c>
      <c r="O233" t="n">
        <v>0</v>
      </c>
      <c r="P233" t="n">
        <v>0</v>
      </c>
      <c r="Q233" t="n">
        <v>1</v>
      </c>
      <c r="R233" s="2" t="inlineStr">
        <is>
          <t>Grönpyrola</t>
        </is>
      </c>
      <c r="S233">
        <f>HYPERLINK("https://klasma.github.io/Logging_0883/artfynd/A 33815-2023 artfynd.xlsx", "A 33815-2023")</f>
        <v/>
      </c>
      <c r="T233">
        <f>HYPERLINK("https://klasma.github.io/Logging_0883/kartor/A 33815-2023 karta.png", "A 33815-2023")</f>
        <v/>
      </c>
      <c r="V233">
        <f>HYPERLINK("https://klasma.github.io/Logging_0883/klagomål/A 33815-2023 FSC-klagomål.docx", "A 33815-2023")</f>
        <v/>
      </c>
      <c r="W233">
        <f>HYPERLINK("https://klasma.github.io/Logging_0883/klagomålsmail/A 33815-2023 FSC-klagomål mail.docx", "A 33815-2023")</f>
        <v/>
      </c>
      <c r="X233">
        <f>HYPERLINK("https://klasma.github.io/Logging_0883/tillsyn/A 33815-2023 tillsynsbegäran.docx", "A 33815-2023")</f>
        <v/>
      </c>
      <c r="Y233">
        <f>HYPERLINK("https://klasma.github.io/Logging_0883/tillsynsmail/A 33815-2023 tillsynsbegäran mail.docx", "A 33815-2023")</f>
        <v/>
      </c>
    </row>
    <row r="234" ht="15" customHeight="1">
      <c r="A234" t="inlineStr">
        <is>
          <t>A 33816-2023</t>
        </is>
      </c>
      <c r="B234" s="1" t="n">
        <v>45133.59490740741</v>
      </c>
      <c r="C234" s="1" t="n">
        <v>45882</v>
      </c>
      <c r="D234" t="inlineStr">
        <is>
          <t>KALMAR LÄN</t>
        </is>
      </c>
      <c r="E234" t="inlineStr">
        <is>
          <t>VÄSTERVIK</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HYPERLINK("https://klasma.github.io/Logging_0883/artfynd/A 33816-2023 artfynd.xlsx", "A 33816-2023")</f>
        <v/>
      </c>
      <c r="T234">
        <f>HYPERLINK("https://klasma.github.io/Logging_0883/kartor/A 33816-2023 karta.png", "A 33816-2023")</f>
        <v/>
      </c>
      <c r="V234">
        <f>HYPERLINK("https://klasma.github.io/Logging_0883/klagomål/A 33816-2023 FSC-klagomål.docx", "A 33816-2023")</f>
        <v/>
      </c>
      <c r="W234">
        <f>HYPERLINK("https://klasma.github.io/Logging_0883/klagomålsmail/A 33816-2023 FSC-klagomål mail.docx", "A 33816-2023")</f>
        <v/>
      </c>
      <c r="X234">
        <f>HYPERLINK("https://klasma.github.io/Logging_0883/tillsyn/A 33816-2023 tillsynsbegäran.docx", "A 33816-2023")</f>
        <v/>
      </c>
      <c r="Y234">
        <f>HYPERLINK("https://klasma.github.io/Logging_0883/tillsynsmail/A 33816-2023 tillsynsbegäran mail.docx", "A 33816-2023")</f>
        <v/>
      </c>
    </row>
    <row r="235" ht="15" customHeight="1">
      <c r="A235" t="inlineStr">
        <is>
          <t>A 20233-2021</t>
        </is>
      </c>
      <c r="B235" s="1" t="n">
        <v>44314</v>
      </c>
      <c r="C235" s="1" t="n">
        <v>45882</v>
      </c>
      <c r="D235" t="inlineStr">
        <is>
          <t>KALMAR LÄN</t>
        </is>
      </c>
      <c r="E235" t="inlineStr">
        <is>
          <t>VÄSTERVIK</t>
        </is>
      </c>
      <c r="F235" t="inlineStr">
        <is>
          <t>Holmen skog AB</t>
        </is>
      </c>
      <c r="G235" t="n">
        <v>11.8</v>
      </c>
      <c r="H235" t="n">
        <v>0</v>
      </c>
      <c r="I235" t="n">
        <v>0</v>
      </c>
      <c r="J235" t="n">
        <v>1</v>
      </c>
      <c r="K235" t="n">
        <v>0</v>
      </c>
      <c r="L235" t="n">
        <v>0</v>
      </c>
      <c r="M235" t="n">
        <v>0</v>
      </c>
      <c r="N235" t="n">
        <v>0</v>
      </c>
      <c r="O235" t="n">
        <v>1</v>
      </c>
      <c r="P235" t="n">
        <v>0</v>
      </c>
      <c r="Q235" t="n">
        <v>1</v>
      </c>
      <c r="R235" s="2" t="inlineStr">
        <is>
          <t>Skogsklocka</t>
        </is>
      </c>
      <c r="S235">
        <f>HYPERLINK("https://klasma.github.io/Logging_0883/artfynd/A 20233-2021 artfynd.xlsx", "A 20233-2021")</f>
        <v/>
      </c>
      <c r="T235">
        <f>HYPERLINK("https://klasma.github.io/Logging_0883/kartor/A 20233-2021 karta.png", "A 20233-2021")</f>
        <v/>
      </c>
      <c r="V235">
        <f>HYPERLINK("https://klasma.github.io/Logging_0883/klagomål/A 20233-2021 FSC-klagomål.docx", "A 20233-2021")</f>
        <v/>
      </c>
      <c r="W235">
        <f>HYPERLINK("https://klasma.github.io/Logging_0883/klagomålsmail/A 20233-2021 FSC-klagomål mail.docx", "A 20233-2021")</f>
        <v/>
      </c>
      <c r="X235">
        <f>HYPERLINK("https://klasma.github.io/Logging_0883/tillsyn/A 20233-2021 tillsynsbegäran.docx", "A 20233-2021")</f>
        <v/>
      </c>
      <c r="Y235">
        <f>HYPERLINK("https://klasma.github.io/Logging_0883/tillsynsmail/A 20233-2021 tillsynsbegäran mail.docx", "A 20233-2021")</f>
        <v/>
      </c>
    </row>
    <row r="236" ht="15" customHeight="1">
      <c r="A236" t="inlineStr">
        <is>
          <t>A 25447-2021</t>
        </is>
      </c>
      <c r="B236" s="1" t="n">
        <v>44342</v>
      </c>
      <c r="C236" s="1" t="n">
        <v>45882</v>
      </c>
      <c r="D236" t="inlineStr">
        <is>
          <t>KALMAR LÄN</t>
        </is>
      </c>
      <c r="E236" t="inlineStr">
        <is>
          <t>VÄSTERVIK</t>
        </is>
      </c>
      <c r="F236" t="inlineStr">
        <is>
          <t>Holmen skog AB</t>
        </is>
      </c>
      <c r="G236" t="n">
        <v>9</v>
      </c>
      <c r="H236" t="n">
        <v>1</v>
      </c>
      <c r="I236" t="n">
        <v>0</v>
      </c>
      <c r="J236" t="n">
        <v>0</v>
      </c>
      <c r="K236" t="n">
        <v>1</v>
      </c>
      <c r="L236" t="n">
        <v>0</v>
      </c>
      <c r="M236" t="n">
        <v>0</v>
      </c>
      <c r="N236" t="n">
        <v>0</v>
      </c>
      <c r="O236" t="n">
        <v>1</v>
      </c>
      <c r="P236" t="n">
        <v>1</v>
      </c>
      <c r="Q236" t="n">
        <v>1</v>
      </c>
      <c r="R236" s="2" t="inlineStr">
        <is>
          <t>Knärot</t>
        </is>
      </c>
      <c r="S236">
        <f>HYPERLINK("https://klasma.github.io/Logging_0883/artfynd/A 25447-2021 artfynd.xlsx", "A 25447-2021")</f>
        <v/>
      </c>
      <c r="T236">
        <f>HYPERLINK("https://klasma.github.io/Logging_0883/kartor/A 25447-2021 karta.png", "A 25447-2021")</f>
        <v/>
      </c>
      <c r="U236">
        <f>HYPERLINK("https://klasma.github.io/Logging_0883/knärot/A 25447-2021 karta knärot.png", "A 25447-2021")</f>
        <v/>
      </c>
      <c r="V236">
        <f>HYPERLINK("https://klasma.github.io/Logging_0883/klagomål/A 25447-2021 FSC-klagomål.docx", "A 25447-2021")</f>
        <v/>
      </c>
      <c r="W236">
        <f>HYPERLINK("https://klasma.github.io/Logging_0883/klagomålsmail/A 25447-2021 FSC-klagomål mail.docx", "A 25447-2021")</f>
        <v/>
      </c>
      <c r="X236">
        <f>HYPERLINK("https://klasma.github.io/Logging_0883/tillsyn/A 25447-2021 tillsynsbegäran.docx", "A 25447-2021")</f>
        <v/>
      </c>
      <c r="Y236">
        <f>HYPERLINK("https://klasma.github.io/Logging_0883/tillsynsmail/A 25447-2021 tillsynsbegäran mail.docx", "A 25447-2021")</f>
        <v/>
      </c>
    </row>
    <row r="237" ht="15" customHeight="1">
      <c r="A237" t="inlineStr">
        <is>
          <t>A 25594-2021</t>
        </is>
      </c>
      <c r="B237" s="1" t="n">
        <v>44343</v>
      </c>
      <c r="C237" s="1" t="n">
        <v>45882</v>
      </c>
      <c r="D237" t="inlineStr">
        <is>
          <t>KALMAR LÄN</t>
        </is>
      </c>
      <c r="E237" t="inlineStr">
        <is>
          <t>VÄSTERVIK</t>
        </is>
      </c>
      <c r="F237" t="inlineStr">
        <is>
          <t>Holmen skog AB</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HYPERLINK("https://klasma.github.io/Logging_0883/artfynd/A 25594-2021 artfynd.xlsx", "A 25594-2021")</f>
        <v/>
      </c>
      <c r="T237">
        <f>HYPERLINK("https://klasma.github.io/Logging_0883/kartor/A 25594-2021 karta.png", "A 25594-2021")</f>
        <v/>
      </c>
      <c r="U237">
        <f>HYPERLINK("https://klasma.github.io/Logging_0883/knärot/A 25594-2021 karta knärot.png", "A 25594-2021")</f>
        <v/>
      </c>
      <c r="V237">
        <f>HYPERLINK("https://klasma.github.io/Logging_0883/klagomål/A 25594-2021 FSC-klagomål.docx", "A 25594-2021")</f>
        <v/>
      </c>
      <c r="W237">
        <f>HYPERLINK("https://klasma.github.io/Logging_0883/klagomålsmail/A 25594-2021 FSC-klagomål mail.docx", "A 25594-2021")</f>
        <v/>
      </c>
      <c r="X237">
        <f>HYPERLINK("https://klasma.github.io/Logging_0883/tillsyn/A 25594-2021 tillsynsbegäran.docx", "A 25594-2021")</f>
        <v/>
      </c>
      <c r="Y237">
        <f>HYPERLINK("https://klasma.github.io/Logging_0883/tillsynsmail/A 25594-2021 tillsynsbegäran mail.docx", "A 25594-2021")</f>
        <v/>
      </c>
    </row>
    <row r="238" ht="15" customHeight="1">
      <c r="A238" t="inlineStr">
        <is>
          <t>A 27426-2025</t>
        </is>
      </c>
      <c r="B238" s="1" t="n">
        <v>45813</v>
      </c>
      <c r="C238" s="1" t="n">
        <v>45882</v>
      </c>
      <c r="D238" t="inlineStr">
        <is>
          <t>KALMAR LÄN</t>
        </is>
      </c>
      <c r="E238" t="inlineStr">
        <is>
          <t>VÄSTERVIK</t>
        </is>
      </c>
      <c r="G238" t="n">
        <v>2</v>
      </c>
      <c r="H238" t="n">
        <v>0</v>
      </c>
      <c r="I238" t="n">
        <v>1</v>
      </c>
      <c r="J238" t="n">
        <v>0</v>
      </c>
      <c r="K238" t="n">
        <v>0</v>
      </c>
      <c r="L238" t="n">
        <v>0</v>
      </c>
      <c r="M238" t="n">
        <v>0</v>
      </c>
      <c r="N238" t="n">
        <v>0</v>
      </c>
      <c r="O238" t="n">
        <v>0</v>
      </c>
      <c r="P238" t="n">
        <v>0</v>
      </c>
      <c r="Q238" t="n">
        <v>1</v>
      </c>
      <c r="R238" s="2" t="inlineStr">
        <is>
          <t>Vätteros</t>
        </is>
      </c>
      <c r="S238">
        <f>HYPERLINK("https://klasma.github.io/Logging_0883/artfynd/A 27426-2025 artfynd.xlsx", "A 27426-2025")</f>
        <v/>
      </c>
      <c r="T238">
        <f>HYPERLINK("https://klasma.github.io/Logging_0883/kartor/A 27426-2025 karta.png", "A 27426-2025")</f>
        <v/>
      </c>
      <c r="V238">
        <f>HYPERLINK("https://klasma.github.io/Logging_0883/klagomål/A 27426-2025 FSC-klagomål.docx", "A 27426-2025")</f>
        <v/>
      </c>
      <c r="W238">
        <f>HYPERLINK("https://klasma.github.io/Logging_0883/klagomålsmail/A 27426-2025 FSC-klagomål mail.docx", "A 27426-2025")</f>
        <v/>
      </c>
      <c r="X238">
        <f>HYPERLINK("https://klasma.github.io/Logging_0883/tillsyn/A 27426-2025 tillsynsbegäran.docx", "A 27426-2025")</f>
        <v/>
      </c>
      <c r="Y238">
        <f>HYPERLINK("https://klasma.github.io/Logging_0883/tillsynsmail/A 27426-2025 tillsynsbegäran mail.docx", "A 27426-2025")</f>
        <v/>
      </c>
    </row>
    <row r="239" ht="15" customHeight="1">
      <c r="A239" t="inlineStr">
        <is>
          <t>A 1176-2024</t>
        </is>
      </c>
      <c r="B239" s="1" t="n">
        <v>45302</v>
      </c>
      <c r="C239" s="1" t="n">
        <v>45882</v>
      </c>
      <c r="D239" t="inlineStr">
        <is>
          <t>KALMAR LÄN</t>
        </is>
      </c>
      <c r="E239" t="inlineStr">
        <is>
          <t>VÄSTERVIK</t>
        </is>
      </c>
      <c r="G239" t="n">
        <v>2.5</v>
      </c>
      <c r="H239" t="n">
        <v>0</v>
      </c>
      <c r="I239" t="n">
        <v>0</v>
      </c>
      <c r="J239" t="n">
        <v>1</v>
      </c>
      <c r="K239" t="n">
        <v>0</v>
      </c>
      <c r="L239" t="n">
        <v>0</v>
      </c>
      <c r="M239" t="n">
        <v>0</v>
      </c>
      <c r="N239" t="n">
        <v>0</v>
      </c>
      <c r="O239" t="n">
        <v>1</v>
      </c>
      <c r="P239" t="n">
        <v>0</v>
      </c>
      <c r="Q239" t="n">
        <v>1</v>
      </c>
      <c r="R239" s="2" t="inlineStr">
        <is>
          <t>Tallticka</t>
        </is>
      </c>
      <c r="S239">
        <f>HYPERLINK("https://klasma.github.io/Logging_0883/artfynd/A 1176-2024 artfynd.xlsx", "A 1176-2024")</f>
        <v/>
      </c>
      <c r="T239">
        <f>HYPERLINK("https://klasma.github.io/Logging_0883/kartor/A 1176-2024 karta.png", "A 1176-2024")</f>
        <v/>
      </c>
      <c r="V239">
        <f>HYPERLINK("https://klasma.github.io/Logging_0883/klagomål/A 1176-2024 FSC-klagomål.docx", "A 1176-2024")</f>
        <v/>
      </c>
      <c r="W239">
        <f>HYPERLINK("https://klasma.github.io/Logging_0883/klagomålsmail/A 1176-2024 FSC-klagomål mail.docx", "A 1176-2024")</f>
        <v/>
      </c>
      <c r="X239">
        <f>HYPERLINK("https://klasma.github.io/Logging_0883/tillsyn/A 1176-2024 tillsynsbegäran.docx", "A 1176-2024")</f>
        <v/>
      </c>
      <c r="Y239">
        <f>HYPERLINK("https://klasma.github.io/Logging_0883/tillsynsmail/A 1176-2024 tillsynsbegäran mail.docx", "A 1176-2024")</f>
        <v/>
      </c>
    </row>
    <row r="240" ht="15" customHeight="1">
      <c r="A240" t="inlineStr">
        <is>
          <t>A 1024-2023</t>
        </is>
      </c>
      <c r="B240" s="1" t="n">
        <v>44935</v>
      </c>
      <c r="C240" s="1" t="n">
        <v>45882</v>
      </c>
      <c r="D240" t="inlineStr">
        <is>
          <t>KALMAR LÄN</t>
        </is>
      </c>
      <c r="E240" t="inlineStr">
        <is>
          <t>VÄSTERVIK</t>
        </is>
      </c>
      <c r="F240" t="inlineStr">
        <is>
          <t>Holmen skog AB</t>
        </is>
      </c>
      <c r="G240" t="n">
        <v>1.9</v>
      </c>
      <c r="H240" t="n">
        <v>0</v>
      </c>
      <c r="I240" t="n">
        <v>0</v>
      </c>
      <c r="J240" t="n">
        <v>1</v>
      </c>
      <c r="K240" t="n">
        <v>0</v>
      </c>
      <c r="L240" t="n">
        <v>0</v>
      </c>
      <c r="M240" t="n">
        <v>0</v>
      </c>
      <c r="N240" t="n">
        <v>0</v>
      </c>
      <c r="O240" t="n">
        <v>1</v>
      </c>
      <c r="P240" t="n">
        <v>0</v>
      </c>
      <c r="Q240" t="n">
        <v>1</v>
      </c>
      <c r="R240" s="2" t="inlineStr">
        <is>
          <t>Ekticka</t>
        </is>
      </c>
      <c r="S240">
        <f>HYPERLINK("https://klasma.github.io/Logging_0883/artfynd/A 1024-2023 artfynd.xlsx", "A 1024-2023")</f>
        <v/>
      </c>
      <c r="T240">
        <f>HYPERLINK("https://klasma.github.io/Logging_0883/kartor/A 1024-2023 karta.png", "A 1024-2023")</f>
        <v/>
      </c>
      <c r="V240">
        <f>HYPERLINK("https://klasma.github.io/Logging_0883/klagomål/A 1024-2023 FSC-klagomål.docx", "A 1024-2023")</f>
        <v/>
      </c>
      <c r="W240">
        <f>HYPERLINK("https://klasma.github.io/Logging_0883/klagomålsmail/A 1024-2023 FSC-klagomål mail.docx", "A 1024-2023")</f>
        <v/>
      </c>
      <c r="X240">
        <f>HYPERLINK("https://klasma.github.io/Logging_0883/tillsyn/A 1024-2023 tillsynsbegäran.docx", "A 1024-2023")</f>
        <v/>
      </c>
      <c r="Y240">
        <f>HYPERLINK("https://klasma.github.io/Logging_0883/tillsynsmail/A 1024-2023 tillsynsbegäran mail.docx", "A 1024-2023")</f>
        <v/>
      </c>
    </row>
    <row r="241" ht="15" customHeight="1">
      <c r="A241" t="inlineStr">
        <is>
          <t>A 10768-2025</t>
        </is>
      </c>
      <c r="B241" s="1" t="n">
        <v>45722.46649305556</v>
      </c>
      <c r="C241" s="1" t="n">
        <v>45882</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5575-2021</t>
        </is>
      </c>
      <c r="B242" s="1" t="n">
        <v>44230</v>
      </c>
      <c r="C242" s="1" t="n">
        <v>45882</v>
      </c>
      <c r="D242" t="inlineStr">
        <is>
          <t>KALMAR LÄN</t>
        </is>
      </c>
      <c r="E242" t="inlineStr">
        <is>
          <t>VÄSTERVIK</t>
        </is>
      </c>
      <c r="G242" t="n">
        <v>2.6</v>
      </c>
      <c r="H242" t="n">
        <v>1</v>
      </c>
      <c r="I242" t="n">
        <v>1</v>
      </c>
      <c r="J242" t="n">
        <v>0</v>
      </c>
      <c r="K242" t="n">
        <v>0</v>
      </c>
      <c r="L242" t="n">
        <v>0</v>
      </c>
      <c r="M242" t="n">
        <v>0</v>
      </c>
      <c r="N242" t="n">
        <v>0</v>
      </c>
      <c r="O242" t="n">
        <v>0</v>
      </c>
      <c r="P242" t="n">
        <v>0</v>
      </c>
      <c r="Q242" t="n">
        <v>1</v>
      </c>
      <c r="R242" s="2" t="inlineStr">
        <is>
          <t>Ekoxe</t>
        </is>
      </c>
      <c r="S242">
        <f>HYPERLINK("https://klasma.github.io/Logging_0883/artfynd/A 5575-2021 artfynd.xlsx", "A 5575-2021")</f>
        <v/>
      </c>
      <c r="T242">
        <f>HYPERLINK("https://klasma.github.io/Logging_0883/kartor/A 5575-2021 karta.png", "A 5575-2021")</f>
        <v/>
      </c>
      <c r="V242">
        <f>HYPERLINK("https://klasma.github.io/Logging_0883/klagomål/A 5575-2021 FSC-klagomål.docx", "A 5575-2021")</f>
        <v/>
      </c>
      <c r="W242">
        <f>HYPERLINK("https://klasma.github.io/Logging_0883/klagomålsmail/A 5575-2021 FSC-klagomål mail.docx", "A 5575-2021")</f>
        <v/>
      </c>
      <c r="X242">
        <f>HYPERLINK("https://klasma.github.io/Logging_0883/tillsyn/A 5575-2021 tillsynsbegäran.docx", "A 5575-2021")</f>
        <v/>
      </c>
      <c r="Y242">
        <f>HYPERLINK("https://klasma.github.io/Logging_0883/tillsynsmail/A 5575-2021 tillsynsbegäran mail.docx", "A 5575-2021")</f>
        <v/>
      </c>
    </row>
    <row r="243" ht="15" customHeight="1">
      <c r="A243" t="inlineStr">
        <is>
          <t>A 51488-2024</t>
        </is>
      </c>
      <c r="B243" s="1" t="n">
        <v>45604</v>
      </c>
      <c r="C243" s="1" t="n">
        <v>45882</v>
      </c>
      <c r="D243" t="inlineStr">
        <is>
          <t>KALMAR LÄN</t>
        </is>
      </c>
      <c r="E243" t="inlineStr">
        <is>
          <t>VÄSTERVIK</t>
        </is>
      </c>
      <c r="F243" t="inlineStr">
        <is>
          <t>Övriga Aktiebolag</t>
        </is>
      </c>
      <c r="G243" t="n">
        <v>2.9</v>
      </c>
      <c r="H243" t="n">
        <v>1</v>
      </c>
      <c r="I243" t="n">
        <v>0</v>
      </c>
      <c r="J243" t="n">
        <v>1</v>
      </c>
      <c r="K243" t="n">
        <v>0</v>
      </c>
      <c r="L243" t="n">
        <v>0</v>
      </c>
      <c r="M243" t="n">
        <v>0</v>
      </c>
      <c r="N243" t="n">
        <v>0</v>
      </c>
      <c r="O243" t="n">
        <v>1</v>
      </c>
      <c r="P243" t="n">
        <v>0</v>
      </c>
      <c r="Q243" t="n">
        <v>1</v>
      </c>
      <c r="R243" s="2" t="inlineStr">
        <is>
          <t>Entita</t>
        </is>
      </c>
      <c r="S243">
        <f>HYPERLINK("https://klasma.github.io/Logging_0883/artfynd/A 51488-2024 artfynd.xlsx", "A 51488-2024")</f>
        <v/>
      </c>
      <c r="T243">
        <f>HYPERLINK("https://klasma.github.io/Logging_0883/kartor/A 51488-2024 karta.png", "A 51488-2024")</f>
        <v/>
      </c>
      <c r="V243">
        <f>HYPERLINK("https://klasma.github.io/Logging_0883/klagomål/A 51488-2024 FSC-klagomål.docx", "A 51488-2024")</f>
        <v/>
      </c>
      <c r="W243">
        <f>HYPERLINK("https://klasma.github.io/Logging_0883/klagomålsmail/A 51488-2024 FSC-klagomål mail.docx", "A 51488-2024")</f>
        <v/>
      </c>
      <c r="X243">
        <f>HYPERLINK("https://klasma.github.io/Logging_0883/tillsyn/A 51488-2024 tillsynsbegäran.docx", "A 51488-2024")</f>
        <v/>
      </c>
      <c r="Y243">
        <f>HYPERLINK("https://klasma.github.io/Logging_0883/tillsynsmail/A 51488-2024 tillsynsbegäran mail.docx", "A 51488-2024")</f>
        <v/>
      </c>
      <c r="Z243">
        <f>HYPERLINK("https://klasma.github.io/Logging_0883/fåglar/A 51488-2024 prioriterade fågelarter.docx", "A 51488-2024")</f>
        <v/>
      </c>
    </row>
    <row r="244" ht="15" customHeight="1">
      <c r="A244" t="inlineStr">
        <is>
          <t>A 46722-2023</t>
        </is>
      </c>
      <c r="B244" s="1" t="n">
        <v>45194</v>
      </c>
      <c r="C244" s="1" t="n">
        <v>45882</v>
      </c>
      <c r="D244" t="inlineStr">
        <is>
          <t>KALMAR LÄN</t>
        </is>
      </c>
      <c r="E244" t="inlineStr">
        <is>
          <t>VÄSTERVIK</t>
        </is>
      </c>
      <c r="G244" t="n">
        <v>0.9</v>
      </c>
      <c r="H244" t="n">
        <v>1</v>
      </c>
      <c r="I244" t="n">
        <v>0</v>
      </c>
      <c r="J244" t="n">
        <v>0</v>
      </c>
      <c r="K244" t="n">
        <v>1</v>
      </c>
      <c r="L244" t="n">
        <v>0</v>
      </c>
      <c r="M244" t="n">
        <v>0</v>
      </c>
      <c r="N244" t="n">
        <v>0</v>
      </c>
      <c r="O244" t="n">
        <v>1</v>
      </c>
      <c r="P244" t="n">
        <v>1</v>
      </c>
      <c r="Q244" t="n">
        <v>1</v>
      </c>
      <c r="R244" s="2" t="inlineStr">
        <is>
          <t>Knärot</t>
        </is>
      </c>
      <c r="S244">
        <f>HYPERLINK("https://klasma.github.io/Logging_0883/artfynd/A 46722-2023 artfynd.xlsx", "A 46722-2023")</f>
        <v/>
      </c>
      <c r="T244">
        <f>HYPERLINK("https://klasma.github.io/Logging_0883/kartor/A 46722-2023 karta.png", "A 46722-2023")</f>
        <v/>
      </c>
      <c r="U244">
        <f>HYPERLINK("https://klasma.github.io/Logging_0883/knärot/A 46722-2023 karta knärot.png", "A 46722-2023")</f>
        <v/>
      </c>
      <c r="V244">
        <f>HYPERLINK("https://klasma.github.io/Logging_0883/klagomål/A 46722-2023 FSC-klagomål.docx", "A 46722-2023")</f>
        <v/>
      </c>
      <c r="W244">
        <f>HYPERLINK("https://klasma.github.io/Logging_0883/klagomålsmail/A 46722-2023 FSC-klagomål mail.docx", "A 46722-2023")</f>
        <v/>
      </c>
      <c r="X244">
        <f>HYPERLINK("https://klasma.github.io/Logging_0883/tillsyn/A 46722-2023 tillsynsbegäran.docx", "A 46722-2023")</f>
        <v/>
      </c>
      <c r="Y244">
        <f>HYPERLINK("https://klasma.github.io/Logging_0883/tillsynsmail/A 46722-2023 tillsynsbegäran mail.docx", "A 46722-2023")</f>
        <v/>
      </c>
    </row>
    <row r="245" ht="15" customHeight="1">
      <c r="A245" t="inlineStr">
        <is>
          <t>A 11165-2024</t>
        </is>
      </c>
      <c r="B245" s="1" t="n">
        <v>45371</v>
      </c>
      <c r="C245" s="1" t="n">
        <v>45882</v>
      </c>
      <c r="D245" t="inlineStr">
        <is>
          <t>KALMAR LÄN</t>
        </is>
      </c>
      <c r="E245" t="inlineStr">
        <is>
          <t>VÄSTERVIK</t>
        </is>
      </c>
      <c r="G245" t="n">
        <v>3.7</v>
      </c>
      <c r="H245" t="n">
        <v>1</v>
      </c>
      <c r="I245" t="n">
        <v>0</v>
      </c>
      <c r="J245" t="n">
        <v>1</v>
      </c>
      <c r="K245" t="n">
        <v>0</v>
      </c>
      <c r="L245" t="n">
        <v>0</v>
      </c>
      <c r="M245" t="n">
        <v>0</v>
      </c>
      <c r="N245" t="n">
        <v>0</v>
      </c>
      <c r="O245" t="n">
        <v>1</v>
      </c>
      <c r="P245" t="n">
        <v>0</v>
      </c>
      <c r="Q245" t="n">
        <v>1</v>
      </c>
      <c r="R245" s="2" t="inlineStr">
        <is>
          <t>Spillkråka</t>
        </is>
      </c>
      <c r="S245">
        <f>HYPERLINK("https://klasma.github.io/Logging_0883/artfynd/A 11165-2024 artfynd.xlsx", "A 11165-2024")</f>
        <v/>
      </c>
      <c r="T245">
        <f>HYPERLINK("https://klasma.github.io/Logging_0883/kartor/A 11165-2024 karta.png", "A 11165-2024")</f>
        <v/>
      </c>
      <c r="V245">
        <f>HYPERLINK("https://klasma.github.io/Logging_0883/klagomål/A 11165-2024 FSC-klagomål.docx", "A 11165-2024")</f>
        <v/>
      </c>
      <c r="W245">
        <f>HYPERLINK("https://klasma.github.io/Logging_0883/klagomålsmail/A 11165-2024 FSC-klagomål mail.docx", "A 11165-2024")</f>
        <v/>
      </c>
      <c r="X245">
        <f>HYPERLINK("https://klasma.github.io/Logging_0883/tillsyn/A 11165-2024 tillsynsbegäran.docx", "A 11165-2024")</f>
        <v/>
      </c>
      <c r="Y245">
        <f>HYPERLINK("https://klasma.github.io/Logging_0883/tillsynsmail/A 11165-2024 tillsynsbegäran mail.docx", "A 11165-2024")</f>
        <v/>
      </c>
      <c r="Z245">
        <f>HYPERLINK("https://klasma.github.io/Logging_0883/fåglar/A 11165-2024 prioriterade fågelarter.docx", "A 11165-2024")</f>
        <v/>
      </c>
    </row>
    <row r="246" ht="15" customHeight="1">
      <c r="A246" t="inlineStr">
        <is>
          <t>A 9571-2025</t>
        </is>
      </c>
      <c r="B246" s="1" t="n">
        <v>45715.61996527778</v>
      </c>
      <c r="C246" s="1" t="n">
        <v>45882</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9571-2025 artfynd.xlsx", "A 9571-2025")</f>
        <v/>
      </c>
      <c r="T246">
        <f>HYPERLINK("https://klasma.github.io/Logging_0883/kartor/A 9571-2025 karta.png", "A 9571-2025")</f>
        <v/>
      </c>
      <c r="V246">
        <f>HYPERLINK("https://klasma.github.io/Logging_0883/klagomål/A 9571-2025 FSC-klagomål.docx", "A 9571-2025")</f>
        <v/>
      </c>
      <c r="W246">
        <f>HYPERLINK("https://klasma.github.io/Logging_0883/klagomålsmail/A 9571-2025 FSC-klagomål mail.docx", "A 9571-2025")</f>
        <v/>
      </c>
      <c r="X246">
        <f>HYPERLINK("https://klasma.github.io/Logging_0883/tillsyn/A 9571-2025 tillsynsbegäran.docx", "A 9571-2025")</f>
        <v/>
      </c>
      <c r="Y246">
        <f>HYPERLINK("https://klasma.github.io/Logging_0883/tillsynsmail/A 9571-2025 tillsynsbegäran mail.docx", "A 9571-2025")</f>
        <v/>
      </c>
    </row>
    <row r="247" ht="15" customHeight="1">
      <c r="A247" t="inlineStr">
        <is>
          <t>A 36595-2025</t>
        </is>
      </c>
      <c r="B247" s="1" t="n">
        <v>45870.513125</v>
      </c>
      <c r="C247" s="1" t="n">
        <v>45882</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30794-2025</t>
        </is>
      </c>
      <c r="B248" s="1" t="n">
        <v>45831.63834490741</v>
      </c>
      <c r="C248" s="1" t="n">
        <v>45882</v>
      </c>
      <c r="D248" t="inlineStr">
        <is>
          <t>KALMAR LÄN</t>
        </is>
      </c>
      <c r="E248" t="inlineStr">
        <is>
          <t>VÄSTERVIK</t>
        </is>
      </c>
      <c r="G248" t="n">
        <v>4.8</v>
      </c>
      <c r="H248" t="n">
        <v>0</v>
      </c>
      <c r="I248" t="n">
        <v>0</v>
      </c>
      <c r="J248" t="n">
        <v>1</v>
      </c>
      <c r="K248" t="n">
        <v>0</v>
      </c>
      <c r="L248" t="n">
        <v>0</v>
      </c>
      <c r="M248" t="n">
        <v>0</v>
      </c>
      <c r="N248" t="n">
        <v>0</v>
      </c>
      <c r="O248" t="n">
        <v>1</v>
      </c>
      <c r="P248" t="n">
        <v>0</v>
      </c>
      <c r="Q248" t="n">
        <v>1</v>
      </c>
      <c r="R248" s="2" t="inlineStr">
        <is>
          <t>Tallticka</t>
        </is>
      </c>
      <c r="S248">
        <f>HYPERLINK("https://klasma.github.io/Logging_0883/artfynd/A 30794-2025 artfynd.xlsx", "A 30794-2025")</f>
        <v/>
      </c>
      <c r="T248">
        <f>HYPERLINK("https://klasma.github.io/Logging_0883/kartor/A 30794-2025 karta.png", "A 30794-2025")</f>
        <v/>
      </c>
      <c r="V248">
        <f>HYPERLINK("https://klasma.github.io/Logging_0883/klagomål/A 30794-2025 FSC-klagomål.docx", "A 30794-2025")</f>
        <v/>
      </c>
      <c r="W248">
        <f>HYPERLINK("https://klasma.github.io/Logging_0883/klagomålsmail/A 30794-2025 FSC-klagomål mail.docx", "A 30794-2025")</f>
        <v/>
      </c>
      <c r="X248">
        <f>HYPERLINK("https://klasma.github.io/Logging_0883/tillsyn/A 30794-2025 tillsynsbegäran.docx", "A 30794-2025")</f>
        <v/>
      </c>
      <c r="Y248">
        <f>HYPERLINK("https://klasma.github.io/Logging_0883/tillsynsmail/A 30794-2025 tillsynsbegäran mail.docx", "A 30794-2025")</f>
        <v/>
      </c>
    </row>
    <row r="249" ht="15" customHeight="1">
      <c r="A249" t="inlineStr">
        <is>
          <t>A 55616-2024</t>
        </is>
      </c>
      <c r="B249" s="1" t="n">
        <v>45622.5916087963</v>
      </c>
      <c r="C249" s="1" t="n">
        <v>45882</v>
      </c>
      <c r="D249" t="inlineStr">
        <is>
          <t>KALMAR LÄN</t>
        </is>
      </c>
      <c r="E249" t="inlineStr">
        <is>
          <t>VÄSTERVIK</t>
        </is>
      </c>
      <c r="G249" t="n">
        <v>0.5</v>
      </c>
      <c r="H249" t="n">
        <v>1</v>
      </c>
      <c r="I249" t="n">
        <v>0</v>
      </c>
      <c r="J249" t="n">
        <v>1</v>
      </c>
      <c r="K249" t="n">
        <v>0</v>
      </c>
      <c r="L249" t="n">
        <v>0</v>
      </c>
      <c r="M249" t="n">
        <v>0</v>
      </c>
      <c r="N249" t="n">
        <v>0</v>
      </c>
      <c r="O249" t="n">
        <v>1</v>
      </c>
      <c r="P249" t="n">
        <v>0</v>
      </c>
      <c r="Q249" t="n">
        <v>1</v>
      </c>
      <c r="R249" s="2" t="inlineStr">
        <is>
          <t>Entita</t>
        </is>
      </c>
      <c r="S249">
        <f>HYPERLINK("https://klasma.github.io/Logging_0883/artfynd/A 55616-2024 artfynd.xlsx", "A 55616-2024")</f>
        <v/>
      </c>
      <c r="T249">
        <f>HYPERLINK("https://klasma.github.io/Logging_0883/kartor/A 55616-2024 karta.png", "A 55616-2024")</f>
        <v/>
      </c>
      <c r="V249">
        <f>HYPERLINK("https://klasma.github.io/Logging_0883/klagomål/A 55616-2024 FSC-klagomål.docx", "A 55616-2024")</f>
        <v/>
      </c>
      <c r="W249">
        <f>HYPERLINK("https://klasma.github.io/Logging_0883/klagomålsmail/A 55616-2024 FSC-klagomål mail.docx", "A 55616-2024")</f>
        <v/>
      </c>
      <c r="X249">
        <f>HYPERLINK("https://klasma.github.io/Logging_0883/tillsyn/A 55616-2024 tillsynsbegäran.docx", "A 55616-2024")</f>
        <v/>
      </c>
      <c r="Y249">
        <f>HYPERLINK("https://klasma.github.io/Logging_0883/tillsynsmail/A 55616-2024 tillsynsbegäran mail.docx", "A 55616-2024")</f>
        <v/>
      </c>
      <c r="Z249">
        <f>HYPERLINK("https://klasma.github.io/Logging_0883/fåglar/A 55616-2024 prioriterade fågelarter.docx", "A 55616-2024")</f>
        <v/>
      </c>
    </row>
    <row r="250" ht="15" customHeight="1">
      <c r="A250" t="inlineStr">
        <is>
          <t>A 51514-2024</t>
        </is>
      </c>
      <c r="B250" s="1" t="n">
        <v>45604.5640625</v>
      </c>
      <c r="C250" s="1" t="n">
        <v>45882</v>
      </c>
      <c r="D250" t="inlineStr">
        <is>
          <t>KALMAR LÄN</t>
        </is>
      </c>
      <c r="E250" t="inlineStr">
        <is>
          <t>VÄSTERVIK</t>
        </is>
      </c>
      <c r="F250" t="inlineStr">
        <is>
          <t>Övriga Aktiebolag</t>
        </is>
      </c>
      <c r="G250" t="n">
        <v>2.4</v>
      </c>
      <c r="H250" t="n">
        <v>1</v>
      </c>
      <c r="I250" t="n">
        <v>0</v>
      </c>
      <c r="J250" t="n">
        <v>1</v>
      </c>
      <c r="K250" t="n">
        <v>0</v>
      </c>
      <c r="L250" t="n">
        <v>0</v>
      </c>
      <c r="M250" t="n">
        <v>0</v>
      </c>
      <c r="N250" t="n">
        <v>0</v>
      </c>
      <c r="O250" t="n">
        <v>1</v>
      </c>
      <c r="P250" t="n">
        <v>0</v>
      </c>
      <c r="Q250" t="n">
        <v>1</v>
      </c>
      <c r="R250" s="2" t="inlineStr">
        <is>
          <t>Havsörn</t>
        </is>
      </c>
      <c r="S250">
        <f>HYPERLINK("https://klasma.github.io/Logging_0883/artfynd/A 51514-2024 artfynd.xlsx", "A 51514-2024")</f>
        <v/>
      </c>
      <c r="T250">
        <f>HYPERLINK("https://klasma.github.io/Logging_0883/kartor/A 51514-2024 karta.png", "A 51514-2024")</f>
        <v/>
      </c>
      <c r="V250">
        <f>HYPERLINK("https://klasma.github.io/Logging_0883/klagomål/A 51514-2024 FSC-klagomål.docx", "A 51514-2024")</f>
        <v/>
      </c>
      <c r="W250">
        <f>HYPERLINK("https://klasma.github.io/Logging_0883/klagomålsmail/A 51514-2024 FSC-klagomål mail.docx", "A 51514-2024")</f>
        <v/>
      </c>
      <c r="X250">
        <f>HYPERLINK("https://klasma.github.io/Logging_0883/tillsyn/A 51514-2024 tillsynsbegäran.docx", "A 51514-2024")</f>
        <v/>
      </c>
      <c r="Y250">
        <f>HYPERLINK("https://klasma.github.io/Logging_0883/tillsynsmail/A 51514-2024 tillsynsbegäran mail.docx", "A 51514-2024")</f>
        <v/>
      </c>
      <c r="Z250">
        <f>HYPERLINK("https://klasma.github.io/Logging_0883/fåglar/A 51514-2024 prioriterade fågelarter.docx", "A 51514-2024")</f>
        <v/>
      </c>
    </row>
    <row r="251" ht="15" customHeight="1">
      <c r="A251" t="inlineStr">
        <is>
          <t>A 14131-2025</t>
        </is>
      </c>
      <c r="B251" s="1" t="n">
        <v>45740.47480324074</v>
      </c>
      <c r="C251" s="1" t="n">
        <v>45882</v>
      </c>
      <c r="D251" t="inlineStr">
        <is>
          <t>KALMAR LÄN</t>
        </is>
      </c>
      <c r="E251" t="inlineStr">
        <is>
          <t>VÄSTERVIK</t>
        </is>
      </c>
      <c r="F251" t="inlineStr">
        <is>
          <t>Sveaskog</t>
        </is>
      </c>
      <c r="G251" t="n">
        <v>0.7</v>
      </c>
      <c r="H251" t="n">
        <v>1</v>
      </c>
      <c r="I251" t="n">
        <v>0</v>
      </c>
      <c r="J251" t="n">
        <v>0</v>
      </c>
      <c r="K251" t="n">
        <v>0</v>
      </c>
      <c r="L251" t="n">
        <v>0</v>
      </c>
      <c r="M251" t="n">
        <v>0</v>
      </c>
      <c r="N251" t="n">
        <v>0</v>
      </c>
      <c r="O251" t="n">
        <v>0</v>
      </c>
      <c r="P251" t="n">
        <v>0</v>
      </c>
      <c r="Q251" t="n">
        <v>1</v>
      </c>
      <c r="R251" s="2" t="inlineStr">
        <is>
          <t>Blåsippa</t>
        </is>
      </c>
      <c r="S251">
        <f>HYPERLINK("https://klasma.github.io/Logging_0883/artfynd/A 14131-2025 artfynd.xlsx", "A 14131-2025")</f>
        <v/>
      </c>
      <c r="T251">
        <f>HYPERLINK("https://klasma.github.io/Logging_0883/kartor/A 14131-2025 karta.png", "A 14131-2025")</f>
        <v/>
      </c>
      <c r="V251">
        <f>HYPERLINK("https://klasma.github.io/Logging_0883/klagomål/A 14131-2025 FSC-klagomål.docx", "A 14131-2025")</f>
        <v/>
      </c>
      <c r="W251">
        <f>HYPERLINK("https://klasma.github.io/Logging_0883/klagomålsmail/A 14131-2025 FSC-klagomål mail.docx", "A 14131-2025")</f>
        <v/>
      </c>
      <c r="X251">
        <f>HYPERLINK("https://klasma.github.io/Logging_0883/tillsyn/A 14131-2025 tillsynsbegäran.docx", "A 14131-2025")</f>
        <v/>
      </c>
      <c r="Y251">
        <f>HYPERLINK("https://klasma.github.io/Logging_0883/tillsynsmail/A 14131-2025 tillsynsbegäran mail.docx", "A 14131-2025")</f>
        <v/>
      </c>
    </row>
    <row r="252" ht="15" customHeight="1">
      <c r="A252" t="inlineStr">
        <is>
          <t>A 3600-2025</t>
        </is>
      </c>
      <c r="B252" s="1" t="n">
        <v>45681.34420138889</v>
      </c>
      <c r="C252" s="1" t="n">
        <v>45882</v>
      </c>
      <c r="D252" t="inlineStr">
        <is>
          <t>KALMAR LÄN</t>
        </is>
      </c>
      <c r="E252" t="inlineStr">
        <is>
          <t>VÄSTERVIK</t>
        </is>
      </c>
      <c r="G252" t="n">
        <v>1</v>
      </c>
      <c r="H252" t="n">
        <v>1</v>
      </c>
      <c r="I252" t="n">
        <v>0</v>
      </c>
      <c r="J252" t="n">
        <v>1</v>
      </c>
      <c r="K252" t="n">
        <v>0</v>
      </c>
      <c r="L252" t="n">
        <v>0</v>
      </c>
      <c r="M252" t="n">
        <v>0</v>
      </c>
      <c r="N252" t="n">
        <v>0</v>
      </c>
      <c r="O252" t="n">
        <v>1</v>
      </c>
      <c r="P252" t="n">
        <v>0</v>
      </c>
      <c r="Q252" t="n">
        <v>1</v>
      </c>
      <c r="R252" s="2" t="inlineStr">
        <is>
          <t>Spillkråka</t>
        </is>
      </c>
      <c r="S252">
        <f>HYPERLINK("https://klasma.github.io/Logging_0883/artfynd/A 3600-2025 artfynd.xlsx", "A 3600-2025")</f>
        <v/>
      </c>
      <c r="T252">
        <f>HYPERLINK("https://klasma.github.io/Logging_0883/kartor/A 3600-2025 karta.png", "A 3600-2025")</f>
        <v/>
      </c>
      <c r="V252">
        <f>HYPERLINK("https://klasma.github.io/Logging_0883/klagomål/A 3600-2025 FSC-klagomål.docx", "A 3600-2025")</f>
        <v/>
      </c>
      <c r="W252">
        <f>HYPERLINK("https://klasma.github.io/Logging_0883/klagomålsmail/A 3600-2025 FSC-klagomål mail.docx", "A 3600-2025")</f>
        <v/>
      </c>
      <c r="X252">
        <f>HYPERLINK("https://klasma.github.io/Logging_0883/tillsyn/A 3600-2025 tillsynsbegäran.docx", "A 3600-2025")</f>
        <v/>
      </c>
      <c r="Y252">
        <f>HYPERLINK("https://klasma.github.io/Logging_0883/tillsynsmail/A 3600-2025 tillsynsbegäran mail.docx", "A 3600-2025")</f>
        <v/>
      </c>
      <c r="Z252">
        <f>HYPERLINK("https://klasma.github.io/Logging_0883/fåglar/A 3600-2025 prioriterade fågelarter.docx", "A 3600-2025")</f>
        <v/>
      </c>
    </row>
    <row r="253" ht="15" customHeight="1">
      <c r="A253" t="inlineStr">
        <is>
          <t>A 56439-2024</t>
        </is>
      </c>
      <c r="B253" s="1" t="n">
        <v>45625.4175</v>
      </c>
      <c r="C253" s="1" t="n">
        <v>45882</v>
      </c>
      <c r="D253" t="inlineStr">
        <is>
          <t>KALMAR LÄN</t>
        </is>
      </c>
      <c r="E253" t="inlineStr">
        <is>
          <t>VÄSTERVIK</t>
        </is>
      </c>
      <c r="F253" t="inlineStr">
        <is>
          <t>Övriga Aktiebolag</t>
        </is>
      </c>
      <c r="G253" t="n">
        <v>3.3</v>
      </c>
      <c r="H253" t="n">
        <v>0</v>
      </c>
      <c r="I253" t="n">
        <v>1</v>
      </c>
      <c r="J253" t="n">
        <v>0</v>
      </c>
      <c r="K253" t="n">
        <v>0</v>
      </c>
      <c r="L253" t="n">
        <v>0</v>
      </c>
      <c r="M253" t="n">
        <v>0</v>
      </c>
      <c r="N253" t="n">
        <v>0</v>
      </c>
      <c r="O253" t="n">
        <v>0</v>
      </c>
      <c r="P253" t="n">
        <v>0</v>
      </c>
      <c r="Q253" t="n">
        <v>1</v>
      </c>
      <c r="R253" s="2" t="inlineStr">
        <is>
          <t>Hasselticka</t>
        </is>
      </c>
      <c r="S253">
        <f>HYPERLINK("https://klasma.github.io/Logging_0883/artfynd/A 56439-2024 artfynd.xlsx", "A 56439-2024")</f>
        <v/>
      </c>
      <c r="T253">
        <f>HYPERLINK("https://klasma.github.io/Logging_0883/kartor/A 56439-2024 karta.png", "A 56439-2024")</f>
        <v/>
      </c>
      <c r="V253">
        <f>HYPERLINK("https://klasma.github.io/Logging_0883/klagomål/A 56439-2024 FSC-klagomål.docx", "A 56439-2024")</f>
        <v/>
      </c>
      <c r="W253">
        <f>HYPERLINK("https://klasma.github.io/Logging_0883/klagomålsmail/A 56439-2024 FSC-klagomål mail.docx", "A 56439-2024")</f>
        <v/>
      </c>
      <c r="X253">
        <f>HYPERLINK("https://klasma.github.io/Logging_0883/tillsyn/A 56439-2024 tillsynsbegäran.docx", "A 56439-2024")</f>
        <v/>
      </c>
      <c r="Y253">
        <f>HYPERLINK("https://klasma.github.io/Logging_0883/tillsynsmail/A 56439-2024 tillsynsbegäran mail.docx", "A 56439-2024")</f>
        <v/>
      </c>
    </row>
    <row r="254" ht="15" customHeight="1">
      <c r="A254" t="inlineStr">
        <is>
          <t>A 11609-2022</t>
        </is>
      </c>
      <c r="B254" s="1" t="n">
        <v>44631</v>
      </c>
      <c r="C254" s="1" t="n">
        <v>45882</v>
      </c>
      <c r="D254" t="inlineStr">
        <is>
          <t>KALMAR LÄN</t>
        </is>
      </c>
      <c r="E254" t="inlineStr">
        <is>
          <t>VÄSTERVIK</t>
        </is>
      </c>
      <c r="F254" t="inlineStr">
        <is>
          <t>Holmen skog AB</t>
        </is>
      </c>
      <c r="G254" t="n">
        <v>3.2</v>
      </c>
      <c r="H254" t="n">
        <v>0</v>
      </c>
      <c r="I254" t="n">
        <v>0</v>
      </c>
      <c r="J254" t="n">
        <v>1</v>
      </c>
      <c r="K254" t="n">
        <v>0</v>
      </c>
      <c r="L254" t="n">
        <v>0</v>
      </c>
      <c r="M254" t="n">
        <v>0</v>
      </c>
      <c r="N254" t="n">
        <v>0</v>
      </c>
      <c r="O254" t="n">
        <v>1</v>
      </c>
      <c r="P254" t="n">
        <v>0</v>
      </c>
      <c r="Q254" t="n">
        <v>1</v>
      </c>
      <c r="R254" s="2" t="inlineStr">
        <is>
          <t>Tallticka</t>
        </is>
      </c>
      <c r="S254">
        <f>HYPERLINK("https://klasma.github.io/Logging_0883/artfynd/A 11609-2022 artfynd.xlsx", "A 11609-2022")</f>
        <v/>
      </c>
      <c r="T254">
        <f>HYPERLINK("https://klasma.github.io/Logging_0883/kartor/A 11609-2022 karta.png", "A 11609-2022")</f>
        <v/>
      </c>
      <c r="U254">
        <f>HYPERLINK("https://klasma.github.io/Logging_0883/knärot/A 11609-2022 karta knärot.png", "A 11609-2022")</f>
        <v/>
      </c>
      <c r="V254">
        <f>HYPERLINK("https://klasma.github.io/Logging_0883/klagomål/A 11609-2022 FSC-klagomål.docx", "A 11609-2022")</f>
        <v/>
      </c>
      <c r="W254">
        <f>HYPERLINK("https://klasma.github.io/Logging_0883/klagomålsmail/A 11609-2022 FSC-klagomål mail.docx", "A 11609-2022")</f>
        <v/>
      </c>
      <c r="X254">
        <f>HYPERLINK("https://klasma.github.io/Logging_0883/tillsyn/A 11609-2022 tillsynsbegäran.docx", "A 11609-2022")</f>
        <v/>
      </c>
      <c r="Y254">
        <f>HYPERLINK("https://klasma.github.io/Logging_0883/tillsynsmail/A 11609-2022 tillsynsbegäran mail.docx", "A 11609-2022")</f>
        <v/>
      </c>
    </row>
    <row r="255" ht="15" customHeight="1">
      <c r="A255" t="inlineStr">
        <is>
          <t>A 47112-2023</t>
        </is>
      </c>
      <c r="B255" s="1" t="n">
        <v>45201</v>
      </c>
      <c r="C255" s="1" t="n">
        <v>45882</v>
      </c>
      <c r="D255" t="inlineStr">
        <is>
          <t>KALMAR LÄN</t>
        </is>
      </c>
      <c r="E255" t="inlineStr">
        <is>
          <t>VÄSTERVIK</t>
        </is>
      </c>
      <c r="G255" t="n">
        <v>1</v>
      </c>
      <c r="H255" t="n">
        <v>0</v>
      </c>
      <c r="I255" t="n">
        <v>0</v>
      </c>
      <c r="J255" t="n">
        <v>1</v>
      </c>
      <c r="K255" t="n">
        <v>0</v>
      </c>
      <c r="L255" t="n">
        <v>0</v>
      </c>
      <c r="M255" t="n">
        <v>0</v>
      </c>
      <c r="N255" t="n">
        <v>0</v>
      </c>
      <c r="O255" t="n">
        <v>1</v>
      </c>
      <c r="P255" t="n">
        <v>0</v>
      </c>
      <c r="Q255" t="n">
        <v>1</v>
      </c>
      <c r="R255" s="2" t="inlineStr">
        <is>
          <t>Tallticka</t>
        </is>
      </c>
      <c r="S255">
        <f>HYPERLINK("https://klasma.github.io/Logging_0883/artfynd/A 47112-2023 artfynd.xlsx", "A 47112-2023")</f>
        <v/>
      </c>
      <c r="T255">
        <f>HYPERLINK("https://klasma.github.io/Logging_0883/kartor/A 47112-2023 karta.png", "A 47112-2023")</f>
        <v/>
      </c>
      <c r="V255">
        <f>HYPERLINK("https://klasma.github.io/Logging_0883/klagomål/A 47112-2023 FSC-klagomål.docx", "A 47112-2023")</f>
        <v/>
      </c>
      <c r="W255">
        <f>HYPERLINK("https://klasma.github.io/Logging_0883/klagomålsmail/A 47112-2023 FSC-klagomål mail.docx", "A 47112-2023")</f>
        <v/>
      </c>
      <c r="X255">
        <f>HYPERLINK("https://klasma.github.io/Logging_0883/tillsyn/A 47112-2023 tillsynsbegäran.docx", "A 47112-2023")</f>
        <v/>
      </c>
      <c r="Y255">
        <f>HYPERLINK("https://klasma.github.io/Logging_0883/tillsynsmail/A 47112-2023 tillsynsbegäran mail.docx", "A 47112-2023")</f>
        <v/>
      </c>
    </row>
    <row r="256" ht="15" customHeight="1">
      <c r="A256" t="inlineStr">
        <is>
          <t>A 1959-2021</t>
        </is>
      </c>
      <c r="B256" s="1" t="n">
        <v>44210.65167824074</v>
      </c>
      <c r="C256" s="1" t="n">
        <v>45882</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45882</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45882</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45882</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45882</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45882</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45882</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45882</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45882</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45882</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37748-2021</t>
        </is>
      </c>
      <c r="B266" s="1" t="n">
        <v>44400.63459490741</v>
      </c>
      <c r="C266" s="1" t="n">
        <v>45882</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42164-2021</t>
        </is>
      </c>
      <c r="B267" s="1" t="n">
        <v>44426</v>
      </c>
      <c r="C267" s="1" t="n">
        <v>45882</v>
      </c>
      <c r="D267" t="inlineStr">
        <is>
          <t>KALMAR LÄN</t>
        </is>
      </c>
      <c r="E267" t="inlineStr">
        <is>
          <t>VÄSTERVIK</t>
        </is>
      </c>
      <c r="G267" t="n">
        <v>5.5</v>
      </c>
      <c r="H267" t="n">
        <v>0</v>
      </c>
      <c r="I267" t="n">
        <v>0</v>
      </c>
      <c r="J267" t="n">
        <v>0</v>
      </c>
      <c r="K267" t="n">
        <v>0</v>
      </c>
      <c r="L267" t="n">
        <v>0</v>
      </c>
      <c r="M267" t="n">
        <v>0</v>
      </c>
      <c r="N267" t="n">
        <v>0</v>
      </c>
      <c r="O267" t="n">
        <v>0</v>
      </c>
      <c r="P267" t="n">
        <v>0</v>
      </c>
      <c r="Q267" t="n">
        <v>0</v>
      </c>
      <c r="R267" s="2" t="inlineStr"/>
      <c r="U267">
        <f>HYPERLINK("https://klasma.github.io/Logging_0883/knärot/A 42164-2021 karta knärot.png", "A 42164-2021")</f>
        <v/>
      </c>
      <c r="V267">
        <f>HYPERLINK("https://klasma.github.io/Logging_0883/klagomål/A 42164-2021 FSC-klagomål.docx", "A 42164-2021")</f>
        <v/>
      </c>
      <c r="W267">
        <f>HYPERLINK("https://klasma.github.io/Logging_0883/klagomålsmail/A 42164-2021 FSC-klagomål mail.docx", "A 42164-2021")</f>
        <v/>
      </c>
      <c r="X267">
        <f>HYPERLINK("https://klasma.github.io/Logging_0883/tillsyn/A 42164-2021 tillsynsbegäran.docx", "A 42164-2021")</f>
        <v/>
      </c>
      <c r="Y267">
        <f>HYPERLINK("https://klasma.github.io/Logging_0883/tillsynsmail/A 42164-2021 tillsynsbegäran mail.docx", "A 42164-2021")</f>
        <v/>
      </c>
    </row>
    <row r="268" ht="15" customHeight="1">
      <c r="A268" t="inlineStr">
        <is>
          <t>A 8196-2021</t>
        </is>
      </c>
      <c r="B268" s="1" t="n">
        <v>44244</v>
      </c>
      <c r="C268" s="1" t="n">
        <v>45882</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45882</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45882</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45882</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45882</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45882</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45882</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45882</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64822-2021</t>
        </is>
      </c>
      <c r="B276" s="1" t="n">
        <v>44512</v>
      </c>
      <c r="C276" s="1" t="n">
        <v>45882</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45882</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45882</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45882</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45882</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45882</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45882</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45882</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45882</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45882</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45882</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45882</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45882</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45882</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45882</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45882</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17954-2022</t>
        </is>
      </c>
      <c r="B292" s="1" t="n">
        <v>44683</v>
      </c>
      <c r="C292" s="1" t="n">
        <v>45882</v>
      </c>
      <c r="D292" t="inlineStr">
        <is>
          <t>KALMAR LÄN</t>
        </is>
      </c>
      <c r="E292" t="inlineStr">
        <is>
          <t>VÄSTERVIK</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45882</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45882</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45882</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45882</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45882</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45882</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45882</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45882</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45882</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45882</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10117-2022</t>
        </is>
      </c>
      <c r="B303" s="1" t="n">
        <v>44621.90621527778</v>
      </c>
      <c r="C303" s="1" t="n">
        <v>45882</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34958-2021</t>
        </is>
      </c>
      <c r="B304" s="1" t="n">
        <v>44383</v>
      </c>
      <c r="C304" s="1" t="n">
        <v>45882</v>
      </c>
      <c r="D304" t="inlineStr">
        <is>
          <t>KALMAR LÄN</t>
        </is>
      </c>
      <c r="E304" t="inlineStr">
        <is>
          <t>VÄSTERVIK</t>
        </is>
      </c>
      <c r="G304" t="n">
        <v>2.7</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45882</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45882</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45882</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45882</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45882</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66292-2020</t>
        </is>
      </c>
      <c r="B310" s="1" t="n">
        <v>44176</v>
      </c>
      <c r="C310" s="1" t="n">
        <v>45882</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39779-2020</t>
        </is>
      </c>
      <c r="B311" s="1" t="n">
        <v>44064</v>
      </c>
      <c r="C311" s="1" t="n">
        <v>45882</v>
      </c>
      <c r="D311" t="inlineStr">
        <is>
          <t>KALMAR LÄN</t>
        </is>
      </c>
      <c r="E311" t="inlineStr">
        <is>
          <t>VÄSTERVIK</t>
        </is>
      </c>
      <c r="G311" t="n">
        <v>2.1</v>
      </c>
      <c r="H311" t="n">
        <v>0</v>
      </c>
      <c r="I311" t="n">
        <v>0</v>
      </c>
      <c r="J311" t="n">
        <v>0</v>
      </c>
      <c r="K311" t="n">
        <v>0</v>
      </c>
      <c r="L311" t="n">
        <v>0</v>
      </c>
      <c r="M311" t="n">
        <v>0</v>
      </c>
      <c r="N311" t="n">
        <v>0</v>
      </c>
      <c r="O311" t="n">
        <v>0</v>
      </c>
      <c r="P311" t="n">
        <v>0</v>
      </c>
      <c r="Q311" t="n">
        <v>0</v>
      </c>
      <c r="R311" s="2" t="inlineStr"/>
    </row>
    <row r="312" ht="15" customHeight="1">
      <c r="A312" t="inlineStr">
        <is>
          <t>A 23997-2021</t>
        </is>
      </c>
      <c r="B312" s="1" t="n">
        <v>44335</v>
      </c>
      <c r="C312" s="1" t="n">
        <v>45882</v>
      </c>
      <c r="D312" t="inlineStr">
        <is>
          <t>KALMAR LÄN</t>
        </is>
      </c>
      <c r="E312" t="inlineStr">
        <is>
          <t>VÄSTERVIK</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45882</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45882</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45882</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45882</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45882</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58041-2020</t>
        </is>
      </c>
      <c r="B318" s="1" t="n">
        <v>44140</v>
      </c>
      <c r="C318" s="1" t="n">
        <v>45882</v>
      </c>
      <c r="D318" t="inlineStr">
        <is>
          <t>KALMAR LÄN</t>
        </is>
      </c>
      <c r="E318" t="inlineStr">
        <is>
          <t>VÄSTERVIK</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46783-2022</t>
        </is>
      </c>
      <c r="B319" s="1" t="n">
        <v>44851.50041666667</v>
      </c>
      <c r="C319" s="1" t="n">
        <v>45882</v>
      </c>
      <c r="D319" t="inlineStr">
        <is>
          <t>KALMAR LÄN</t>
        </is>
      </c>
      <c r="E319" t="inlineStr">
        <is>
          <t>VÄSTERVIK</t>
        </is>
      </c>
      <c r="G319" t="n">
        <v>2</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45882</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15598-2021</t>
        </is>
      </c>
      <c r="B321" s="1" t="n">
        <v>44285.67078703704</v>
      </c>
      <c r="C321" s="1" t="n">
        <v>45882</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45882</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13761-2021</t>
        </is>
      </c>
      <c r="B323" s="1" t="n">
        <v>44274.71607638889</v>
      </c>
      <c r="C323" s="1" t="n">
        <v>45882</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45882</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35906-2021</t>
        </is>
      </c>
      <c r="B325" s="1" t="n">
        <v>44387.67591435185</v>
      </c>
      <c r="C325" s="1" t="n">
        <v>45882</v>
      </c>
      <c r="D325" t="inlineStr">
        <is>
          <t>KALMAR LÄN</t>
        </is>
      </c>
      <c r="E325" t="inlineStr">
        <is>
          <t>VÄSTERVIK</t>
        </is>
      </c>
      <c r="G325" t="n">
        <v>2.5</v>
      </c>
      <c r="H325" t="n">
        <v>0</v>
      </c>
      <c r="I325" t="n">
        <v>0</v>
      </c>
      <c r="J325" t="n">
        <v>0</v>
      </c>
      <c r="K325" t="n">
        <v>0</v>
      </c>
      <c r="L325" t="n">
        <v>0</v>
      </c>
      <c r="M325" t="n">
        <v>0</v>
      </c>
      <c r="N325" t="n">
        <v>0</v>
      </c>
      <c r="O325" t="n">
        <v>0</v>
      </c>
      <c r="P325" t="n">
        <v>0</v>
      </c>
      <c r="Q325" t="n">
        <v>0</v>
      </c>
      <c r="R325" s="2" t="inlineStr"/>
    </row>
    <row r="326" ht="15" customHeight="1">
      <c r="A326" t="inlineStr">
        <is>
          <t>A 18013-2021</t>
        </is>
      </c>
      <c r="B326" s="1" t="n">
        <v>44302</v>
      </c>
      <c r="C326" s="1" t="n">
        <v>45882</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55382-2022</t>
        </is>
      </c>
      <c r="B327" s="1" t="n">
        <v>44887</v>
      </c>
      <c r="C327" s="1" t="n">
        <v>45882</v>
      </c>
      <c r="D327" t="inlineStr">
        <is>
          <t>KALMAR LÄN</t>
        </is>
      </c>
      <c r="E327" t="inlineStr">
        <is>
          <t>VÄSTERVIK</t>
        </is>
      </c>
      <c r="G327" t="n">
        <v>3.2</v>
      </c>
      <c r="H327" t="n">
        <v>0</v>
      </c>
      <c r="I327" t="n">
        <v>0</v>
      </c>
      <c r="J327" t="n">
        <v>0</v>
      </c>
      <c r="K327" t="n">
        <v>0</v>
      </c>
      <c r="L327" t="n">
        <v>0</v>
      </c>
      <c r="M327" t="n">
        <v>0</v>
      </c>
      <c r="N327" t="n">
        <v>0</v>
      </c>
      <c r="O327" t="n">
        <v>0</v>
      </c>
      <c r="P327" t="n">
        <v>0</v>
      </c>
      <c r="Q327" t="n">
        <v>0</v>
      </c>
      <c r="R327" s="2" t="inlineStr"/>
    </row>
    <row r="328" ht="15" customHeight="1">
      <c r="A328" t="inlineStr">
        <is>
          <t>A 3669-2021</t>
        </is>
      </c>
      <c r="B328" s="1" t="n">
        <v>44221</v>
      </c>
      <c r="C328" s="1" t="n">
        <v>45882</v>
      </c>
      <c r="D328" t="inlineStr">
        <is>
          <t>KALMAR LÄN</t>
        </is>
      </c>
      <c r="E328" t="inlineStr">
        <is>
          <t>VÄSTERVIK</t>
        </is>
      </c>
      <c r="G328" t="n">
        <v>2.7</v>
      </c>
      <c r="H328" t="n">
        <v>0</v>
      </c>
      <c r="I328" t="n">
        <v>0</v>
      </c>
      <c r="J328" t="n">
        <v>0</v>
      </c>
      <c r="K328" t="n">
        <v>0</v>
      </c>
      <c r="L328" t="n">
        <v>0</v>
      </c>
      <c r="M328" t="n">
        <v>0</v>
      </c>
      <c r="N328" t="n">
        <v>0</v>
      </c>
      <c r="O328" t="n">
        <v>0</v>
      </c>
      <c r="P328" t="n">
        <v>0</v>
      </c>
      <c r="Q328" t="n">
        <v>0</v>
      </c>
      <c r="R328" s="2" t="inlineStr"/>
    </row>
    <row r="329" ht="15" customHeight="1">
      <c r="A329" t="inlineStr">
        <is>
          <t>A 3718-2022</t>
        </is>
      </c>
      <c r="B329" s="1" t="n">
        <v>44586</v>
      </c>
      <c r="C329" s="1" t="n">
        <v>45882</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809-2021</t>
        </is>
      </c>
      <c r="B330" s="1" t="n">
        <v>44204</v>
      </c>
      <c r="C330" s="1" t="n">
        <v>45882</v>
      </c>
      <c r="D330" t="inlineStr">
        <is>
          <t>KALMAR LÄN</t>
        </is>
      </c>
      <c r="E330" t="inlineStr">
        <is>
          <t>VÄSTERVIK</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49377-2022</t>
        </is>
      </c>
      <c r="B331" s="1" t="n">
        <v>44861.60849537037</v>
      </c>
      <c r="C331" s="1" t="n">
        <v>45882</v>
      </c>
      <c r="D331" t="inlineStr">
        <is>
          <t>KALMAR LÄN</t>
        </is>
      </c>
      <c r="E331" t="inlineStr">
        <is>
          <t>VÄSTERVIK</t>
        </is>
      </c>
      <c r="G331" t="n">
        <v>1.1</v>
      </c>
      <c r="H331" t="n">
        <v>0</v>
      </c>
      <c r="I331" t="n">
        <v>0</v>
      </c>
      <c r="J331" t="n">
        <v>0</v>
      </c>
      <c r="K331" t="n">
        <v>0</v>
      </c>
      <c r="L331" t="n">
        <v>0</v>
      </c>
      <c r="M331" t="n">
        <v>0</v>
      </c>
      <c r="N331" t="n">
        <v>0</v>
      </c>
      <c r="O331" t="n">
        <v>0</v>
      </c>
      <c r="P331" t="n">
        <v>0</v>
      </c>
      <c r="Q331" t="n">
        <v>0</v>
      </c>
      <c r="R331" s="2" t="inlineStr"/>
    </row>
    <row r="332" ht="15" customHeight="1">
      <c r="A332" t="inlineStr">
        <is>
          <t>A 578-2021</t>
        </is>
      </c>
      <c r="B332" s="1" t="n">
        <v>44203</v>
      </c>
      <c r="C332" s="1" t="n">
        <v>45882</v>
      </c>
      <c r="D332" t="inlineStr">
        <is>
          <t>KALMAR LÄN</t>
        </is>
      </c>
      <c r="E332" t="inlineStr">
        <is>
          <t>VÄSTERVIK</t>
        </is>
      </c>
      <c r="G332" t="n">
        <v>3.5</v>
      </c>
      <c r="H332" t="n">
        <v>0</v>
      </c>
      <c r="I332" t="n">
        <v>0</v>
      </c>
      <c r="J332" t="n">
        <v>0</v>
      </c>
      <c r="K332" t="n">
        <v>0</v>
      </c>
      <c r="L332" t="n">
        <v>0</v>
      </c>
      <c r="M332" t="n">
        <v>0</v>
      </c>
      <c r="N332" t="n">
        <v>0</v>
      </c>
      <c r="O332" t="n">
        <v>0</v>
      </c>
      <c r="P332" t="n">
        <v>0</v>
      </c>
      <c r="Q332" t="n">
        <v>0</v>
      </c>
      <c r="R332" s="2" t="inlineStr"/>
    </row>
    <row r="333" ht="15" customHeight="1">
      <c r="A333" t="inlineStr">
        <is>
          <t>A 50800-2020</t>
        </is>
      </c>
      <c r="B333" s="1" t="n">
        <v>44111</v>
      </c>
      <c r="C333" s="1" t="n">
        <v>45882</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50821-2020</t>
        </is>
      </c>
      <c r="B334" s="1" t="n">
        <v>44111</v>
      </c>
      <c r="C334" s="1" t="n">
        <v>45882</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12123-2021</t>
        </is>
      </c>
      <c r="B335" s="1" t="n">
        <v>44266.55212962963</v>
      </c>
      <c r="C335" s="1" t="n">
        <v>45882</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4057-2022</t>
        </is>
      </c>
      <c r="B336" s="1" t="n">
        <v>44588</v>
      </c>
      <c r="C336" s="1" t="n">
        <v>45882</v>
      </c>
      <c r="D336" t="inlineStr">
        <is>
          <t>KALMAR LÄN</t>
        </is>
      </c>
      <c r="E336" t="inlineStr">
        <is>
          <t>VÄSTERVIK</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45882</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45882</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45882</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47525-2021</t>
        </is>
      </c>
      <c r="B340" s="1" t="n">
        <v>44447</v>
      </c>
      <c r="C340" s="1" t="n">
        <v>45882</v>
      </c>
      <c r="D340" t="inlineStr">
        <is>
          <t>KALMAR LÄN</t>
        </is>
      </c>
      <c r="E340" t="inlineStr">
        <is>
          <t>VÄSTERVIK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17124-2021</t>
        </is>
      </c>
      <c r="B341" s="1" t="n">
        <v>44298</v>
      </c>
      <c r="C341" s="1" t="n">
        <v>45882</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64558-2021</t>
        </is>
      </c>
      <c r="B342" s="1" t="n">
        <v>44511</v>
      </c>
      <c r="C342" s="1" t="n">
        <v>45882</v>
      </c>
      <c r="D342" t="inlineStr">
        <is>
          <t>KALMAR LÄN</t>
        </is>
      </c>
      <c r="E342" t="inlineStr">
        <is>
          <t>VÄSTERVIK</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29909-2022</t>
        </is>
      </c>
      <c r="B343" s="1" t="n">
        <v>44756</v>
      </c>
      <c r="C343" s="1" t="n">
        <v>45882</v>
      </c>
      <c r="D343" t="inlineStr">
        <is>
          <t>KALMAR LÄN</t>
        </is>
      </c>
      <c r="E343" t="inlineStr">
        <is>
          <t>VÄSTERVIK</t>
        </is>
      </c>
      <c r="G343" t="n">
        <v>0.8</v>
      </c>
      <c r="H343" t="n">
        <v>0</v>
      </c>
      <c r="I343" t="n">
        <v>0</v>
      </c>
      <c r="J343" t="n">
        <v>0</v>
      </c>
      <c r="K343" t="n">
        <v>0</v>
      </c>
      <c r="L343" t="n">
        <v>0</v>
      </c>
      <c r="M343" t="n">
        <v>0</v>
      </c>
      <c r="N343" t="n">
        <v>0</v>
      </c>
      <c r="O343" t="n">
        <v>0</v>
      </c>
      <c r="P343" t="n">
        <v>0</v>
      </c>
      <c r="Q343" t="n">
        <v>0</v>
      </c>
      <c r="R343" s="2" t="inlineStr"/>
    </row>
    <row r="344" ht="15" customHeight="1">
      <c r="A344" t="inlineStr">
        <is>
          <t>A 24570-2021</t>
        </is>
      </c>
      <c r="B344" s="1" t="n">
        <v>44339</v>
      </c>
      <c r="C344" s="1" t="n">
        <v>45882</v>
      </c>
      <c r="D344" t="inlineStr">
        <is>
          <t>KALMAR LÄN</t>
        </is>
      </c>
      <c r="E344" t="inlineStr">
        <is>
          <t>VÄSTERVIK</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31319-2021</t>
        </is>
      </c>
      <c r="B345" s="1" t="n">
        <v>44368.91321759259</v>
      </c>
      <c r="C345" s="1" t="n">
        <v>45882</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17216-2021</t>
        </is>
      </c>
      <c r="B346" s="1" t="n">
        <v>44298.49047453704</v>
      </c>
      <c r="C346" s="1" t="n">
        <v>45882</v>
      </c>
      <c r="D346" t="inlineStr">
        <is>
          <t>KALMAR LÄN</t>
        </is>
      </c>
      <c r="E346" t="inlineStr">
        <is>
          <t>VÄSTERVIK</t>
        </is>
      </c>
      <c r="G346" t="n">
        <v>1.4</v>
      </c>
      <c r="H346" t="n">
        <v>0</v>
      </c>
      <c r="I346" t="n">
        <v>0</v>
      </c>
      <c r="J346" t="n">
        <v>0</v>
      </c>
      <c r="K346" t="n">
        <v>0</v>
      </c>
      <c r="L346" t="n">
        <v>0</v>
      </c>
      <c r="M346" t="n">
        <v>0</v>
      </c>
      <c r="N346" t="n">
        <v>0</v>
      </c>
      <c r="O346" t="n">
        <v>0</v>
      </c>
      <c r="P346" t="n">
        <v>0</v>
      </c>
      <c r="Q346" t="n">
        <v>0</v>
      </c>
      <c r="R346" s="2" t="inlineStr"/>
    </row>
    <row r="347" ht="15" customHeight="1">
      <c r="A347" t="inlineStr">
        <is>
          <t>A 61584-2021</t>
        </is>
      </c>
      <c r="B347" s="1" t="n">
        <v>44501.45256944445</v>
      </c>
      <c r="C347" s="1" t="n">
        <v>45882</v>
      </c>
      <c r="D347" t="inlineStr">
        <is>
          <t>KALMAR LÄN</t>
        </is>
      </c>
      <c r="E347" t="inlineStr">
        <is>
          <t>VÄSTERVIK</t>
        </is>
      </c>
      <c r="G347" t="n">
        <v>3.3</v>
      </c>
      <c r="H347" t="n">
        <v>0</v>
      </c>
      <c r="I347" t="n">
        <v>0</v>
      </c>
      <c r="J347" t="n">
        <v>0</v>
      </c>
      <c r="K347" t="n">
        <v>0</v>
      </c>
      <c r="L347" t="n">
        <v>0</v>
      </c>
      <c r="M347" t="n">
        <v>0</v>
      </c>
      <c r="N347" t="n">
        <v>0</v>
      </c>
      <c r="O347" t="n">
        <v>0</v>
      </c>
      <c r="P347" t="n">
        <v>0</v>
      </c>
      <c r="Q347" t="n">
        <v>0</v>
      </c>
      <c r="R347" s="2" t="inlineStr"/>
    </row>
    <row r="348" ht="15" customHeight="1">
      <c r="A348" t="inlineStr">
        <is>
          <t>A 72378-2021</t>
        </is>
      </c>
      <c r="B348" s="1" t="n">
        <v>44545.56285879629</v>
      </c>
      <c r="C348" s="1" t="n">
        <v>45882</v>
      </c>
      <c r="D348" t="inlineStr">
        <is>
          <t>KALMAR LÄN</t>
        </is>
      </c>
      <c r="E348" t="inlineStr">
        <is>
          <t>VÄSTERVIK</t>
        </is>
      </c>
      <c r="G348" t="n">
        <v>4.4</v>
      </c>
      <c r="H348" t="n">
        <v>0</v>
      </c>
      <c r="I348" t="n">
        <v>0</v>
      </c>
      <c r="J348" t="n">
        <v>0</v>
      </c>
      <c r="K348" t="n">
        <v>0</v>
      </c>
      <c r="L348" t="n">
        <v>0</v>
      </c>
      <c r="M348" t="n">
        <v>0</v>
      </c>
      <c r="N348" t="n">
        <v>0</v>
      </c>
      <c r="O348" t="n">
        <v>0</v>
      </c>
      <c r="P348" t="n">
        <v>0</v>
      </c>
      <c r="Q348" t="n">
        <v>0</v>
      </c>
      <c r="R348" s="2" t="inlineStr"/>
    </row>
    <row r="349" ht="15" customHeight="1">
      <c r="A349" t="inlineStr">
        <is>
          <t>A 47404-2021</t>
        </is>
      </c>
      <c r="B349" s="1" t="n">
        <v>44447</v>
      </c>
      <c r="C349" s="1" t="n">
        <v>45882</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47530-2021</t>
        </is>
      </c>
      <c r="B350" s="1" t="n">
        <v>44447</v>
      </c>
      <c r="C350" s="1" t="n">
        <v>45882</v>
      </c>
      <c r="D350" t="inlineStr">
        <is>
          <t>KALMAR LÄN</t>
        </is>
      </c>
      <c r="E350" t="inlineStr">
        <is>
          <t>VÄSTERVIK</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46822-2020</t>
        </is>
      </c>
      <c r="B351" s="1" t="n">
        <v>44096</v>
      </c>
      <c r="C351" s="1" t="n">
        <v>45882</v>
      </c>
      <c r="D351" t="inlineStr">
        <is>
          <t>KALMAR LÄN</t>
        </is>
      </c>
      <c r="E351" t="inlineStr">
        <is>
          <t>VÄSTERVIK</t>
        </is>
      </c>
      <c r="G351" t="n">
        <v>0.2</v>
      </c>
      <c r="H351" t="n">
        <v>0</v>
      </c>
      <c r="I351" t="n">
        <v>0</v>
      </c>
      <c r="J351" t="n">
        <v>0</v>
      </c>
      <c r="K351" t="n">
        <v>0</v>
      </c>
      <c r="L351" t="n">
        <v>0</v>
      </c>
      <c r="M351" t="n">
        <v>0</v>
      </c>
      <c r="N351" t="n">
        <v>0</v>
      </c>
      <c r="O351" t="n">
        <v>0</v>
      </c>
      <c r="P351" t="n">
        <v>0</v>
      </c>
      <c r="Q351" t="n">
        <v>0</v>
      </c>
      <c r="R351" s="2" t="inlineStr"/>
    </row>
    <row r="352" ht="15" customHeight="1">
      <c r="A352" t="inlineStr">
        <is>
          <t>A 40925-2022</t>
        </is>
      </c>
      <c r="B352" s="1" t="n">
        <v>44825.41880787037</v>
      </c>
      <c r="C352" s="1" t="n">
        <v>45882</v>
      </c>
      <c r="D352" t="inlineStr">
        <is>
          <t>KALMAR LÄN</t>
        </is>
      </c>
      <c r="E352" t="inlineStr">
        <is>
          <t>VÄSTERVIK</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31558-2021</t>
        </is>
      </c>
      <c r="B353" s="1" t="n">
        <v>44369</v>
      </c>
      <c r="C353" s="1" t="n">
        <v>45882</v>
      </c>
      <c r="D353" t="inlineStr">
        <is>
          <t>KALMAR LÄN</t>
        </is>
      </c>
      <c r="E353" t="inlineStr">
        <is>
          <t>VÄSTERVIK</t>
        </is>
      </c>
      <c r="G353" t="n">
        <v>22.9</v>
      </c>
      <c r="H353" t="n">
        <v>0</v>
      </c>
      <c r="I353" t="n">
        <v>0</v>
      </c>
      <c r="J353" t="n">
        <v>0</v>
      </c>
      <c r="K353" t="n">
        <v>0</v>
      </c>
      <c r="L353" t="n">
        <v>0</v>
      </c>
      <c r="M353" t="n">
        <v>0</v>
      </c>
      <c r="N353" t="n">
        <v>0</v>
      </c>
      <c r="O353" t="n">
        <v>0</v>
      </c>
      <c r="P353" t="n">
        <v>0</v>
      </c>
      <c r="Q353" t="n">
        <v>0</v>
      </c>
      <c r="R353" s="2" t="inlineStr"/>
    </row>
    <row r="354" ht="15" customHeight="1">
      <c r="A354" t="inlineStr">
        <is>
          <t>A 23090-2021</t>
        </is>
      </c>
      <c r="B354" s="1" t="n">
        <v>44330</v>
      </c>
      <c r="C354" s="1" t="n">
        <v>45882</v>
      </c>
      <c r="D354" t="inlineStr">
        <is>
          <t>KALMAR LÄN</t>
        </is>
      </c>
      <c r="E354" t="inlineStr">
        <is>
          <t>VÄSTERVIK</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19644-2021</t>
        </is>
      </c>
      <c r="B355" s="1" t="n">
        <v>44312</v>
      </c>
      <c r="C355" s="1" t="n">
        <v>45882</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31317-2021</t>
        </is>
      </c>
      <c r="B356" s="1" t="n">
        <v>44368.90879629629</v>
      </c>
      <c r="C356" s="1" t="n">
        <v>45882</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34644-2022</t>
        </is>
      </c>
      <c r="B357" s="1" t="n">
        <v>44795</v>
      </c>
      <c r="C357" s="1" t="n">
        <v>45882</v>
      </c>
      <c r="D357" t="inlineStr">
        <is>
          <t>KALMAR LÄN</t>
        </is>
      </c>
      <c r="E357" t="inlineStr">
        <is>
          <t>VÄSTERVIK</t>
        </is>
      </c>
      <c r="G357" t="n">
        <v>0.5</v>
      </c>
      <c r="H357" t="n">
        <v>0</v>
      </c>
      <c r="I357" t="n">
        <v>0</v>
      </c>
      <c r="J357" t="n">
        <v>0</v>
      </c>
      <c r="K357" t="n">
        <v>0</v>
      </c>
      <c r="L357" t="n">
        <v>0</v>
      </c>
      <c r="M357" t="n">
        <v>0</v>
      </c>
      <c r="N357" t="n">
        <v>0</v>
      </c>
      <c r="O357" t="n">
        <v>0</v>
      </c>
      <c r="P357" t="n">
        <v>0</v>
      </c>
      <c r="Q357" t="n">
        <v>0</v>
      </c>
      <c r="R357" s="2" t="inlineStr"/>
    </row>
    <row r="358" ht="15" customHeight="1">
      <c r="A358" t="inlineStr">
        <is>
          <t>A 50691-2022</t>
        </is>
      </c>
      <c r="B358" s="1" t="n">
        <v>44867</v>
      </c>
      <c r="C358" s="1" t="n">
        <v>45882</v>
      </c>
      <c r="D358" t="inlineStr">
        <is>
          <t>KALMAR LÄN</t>
        </is>
      </c>
      <c r="E358" t="inlineStr">
        <is>
          <t>VÄSTERVIK</t>
        </is>
      </c>
      <c r="G358" t="n">
        <v>0.7</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45882</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18470-2021</t>
        </is>
      </c>
      <c r="B360" s="1" t="n">
        <v>44306.31681712963</v>
      </c>
      <c r="C360" s="1" t="n">
        <v>45882</v>
      </c>
      <c r="D360" t="inlineStr">
        <is>
          <t>KALMAR LÄN</t>
        </is>
      </c>
      <c r="E360" t="inlineStr">
        <is>
          <t>VÄSTERVIK</t>
        </is>
      </c>
      <c r="G360" t="n">
        <v>0.7</v>
      </c>
      <c r="H360" t="n">
        <v>0</v>
      </c>
      <c r="I360" t="n">
        <v>0</v>
      </c>
      <c r="J360" t="n">
        <v>0</v>
      </c>
      <c r="K360" t="n">
        <v>0</v>
      </c>
      <c r="L360" t="n">
        <v>0</v>
      </c>
      <c r="M360" t="n">
        <v>0</v>
      </c>
      <c r="N360" t="n">
        <v>0</v>
      </c>
      <c r="O360" t="n">
        <v>0</v>
      </c>
      <c r="P360" t="n">
        <v>0</v>
      </c>
      <c r="Q360" t="n">
        <v>0</v>
      </c>
      <c r="R360" s="2" t="inlineStr"/>
    </row>
    <row r="361" ht="15" customHeight="1">
      <c r="A361" t="inlineStr">
        <is>
          <t>A 57922-2020</t>
        </is>
      </c>
      <c r="B361" s="1" t="n">
        <v>44141</v>
      </c>
      <c r="C361" s="1" t="n">
        <v>45882</v>
      </c>
      <c r="D361" t="inlineStr">
        <is>
          <t>KALMAR LÄN</t>
        </is>
      </c>
      <c r="E361" t="inlineStr">
        <is>
          <t>VÄSTERVIK</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2106-2021</t>
        </is>
      </c>
      <c r="B362" s="1" t="n">
        <v>44211</v>
      </c>
      <c r="C362" s="1" t="n">
        <v>45882</v>
      </c>
      <c r="D362" t="inlineStr">
        <is>
          <t>KALMAR LÄN</t>
        </is>
      </c>
      <c r="E362" t="inlineStr">
        <is>
          <t>VÄSTERVIK</t>
        </is>
      </c>
      <c r="G362" t="n">
        <v>0.7</v>
      </c>
      <c r="H362" t="n">
        <v>0</v>
      </c>
      <c r="I362" t="n">
        <v>0</v>
      </c>
      <c r="J362" t="n">
        <v>0</v>
      </c>
      <c r="K362" t="n">
        <v>0</v>
      </c>
      <c r="L362" t="n">
        <v>0</v>
      </c>
      <c r="M362" t="n">
        <v>0</v>
      </c>
      <c r="N362" t="n">
        <v>0</v>
      </c>
      <c r="O362" t="n">
        <v>0</v>
      </c>
      <c r="P362" t="n">
        <v>0</v>
      </c>
      <c r="Q362" t="n">
        <v>0</v>
      </c>
      <c r="R362" s="2" t="inlineStr"/>
    </row>
    <row r="363" ht="15" customHeight="1">
      <c r="A363" t="inlineStr">
        <is>
          <t>A 23996-2021</t>
        </is>
      </c>
      <c r="B363" s="1" t="n">
        <v>44335.88916666667</v>
      </c>
      <c r="C363" s="1" t="n">
        <v>45882</v>
      </c>
      <c r="D363" t="inlineStr">
        <is>
          <t>KALMAR LÄN</t>
        </is>
      </c>
      <c r="E363" t="inlineStr">
        <is>
          <t>VÄSTERVIK</t>
        </is>
      </c>
      <c r="F363" t="inlineStr">
        <is>
          <t>Sveaskog</t>
        </is>
      </c>
      <c r="G363" t="n">
        <v>2.5</v>
      </c>
      <c r="H363" t="n">
        <v>0</v>
      </c>
      <c r="I363" t="n">
        <v>0</v>
      </c>
      <c r="J363" t="n">
        <v>0</v>
      </c>
      <c r="K363" t="n">
        <v>0</v>
      </c>
      <c r="L363" t="n">
        <v>0</v>
      </c>
      <c r="M363" t="n">
        <v>0</v>
      </c>
      <c r="N363" t="n">
        <v>0</v>
      </c>
      <c r="O363" t="n">
        <v>0</v>
      </c>
      <c r="P363" t="n">
        <v>0</v>
      </c>
      <c r="Q363" t="n">
        <v>0</v>
      </c>
      <c r="R363" s="2" t="inlineStr"/>
    </row>
    <row r="364" ht="15" customHeight="1">
      <c r="A364" t="inlineStr">
        <is>
          <t>A 66888-2020</t>
        </is>
      </c>
      <c r="B364" s="1" t="n">
        <v>44179</v>
      </c>
      <c r="C364" s="1" t="n">
        <v>45882</v>
      </c>
      <c r="D364" t="inlineStr">
        <is>
          <t>KALMAR LÄN</t>
        </is>
      </c>
      <c r="E364" t="inlineStr">
        <is>
          <t>VÄSTERVIK</t>
        </is>
      </c>
      <c r="G364" t="n">
        <v>0.3</v>
      </c>
      <c r="H364" t="n">
        <v>0</v>
      </c>
      <c r="I364" t="n">
        <v>0</v>
      </c>
      <c r="J364" t="n">
        <v>0</v>
      </c>
      <c r="K364" t="n">
        <v>0</v>
      </c>
      <c r="L364" t="n">
        <v>0</v>
      </c>
      <c r="M364" t="n">
        <v>0</v>
      </c>
      <c r="N364" t="n">
        <v>0</v>
      </c>
      <c r="O364" t="n">
        <v>0</v>
      </c>
      <c r="P364" t="n">
        <v>0</v>
      </c>
      <c r="Q364" t="n">
        <v>0</v>
      </c>
      <c r="R364" s="2" t="inlineStr"/>
    </row>
    <row r="365" ht="15" customHeight="1">
      <c r="A365" t="inlineStr">
        <is>
          <t>A 410-2021</t>
        </is>
      </c>
      <c r="B365" s="1" t="n">
        <v>44201.63928240741</v>
      </c>
      <c r="C365" s="1" t="n">
        <v>45882</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18837-2021</t>
        </is>
      </c>
      <c r="B366" s="1" t="n">
        <v>44307</v>
      </c>
      <c r="C366" s="1" t="n">
        <v>45882</v>
      </c>
      <c r="D366" t="inlineStr">
        <is>
          <t>KALMAR LÄN</t>
        </is>
      </c>
      <c r="E366" t="inlineStr">
        <is>
          <t>VÄSTERVIK</t>
        </is>
      </c>
      <c r="G366" t="n">
        <v>1.6</v>
      </c>
      <c r="H366" t="n">
        <v>0</v>
      </c>
      <c r="I366" t="n">
        <v>0</v>
      </c>
      <c r="J366" t="n">
        <v>0</v>
      </c>
      <c r="K366" t="n">
        <v>0</v>
      </c>
      <c r="L366" t="n">
        <v>0</v>
      </c>
      <c r="M366" t="n">
        <v>0</v>
      </c>
      <c r="N366" t="n">
        <v>0</v>
      </c>
      <c r="O366" t="n">
        <v>0</v>
      </c>
      <c r="P366" t="n">
        <v>0</v>
      </c>
      <c r="Q366" t="n">
        <v>0</v>
      </c>
      <c r="R366" s="2" t="inlineStr"/>
    </row>
    <row r="367" ht="15" customHeight="1">
      <c r="A367" t="inlineStr">
        <is>
          <t>A 15591-2021</t>
        </is>
      </c>
      <c r="B367" s="1" t="n">
        <v>44285.66303240741</v>
      </c>
      <c r="C367" s="1" t="n">
        <v>45882</v>
      </c>
      <c r="D367" t="inlineStr">
        <is>
          <t>KALMAR LÄN</t>
        </is>
      </c>
      <c r="E367" t="inlineStr">
        <is>
          <t>VÄSTERVIK</t>
        </is>
      </c>
      <c r="G367" t="n">
        <v>2.1</v>
      </c>
      <c r="H367" t="n">
        <v>0</v>
      </c>
      <c r="I367" t="n">
        <v>0</v>
      </c>
      <c r="J367" t="n">
        <v>0</v>
      </c>
      <c r="K367" t="n">
        <v>0</v>
      </c>
      <c r="L367" t="n">
        <v>0</v>
      </c>
      <c r="M367" t="n">
        <v>0</v>
      </c>
      <c r="N367" t="n">
        <v>0</v>
      </c>
      <c r="O367" t="n">
        <v>0</v>
      </c>
      <c r="P367" t="n">
        <v>0</v>
      </c>
      <c r="Q367" t="n">
        <v>0</v>
      </c>
      <c r="R367" s="2" t="inlineStr"/>
    </row>
    <row r="368" ht="15" customHeight="1">
      <c r="A368" t="inlineStr">
        <is>
          <t>A 63635-2020</t>
        </is>
      </c>
      <c r="B368" s="1" t="n">
        <v>44162</v>
      </c>
      <c r="C368" s="1" t="n">
        <v>45882</v>
      </c>
      <c r="D368" t="inlineStr">
        <is>
          <t>KALMAR LÄN</t>
        </is>
      </c>
      <c r="E368" t="inlineStr">
        <is>
          <t>VÄSTERVIK</t>
        </is>
      </c>
      <c r="G368" t="n">
        <v>1</v>
      </c>
      <c r="H368" t="n">
        <v>0</v>
      </c>
      <c r="I368" t="n">
        <v>0</v>
      </c>
      <c r="J368" t="n">
        <v>0</v>
      </c>
      <c r="K368" t="n">
        <v>0</v>
      </c>
      <c r="L368" t="n">
        <v>0</v>
      </c>
      <c r="M368" t="n">
        <v>0</v>
      </c>
      <c r="N368" t="n">
        <v>0</v>
      </c>
      <c r="O368" t="n">
        <v>0</v>
      </c>
      <c r="P368" t="n">
        <v>0</v>
      </c>
      <c r="Q368" t="n">
        <v>0</v>
      </c>
      <c r="R368" s="2" t="inlineStr"/>
    </row>
    <row r="369" ht="15" customHeight="1">
      <c r="A369" t="inlineStr">
        <is>
          <t>A 61799-2020</t>
        </is>
      </c>
      <c r="B369" s="1" t="n">
        <v>44158</v>
      </c>
      <c r="C369" s="1" t="n">
        <v>45882</v>
      </c>
      <c r="D369" t="inlineStr">
        <is>
          <t>KALMAR LÄN</t>
        </is>
      </c>
      <c r="E369" t="inlineStr">
        <is>
          <t>VÄSTERVIK</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49398-2021</t>
        </is>
      </c>
      <c r="B370" s="1" t="n">
        <v>44454.63141203704</v>
      </c>
      <c r="C370" s="1" t="n">
        <v>45882</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320-2022</t>
        </is>
      </c>
      <c r="B371" s="1" t="n">
        <v>44565</v>
      </c>
      <c r="C371" s="1" t="n">
        <v>45882</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37441-2021</t>
        </is>
      </c>
      <c r="B372" s="1" t="n">
        <v>44398</v>
      </c>
      <c r="C372" s="1" t="n">
        <v>45882</v>
      </c>
      <c r="D372" t="inlineStr">
        <is>
          <t>KALMAR LÄN</t>
        </is>
      </c>
      <c r="E372" t="inlineStr">
        <is>
          <t>VÄSTERVIK</t>
        </is>
      </c>
      <c r="G372" t="n">
        <v>1.6</v>
      </c>
      <c r="H372" t="n">
        <v>0</v>
      </c>
      <c r="I372" t="n">
        <v>0</v>
      </c>
      <c r="J372" t="n">
        <v>0</v>
      </c>
      <c r="K372" t="n">
        <v>0</v>
      </c>
      <c r="L372" t="n">
        <v>0</v>
      </c>
      <c r="M372" t="n">
        <v>0</v>
      </c>
      <c r="N372" t="n">
        <v>0</v>
      </c>
      <c r="O372" t="n">
        <v>0</v>
      </c>
      <c r="P372" t="n">
        <v>0</v>
      </c>
      <c r="Q372" t="n">
        <v>0</v>
      </c>
      <c r="R372" s="2" t="inlineStr"/>
    </row>
    <row r="373" ht="15" customHeight="1">
      <c r="A373" t="inlineStr">
        <is>
          <t>A 789-2021</t>
        </is>
      </c>
      <c r="B373" s="1" t="n">
        <v>44204</v>
      </c>
      <c r="C373" s="1" t="n">
        <v>45882</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43807-2021</t>
        </is>
      </c>
      <c r="B374" s="1" t="n">
        <v>44433</v>
      </c>
      <c r="C374" s="1" t="n">
        <v>45882</v>
      </c>
      <c r="D374" t="inlineStr">
        <is>
          <t>KALMAR LÄN</t>
        </is>
      </c>
      <c r="E374" t="inlineStr">
        <is>
          <t>VÄSTERVIK</t>
        </is>
      </c>
      <c r="G374" t="n">
        <v>3.2</v>
      </c>
      <c r="H374" t="n">
        <v>0</v>
      </c>
      <c r="I374" t="n">
        <v>0</v>
      </c>
      <c r="J374" t="n">
        <v>0</v>
      </c>
      <c r="K374" t="n">
        <v>0</v>
      </c>
      <c r="L374" t="n">
        <v>0</v>
      </c>
      <c r="M374" t="n">
        <v>0</v>
      </c>
      <c r="N374" t="n">
        <v>0</v>
      </c>
      <c r="O374" t="n">
        <v>0</v>
      </c>
      <c r="P374" t="n">
        <v>0</v>
      </c>
      <c r="Q374" t="n">
        <v>0</v>
      </c>
      <c r="R374" s="2" t="inlineStr"/>
    </row>
    <row r="375" ht="15" customHeight="1">
      <c r="A375" t="inlineStr">
        <is>
          <t>A 40920-2022</t>
        </is>
      </c>
      <c r="B375" s="1" t="n">
        <v>44825.40943287037</v>
      </c>
      <c r="C375" s="1" t="n">
        <v>45882</v>
      </c>
      <c r="D375" t="inlineStr">
        <is>
          <t>KALMAR LÄN</t>
        </is>
      </c>
      <c r="E375" t="inlineStr">
        <is>
          <t>VÄSTERVIK</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45882</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45882</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43826-2021</t>
        </is>
      </c>
      <c r="B378" s="1" t="n">
        <v>44433</v>
      </c>
      <c r="C378" s="1" t="n">
        <v>45882</v>
      </c>
      <c r="D378" t="inlineStr">
        <is>
          <t>KALMAR LÄN</t>
        </is>
      </c>
      <c r="E378" t="inlineStr">
        <is>
          <t>VÄSTERVIK</t>
        </is>
      </c>
      <c r="G378" t="n">
        <v>4.2</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45882</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55240-2020</t>
        </is>
      </c>
      <c r="B380" s="1" t="n">
        <v>44130.63965277778</v>
      </c>
      <c r="C380" s="1" t="n">
        <v>45882</v>
      </c>
      <c r="D380" t="inlineStr">
        <is>
          <t>KALMAR LÄN</t>
        </is>
      </c>
      <c r="E380" t="inlineStr">
        <is>
          <t>VÄSTERVIK</t>
        </is>
      </c>
      <c r="G380" t="n">
        <v>1.2</v>
      </c>
      <c r="H380" t="n">
        <v>0</v>
      </c>
      <c r="I380" t="n">
        <v>0</v>
      </c>
      <c r="J380" t="n">
        <v>0</v>
      </c>
      <c r="K380" t="n">
        <v>0</v>
      </c>
      <c r="L380" t="n">
        <v>0</v>
      </c>
      <c r="M380" t="n">
        <v>0</v>
      </c>
      <c r="N380" t="n">
        <v>0</v>
      </c>
      <c r="O380" t="n">
        <v>0</v>
      </c>
      <c r="P380" t="n">
        <v>0</v>
      </c>
      <c r="Q380" t="n">
        <v>0</v>
      </c>
      <c r="R380" s="2" t="inlineStr"/>
    </row>
    <row r="381" ht="15" customHeight="1">
      <c r="A381" t="inlineStr">
        <is>
          <t>A 13230-2021</t>
        </is>
      </c>
      <c r="B381" s="1" t="n">
        <v>44272</v>
      </c>
      <c r="C381" s="1" t="n">
        <v>45882</v>
      </c>
      <c r="D381" t="inlineStr">
        <is>
          <t>KALMAR LÄN</t>
        </is>
      </c>
      <c r="E381" t="inlineStr">
        <is>
          <t>VÄSTERVIK</t>
        </is>
      </c>
      <c r="G381" t="n">
        <v>7.2</v>
      </c>
      <c r="H381" t="n">
        <v>0</v>
      </c>
      <c r="I381" t="n">
        <v>0</v>
      </c>
      <c r="J381" t="n">
        <v>0</v>
      </c>
      <c r="K381" t="n">
        <v>0</v>
      </c>
      <c r="L381" t="n">
        <v>0</v>
      </c>
      <c r="M381" t="n">
        <v>0</v>
      </c>
      <c r="N381" t="n">
        <v>0</v>
      </c>
      <c r="O381" t="n">
        <v>0</v>
      </c>
      <c r="P381" t="n">
        <v>0</v>
      </c>
      <c r="Q381" t="n">
        <v>0</v>
      </c>
      <c r="R381" s="2" t="inlineStr"/>
    </row>
    <row r="382" ht="15" customHeight="1">
      <c r="A382" t="inlineStr">
        <is>
          <t>A 46527-2022</t>
        </is>
      </c>
      <c r="B382" s="1" t="n">
        <v>44848.59880787037</v>
      </c>
      <c r="C382" s="1" t="n">
        <v>45882</v>
      </c>
      <c r="D382" t="inlineStr">
        <is>
          <t>KALMAR LÄN</t>
        </is>
      </c>
      <c r="E382" t="inlineStr">
        <is>
          <t>VÄSTERVIK</t>
        </is>
      </c>
      <c r="G382" t="n">
        <v>1.7</v>
      </c>
      <c r="H382" t="n">
        <v>0</v>
      </c>
      <c r="I382" t="n">
        <v>0</v>
      </c>
      <c r="J382" t="n">
        <v>0</v>
      </c>
      <c r="K382" t="n">
        <v>0</v>
      </c>
      <c r="L382" t="n">
        <v>0</v>
      </c>
      <c r="M382" t="n">
        <v>0</v>
      </c>
      <c r="N382" t="n">
        <v>0</v>
      </c>
      <c r="O382" t="n">
        <v>0</v>
      </c>
      <c r="P382" t="n">
        <v>0</v>
      </c>
      <c r="Q382" t="n">
        <v>0</v>
      </c>
      <c r="R382" s="2" t="inlineStr"/>
    </row>
    <row r="383" ht="15" customHeight="1">
      <c r="A383" t="inlineStr">
        <is>
          <t>A 48135-2020</t>
        </is>
      </c>
      <c r="B383" s="1" t="n">
        <v>44099</v>
      </c>
      <c r="C383" s="1" t="n">
        <v>45882</v>
      </c>
      <c r="D383" t="inlineStr">
        <is>
          <t>KALMAR LÄN</t>
        </is>
      </c>
      <c r="E383" t="inlineStr">
        <is>
          <t>VÄSTERVIK</t>
        </is>
      </c>
      <c r="G383" t="n">
        <v>3.2</v>
      </c>
      <c r="H383" t="n">
        <v>0</v>
      </c>
      <c r="I383" t="n">
        <v>0</v>
      </c>
      <c r="J383" t="n">
        <v>0</v>
      </c>
      <c r="K383" t="n">
        <v>0</v>
      </c>
      <c r="L383" t="n">
        <v>0</v>
      </c>
      <c r="M383" t="n">
        <v>0</v>
      </c>
      <c r="N383" t="n">
        <v>0</v>
      </c>
      <c r="O383" t="n">
        <v>0</v>
      </c>
      <c r="P383" t="n">
        <v>0</v>
      </c>
      <c r="Q383" t="n">
        <v>0</v>
      </c>
      <c r="R383" s="2" t="inlineStr"/>
    </row>
    <row r="384" ht="15" customHeight="1">
      <c r="A384" t="inlineStr">
        <is>
          <t>A 49404-2021</t>
        </is>
      </c>
      <c r="B384" s="1" t="n">
        <v>44454.63494212963</v>
      </c>
      <c r="C384" s="1" t="n">
        <v>45882</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10119-2022</t>
        </is>
      </c>
      <c r="B385" s="1" t="n">
        <v>44621.91652777778</v>
      </c>
      <c r="C385" s="1" t="n">
        <v>45882</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49407-2021</t>
        </is>
      </c>
      <c r="B386" s="1" t="n">
        <v>44454.63644675926</v>
      </c>
      <c r="C386" s="1" t="n">
        <v>45882</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61317-2021</t>
        </is>
      </c>
      <c r="B387" s="1" t="n">
        <v>44498.65975694444</v>
      </c>
      <c r="C387" s="1" t="n">
        <v>45882</v>
      </c>
      <c r="D387" t="inlineStr">
        <is>
          <t>KALMAR LÄN</t>
        </is>
      </c>
      <c r="E387" t="inlineStr">
        <is>
          <t>VÄSTERVIK</t>
        </is>
      </c>
      <c r="G387" t="n">
        <v>0.6</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45882</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56127-2020</t>
        </is>
      </c>
      <c r="B389" s="1" t="n">
        <v>44132</v>
      </c>
      <c r="C389" s="1" t="n">
        <v>45882</v>
      </c>
      <c r="D389" t="inlineStr">
        <is>
          <t>KALMAR LÄN</t>
        </is>
      </c>
      <c r="E389" t="inlineStr">
        <is>
          <t>VÄSTERVIK</t>
        </is>
      </c>
      <c r="G389" t="n">
        <v>1.6</v>
      </c>
      <c r="H389" t="n">
        <v>0</v>
      </c>
      <c r="I389" t="n">
        <v>0</v>
      </c>
      <c r="J389" t="n">
        <v>0</v>
      </c>
      <c r="K389" t="n">
        <v>0</v>
      </c>
      <c r="L389" t="n">
        <v>0</v>
      </c>
      <c r="M389" t="n">
        <v>0</v>
      </c>
      <c r="N389" t="n">
        <v>0</v>
      </c>
      <c r="O389" t="n">
        <v>0</v>
      </c>
      <c r="P389" t="n">
        <v>0</v>
      </c>
      <c r="Q389" t="n">
        <v>0</v>
      </c>
      <c r="R389" s="2" t="inlineStr"/>
    </row>
    <row r="390" ht="15" customHeight="1">
      <c r="A390" t="inlineStr">
        <is>
          <t>A 42113-2020</t>
        </is>
      </c>
      <c r="B390" s="1" t="n">
        <v>44071</v>
      </c>
      <c r="C390" s="1" t="n">
        <v>45882</v>
      </c>
      <c r="D390" t="inlineStr">
        <is>
          <t>KALMAR LÄN</t>
        </is>
      </c>
      <c r="E390" t="inlineStr">
        <is>
          <t>VÄSTERVIK</t>
        </is>
      </c>
      <c r="G390" t="n">
        <v>2.6</v>
      </c>
      <c r="H390" t="n">
        <v>0</v>
      </c>
      <c r="I390" t="n">
        <v>0</v>
      </c>
      <c r="J390" t="n">
        <v>0</v>
      </c>
      <c r="K390" t="n">
        <v>0</v>
      </c>
      <c r="L390" t="n">
        <v>0</v>
      </c>
      <c r="M390" t="n">
        <v>0</v>
      </c>
      <c r="N390" t="n">
        <v>0</v>
      </c>
      <c r="O390" t="n">
        <v>0</v>
      </c>
      <c r="P390" t="n">
        <v>0</v>
      </c>
      <c r="Q390" t="n">
        <v>0</v>
      </c>
      <c r="R390" s="2" t="inlineStr"/>
    </row>
    <row r="391" ht="15" customHeight="1">
      <c r="A391" t="inlineStr">
        <is>
          <t>A 43803-2021</t>
        </is>
      </c>
      <c r="B391" s="1" t="n">
        <v>44433</v>
      </c>
      <c r="C391" s="1" t="n">
        <v>45882</v>
      </c>
      <c r="D391" t="inlineStr">
        <is>
          <t>KALMAR LÄN</t>
        </is>
      </c>
      <c r="E391" t="inlineStr">
        <is>
          <t>VÄSTERVIK</t>
        </is>
      </c>
      <c r="G391" t="n">
        <v>4.2</v>
      </c>
      <c r="H391" t="n">
        <v>0</v>
      </c>
      <c r="I391" t="n">
        <v>0</v>
      </c>
      <c r="J391" t="n">
        <v>0</v>
      </c>
      <c r="K391" t="n">
        <v>0</v>
      </c>
      <c r="L391" t="n">
        <v>0</v>
      </c>
      <c r="M391" t="n">
        <v>0</v>
      </c>
      <c r="N391" t="n">
        <v>0</v>
      </c>
      <c r="O391" t="n">
        <v>0</v>
      </c>
      <c r="P391" t="n">
        <v>0</v>
      </c>
      <c r="Q391" t="n">
        <v>0</v>
      </c>
      <c r="R391" s="2" t="inlineStr"/>
    </row>
    <row r="392" ht="15" customHeight="1">
      <c r="A392" t="inlineStr">
        <is>
          <t>A 57937-2021</t>
        </is>
      </c>
      <c r="B392" s="1" t="n">
        <v>44487</v>
      </c>
      <c r="C392" s="1" t="n">
        <v>45882</v>
      </c>
      <c r="D392" t="inlineStr">
        <is>
          <t>KALMAR LÄN</t>
        </is>
      </c>
      <c r="E392" t="inlineStr">
        <is>
          <t>VÄSTERVIK</t>
        </is>
      </c>
      <c r="G392" t="n">
        <v>1.8</v>
      </c>
      <c r="H392" t="n">
        <v>0</v>
      </c>
      <c r="I392" t="n">
        <v>0</v>
      </c>
      <c r="J392" t="n">
        <v>0</v>
      </c>
      <c r="K392" t="n">
        <v>0</v>
      </c>
      <c r="L392" t="n">
        <v>0</v>
      </c>
      <c r="M392" t="n">
        <v>0</v>
      </c>
      <c r="N392" t="n">
        <v>0</v>
      </c>
      <c r="O392" t="n">
        <v>0</v>
      </c>
      <c r="P392" t="n">
        <v>0</v>
      </c>
      <c r="Q392" t="n">
        <v>0</v>
      </c>
      <c r="R392" s="2" t="inlineStr"/>
    </row>
    <row r="393" ht="15" customHeight="1">
      <c r="A393" t="inlineStr">
        <is>
          <t>A 34836-2022</t>
        </is>
      </c>
      <c r="B393" s="1" t="n">
        <v>44796</v>
      </c>
      <c r="C393" s="1" t="n">
        <v>45882</v>
      </c>
      <c r="D393" t="inlineStr">
        <is>
          <t>KALMAR LÄN</t>
        </is>
      </c>
      <c r="E393" t="inlineStr">
        <is>
          <t>VÄSTERVIK</t>
        </is>
      </c>
      <c r="G393" t="n">
        <v>1.3</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45882</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63212-2020</t>
        </is>
      </c>
      <c r="B395" s="1" t="n">
        <v>44163</v>
      </c>
      <c r="C395" s="1" t="n">
        <v>45882</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61682-2020</t>
        </is>
      </c>
      <c r="B396" s="1" t="n">
        <v>44154</v>
      </c>
      <c r="C396" s="1" t="n">
        <v>45882</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66757-2020</t>
        </is>
      </c>
      <c r="B397" s="1" t="n">
        <v>44175</v>
      </c>
      <c r="C397" s="1" t="n">
        <v>45882</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5551-2022</t>
        </is>
      </c>
      <c r="B398" s="1" t="n">
        <v>44595.63739583334</v>
      </c>
      <c r="C398" s="1" t="n">
        <v>45882</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959-2022</t>
        </is>
      </c>
      <c r="B399" s="1" t="n">
        <v>44571</v>
      </c>
      <c r="C399" s="1" t="n">
        <v>45882</v>
      </c>
      <c r="D399" t="inlineStr">
        <is>
          <t>KALMAR LÄN</t>
        </is>
      </c>
      <c r="E399" t="inlineStr">
        <is>
          <t>VÄSTERVIK</t>
        </is>
      </c>
      <c r="G399" t="n">
        <v>2.5</v>
      </c>
      <c r="H399" t="n">
        <v>0</v>
      </c>
      <c r="I399" t="n">
        <v>0</v>
      </c>
      <c r="J399" t="n">
        <v>0</v>
      </c>
      <c r="K399" t="n">
        <v>0</v>
      </c>
      <c r="L399" t="n">
        <v>0</v>
      </c>
      <c r="M399" t="n">
        <v>0</v>
      </c>
      <c r="N399" t="n">
        <v>0</v>
      </c>
      <c r="O399" t="n">
        <v>0</v>
      </c>
      <c r="P399" t="n">
        <v>0</v>
      </c>
      <c r="Q399" t="n">
        <v>0</v>
      </c>
      <c r="R399" s="2" t="inlineStr"/>
    </row>
    <row r="400" ht="15" customHeight="1">
      <c r="A400" t="inlineStr">
        <is>
          <t>A 360-2022</t>
        </is>
      </c>
      <c r="B400" s="1" t="n">
        <v>44565.63162037037</v>
      </c>
      <c r="C400" s="1" t="n">
        <v>45882</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68811-2020</t>
        </is>
      </c>
      <c r="B401" s="1" t="n">
        <v>44187</v>
      </c>
      <c r="C401" s="1" t="n">
        <v>45882</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6974-2021</t>
        </is>
      </c>
      <c r="B402" s="1" t="n">
        <v>44237</v>
      </c>
      <c r="C402" s="1" t="n">
        <v>45882</v>
      </c>
      <c r="D402" t="inlineStr">
        <is>
          <t>KALMAR LÄN</t>
        </is>
      </c>
      <c r="E402" t="inlineStr">
        <is>
          <t>VÄSTERVIK</t>
        </is>
      </c>
      <c r="G402" t="n">
        <v>2.2</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45882</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45882</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45882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45882</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38399-2022</t>
        </is>
      </c>
      <c r="B407" s="1" t="n">
        <v>44812</v>
      </c>
      <c r="C407" s="1" t="n">
        <v>45882</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57009-2020</t>
        </is>
      </c>
      <c r="B408" s="1" t="n">
        <v>44138</v>
      </c>
      <c r="C408" s="1" t="n">
        <v>45882</v>
      </c>
      <c r="D408" t="inlineStr">
        <is>
          <t>KALMAR LÄN</t>
        </is>
      </c>
      <c r="E408" t="inlineStr">
        <is>
          <t>VÄSTERVIK</t>
        </is>
      </c>
      <c r="F408" t="inlineStr">
        <is>
          <t>Holmen skog AB</t>
        </is>
      </c>
      <c r="G408" t="n">
        <v>1.7</v>
      </c>
      <c r="H408" t="n">
        <v>0</v>
      </c>
      <c r="I408" t="n">
        <v>0</v>
      </c>
      <c r="J408" t="n">
        <v>0</v>
      </c>
      <c r="K408" t="n">
        <v>0</v>
      </c>
      <c r="L408" t="n">
        <v>0</v>
      </c>
      <c r="M408" t="n">
        <v>0</v>
      </c>
      <c r="N408" t="n">
        <v>0</v>
      </c>
      <c r="O408" t="n">
        <v>0</v>
      </c>
      <c r="P408" t="n">
        <v>0</v>
      </c>
      <c r="Q408" t="n">
        <v>0</v>
      </c>
      <c r="R408" s="2" t="inlineStr"/>
      <c r="U408">
        <f>HYPERLINK("https://klasma.github.io/Logging_0883/knärot/A 57009-2020 karta knärot.png", "A 57009-2020")</f>
        <v/>
      </c>
      <c r="V408">
        <f>HYPERLINK("https://klasma.github.io/Logging_0883/klagomål/A 57009-2020 FSC-klagomål.docx", "A 57009-2020")</f>
        <v/>
      </c>
      <c r="W408">
        <f>HYPERLINK("https://klasma.github.io/Logging_0883/klagomålsmail/A 57009-2020 FSC-klagomål mail.docx", "A 57009-2020")</f>
        <v/>
      </c>
      <c r="X408">
        <f>HYPERLINK("https://klasma.github.io/Logging_0883/tillsyn/A 57009-2020 tillsynsbegäran.docx", "A 57009-2020")</f>
        <v/>
      </c>
      <c r="Y408">
        <f>HYPERLINK("https://klasma.github.io/Logging_0883/tillsynsmail/A 57009-2020 tillsynsbegäran mail.docx", "A 57009-2020")</f>
        <v/>
      </c>
    </row>
    <row r="409" ht="15" customHeight="1">
      <c r="A409" t="inlineStr">
        <is>
          <t>A 66149-2020</t>
        </is>
      </c>
      <c r="B409" s="1" t="n">
        <v>44173</v>
      </c>
      <c r="C409" s="1" t="n">
        <v>45882</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23317-2023</t>
        </is>
      </c>
      <c r="B410" s="1" t="n">
        <v>45076</v>
      </c>
      <c r="C410" s="1" t="n">
        <v>45882</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3679-2025</t>
        </is>
      </c>
      <c r="B411" s="1" t="n">
        <v>45681.44637731482</v>
      </c>
      <c r="C411" s="1" t="n">
        <v>45882</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37033-2021</t>
        </is>
      </c>
      <c r="B412" s="1" t="n">
        <v>44393</v>
      </c>
      <c r="C412" s="1" t="n">
        <v>45882</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46018-2022</t>
        </is>
      </c>
      <c r="B413" s="1" t="n">
        <v>44846</v>
      </c>
      <c r="C413" s="1" t="n">
        <v>45882</v>
      </c>
      <c r="D413" t="inlineStr">
        <is>
          <t>KALMAR LÄN</t>
        </is>
      </c>
      <c r="E413" t="inlineStr">
        <is>
          <t>VÄSTERVIK</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21831-2023</t>
        </is>
      </c>
      <c r="B414" s="1" t="n">
        <v>45068</v>
      </c>
      <c r="C414" s="1" t="n">
        <v>45882</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53077-2024</t>
        </is>
      </c>
      <c r="B415" s="1" t="n">
        <v>45611.49178240741</v>
      </c>
      <c r="C415" s="1" t="n">
        <v>45882</v>
      </c>
      <c r="D415" t="inlineStr">
        <is>
          <t>KALMAR LÄN</t>
        </is>
      </c>
      <c r="E415" t="inlineStr">
        <is>
          <t>VÄSTERVIK</t>
        </is>
      </c>
      <c r="F415" t="inlineStr">
        <is>
          <t>Holmen skog AB</t>
        </is>
      </c>
      <c r="G415" t="n">
        <v>3</v>
      </c>
      <c r="H415" t="n">
        <v>0</v>
      </c>
      <c r="I415" t="n">
        <v>0</v>
      </c>
      <c r="J415" t="n">
        <v>0</v>
      </c>
      <c r="K415" t="n">
        <v>0</v>
      </c>
      <c r="L415" t="n">
        <v>0</v>
      </c>
      <c r="M415" t="n">
        <v>0</v>
      </c>
      <c r="N415" t="n">
        <v>0</v>
      </c>
      <c r="O415" t="n">
        <v>0</v>
      </c>
      <c r="P415" t="n">
        <v>0</v>
      </c>
      <c r="Q415" t="n">
        <v>0</v>
      </c>
      <c r="R415" s="2" t="inlineStr"/>
    </row>
    <row r="416" ht="15" customHeight="1">
      <c r="A416" t="inlineStr">
        <is>
          <t>A 69098-2020</t>
        </is>
      </c>
      <c r="B416" s="1" t="n">
        <v>44187</v>
      </c>
      <c r="C416" s="1" t="n">
        <v>45882</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25434-2023</t>
        </is>
      </c>
      <c r="B417" s="1" t="n">
        <v>45089.41912037037</v>
      </c>
      <c r="C417" s="1" t="n">
        <v>45882</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30148-2024</t>
        </is>
      </c>
      <c r="B418" s="1" t="n">
        <v>45489.60528935185</v>
      </c>
      <c r="C418" s="1" t="n">
        <v>45882</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10419-2023</t>
        </is>
      </c>
      <c r="B419" s="1" t="n">
        <v>44987</v>
      </c>
      <c r="C419" s="1" t="n">
        <v>45882</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69064-2020</t>
        </is>
      </c>
      <c r="B420" s="1" t="n">
        <v>44188.47537037037</v>
      </c>
      <c r="C420" s="1" t="n">
        <v>45882</v>
      </c>
      <c r="D420" t="inlineStr">
        <is>
          <t>KALMAR LÄN</t>
        </is>
      </c>
      <c r="E420" t="inlineStr">
        <is>
          <t>VÄSTERVIK</t>
        </is>
      </c>
      <c r="G420" t="n">
        <v>0.8</v>
      </c>
      <c r="H420" t="n">
        <v>0</v>
      </c>
      <c r="I420" t="n">
        <v>0</v>
      </c>
      <c r="J420" t="n">
        <v>0</v>
      </c>
      <c r="K420" t="n">
        <v>0</v>
      </c>
      <c r="L420" t="n">
        <v>0</v>
      </c>
      <c r="M420" t="n">
        <v>0</v>
      </c>
      <c r="N420" t="n">
        <v>0</v>
      </c>
      <c r="O420" t="n">
        <v>0</v>
      </c>
      <c r="P420" t="n">
        <v>0</v>
      </c>
      <c r="Q420" t="n">
        <v>0</v>
      </c>
      <c r="R420" s="2" t="inlineStr"/>
    </row>
    <row r="421" ht="15" customHeight="1">
      <c r="A421" t="inlineStr">
        <is>
          <t>A 46560-2022</t>
        </is>
      </c>
      <c r="B421" s="1" t="n">
        <v>44848</v>
      </c>
      <c r="C421" s="1" t="n">
        <v>45882</v>
      </c>
      <c r="D421" t="inlineStr">
        <is>
          <t>KALMAR LÄN</t>
        </is>
      </c>
      <c r="E421" t="inlineStr">
        <is>
          <t>VÄSTERVIK</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14811-2025</t>
        </is>
      </c>
      <c r="B422" s="1" t="n">
        <v>45743.33715277778</v>
      </c>
      <c r="C422" s="1" t="n">
        <v>45882</v>
      </c>
      <c r="D422" t="inlineStr">
        <is>
          <t>KALMAR LÄN</t>
        </is>
      </c>
      <c r="E422" t="inlineStr">
        <is>
          <t>VÄSTERVIK</t>
        </is>
      </c>
      <c r="G422" t="n">
        <v>3.1</v>
      </c>
      <c r="H422" t="n">
        <v>0</v>
      </c>
      <c r="I422" t="n">
        <v>0</v>
      </c>
      <c r="J422" t="n">
        <v>0</v>
      </c>
      <c r="K422" t="n">
        <v>0</v>
      </c>
      <c r="L422" t="n">
        <v>0</v>
      </c>
      <c r="M422" t="n">
        <v>0</v>
      </c>
      <c r="N422" t="n">
        <v>0</v>
      </c>
      <c r="O422" t="n">
        <v>0</v>
      </c>
      <c r="P422" t="n">
        <v>0</v>
      </c>
      <c r="Q422" t="n">
        <v>0</v>
      </c>
      <c r="R422" s="2" t="inlineStr"/>
    </row>
    <row r="423" ht="15" customHeight="1">
      <c r="A423" t="inlineStr">
        <is>
          <t>A 24584-2024</t>
        </is>
      </c>
      <c r="B423" s="1" t="n">
        <v>45460</v>
      </c>
      <c r="C423" s="1" t="n">
        <v>45882</v>
      </c>
      <c r="D423" t="inlineStr">
        <is>
          <t>KALMAR LÄN</t>
        </is>
      </c>
      <c r="E423" t="inlineStr">
        <is>
          <t>VÄSTERVIK</t>
        </is>
      </c>
      <c r="G423" t="n">
        <v>1.5</v>
      </c>
      <c r="H423" t="n">
        <v>0</v>
      </c>
      <c r="I423" t="n">
        <v>0</v>
      </c>
      <c r="J423" t="n">
        <v>0</v>
      </c>
      <c r="K423" t="n">
        <v>0</v>
      </c>
      <c r="L423" t="n">
        <v>0</v>
      </c>
      <c r="M423" t="n">
        <v>0</v>
      </c>
      <c r="N423" t="n">
        <v>0</v>
      </c>
      <c r="O423" t="n">
        <v>0</v>
      </c>
      <c r="P423" t="n">
        <v>0</v>
      </c>
      <c r="Q423" t="n">
        <v>0</v>
      </c>
      <c r="R423" s="2" t="inlineStr"/>
    </row>
    <row r="424" ht="15" customHeight="1">
      <c r="A424" t="inlineStr">
        <is>
          <t>A 170-2022</t>
        </is>
      </c>
      <c r="B424" s="1" t="n">
        <v>44564.62540509259</v>
      </c>
      <c r="C424" s="1" t="n">
        <v>45882</v>
      </c>
      <c r="D424" t="inlineStr">
        <is>
          <t>KALMAR LÄN</t>
        </is>
      </c>
      <c r="E424" t="inlineStr">
        <is>
          <t>VÄSTERVIK</t>
        </is>
      </c>
      <c r="G424" t="n">
        <v>0.8</v>
      </c>
      <c r="H424" t="n">
        <v>0</v>
      </c>
      <c r="I424" t="n">
        <v>0</v>
      </c>
      <c r="J424" t="n">
        <v>0</v>
      </c>
      <c r="K424" t="n">
        <v>0</v>
      </c>
      <c r="L424" t="n">
        <v>0</v>
      </c>
      <c r="M424" t="n">
        <v>0</v>
      </c>
      <c r="N424" t="n">
        <v>0</v>
      </c>
      <c r="O424" t="n">
        <v>0</v>
      </c>
      <c r="P424" t="n">
        <v>0</v>
      </c>
      <c r="Q424" t="n">
        <v>0</v>
      </c>
      <c r="R424" s="2" t="inlineStr"/>
    </row>
    <row r="425" ht="15" customHeight="1">
      <c r="A425" t="inlineStr">
        <is>
          <t>A 174-2022</t>
        </is>
      </c>
      <c r="B425" s="1" t="n">
        <v>44564.62763888889</v>
      </c>
      <c r="C425" s="1" t="n">
        <v>45882</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31318-2021</t>
        </is>
      </c>
      <c r="B426" s="1" t="n">
        <v>44368</v>
      </c>
      <c r="C426" s="1" t="n">
        <v>45882</v>
      </c>
      <c r="D426" t="inlineStr">
        <is>
          <t>KALMAR LÄN</t>
        </is>
      </c>
      <c r="E426" t="inlineStr">
        <is>
          <t>VÄSTERVIK</t>
        </is>
      </c>
      <c r="G426" t="n">
        <v>1.6</v>
      </c>
      <c r="H426" t="n">
        <v>0</v>
      </c>
      <c r="I426" t="n">
        <v>0</v>
      </c>
      <c r="J426" t="n">
        <v>0</v>
      </c>
      <c r="K426" t="n">
        <v>0</v>
      </c>
      <c r="L426" t="n">
        <v>0</v>
      </c>
      <c r="M426" t="n">
        <v>0</v>
      </c>
      <c r="N426" t="n">
        <v>0</v>
      </c>
      <c r="O426" t="n">
        <v>0</v>
      </c>
      <c r="P426" t="n">
        <v>0</v>
      </c>
      <c r="Q426" t="n">
        <v>0</v>
      </c>
      <c r="R426" s="2" t="inlineStr"/>
    </row>
    <row r="427" ht="15" customHeight="1">
      <c r="A427" t="inlineStr">
        <is>
          <t>A 31952-2021</t>
        </is>
      </c>
      <c r="B427" s="1" t="n">
        <v>44370</v>
      </c>
      <c r="C427" s="1" t="n">
        <v>45882</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14114-2025</t>
        </is>
      </c>
      <c r="B428" s="1" t="n">
        <v>45740.45964120371</v>
      </c>
      <c r="C428" s="1" t="n">
        <v>45882</v>
      </c>
      <c r="D428" t="inlineStr">
        <is>
          <t>KALMAR LÄN</t>
        </is>
      </c>
      <c r="E428" t="inlineStr">
        <is>
          <t>VÄSTERVIK</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14685-2025</t>
        </is>
      </c>
      <c r="B429" s="1" t="n">
        <v>45742.57653935185</v>
      </c>
      <c r="C429" s="1" t="n">
        <v>45882</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35662-2023</t>
        </is>
      </c>
      <c r="B430" s="1" t="n">
        <v>45147</v>
      </c>
      <c r="C430" s="1" t="n">
        <v>45882</v>
      </c>
      <c r="D430" t="inlineStr">
        <is>
          <t>KALMAR LÄN</t>
        </is>
      </c>
      <c r="E430" t="inlineStr">
        <is>
          <t>VÄSTERVIK</t>
        </is>
      </c>
      <c r="G430" t="n">
        <v>0.4</v>
      </c>
      <c r="H430" t="n">
        <v>0</v>
      </c>
      <c r="I430" t="n">
        <v>0</v>
      </c>
      <c r="J430" t="n">
        <v>0</v>
      </c>
      <c r="K430" t="n">
        <v>0</v>
      </c>
      <c r="L430" t="n">
        <v>0</v>
      </c>
      <c r="M430" t="n">
        <v>0</v>
      </c>
      <c r="N430" t="n">
        <v>0</v>
      </c>
      <c r="O430" t="n">
        <v>0</v>
      </c>
      <c r="P430" t="n">
        <v>0</v>
      </c>
      <c r="Q430" t="n">
        <v>0</v>
      </c>
      <c r="R430" s="2" t="inlineStr"/>
    </row>
    <row r="431" ht="15" customHeight="1">
      <c r="A431" t="inlineStr">
        <is>
          <t>A 19333-2023</t>
        </is>
      </c>
      <c r="B431" s="1" t="n">
        <v>45049.566875</v>
      </c>
      <c r="C431" s="1" t="n">
        <v>45882</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17314-2023</t>
        </is>
      </c>
      <c r="B432" s="1" t="n">
        <v>45035</v>
      </c>
      <c r="C432" s="1" t="n">
        <v>45882</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32388-2024</t>
        </is>
      </c>
      <c r="B433" s="1" t="n">
        <v>45512.63465277778</v>
      </c>
      <c r="C433" s="1" t="n">
        <v>45882</v>
      </c>
      <c r="D433" t="inlineStr">
        <is>
          <t>KALMAR LÄN</t>
        </is>
      </c>
      <c r="E433" t="inlineStr">
        <is>
          <t>VÄSTERVIK</t>
        </is>
      </c>
      <c r="G433" t="n">
        <v>1.2</v>
      </c>
      <c r="H433" t="n">
        <v>0</v>
      </c>
      <c r="I433" t="n">
        <v>0</v>
      </c>
      <c r="J433" t="n">
        <v>0</v>
      </c>
      <c r="K433" t="n">
        <v>0</v>
      </c>
      <c r="L433" t="n">
        <v>0</v>
      </c>
      <c r="M433" t="n">
        <v>0</v>
      </c>
      <c r="N433" t="n">
        <v>0</v>
      </c>
      <c r="O433" t="n">
        <v>0</v>
      </c>
      <c r="P433" t="n">
        <v>0</v>
      </c>
      <c r="Q433" t="n">
        <v>0</v>
      </c>
      <c r="R433" s="2" t="inlineStr"/>
    </row>
    <row r="434" ht="15" customHeight="1">
      <c r="A434" t="inlineStr">
        <is>
          <t>A 32389-2024</t>
        </is>
      </c>
      <c r="B434" s="1" t="n">
        <v>45512.63642361111</v>
      </c>
      <c r="C434" s="1" t="n">
        <v>45882</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17315-2023</t>
        </is>
      </c>
      <c r="B435" s="1" t="n">
        <v>45035.54475694444</v>
      </c>
      <c r="C435" s="1" t="n">
        <v>45882</v>
      </c>
      <c r="D435" t="inlineStr">
        <is>
          <t>KALMAR LÄN</t>
        </is>
      </c>
      <c r="E435" t="inlineStr">
        <is>
          <t>VÄSTERVIK</t>
        </is>
      </c>
      <c r="G435" t="n">
        <v>1.5</v>
      </c>
      <c r="H435" t="n">
        <v>0</v>
      </c>
      <c r="I435" t="n">
        <v>0</v>
      </c>
      <c r="J435" t="n">
        <v>0</v>
      </c>
      <c r="K435" t="n">
        <v>0</v>
      </c>
      <c r="L435" t="n">
        <v>0</v>
      </c>
      <c r="M435" t="n">
        <v>0</v>
      </c>
      <c r="N435" t="n">
        <v>0</v>
      </c>
      <c r="O435" t="n">
        <v>0</v>
      </c>
      <c r="P435" t="n">
        <v>0</v>
      </c>
      <c r="Q435" t="n">
        <v>0</v>
      </c>
      <c r="R435" s="2" t="inlineStr"/>
    </row>
    <row r="436" ht="15" customHeight="1">
      <c r="A436" t="inlineStr">
        <is>
          <t>A 61649-2022</t>
        </is>
      </c>
      <c r="B436" s="1" t="n">
        <v>44916.90010416666</v>
      </c>
      <c r="C436" s="1" t="n">
        <v>45882</v>
      </c>
      <c r="D436" t="inlineStr">
        <is>
          <t>KALMAR LÄN</t>
        </is>
      </c>
      <c r="E436" t="inlineStr">
        <is>
          <t>VÄSTERVIK</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949-2024</t>
        </is>
      </c>
      <c r="B437" s="1" t="n">
        <v>45301</v>
      </c>
      <c r="C437" s="1" t="n">
        <v>45882</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7360-2023</t>
        </is>
      </c>
      <c r="B438" s="1" t="n">
        <v>44971</v>
      </c>
      <c r="C438" s="1" t="n">
        <v>45882</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60483-2024</t>
        </is>
      </c>
      <c r="B439" s="1" t="n">
        <v>45643.63751157407</v>
      </c>
      <c r="C439" s="1" t="n">
        <v>45882</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35456-2024</t>
        </is>
      </c>
      <c r="B440" s="1" t="n">
        <v>45531</v>
      </c>
      <c r="C440" s="1" t="n">
        <v>45882</v>
      </c>
      <c r="D440" t="inlineStr">
        <is>
          <t>KALMAR LÄN</t>
        </is>
      </c>
      <c r="E440" t="inlineStr">
        <is>
          <t>VÄSTERVIK</t>
        </is>
      </c>
      <c r="G440" t="n">
        <v>5.8</v>
      </c>
      <c r="H440" t="n">
        <v>0</v>
      </c>
      <c r="I440" t="n">
        <v>0</v>
      </c>
      <c r="J440" t="n">
        <v>0</v>
      </c>
      <c r="K440" t="n">
        <v>0</v>
      </c>
      <c r="L440" t="n">
        <v>0</v>
      </c>
      <c r="M440" t="n">
        <v>0</v>
      </c>
      <c r="N440" t="n">
        <v>0</v>
      </c>
      <c r="O440" t="n">
        <v>0</v>
      </c>
      <c r="P440" t="n">
        <v>0</v>
      </c>
      <c r="Q440" t="n">
        <v>0</v>
      </c>
      <c r="R440" s="2" t="inlineStr"/>
    </row>
    <row r="441" ht="15" customHeight="1">
      <c r="A441" t="inlineStr">
        <is>
          <t>A 5079-2025</t>
        </is>
      </c>
      <c r="B441" s="1" t="n">
        <v>45691.50069444445</v>
      </c>
      <c r="C441" s="1" t="n">
        <v>45882</v>
      </c>
      <c r="D441" t="inlineStr">
        <is>
          <t>KALMAR LÄN</t>
        </is>
      </c>
      <c r="E441" t="inlineStr">
        <is>
          <t>VÄSTERVIK</t>
        </is>
      </c>
      <c r="F441" t="inlineStr">
        <is>
          <t>Holmen skog AB</t>
        </is>
      </c>
      <c r="G441" t="n">
        <v>3.3</v>
      </c>
      <c r="H441" t="n">
        <v>0</v>
      </c>
      <c r="I441" t="n">
        <v>0</v>
      </c>
      <c r="J441" t="n">
        <v>0</v>
      </c>
      <c r="K441" t="n">
        <v>0</v>
      </c>
      <c r="L441" t="n">
        <v>0</v>
      </c>
      <c r="M441" t="n">
        <v>0</v>
      </c>
      <c r="N441" t="n">
        <v>0</v>
      </c>
      <c r="O441" t="n">
        <v>0</v>
      </c>
      <c r="P441" t="n">
        <v>0</v>
      </c>
      <c r="Q441" t="n">
        <v>0</v>
      </c>
      <c r="R441" s="2" t="inlineStr"/>
    </row>
    <row r="442" ht="15" customHeight="1">
      <c r="A442" t="inlineStr">
        <is>
          <t>A 19608-2025</t>
        </is>
      </c>
      <c r="B442" s="1" t="n">
        <v>45770.60177083333</v>
      </c>
      <c r="C442" s="1" t="n">
        <v>45882</v>
      </c>
      <c r="D442" t="inlineStr">
        <is>
          <t>KALMAR LÄN</t>
        </is>
      </c>
      <c r="E442" t="inlineStr">
        <is>
          <t>VÄSTERVIK</t>
        </is>
      </c>
      <c r="G442" t="n">
        <v>3.5</v>
      </c>
      <c r="H442" t="n">
        <v>0</v>
      </c>
      <c r="I442" t="n">
        <v>0</v>
      </c>
      <c r="J442" t="n">
        <v>0</v>
      </c>
      <c r="K442" t="n">
        <v>0</v>
      </c>
      <c r="L442" t="n">
        <v>0</v>
      </c>
      <c r="M442" t="n">
        <v>0</v>
      </c>
      <c r="N442" t="n">
        <v>0</v>
      </c>
      <c r="O442" t="n">
        <v>0</v>
      </c>
      <c r="P442" t="n">
        <v>0</v>
      </c>
      <c r="Q442" t="n">
        <v>0</v>
      </c>
      <c r="R442" s="2" t="inlineStr"/>
    </row>
    <row r="443" ht="15" customHeight="1">
      <c r="A443" t="inlineStr">
        <is>
          <t>A 5450-2022</t>
        </is>
      </c>
      <c r="B443" s="1" t="n">
        <v>44595</v>
      </c>
      <c r="C443" s="1" t="n">
        <v>45882</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41342-2023</t>
        </is>
      </c>
      <c r="B444" s="1" t="n">
        <v>45174.72416666667</v>
      </c>
      <c r="C444" s="1" t="n">
        <v>45882</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59331-2023</t>
        </is>
      </c>
      <c r="B445" s="1" t="n">
        <v>45253</v>
      </c>
      <c r="C445" s="1" t="n">
        <v>45882</v>
      </c>
      <c r="D445" t="inlineStr">
        <is>
          <t>KALMAR LÄN</t>
        </is>
      </c>
      <c r="E445" t="inlineStr">
        <is>
          <t>VÄSTERVIK</t>
        </is>
      </c>
      <c r="G445" t="n">
        <v>3.9</v>
      </c>
      <c r="H445" t="n">
        <v>0</v>
      </c>
      <c r="I445" t="n">
        <v>0</v>
      </c>
      <c r="J445" t="n">
        <v>0</v>
      </c>
      <c r="K445" t="n">
        <v>0</v>
      </c>
      <c r="L445" t="n">
        <v>0</v>
      </c>
      <c r="M445" t="n">
        <v>0</v>
      </c>
      <c r="N445" t="n">
        <v>0</v>
      </c>
      <c r="O445" t="n">
        <v>0</v>
      </c>
      <c r="P445" t="n">
        <v>0</v>
      </c>
      <c r="Q445" t="n">
        <v>0</v>
      </c>
      <c r="R445" s="2" t="inlineStr"/>
    </row>
    <row r="446" ht="15" customHeight="1">
      <c r="A446" t="inlineStr">
        <is>
          <t>A 33969-2024</t>
        </is>
      </c>
      <c r="B446" s="1" t="n">
        <v>45523.49450231482</v>
      </c>
      <c r="C446" s="1" t="n">
        <v>45882</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13490-2022</t>
        </is>
      </c>
      <c r="B447" s="1" t="n">
        <v>44646</v>
      </c>
      <c r="C447" s="1" t="n">
        <v>45882</v>
      </c>
      <c r="D447" t="inlineStr">
        <is>
          <t>KALMAR LÄN</t>
        </is>
      </c>
      <c r="E447" t="inlineStr">
        <is>
          <t>VÄSTERVIK</t>
        </is>
      </c>
      <c r="G447" t="n">
        <v>2.4</v>
      </c>
      <c r="H447" t="n">
        <v>0</v>
      </c>
      <c r="I447" t="n">
        <v>0</v>
      </c>
      <c r="J447" t="n">
        <v>0</v>
      </c>
      <c r="K447" t="n">
        <v>0</v>
      </c>
      <c r="L447" t="n">
        <v>0</v>
      </c>
      <c r="M447" t="n">
        <v>0</v>
      </c>
      <c r="N447" t="n">
        <v>0</v>
      </c>
      <c r="O447" t="n">
        <v>0</v>
      </c>
      <c r="P447" t="n">
        <v>0</v>
      </c>
      <c r="Q447" t="n">
        <v>0</v>
      </c>
      <c r="R447" s="2" t="inlineStr"/>
    </row>
    <row r="448" ht="15" customHeight="1">
      <c r="A448" t="inlineStr">
        <is>
          <t>A 9110-2023</t>
        </is>
      </c>
      <c r="B448" s="1" t="n">
        <v>44979</v>
      </c>
      <c r="C448" s="1" t="n">
        <v>45882</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9112-2023</t>
        </is>
      </c>
      <c r="B449" s="1" t="n">
        <v>44979</v>
      </c>
      <c r="C449" s="1" t="n">
        <v>45882</v>
      </c>
      <c r="D449" t="inlineStr">
        <is>
          <t>KALMAR LÄN</t>
        </is>
      </c>
      <c r="E449" t="inlineStr">
        <is>
          <t>VÄSTERVIK</t>
        </is>
      </c>
      <c r="G449" t="n">
        <v>1.8</v>
      </c>
      <c r="H449" t="n">
        <v>0</v>
      </c>
      <c r="I449" t="n">
        <v>0</v>
      </c>
      <c r="J449" t="n">
        <v>0</v>
      </c>
      <c r="K449" t="n">
        <v>0</v>
      </c>
      <c r="L449" t="n">
        <v>0</v>
      </c>
      <c r="M449" t="n">
        <v>0</v>
      </c>
      <c r="N449" t="n">
        <v>0</v>
      </c>
      <c r="O449" t="n">
        <v>0</v>
      </c>
      <c r="P449" t="n">
        <v>0</v>
      </c>
      <c r="Q449" t="n">
        <v>0</v>
      </c>
      <c r="R449" s="2" t="inlineStr"/>
    </row>
    <row r="450" ht="15" customHeight="1">
      <c r="A450" t="inlineStr">
        <is>
          <t>A 46121-2023</t>
        </is>
      </c>
      <c r="B450" s="1" t="n">
        <v>45196.55392361111</v>
      </c>
      <c r="C450" s="1" t="n">
        <v>45882</v>
      </c>
      <c r="D450" t="inlineStr">
        <is>
          <t>KALMAR LÄN</t>
        </is>
      </c>
      <c r="E450" t="inlineStr">
        <is>
          <t>VÄSTERVIK</t>
        </is>
      </c>
      <c r="F450" t="inlineStr">
        <is>
          <t>Sveaskog</t>
        </is>
      </c>
      <c r="G450" t="n">
        <v>3.3</v>
      </c>
      <c r="H450" t="n">
        <v>0</v>
      </c>
      <c r="I450" t="n">
        <v>0</v>
      </c>
      <c r="J450" t="n">
        <v>0</v>
      </c>
      <c r="K450" t="n">
        <v>0</v>
      </c>
      <c r="L450" t="n">
        <v>0</v>
      </c>
      <c r="M450" t="n">
        <v>0</v>
      </c>
      <c r="N450" t="n">
        <v>0</v>
      </c>
      <c r="O450" t="n">
        <v>0</v>
      </c>
      <c r="P450" t="n">
        <v>0</v>
      </c>
      <c r="Q450" t="n">
        <v>0</v>
      </c>
      <c r="R450" s="2" t="inlineStr"/>
    </row>
    <row r="451" ht="15" customHeight="1">
      <c r="A451" t="inlineStr">
        <is>
          <t>A 15021-2025</t>
        </is>
      </c>
      <c r="B451" s="1" t="n">
        <v>45743.64482638889</v>
      </c>
      <c r="C451" s="1" t="n">
        <v>45882</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60478-2024</t>
        </is>
      </c>
      <c r="B452" s="1" t="n">
        <v>45643</v>
      </c>
      <c r="C452" s="1" t="n">
        <v>45882</v>
      </c>
      <c r="D452" t="inlineStr">
        <is>
          <t>KALMAR LÄN</t>
        </is>
      </c>
      <c r="E452" t="inlineStr">
        <is>
          <t>VÄSTERVIK</t>
        </is>
      </c>
      <c r="G452" t="n">
        <v>1.7</v>
      </c>
      <c r="H452" t="n">
        <v>0</v>
      </c>
      <c r="I452" t="n">
        <v>0</v>
      </c>
      <c r="J452" t="n">
        <v>0</v>
      </c>
      <c r="K452" t="n">
        <v>0</v>
      </c>
      <c r="L452" t="n">
        <v>0</v>
      </c>
      <c r="M452" t="n">
        <v>0</v>
      </c>
      <c r="N452" t="n">
        <v>0</v>
      </c>
      <c r="O452" t="n">
        <v>0</v>
      </c>
      <c r="P452" t="n">
        <v>0</v>
      </c>
      <c r="Q452" t="n">
        <v>0</v>
      </c>
      <c r="R452" s="2" t="inlineStr"/>
    </row>
    <row r="453" ht="15" customHeight="1">
      <c r="A453" t="inlineStr">
        <is>
          <t>A 11848-2024</t>
        </is>
      </c>
      <c r="B453" s="1" t="n">
        <v>45376.41653935185</v>
      </c>
      <c r="C453" s="1" t="n">
        <v>45882</v>
      </c>
      <c r="D453" t="inlineStr">
        <is>
          <t>KALMAR LÄN</t>
        </is>
      </c>
      <c r="E453" t="inlineStr">
        <is>
          <t>VÄSTERVIK</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58703-2023</t>
        </is>
      </c>
      <c r="B454" s="1" t="n">
        <v>45251</v>
      </c>
      <c r="C454" s="1" t="n">
        <v>45882</v>
      </c>
      <c r="D454" t="inlineStr">
        <is>
          <t>KALMAR LÄN</t>
        </is>
      </c>
      <c r="E454" t="inlineStr">
        <is>
          <t>VÄSTERVIK</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52049-2023</t>
        </is>
      </c>
      <c r="B455" s="1" t="n">
        <v>45216</v>
      </c>
      <c r="C455" s="1" t="n">
        <v>45882</v>
      </c>
      <c r="D455" t="inlineStr">
        <is>
          <t>KALMAR LÄN</t>
        </is>
      </c>
      <c r="E455" t="inlineStr">
        <is>
          <t>VÄSTERVIK</t>
        </is>
      </c>
      <c r="G455" t="n">
        <v>4.4</v>
      </c>
      <c r="H455" t="n">
        <v>0</v>
      </c>
      <c r="I455" t="n">
        <v>0</v>
      </c>
      <c r="J455" t="n">
        <v>0</v>
      </c>
      <c r="K455" t="n">
        <v>0</v>
      </c>
      <c r="L455" t="n">
        <v>0</v>
      </c>
      <c r="M455" t="n">
        <v>0</v>
      </c>
      <c r="N455" t="n">
        <v>0</v>
      </c>
      <c r="O455" t="n">
        <v>0</v>
      </c>
      <c r="P455" t="n">
        <v>0</v>
      </c>
      <c r="Q455" t="n">
        <v>0</v>
      </c>
      <c r="R455" s="2" t="inlineStr"/>
    </row>
    <row r="456" ht="15" customHeight="1">
      <c r="A456" t="inlineStr">
        <is>
          <t>A 34646-2023</t>
        </is>
      </c>
      <c r="B456" s="1" t="n">
        <v>45140</v>
      </c>
      <c r="C456" s="1" t="n">
        <v>45882</v>
      </c>
      <c r="D456" t="inlineStr">
        <is>
          <t>KALMAR LÄN</t>
        </is>
      </c>
      <c r="E456" t="inlineStr">
        <is>
          <t>VÄSTERVIK</t>
        </is>
      </c>
      <c r="G456" t="n">
        <v>3.1</v>
      </c>
      <c r="H456" t="n">
        <v>0</v>
      </c>
      <c r="I456" t="n">
        <v>0</v>
      </c>
      <c r="J456" t="n">
        <v>0</v>
      </c>
      <c r="K456" t="n">
        <v>0</v>
      </c>
      <c r="L456" t="n">
        <v>0</v>
      </c>
      <c r="M456" t="n">
        <v>0</v>
      </c>
      <c r="N456" t="n">
        <v>0</v>
      </c>
      <c r="O456" t="n">
        <v>0</v>
      </c>
      <c r="P456" t="n">
        <v>0</v>
      </c>
      <c r="Q456" t="n">
        <v>0</v>
      </c>
      <c r="R456" s="2" t="inlineStr"/>
    </row>
    <row r="457" ht="15" customHeight="1">
      <c r="A457" t="inlineStr">
        <is>
          <t>A 14212-2022</t>
        </is>
      </c>
      <c r="B457" s="1" t="n">
        <v>44651</v>
      </c>
      <c r="C457" s="1" t="n">
        <v>45882</v>
      </c>
      <c r="D457" t="inlineStr">
        <is>
          <t>KALMAR LÄN</t>
        </is>
      </c>
      <c r="E457" t="inlineStr">
        <is>
          <t>VÄSTERVIK</t>
        </is>
      </c>
      <c r="G457" t="n">
        <v>1.5</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45442.58048611111</v>
      </c>
      <c r="C458" s="1" t="n">
        <v>45882</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60453-2024</t>
        </is>
      </c>
      <c r="B459" s="1" t="n">
        <v>45643.60487268519</v>
      </c>
      <c r="C459" s="1" t="n">
        <v>45882</v>
      </c>
      <c r="D459" t="inlineStr">
        <is>
          <t>KALMAR LÄN</t>
        </is>
      </c>
      <c r="E459" t="inlineStr">
        <is>
          <t>VÄSTERVIK</t>
        </is>
      </c>
      <c r="G459" t="n">
        <v>7.1</v>
      </c>
      <c r="H459" t="n">
        <v>0</v>
      </c>
      <c r="I459" t="n">
        <v>0</v>
      </c>
      <c r="J459" t="n">
        <v>0</v>
      </c>
      <c r="K459" t="n">
        <v>0</v>
      </c>
      <c r="L459" t="n">
        <v>0</v>
      </c>
      <c r="M459" t="n">
        <v>0</v>
      </c>
      <c r="N459" t="n">
        <v>0</v>
      </c>
      <c r="O459" t="n">
        <v>0</v>
      </c>
      <c r="P459" t="n">
        <v>0</v>
      </c>
      <c r="Q459" t="n">
        <v>0</v>
      </c>
      <c r="R459" s="2" t="inlineStr"/>
    </row>
    <row r="460" ht="15" customHeight="1">
      <c r="A460" t="inlineStr">
        <is>
          <t>A 46562-2022</t>
        </is>
      </c>
      <c r="B460" s="1" t="n">
        <v>44848</v>
      </c>
      <c r="C460" s="1" t="n">
        <v>45882</v>
      </c>
      <c r="D460" t="inlineStr">
        <is>
          <t>KALMAR LÄN</t>
        </is>
      </c>
      <c r="E460" t="inlineStr">
        <is>
          <t>VÄSTERVIK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46596-2022</t>
        </is>
      </c>
      <c r="B461" s="1" t="n">
        <v>44848.8315625</v>
      </c>
      <c r="C461" s="1" t="n">
        <v>45882</v>
      </c>
      <c r="D461" t="inlineStr">
        <is>
          <t>KALMAR LÄN</t>
        </is>
      </c>
      <c r="E461" t="inlineStr">
        <is>
          <t>VÄSTERVIK</t>
        </is>
      </c>
      <c r="G461" t="n">
        <v>3.9</v>
      </c>
      <c r="H461" t="n">
        <v>0</v>
      </c>
      <c r="I461" t="n">
        <v>0</v>
      </c>
      <c r="J461" t="n">
        <v>0</v>
      </c>
      <c r="K461" t="n">
        <v>0</v>
      </c>
      <c r="L461" t="n">
        <v>0</v>
      </c>
      <c r="M461" t="n">
        <v>0</v>
      </c>
      <c r="N461" t="n">
        <v>0</v>
      </c>
      <c r="O461" t="n">
        <v>0</v>
      </c>
      <c r="P461" t="n">
        <v>0</v>
      </c>
      <c r="Q461" t="n">
        <v>0</v>
      </c>
      <c r="R461" s="2" t="inlineStr"/>
    </row>
    <row r="462" ht="15" customHeight="1">
      <c r="A462" t="inlineStr">
        <is>
          <t>A 56046-2023</t>
        </is>
      </c>
      <c r="B462" s="1" t="n">
        <v>45240.45217592592</v>
      </c>
      <c r="C462" s="1" t="n">
        <v>45882</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17200-2021</t>
        </is>
      </c>
      <c r="B463" s="1" t="n">
        <v>44298.47847222222</v>
      </c>
      <c r="C463" s="1" t="n">
        <v>45882</v>
      </c>
      <c r="D463" t="inlineStr">
        <is>
          <t>KALMAR LÄN</t>
        </is>
      </c>
      <c r="E463" t="inlineStr">
        <is>
          <t>VÄSTERVIK</t>
        </is>
      </c>
      <c r="G463" t="n">
        <v>3.4</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45882</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61450-2023</t>
        </is>
      </c>
      <c r="B465" s="1" t="n">
        <v>45264.8162037037</v>
      </c>
      <c r="C465" s="1" t="n">
        <v>45882</v>
      </c>
      <c r="D465" t="inlineStr">
        <is>
          <t>KALMAR LÄN</t>
        </is>
      </c>
      <c r="E465" t="inlineStr">
        <is>
          <t>VÄSTERVIK</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33204-2022</t>
        </is>
      </c>
      <c r="B466" s="1" t="n">
        <v>44785</v>
      </c>
      <c r="C466" s="1" t="n">
        <v>45882</v>
      </c>
      <c r="D466" t="inlineStr">
        <is>
          <t>KALMAR LÄN</t>
        </is>
      </c>
      <c r="E466" t="inlineStr">
        <is>
          <t>VÄSTERVIK</t>
        </is>
      </c>
      <c r="G466" t="n">
        <v>0.9</v>
      </c>
      <c r="H466" t="n">
        <v>0</v>
      </c>
      <c r="I466" t="n">
        <v>0</v>
      </c>
      <c r="J466" t="n">
        <v>0</v>
      </c>
      <c r="K466" t="n">
        <v>0</v>
      </c>
      <c r="L466" t="n">
        <v>0</v>
      </c>
      <c r="M466" t="n">
        <v>0</v>
      </c>
      <c r="N466" t="n">
        <v>0</v>
      </c>
      <c r="O466" t="n">
        <v>0</v>
      </c>
      <c r="P466" t="n">
        <v>0</v>
      </c>
      <c r="Q466" t="n">
        <v>0</v>
      </c>
      <c r="R466" s="2" t="inlineStr"/>
    </row>
    <row r="467" ht="15" customHeight="1">
      <c r="A467" t="inlineStr">
        <is>
          <t>A 36906-2024</t>
        </is>
      </c>
      <c r="B467" s="1" t="n">
        <v>45538</v>
      </c>
      <c r="C467" s="1" t="n">
        <v>45882</v>
      </c>
      <c r="D467" t="inlineStr">
        <is>
          <t>KALMAR LÄN</t>
        </is>
      </c>
      <c r="E467" t="inlineStr">
        <is>
          <t>VÄSTERVIK</t>
        </is>
      </c>
      <c r="G467" t="n">
        <v>2</v>
      </c>
      <c r="H467" t="n">
        <v>0</v>
      </c>
      <c r="I467" t="n">
        <v>0</v>
      </c>
      <c r="J467" t="n">
        <v>0</v>
      </c>
      <c r="K467" t="n">
        <v>0</v>
      </c>
      <c r="L467" t="n">
        <v>0</v>
      </c>
      <c r="M467" t="n">
        <v>0</v>
      </c>
      <c r="N467" t="n">
        <v>0</v>
      </c>
      <c r="O467" t="n">
        <v>0</v>
      </c>
      <c r="P467" t="n">
        <v>0</v>
      </c>
      <c r="Q467" t="n">
        <v>0</v>
      </c>
      <c r="R467" s="2" t="inlineStr"/>
    </row>
    <row r="468" ht="15" customHeight="1">
      <c r="A468" t="inlineStr">
        <is>
          <t>A 8513-2023</t>
        </is>
      </c>
      <c r="B468" s="1" t="n">
        <v>44977.56759259259</v>
      </c>
      <c r="C468" s="1" t="n">
        <v>45882</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34420-2024</t>
        </is>
      </c>
      <c r="B469" s="1" t="n">
        <v>45525.49710648148</v>
      </c>
      <c r="C469" s="1" t="n">
        <v>45882</v>
      </c>
      <c r="D469" t="inlineStr">
        <is>
          <t>KALMAR LÄN</t>
        </is>
      </c>
      <c r="E469" t="inlineStr">
        <is>
          <t>VÄSTERVIK</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14385-2023</t>
        </is>
      </c>
      <c r="B470" s="1" t="n">
        <v>45012</v>
      </c>
      <c r="C470" s="1" t="n">
        <v>45882</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9263-2025</t>
        </is>
      </c>
      <c r="B471" s="1" t="n">
        <v>45714.60927083333</v>
      </c>
      <c r="C471" s="1" t="n">
        <v>45882</v>
      </c>
      <c r="D471" t="inlineStr">
        <is>
          <t>KALMAR LÄN</t>
        </is>
      </c>
      <c r="E471" t="inlineStr">
        <is>
          <t>VÄSTERVIK</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19551-2023</t>
        </is>
      </c>
      <c r="B472" s="1" t="n">
        <v>45049</v>
      </c>
      <c r="C472" s="1" t="n">
        <v>45882</v>
      </c>
      <c r="D472" t="inlineStr">
        <is>
          <t>KALMAR LÄN</t>
        </is>
      </c>
      <c r="E472" t="inlineStr">
        <is>
          <t>VÄSTERVIK</t>
        </is>
      </c>
      <c r="G472" t="n">
        <v>3.2</v>
      </c>
      <c r="H472" t="n">
        <v>0</v>
      </c>
      <c r="I472" t="n">
        <v>0</v>
      </c>
      <c r="J472" t="n">
        <v>0</v>
      </c>
      <c r="K472" t="n">
        <v>0</v>
      </c>
      <c r="L472" t="n">
        <v>0</v>
      </c>
      <c r="M472" t="n">
        <v>0</v>
      </c>
      <c r="N472" t="n">
        <v>0</v>
      </c>
      <c r="O472" t="n">
        <v>0</v>
      </c>
      <c r="P472" t="n">
        <v>0</v>
      </c>
      <c r="Q472" t="n">
        <v>0</v>
      </c>
      <c r="R472" s="2" t="inlineStr"/>
    </row>
    <row r="473" ht="15" customHeight="1">
      <c r="A473" t="inlineStr">
        <is>
          <t>A 9042-2023</t>
        </is>
      </c>
      <c r="B473" s="1" t="n">
        <v>44979</v>
      </c>
      <c r="C473" s="1" t="n">
        <v>45882</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15765-2023</t>
        </is>
      </c>
      <c r="B474" s="1" t="n">
        <v>45021</v>
      </c>
      <c r="C474" s="1" t="n">
        <v>45882</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51883-2021</t>
        </is>
      </c>
      <c r="B475" s="1" t="n">
        <v>44462.80449074074</v>
      </c>
      <c r="C475" s="1" t="n">
        <v>45882</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51884-2021</t>
        </is>
      </c>
      <c r="B476" s="1" t="n">
        <v>44462.806875</v>
      </c>
      <c r="C476" s="1" t="n">
        <v>45882</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59202-2022</t>
        </is>
      </c>
      <c r="B477" s="1" t="n">
        <v>44904</v>
      </c>
      <c r="C477" s="1" t="n">
        <v>45882</v>
      </c>
      <c r="D477" t="inlineStr">
        <is>
          <t>KALMAR LÄN</t>
        </is>
      </c>
      <c r="E477" t="inlineStr">
        <is>
          <t>VÄSTERVIK</t>
        </is>
      </c>
      <c r="G477" t="n">
        <v>1.5</v>
      </c>
      <c r="H477" t="n">
        <v>0</v>
      </c>
      <c r="I477" t="n">
        <v>0</v>
      </c>
      <c r="J477" t="n">
        <v>0</v>
      </c>
      <c r="K477" t="n">
        <v>0</v>
      </c>
      <c r="L477" t="n">
        <v>0</v>
      </c>
      <c r="M477" t="n">
        <v>0</v>
      </c>
      <c r="N477" t="n">
        <v>0</v>
      </c>
      <c r="O477" t="n">
        <v>0</v>
      </c>
      <c r="P477" t="n">
        <v>0</v>
      </c>
      <c r="Q477" t="n">
        <v>0</v>
      </c>
      <c r="R477" s="2" t="inlineStr"/>
    </row>
    <row r="478" ht="15" customHeight="1">
      <c r="A478" t="inlineStr">
        <is>
          <t>A 33210-2022</t>
        </is>
      </c>
      <c r="B478" s="1" t="n">
        <v>44785.74811342593</v>
      </c>
      <c r="C478" s="1" t="n">
        <v>45882</v>
      </c>
      <c r="D478" t="inlineStr">
        <is>
          <t>KALMAR LÄN</t>
        </is>
      </c>
      <c r="E478" t="inlineStr">
        <is>
          <t>VÄSTERVIK</t>
        </is>
      </c>
      <c r="G478" t="n">
        <v>3.2</v>
      </c>
      <c r="H478" t="n">
        <v>0</v>
      </c>
      <c r="I478" t="n">
        <v>0</v>
      </c>
      <c r="J478" t="n">
        <v>0</v>
      </c>
      <c r="K478" t="n">
        <v>0</v>
      </c>
      <c r="L478" t="n">
        <v>0</v>
      </c>
      <c r="M478" t="n">
        <v>0</v>
      </c>
      <c r="N478" t="n">
        <v>0</v>
      </c>
      <c r="O478" t="n">
        <v>0</v>
      </c>
      <c r="P478" t="n">
        <v>0</v>
      </c>
      <c r="Q478" t="n">
        <v>0</v>
      </c>
      <c r="R478" s="2" t="inlineStr"/>
    </row>
    <row r="479" ht="15" customHeight="1">
      <c r="A479" t="inlineStr">
        <is>
          <t>A 16834-2023</t>
        </is>
      </c>
      <c r="B479" s="1" t="n">
        <v>45033</v>
      </c>
      <c r="C479" s="1" t="n">
        <v>45882</v>
      </c>
      <c r="D479" t="inlineStr">
        <is>
          <t>KALMAR LÄN</t>
        </is>
      </c>
      <c r="E479" t="inlineStr">
        <is>
          <t>VÄSTERVIK</t>
        </is>
      </c>
      <c r="G479" t="n">
        <v>1.4</v>
      </c>
      <c r="H479" t="n">
        <v>0</v>
      </c>
      <c r="I479" t="n">
        <v>0</v>
      </c>
      <c r="J479" t="n">
        <v>0</v>
      </c>
      <c r="K479" t="n">
        <v>0</v>
      </c>
      <c r="L479" t="n">
        <v>0</v>
      </c>
      <c r="M479" t="n">
        <v>0</v>
      </c>
      <c r="N479" t="n">
        <v>0</v>
      </c>
      <c r="O479" t="n">
        <v>0</v>
      </c>
      <c r="P479" t="n">
        <v>0</v>
      </c>
      <c r="Q479" t="n">
        <v>0</v>
      </c>
      <c r="R479" s="2" t="inlineStr"/>
    </row>
    <row r="480" ht="15" customHeight="1">
      <c r="A480" t="inlineStr">
        <is>
          <t>A 352-2023</t>
        </is>
      </c>
      <c r="B480" s="1" t="n">
        <v>44929.51619212963</v>
      </c>
      <c r="C480" s="1" t="n">
        <v>45882</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63890-2023</t>
        </is>
      </c>
      <c r="B481" s="1" t="n">
        <v>45278</v>
      </c>
      <c r="C481" s="1" t="n">
        <v>45882</v>
      </c>
      <c r="D481" t="inlineStr">
        <is>
          <t>KALMAR LÄN</t>
        </is>
      </c>
      <c r="E481" t="inlineStr">
        <is>
          <t>VÄSTERVIK</t>
        </is>
      </c>
      <c r="G481" t="n">
        <v>2.3</v>
      </c>
      <c r="H481" t="n">
        <v>0</v>
      </c>
      <c r="I481" t="n">
        <v>0</v>
      </c>
      <c r="J481" t="n">
        <v>0</v>
      </c>
      <c r="K481" t="n">
        <v>0</v>
      </c>
      <c r="L481" t="n">
        <v>0</v>
      </c>
      <c r="M481" t="n">
        <v>0</v>
      </c>
      <c r="N481" t="n">
        <v>0</v>
      </c>
      <c r="O481" t="n">
        <v>0</v>
      </c>
      <c r="P481" t="n">
        <v>0</v>
      </c>
      <c r="Q481" t="n">
        <v>0</v>
      </c>
      <c r="R481" s="2" t="inlineStr"/>
    </row>
    <row r="482" ht="15" customHeight="1">
      <c r="A482" t="inlineStr">
        <is>
          <t>A 14105-2025</t>
        </is>
      </c>
      <c r="B482" s="1" t="n">
        <v>45740.45425925926</v>
      </c>
      <c r="C482" s="1" t="n">
        <v>45882</v>
      </c>
      <c r="D482" t="inlineStr">
        <is>
          <t>KALMAR LÄN</t>
        </is>
      </c>
      <c r="E482" t="inlineStr">
        <is>
          <t>VÄSTERVIK</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14109-2025</t>
        </is>
      </c>
      <c r="B483" s="1" t="n">
        <v>45740.45748842593</v>
      </c>
      <c r="C483" s="1" t="n">
        <v>45882</v>
      </c>
      <c r="D483" t="inlineStr">
        <is>
          <t>KALMAR LÄN</t>
        </is>
      </c>
      <c r="E483" t="inlineStr">
        <is>
          <t>VÄSTERVIK</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25238-2021</t>
        </is>
      </c>
      <c r="B484" s="1" t="n">
        <v>44342</v>
      </c>
      <c r="C484" s="1" t="n">
        <v>45882</v>
      </c>
      <c r="D484" t="inlineStr">
        <is>
          <t>KALMAR LÄN</t>
        </is>
      </c>
      <c r="E484" t="inlineStr">
        <is>
          <t>VÄSTERVIK</t>
        </is>
      </c>
      <c r="G484" t="n">
        <v>1</v>
      </c>
      <c r="H484" t="n">
        <v>0</v>
      </c>
      <c r="I484" t="n">
        <v>0</v>
      </c>
      <c r="J484" t="n">
        <v>0</v>
      </c>
      <c r="K484" t="n">
        <v>0</v>
      </c>
      <c r="L484" t="n">
        <v>0</v>
      </c>
      <c r="M484" t="n">
        <v>0</v>
      </c>
      <c r="N484" t="n">
        <v>0</v>
      </c>
      <c r="O484" t="n">
        <v>0</v>
      </c>
      <c r="P484" t="n">
        <v>0</v>
      </c>
      <c r="Q484" t="n">
        <v>0</v>
      </c>
      <c r="R484" s="2" t="inlineStr"/>
    </row>
    <row r="485" ht="15" customHeight="1">
      <c r="A485" t="inlineStr">
        <is>
          <t>A 36400-2024</t>
        </is>
      </c>
      <c r="B485" s="1" t="n">
        <v>45535.67180555555</v>
      </c>
      <c r="C485" s="1" t="n">
        <v>45882</v>
      </c>
      <c r="D485" t="inlineStr">
        <is>
          <t>KALMAR LÄN</t>
        </is>
      </c>
      <c r="E485" t="inlineStr">
        <is>
          <t>VÄSTERVIK</t>
        </is>
      </c>
      <c r="G485" t="n">
        <v>1.7</v>
      </c>
      <c r="H485" t="n">
        <v>0</v>
      </c>
      <c r="I485" t="n">
        <v>0</v>
      </c>
      <c r="J485" t="n">
        <v>0</v>
      </c>
      <c r="K485" t="n">
        <v>0</v>
      </c>
      <c r="L485" t="n">
        <v>0</v>
      </c>
      <c r="M485" t="n">
        <v>0</v>
      </c>
      <c r="N485" t="n">
        <v>0</v>
      </c>
      <c r="O485" t="n">
        <v>0</v>
      </c>
      <c r="P485" t="n">
        <v>0</v>
      </c>
      <c r="Q485" t="n">
        <v>0</v>
      </c>
      <c r="R485" s="2" t="inlineStr"/>
    </row>
    <row r="486" ht="15" customHeight="1">
      <c r="A486" t="inlineStr">
        <is>
          <t>A 2866-2025</t>
        </is>
      </c>
      <c r="B486" s="1" t="n">
        <v>45677.67711805556</v>
      </c>
      <c r="C486" s="1" t="n">
        <v>45882</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63812-2021</t>
        </is>
      </c>
      <c r="B487" s="1" t="n">
        <v>44509.56346064815</v>
      </c>
      <c r="C487" s="1" t="n">
        <v>45882</v>
      </c>
      <c r="D487" t="inlineStr">
        <is>
          <t>KALMAR LÄN</t>
        </is>
      </c>
      <c r="E487" t="inlineStr">
        <is>
          <t>VÄSTERVIK</t>
        </is>
      </c>
      <c r="G487" t="n">
        <v>2.1</v>
      </c>
      <c r="H487" t="n">
        <v>0</v>
      </c>
      <c r="I487" t="n">
        <v>0</v>
      </c>
      <c r="J487" t="n">
        <v>0</v>
      </c>
      <c r="K487" t="n">
        <v>0</v>
      </c>
      <c r="L487" t="n">
        <v>0</v>
      </c>
      <c r="M487" t="n">
        <v>0</v>
      </c>
      <c r="N487" t="n">
        <v>0</v>
      </c>
      <c r="O487" t="n">
        <v>0</v>
      </c>
      <c r="P487" t="n">
        <v>0</v>
      </c>
      <c r="Q487" t="n">
        <v>0</v>
      </c>
      <c r="R487" s="2" t="inlineStr"/>
    </row>
    <row r="488" ht="15" customHeight="1">
      <c r="A488" t="inlineStr">
        <is>
          <t>A 12386-2025</t>
        </is>
      </c>
      <c r="B488" s="1" t="n">
        <v>45730</v>
      </c>
      <c r="C488" s="1" t="n">
        <v>45882</v>
      </c>
      <c r="D488" t="inlineStr">
        <is>
          <t>KALMAR LÄN</t>
        </is>
      </c>
      <c r="E488" t="inlineStr">
        <is>
          <t>VÄSTERVIK</t>
        </is>
      </c>
      <c r="G488" t="n">
        <v>4.4</v>
      </c>
      <c r="H488" t="n">
        <v>0</v>
      </c>
      <c r="I488" t="n">
        <v>0</v>
      </c>
      <c r="J488" t="n">
        <v>0</v>
      </c>
      <c r="K488" t="n">
        <v>0</v>
      </c>
      <c r="L488" t="n">
        <v>0</v>
      </c>
      <c r="M488" t="n">
        <v>0</v>
      </c>
      <c r="N488" t="n">
        <v>0</v>
      </c>
      <c r="O488" t="n">
        <v>0</v>
      </c>
      <c r="P488" t="n">
        <v>0</v>
      </c>
      <c r="Q488" t="n">
        <v>0</v>
      </c>
      <c r="R488" s="2" t="inlineStr"/>
    </row>
    <row r="489" ht="15" customHeight="1">
      <c r="A489" t="inlineStr">
        <is>
          <t>A 5234-2024</t>
        </is>
      </c>
      <c r="B489" s="1" t="n">
        <v>45330.80729166666</v>
      </c>
      <c r="C489" s="1" t="n">
        <v>45882</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15444-2025</t>
        </is>
      </c>
      <c r="B490" s="1" t="n">
        <v>45747.48377314815</v>
      </c>
      <c r="C490" s="1" t="n">
        <v>45882</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48446-2024</t>
        </is>
      </c>
      <c r="B491" s="1" t="n">
        <v>45590.69163194444</v>
      </c>
      <c r="C491" s="1" t="n">
        <v>45882</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60634-2023</t>
        </is>
      </c>
      <c r="B492" s="1" t="n">
        <v>45260.40186342593</v>
      </c>
      <c r="C492" s="1" t="n">
        <v>45882</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10771-2025</t>
        </is>
      </c>
      <c r="B493" s="1" t="n">
        <v>45722.46953703704</v>
      </c>
      <c r="C493" s="1" t="n">
        <v>45882</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14072-2025</t>
        </is>
      </c>
      <c r="B494" s="1" t="n">
        <v>45740.42978009259</v>
      </c>
      <c r="C494" s="1" t="n">
        <v>45882</v>
      </c>
      <c r="D494" t="inlineStr">
        <is>
          <t>KALMAR LÄN</t>
        </is>
      </c>
      <c r="E494" t="inlineStr">
        <is>
          <t>VÄSTERVIK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14075-2025</t>
        </is>
      </c>
      <c r="B495" s="1" t="n">
        <v>45740.43222222223</v>
      </c>
      <c r="C495" s="1" t="n">
        <v>45882</v>
      </c>
      <c r="D495" t="inlineStr">
        <is>
          <t>KALMAR LÄN</t>
        </is>
      </c>
      <c r="E495" t="inlineStr">
        <is>
          <t>VÄSTERVIK</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38174-2023</t>
        </is>
      </c>
      <c r="B496" s="1" t="n">
        <v>45161</v>
      </c>
      <c r="C496" s="1" t="n">
        <v>45882</v>
      </c>
      <c r="D496" t="inlineStr">
        <is>
          <t>KALMAR LÄN</t>
        </is>
      </c>
      <c r="E496" t="inlineStr">
        <is>
          <t>VÄSTERVIK</t>
        </is>
      </c>
      <c r="G496" t="n">
        <v>3.4</v>
      </c>
      <c r="H496" t="n">
        <v>0</v>
      </c>
      <c r="I496" t="n">
        <v>0</v>
      </c>
      <c r="J496" t="n">
        <v>0</v>
      </c>
      <c r="K496" t="n">
        <v>0</v>
      </c>
      <c r="L496" t="n">
        <v>0</v>
      </c>
      <c r="M496" t="n">
        <v>0</v>
      </c>
      <c r="N496" t="n">
        <v>0</v>
      </c>
      <c r="O496" t="n">
        <v>0</v>
      </c>
      <c r="P496" t="n">
        <v>0</v>
      </c>
      <c r="Q496" t="n">
        <v>0</v>
      </c>
      <c r="R496" s="2" t="inlineStr"/>
    </row>
    <row r="497" ht="15" customHeight="1">
      <c r="A497" t="inlineStr">
        <is>
          <t>A 49452-2023</t>
        </is>
      </c>
      <c r="B497" s="1" t="n">
        <v>45211.49424768519</v>
      </c>
      <c r="C497" s="1" t="n">
        <v>45882</v>
      </c>
      <c r="D497" t="inlineStr">
        <is>
          <t>KALMAR LÄN</t>
        </is>
      </c>
      <c r="E497" t="inlineStr">
        <is>
          <t>VÄSTERVIK</t>
        </is>
      </c>
      <c r="F497" t="inlineStr">
        <is>
          <t>Övriga Aktiebolag</t>
        </is>
      </c>
      <c r="G497" t="n">
        <v>2.2</v>
      </c>
      <c r="H497" t="n">
        <v>0</v>
      </c>
      <c r="I497" t="n">
        <v>0</v>
      </c>
      <c r="J497" t="n">
        <v>0</v>
      </c>
      <c r="K497" t="n">
        <v>0</v>
      </c>
      <c r="L497" t="n">
        <v>0</v>
      </c>
      <c r="M497" t="n">
        <v>0</v>
      </c>
      <c r="N497" t="n">
        <v>0</v>
      </c>
      <c r="O497" t="n">
        <v>0</v>
      </c>
      <c r="P497" t="n">
        <v>0</v>
      </c>
      <c r="Q497" t="n">
        <v>0</v>
      </c>
      <c r="R497" s="2" t="inlineStr"/>
    </row>
    <row r="498" ht="15" customHeight="1">
      <c r="A498" t="inlineStr">
        <is>
          <t>A 49507-2023</t>
        </is>
      </c>
      <c r="B498" s="1" t="n">
        <v>45211.5790625</v>
      </c>
      <c r="C498" s="1" t="n">
        <v>45882</v>
      </c>
      <c r="D498" t="inlineStr">
        <is>
          <t>KALMAR LÄN</t>
        </is>
      </c>
      <c r="E498" t="inlineStr">
        <is>
          <t>VÄSTERVIK</t>
        </is>
      </c>
      <c r="F498" t="inlineStr">
        <is>
          <t>Övriga Aktiebolag</t>
        </is>
      </c>
      <c r="G498" t="n">
        <v>1</v>
      </c>
      <c r="H498" t="n">
        <v>0</v>
      </c>
      <c r="I498" t="n">
        <v>0</v>
      </c>
      <c r="J498" t="n">
        <v>0</v>
      </c>
      <c r="K498" t="n">
        <v>0</v>
      </c>
      <c r="L498" t="n">
        <v>0</v>
      </c>
      <c r="M498" t="n">
        <v>0</v>
      </c>
      <c r="N498" t="n">
        <v>0</v>
      </c>
      <c r="O498" t="n">
        <v>0</v>
      </c>
      <c r="P498" t="n">
        <v>0</v>
      </c>
      <c r="Q498" t="n">
        <v>0</v>
      </c>
      <c r="R498" s="2" t="inlineStr"/>
    </row>
    <row r="499" ht="15" customHeight="1">
      <c r="A499" t="inlineStr">
        <is>
          <t>A 69753-2021</t>
        </is>
      </c>
      <c r="B499" s="1" t="n">
        <v>44532.56175925926</v>
      </c>
      <c r="C499" s="1" t="n">
        <v>45882</v>
      </c>
      <c r="D499" t="inlineStr">
        <is>
          <t>KALMAR LÄN</t>
        </is>
      </c>
      <c r="E499" t="inlineStr">
        <is>
          <t>VÄSTERVIK</t>
        </is>
      </c>
      <c r="G499" t="n">
        <v>3.2</v>
      </c>
      <c r="H499" t="n">
        <v>0</v>
      </c>
      <c r="I499" t="n">
        <v>0</v>
      </c>
      <c r="J499" t="n">
        <v>0</v>
      </c>
      <c r="K499" t="n">
        <v>0</v>
      </c>
      <c r="L499" t="n">
        <v>0</v>
      </c>
      <c r="M499" t="n">
        <v>0</v>
      </c>
      <c r="N499" t="n">
        <v>0</v>
      </c>
      <c r="O499" t="n">
        <v>0</v>
      </c>
      <c r="P499" t="n">
        <v>0</v>
      </c>
      <c r="Q499" t="n">
        <v>0</v>
      </c>
      <c r="R499" s="2" t="inlineStr"/>
    </row>
    <row r="500" ht="15" customHeight="1">
      <c r="A500" t="inlineStr">
        <is>
          <t>A 31592-2021</t>
        </is>
      </c>
      <c r="B500" s="1" t="n">
        <v>44369.56576388889</v>
      </c>
      <c r="C500" s="1" t="n">
        <v>45882</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3190-2023</t>
        </is>
      </c>
      <c r="B501" s="1" t="n">
        <v>44946.61086805556</v>
      </c>
      <c r="C501" s="1" t="n">
        <v>45882</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17214-2024</t>
        </is>
      </c>
      <c r="B502" s="1" t="n">
        <v>45414</v>
      </c>
      <c r="C502" s="1" t="n">
        <v>45882</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18884-2025</t>
        </is>
      </c>
      <c r="B503" s="1" t="n">
        <v>45764.4417824074</v>
      </c>
      <c r="C503" s="1" t="n">
        <v>45882</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55050-2024</t>
        </is>
      </c>
      <c r="B504" s="1" t="n">
        <v>45621.39759259259</v>
      </c>
      <c r="C504" s="1" t="n">
        <v>45882</v>
      </c>
      <c r="D504" t="inlineStr">
        <is>
          <t>KALMAR LÄN</t>
        </is>
      </c>
      <c r="E504" t="inlineStr">
        <is>
          <t>VÄSTERVIK</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2543-2024</t>
        </is>
      </c>
      <c r="B505" s="1" t="n">
        <v>45313</v>
      </c>
      <c r="C505" s="1" t="n">
        <v>45882</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15097-2023</t>
        </is>
      </c>
      <c r="B506" s="1" t="n">
        <v>45016</v>
      </c>
      <c r="C506" s="1" t="n">
        <v>45882</v>
      </c>
      <c r="D506" t="inlineStr">
        <is>
          <t>KALMAR LÄN</t>
        </is>
      </c>
      <c r="E506" t="inlineStr">
        <is>
          <t>VÄSTERVIK</t>
        </is>
      </c>
      <c r="G506" t="n">
        <v>5.9</v>
      </c>
      <c r="H506" t="n">
        <v>0</v>
      </c>
      <c r="I506" t="n">
        <v>0</v>
      </c>
      <c r="J506" t="n">
        <v>0</v>
      </c>
      <c r="K506" t="n">
        <v>0</v>
      </c>
      <c r="L506" t="n">
        <v>0</v>
      </c>
      <c r="M506" t="n">
        <v>0</v>
      </c>
      <c r="N506" t="n">
        <v>0</v>
      </c>
      <c r="O506" t="n">
        <v>0</v>
      </c>
      <c r="P506" t="n">
        <v>0</v>
      </c>
      <c r="Q506" t="n">
        <v>0</v>
      </c>
      <c r="R506" s="2" t="inlineStr"/>
    </row>
    <row r="507" ht="15" customHeight="1">
      <c r="A507" t="inlineStr">
        <is>
          <t>A 10774-2025</t>
        </is>
      </c>
      <c r="B507" s="1" t="n">
        <v>45722.47424768518</v>
      </c>
      <c r="C507" s="1" t="n">
        <v>45882</v>
      </c>
      <c r="D507" t="inlineStr">
        <is>
          <t>KALMAR LÄN</t>
        </is>
      </c>
      <c r="E507" t="inlineStr">
        <is>
          <t>VÄSTERVIK</t>
        </is>
      </c>
      <c r="G507" t="n">
        <v>0.6</v>
      </c>
      <c r="H507" t="n">
        <v>0</v>
      </c>
      <c r="I507" t="n">
        <v>0</v>
      </c>
      <c r="J507" t="n">
        <v>0</v>
      </c>
      <c r="K507" t="n">
        <v>0</v>
      </c>
      <c r="L507" t="n">
        <v>0</v>
      </c>
      <c r="M507" t="n">
        <v>0</v>
      </c>
      <c r="N507" t="n">
        <v>0</v>
      </c>
      <c r="O507" t="n">
        <v>0</v>
      </c>
      <c r="P507" t="n">
        <v>0</v>
      </c>
      <c r="Q507" t="n">
        <v>0</v>
      </c>
      <c r="R507" s="2" t="inlineStr"/>
    </row>
    <row r="508" ht="15" customHeight="1">
      <c r="A508" t="inlineStr">
        <is>
          <t>A 56077-2024</t>
        </is>
      </c>
      <c r="B508" s="1" t="n">
        <v>45624.38690972222</v>
      </c>
      <c r="C508" s="1" t="n">
        <v>45882</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60147-2024</t>
        </is>
      </c>
      <c r="B509" s="1" t="n">
        <v>45642.61109953704</v>
      </c>
      <c r="C509" s="1" t="n">
        <v>45882</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60685-2024</t>
        </is>
      </c>
      <c r="B510" s="1" t="n">
        <v>45644.46804398148</v>
      </c>
      <c r="C510" s="1" t="n">
        <v>45882</v>
      </c>
      <c r="D510" t="inlineStr">
        <is>
          <t>KALMAR LÄN</t>
        </is>
      </c>
      <c r="E510" t="inlineStr">
        <is>
          <t>VÄSTERVIK</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29952-2022</t>
        </is>
      </c>
      <c r="B511" s="1" t="n">
        <v>44756.62649305556</v>
      </c>
      <c r="C511" s="1" t="n">
        <v>45882</v>
      </c>
      <c r="D511" t="inlineStr">
        <is>
          <t>KALMAR LÄN</t>
        </is>
      </c>
      <c r="E511" t="inlineStr">
        <is>
          <t>VÄSTERVIK</t>
        </is>
      </c>
      <c r="G511" t="n">
        <v>1.9</v>
      </c>
      <c r="H511" t="n">
        <v>0</v>
      </c>
      <c r="I511" t="n">
        <v>0</v>
      </c>
      <c r="J511" t="n">
        <v>0</v>
      </c>
      <c r="K511" t="n">
        <v>0</v>
      </c>
      <c r="L511" t="n">
        <v>0</v>
      </c>
      <c r="M511" t="n">
        <v>0</v>
      </c>
      <c r="N511" t="n">
        <v>0</v>
      </c>
      <c r="O511" t="n">
        <v>0</v>
      </c>
      <c r="P511" t="n">
        <v>0</v>
      </c>
      <c r="Q511" t="n">
        <v>0</v>
      </c>
      <c r="R511" s="2" t="inlineStr"/>
    </row>
    <row r="512" ht="15" customHeight="1">
      <c r="A512" t="inlineStr">
        <is>
          <t>A 22740-2024</t>
        </is>
      </c>
      <c r="B512" s="1" t="n">
        <v>45448.39869212963</v>
      </c>
      <c r="C512" s="1" t="n">
        <v>45882</v>
      </c>
      <c r="D512" t="inlineStr">
        <is>
          <t>KALMAR LÄN</t>
        </is>
      </c>
      <c r="E512" t="inlineStr">
        <is>
          <t>VÄSTERVIK</t>
        </is>
      </c>
      <c r="F512" t="inlineStr">
        <is>
          <t>Holmen skog AB</t>
        </is>
      </c>
      <c r="G512" t="n">
        <v>2.5</v>
      </c>
      <c r="H512" t="n">
        <v>0</v>
      </c>
      <c r="I512" t="n">
        <v>0</v>
      </c>
      <c r="J512" t="n">
        <v>0</v>
      </c>
      <c r="K512" t="n">
        <v>0</v>
      </c>
      <c r="L512" t="n">
        <v>0</v>
      </c>
      <c r="M512" t="n">
        <v>0</v>
      </c>
      <c r="N512" t="n">
        <v>0</v>
      </c>
      <c r="O512" t="n">
        <v>0</v>
      </c>
      <c r="P512" t="n">
        <v>0</v>
      </c>
      <c r="Q512" t="n">
        <v>0</v>
      </c>
      <c r="R512" s="2" t="inlineStr"/>
    </row>
    <row r="513" ht="15" customHeight="1">
      <c r="A513" t="inlineStr">
        <is>
          <t>A 9220-2023</t>
        </is>
      </c>
      <c r="B513" s="1" t="n">
        <v>44980.52182870371</v>
      </c>
      <c r="C513" s="1" t="n">
        <v>45882</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52155-2021</t>
        </is>
      </c>
      <c r="B514" s="1" t="n">
        <v>44463</v>
      </c>
      <c r="C514" s="1" t="n">
        <v>45882</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1874-2025</t>
        </is>
      </c>
      <c r="B515" s="1" t="n">
        <v>45671.61953703704</v>
      </c>
      <c r="C515" s="1" t="n">
        <v>45882</v>
      </c>
      <c r="D515" t="inlineStr">
        <is>
          <t>KALMAR LÄN</t>
        </is>
      </c>
      <c r="E515" t="inlineStr">
        <is>
          <t>VÄSTERVIK</t>
        </is>
      </c>
      <c r="G515" t="n">
        <v>1</v>
      </c>
      <c r="H515" t="n">
        <v>0</v>
      </c>
      <c r="I515" t="n">
        <v>0</v>
      </c>
      <c r="J515" t="n">
        <v>0</v>
      </c>
      <c r="K515" t="n">
        <v>0</v>
      </c>
      <c r="L515" t="n">
        <v>0</v>
      </c>
      <c r="M515" t="n">
        <v>0</v>
      </c>
      <c r="N515" t="n">
        <v>0</v>
      </c>
      <c r="O515" t="n">
        <v>0</v>
      </c>
      <c r="P515" t="n">
        <v>0</v>
      </c>
      <c r="Q515" t="n">
        <v>0</v>
      </c>
      <c r="R515" s="2" t="inlineStr"/>
    </row>
    <row r="516" ht="15" customHeight="1">
      <c r="A516" t="inlineStr">
        <is>
          <t>A 4463-2022</t>
        </is>
      </c>
      <c r="B516" s="1" t="n">
        <v>44589</v>
      </c>
      <c r="C516" s="1" t="n">
        <v>45882</v>
      </c>
      <c r="D516" t="inlineStr">
        <is>
          <t>KALMAR LÄN</t>
        </is>
      </c>
      <c r="E516" t="inlineStr">
        <is>
          <t>VÄSTERVIK</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39983-2024</t>
        </is>
      </c>
      <c r="B517" s="1" t="n">
        <v>45553.61674768518</v>
      </c>
      <c r="C517" s="1" t="n">
        <v>45882</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11741-2023</t>
        </is>
      </c>
      <c r="B518" s="1" t="n">
        <v>44994.58689814815</v>
      </c>
      <c r="C518" s="1" t="n">
        <v>45882</v>
      </c>
      <c r="D518" t="inlineStr">
        <is>
          <t>KALMAR LÄN</t>
        </is>
      </c>
      <c r="E518" t="inlineStr">
        <is>
          <t>VÄSTERVIK</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46790-2022</t>
        </is>
      </c>
      <c r="B519" s="1" t="n">
        <v>44851</v>
      </c>
      <c r="C519" s="1" t="n">
        <v>45882</v>
      </c>
      <c r="D519" t="inlineStr">
        <is>
          <t>KALMAR LÄN</t>
        </is>
      </c>
      <c r="E519" t="inlineStr">
        <is>
          <t>VÄSTERVIK</t>
        </is>
      </c>
      <c r="G519" t="n">
        <v>9.9</v>
      </c>
      <c r="H519" t="n">
        <v>0</v>
      </c>
      <c r="I519" t="n">
        <v>0</v>
      </c>
      <c r="J519" t="n">
        <v>0</v>
      </c>
      <c r="K519" t="n">
        <v>0</v>
      </c>
      <c r="L519" t="n">
        <v>0</v>
      </c>
      <c r="M519" t="n">
        <v>0</v>
      </c>
      <c r="N519" t="n">
        <v>0</v>
      </c>
      <c r="O519" t="n">
        <v>0</v>
      </c>
      <c r="P519" t="n">
        <v>0</v>
      </c>
      <c r="Q519" t="n">
        <v>0</v>
      </c>
      <c r="R519" s="2" t="inlineStr"/>
    </row>
    <row r="520" ht="15" customHeight="1">
      <c r="A520" t="inlineStr">
        <is>
          <t>A 5060-2025</t>
        </is>
      </c>
      <c r="B520" s="1" t="n">
        <v>45691.47354166667</v>
      </c>
      <c r="C520" s="1" t="n">
        <v>45882</v>
      </c>
      <c r="D520" t="inlineStr">
        <is>
          <t>KALMAR LÄN</t>
        </is>
      </c>
      <c r="E520" t="inlineStr">
        <is>
          <t>VÄSTERVIK</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12455-2025</t>
        </is>
      </c>
      <c r="B521" s="1" t="n">
        <v>45730</v>
      </c>
      <c r="C521" s="1" t="n">
        <v>45882</v>
      </c>
      <c r="D521" t="inlineStr">
        <is>
          <t>KALMAR LÄN</t>
        </is>
      </c>
      <c r="E521" t="inlineStr">
        <is>
          <t>VÄSTERVIK</t>
        </is>
      </c>
      <c r="G521" t="n">
        <v>1.1</v>
      </c>
      <c r="H521" t="n">
        <v>0</v>
      </c>
      <c r="I521" t="n">
        <v>0</v>
      </c>
      <c r="J521" t="n">
        <v>0</v>
      </c>
      <c r="K521" t="n">
        <v>0</v>
      </c>
      <c r="L521" t="n">
        <v>0</v>
      </c>
      <c r="M521" t="n">
        <v>0</v>
      </c>
      <c r="N521" t="n">
        <v>0</v>
      </c>
      <c r="O521" t="n">
        <v>0</v>
      </c>
      <c r="P521" t="n">
        <v>0</v>
      </c>
      <c r="Q521" t="n">
        <v>0</v>
      </c>
      <c r="R521" s="2" t="inlineStr"/>
    </row>
    <row r="522" ht="15" customHeight="1">
      <c r="A522" t="inlineStr">
        <is>
          <t>A 32764-2022</t>
        </is>
      </c>
      <c r="B522" s="1" t="n">
        <v>44783</v>
      </c>
      <c r="C522" s="1" t="n">
        <v>45882</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50086-2023</t>
        </is>
      </c>
      <c r="B523" s="1" t="n">
        <v>45215.59601851852</v>
      </c>
      <c r="C523" s="1" t="n">
        <v>45882</v>
      </c>
      <c r="D523" t="inlineStr">
        <is>
          <t>KALMAR LÄN</t>
        </is>
      </c>
      <c r="E523" t="inlineStr">
        <is>
          <t>VÄSTERVIK</t>
        </is>
      </c>
      <c r="G523" t="n">
        <v>1.4</v>
      </c>
      <c r="H523" t="n">
        <v>0</v>
      </c>
      <c r="I523" t="n">
        <v>0</v>
      </c>
      <c r="J523" t="n">
        <v>0</v>
      </c>
      <c r="K523" t="n">
        <v>0</v>
      </c>
      <c r="L523" t="n">
        <v>0</v>
      </c>
      <c r="M523" t="n">
        <v>0</v>
      </c>
      <c r="N523" t="n">
        <v>0</v>
      </c>
      <c r="O523" t="n">
        <v>0</v>
      </c>
      <c r="P523" t="n">
        <v>0</v>
      </c>
      <c r="Q523" t="n">
        <v>0</v>
      </c>
      <c r="R523" s="2" t="inlineStr"/>
    </row>
    <row r="524" ht="15" customHeight="1">
      <c r="A524" t="inlineStr">
        <is>
          <t>A 55828-2022</t>
        </is>
      </c>
      <c r="B524" s="1" t="n">
        <v>44888</v>
      </c>
      <c r="C524" s="1" t="n">
        <v>45882</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25403-2023</t>
        </is>
      </c>
      <c r="B525" s="1" t="n">
        <v>45079</v>
      </c>
      <c r="C525" s="1" t="n">
        <v>45882</v>
      </c>
      <c r="D525" t="inlineStr">
        <is>
          <t>KALMAR LÄN</t>
        </is>
      </c>
      <c r="E525" t="inlineStr">
        <is>
          <t>VÄSTERVIK</t>
        </is>
      </c>
      <c r="G525" t="n">
        <v>4.3</v>
      </c>
      <c r="H525" t="n">
        <v>0</v>
      </c>
      <c r="I525" t="n">
        <v>0</v>
      </c>
      <c r="J525" t="n">
        <v>0</v>
      </c>
      <c r="K525" t="n">
        <v>0</v>
      </c>
      <c r="L525" t="n">
        <v>0</v>
      </c>
      <c r="M525" t="n">
        <v>0</v>
      </c>
      <c r="N525" t="n">
        <v>0</v>
      </c>
      <c r="O525" t="n">
        <v>0</v>
      </c>
      <c r="P525" t="n">
        <v>0</v>
      </c>
      <c r="Q525" t="n">
        <v>0</v>
      </c>
      <c r="R525" s="2" t="inlineStr"/>
    </row>
    <row r="526" ht="15" customHeight="1">
      <c r="A526" t="inlineStr">
        <is>
          <t>A 2357-2025</t>
        </is>
      </c>
      <c r="B526" s="1" t="n">
        <v>45673.68859953704</v>
      </c>
      <c r="C526" s="1" t="n">
        <v>45882</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6312-2024</t>
        </is>
      </c>
      <c r="B527" s="1" t="n">
        <v>45338</v>
      </c>
      <c r="C527" s="1" t="n">
        <v>45882</v>
      </c>
      <c r="D527" t="inlineStr">
        <is>
          <t>KALMAR LÄN</t>
        </is>
      </c>
      <c r="E527" t="inlineStr">
        <is>
          <t>VÄSTERVIK</t>
        </is>
      </c>
      <c r="F527" t="inlineStr">
        <is>
          <t>Holmen skog AB</t>
        </is>
      </c>
      <c r="G527" t="n">
        <v>1.9</v>
      </c>
      <c r="H527" t="n">
        <v>0</v>
      </c>
      <c r="I527" t="n">
        <v>0</v>
      </c>
      <c r="J527" t="n">
        <v>0</v>
      </c>
      <c r="K527" t="n">
        <v>0</v>
      </c>
      <c r="L527" t="n">
        <v>0</v>
      </c>
      <c r="M527" t="n">
        <v>0</v>
      </c>
      <c r="N527" t="n">
        <v>0</v>
      </c>
      <c r="O527" t="n">
        <v>0</v>
      </c>
      <c r="P527" t="n">
        <v>0</v>
      </c>
      <c r="Q527" t="n">
        <v>0</v>
      </c>
      <c r="R527" s="2" t="inlineStr"/>
    </row>
    <row r="528" ht="15" customHeight="1">
      <c r="A528" t="inlineStr">
        <is>
          <t>A 4583-2023</t>
        </is>
      </c>
      <c r="B528" s="1" t="n">
        <v>44956</v>
      </c>
      <c r="C528" s="1" t="n">
        <v>45882</v>
      </c>
      <c r="D528" t="inlineStr">
        <is>
          <t>KALMAR LÄN</t>
        </is>
      </c>
      <c r="E528" t="inlineStr">
        <is>
          <t>VÄSTERVIK</t>
        </is>
      </c>
      <c r="G528" t="n">
        <v>2.2</v>
      </c>
      <c r="H528" t="n">
        <v>0</v>
      </c>
      <c r="I528" t="n">
        <v>0</v>
      </c>
      <c r="J528" t="n">
        <v>0</v>
      </c>
      <c r="K528" t="n">
        <v>0</v>
      </c>
      <c r="L528" t="n">
        <v>0</v>
      </c>
      <c r="M528" t="n">
        <v>0</v>
      </c>
      <c r="N528" t="n">
        <v>0</v>
      </c>
      <c r="O528" t="n">
        <v>0</v>
      </c>
      <c r="P528" t="n">
        <v>0</v>
      </c>
      <c r="Q528" t="n">
        <v>0</v>
      </c>
      <c r="R528" s="2" t="inlineStr"/>
    </row>
    <row r="529" ht="15" customHeight="1">
      <c r="A529" t="inlineStr">
        <is>
          <t>A 43759-2023</t>
        </is>
      </c>
      <c r="B529" s="1" t="n">
        <v>45187</v>
      </c>
      <c r="C529" s="1" t="n">
        <v>45882</v>
      </c>
      <c r="D529" t="inlineStr">
        <is>
          <t>KALMAR LÄN</t>
        </is>
      </c>
      <c r="E529" t="inlineStr">
        <is>
          <t>VÄSTERVIK</t>
        </is>
      </c>
      <c r="G529" t="n">
        <v>3.3</v>
      </c>
      <c r="H529" t="n">
        <v>0</v>
      </c>
      <c r="I529" t="n">
        <v>0</v>
      </c>
      <c r="J529" t="n">
        <v>0</v>
      </c>
      <c r="K529" t="n">
        <v>0</v>
      </c>
      <c r="L529" t="n">
        <v>0</v>
      </c>
      <c r="M529" t="n">
        <v>0</v>
      </c>
      <c r="N529" t="n">
        <v>0</v>
      </c>
      <c r="O529" t="n">
        <v>0</v>
      </c>
      <c r="P529" t="n">
        <v>0</v>
      </c>
      <c r="Q529" t="n">
        <v>0</v>
      </c>
      <c r="R529" s="2" t="inlineStr"/>
    </row>
    <row r="530" ht="15" customHeight="1">
      <c r="A530" t="inlineStr">
        <is>
          <t>A 1568-2023</t>
        </is>
      </c>
      <c r="B530" s="1" t="n">
        <v>44937</v>
      </c>
      <c r="C530" s="1" t="n">
        <v>45882</v>
      </c>
      <c r="D530" t="inlineStr">
        <is>
          <t>KALMAR LÄN</t>
        </is>
      </c>
      <c r="E530" t="inlineStr">
        <is>
          <t>VÄSTERVIK</t>
        </is>
      </c>
      <c r="G530" t="n">
        <v>0.8</v>
      </c>
      <c r="H530" t="n">
        <v>0</v>
      </c>
      <c r="I530" t="n">
        <v>0</v>
      </c>
      <c r="J530" t="n">
        <v>0</v>
      </c>
      <c r="K530" t="n">
        <v>0</v>
      </c>
      <c r="L530" t="n">
        <v>0</v>
      </c>
      <c r="M530" t="n">
        <v>0</v>
      </c>
      <c r="N530" t="n">
        <v>0</v>
      </c>
      <c r="O530" t="n">
        <v>0</v>
      </c>
      <c r="P530" t="n">
        <v>0</v>
      </c>
      <c r="Q530" t="n">
        <v>0</v>
      </c>
      <c r="R530" s="2" t="inlineStr"/>
    </row>
    <row r="531" ht="15" customHeight="1">
      <c r="A531" t="inlineStr">
        <is>
          <t>A 28588-2022</t>
        </is>
      </c>
      <c r="B531" s="1" t="n">
        <v>44748</v>
      </c>
      <c r="C531" s="1" t="n">
        <v>45882</v>
      </c>
      <c r="D531" t="inlineStr">
        <is>
          <t>KALMAR LÄN</t>
        </is>
      </c>
      <c r="E531" t="inlineStr">
        <is>
          <t>VÄSTERVIK</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12643-2024</t>
        </is>
      </c>
      <c r="B532" s="1" t="n">
        <v>45379</v>
      </c>
      <c r="C532" s="1" t="n">
        <v>45882</v>
      </c>
      <c r="D532" t="inlineStr">
        <is>
          <t>KALMAR LÄN</t>
        </is>
      </c>
      <c r="E532" t="inlineStr">
        <is>
          <t>VÄSTERVIK</t>
        </is>
      </c>
      <c r="F532" t="inlineStr">
        <is>
          <t>Kommuner</t>
        </is>
      </c>
      <c r="G532" t="n">
        <v>2.1</v>
      </c>
      <c r="H532" t="n">
        <v>0</v>
      </c>
      <c r="I532" t="n">
        <v>0</v>
      </c>
      <c r="J532" t="n">
        <v>0</v>
      </c>
      <c r="K532" t="n">
        <v>0</v>
      </c>
      <c r="L532" t="n">
        <v>0</v>
      </c>
      <c r="M532" t="n">
        <v>0</v>
      </c>
      <c r="N532" t="n">
        <v>0</v>
      </c>
      <c r="O532" t="n">
        <v>0</v>
      </c>
      <c r="P532" t="n">
        <v>0</v>
      </c>
      <c r="Q532" t="n">
        <v>0</v>
      </c>
      <c r="R532" s="2" t="inlineStr"/>
    </row>
    <row r="533" ht="15" customHeight="1">
      <c r="A533" t="inlineStr">
        <is>
          <t>A 45202-2023</t>
        </is>
      </c>
      <c r="B533" s="1" t="n">
        <v>45191</v>
      </c>
      <c r="C533" s="1" t="n">
        <v>45882</v>
      </c>
      <c r="D533" t="inlineStr">
        <is>
          <t>KALMAR LÄN</t>
        </is>
      </c>
      <c r="E533" t="inlineStr">
        <is>
          <t>VÄSTERVIK</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64920-2021</t>
        </is>
      </c>
      <c r="B534" s="1" t="n">
        <v>44512</v>
      </c>
      <c r="C534" s="1" t="n">
        <v>45882</v>
      </c>
      <c r="D534" t="inlineStr">
        <is>
          <t>KALMAR LÄN</t>
        </is>
      </c>
      <c r="E534" t="inlineStr">
        <is>
          <t>VÄSTERVIK</t>
        </is>
      </c>
      <c r="G534" t="n">
        <v>1.2</v>
      </c>
      <c r="H534" t="n">
        <v>0</v>
      </c>
      <c r="I534" t="n">
        <v>0</v>
      </c>
      <c r="J534" t="n">
        <v>0</v>
      </c>
      <c r="K534" t="n">
        <v>0</v>
      </c>
      <c r="L534" t="n">
        <v>0</v>
      </c>
      <c r="M534" t="n">
        <v>0</v>
      </c>
      <c r="N534" t="n">
        <v>0</v>
      </c>
      <c r="O534" t="n">
        <v>0</v>
      </c>
      <c r="P534" t="n">
        <v>0</v>
      </c>
      <c r="Q534" t="n">
        <v>0</v>
      </c>
      <c r="R534" s="2" t="inlineStr"/>
      <c r="U534">
        <f>HYPERLINK("https://klasma.github.io/Logging_0883/knärot/A 64920-2021 karta knärot.png", "A 64920-2021")</f>
        <v/>
      </c>
      <c r="V534">
        <f>HYPERLINK("https://klasma.github.io/Logging_0883/klagomål/A 64920-2021 FSC-klagomål.docx", "A 64920-2021")</f>
        <v/>
      </c>
      <c r="W534">
        <f>HYPERLINK("https://klasma.github.io/Logging_0883/klagomålsmail/A 64920-2021 FSC-klagomål mail.docx", "A 64920-2021")</f>
        <v/>
      </c>
      <c r="X534">
        <f>HYPERLINK("https://klasma.github.io/Logging_0883/tillsyn/A 64920-2021 tillsynsbegäran.docx", "A 64920-2021")</f>
        <v/>
      </c>
      <c r="Y534">
        <f>HYPERLINK("https://klasma.github.io/Logging_0883/tillsynsmail/A 64920-2021 tillsynsbegäran mail.docx", "A 64920-2021")</f>
        <v/>
      </c>
    </row>
    <row r="535" ht="15" customHeight="1">
      <c r="A535" t="inlineStr">
        <is>
          <t>A 16692-2025</t>
        </is>
      </c>
      <c r="B535" s="1" t="n">
        <v>45754.4621412037</v>
      </c>
      <c r="C535" s="1" t="n">
        <v>45882</v>
      </c>
      <c r="D535" t="inlineStr">
        <is>
          <t>KALMAR LÄN</t>
        </is>
      </c>
      <c r="E535" t="inlineStr">
        <is>
          <t>VÄSTERVIK</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29420-2024</t>
        </is>
      </c>
      <c r="B536" s="1" t="n">
        <v>45483</v>
      </c>
      <c r="C536" s="1" t="n">
        <v>45882</v>
      </c>
      <c r="D536" t="inlineStr">
        <is>
          <t>KALMAR LÄN</t>
        </is>
      </c>
      <c r="E536" t="inlineStr">
        <is>
          <t>VÄSTERVIK</t>
        </is>
      </c>
      <c r="G536" t="n">
        <v>1.3</v>
      </c>
      <c r="H536" t="n">
        <v>0</v>
      </c>
      <c r="I536" t="n">
        <v>0</v>
      </c>
      <c r="J536" t="n">
        <v>0</v>
      </c>
      <c r="K536" t="n">
        <v>0</v>
      </c>
      <c r="L536" t="n">
        <v>0</v>
      </c>
      <c r="M536" t="n">
        <v>0</v>
      </c>
      <c r="N536" t="n">
        <v>0</v>
      </c>
      <c r="O536" t="n">
        <v>0</v>
      </c>
      <c r="P536" t="n">
        <v>0</v>
      </c>
      <c r="Q536" t="n">
        <v>0</v>
      </c>
      <c r="R536" s="2" t="inlineStr"/>
    </row>
    <row r="537" ht="15" customHeight="1">
      <c r="A537" t="inlineStr">
        <is>
          <t>A 14151-2021</t>
        </is>
      </c>
      <c r="B537" s="1" t="n">
        <v>44278.41052083333</v>
      </c>
      <c r="C537" s="1" t="n">
        <v>45882</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57688-2024</t>
        </is>
      </c>
      <c r="B538" s="1" t="n">
        <v>45630.65180555556</v>
      </c>
      <c r="C538" s="1" t="n">
        <v>45882</v>
      </c>
      <c r="D538" t="inlineStr">
        <is>
          <t>KALMAR LÄN</t>
        </is>
      </c>
      <c r="E538" t="inlineStr">
        <is>
          <t>VÄSTERVIK</t>
        </is>
      </c>
      <c r="G538" t="n">
        <v>3.1</v>
      </c>
      <c r="H538" t="n">
        <v>0</v>
      </c>
      <c r="I538" t="n">
        <v>0</v>
      </c>
      <c r="J538" t="n">
        <v>0</v>
      </c>
      <c r="K538" t="n">
        <v>0</v>
      </c>
      <c r="L538" t="n">
        <v>0</v>
      </c>
      <c r="M538" t="n">
        <v>0</v>
      </c>
      <c r="N538" t="n">
        <v>0</v>
      </c>
      <c r="O538" t="n">
        <v>0</v>
      </c>
      <c r="P538" t="n">
        <v>0</v>
      </c>
      <c r="Q538" t="n">
        <v>0</v>
      </c>
      <c r="R538" s="2" t="inlineStr"/>
    </row>
    <row r="539" ht="15" customHeight="1">
      <c r="A539" t="inlineStr">
        <is>
          <t>A 52774-2024</t>
        </is>
      </c>
      <c r="B539" s="1" t="n">
        <v>45610.53413194444</v>
      </c>
      <c r="C539" s="1" t="n">
        <v>45882</v>
      </c>
      <c r="D539" t="inlineStr">
        <is>
          <t>KALMAR LÄN</t>
        </is>
      </c>
      <c r="E539" t="inlineStr">
        <is>
          <t>VÄSTERVIK</t>
        </is>
      </c>
      <c r="F539" t="inlineStr">
        <is>
          <t>Holmen skog AB</t>
        </is>
      </c>
      <c r="G539" t="n">
        <v>2.9</v>
      </c>
      <c r="H539" t="n">
        <v>0</v>
      </c>
      <c r="I539" t="n">
        <v>0</v>
      </c>
      <c r="J539" t="n">
        <v>0</v>
      </c>
      <c r="K539" t="n">
        <v>0</v>
      </c>
      <c r="L539" t="n">
        <v>0</v>
      </c>
      <c r="M539" t="n">
        <v>0</v>
      </c>
      <c r="N539" t="n">
        <v>0</v>
      </c>
      <c r="O539" t="n">
        <v>0</v>
      </c>
      <c r="P539" t="n">
        <v>0</v>
      </c>
      <c r="Q539" t="n">
        <v>0</v>
      </c>
      <c r="R539" s="2" t="inlineStr"/>
    </row>
    <row r="540" ht="15" customHeight="1">
      <c r="A540" t="inlineStr">
        <is>
          <t>A 51510-2024</t>
        </is>
      </c>
      <c r="B540" s="1" t="n">
        <v>45604.55837962963</v>
      </c>
      <c r="C540" s="1" t="n">
        <v>45882</v>
      </c>
      <c r="D540" t="inlineStr">
        <is>
          <t>KALMAR LÄN</t>
        </is>
      </c>
      <c r="E540" t="inlineStr">
        <is>
          <t>VÄSTERVIK</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11120-2025</t>
        </is>
      </c>
      <c r="B541" s="1" t="n">
        <v>45723.63655092593</v>
      </c>
      <c r="C541" s="1" t="n">
        <v>45882</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11122-2025</t>
        </is>
      </c>
      <c r="B542" s="1" t="n">
        <v>45723.63827546296</v>
      </c>
      <c r="C542" s="1" t="n">
        <v>45882</v>
      </c>
      <c r="D542" t="inlineStr">
        <is>
          <t>KALMAR LÄN</t>
        </is>
      </c>
      <c r="E542" t="inlineStr">
        <is>
          <t>VÄSTERVIK</t>
        </is>
      </c>
      <c r="G542" t="n">
        <v>0.3</v>
      </c>
      <c r="H542" t="n">
        <v>0</v>
      </c>
      <c r="I542" t="n">
        <v>0</v>
      </c>
      <c r="J542" t="n">
        <v>0</v>
      </c>
      <c r="K542" t="n">
        <v>0</v>
      </c>
      <c r="L542" t="n">
        <v>0</v>
      </c>
      <c r="M542" t="n">
        <v>0</v>
      </c>
      <c r="N542" t="n">
        <v>0</v>
      </c>
      <c r="O542" t="n">
        <v>0</v>
      </c>
      <c r="P542" t="n">
        <v>0</v>
      </c>
      <c r="Q542" t="n">
        <v>0</v>
      </c>
      <c r="R542" s="2" t="inlineStr"/>
    </row>
    <row r="543" ht="15" customHeight="1">
      <c r="A543" t="inlineStr">
        <is>
          <t>A 6042-2023</t>
        </is>
      </c>
      <c r="B543" s="1" t="n">
        <v>44964</v>
      </c>
      <c r="C543" s="1" t="n">
        <v>45882</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26770-2023</t>
        </is>
      </c>
      <c r="B544" s="1" t="n">
        <v>45093</v>
      </c>
      <c r="C544" s="1" t="n">
        <v>45882</v>
      </c>
      <c r="D544" t="inlineStr">
        <is>
          <t>KALMAR LÄN</t>
        </is>
      </c>
      <c r="E544" t="inlineStr">
        <is>
          <t>VÄSTERVIK</t>
        </is>
      </c>
      <c r="G544" t="n">
        <v>2.6</v>
      </c>
      <c r="H544" t="n">
        <v>0</v>
      </c>
      <c r="I544" t="n">
        <v>0</v>
      </c>
      <c r="J544" t="n">
        <v>0</v>
      </c>
      <c r="K544" t="n">
        <v>0</v>
      </c>
      <c r="L544" t="n">
        <v>0</v>
      </c>
      <c r="M544" t="n">
        <v>0</v>
      </c>
      <c r="N544" t="n">
        <v>0</v>
      </c>
      <c r="O544" t="n">
        <v>0</v>
      </c>
      <c r="P544" t="n">
        <v>0</v>
      </c>
      <c r="Q544" t="n">
        <v>0</v>
      </c>
      <c r="R544" s="2" t="inlineStr"/>
    </row>
    <row r="545" ht="15" customHeight="1">
      <c r="A545" t="inlineStr">
        <is>
          <t>A 26772-2023</t>
        </is>
      </c>
      <c r="B545" s="1" t="n">
        <v>45093</v>
      </c>
      <c r="C545" s="1" t="n">
        <v>45882</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26773-2023</t>
        </is>
      </c>
      <c r="B546" s="1" t="n">
        <v>45093</v>
      </c>
      <c r="C546" s="1" t="n">
        <v>45882</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8440-2023</t>
        </is>
      </c>
      <c r="B547" s="1" t="n">
        <v>44977.46979166667</v>
      </c>
      <c r="C547" s="1" t="n">
        <v>45882</v>
      </c>
      <c r="D547" t="inlineStr">
        <is>
          <t>KALMAR LÄN</t>
        </is>
      </c>
      <c r="E547" t="inlineStr">
        <is>
          <t>VÄSTERVIK</t>
        </is>
      </c>
      <c r="G547" t="n">
        <v>5.5</v>
      </c>
      <c r="H547" t="n">
        <v>0</v>
      </c>
      <c r="I547" t="n">
        <v>0</v>
      </c>
      <c r="J547" t="n">
        <v>0</v>
      </c>
      <c r="K547" t="n">
        <v>0</v>
      </c>
      <c r="L547" t="n">
        <v>0</v>
      </c>
      <c r="M547" t="n">
        <v>0</v>
      </c>
      <c r="N547" t="n">
        <v>0</v>
      </c>
      <c r="O547" t="n">
        <v>0</v>
      </c>
      <c r="P547" t="n">
        <v>0</v>
      </c>
      <c r="Q547" t="n">
        <v>0</v>
      </c>
      <c r="R547" s="2" t="inlineStr"/>
    </row>
    <row r="548" ht="15" customHeight="1">
      <c r="A548" t="inlineStr">
        <is>
          <t>A 55053-2024</t>
        </is>
      </c>
      <c r="B548" s="1" t="n">
        <v>45621.39938657408</v>
      </c>
      <c r="C548" s="1" t="n">
        <v>45882</v>
      </c>
      <c r="D548" t="inlineStr">
        <is>
          <t>KALMAR LÄN</t>
        </is>
      </c>
      <c r="E548" t="inlineStr">
        <is>
          <t>VÄSTERVIK</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36643-2023</t>
        </is>
      </c>
      <c r="B549" s="1" t="n">
        <v>45153</v>
      </c>
      <c r="C549" s="1" t="n">
        <v>45882</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13840-2024</t>
        </is>
      </c>
      <c r="B550" s="1" t="n">
        <v>45391.44885416667</v>
      </c>
      <c r="C550" s="1" t="n">
        <v>45882</v>
      </c>
      <c r="D550" t="inlineStr">
        <is>
          <t>KALMAR LÄN</t>
        </is>
      </c>
      <c r="E550" t="inlineStr">
        <is>
          <t>VÄSTERVIK</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33277-2023</t>
        </is>
      </c>
      <c r="B551" s="1" t="n">
        <v>45114</v>
      </c>
      <c r="C551" s="1" t="n">
        <v>45882</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50127-2023</t>
        </is>
      </c>
      <c r="B552" s="1" t="n">
        <v>45215.65043981482</v>
      </c>
      <c r="C552" s="1" t="n">
        <v>45882</v>
      </c>
      <c r="D552" t="inlineStr">
        <is>
          <t>KALMAR LÄN</t>
        </is>
      </c>
      <c r="E552" t="inlineStr">
        <is>
          <t>VÄSTERVIK</t>
        </is>
      </c>
      <c r="G552" t="n">
        <v>1.2</v>
      </c>
      <c r="H552" t="n">
        <v>0</v>
      </c>
      <c r="I552" t="n">
        <v>0</v>
      </c>
      <c r="J552" t="n">
        <v>0</v>
      </c>
      <c r="K552" t="n">
        <v>0</v>
      </c>
      <c r="L552" t="n">
        <v>0</v>
      </c>
      <c r="M552" t="n">
        <v>0</v>
      </c>
      <c r="N552" t="n">
        <v>0</v>
      </c>
      <c r="O552" t="n">
        <v>0</v>
      </c>
      <c r="P552" t="n">
        <v>0</v>
      </c>
      <c r="Q552" t="n">
        <v>0</v>
      </c>
      <c r="R552" s="2" t="inlineStr"/>
    </row>
    <row r="553" ht="15" customHeight="1">
      <c r="A553" t="inlineStr">
        <is>
          <t>A 6940-2025</t>
        </is>
      </c>
      <c r="B553" s="1" t="n">
        <v>45701.46581018518</v>
      </c>
      <c r="C553" s="1" t="n">
        <v>45882</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10406-2022</t>
        </is>
      </c>
      <c r="B554" s="1" t="n">
        <v>44623</v>
      </c>
      <c r="C554" s="1" t="n">
        <v>45882</v>
      </c>
      <c r="D554" t="inlineStr">
        <is>
          <t>KALMAR LÄN</t>
        </is>
      </c>
      <c r="E554" t="inlineStr">
        <is>
          <t>VÄSTERVIK</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10808-2025</t>
        </is>
      </c>
      <c r="B555" s="1" t="n">
        <v>45722.53427083333</v>
      </c>
      <c r="C555" s="1" t="n">
        <v>45882</v>
      </c>
      <c r="D555" t="inlineStr">
        <is>
          <t>KALMAR LÄN</t>
        </is>
      </c>
      <c r="E555" t="inlineStr">
        <is>
          <t>VÄSTERVIK</t>
        </is>
      </c>
      <c r="G555" t="n">
        <v>2.2</v>
      </c>
      <c r="H555" t="n">
        <v>0</v>
      </c>
      <c r="I555" t="n">
        <v>0</v>
      </c>
      <c r="J555" t="n">
        <v>0</v>
      </c>
      <c r="K555" t="n">
        <v>0</v>
      </c>
      <c r="L555" t="n">
        <v>0</v>
      </c>
      <c r="M555" t="n">
        <v>0</v>
      </c>
      <c r="N555" t="n">
        <v>0</v>
      </c>
      <c r="O555" t="n">
        <v>0</v>
      </c>
      <c r="P555" t="n">
        <v>0</v>
      </c>
      <c r="Q555" t="n">
        <v>0</v>
      </c>
      <c r="R555" s="2" t="inlineStr"/>
    </row>
    <row r="556" ht="15" customHeight="1">
      <c r="A556" t="inlineStr">
        <is>
          <t>A 16586-2022</t>
        </is>
      </c>
      <c r="B556" s="1" t="n">
        <v>44672.47105324074</v>
      </c>
      <c r="C556" s="1" t="n">
        <v>45882</v>
      </c>
      <c r="D556" t="inlineStr">
        <is>
          <t>KALMAR LÄN</t>
        </is>
      </c>
      <c r="E556" t="inlineStr">
        <is>
          <t>VÄSTERVIK</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20204-2021</t>
        </is>
      </c>
      <c r="B557" s="1" t="n">
        <v>44314</v>
      </c>
      <c r="C557" s="1" t="n">
        <v>45882</v>
      </c>
      <c r="D557" t="inlineStr">
        <is>
          <t>KALMAR LÄN</t>
        </is>
      </c>
      <c r="E557" t="inlineStr">
        <is>
          <t>VÄSTERVIK</t>
        </is>
      </c>
      <c r="F557" t="inlineStr">
        <is>
          <t>Holmen skog AB</t>
        </is>
      </c>
      <c r="G557" t="n">
        <v>12.1</v>
      </c>
      <c r="H557" t="n">
        <v>0</v>
      </c>
      <c r="I557" t="n">
        <v>0</v>
      </c>
      <c r="J557" t="n">
        <v>0</v>
      </c>
      <c r="K557" t="n">
        <v>0</v>
      </c>
      <c r="L557" t="n">
        <v>0</v>
      </c>
      <c r="M557" t="n">
        <v>0</v>
      </c>
      <c r="N557" t="n">
        <v>0</v>
      </c>
      <c r="O557" t="n">
        <v>0</v>
      </c>
      <c r="P557" t="n">
        <v>0</v>
      </c>
      <c r="Q557" t="n">
        <v>0</v>
      </c>
      <c r="R557" s="2" t="inlineStr"/>
    </row>
    <row r="558" ht="15" customHeight="1">
      <c r="A558" t="inlineStr">
        <is>
          <t>A 8007-2023</t>
        </is>
      </c>
      <c r="B558" s="1" t="n">
        <v>44973.88759259259</v>
      </c>
      <c r="C558" s="1" t="n">
        <v>45882</v>
      </c>
      <c r="D558" t="inlineStr">
        <is>
          <t>KALMAR LÄN</t>
        </is>
      </c>
      <c r="E558" t="inlineStr">
        <is>
          <t>VÄSTERVIK</t>
        </is>
      </c>
      <c r="G558" t="n">
        <v>4.5</v>
      </c>
      <c r="H558" t="n">
        <v>0</v>
      </c>
      <c r="I558" t="n">
        <v>0</v>
      </c>
      <c r="J558" t="n">
        <v>0</v>
      </c>
      <c r="K558" t="n">
        <v>0</v>
      </c>
      <c r="L558" t="n">
        <v>0</v>
      </c>
      <c r="M558" t="n">
        <v>0</v>
      </c>
      <c r="N558" t="n">
        <v>0</v>
      </c>
      <c r="O558" t="n">
        <v>0</v>
      </c>
      <c r="P558" t="n">
        <v>0</v>
      </c>
      <c r="Q558" t="n">
        <v>0</v>
      </c>
      <c r="R558" s="2" t="inlineStr"/>
    </row>
    <row r="559" ht="15" customHeight="1">
      <c r="A559" t="inlineStr">
        <is>
          <t>A 42130-2022</t>
        </is>
      </c>
      <c r="B559" s="1" t="n">
        <v>44830</v>
      </c>
      <c r="C559" s="1" t="n">
        <v>45882</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64762-2023</t>
        </is>
      </c>
      <c r="B560" s="1" t="n">
        <v>45282.27841435185</v>
      </c>
      <c r="C560" s="1" t="n">
        <v>45882</v>
      </c>
      <c r="D560" t="inlineStr">
        <is>
          <t>KALMAR LÄN</t>
        </is>
      </c>
      <c r="E560" t="inlineStr">
        <is>
          <t>VÄSTERVIK</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64763-2023</t>
        </is>
      </c>
      <c r="B561" s="1" t="n">
        <v>45282.28041666667</v>
      </c>
      <c r="C561" s="1" t="n">
        <v>45882</v>
      </c>
      <c r="D561" t="inlineStr">
        <is>
          <t>KALMAR LÄN</t>
        </is>
      </c>
      <c r="E561" t="inlineStr">
        <is>
          <t>VÄSTERVIK</t>
        </is>
      </c>
      <c r="F561" t="inlineStr">
        <is>
          <t>Övriga Aktiebolag</t>
        </is>
      </c>
      <c r="G561" t="n">
        <v>0.9</v>
      </c>
      <c r="H561" t="n">
        <v>0</v>
      </c>
      <c r="I561" t="n">
        <v>0</v>
      </c>
      <c r="J561" t="n">
        <v>0</v>
      </c>
      <c r="K561" t="n">
        <v>0</v>
      </c>
      <c r="L561" t="n">
        <v>0</v>
      </c>
      <c r="M561" t="n">
        <v>0</v>
      </c>
      <c r="N561" t="n">
        <v>0</v>
      </c>
      <c r="O561" t="n">
        <v>0</v>
      </c>
      <c r="P561" t="n">
        <v>0</v>
      </c>
      <c r="Q561" t="n">
        <v>0</v>
      </c>
      <c r="R561" s="2" t="inlineStr"/>
    </row>
    <row r="562" ht="15" customHeight="1">
      <c r="A562" t="inlineStr">
        <is>
          <t>A 66328-2020</t>
        </is>
      </c>
      <c r="B562" s="1" t="n">
        <v>44176</v>
      </c>
      <c r="C562" s="1" t="n">
        <v>45882</v>
      </c>
      <c r="D562" t="inlineStr">
        <is>
          <t>KALMAR LÄN</t>
        </is>
      </c>
      <c r="E562" t="inlineStr">
        <is>
          <t>VÄSTERVIK</t>
        </is>
      </c>
      <c r="G562" t="n">
        <v>1.4</v>
      </c>
      <c r="H562" t="n">
        <v>0</v>
      </c>
      <c r="I562" t="n">
        <v>0</v>
      </c>
      <c r="J562" t="n">
        <v>0</v>
      </c>
      <c r="K562" t="n">
        <v>0</v>
      </c>
      <c r="L562" t="n">
        <v>0</v>
      </c>
      <c r="M562" t="n">
        <v>0</v>
      </c>
      <c r="N562" t="n">
        <v>0</v>
      </c>
      <c r="O562" t="n">
        <v>0</v>
      </c>
      <c r="P562" t="n">
        <v>0</v>
      </c>
      <c r="Q562" t="n">
        <v>0</v>
      </c>
      <c r="R562" s="2" t="inlineStr"/>
    </row>
    <row r="563" ht="15" customHeight="1">
      <c r="A563" t="inlineStr">
        <is>
          <t>A 12652-2022</t>
        </is>
      </c>
      <c r="B563" s="1" t="n">
        <v>44641</v>
      </c>
      <c r="C563" s="1" t="n">
        <v>45882</v>
      </c>
      <c r="D563" t="inlineStr">
        <is>
          <t>KALMAR LÄN</t>
        </is>
      </c>
      <c r="E563" t="inlineStr">
        <is>
          <t>VÄSTERVIK</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55289-2023</t>
        </is>
      </c>
      <c r="B564" s="1" t="n">
        <v>45237.76106481482</v>
      </c>
      <c r="C564" s="1" t="n">
        <v>45882</v>
      </c>
      <c r="D564" t="inlineStr">
        <is>
          <t>KALMAR LÄN</t>
        </is>
      </c>
      <c r="E564" t="inlineStr">
        <is>
          <t>VÄSTERVIK</t>
        </is>
      </c>
      <c r="G564" t="n">
        <v>1.7</v>
      </c>
      <c r="H564" t="n">
        <v>0</v>
      </c>
      <c r="I564" t="n">
        <v>0</v>
      </c>
      <c r="J564" t="n">
        <v>0</v>
      </c>
      <c r="K564" t="n">
        <v>0</v>
      </c>
      <c r="L564" t="n">
        <v>0</v>
      </c>
      <c r="M564" t="n">
        <v>0</v>
      </c>
      <c r="N564" t="n">
        <v>0</v>
      </c>
      <c r="O564" t="n">
        <v>0</v>
      </c>
      <c r="P564" t="n">
        <v>0</v>
      </c>
      <c r="Q564" t="n">
        <v>0</v>
      </c>
      <c r="R564" s="2" t="inlineStr"/>
    </row>
    <row r="565" ht="15" customHeight="1">
      <c r="A565" t="inlineStr">
        <is>
          <t>A 40050-2022</t>
        </is>
      </c>
      <c r="B565" s="1" t="n">
        <v>44820.44106481481</v>
      </c>
      <c r="C565" s="1" t="n">
        <v>45882</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34672-2022</t>
        </is>
      </c>
      <c r="B566" s="1" t="n">
        <v>44795.48444444445</v>
      </c>
      <c r="C566" s="1" t="n">
        <v>45882</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46561-2022</t>
        </is>
      </c>
      <c r="B567" s="1" t="n">
        <v>44848</v>
      </c>
      <c r="C567" s="1" t="n">
        <v>45882</v>
      </c>
      <c r="D567" t="inlineStr">
        <is>
          <t>KALMAR LÄN</t>
        </is>
      </c>
      <c r="E567" t="inlineStr">
        <is>
          <t>VÄSTERVIK</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23580-2023</t>
        </is>
      </c>
      <c r="B568" s="1" t="n">
        <v>45077</v>
      </c>
      <c r="C568" s="1" t="n">
        <v>45882</v>
      </c>
      <c r="D568" t="inlineStr">
        <is>
          <t>KALMAR LÄN</t>
        </is>
      </c>
      <c r="E568" t="inlineStr">
        <is>
          <t>VÄSTERVIK</t>
        </is>
      </c>
      <c r="G568" t="n">
        <v>1.9</v>
      </c>
      <c r="H568" t="n">
        <v>0</v>
      </c>
      <c r="I568" t="n">
        <v>0</v>
      </c>
      <c r="J568" t="n">
        <v>0</v>
      </c>
      <c r="K568" t="n">
        <v>0</v>
      </c>
      <c r="L568" t="n">
        <v>0</v>
      </c>
      <c r="M568" t="n">
        <v>0</v>
      </c>
      <c r="N568" t="n">
        <v>0</v>
      </c>
      <c r="O568" t="n">
        <v>0</v>
      </c>
      <c r="P568" t="n">
        <v>0</v>
      </c>
      <c r="Q568" t="n">
        <v>0</v>
      </c>
      <c r="R568" s="2" t="inlineStr"/>
    </row>
    <row r="569" ht="15" customHeight="1">
      <c r="A569" t="inlineStr">
        <is>
          <t>A 4520-2024</t>
        </is>
      </c>
      <c r="B569" s="1" t="n">
        <v>45327</v>
      </c>
      <c r="C569" s="1" t="n">
        <v>45882</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35960-2023</t>
        </is>
      </c>
      <c r="B570" s="1" t="n">
        <v>45148.84990740741</v>
      </c>
      <c r="C570" s="1" t="n">
        <v>45882</v>
      </c>
      <c r="D570" t="inlineStr">
        <is>
          <t>KALMAR LÄN</t>
        </is>
      </c>
      <c r="E570" t="inlineStr">
        <is>
          <t>VÄSTERVIK</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20483-2025</t>
        </is>
      </c>
      <c r="B571" s="1" t="n">
        <v>45775.55954861111</v>
      </c>
      <c r="C571" s="1" t="n">
        <v>45882</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1568-2024</t>
        </is>
      </c>
      <c r="B572" s="1" t="n">
        <v>45306.53221064815</v>
      </c>
      <c r="C572" s="1" t="n">
        <v>45882</v>
      </c>
      <c r="D572" t="inlineStr">
        <is>
          <t>KALMAR LÄN</t>
        </is>
      </c>
      <c r="E572" t="inlineStr">
        <is>
          <t>VÄSTERVIK</t>
        </is>
      </c>
      <c r="G572" t="n">
        <v>3.4</v>
      </c>
      <c r="H572" t="n">
        <v>0</v>
      </c>
      <c r="I572" t="n">
        <v>0</v>
      </c>
      <c r="J572" t="n">
        <v>0</v>
      </c>
      <c r="K572" t="n">
        <v>0</v>
      </c>
      <c r="L572" t="n">
        <v>0</v>
      </c>
      <c r="M572" t="n">
        <v>0</v>
      </c>
      <c r="N572" t="n">
        <v>0</v>
      </c>
      <c r="O572" t="n">
        <v>0</v>
      </c>
      <c r="P572" t="n">
        <v>0</v>
      </c>
      <c r="Q572" t="n">
        <v>0</v>
      </c>
      <c r="R572" s="2" t="inlineStr"/>
    </row>
    <row r="573" ht="15" customHeight="1">
      <c r="A573" t="inlineStr">
        <is>
          <t>A 1572-2024</t>
        </is>
      </c>
      <c r="B573" s="1" t="n">
        <v>45306</v>
      </c>
      <c r="C573" s="1" t="n">
        <v>45882</v>
      </c>
      <c r="D573" t="inlineStr">
        <is>
          <t>KALMAR LÄN</t>
        </is>
      </c>
      <c r="E573" t="inlineStr">
        <is>
          <t>VÄSTERVIK</t>
        </is>
      </c>
      <c r="G573" t="n">
        <v>4.4</v>
      </c>
      <c r="H573" t="n">
        <v>0</v>
      </c>
      <c r="I573" t="n">
        <v>0</v>
      </c>
      <c r="J573" t="n">
        <v>0</v>
      </c>
      <c r="K573" t="n">
        <v>0</v>
      </c>
      <c r="L573" t="n">
        <v>0</v>
      </c>
      <c r="M573" t="n">
        <v>0</v>
      </c>
      <c r="N573" t="n">
        <v>0</v>
      </c>
      <c r="O573" t="n">
        <v>0</v>
      </c>
      <c r="P573" t="n">
        <v>0</v>
      </c>
      <c r="Q573" t="n">
        <v>0</v>
      </c>
      <c r="R573" s="2" t="inlineStr"/>
    </row>
    <row r="574" ht="15" customHeight="1">
      <c r="A574" t="inlineStr">
        <is>
          <t>A 11183-2024</t>
        </is>
      </c>
      <c r="B574" s="1" t="n">
        <v>45371.53141203704</v>
      </c>
      <c r="C574" s="1" t="n">
        <v>45882</v>
      </c>
      <c r="D574" t="inlineStr">
        <is>
          <t>KALMAR LÄN</t>
        </is>
      </c>
      <c r="E574" t="inlineStr">
        <is>
          <t>VÄSTERVIK</t>
        </is>
      </c>
      <c r="G574" t="n">
        <v>4.5</v>
      </c>
      <c r="H574" t="n">
        <v>0</v>
      </c>
      <c r="I574" t="n">
        <v>0</v>
      </c>
      <c r="J574" t="n">
        <v>0</v>
      </c>
      <c r="K574" t="n">
        <v>0</v>
      </c>
      <c r="L574" t="n">
        <v>0</v>
      </c>
      <c r="M574" t="n">
        <v>0</v>
      </c>
      <c r="N574" t="n">
        <v>0</v>
      </c>
      <c r="O574" t="n">
        <v>0</v>
      </c>
      <c r="P574" t="n">
        <v>0</v>
      </c>
      <c r="Q574" t="n">
        <v>0</v>
      </c>
      <c r="R574" s="2" t="inlineStr"/>
    </row>
    <row r="575" ht="15" customHeight="1">
      <c r="A575" t="inlineStr">
        <is>
          <t>A 3185-2023</t>
        </is>
      </c>
      <c r="B575" s="1" t="n">
        <v>44946.60753472222</v>
      </c>
      <c r="C575" s="1" t="n">
        <v>45882</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11198-2024</t>
        </is>
      </c>
      <c r="B576" s="1" t="n">
        <v>45371</v>
      </c>
      <c r="C576" s="1" t="n">
        <v>45882</v>
      </c>
      <c r="D576" t="inlineStr">
        <is>
          <t>KALMAR LÄN</t>
        </is>
      </c>
      <c r="E576" t="inlineStr">
        <is>
          <t>VÄSTERVIK</t>
        </is>
      </c>
      <c r="G576" t="n">
        <v>4.1</v>
      </c>
      <c r="H576" t="n">
        <v>0</v>
      </c>
      <c r="I576" t="n">
        <v>0</v>
      </c>
      <c r="J576" t="n">
        <v>0</v>
      </c>
      <c r="K576" t="n">
        <v>0</v>
      </c>
      <c r="L576" t="n">
        <v>0</v>
      </c>
      <c r="M576" t="n">
        <v>0</v>
      </c>
      <c r="N576" t="n">
        <v>0</v>
      </c>
      <c r="O576" t="n">
        <v>0</v>
      </c>
      <c r="P576" t="n">
        <v>0</v>
      </c>
      <c r="Q576" t="n">
        <v>0</v>
      </c>
      <c r="R576" s="2" t="inlineStr"/>
    </row>
    <row r="577" ht="15" customHeight="1">
      <c r="A577" t="inlineStr">
        <is>
          <t>A 59221-2022</t>
        </is>
      </c>
      <c r="B577" s="1" t="n">
        <v>44904.53858796296</v>
      </c>
      <c r="C577" s="1" t="n">
        <v>45882</v>
      </c>
      <c r="D577" t="inlineStr">
        <is>
          <t>KALMAR LÄN</t>
        </is>
      </c>
      <c r="E577" t="inlineStr">
        <is>
          <t>VÄSTERVIK</t>
        </is>
      </c>
      <c r="G577" t="n">
        <v>6.1</v>
      </c>
      <c r="H577" t="n">
        <v>0</v>
      </c>
      <c r="I577" t="n">
        <v>0</v>
      </c>
      <c r="J577" t="n">
        <v>0</v>
      </c>
      <c r="K577" t="n">
        <v>0</v>
      </c>
      <c r="L577" t="n">
        <v>0</v>
      </c>
      <c r="M577" t="n">
        <v>0</v>
      </c>
      <c r="N577" t="n">
        <v>0</v>
      </c>
      <c r="O577" t="n">
        <v>0</v>
      </c>
      <c r="P577" t="n">
        <v>0</v>
      </c>
      <c r="Q577" t="n">
        <v>0</v>
      </c>
      <c r="R577" s="2" t="inlineStr"/>
    </row>
    <row r="578" ht="15" customHeight="1">
      <c r="A578" t="inlineStr">
        <is>
          <t>A 3555-2021</t>
        </is>
      </c>
      <c r="B578" s="1" t="n">
        <v>44218</v>
      </c>
      <c r="C578" s="1" t="n">
        <v>45882</v>
      </c>
      <c r="D578" t="inlineStr">
        <is>
          <t>KALMAR LÄN</t>
        </is>
      </c>
      <c r="E578" t="inlineStr">
        <is>
          <t>VÄSTERVIK</t>
        </is>
      </c>
      <c r="G578" t="n">
        <v>0.9</v>
      </c>
      <c r="H578" t="n">
        <v>0</v>
      </c>
      <c r="I578" t="n">
        <v>0</v>
      </c>
      <c r="J578" t="n">
        <v>0</v>
      </c>
      <c r="K578" t="n">
        <v>0</v>
      </c>
      <c r="L578" t="n">
        <v>0</v>
      </c>
      <c r="M578" t="n">
        <v>0</v>
      </c>
      <c r="N578" t="n">
        <v>0</v>
      </c>
      <c r="O578" t="n">
        <v>0</v>
      </c>
      <c r="P578" t="n">
        <v>0</v>
      </c>
      <c r="Q578" t="n">
        <v>0</v>
      </c>
      <c r="R578" s="2" t="inlineStr"/>
    </row>
    <row r="579" ht="15" customHeight="1">
      <c r="A579" t="inlineStr">
        <is>
          <t>A 7090-2024</t>
        </is>
      </c>
      <c r="B579" s="1" t="n">
        <v>45343.80621527778</v>
      </c>
      <c r="C579" s="1" t="n">
        <v>45882</v>
      </c>
      <c r="D579" t="inlineStr">
        <is>
          <t>KALMAR LÄN</t>
        </is>
      </c>
      <c r="E579" t="inlineStr">
        <is>
          <t>VÄSTERVIK</t>
        </is>
      </c>
      <c r="G579" t="n">
        <v>1.2</v>
      </c>
      <c r="H579" t="n">
        <v>0</v>
      </c>
      <c r="I579" t="n">
        <v>0</v>
      </c>
      <c r="J579" t="n">
        <v>0</v>
      </c>
      <c r="K579" t="n">
        <v>0</v>
      </c>
      <c r="L579" t="n">
        <v>0</v>
      </c>
      <c r="M579" t="n">
        <v>0</v>
      </c>
      <c r="N579" t="n">
        <v>0</v>
      </c>
      <c r="O579" t="n">
        <v>0</v>
      </c>
      <c r="P579" t="n">
        <v>0</v>
      </c>
      <c r="Q579" t="n">
        <v>0</v>
      </c>
      <c r="R579" s="2" t="inlineStr"/>
    </row>
    <row r="580" ht="15" customHeight="1">
      <c r="A580" t="inlineStr">
        <is>
          <t>A 36555-2024</t>
        </is>
      </c>
      <c r="B580" s="1" t="n">
        <v>45537</v>
      </c>
      <c r="C580" s="1" t="n">
        <v>45882</v>
      </c>
      <c r="D580" t="inlineStr">
        <is>
          <t>KALMAR LÄN</t>
        </is>
      </c>
      <c r="E580" t="inlineStr">
        <is>
          <t>VÄSTERVIK</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32763-2022</t>
        </is>
      </c>
      <c r="B581" s="1" t="n">
        <v>44783</v>
      </c>
      <c r="C581" s="1" t="n">
        <v>45882</v>
      </c>
      <c r="D581" t="inlineStr">
        <is>
          <t>KALMAR LÄN</t>
        </is>
      </c>
      <c r="E581" t="inlineStr">
        <is>
          <t>VÄSTERVIK</t>
        </is>
      </c>
      <c r="G581" t="n">
        <v>1</v>
      </c>
      <c r="H581" t="n">
        <v>0</v>
      </c>
      <c r="I581" t="n">
        <v>0</v>
      </c>
      <c r="J581" t="n">
        <v>0</v>
      </c>
      <c r="K581" t="n">
        <v>0</v>
      </c>
      <c r="L581" t="n">
        <v>0</v>
      </c>
      <c r="M581" t="n">
        <v>0</v>
      </c>
      <c r="N581" t="n">
        <v>0</v>
      </c>
      <c r="O581" t="n">
        <v>0</v>
      </c>
      <c r="P581" t="n">
        <v>0</v>
      </c>
      <c r="Q581" t="n">
        <v>0</v>
      </c>
      <c r="R581" s="2" t="inlineStr"/>
    </row>
    <row r="582" ht="15" customHeight="1">
      <c r="A582" t="inlineStr">
        <is>
          <t>A 40977-2023</t>
        </is>
      </c>
      <c r="B582" s="1" t="n">
        <v>45173</v>
      </c>
      <c r="C582" s="1" t="n">
        <v>45882</v>
      </c>
      <c r="D582" t="inlineStr">
        <is>
          <t>KALMAR LÄN</t>
        </is>
      </c>
      <c r="E582" t="inlineStr">
        <is>
          <t>VÄSTERVIK</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32394-2021</t>
        </is>
      </c>
      <c r="B583" s="1" t="n">
        <v>44371.63414351852</v>
      </c>
      <c r="C583" s="1" t="n">
        <v>45882</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55287-2023</t>
        </is>
      </c>
      <c r="B584" s="1" t="n">
        <v>45237.75578703704</v>
      </c>
      <c r="C584" s="1" t="n">
        <v>45882</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55958-2023</t>
        </is>
      </c>
      <c r="B585" s="1" t="n">
        <v>45240.34900462963</v>
      </c>
      <c r="C585" s="1" t="n">
        <v>45882</v>
      </c>
      <c r="D585" t="inlineStr">
        <is>
          <t>KALMAR LÄN</t>
        </is>
      </c>
      <c r="E585" t="inlineStr">
        <is>
          <t>VÄSTERVIK</t>
        </is>
      </c>
      <c r="G585" t="n">
        <v>1.6</v>
      </c>
      <c r="H585" t="n">
        <v>0</v>
      </c>
      <c r="I585" t="n">
        <v>0</v>
      </c>
      <c r="J585" t="n">
        <v>0</v>
      </c>
      <c r="K585" t="n">
        <v>0</v>
      </c>
      <c r="L585" t="n">
        <v>0</v>
      </c>
      <c r="M585" t="n">
        <v>0</v>
      </c>
      <c r="N585" t="n">
        <v>0</v>
      </c>
      <c r="O585" t="n">
        <v>0</v>
      </c>
      <c r="P585" t="n">
        <v>0</v>
      </c>
      <c r="Q585" t="n">
        <v>0</v>
      </c>
      <c r="R585" s="2" t="inlineStr"/>
    </row>
    <row r="586" ht="15" customHeight="1">
      <c r="A586" t="inlineStr">
        <is>
          <t>A 36050-2024</t>
        </is>
      </c>
      <c r="B586" s="1" t="n">
        <v>45533.620625</v>
      </c>
      <c r="C586" s="1" t="n">
        <v>45882</v>
      </c>
      <c r="D586" t="inlineStr">
        <is>
          <t>KALMAR LÄN</t>
        </is>
      </c>
      <c r="E586" t="inlineStr">
        <is>
          <t>VÄSTERVIK</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56042-2023</t>
        </is>
      </c>
      <c r="B587" s="1" t="n">
        <v>45240.44670138889</v>
      </c>
      <c r="C587" s="1" t="n">
        <v>45882</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58209-2022</t>
        </is>
      </c>
      <c r="B588" s="1" t="n">
        <v>44901</v>
      </c>
      <c r="C588" s="1" t="n">
        <v>45882</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61448-2023</t>
        </is>
      </c>
      <c r="B589" s="1" t="n">
        <v>45264.81439814815</v>
      </c>
      <c r="C589" s="1" t="n">
        <v>45882</v>
      </c>
      <c r="D589" t="inlineStr">
        <is>
          <t>KALMAR LÄN</t>
        </is>
      </c>
      <c r="E589" t="inlineStr">
        <is>
          <t>VÄSTERVIK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61449-2023</t>
        </is>
      </c>
      <c r="B590" s="1" t="n">
        <v>45264.81490740741</v>
      </c>
      <c r="C590" s="1" t="n">
        <v>45882</v>
      </c>
      <c r="D590" t="inlineStr">
        <is>
          <t>KALMAR LÄN</t>
        </is>
      </c>
      <c r="E590" t="inlineStr">
        <is>
          <t>VÄSTERVIK</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5684-2023</t>
        </is>
      </c>
      <c r="B591" s="1" t="n">
        <v>44960.73170138889</v>
      </c>
      <c r="C591" s="1" t="n">
        <v>45882</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9249-2024</t>
        </is>
      </c>
      <c r="B592" s="1" t="n">
        <v>45358.59056712963</v>
      </c>
      <c r="C592" s="1" t="n">
        <v>45882</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49706-2024</t>
        </is>
      </c>
      <c r="B593" s="1" t="n">
        <v>45596.69706018519</v>
      </c>
      <c r="C593" s="1" t="n">
        <v>45882</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55358-2024</t>
        </is>
      </c>
      <c r="B594" s="1" t="n">
        <v>45621.82039351852</v>
      </c>
      <c r="C594" s="1" t="n">
        <v>45882</v>
      </c>
      <c r="D594" t="inlineStr">
        <is>
          <t>KALMAR LÄN</t>
        </is>
      </c>
      <c r="E594" t="inlineStr">
        <is>
          <t>VÄSTERVIK</t>
        </is>
      </c>
      <c r="F594" t="inlineStr">
        <is>
          <t>Sveaskog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11167-2024</t>
        </is>
      </c>
      <c r="B595" s="1" t="n">
        <v>45371.4966087963</v>
      </c>
      <c r="C595" s="1" t="n">
        <v>45882</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18728-2025</t>
        </is>
      </c>
      <c r="B596" s="1" t="n">
        <v>45763.67365740741</v>
      </c>
      <c r="C596" s="1" t="n">
        <v>45882</v>
      </c>
      <c r="D596" t="inlineStr">
        <is>
          <t>KALMAR LÄN</t>
        </is>
      </c>
      <c r="E596" t="inlineStr">
        <is>
          <t>VÄSTERVIK</t>
        </is>
      </c>
      <c r="G596" t="n">
        <v>6.6</v>
      </c>
      <c r="H596" t="n">
        <v>0</v>
      </c>
      <c r="I596" t="n">
        <v>0</v>
      </c>
      <c r="J596" t="n">
        <v>0</v>
      </c>
      <c r="K596" t="n">
        <v>0</v>
      </c>
      <c r="L596" t="n">
        <v>0</v>
      </c>
      <c r="M596" t="n">
        <v>0</v>
      </c>
      <c r="N596" t="n">
        <v>0</v>
      </c>
      <c r="O596" t="n">
        <v>0</v>
      </c>
      <c r="P596" t="n">
        <v>0</v>
      </c>
      <c r="Q596" t="n">
        <v>0</v>
      </c>
      <c r="R596" s="2" t="inlineStr"/>
    </row>
    <row r="597" ht="15" customHeight="1">
      <c r="A597" t="inlineStr">
        <is>
          <t>A 2168-2024</t>
        </is>
      </c>
      <c r="B597" s="1" t="n">
        <v>45309.61756944445</v>
      </c>
      <c r="C597" s="1" t="n">
        <v>45882</v>
      </c>
      <c r="D597" t="inlineStr">
        <is>
          <t>KALMAR LÄN</t>
        </is>
      </c>
      <c r="E597" t="inlineStr">
        <is>
          <t>VÄSTERVIK</t>
        </is>
      </c>
      <c r="G597" t="n">
        <v>2</v>
      </c>
      <c r="H597" t="n">
        <v>0</v>
      </c>
      <c r="I597" t="n">
        <v>0</v>
      </c>
      <c r="J597" t="n">
        <v>0</v>
      </c>
      <c r="K597" t="n">
        <v>0</v>
      </c>
      <c r="L597" t="n">
        <v>0</v>
      </c>
      <c r="M597" t="n">
        <v>0</v>
      </c>
      <c r="N597" t="n">
        <v>0</v>
      </c>
      <c r="O597" t="n">
        <v>0</v>
      </c>
      <c r="P597" t="n">
        <v>0</v>
      </c>
      <c r="Q597" t="n">
        <v>0</v>
      </c>
      <c r="R597" s="2" t="inlineStr"/>
    </row>
    <row r="598" ht="15" customHeight="1">
      <c r="A598" t="inlineStr">
        <is>
          <t>A 942-2024</t>
        </is>
      </c>
      <c r="B598" s="1" t="n">
        <v>45301.53930555555</v>
      </c>
      <c r="C598" s="1" t="n">
        <v>45882</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15106-2023</t>
        </is>
      </c>
      <c r="B599" s="1" t="n">
        <v>45016.41767361111</v>
      </c>
      <c r="C599" s="1" t="n">
        <v>45882</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43828-2021</t>
        </is>
      </c>
      <c r="B600" s="1" t="n">
        <v>44433</v>
      </c>
      <c r="C600" s="1" t="n">
        <v>45882</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34655-2023</t>
        </is>
      </c>
      <c r="B601" s="1" t="n">
        <v>45140</v>
      </c>
      <c r="C601" s="1" t="n">
        <v>45882</v>
      </c>
      <c r="D601" t="inlineStr">
        <is>
          <t>KALMAR LÄN</t>
        </is>
      </c>
      <c r="E601" t="inlineStr">
        <is>
          <t>VÄSTERVIK</t>
        </is>
      </c>
      <c r="G601" t="n">
        <v>3.6</v>
      </c>
      <c r="H601" t="n">
        <v>0</v>
      </c>
      <c r="I601" t="n">
        <v>0</v>
      </c>
      <c r="J601" t="n">
        <v>0</v>
      </c>
      <c r="K601" t="n">
        <v>0</v>
      </c>
      <c r="L601" t="n">
        <v>0</v>
      </c>
      <c r="M601" t="n">
        <v>0</v>
      </c>
      <c r="N601" t="n">
        <v>0</v>
      </c>
      <c r="O601" t="n">
        <v>0</v>
      </c>
      <c r="P601" t="n">
        <v>0</v>
      </c>
      <c r="Q601" t="n">
        <v>0</v>
      </c>
      <c r="R601" s="2" t="inlineStr"/>
    </row>
    <row r="602" ht="15" customHeight="1">
      <c r="A602" t="inlineStr">
        <is>
          <t>A 1699-2023</t>
        </is>
      </c>
      <c r="B602" s="1" t="n">
        <v>44935</v>
      </c>
      <c r="C602" s="1" t="n">
        <v>45882</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57178-2024</t>
        </is>
      </c>
      <c r="B603" s="1" t="n">
        <v>45629.43973379629</v>
      </c>
      <c r="C603" s="1" t="n">
        <v>45882</v>
      </c>
      <c r="D603" t="inlineStr">
        <is>
          <t>KALMAR LÄN</t>
        </is>
      </c>
      <c r="E603" t="inlineStr">
        <is>
          <t>VÄSTERVIK</t>
        </is>
      </c>
      <c r="G603" t="n">
        <v>2</v>
      </c>
      <c r="H603" t="n">
        <v>0</v>
      </c>
      <c r="I603" t="n">
        <v>0</v>
      </c>
      <c r="J603" t="n">
        <v>0</v>
      </c>
      <c r="K603" t="n">
        <v>0</v>
      </c>
      <c r="L603" t="n">
        <v>0</v>
      </c>
      <c r="M603" t="n">
        <v>0</v>
      </c>
      <c r="N603" t="n">
        <v>0</v>
      </c>
      <c r="O603" t="n">
        <v>0</v>
      </c>
      <c r="P603" t="n">
        <v>0</v>
      </c>
      <c r="Q603" t="n">
        <v>0</v>
      </c>
      <c r="R603" s="2" t="inlineStr"/>
    </row>
    <row r="604" ht="15" customHeight="1">
      <c r="A604" t="inlineStr">
        <is>
          <t>A 7883-2025</t>
        </is>
      </c>
      <c r="B604" s="1" t="n">
        <v>45706.8156712963</v>
      </c>
      <c r="C604" s="1" t="n">
        <v>45882</v>
      </c>
      <c r="D604" t="inlineStr">
        <is>
          <t>KALMAR LÄN</t>
        </is>
      </c>
      <c r="E604" t="inlineStr">
        <is>
          <t>VÄSTERVIK</t>
        </is>
      </c>
      <c r="G604" t="n">
        <v>0.2</v>
      </c>
      <c r="H604" t="n">
        <v>0</v>
      </c>
      <c r="I604" t="n">
        <v>0</v>
      </c>
      <c r="J604" t="n">
        <v>0</v>
      </c>
      <c r="K604" t="n">
        <v>0</v>
      </c>
      <c r="L604" t="n">
        <v>0</v>
      </c>
      <c r="M604" t="n">
        <v>0</v>
      </c>
      <c r="N604" t="n">
        <v>0</v>
      </c>
      <c r="O604" t="n">
        <v>0</v>
      </c>
      <c r="P604" t="n">
        <v>0</v>
      </c>
      <c r="Q604" t="n">
        <v>0</v>
      </c>
      <c r="R604" s="2" t="inlineStr"/>
    </row>
    <row r="605" ht="15" customHeight="1">
      <c r="A605" t="inlineStr">
        <is>
          <t>A 934-2024</t>
        </is>
      </c>
      <c r="B605" s="1" t="n">
        <v>45301.51439814815</v>
      </c>
      <c r="C605" s="1" t="n">
        <v>45882</v>
      </c>
      <c r="D605" t="inlineStr">
        <is>
          <t>KALMAR LÄN</t>
        </is>
      </c>
      <c r="E605" t="inlineStr">
        <is>
          <t>VÄSTERVIK</t>
        </is>
      </c>
      <c r="G605" t="n">
        <v>2.3</v>
      </c>
      <c r="H605" t="n">
        <v>0</v>
      </c>
      <c r="I605" t="n">
        <v>0</v>
      </c>
      <c r="J605" t="n">
        <v>0</v>
      </c>
      <c r="K605" t="n">
        <v>0</v>
      </c>
      <c r="L605" t="n">
        <v>0</v>
      </c>
      <c r="M605" t="n">
        <v>0</v>
      </c>
      <c r="N605" t="n">
        <v>0</v>
      </c>
      <c r="O605" t="n">
        <v>0</v>
      </c>
      <c r="P605" t="n">
        <v>0</v>
      </c>
      <c r="Q605" t="n">
        <v>0</v>
      </c>
      <c r="R605" s="2" t="inlineStr"/>
    </row>
    <row r="606" ht="15" customHeight="1">
      <c r="A606" t="inlineStr">
        <is>
          <t>A 936-2024</t>
        </is>
      </c>
      <c r="B606" s="1" t="n">
        <v>45301.51950231481</v>
      </c>
      <c r="C606" s="1" t="n">
        <v>45882</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13957-2025</t>
        </is>
      </c>
      <c r="B607" s="1" t="n">
        <v>45737.85231481482</v>
      </c>
      <c r="C607" s="1" t="n">
        <v>45882</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17650-2023</t>
        </is>
      </c>
      <c r="B608" s="1" t="n">
        <v>45036.70215277778</v>
      </c>
      <c r="C608" s="1" t="n">
        <v>45882</v>
      </c>
      <c r="D608" t="inlineStr">
        <is>
          <t>KALMAR LÄN</t>
        </is>
      </c>
      <c r="E608" t="inlineStr">
        <is>
          <t>VÄSTERVIK</t>
        </is>
      </c>
      <c r="G608" t="n">
        <v>0.3</v>
      </c>
      <c r="H608" t="n">
        <v>0</v>
      </c>
      <c r="I608" t="n">
        <v>0</v>
      </c>
      <c r="J608" t="n">
        <v>0</v>
      </c>
      <c r="K608" t="n">
        <v>0</v>
      </c>
      <c r="L608" t="n">
        <v>0</v>
      </c>
      <c r="M608" t="n">
        <v>0</v>
      </c>
      <c r="N608" t="n">
        <v>0</v>
      </c>
      <c r="O608" t="n">
        <v>0</v>
      </c>
      <c r="P608" t="n">
        <v>0</v>
      </c>
      <c r="Q608" t="n">
        <v>0</v>
      </c>
      <c r="R608" s="2" t="inlineStr"/>
    </row>
    <row r="609" ht="15" customHeight="1">
      <c r="A609" t="inlineStr">
        <is>
          <t>A 8619-2024</t>
        </is>
      </c>
      <c r="B609" s="1" t="n">
        <v>45355.73599537037</v>
      </c>
      <c r="C609" s="1" t="n">
        <v>45882</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4624-2023</t>
        </is>
      </c>
      <c r="B610" s="1" t="n">
        <v>44956</v>
      </c>
      <c r="C610" s="1" t="n">
        <v>45882</v>
      </c>
      <c r="D610" t="inlineStr">
        <is>
          <t>KALMAR LÄN</t>
        </is>
      </c>
      <c r="E610" t="inlineStr">
        <is>
          <t>VÄSTERVIK</t>
        </is>
      </c>
      <c r="F610" t="inlineStr">
        <is>
          <t>Holmen skog AB</t>
        </is>
      </c>
      <c r="G610" t="n">
        <v>7.1</v>
      </c>
      <c r="H610" t="n">
        <v>0</v>
      </c>
      <c r="I610" t="n">
        <v>0</v>
      </c>
      <c r="J610" t="n">
        <v>0</v>
      </c>
      <c r="K610" t="n">
        <v>0</v>
      </c>
      <c r="L610" t="n">
        <v>0</v>
      </c>
      <c r="M610" t="n">
        <v>0</v>
      </c>
      <c r="N610" t="n">
        <v>0</v>
      </c>
      <c r="O610" t="n">
        <v>0</v>
      </c>
      <c r="P610" t="n">
        <v>0</v>
      </c>
      <c r="Q610" t="n">
        <v>0</v>
      </c>
      <c r="R610" s="2" t="inlineStr"/>
    </row>
    <row r="611" ht="15" customHeight="1">
      <c r="A611" t="inlineStr">
        <is>
          <t>A 21824-2023</t>
        </is>
      </c>
      <c r="B611" s="1" t="n">
        <v>45068</v>
      </c>
      <c r="C611" s="1" t="n">
        <v>45882</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59210-2022</t>
        </is>
      </c>
      <c r="B612" s="1" t="n">
        <v>44904.51767361111</v>
      </c>
      <c r="C612" s="1" t="n">
        <v>45882</v>
      </c>
      <c r="D612" t="inlineStr">
        <is>
          <t>KALMAR LÄN</t>
        </is>
      </c>
      <c r="E612" t="inlineStr">
        <is>
          <t>VÄSTERVIK</t>
        </is>
      </c>
      <c r="G612" t="n">
        <v>21.2</v>
      </c>
      <c r="H612" t="n">
        <v>0</v>
      </c>
      <c r="I612" t="n">
        <v>0</v>
      </c>
      <c r="J612" t="n">
        <v>0</v>
      </c>
      <c r="K612" t="n">
        <v>0</v>
      </c>
      <c r="L612" t="n">
        <v>0</v>
      </c>
      <c r="M612" t="n">
        <v>0</v>
      </c>
      <c r="N612" t="n">
        <v>0</v>
      </c>
      <c r="O612" t="n">
        <v>0</v>
      </c>
      <c r="P612" t="n">
        <v>0</v>
      </c>
      <c r="Q612" t="n">
        <v>0</v>
      </c>
      <c r="R612" s="2" t="inlineStr"/>
    </row>
    <row r="613" ht="15" customHeight="1">
      <c r="A613" t="inlineStr">
        <is>
          <t>A 59220-2022</t>
        </is>
      </c>
      <c r="B613" s="1" t="n">
        <v>44904.53423611111</v>
      </c>
      <c r="C613" s="1" t="n">
        <v>45882</v>
      </c>
      <c r="D613" t="inlineStr">
        <is>
          <t>KALMAR LÄN</t>
        </is>
      </c>
      <c r="E613" t="inlineStr">
        <is>
          <t>VÄSTERVIK</t>
        </is>
      </c>
      <c r="G613" t="n">
        <v>1.3</v>
      </c>
      <c r="H613" t="n">
        <v>0</v>
      </c>
      <c r="I613" t="n">
        <v>0</v>
      </c>
      <c r="J613" t="n">
        <v>0</v>
      </c>
      <c r="K613" t="n">
        <v>0</v>
      </c>
      <c r="L613" t="n">
        <v>0</v>
      </c>
      <c r="M613" t="n">
        <v>0</v>
      </c>
      <c r="N613" t="n">
        <v>0</v>
      </c>
      <c r="O613" t="n">
        <v>0</v>
      </c>
      <c r="P613" t="n">
        <v>0</v>
      </c>
      <c r="Q613" t="n">
        <v>0</v>
      </c>
      <c r="R613" s="2" t="inlineStr"/>
    </row>
    <row r="614" ht="15" customHeight="1">
      <c r="A614" t="inlineStr">
        <is>
          <t>A 57019-2023</t>
        </is>
      </c>
      <c r="B614" s="1" t="n">
        <v>45244</v>
      </c>
      <c r="C614" s="1" t="n">
        <v>45882</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16691-2025</t>
        </is>
      </c>
      <c r="B615" s="1" t="n">
        <v>45754.46086805555</v>
      </c>
      <c r="C615" s="1" t="n">
        <v>45882</v>
      </c>
      <c r="D615" t="inlineStr">
        <is>
          <t>KALMAR LÄN</t>
        </is>
      </c>
      <c r="E615" t="inlineStr">
        <is>
          <t>VÄSTERVIK</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6941-2025</t>
        </is>
      </c>
      <c r="B616" s="1" t="n">
        <v>45701.46835648148</v>
      </c>
      <c r="C616" s="1" t="n">
        <v>45882</v>
      </c>
      <c r="D616" t="inlineStr">
        <is>
          <t>KALMAR LÄN</t>
        </is>
      </c>
      <c r="E616" t="inlineStr">
        <is>
          <t>VÄSTERVIK</t>
        </is>
      </c>
      <c r="G616" t="n">
        <v>1.3</v>
      </c>
      <c r="H616" t="n">
        <v>0</v>
      </c>
      <c r="I616" t="n">
        <v>0</v>
      </c>
      <c r="J616" t="n">
        <v>0</v>
      </c>
      <c r="K616" t="n">
        <v>0</v>
      </c>
      <c r="L616" t="n">
        <v>0</v>
      </c>
      <c r="M616" t="n">
        <v>0</v>
      </c>
      <c r="N616" t="n">
        <v>0</v>
      </c>
      <c r="O616" t="n">
        <v>0</v>
      </c>
      <c r="P616" t="n">
        <v>0</v>
      </c>
      <c r="Q616" t="n">
        <v>0</v>
      </c>
      <c r="R616" s="2" t="inlineStr"/>
    </row>
    <row r="617" ht="15" customHeight="1">
      <c r="A617" t="inlineStr">
        <is>
          <t>A 37986-2023</t>
        </is>
      </c>
      <c r="B617" s="1" t="n">
        <v>45160.60331018519</v>
      </c>
      <c r="C617" s="1" t="n">
        <v>45882</v>
      </c>
      <c r="D617" t="inlineStr">
        <is>
          <t>KALMAR LÄN</t>
        </is>
      </c>
      <c r="E617" t="inlineStr">
        <is>
          <t>VÄSTERVIK</t>
        </is>
      </c>
      <c r="F617" t="inlineStr">
        <is>
          <t>Sveaskog</t>
        </is>
      </c>
      <c r="G617" t="n">
        <v>4</v>
      </c>
      <c r="H617" t="n">
        <v>0</v>
      </c>
      <c r="I617" t="n">
        <v>0</v>
      </c>
      <c r="J617" t="n">
        <v>0</v>
      </c>
      <c r="K617" t="n">
        <v>0</v>
      </c>
      <c r="L617" t="n">
        <v>0</v>
      </c>
      <c r="M617" t="n">
        <v>0</v>
      </c>
      <c r="N617" t="n">
        <v>0</v>
      </c>
      <c r="O617" t="n">
        <v>0</v>
      </c>
      <c r="P617" t="n">
        <v>0</v>
      </c>
      <c r="Q617" t="n">
        <v>0</v>
      </c>
      <c r="R617" s="2" t="inlineStr"/>
    </row>
    <row r="618" ht="15" customHeight="1">
      <c r="A618" t="inlineStr">
        <is>
          <t>A 45450-2023</t>
        </is>
      </c>
      <c r="B618" s="1" t="n">
        <v>45194</v>
      </c>
      <c r="C618" s="1" t="n">
        <v>45882</v>
      </c>
      <c r="D618" t="inlineStr">
        <is>
          <t>KALMAR LÄN</t>
        </is>
      </c>
      <c r="E618" t="inlineStr">
        <is>
          <t>VÄSTERVIK</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45474-2023</t>
        </is>
      </c>
      <c r="B619" s="1" t="n">
        <v>45194</v>
      </c>
      <c r="C619" s="1" t="n">
        <v>45882</v>
      </c>
      <c r="D619" t="inlineStr">
        <is>
          <t>KALMAR LÄN</t>
        </is>
      </c>
      <c r="E619" t="inlineStr">
        <is>
          <t>VÄSTERVIK</t>
        </is>
      </c>
      <c r="F619" t="inlineStr">
        <is>
          <t>Holmen skog AB</t>
        </is>
      </c>
      <c r="G619" t="n">
        <v>1.9</v>
      </c>
      <c r="H619" t="n">
        <v>0</v>
      </c>
      <c r="I619" t="n">
        <v>0</v>
      </c>
      <c r="J619" t="n">
        <v>0</v>
      </c>
      <c r="K619" t="n">
        <v>0</v>
      </c>
      <c r="L619" t="n">
        <v>0</v>
      </c>
      <c r="M619" t="n">
        <v>0</v>
      </c>
      <c r="N619" t="n">
        <v>0</v>
      </c>
      <c r="O619" t="n">
        <v>0</v>
      </c>
      <c r="P619" t="n">
        <v>0</v>
      </c>
      <c r="Q619" t="n">
        <v>0</v>
      </c>
      <c r="R619" s="2" t="inlineStr"/>
    </row>
    <row r="620" ht="15" customHeight="1">
      <c r="A620" t="inlineStr">
        <is>
          <t>A 28657-2024</t>
        </is>
      </c>
      <c r="B620" s="1" t="n">
        <v>45478</v>
      </c>
      <c r="C620" s="1" t="n">
        <v>45882</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34650-2023</t>
        </is>
      </c>
      <c r="B621" s="1" t="n">
        <v>45140</v>
      </c>
      <c r="C621" s="1" t="n">
        <v>45882</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53259-2021</t>
        </is>
      </c>
      <c r="B622" s="1" t="n">
        <v>44468.47153935185</v>
      </c>
      <c r="C622" s="1" t="n">
        <v>45882</v>
      </c>
      <c r="D622" t="inlineStr">
        <is>
          <t>KALMAR LÄN</t>
        </is>
      </c>
      <c r="E622" t="inlineStr">
        <is>
          <t>VÄSTERVIK</t>
        </is>
      </c>
      <c r="G622" t="n">
        <v>2.8</v>
      </c>
      <c r="H622" t="n">
        <v>0</v>
      </c>
      <c r="I622" t="n">
        <v>0</v>
      </c>
      <c r="J622" t="n">
        <v>0</v>
      </c>
      <c r="K622" t="n">
        <v>0</v>
      </c>
      <c r="L622" t="n">
        <v>0</v>
      </c>
      <c r="M622" t="n">
        <v>0</v>
      </c>
      <c r="N622" t="n">
        <v>0</v>
      </c>
      <c r="O622" t="n">
        <v>0</v>
      </c>
      <c r="P622" t="n">
        <v>0</v>
      </c>
      <c r="Q622" t="n">
        <v>0</v>
      </c>
      <c r="R622" s="2" t="inlineStr"/>
    </row>
    <row r="623" ht="15" customHeight="1">
      <c r="A623" t="inlineStr">
        <is>
          <t>A 53266-2021</t>
        </is>
      </c>
      <c r="B623" s="1" t="n">
        <v>44468.48255787037</v>
      </c>
      <c r="C623" s="1" t="n">
        <v>45882</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21015-2025</t>
        </is>
      </c>
      <c r="B624" s="1" t="n">
        <v>45777.50200231482</v>
      </c>
      <c r="C624" s="1" t="n">
        <v>45882</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39193-2024</t>
        </is>
      </c>
      <c r="B625" s="1" t="n">
        <v>45548.68</v>
      </c>
      <c r="C625" s="1" t="n">
        <v>45882</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57924-2024</t>
        </is>
      </c>
      <c r="B626" s="1" t="n">
        <v>45631.51325231481</v>
      </c>
      <c r="C626" s="1" t="n">
        <v>45882</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39278-2024</t>
        </is>
      </c>
      <c r="B627" s="1" t="n">
        <v>45551.35216435185</v>
      </c>
      <c r="C627" s="1" t="n">
        <v>45882</v>
      </c>
      <c r="D627" t="inlineStr">
        <is>
          <t>KALMAR LÄN</t>
        </is>
      </c>
      <c r="E627" t="inlineStr">
        <is>
          <t>VÄSTERVIK</t>
        </is>
      </c>
      <c r="G627" t="n">
        <v>2.9</v>
      </c>
      <c r="H627" t="n">
        <v>0</v>
      </c>
      <c r="I627" t="n">
        <v>0</v>
      </c>
      <c r="J627" t="n">
        <v>0</v>
      </c>
      <c r="K627" t="n">
        <v>0</v>
      </c>
      <c r="L627" t="n">
        <v>0</v>
      </c>
      <c r="M627" t="n">
        <v>0</v>
      </c>
      <c r="N627" t="n">
        <v>0</v>
      </c>
      <c r="O627" t="n">
        <v>0</v>
      </c>
      <c r="P627" t="n">
        <v>0</v>
      </c>
      <c r="Q627" t="n">
        <v>0</v>
      </c>
      <c r="R627" s="2" t="inlineStr"/>
    </row>
    <row r="628" ht="15" customHeight="1">
      <c r="A628" t="inlineStr">
        <is>
          <t>A 32137-2024</t>
        </is>
      </c>
      <c r="B628" s="1" t="n">
        <v>45511</v>
      </c>
      <c r="C628" s="1" t="n">
        <v>45882</v>
      </c>
      <c r="D628" t="inlineStr">
        <is>
          <t>KALMAR LÄN</t>
        </is>
      </c>
      <c r="E628" t="inlineStr">
        <is>
          <t>VÄSTERVIK</t>
        </is>
      </c>
      <c r="F628" t="inlineStr">
        <is>
          <t>Övriga Aktiebolag</t>
        </is>
      </c>
      <c r="G628" t="n">
        <v>1.4</v>
      </c>
      <c r="H628" t="n">
        <v>0</v>
      </c>
      <c r="I628" t="n">
        <v>0</v>
      </c>
      <c r="J628" t="n">
        <v>0</v>
      </c>
      <c r="K628" t="n">
        <v>0</v>
      </c>
      <c r="L628" t="n">
        <v>0</v>
      </c>
      <c r="M628" t="n">
        <v>0</v>
      </c>
      <c r="N628" t="n">
        <v>0</v>
      </c>
      <c r="O628" t="n">
        <v>0</v>
      </c>
      <c r="P628" t="n">
        <v>0</v>
      </c>
      <c r="Q628" t="n">
        <v>0</v>
      </c>
      <c r="R628" s="2" t="inlineStr"/>
    </row>
    <row r="629" ht="15" customHeight="1">
      <c r="A629" t="inlineStr">
        <is>
          <t>A 21660-2025</t>
        </is>
      </c>
      <c r="B629" s="1" t="n">
        <v>45783.45542824074</v>
      </c>
      <c r="C629" s="1" t="n">
        <v>45882</v>
      </c>
      <c r="D629" t="inlineStr">
        <is>
          <t>KALMAR LÄN</t>
        </is>
      </c>
      <c r="E629" t="inlineStr">
        <is>
          <t>VÄSTERVIK</t>
        </is>
      </c>
      <c r="G629" t="n">
        <v>1.7</v>
      </c>
      <c r="H629" t="n">
        <v>0</v>
      </c>
      <c r="I629" t="n">
        <v>0</v>
      </c>
      <c r="J629" t="n">
        <v>0</v>
      </c>
      <c r="K629" t="n">
        <v>0</v>
      </c>
      <c r="L629" t="n">
        <v>0</v>
      </c>
      <c r="M629" t="n">
        <v>0</v>
      </c>
      <c r="N629" t="n">
        <v>0</v>
      </c>
      <c r="O629" t="n">
        <v>0</v>
      </c>
      <c r="P629" t="n">
        <v>0</v>
      </c>
      <c r="Q629" t="n">
        <v>0</v>
      </c>
      <c r="R629" s="2" t="inlineStr"/>
    </row>
    <row r="630" ht="15" customHeight="1">
      <c r="A630" t="inlineStr">
        <is>
          <t>A 21661-2025</t>
        </is>
      </c>
      <c r="B630" s="1" t="n">
        <v>45783.45644675926</v>
      </c>
      <c r="C630" s="1" t="n">
        <v>45882</v>
      </c>
      <c r="D630" t="inlineStr">
        <is>
          <t>KALMAR LÄN</t>
        </is>
      </c>
      <c r="E630" t="inlineStr">
        <is>
          <t>VÄSTERVIK</t>
        </is>
      </c>
      <c r="G630" t="n">
        <v>3.5</v>
      </c>
      <c r="H630" t="n">
        <v>0</v>
      </c>
      <c r="I630" t="n">
        <v>0</v>
      </c>
      <c r="J630" t="n">
        <v>0</v>
      </c>
      <c r="K630" t="n">
        <v>0</v>
      </c>
      <c r="L630" t="n">
        <v>0</v>
      </c>
      <c r="M630" t="n">
        <v>0</v>
      </c>
      <c r="N630" t="n">
        <v>0</v>
      </c>
      <c r="O630" t="n">
        <v>0</v>
      </c>
      <c r="P630" t="n">
        <v>0</v>
      </c>
      <c r="Q630" t="n">
        <v>0</v>
      </c>
      <c r="R630" s="2" t="inlineStr"/>
    </row>
    <row r="631" ht="15" customHeight="1">
      <c r="A631" t="inlineStr">
        <is>
          <t>A 61529-2022</t>
        </is>
      </c>
      <c r="B631" s="1" t="n">
        <v>44910</v>
      </c>
      <c r="C631" s="1" t="n">
        <v>45882</v>
      </c>
      <c r="D631" t="inlineStr">
        <is>
          <t>KALMAR LÄN</t>
        </is>
      </c>
      <c r="E631" t="inlineStr">
        <is>
          <t>VÄSTERVIK</t>
        </is>
      </c>
      <c r="G631" t="n">
        <v>6.5</v>
      </c>
      <c r="H631" t="n">
        <v>0</v>
      </c>
      <c r="I631" t="n">
        <v>0</v>
      </c>
      <c r="J631" t="n">
        <v>0</v>
      </c>
      <c r="K631" t="n">
        <v>0</v>
      </c>
      <c r="L631" t="n">
        <v>0</v>
      </c>
      <c r="M631" t="n">
        <v>0</v>
      </c>
      <c r="N631" t="n">
        <v>0</v>
      </c>
      <c r="O631" t="n">
        <v>0</v>
      </c>
      <c r="P631" t="n">
        <v>0</v>
      </c>
      <c r="Q631" t="n">
        <v>0</v>
      </c>
      <c r="R631" s="2" t="inlineStr"/>
    </row>
    <row r="632" ht="15" customHeight="1">
      <c r="A632" t="inlineStr">
        <is>
          <t>A 13105-2025</t>
        </is>
      </c>
      <c r="B632" s="1" t="n">
        <v>45734.68493055556</v>
      </c>
      <c r="C632" s="1" t="n">
        <v>45882</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9760-2024</t>
        </is>
      </c>
      <c r="B633" s="1" t="n">
        <v>45362</v>
      </c>
      <c r="C633" s="1" t="n">
        <v>45882</v>
      </c>
      <c r="D633" t="inlineStr">
        <is>
          <t>KALMAR LÄN</t>
        </is>
      </c>
      <c r="E633" t="inlineStr">
        <is>
          <t>VÄSTERVIK</t>
        </is>
      </c>
      <c r="G633" t="n">
        <v>2.1</v>
      </c>
      <c r="H633" t="n">
        <v>0</v>
      </c>
      <c r="I633" t="n">
        <v>0</v>
      </c>
      <c r="J633" t="n">
        <v>0</v>
      </c>
      <c r="K633" t="n">
        <v>0</v>
      </c>
      <c r="L633" t="n">
        <v>0</v>
      </c>
      <c r="M633" t="n">
        <v>0</v>
      </c>
      <c r="N633" t="n">
        <v>0</v>
      </c>
      <c r="O633" t="n">
        <v>0</v>
      </c>
      <c r="P633" t="n">
        <v>0</v>
      </c>
      <c r="Q633" t="n">
        <v>0</v>
      </c>
      <c r="R633" s="2" t="inlineStr"/>
    </row>
    <row r="634" ht="15" customHeight="1">
      <c r="A634" t="inlineStr">
        <is>
          <t>A 4461-2025</t>
        </is>
      </c>
      <c r="B634" s="1" t="n">
        <v>45686</v>
      </c>
      <c r="C634" s="1" t="n">
        <v>45882</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c r="U634">
        <f>HYPERLINK("https://klasma.github.io/Logging_0883/knärot/A 4461-2025 karta knärot.png", "A 4461-2025")</f>
        <v/>
      </c>
      <c r="V634">
        <f>HYPERLINK("https://klasma.github.io/Logging_0883/klagomål/A 4461-2025 FSC-klagomål.docx", "A 4461-2025")</f>
        <v/>
      </c>
      <c r="W634">
        <f>HYPERLINK("https://klasma.github.io/Logging_0883/klagomålsmail/A 4461-2025 FSC-klagomål mail.docx", "A 4461-2025")</f>
        <v/>
      </c>
      <c r="X634">
        <f>HYPERLINK("https://klasma.github.io/Logging_0883/tillsyn/A 4461-2025 tillsynsbegäran.docx", "A 4461-2025")</f>
        <v/>
      </c>
      <c r="Y634">
        <f>HYPERLINK("https://klasma.github.io/Logging_0883/tillsynsmail/A 4461-2025 tillsynsbegäran mail.docx", "A 4461-2025")</f>
        <v/>
      </c>
    </row>
    <row r="635" ht="15" customHeight="1">
      <c r="A635" t="inlineStr">
        <is>
          <t>A 21503-2025</t>
        </is>
      </c>
      <c r="B635" s="1" t="n">
        <v>45782.61456018518</v>
      </c>
      <c r="C635" s="1" t="n">
        <v>45882</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36888-2024</t>
        </is>
      </c>
      <c r="B636" s="1" t="n">
        <v>45538</v>
      </c>
      <c r="C636" s="1" t="n">
        <v>45882</v>
      </c>
      <c r="D636" t="inlineStr">
        <is>
          <t>KALMAR LÄN</t>
        </is>
      </c>
      <c r="E636" t="inlineStr">
        <is>
          <t>VÄSTERVIK</t>
        </is>
      </c>
      <c r="G636" t="n">
        <v>1.5</v>
      </c>
      <c r="H636" t="n">
        <v>0</v>
      </c>
      <c r="I636" t="n">
        <v>0</v>
      </c>
      <c r="J636" t="n">
        <v>0</v>
      </c>
      <c r="K636" t="n">
        <v>0</v>
      </c>
      <c r="L636" t="n">
        <v>0</v>
      </c>
      <c r="M636" t="n">
        <v>0</v>
      </c>
      <c r="N636" t="n">
        <v>0</v>
      </c>
      <c r="O636" t="n">
        <v>0</v>
      </c>
      <c r="P636" t="n">
        <v>0</v>
      </c>
      <c r="Q636" t="n">
        <v>0</v>
      </c>
      <c r="R636" s="2" t="inlineStr"/>
    </row>
    <row r="637" ht="15" customHeight="1">
      <c r="A637" t="inlineStr">
        <is>
          <t>A 52645-2021</t>
        </is>
      </c>
      <c r="B637" s="1" t="n">
        <v>44466</v>
      </c>
      <c r="C637" s="1" t="n">
        <v>45882</v>
      </c>
      <c r="D637" t="inlineStr">
        <is>
          <t>KALMAR LÄN</t>
        </is>
      </c>
      <c r="E637" t="inlineStr">
        <is>
          <t>VÄSTERVIK</t>
        </is>
      </c>
      <c r="G637" t="n">
        <v>5</v>
      </c>
      <c r="H637" t="n">
        <v>0</v>
      </c>
      <c r="I637" t="n">
        <v>0</v>
      </c>
      <c r="J637" t="n">
        <v>0</v>
      </c>
      <c r="K637" t="n">
        <v>0</v>
      </c>
      <c r="L637" t="n">
        <v>0</v>
      </c>
      <c r="M637" t="n">
        <v>0</v>
      </c>
      <c r="N637" t="n">
        <v>0</v>
      </c>
      <c r="O637" t="n">
        <v>0</v>
      </c>
      <c r="P637" t="n">
        <v>0</v>
      </c>
      <c r="Q637" t="n">
        <v>0</v>
      </c>
      <c r="R637" s="2" t="inlineStr"/>
    </row>
    <row r="638" ht="15" customHeight="1">
      <c r="A638" t="inlineStr">
        <is>
          <t>A 64741-2020</t>
        </is>
      </c>
      <c r="B638" s="1" t="n">
        <v>44169</v>
      </c>
      <c r="C638" s="1" t="n">
        <v>45882</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43199-2024</t>
        </is>
      </c>
      <c r="B639" s="1" t="n">
        <v>45567.68774305555</v>
      </c>
      <c r="C639" s="1" t="n">
        <v>45882</v>
      </c>
      <c r="D639" t="inlineStr">
        <is>
          <t>KALMAR LÄN</t>
        </is>
      </c>
      <c r="E639" t="inlineStr">
        <is>
          <t>VÄSTERVIK</t>
        </is>
      </c>
      <c r="G639" t="n">
        <v>1.8</v>
      </c>
      <c r="H639" t="n">
        <v>0</v>
      </c>
      <c r="I639" t="n">
        <v>0</v>
      </c>
      <c r="J639" t="n">
        <v>0</v>
      </c>
      <c r="K639" t="n">
        <v>0</v>
      </c>
      <c r="L639" t="n">
        <v>0</v>
      </c>
      <c r="M639" t="n">
        <v>0</v>
      </c>
      <c r="N639" t="n">
        <v>0</v>
      </c>
      <c r="O639" t="n">
        <v>0</v>
      </c>
      <c r="P639" t="n">
        <v>0</v>
      </c>
      <c r="Q639" t="n">
        <v>0</v>
      </c>
      <c r="R639" s="2" t="inlineStr"/>
    </row>
    <row r="640" ht="15" customHeight="1">
      <c r="A640" t="inlineStr">
        <is>
          <t>A 21657-2025</t>
        </is>
      </c>
      <c r="B640" s="1" t="n">
        <v>45783.45325231482</v>
      </c>
      <c r="C640" s="1" t="n">
        <v>45882</v>
      </c>
      <c r="D640" t="inlineStr">
        <is>
          <t>KALMAR LÄN</t>
        </is>
      </c>
      <c r="E640" t="inlineStr">
        <is>
          <t>VÄSTERVIK</t>
        </is>
      </c>
      <c r="F640" t="inlineStr">
        <is>
          <t>Sveaskog</t>
        </is>
      </c>
      <c r="G640" t="n">
        <v>5.8</v>
      </c>
      <c r="H640" t="n">
        <v>0</v>
      </c>
      <c r="I640" t="n">
        <v>0</v>
      </c>
      <c r="J640" t="n">
        <v>0</v>
      </c>
      <c r="K640" t="n">
        <v>0</v>
      </c>
      <c r="L640" t="n">
        <v>0</v>
      </c>
      <c r="M640" t="n">
        <v>0</v>
      </c>
      <c r="N640" t="n">
        <v>0</v>
      </c>
      <c r="O640" t="n">
        <v>0</v>
      </c>
      <c r="P640" t="n">
        <v>0</v>
      </c>
      <c r="Q640" t="n">
        <v>0</v>
      </c>
      <c r="R640" s="2" t="inlineStr"/>
    </row>
    <row r="641" ht="15" customHeight="1">
      <c r="A641" t="inlineStr">
        <is>
          <t>A 16381-2024</t>
        </is>
      </c>
      <c r="B641" s="1" t="n">
        <v>45407.61327546297</v>
      </c>
      <c r="C641" s="1" t="n">
        <v>45882</v>
      </c>
      <c r="D641" t="inlineStr">
        <is>
          <t>KALMAR LÄN</t>
        </is>
      </c>
      <c r="E641" t="inlineStr">
        <is>
          <t>VÄSTERVIK</t>
        </is>
      </c>
      <c r="F641" t="inlineStr">
        <is>
          <t>Holmen skog AB</t>
        </is>
      </c>
      <c r="G641" t="n">
        <v>6.5</v>
      </c>
      <c r="H641" t="n">
        <v>0</v>
      </c>
      <c r="I641" t="n">
        <v>0</v>
      </c>
      <c r="J641" t="n">
        <v>0</v>
      </c>
      <c r="K641" t="n">
        <v>0</v>
      </c>
      <c r="L641" t="n">
        <v>0</v>
      </c>
      <c r="M641" t="n">
        <v>0</v>
      </c>
      <c r="N641" t="n">
        <v>0</v>
      </c>
      <c r="O641" t="n">
        <v>0</v>
      </c>
      <c r="P641" t="n">
        <v>0</v>
      </c>
      <c r="Q641" t="n">
        <v>0</v>
      </c>
      <c r="R641" s="2" t="inlineStr"/>
    </row>
    <row r="642" ht="15" customHeight="1">
      <c r="A642" t="inlineStr">
        <is>
          <t>A 65-2023</t>
        </is>
      </c>
      <c r="B642" s="1" t="n">
        <v>44928.44431712963</v>
      </c>
      <c r="C642" s="1" t="n">
        <v>45882</v>
      </c>
      <c r="D642" t="inlineStr">
        <is>
          <t>KALMAR LÄN</t>
        </is>
      </c>
      <c r="E642" t="inlineStr">
        <is>
          <t>VÄSTERVIK</t>
        </is>
      </c>
      <c r="G642" t="n">
        <v>1.8</v>
      </c>
      <c r="H642" t="n">
        <v>0</v>
      </c>
      <c r="I642" t="n">
        <v>0</v>
      </c>
      <c r="J642" t="n">
        <v>0</v>
      </c>
      <c r="K642" t="n">
        <v>0</v>
      </c>
      <c r="L642" t="n">
        <v>0</v>
      </c>
      <c r="M642" t="n">
        <v>0</v>
      </c>
      <c r="N642" t="n">
        <v>0</v>
      </c>
      <c r="O642" t="n">
        <v>0</v>
      </c>
      <c r="P642" t="n">
        <v>0</v>
      </c>
      <c r="Q642" t="n">
        <v>0</v>
      </c>
      <c r="R642" s="2" t="inlineStr"/>
    </row>
    <row r="643" ht="15" customHeight="1">
      <c r="A643" t="inlineStr">
        <is>
          <t>A 16841-2025</t>
        </is>
      </c>
      <c r="B643" s="1" t="n">
        <v>45754.6719212963</v>
      </c>
      <c r="C643" s="1" t="n">
        <v>45882</v>
      </c>
      <c r="D643" t="inlineStr">
        <is>
          <t>KALMAR LÄN</t>
        </is>
      </c>
      <c r="E643" t="inlineStr">
        <is>
          <t>VÄSTERVIK</t>
        </is>
      </c>
      <c r="G643" t="n">
        <v>0.6</v>
      </c>
      <c r="H643" t="n">
        <v>0</v>
      </c>
      <c r="I643" t="n">
        <v>0</v>
      </c>
      <c r="J643" t="n">
        <v>0</v>
      </c>
      <c r="K643" t="n">
        <v>0</v>
      </c>
      <c r="L643" t="n">
        <v>0</v>
      </c>
      <c r="M643" t="n">
        <v>0</v>
      </c>
      <c r="N643" t="n">
        <v>0</v>
      </c>
      <c r="O643" t="n">
        <v>0</v>
      </c>
      <c r="P643" t="n">
        <v>0</v>
      </c>
      <c r="Q643" t="n">
        <v>0</v>
      </c>
      <c r="R643" s="2" t="inlineStr"/>
    </row>
    <row r="644" ht="15" customHeight="1">
      <c r="A644" t="inlineStr">
        <is>
          <t>A 23873-2024</t>
        </is>
      </c>
      <c r="B644" s="1" t="n">
        <v>45455</v>
      </c>
      <c r="C644" s="1" t="n">
        <v>45882</v>
      </c>
      <c r="D644" t="inlineStr">
        <is>
          <t>KALMAR LÄN</t>
        </is>
      </c>
      <c r="E644" t="inlineStr">
        <is>
          <t>VÄSTERVIK</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18395-2024</t>
        </is>
      </c>
      <c r="B645" s="1" t="n">
        <v>45424.98380787037</v>
      </c>
      <c r="C645" s="1" t="n">
        <v>45882</v>
      </c>
      <c r="D645" t="inlineStr">
        <is>
          <t>KALMAR LÄN</t>
        </is>
      </c>
      <c r="E645" t="inlineStr">
        <is>
          <t>VÄSTERVIK</t>
        </is>
      </c>
      <c r="F645" t="inlineStr">
        <is>
          <t>Holmen skog AB</t>
        </is>
      </c>
      <c r="G645" t="n">
        <v>8.5</v>
      </c>
      <c r="H645" t="n">
        <v>0</v>
      </c>
      <c r="I645" t="n">
        <v>0</v>
      </c>
      <c r="J645" t="n">
        <v>0</v>
      </c>
      <c r="K645" t="n">
        <v>0</v>
      </c>
      <c r="L645" t="n">
        <v>0</v>
      </c>
      <c r="M645" t="n">
        <v>0</v>
      </c>
      <c r="N645" t="n">
        <v>0</v>
      </c>
      <c r="O645" t="n">
        <v>0</v>
      </c>
      <c r="P645" t="n">
        <v>0</v>
      </c>
      <c r="Q645" t="n">
        <v>0</v>
      </c>
      <c r="R645" s="2" t="inlineStr"/>
    </row>
    <row r="646" ht="15" customHeight="1">
      <c r="A646" t="inlineStr">
        <is>
          <t>A 14068-2025</t>
        </is>
      </c>
      <c r="B646" s="1" t="n">
        <v>45740.42127314815</v>
      </c>
      <c r="C646" s="1" t="n">
        <v>45882</v>
      </c>
      <c r="D646" t="inlineStr">
        <is>
          <t>KALMAR LÄN</t>
        </is>
      </c>
      <c r="E646" t="inlineStr">
        <is>
          <t>VÄSTERVIK</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14071-2025</t>
        </is>
      </c>
      <c r="B647" s="1" t="n">
        <v>45740.42738425926</v>
      </c>
      <c r="C647" s="1" t="n">
        <v>45882</v>
      </c>
      <c r="D647" t="inlineStr">
        <is>
          <t>KALMAR LÄN</t>
        </is>
      </c>
      <c r="E647" t="inlineStr">
        <is>
          <t>VÄSTERVIK</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14092-2025</t>
        </is>
      </c>
      <c r="B648" s="1" t="n">
        <v>45740.44686342592</v>
      </c>
      <c r="C648" s="1" t="n">
        <v>45882</v>
      </c>
      <c r="D648" t="inlineStr">
        <is>
          <t>KALMAR LÄN</t>
        </is>
      </c>
      <c r="E648" t="inlineStr">
        <is>
          <t>VÄSTERVIK</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61728-2023</t>
        </is>
      </c>
      <c r="B649" s="1" t="n">
        <v>45265</v>
      </c>
      <c r="C649" s="1" t="n">
        <v>45882</v>
      </c>
      <c r="D649" t="inlineStr">
        <is>
          <t>KALMAR LÄN</t>
        </is>
      </c>
      <c r="E649" t="inlineStr">
        <is>
          <t>VÄSTERVIK</t>
        </is>
      </c>
      <c r="G649" t="n">
        <v>1.9</v>
      </c>
      <c r="H649" t="n">
        <v>0</v>
      </c>
      <c r="I649" t="n">
        <v>0</v>
      </c>
      <c r="J649" t="n">
        <v>0</v>
      </c>
      <c r="K649" t="n">
        <v>0</v>
      </c>
      <c r="L649" t="n">
        <v>0</v>
      </c>
      <c r="M649" t="n">
        <v>0</v>
      </c>
      <c r="N649" t="n">
        <v>0</v>
      </c>
      <c r="O649" t="n">
        <v>0</v>
      </c>
      <c r="P649" t="n">
        <v>0</v>
      </c>
      <c r="Q649" t="n">
        <v>0</v>
      </c>
      <c r="R649" s="2" t="inlineStr"/>
    </row>
    <row r="650" ht="15" customHeight="1">
      <c r="A650" t="inlineStr">
        <is>
          <t>A 36725-2024</t>
        </is>
      </c>
      <c r="B650" s="1" t="n">
        <v>45537.90300925926</v>
      </c>
      <c r="C650" s="1" t="n">
        <v>45882</v>
      </c>
      <c r="D650" t="inlineStr">
        <is>
          <t>KALMAR LÄN</t>
        </is>
      </c>
      <c r="E650" t="inlineStr">
        <is>
          <t>VÄSTERVIK</t>
        </is>
      </c>
      <c r="G650" t="n">
        <v>10.1</v>
      </c>
      <c r="H650" t="n">
        <v>0</v>
      </c>
      <c r="I650" t="n">
        <v>0</v>
      </c>
      <c r="J650" t="n">
        <v>0</v>
      </c>
      <c r="K650" t="n">
        <v>0</v>
      </c>
      <c r="L650" t="n">
        <v>0</v>
      </c>
      <c r="M650" t="n">
        <v>0</v>
      </c>
      <c r="N650" t="n">
        <v>0</v>
      </c>
      <c r="O650" t="n">
        <v>0</v>
      </c>
      <c r="P650" t="n">
        <v>0</v>
      </c>
      <c r="Q650" t="n">
        <v>0</v>
      </c>
      <c r="R650" s="2" t="inlineStr"/>
    </row>
    <row r="651" ht="15" customHeight="1">
      <c r="A651" t="inlineStr">
        <is>
          <t>A 21991-2025</t>
        </is>
      </c>
      <c r="B651" s="1" t="n">
        <v>45784.6615625</v>
      </c>
      <c r="C651" s="1" t="n">
        <v>45882</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2830-2025</t>
        </is>
      </c>
      <c r="B652" s="1" t="n">
        <v>45677.62704861111</v>
      </c>
      <c r="C652" s="1" t="n">
        <v>45882</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59170-2022</t>
        </is>
      </c>
      <c r="B653" s="1" t="n">
        <v>44904.48152777777</v>
      </c>
      <c r="C653" s="1" t="n">
        <v>45882</v>
      </c>
      <c r="D653" t="inlineStr">
        <is>
          <t>KALMAR LÄN</t>
        </is>
      </c>
      <c r="E653" t="inlineStr">
        <is>
          <t>VÄSTERVIK</t>
        </is>
      </c>
      <c r="G653" t="n">
        <v>1.3</v>
      </c>
      <c r="H653" t="n">
        <v>0</v>
      </c>
      <c r="I653" t="n">
        <v>0</v>
      </c>
      <c r="J653" t="n">
        <v>0</v>
      </c>
      <c r="K653" t="n">
        <v>0</v>
      </c>
      <c r="L653" t="n">
        <v>0</v>
      </c>
      <c r="M653" t="n">
        <v>0</v>
      </c>
      <c r="N653" t="n">
        <v>0</v>
      </c>
      <c r="O653" t="n">
        <v>0</v>
      </c>
      <c r="P653" t="n">
        <v>0</v>
      </c>
      <c r="Q653" t="n">
        <v>0</v>
      </c>
      <c r="R653" s="2" t="inlineStr"/>
    </row>
    <row r="654" ht="15" customHeight="1">
      <c r="A654" t="inlineStr">
        <is>
          <t>A 55023-2021</t>
        </is>
      </c>
      <c r="B654" s="1" t="n">
        <v>44474</v>
      </c>
      <c r="C654" s="1" t="n">
        <v>45882</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28037-2024</t>
        </is>
      </c>
      <c r="B655" s="1" t="n">
        <v>45476</v>
      </c>
      <c r="C655" s="1" t="n">
        <v>45882</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26285-2024</t>
        </is>
      </c>
      <c r="B656" s="1" t="n">
        <v>45468.70357638889</v>
      </c>
      <c r="C656" s="1" t="n">
        <v>45882</v>
      </c>
      <c r="D656" t="inlineStr">
        <is>
          <t>KALMAR LÄN</t>
        </is>
      </c>
      <c r="E656" t="inlineStr">
        <is>
          <t>VÄSTERVIK</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51496-2024</t>
        </is>
      </c>
      <c r="B657" s="1" t="n">
        <v>45604.54060185186</v>
      </c>
      <c r="C657" s="1" t="n">
        <v>45882</v>
      </c>
      <c r="D657" t="inlineStr">
        <is>
          <t>KALMAR LÄN</t>
        </is>
      </c>
      <c r="E657" t="inlineStr">
        <is>
          <t>VÄSTERVIK</t>
        </is>
      </c>
      <c r="F657" t="inlineStr">
        <is>
          <t>Övriga Aktiebolag</t>
        </is>
      </c>
      <c r="G657" t="n">
        <v>4.6</v>
      </c>
      <c r="H657" t="n">
        <v>0</v>
      </c>
      <c r="I657" t="n">
        <v>0</v>
      </c>
      <c r="J657" t="n">
        <v>0</v>
      </c>
      <c r="K657" t="n">
        <v>0</v>
      </c>
      <c r="L657" t="n">
        <v>0</v>
      </c>
      <c r="M657" t="n">
        <v>0</v>
      </c>
      <c r="N657" t="n">
        <v>0</v>
      </c>
      <c r="O657" t="n">
        <v>0</v>
      </c>
      <c r="P657" t="n">
        <v>0</v>
      </c>
      <c r="Q657" t="n">
        <v>0</v>
      </c>
      <c r="R657" s="2" t="inlineStr"/>
    </row>
    <row r="658" ht="15" customHeight="1">
      <c r="A658" t="inlineStr">
        <is>
          <t>A 6406-2024</t>
        </is>
      </c>
      <c r="B658" s="1" t="n">
        <v>45338</v>
      </c>
      <c r="C658" s="1" t="n">
        <v>45882</v>
      </c>
      <c r="D658" t="inlineStr">
        <is>
          <t>KALMAR LÄN</t>
        </is>
      </c>
      <c r="E658" t="inlineStr">
        <is>
          <t>VÄSTERVIK</t>
        </is>
      </c>
      <c r="G658" t="n">
        <v>5.5</v>
      </c>
      <c r="H658" t="n">
        <v>0</v>
      </c>
      <c r="I658" t="n">
        <v>0</v>
      </c>
      <c r="J658" t="n">
        <v>0</v>
      </c>
      <c r="K658" t="n">
        <v>0</v>
      </c>
      <c r="L658" t="n">
        <v>0</v>
      </c>
      <c r="M658" t="n">
        <v>0</v>
      </c>
      <c r="N658" t="n">
        <v>0</v>
      </c>
      <c r="O658" t="n">
        <v>0</v>
      </c>
      <c r="P658" t="n">
        <v>0</v>
      </c>
      <c r="Q658" t="n">
        <v>0</v>
      </c>
      <c r="R658" s="2" t="inlineStr"/>
      <c r="U658">
        <f>HYPERLINK("https://klasma.github.io/Logging_0883/knärot/A 6406-2024 karta knärot.png", "A 6406-2024")</f>
        <v/>
      </c>
      <c r="V658">
        <f>HYPERLINK("https://klasma.github.io/Logging_0883/klagomål/A 6406-2024 FSC-klagomål.docx", "A 6406-2024")</f>
        <v/>
      </c>
      <c r="W658">
        <f>HYPERLINK("https://klasma.github.io/Logging_0883/klagomålsmail/A 6406-2024 FSC-klagomål mail.docx", "A 6406-2024")</f>
        <v/>
      </c>
      <c r="X658">
        <f>HYPERLINK("https://klasma.github.io/Logging_0883/tillsyn/A 6406-2024 tillsynsbegäran.docx", "A 6406-2024")</f>
        <v/>
      </c>
      <c r="Y658">
        <f>HYPERLINK("https://klasma.github.io/Logging_0883/tillsynsmail/A 6406-2024 tillsynsbegäran mail.docx", "A 6406-2024")</f>
        <v/>
      </c>
    </row>
    <row r="659" ht="15" customHeight="1">
      <c r="A659" t="inlineStr">
        <is>
          <t>A 19950-2025</t>
        </is>
      </c>
      <c r="B659" s="1" t="n">
        <v>45771.65724537037</v>
      </c>
      <c r="C659" s="1" t="n">
        <v>45882</v>
      </c>
      <c r="D659" t="inlineStr">
        <is>
          <t>KALMAR LÄN</t>
        </is>
      </c>
      <c r="E659" t="inlineStr">
        <is>
          <t>VÄSTERVIK</t>
        </is>
      </c>
      <c r="G659" t="n">
        <v>2.4</v>
      </c>
      <c r="H659" t="n">
        <v>0</v>
      </c>
      <c r="I659" t="n">
        <v>0</v>
      </c>
      <c r="J659" t="n">
        <v>0</v>
      </c>
      <c r="K659" t="n">
        <v>0</v>
      </c>
      <c r="L659" t="n">
        <v>0</v>
      </c>
      <c r="M659" t="n">
        <v>0</v>
      </c>
      <c r="N659" t="n">
        <v>0</v>
      </c>
      <c r="O659" t="n">
        <v>0</v>
      </c>
      <c r="P659" t="n">
        <v>0</v>
      </c>
      <c r="Q659" t="n">
        <v>0</v>
      </c>
      <c r="R659" s="2" t="inlineStr"/>
    </row>
    <row r="660" ht="15" customHeight="1">
      <c r="A660" t="inlineStr">
        <is>
          <t>A 56617-2021</t>
        </is>
      </c>
      <c r="B660" s="1" t="n">
        <v>44480</v>
      </c>
      <c r="C660" s="1" t="n">
        <v>45882</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59696-2023</t>
        </is>
      </c>
      <c r="B661" s="1" t="n">
        <v>45256.85211805555</v>
      </c>
      <c r="C661" s="1" t="n">
        <v>45882</v>
      </c>
      <c r="D661" t="inlineStr">
        <is>
          <t>KALMAR LÄN</t>
        </is>
      </c>
      <c r="E661" t="inlineStr">
        <is>
          <t>VÄSTERVIK</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7255-2023</t>
        </is>
      </c>
      <c r="B662" s="1" t="n">
        <v>44970</v>
      </c>
      <c r="C662" s="1" t="n">
        <v>45882</v>
      </c>
      <c r="D662" t="inlineStr">
        <is>
          <t>KALMAR LÄN</t>
        </is>
      </c>
      <c r="E662" t="inlineStr">
        <is>
          <t>VÄSTERVIK</t>
        </is>
      </c>
      <c r="F662" t="inlineStr">
        <is>
          <t>Naturvårdsverket</t>
        </is>
      </c>
      <c r="G662" t="n">
        <v>0.6</v>
      </c>
      <c r="H662" t="n">
        <v>0</v>
      </c>
      <c r="I662" t="n">
        <v>0</v>
      </c>
      <c r="J662" t="n">
        <v>0</v>
      </c>
      <c r="K662" t="n">
        <v>0</v>
      </c>
      <c r="L662" t="n">
        <v>0</v>
      </c>
      <c r="M662" t="n">
        <v>0</v>
      </c>
      <c r="N662" t="n">
        <v>0</v>
      </c>
      <c r="O662" t="n">
        <v>0</v>
      </c>
      <c r="P662" t="n">
        <v>0</v>
      </c>
      <c r="Q662" t="n">
        <v>0</v>
      </c>
      <c r="R662" s="2" t="inlineStr"/>
      <c r="U662">
        <f>HYPERLINK("https://klasma.github.io/Logging_0883/knärot/A 7255-2023 karta knärot.png", "A 7255-2023")</f>
        <v/>
      </c>
      <c r="V662">
        <f>HYPERLINK("https://klasma.github.io/Logging_0883/klagomål/A 7255-2023 FSC-klagomål.docx", "A 7255-2023")</f>
        <v/>
      </c>
      <c r="W662">
        <f>HYPERLINK("https://klasma.github.io/Logging_0883/klagomålsmail/A 7255-2023 FSC-klagomål mail.docx", "A 7255-2023")</f>
        <v/>
      </c>
      <c r="X662">
        <f>HYPERLINK("https://klasma.github.io/Logging_0883/tillsyn/A 7255-2023 tillsynsbegäran.docx", "A 7255-2023")</f>
        <v/>
      </c>
      <c r="Y662">
        <f>HYPERLINK("https://klasma.github.io/Logging_0883/tillsynsmail/A 7255-2023 tillsynsbegäran mail.docx", "A 7255-2023")</f>
        <v/>
      </c>
    </row>
    <row r="663" ht="15" customHeight="1">
      <c r="A663" t="inlineStr">
        <is>
          <t>A 808-2023</t>
        </is>
      </c>
      <c r="B663" s="1" t="n">
        <v>44931</v>
      </c>
      <c r="C663" s="1" t="n">
        <v>45882</v>
      </c>
      <c r="D663" t="inlineStr">
        <is>
          <t>KALMAR LÄN</t>
        </is>
      </c>
      <c r="E663" t="inlineStr">
        <is>
          <t>VÄSTERVIK</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6731-2024</t>
        </is>
      </c>
      <c r="B664" s="1" t="n">
        <v>45342.38787037037</v>
      </c>
      <c r="C664" s="1" t="n">
        <v>45882</v>
      </c>
      <c r="D664" t="inlineStr">
        <is>
          <t>KALMAR LÄN</t>
        </is>
      </c>
      <c r="E664" t="inlineStr">
        <is>
          <t>VÄSTERVIK</t>
        </is>
      </c>
      <c r="F664" t="inlineStr">
        <is>
          <t>Holmen skog AB</t>
        </is>
      </c>
      <c r="G664" t="n">
        <v>6.7</v>
      </c>
      <c r="H664" t="n">
        <v>0</v>
      </c>
      <c r="I664" t="n">
        <v>0</v>
      </c>
      <c r="J664" t="n">
        <v>0</v>
      </c>
      <c r="K664" t="n">
        <v>0</v>
      </c>
      <c r="L664" t="n">
        <v>0</v>
      </c>
      <c r="M664" t="n">
        <v>0</v>
      </c>
      <c r="N664" t="n">
        <v>0</v>
      </c>
      <c r="O664" t="n">
        <v>0</v>
      </c>
      <c r="P664" t="n">
        <v>0</v>
      </c>
      <c r="Q664" t="n">
        <v>0</v>
      </c>
      <c r="R664" s="2" t="inlineStr"/>
    </row>
    <row r="665" ht="15" customHeight="1">
      <c r="A665" t="inlineStr">
        <is>
          <t>A 42746-2024</t>
        </is>
      </c>
      <c r="B665" s="1" t="n">
        <v>45566.48361111111</v>
      </c>
      <c r="C665" s="1" t="n">
        <v>45882</v>
      </c>
      <c r="D665" t="inlineStr">
        <is>
          <t>KALMAR LÄN</t>
        </is>
      </c>
      <c r="E665" t="inlineStr">
        <is>
          <t>VÄSTERVIK</t>
        </is>
      </c>
      <c r="G665" t="n">
        <v>2</v>
      </c>
      <c r="H665" t="n">
        <v>0</v>
      </c>
      <c r="I665" t="n">
        <v>0</v>
      </c>
      <c r="J665" t="n">
        <v>0</v>
      </c>
      <c r="K665" t="n">
        <v>0</v>
      </c>
      <c r="L665" t="n">
        <v>0</v>
      </c>
      <c r="M665" t="n">
        <v>0</v>
      </c>
      <c r="N665" t="n">
        <v>0</v>
      </c>
      <c r="O665" t="n">
        <v>0</v>
      </c>
      <c r="P665" t="n">
        <v>0</v>
      </c>
      <c r="Q665" t="n">
        <v>0</v>
      </c>
      <c r="R665" s="2" t="inlineStr"/>
    </row>
    <row r="666" ht="15" customHeight="1">
      <c r="A666" t="inlineStr">
        <is>
          <t>A 24829-2022</t>
        </is>
      </c>
      <c r="B666" s="1" t="n">
        <v>44728.45674768519</v>
      </c>
      <c r="C666" s="1" t="n">
        <v>45882</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55361-2024</t>
        </is>
      </c>
      <c r="B667" s="1" t="n">
        <v>45621.83300925926</v>
      </c>
      <c r="C667" s="1" t="n">
        <v>45882</v>
      </c>
      <c r="D667" t="inlineStr">
        <is>
          <t>KALMAR LÄN</t>
        </is>
      </c>
      <c r="E667" t="inlineStr">
        <is>
          <t>VÄSTERVIK</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55362-2024</t>
        </is>
      </c>
      <c r="B668" s="1" t="n">
        <v>45621.83461805555</v>
      </c>
      <c r="C668" s="1" t="n">
        <v>45882</v>
      </c>
      <c r="D668" t="inlineStr">
        <is>
          <t>KALMAR LÄN</t>
        </is>
      </c>
      <c r="E668" t="inlineStr">
        <is>
          <t>VÄSTERVIK</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2098-2023</t>
        </is>
      </c>
      <c r="B669" s="1" t="n">
        <v>44939</v>
      </c>
      <c r="C669" s="1" t="n">
        <v>45882</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56377-2024</t>
        </is>
      </c>
      <c r="B670" s="1" t="n">
        <v>45625.33342592593</v>
      </c>
      <c r="C670" s="1" t="n">
        <v>45882</v>
      </c>
      <c r="D670" t="inlineStr">
        <is>
          <t>KALMAR LÄN</t>
        </is>
      </c>
      <c r="E670" t="inlineStr">
        <is>
          <t>VÄSTERVIK</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8402-2025</t>
        </is>
      </c>
      <c r="B671" s="1" t="n">
        <v>45709.38065972222</v>
      </c>
      <c r="C671" s="1" t="n">
        <v>45882</v>
      </c>
      <c r="D671" t="inlineStr">
        <is>
          <t>KALMAR LÄN</t>
        </is>
      </c>
      <c r="E671" t="inlineStr">
        <is>
          <t>VÄSTERVIK</t>
        </is>
      </c>
      <c r="G671" t="n">
        <v>4.3</v>
      </c>
      <c r="H671" t="n">
        <v>0</v>
      </c>
      <c r="I671" t="n">
        <v>0</v>
      </c>
      <c r="J671" t="n">
        <v>0</v>
      </c>
      <c r="K671" t="n">
        <v>0</v>
      </c>
      <c r="L671" t="n">
        <v>0</v>
      </c>
      <c r="M671" t="n">
        <v>0</v>
      </c>
      <c r="N671" t="n">
        <v>0</v>
      </c>
      <c r="O671" t="n">
        <v>0</v>
      </c>
      <c r="P671" t="n">
        <v>0</v>
      </c>
      <c r="Q671" t="n">
        <v>0</v>
      </c>
      <c r="R671" s="2" t="inlineStr"/>
    </row>
    <row r="672" ht="15" customHeight="1">
      <c r="A672" t="inlineStr">
        <is>
          <t>A 57367-2023</t>
        </is>
      </c>
      <c r="B672" s="1" t="n">
        <v>45245</v>
      </c>
      <c r="C672" s="1" t="n">
        <v>45882</v>
      </c>
      <c r="D672" t="inlineStr">
        <is>
          <t>KALMAR LÄN</t>
        </is>
      </c>
      <c r="E672" t="inlineStr">
        <is>
          <t>VÄSTERVIK</t>
        </is>
      </c>
      <c r="F672" t="inlineStr">
        <is>
          <t>Sveaskog</t>
        </is>
      </c>
      <c r="G672" t="n">
        <v>1.9</v>
      </c>
      <c r="H672" t="n">
        <v>0</v>
      </c>
      <c r="I672" t="n">
        <v>0</v>
      </c>
      <c r="J672" t="n">
        <v>0</v>
      </c>
      <c r="K672" t="n">
        <v>0</v>
      </c>
      <c r="L672" t="n">
        <v>0</v>
      </c>
      <c r="M672" t="n">
        <v>0</v>
      </c>
      <c r="N672" t="n">
        <v>0</v>
      </c>
      <c r="O672" t="n">
        <v>0</v>
      </c>
      <c r="P672" t="n">
        <v>0</v>
      </c>
      <c r="Q672" t="n">
        <v>0</v>
      </c>
      <c r="R672" s="2" t="inlineStr"/>
    </row>
    <row r="673" ht="15" customHeight="1">
      <c r="A673" t="inlineStr">
        <is>
          <t>A 51645-2023</t>
        </is>
      </c>
      <c r="B673" s="1" t="n">
        <v>45222.55333333334</v>
      </c>
      <c r="C673" s="1" t="n">
        <v>45882</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7381-2025</t>
        </is>
      </c>
      <c r="B674" s="1" t="n">
        <v>45705.32234953704</v>
      </c>
      <c r="C674" s="1" t="n">
        <v>45882</v>
      </c>
      <c r="D674" t="inlineStr">
        <is>
          <t>KALMAR LÄN</t>
        </is>
      </c>
      <c r="E674" t="inlineStr">
        <is>
          <t>VÄSTERVIK</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35655-2023</t>
        </is>
      </c>
      <c r="B675" s="1" t="n">
        <v>45147.59408564815</v>
      </c>
      <c r="C675" s="1" t="n">
        <v>45882</v>
      </c>
      <c r="D675" t="inlineStr">
        <is>
          <t>KALMAR LÄN</t>
        </is>
      </c>
      <c r="E675" t="inlineStr">
        <is>
          <t>VÄSTERVIK</t>
        </is>
      </c>
      <c r="G675" t="n">
        <v>3.3</v>
      </c>
      <c r="H675" t="n">
        <v>0</v>
      </c>
      <c r="I675" t="n">
        <v>0</v>
      </c>
      <c r="J675" t="n">
        <v>0</v>
      </c>
      <c r="K675" t="n">
        <v>0</v>
      </c>
      <c r="L675" t="n">
        <v>0</v>
      </c>
      <c r="M675" t="n">
        <v>0</v>
      </c>
      <c r="N675" t="n">
        <v>0</v>
      </c>
      <c r="O675" t="n">
        <v>0</v>
      </c>
      <c r="P675" t="n">
        <v>0</v>
      </c>
      <c r="Q675" t="n">
        <v>0</v>
      </c>
      <c r="R675" s="2" t="inlineStr"/>
    </row>
    <row r="676" ht="15" customHeight="1">
      <c r="A676" t="inlineStr">
        <is>
          <t>A 562-2023</t>
        </is>
      </c>
      <c r="B676" s="1" t="n">
        <v>44930</v>
      </c>
      <c r="C676" s="1" t="n">
        <v>45882</v>
      </c>
      <c r="D676" t="inlineStr">
        <is>
          <t>KALMAR LÄN</t>
        </is>
      </c>
      <c r="E676" t="inlineStr">
        <is>
          <t>VÄSTERVIK</t>
        </is>
      </c>
      <c r="G676" t="n">
        <v>0.4</v>
      </c>
      <c r="H676" t="n">
        <v>0</v>
      </c>
      <c r="I676" t="n">
        <v>0</v>
      </c>
      <c r="J676" t="n">
        <v>0</v>
      </c>
      <c r="K676" t="n">
        <v>0</v>
      </c>
      <c r="L676" t="n">
        <v>0</v>
      </c>
      <c r="M676" t="n">
        <v>0</v>
      </c>
      <c r="N676" t="n">
        <v>0</v>
      </c>
      <c r="O676" t="n">
        <v>0</v>
      </c>
      <c r="P676" t="n">
        <v>0</v>
      </c>
      <c r="Q676" t="n">
        <v>0</v>
      </c>
      <c r="R676" s="2" t="inlineStr"/>
    </row>
    <row r="677" ht="15" customHeight="1">
      <c r="A677" t="inlineStr">
        <is>
          <t>A 23042-2025</t>
        </is>
      </c>
      <c r="B677" s="1" t="n">
        <v>45790.67273148148</v>
      </c>
      <c r="C677" s="1" t="n">
        <v>45882</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23148-2025</t>
        </is>
      </c>
      <c r="B678" s="1" t="n">
        <v>45791.40225694444</v>
      </c>
      <c r="C678" s="1" t="n">
        <v>45882</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15440-2025</t>
        </is>
      </c>
      <c r="B679" s="1" t="n">
        <v>45747.48170138889</v>
      </c>
      <c r="C679" s="1" t="n">
        <v>45882</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22891-2025</t>
        </is>
      </c>
      <c r="B680" s="1" t="n">
        <v>45790.39267361111</v>
      </c>
      <c r="C680" s="1" t="n">
        <v>45882</v>
      </c>
      <c r="D680" t="inlineStr">
        <is>
          <t>KALMAR LÄN</t>
        </is>
      </c>
      <c r="E680" t="inlineStr">
        <is>
          <t>VÄSTERVIK</t>
        </is>
      </c>
      <c r="G680" t="n">
        <v>1.4</v>
      </c>
      <c r="H680" t="n">
        <v>0</v>
      </c>
      <c r="I680" t="n">
        <v>0</v>
      </c>
      <c r="J680" t="n">
        <v>0</v>
      </c>
      <c r="K680" t="n">
        <v>0</v>
      </c>
      <c r="L680" t="n">
        <v>0</v>
      </c>
      <c r="M680" t="n">
        <v>0</v>
      </c>
      <c r="N680" t="n">
        <v>0</v>
      </c>
      <c r="O680" t="n">
        <v>0</v>
      </c>
      <c r="P680" t="n">
        <v>0</v>
      </c>
      <c r="Q680" t="n">
        <v>0</v>
      </c>
      <c r="R680" s="2" t="inlineStr"/>
    </row>
    <row r="681" ht="15" customHeight="1">
      <c r="A681" t="inlineStr">
        <is>
          <t>A 44705-2023</t>
        </is>
      </c>
      <c r="B681" s="1" t="n">
        <v>45190</v>
      </c>
      <c r="C681" s="1" t="n">
        <v>45882</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48035-2024</t>
        </is>
      </c>
      <c r="B682" s="1" t="n">
        <v>45589.49168981481</v>
      </c>
      <c r="C682" s="1" t="n">
        <v>45882</v>
      </c>
      <c r="D682" t="inlineStr">
        <is>
          <t>KALMAR LÄN</t>
        </is>
      </c>
      <c r="E682" t="inlineStr">
        <is>
          <t>VÄSTERVIK</t>
        </is>
      </c>
      <c r="G682" t="n">
        <v>2.1</v>
      </c>
      <c r="H682" t="n">
        <v>0</v>
      </c>
      <c r="I682" t="n">
        <v>0</v>
      </c>
      <c r="J682" t="n">
        <v>0</v>
      </c>
      <c r="K682" t="n">
        <v>0</v>
      </c>
      <c r="L682" t="n">
        <v>0</v>
      </c>
      <c r="M682" t="n">
        <v>0</v>
      </c>
      <c r="N682" t="n">
        <v>0</v>
      </c>
      <c r="O682" t="n">
        <v>0</v>
      </c>
      <c r="P682" t="n">
        <v>0</v>
      </c>
      <c r="Q682" t="n">
        <v>0</v>
      </c>
      <c r="R682" s="2" t="inlineStr"/>
    </row>
    <row r="683" ht="15" customHeight="1">
      <c r="A683" t="inlineStr">
        <is>
          <t>A 22893-2025</t>
        </is>
      </c>
      <c r="B683" s="1" t="n">
        <v>45790.39622685185</v>
      </c>
      <c r="C683" s="1" t="n">
        <v>45882</v>
      </c>
      <c r="D683" t="inlineStr">
        <is>
          <t>KALMAR LÄN</t>
        </is>
      </c>
      <c r="E683" t="inlineStr">
        <is>
          <t>VÄSTERVIK</t>
        </is>
      </c>
      <c r="G683" t="n">
        <v>2.1</v>
      </c>
      <c r="H683" t="n">
        <v>0</v>
      </c>
      <c r="I683" t="n">
        <v>0</v>
      </c>
      <c r="J683" t="n">
        <v>0</v>
      </c>
      <c r="K683" t="n">
        <v>0</v>
      </c>
      <c r="L683" t="n">
        <v>0</v>
      </c>
      <c r="M683" t="n">
        <v>0</v>
      </c>
      <c r="N683" t="n">
        <v>0</v>
      </c>
      <c r="O683" t="n">
        <v>0</v>
      </c>
      <c r="P683" t="n">
        <v>0</v>
      </c>
      <c r="Q683" t="n">
        <v>0</v>
      </c>
      <c r="R683" s="2" t="inlineStr"/>
    </row>
    <row r="684" ht="15" customHeight="1">
      <c r="A684" t="inlineStr">
        <is>
          <t>A 8597-2023</t>
        </is>
      </c>
      <c r="B684" s="1" t="n">
        <v>44977</v>
      </c>
      <c r="C684" s="1" t="n">
        <v>45882</v>
      </c>
      <c r="D684" t="inlineStr">
        <is>
          <t>KALMAR LÄN</t>
        </is>
      </c>
      <c r="E684" t="inlineStr">
        <is>
          <t>VÄSTERVIK</t>
        </is>
      </c>
      <c r="G684" t="n">
        <v>0.2</v>
      </c>
      <c r="H684" t="n">
        <v>0</v>
      </c>
      <c r="I684" t="n">
        <v>0</v>
      </c>
      <c r="J684" t="n">
        <v>0</v>
      </c>
      <c r="K684" t="n">
        <v>0</v>
      </c>
      <c r="L684" t="n">
        <v>0</v>
      </c>
      <c r="M684" t="n">
        <v>0</v>
      </c>
      <c r="N684" t="n">
        <v>0</v>
      </c>
      <c r="O684" t="n">
        <v>0</v>
      </c>
      <c r="P684" t="n">
        <v>0</v>
      </c>
      <c r="Q684" t="n">
        <v>0</v>
      </c>
      <c r="R684" s="2" t="inlineStr"/>
    </row>
    <row r="685" ht="15" customHeight="1">
      <c r="A685" t="inlineStr">
        <is>
          <t>A 55359-2024</t>
        </is>
      </c>
      <c r="B685" s="1" t="n">
        <v>45621.82230324074</v>
      </c>
      <c r="C685" s="1" t="n">
        <v>45882</v>
      </c>
      <c r="D685" t="inlineStr">
        <is>
          <t>KALMAR LÄN</t>
        </is>
      </c>
      <c r="E685" t="inlineStr">
        <is>
          <t>VÄSTERVIK</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10116-2022</t>
        </is>
      </c>
      <c r="B686" s="1" t="n">
        <v>44621</v>
      </c>
      <c r="C686" s="1" t="n">
        <v>45882</v>
      </c>
      <c r="D686" t="inlineStr">
        <is>
          <t>KALMAR LÄN</t>
        </is>
      </c>
      <c r="E686" t="inlineStr">
        <is>
          <t>VÄSTERVIK</t>
        </is>
      </c>
      <c r="G686" t="n">
        <v>1.6</v>
      </c>
      <c r="H686" t="n">
        <v>0</v>
      </c>
      <c r="I686" t="n">
        <v>0</v>
      </c>
      <c r="J686" t="n">
        <v>0</v>
      </c>
      <c r="K686" t="n">
        <v>0</v>
      </c>
      <c r="L686" t="n">
        <v>0</v>
      </c>
      <c r="M686" t="n">
        <v>0</v>
      </c>
      <c r="N686" t="n">
        <v>0</v>
      </c>
      <c r="O686" t="n">
        <v>0</v>
      </c>
      <c r="P686" t="n">
        <v>0</v>
      </c>
      <c r="Q686" t="n">
        <v>0</v>
      </c>
      <c r="R686" s="2" t="inlineStr"/>
    </row>
    <row r="687" ht="15" customHeight="1">
      <c r="A687" t="inlineStr">
        <is>
          <t>A 9973-2025</t>
        </is>
      </c>
      <c r="B687" s="1" t="n">
        <v>45719.38739583334</v>
      </c>
      <c r="C687" s="1" t="n">
        <v>45882</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23024-2025</t>
        </is>
      </c>
      <c r="B688" s="1" t="n">
        <v>45790.65615740741</v>
      </c>
      <c r="C688" s="1" t="n">
        <v>45882</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23033-2025</t>
        </is>
      </c>
      <c r="B689" s="1" t="n">
        <v>45790.65793981482</v>
      </c>
      <c r="C689" s="1" t="n">
        <v>45882</v>
      </c>
      <c r="D689" t="inlineStr">
        <is>
          <t>KALMAR LÄN</t>
        </is>
      </c>
      <c r="E689" t="inlineStr">
        <is>
          <t>VÄSTERVIK</t>
        </is>
      </c>
      <c r="G689" t="n">
        <v>1.1</v>
      </c>
      <c r="H689" t="n">
        <v>0</v>
      </c>
      <c r="I689" t="n">
        <v>0</v>
      </c>
      <c r="J689" t="n">
        <v>0</v>
      </c>
      <c r="K689" t="n">
        <v>0</v>
      </c>
      <c r="L689" t="n">
        <v>0</v>
      </c>
      <c r="M689" t="n">
        <v>0</v>
      </c>
      <c r="N689" t="n">
        <v>0</v>
      </c>
      <c r="O689" t="n">
        <v>0</v>
      </c>
      <c r="P689" t="n">
        <v>0</v>
      </c>
      <c r="Q689" t="n">
        <v>0</v>
      </c>
      <c r="R689" s="2" t="inlineStr"/>
    </row>
    <row r="690" ht="15" customHeight="1">
      <c r="A690" t="inlineStr">
        <is>
          <t>A 10725-2023</t>
        </is>
      </c>
      <c r="B690" s="1" t="n">
        <v>44988.66966435185</v>
      </c>
      <c r="C690" s="1" t="n">
        <v>45882</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45463-2024</t>
        </is>
      </c>
      <c r="B691" s="1" t="n">
        <v>45576.69753472223</v>
      </c>
      <c r="C691" s="1" t="n">
        <v>45882</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17652-2023</t>
        </is>
      </c>
      <c r="B692" s="1" t="n">
        <v>45036.70626157407</v>
      </c>
      <c r="C692" s="1" t="n">
        <v>45882</v>
      </c>
      <c r="D692" t="inlineStr">
        <is>
          <t>KALMAR LÄN</t>
        </is>
      </c>
      <c r="E692" t="inlineStr">
        <is>
          <t>VÄSTERVIK</t>
        </is>
      </c>
      <c r="G692" t="n">
        <v>0.2</v>
      </c>
      <c r="H692" t="n">
        <v>0</v>
      </c>
      <c r="I692" t="n">
        <v>0</v>
      </c>
      <c r="J692" t="n">
        <v>0</v>
      </c>
      <c r="K692" t="n">
        <v>0</v>
      </c>
      <c r="L692" t="n">
        <v>0</v>
      </c>
      <c r="M692" t="n">
        <v>0</v>
      </c>
      <c r="N692" t="n">
        <v>0</v>
      </c>
      <c r="O692" t="n">
        <v>0</v>
      </c>
      <c r="P692" t="n">
        <v>0</v>
      </c>
      <c r="Q692" t="n">
        <v>0</v>
      </c>
      <c r="R692" s="2" t="inlineStr"/>
    </row>
    <row r="693" ht="15" customHeight="1">
      <c r="A693" t="inlineStr">
        <is>
          <t>A 24562-2024</t>
        </is>
      </c>
      <c r="B693" s="1" t="n">
        <v>45460</v>
      </c>
      <c r="C693" s="1" t="n">
        <v>45882</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23745-2025</t>
        </is>
      </c>
      <c r="B694" s="1" t="n">
        <v>45793.44484953704</v>
      </c>
      <c r="C694" s="1" t="n">
        <v>45882</v>
      </c>
      <c r="D694" t="inlineStr">
        <is>
          <t>KALMAR LÄN</t>
        </is>
      </c>
      <c r="E694" t="inlineStr">
        <is>
          <t>VÄSTERVIK</t>
        </is>
      </c>
      <c r="F694" t="inlineStr">
        <is>
          <t>Holmen skog AB</t>
        </is>
      </c>
      <c r="G694" t="n">
        <v>3.7</v>
      </c>
      <c r="H694" t="n">
        <v>0</v>
      </c>
      <c r="I694" t="n">
        <v>0</v>
      </c>
      <c r="J694" t="n">
        <v>0</v>
      </c>
      <c r="K694" t="n">
        <v>0</v>
      </c>
      <c r="L694" t="n">
        <v>0</v>
      </c>
      <c r="M694" t="n">
        <v>0</v>
      </c>
      <c r="N694" t="n">
        <v>0</v>
      </c>
      <c r="O694" t="n">
        <v>0</v>
      </c>
      <c r="P694" t="n">
        <v>0</v>
      </c>
      <c r="Q694" t="n">
        <v>0</v>
      </c>
      <c r="R694" s="2" t="inlineStr"/>
    </row>
    <row r="695" ht="15" customHeight="1">
      <c r="A695" t="inlineStr">
        <is>
          <t>A 24578-2024</t>
        </is>
      </c>
      <c r="B695" s="1" t="n">
        <v>45460</v>
      </c>
      <c r="C695" s="1" t="n">
        <v>45882</v>
      </c>
      <c r="D695" t="inlineStr">
        <is>
          <t>KALMAR LÄN</t>
        </is>
      </c>
      <c r="E695" t="inlineStr">
        <is>
          <t>VÄSTERVIK</t>
        </is>
      </c>
      <c r="G695" t="n">
        <v>1.2</v>
      </c>
      <c r="H695" t="n">
        <v>0</v>
      </c>
      <c r="I695" t="n">
        <v>0</v>
      </c>
      <c r="J695" t="n">
        <v>0</v>
      </c>
      <c r="K695" t="n">
        <v>0</v>
      </c>
      <c r="L695" t="n">
        <v>0</v>
      </c>
      <c r="M695" t="n">
        <v>0</v>
      </c>
      <c r="N695" t="n">
        <v>0</v>
      </c>
      <c r="O695" t="n">
        <v>0</v>
      </c>
      <c r="P695" t="n">
        <v>0</v>
      </c>
      <c r="Q695" t="n">
        <v>0</v>
      </c>
      <c r="R695" s="2" t="inlineStr"/>
    </row>
    <row r="696" ht="15" customHeight="1">
      <c r="A696" t="inlineStr">
        <is>
          <t>A 10012-2025</t>
        </is>
      </c>
      <c r="B696" s="1" t="n">
        <v>45719.46681712963</v>
      </c>
      <c r="C696" s="1" t="n">
        <v>45882</v>
      </c>
      <c r="D696" t="inlineStr">
        <is>
          <t>KALMAR LÄN</t>
        </is>
      </c>
      <c r="E696" t="inlineStr">
        <is>
          <t>VÄSTERVIK</t>
        </is>
      </c>
      <c r="G696" t="n">
        <v>0.8</v>
      </c>
      <c r="H696" t="n">
        <v>0</v>
      </c>
      <c r="I696" t="n">
        <v>0</v>
      </c>
      <c r="J696" t="n">
        <v>0</v>
      </c>
      <c r="K696" t="n">
        <v>0</v>
      </c>
      <c r="L696" t="n">
        <v>0</v>
      </c>
      <c r="M696" t="n">
        <v>0</v>
      </c>
      <c r="N696" t="n">
        <v>0</v>
      </c>
      <c r="O696" t="n">
        <v>0</v>
      </c>
      <c r="P696" t="n">
        <v>0</v>
      </c>
      <c r="Q696" t="n">
        <v>0</v>
      </c>
      <c r="R696" s="2" t="inlineStr"/>
    </row>
    <row r="697" ht="15" customHeight="1">
      <c r="A697" t="inlineStr">
        <is>
          <t>A 23739-2025</t>
        </is>
      </c>
      <c r="B697" s="1" t="n">
        <v>45793.42939814815</v>
      </c>
      <c r="C697" s="1" t="n">
        <v>45882</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62921-2023</t>
        </is>
      </c>
      <c r="B698" s="1" t="n">
        <v>45272</v>
      </c>
      <c r="C698" s="1" t="n">
        <v>45882</v>
      </c>
      <c r="D698" t="inlineStr">
        <is>
          <t>KALMAR LÄN</t>
        </is>
      </c>
      <c r="E698" t="inlineStr">
        <is>
          <t>VÄSTERVIK</t>
        </is>
      </c>
      <c r="G698" t="n">
        <v>0.7</v>
      </c>
      <c r="H698" t="n">
        <v>0</v>
      </c>
      <c r="I698" t="n">
        <v>0</v>
      </c>
      <c r="J698" t="n">
        <v>0</v>
      </c>
      <c r="K698" t="n">
        <v>0</v>
      </c>
      <c r="L698" t="n">
        <v>0</v>
      </c>
      <c r="M698" t="n">
        <v>0</v>
      </c>
      <c r="N698" t="n">
        <v>0</v>
      </c>
      <c r="O698" t="n">
        <v>0</v>
      </c>
      <c r="P698" t="n">
        <v>0</v>
      </c>
      <c r="Q698" t="n">
        <v>0</v>
      </c>
      <c r="R698" s="2" t="inlineStr"/>
    </row>
    <row r="699" ht="15" customHeight="1">
      <c r="A699" t="inlineStr">
        <is>
          <t>A 23859-2025</t>
        </is>
      </c>
      <c r="B699" s="1" t="n">
        <v>45793.65996527778</v>
      </c>
      <c r="C699" s="1" t="n">
        <v>45882</v>
      </c>
      <c r="D699" t="inlineStr">
        <is>
          <t>KALMAR LÄN</t>
        </is>
      </c>
      <c r="E699" t="inlineStr">
        <is>
          <t>VÄSTERVIK</t>
        </is>
      </c>
      <c r="F699" t="inlineStr">
        <is>
          <t>Holmen skog AB</t>
        </is>
      </c>
      <c r="G699" t="n">
        <v>17.7</v>
      </c>
      <c r="H699" t="n">
        <v>0</v>
      </c>
      <c r="I699" t="n">
        <v>0</v>
      </c>
      <c r="J699" t="n">
        <v>0</v>
      </c>
      <c r="K699" t="n">
        <v>0</v>
      </c>
      <c r="L699" t="n">
        <v>0</v>
      </c>
      <c r="M699" t="n">
        <v>0</v>
      </c>
      <c r="N699" t="n">
        <v>0</v>
      </c>
      <c r="O699" t="n">
        <v>0</v>
      </c>
      <c r="P699" t="n">
        <v>0</v>
      </c>
      <c r="Q699" t="n">
        <v>0</v>
      </c>
      <c r="R699" s="2" t="inlineStr"/>
    </row>
    <row r="700" ht="15" customHeight="1">
      <c r="A700" t="inlineStr">
        <is>
          <t>A 55042-2024</t>
        </is>
      </c>
      <c r="B700" s="1" t="n">
        <v>45621.39081018518</v>
      </c>
      <c r="C700" s="1" t="n">
        <v>45882</v>
      </c>
      <c r="D700" t="inlineStr">
        <is>
          <t>KALMAR LÄN</t>
        </is>
      </c>
      <c r="E700" t="inlineStr">
        <is>
          <t>VÄSTERVIK</t>
        </is>
      </c>
      <c r="F700" t="inlineStr">
        <is>
          <t>Sveaskog</t>
        </is>
      </c>
      <c r="G700" t="n">
        <v>3</v>
      </c>
      <c r="H700" t="n">
        <v>0</v>
      </c>
      <c r="I700" t="n">
        <v>0</v>
      </c>
      <c r="J700" t="n">
        <v>0</v>
      </c>
      <c r="K700" t="n">
        <v>0</v>
      </c>
      <c r="L700" t="n">
        <v>0</v>
      </c>
      <c r="M700" t="n">
        <v>0</v>
      </c>
      <c r="N700" t="n">
        <v>0</v>
      </c>
      <c r="O700" t="n">
        <v>0</v>
      </c>
      <c r="P700" t="n">
        <v>0</v>
      </c>
      <c r="Q700" t="n">
        <v>0</v>
      </c>
      <c r="R700" s="2" t="inlineStr"/>
    </row>
    <row r="701" ht="15" customHeight="1">
      <c r="A701" t="inlineStr">
        <is>
          <t>A 24212-2025</t>
        </is>
      </c>
      <c r="B701" s="1" t="n">
        <v>45797.34990740741</v>
      </c>
      <c r="C701" s="1" t="n">
        <v>45882</v>
      </c>
      <c r="D701" t="inlineStr">
        <is>
          <t>KALMAR LÄN</t>
        </is>
      </c>
      <c r="E701" t="inlineStr">
        <is>
          <t>VÄSTERVIK</t>
        </is>
      </c>
      <c r="G701" t="n">
        <v>1.9</v>
      </c>
      <c r="H701" t="n">
        <v>0</v>
      </c>
      <c r="I701" t="n">
        <v>0</v>
      </c>
      <c r="J701" t="n">
        <v>0</v>
      </c>
      <c r="K701" t="n">
        <v>0</v>
      </c>
      <c r="L701" t="n">
        <v>0</v>
      </c>
      <c r="M701" t="n">
        <v>0</v>
      </c>
      <c r="N701" t="n">
        <v>0</v>
      </c>
      <c r="O701" t="n">
        <v>0</v>
      </c>
      <c r="P701" t="n">
        <v>0</v>
      </c>
      <c r="Q701" t="n">
        <v>0</v>
      </c>
      <c r="R701" s="2" t="inlineStr"/>
    </row>
    <row r="702" ht="15" customHeight="1">
      <c r="A702" t="inlineStr">
        <is>
          <t>A 2951-2025</t>
        </is>
      </c>
      <c r="B702" s="1" t="n">
        <v>45678</v>
      </c>
      <c r="C702" s="1" t="n">
        <v>45882</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11189-2024</t>
        </is>
      </c>
      <c r="B703" s="1" t="n">
        <v>45371</v>
      </c>
      <c r="C703" s="1" t="n">
        <v>45882</v>
      </c>
      <c r="D703" t="inlineStr">
        <is>
          <t>KALMAR LÄN</t>
        </is>
      </c>
      <c r="E703" t="inlineStr">
        <is>
          <t>VÄSTERVIK</t>
        </is>
      </c>
      <c r="G703" t="n">
        <v>5.2</v>
      </c>
      <c r="H703" t="n">
        <v>0</v>
      </c>
      <c r="I703" t="n">
        <v>0</v>
      </c>
      <c r="J703" t="n">
        <v>0</v>
      </c>
      <c r="K703" t="n">
        <v>0</v>
      </c>
      <c r="L703" t="n">
        <v>0</v>
      </c>
      <c r="M703" t="n">
        <v>0</v>
      </c>
      <c r="N703" t="n">
        <v>0</v>
      </c>
      <c r="O703" t="n">
        <v>0</v>
      </c>
      <c r="P703" t="n">
        <v>0</v>
      </c>
      <c r="Q703" t="n">
        <v>0</v>
      </c>
      <c r="R703" s="2" t="inlineStr"/>
    </row>
    <row r="704" ht="15" customHeight="1">
      <c r="A704" t="inlineStr">
        <is>
          <t>A 23022-2025</t>
        </is>
      </c>
      <c r="B704" s="1" t="n">
        <v>45790.65489583334</v>
      </c>
      <c r="C704" s="1" t="n">
        <v>45882</v>
      </c>
      <c r="D704" t="inlineStr">
        <is>
          <t>KALMAR LÄN</t>
        </is>
      </c>
      <c r="E704" t="inlineStr">
        <is>
          <t>VÄSTERVIK</t>
        </is>
      </c>
      <c r="G704" t="n">
        <v>3.3</v>
      </c>
      <c r="H704" t="n">
        <v>0</v>
      </c>
      <c r="I704" t="n">
        <v>0</v>
      </c>
      <c r="J704" t="n">
        <v>0</v>
      </c>
      <c r="K704" t="n">
        <v>0</v>
      </c>
      <c r="L704" t="n">
        <v>0</v>
      </c>
      <c r="M704" t="n">
        <v>0</v>
      </c>
      <c r="N704" t="n">
        <v>0</v>
      </c>
      <c r="O704" t="n">
        <v>0</v>
      </c>
      <c r="P704" t="n">
        <v>0</v>
      </c>
      <c r="Q704" t="n">
        <v>0</v>
      </c>
      <c r="R704" s="2" t="inlineStr"/>
    </row>
    <row r="705" ht="15" customHeight="1">
      <c r="A705" t="inlineStr">
        <is>
          <t>A 19694-2025</t>
        </is>
      </c>
      <c r="B705" s="1" t="n">
        <v>45771.30550925926</v>
      </c>
      <c r="C705" s="1" t="n">
        <v>45882</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47939-2023</t>
        </is>
      </c>
      <c r="B706" s="1" t="n">
        <v>45204.56195601852</v>
      </c>
      <c r="C706" s="1" t="n">
        <v>45882</v>
      </c>
      <c r="D706" t="inlineStr">
        <is>
          <t>KALMAR LÄN</t>
        </is>
      </c>
      <c r="E706" t="inlineStr">
        <is>
          <t>VÄSTERVIK</t>
        </is>
      </c>
      <c r="G706" t="n">
        <v>3.7</v>
      </c>
      <c r="H706" t="n">
        <v>0</v>
      </c>
      <c r="I706" t="n">
        <v>0</v>
      </c>
      <c r="J706" t="n">
        <v>0</v>
      </c>
      <c r="K706" t="n">
        <v>0</v>
      </c>
      <c r="L706" t="n">
        <v>0</v>
      </c>
      <c r="M706" t="n">
        <v>0</v>
      </c>
      <c r="N706" t="n">
        <v>0</v>
      </c>
      <c r="O706" t="n">
        <v>0</v>
      </c>
      <c r="P706" t="n">
        <v>0</v>
      </c>
      <c r="Q706" t="n">
        <v>0</v>
      </c>
      <c r="R706" s="2" t="inlineStr"/>
    </row>
    <row r="707" ht="15" customHeight="1">
      <c r="A707" t="inlineStr">
        <is>
          <t>A 14055-2025</t>
        </is>
      </c>
      <c r="B707" s="1" t="n">
        <v>45740.39541666667</v>
      </c>
      <c r="C707" s="1" t="n">
        <v>45882</v>
      </c>
      <c r="D707" t="inlineStr">
        <is>
          <t>KALMAR LÄN</t>
        </is>
      </c>
      <c r="E707" t="inlineStr">
        <is>
          <t>VÄSTERVIK</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46718-2023</t>
        </is>
      </c>
      <c r="B708" s="1" t="n">
        <v>45198</v>
      </c>
      <c r="C708" s="1" t="n">
        <v>45882</v>
      </c>
      <c r="D708" t="inlineStr">
        <is>
          <t>KALMAR LÄN</t>
        </is>
      </c>
      <c r="E708" t="inlineStr">
        <is>
          <t>VÄSTERVIK</t>
        </is>
      </c>
      <c r="G708" t="n">
        <v>0.4</v>
      </c>
      <c r="H708" t="n">
        <v>0</v>
      </c>
      <c r="I708" t="n">
        <v>0</v>
      </c>
      <c r="J708" t="n">
        <v>0</v>
      </c>
      <c r="K708" t="n">
        <v>0</v>
      </c>
      <c r="L708" t="n">
        <v>0</v>
      </c>
      <c r="M708" t="n">
        <v>0</v>
      </c>
      <c r="N708" t="n">
        <v>0</v>
      </c>
      <c r="O708" t="n">
        <v>0</v>
      </c>
      <c r="P708" t="n">
        <v>0</v>
      </c>
      <c r="Q708" t="n">
        <v>0</v>
      </c>
      <c r="R708" s="2" t="inlineStr"/>
    </row>
    <row r="709" ht="15" customHeight="1">
      <c r="A709" t="inlineStr">
        <is>
          <t>A 58217-2022</t>
        </is>
      </c>
      <c r="B709" s="1" t="n">
        <v>44901.36453703704</v>
      </c>
      <c r="C709" s="1" t="n">
        <v>45882</v>
      </c>
      <c r="D709" t="inlineStr">
        <is>
          <t>KALMAR LÄN</t>
        </is>
      </c>
      <c r="E709" t="inlineStr">
        <is>
          <t>VÄSTERVIK</t>
        </is>
      </c>
      <c r="G709" t="n">
        <v>0.8</v>
      </c>
      <c r="H709" t="n">
        <v>0</v>
      </c>
      <c r="I709" t="n">
        <v>0</v>
      </c>
      <c r="J709" t="n">
        <v>0</v>
      </c>
      <c r="K709" t="n">
        <v>0</v>
      </c>
      <c r="L709" t="n">
        <v>0</v>
      </c>
      <c r="M709" t="n">
        <v>0</v>
      </c>
      <c r="N709" t="n">
        <v>0</v>
      </c>
      <c r="O709" t="n">
        <v>0</v>
      </c>
      <c r="P709" t="n">
        <v>0</v>
      </c>
      <c r="Q709" t="n">
        <v>0</v>
      </c>
      <c r="R709" s="2" t="inlineStr"/>
    </row>
    <row r="710" ht="15" customHeight="1">
      <c r="A710" t="inlineStr">
        <is>
          <t>A 13748-2024</t>
        </is>
      </c>
      <c r="B710" s="1" t="n">
        <v>45390</v>
      </c>
      <c r="C710" s="1" t="n">
        <v>45882</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15451-2025</t>
        </is>
      </c>
      <c r="B711" s="1" t="n">
        <v>45747.49021990741</v>
      </c>
      <c r="C711" s="1" t="n">
        <v>45882</v>
      </c>
      <c r="D711" t="inlineStr">
        <is>
          <t>KALMAR LÄN</t>
        </is>
      </c>
      <c r="E711" t="inlineStr">
        <is>
          <t>VÄSTERVIK</t>
        </is>
      </c>
      <c r="G711" t="n">
        <v>0.9</v>
      </c>
      <c r="H711" t="n">
        <v>0</v>
      </c>
      <c r="I711" t="n">
        <v>0</v>
      </c>
      <c r="J711" t="n">
        <v>0</v>
      </c>
      <c r="K711" t="n">
        <v>0</v>
      </c>
      <c r="L711" t="n">
        <v>0</v>
      </c>
      <c r="M711" t="n">
        <v>0</v>
      </c>
      <c r="N711" t="n">
        <v>0</v>
      </c>
      <c r="O711" t="n">
        <v>0</v>
      </c>
      <c r="P711" t="n">
        <v>0</v>
      </c>
      <c r="Q711" t="n">
        <v>0</v>
      </c>
      <c r="R711" s="2" t="inlineStr"/>
    </row>
    <row r="712" ht="15" customHeight="1">
      <c r="A712" t="inlineStr">
        <is>
          <t>A 1877-2025</t>
        </is>
      </c>
      <c r="B712" s="1" t="n">
        <v>45671.62141203704</v>
      </c>
      <c r="C712" s="1" t="n">
        <v>45882</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35962-2023</t>
        </is>
      </c>
      <c r="B713" s="1" t="n">
        <v>45148</v>
      </c>
      <c r="C713" s="1" t="n">
        <v>45882</v>
      </c>
      <c r="D713" t="inlineStr">
        <is>
          <t>KALMAR LÄN</t>
        </is>
      </c>
      <c r="E713" t="inlineStr">
        <is>
          <t>VÄSTERVIK</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16080-2025</t>
        </is>
      </c>
      <c r="B714" s="1" t="n">
        <v>45749.72953703703</v>
      </c>
      <c r="C714" s="1" t="n">
        <v>45882</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29557-2024</t>
        </is>
      </c>
      <c r="B715" s="1" t="n">
        <v>45484.52023148148</v>
      </c>
      <c r="C715" s="1" t="n">
        <v>45882</v>
      </c>
      <c r="D715" t="inlineStr">
        <is>
          <t>KALMAR LÄN</t>
        </is>
      </c>
      <c r="E715" t="inlineStr">
        <is>
          <t>VÄSTERVIK</t>
        </is>
      </c>
      <c r="G715" t="n">
        <v>5.9</v>
      </c>
      <c r="H715" t="n">
        <v>0</v>
      </c>
      <c r="I715" t="n">
        <v>0</v>
      </c>
      <c r="J715" t="n">
        <v>0</v>
      </c>
      <c r="K715" t="n">
        <v>0</v>
      </c>
      <c r="L715" t="n">
        <v>0</v>
      </c>
      <c r="M715" t="n">
        <v>0</v>
      </c>
      <c r="N715" t="n">
        <v>0</v>
      </c>
      <c r="O715" t="n">
        <v>0</v>
      </c>
      <c r="P715" t="n">
        <v>0</v>
      </c>
      <c r="Q715" t="n">
        <v>0</v>
      </c>
      <c r="R715" s="2" t="inlineStr"/>
    </row>
    <row r="716" ht="15" customHeight="1">
      <c r="A716" t="inlineStr">
        <is>
          <t>A 1787-2025</t>
        </is>
      </c>
      <c r="B716" s="1" t="n">
        <v>45671.45357638889</v>
      </c>
      <c r="C716" s="1" t="n">
        <v>45882</v>
      </c>
      <c r="D716" t="inlineStr">
        <is>
          <t>KALMAR LÄN</t>
        </is>
      </c>
      <c r="E716" t="inlineStr">
        <is>
          <t>VÄSTERVIK</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27568-2024</t>
        </is>
      </c>
      <c r="B717" s="1" t="n">
        <v>45474</v>
      </c>
      <c r="C717" s="1" t="n">
        <v>45882</v>
      </c>
      <c r="D717" t="inlineStr">
        <is>
          <t>KALMAR LÄN</t>
        </is>
      </c>
      <c r="E717" t="inlineStr">
        <is>
          <t>VÄSTERVIK</t>
        </is>
      </c>
      <c r="G717" t="n">
        <v>7.7</v>
      </c>
      <c r="H717" t="n">
        <v>0</v>
      </c>
      <c r="I717" t="n">
        <v>0</v>
      </c>
      <c r="J717" t="n">
        <v>0</v>
      </c>
      <c r="K717" t="n">
        <v>0</v>
      </c>
      <c r="L717" t="n">
        <v>0</v>
      </c>
      <c r="M717" t="n">
        <v>0</v>
      </c>
      <c r="N717" t="n">
        <v>0</v>
      </c>
      <c r="O717" t="n">
        <v>0</v>
      </c>
      <c r="P717" t="n">
        <v>0</v>
      </c>
      <c r="Q717" t="n">
        <v>0</v>
      </c>
      <c r="R717" s="2" t="inlineStr"/>
    </row>
    <row r="718" ht="15" customHeight="1">
      <c r="A718" t="inlineStr">
        <is>
          <t>A 28390-2024</t>
        </is>
      </c>
      <c r="B718" s="1" t="n">
        <v>45477</v>
      </c>
      <c r="C718" s="1" t="n">
        <v>45882</v>
      </c>
      <c r="D718" t="inlineStr">
        <is>
          <t>KALMAR LÄN</t>
        </is>
      </c>
      <c r="E718" t="inlineStr">
        <is>
          <t>VÄSTERVIK</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29784-2024</t>
        </is>
      </c>
      <c r="B719" s="1" t="n">
        <v>45485.46129629629</v>
      </c>
      <c r="C719" s="1" t="n">
        <v>45882</v>
      </c>
      <c r="D719" t="inlineStr">
        <is>
          <t>KALMAR LÄN</t>
        </is>
      </c>
      <c r="E719" t="inlineStr">
        <is>
          <t>VÄSTERVIK</t>
        </is>
      </c>
      <c r="G719" t="n">
        <v>1.8</v>
      </c>
      <c r="H719" t="n">
        <v>0</v>
      </c>
      <c r="I719" t="n">
        <v>0</v>
      </c>
      <c r="J719" t="n">
        <v>0</v>
      </c>
      <c r="K719" t="n">
        <v>0</v>
      </c>
      <c r="L719" t="n">
        <v>0</v>
      </c>
      <c r="M719" t="n">
        <v>0</v>
      </c>
      <c r="N719" t="n">
        <v>0</v>
      </c>
      <c r="O719" t="n">
        <v>0</v>
      </c>
      <c r="P719" t="n">
        <v>0</v>
      </c>
      <c r="Q719" t="n">
        <v>0</v>
      </c>
      <c r="R719" s="2" t="inlineStr"/>
    </row>
    <row r="720" ht="15" customHeight="1">
      <c r="A720" t="inlineStr">
        <is>
          <t>A 13836-2024</t>
        </is>
      </c>
      <c r="B720" s="1" t="n">
        <v>45391.44385416667</v>
      </c>
      <c r="C720" s="1" t="n">
        <v>45882</v>
      </c>
      <c r="D720" t="inlineStr">
        <is>
          <t>KALMAR LÄN</t>
        </is>
      </c>
      <c r="E720" t="inlineStr">
        <is>
          <t>VÄSTERVIK</t>
        </is>
      </c>
      <c r="F720" t="inlineStr">
        <is>
          <t>Sveaskog</t>
        </is>
      </c>
      <c r="G720" t="n">
        <v>2.6</v>
      </c>
      <c r="H720" t="n">
        <v>0</v>
      </c>
      <c r="I720" t="n">
        <v>0</v>
      </c>
      <c r="J720" t="n">
        <v>0</v>
      </c>
      <c r="K720" t="n">
        <v>0</v>
      </c>
      <c r="L720" t="n">
        <v>0</v>
      </c>
      <c r="M720" t="n">
        <v>0</v>
      </c>
      <c r="N720" t="n">
        <v>0</v>
      </c>
      <c r="O720" t="n">
        <v>0</v>
      </c>
      <c r="P720" t="n">
        <v>0</v>
      </c>
      <c r="Q720" t="n">
        <v>0</v>
      </c>
      <c r="R720" s="2" t="inlineStr"/>
    </row>
    <row r="721" ht="15" customHeight="1">
      <c r="A721" t="inlineStr">
        <is>
          <t>A 16839-2025</t>
        </is>
      </c>
      <c r="B721" s="1" t="n">
        <v>45754.66733796296</v>
      </c>
      <c r="C721" s="1" t="n">
        <v>45882</v>
      </c>
      <c r="D721" t="inlineStr">
        <is>
          <t>KALMAR LÄN</t>
        </is>
      </c>
      <c r="E721" t="inlineStr">
        <is>
          <t>VÄSTERVIK</t>
        </is>
      </c>
      <c r="G721" t="n">
        <v>1.1</v>
      </c>
      <c r="H721" t="n">
        <v>0</v>
      </c>
      <c r="I721" t="n">
        <v>0</v>
      </c>
      <c r="J721" t="n">
        <v>0</v>
      </c>
      <c r="K721" t="n">
        <v>0</v>
      </c>
      <c r="L721" t="n">
        <v>0</v>
      </c>
      <c r="M721" t="n">
        <v>0</v>
      </c>
      <c r="N721" t="n">
        <v>0</v>
      </c>
      <c r="O721" t="n">
        <v>0</v>
      </c>
      <c r="P721" t="n">
        <v>0</v>
      </c>
      <c r="Q721" t="n">
        <v>0</v>
      </c>
      <c r="R721" s="2" t="inlineStr"/>
    </row>
    <row r="722" ht="15" customHeight="1">
      <c r="A722" t="inlineStr">
        <is>
          <t>A 41926-2024</t>
        </is>
      </c>
      <c r="B722" s="1" t="n">
        <v>45561</v>
      </c>
      <c r="C722" s="1" t="n">
        <v>45882</v>
      </c>
      <c r="D722" t="inlineStr">
        <is>
          <t>KALMAR LÄN</t>
        </is>
      </c>
      <c r="E722" t="inlineStr">
        <is>
          <t>VÄSTERVIK</t>
        </is>
      </c>
      <c r="F722" t="inlineStr">
        <is>
          <t>Kyrkan</t>
        </is>
      </c>
      <c r="G722" t="n">
        <v>10</v>
      </c>
      <c r="H722" t="n">
        <v>0</v>
      </c>
      <c r="I722" t="n">
        <v>0</v>
      </c>
      <c r="J722" t="n">
        <v>0</v>
      </c>
      <c r="K722" t="n">
        <v>0</v>
      </c>
      <c r="L722" t="n">
        <v>0</v>
      </c>
      <c r="M722" t="n">
        <v>0</v>
      </c>
      <c r="N722" t="n">
        <v>0</v>
      </c>
      <c r="O722" t="n">
        <v>0</v>
      </c>
      <c r="P722" t="n">
        <v>0</v>
      </c>
      <c r="Q722" t="n">
        <v>0</v>
      </c>
      <c r="R722" s="2" t="inlineStr"/>
    </row>
    <row r="723" ht="15" customHeight="1">
      <c r="A723" t="inlineStr">
        <is>
          <t>A 24819-2025</t>
        </is>
      </c>
      <c r="B723" s="1" t="n">
        <v>45799.45109953704</v>
      </c>
      <c r="C723" s="1" t="n">
        <v>45882</v>
      </c>
      <c r="D723" t="inlineStr">
        <is>
          <t>KALMAR LÄN</t>
        </is>
      </c>
      <c r="E723" t="inlineStr">
        <is>
          <t>VÄSTERVIK</t>
        </is>
      </c>
      <c r="G723" t="n">
        <v>1.2</v>
      </c>
      <c r="H723" t="n">
        <v>0</v>
      </c>
      <c r="I723" t="n">
        <v>0</v>
      </c>
      <c r="J723" t="n">
        <v>0</v>
      </c>
      <c r="K723" t="n">
        <v>0</v>
      </c>
      <c r="L723" t="n">
        <v>0</v>
      </c>
      <c r="M723" t="n">
        <v>0</v>
      </c>
      <c r="N723" t="n">
        <v>0</v>
      </c>
      <c r="O723" t="n">
        <v>0</v>
      </c>
      <c r="P723" t="n">
        <v>0</v>
      </c>
      <c r="Q723" t="n">
        <v>0</v>
      </c>
      <c r="R723" s="2" t="inlineStr"/>
    </row>
    <row r="724" ht="15" customHeight="1">
      <c r="A724" t="inlineStr">
        <is>
          <t>A 4508-2023</t>
        </is>
      </c>
      <c r="B724" s="1" t="n">
        <v>44956</v>
      </c>
      <c r="C724" s="1" t="n">
        <v>45882</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54784-2023</t>
        </is>
      </c>
      <c r="B725" s="1" t="n">
        <v>45236.4803587963</v>
      </c>
      <c r="C725" s="1" t="n">
        <v>45882</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11856-2024</t>
        </is>
      </c>
      <c r="B726" s="1" t="n">
        <v>45376.43302083333</v>
      </c>
      <c r="C726" s="1" t="n">
        <v>45882</v>
      </c>
      <c r="D726" t="inlineStr">
        <is>
          <t>KALMAR LÄN</t>
        </is>
      </c>
      <c r="E726" t="inlineStr">
        <is>
          <t>VÄSTERVIK</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55866-2023</t>
        </is>
      </c>
      <c r="B727" s="1" t="n">
        <v>45239</v>
      </c>
      <c r="C727" s="1" t="n">
        <v>45882</v>
      </c>
      <c r="D727" t="inlineStr">
        <is>
          <t>KALMAR LÄN</t>
        </is>
      </c>
      <c r="E727" t="inlineStr">
        <is>
          <t>VÄSTERVIK</t>
        </is>
      </c>
      <c r="G727" t="n">
        <v>1.3</v>
      </c>
      <c r="H727" t="n">
        <v>0</v>
      </c>
      <c r="I727" t="n">
        <v>0</v>
      </c>
      <c r="J727" t="n">
        <v>0</v>
      </c>
      <c r="K727" t="n">
        <v>0</v>
      </c>
      <c r="L727" t="n">
        <v>0</v>
      </c>
      <c r="M727" t="n">
        <v>0</v>
      </c>
      <c r="N727" t="n">
        <v>0</v>
      </c>
      <c r="O727" t="n">
        <v>0</v>
      </c>
      <c r="P727" t="n">
        <v>0</v>
      </c>
      <c r="Q727" t="n">
        <v>0</v>
      </c>
      <c r="R727" s="2" t="inlineStr"/>
    </row>
    <row r="728" ht="15" customHeight="1">
      <c r="A728" t="inlineStr">
        <is>
          <t>A 58707-2022</t>
        </is>
      </c>
      <c r="B728" s="1" t="n">
        <v>44902.80462962963</v>
      </c>
      <c r="C728" s="1" t="n">
        <v>45882</v>
      </c>
      <c r="D728" t="inlineStr">
        <is>
          <t>KALMAR LÄN</t>
        </is>
      </c>
      <c r="E728" t="inlineStr">
        <is>
          <t>VÄSTERVIK</t>
        </is>
      </c>
      <c r="G728" t="n">
        <v>2.3</v>
      </c>
      <c r="H728" t="n">
        <v>0</v>
      </c>
      <c r="I728" t="n">
        <v>0</v>
      </c>
      <c r="J728" t="n">
        <v>0</v>
      </c>
      <c r="K728" t="n">
        <v>0</v>
      </c>
      <c r="L728" t="n">
        <v>0</v>
      </c>
      <c r="M728" t="n">
        <v>0</v>
      </c>
      <c r="N728" t="n">
        <v>0</v>
      </c>
      <c r="O728" t="n">
        <v>0</v>
      </c>
      <c r="P728" t="n">
        <v>0</v>
      </c>
      <c r="Q728" t="n">
        <v>0</v>
      </c>
      <c r="R728" s="2" t="inlineStr"/>
    </row>
    <row r="729" ht="15" customHeight="1">
      <c r="A729" t="inlineStr">
        <is>
          <t>A 37858-2023</t>
        </is>
      </c>
      <c r="B729" s="1" t="n">
        <v>45160.40577546296</v>
      </c>
      <c r="C729" s="1" t="n">
        <v>45882</v>
      </c>
      <c r="D729" t="inlineStr">
        <is>
          <t>KALMAR LÄN</t>
        </is>
      </c>
      <c r="E729" t="inlineStr">
        <is>
          <t>VÄSTERVIK</t>
        </is>
      </c>
      <c r="G729" t="n">
        <v>3</v>
      </c>
      <c r="H729" t="n">
        <v>0</v>
      </c>
      <c r="I729" t="n">
        <v>0</v>
      </c>
      <c r="J729" t="n">
        <v>0</v>
      </c>
      <c r="K729" t="n">
        <v>0</v>
      </c>
      <c r="L729" t="n">
        <v>0</v>
      </c>
      <c r="M729" t="n">
        <v>0</v>
      </c>
      <c r="N729" t="n">
        <v>0</v>
      </c>
      <c r="O729" t="n">
        <v>0</v>
      </c>
      <c r="P729" t="n">
        <v>0</v>
      </c>
      <c r="Q729" t="n">
        <v>0</v>
      </c>
      <c r="R729" s="2" t="inlineStr"/>
    </row>
    <row r="730" ht="15" customHeight="1">
      <c r="A730" t="inlineStr">
        <is>
          <t>A 24877-2023</t>
        </is>
      </c>
      <c r="B730" s="1" t="n">
        <v>45085.43271990741</v>
      </c>
      <c r="C730" s="1" t="n">
        <v>45882</v>
      </c>
      <c r="D730" t="inlineStr">
        <is>
          <t>KALMAR LÄN</t>
        </is>
      </c>
      <c r="E730" t="inlineStr">
        <is>
          <t>VÄSTERVIK</t>
        </is>
      </c>
      <c r="G730" t="n">
        <v>3.8</v>
      </c>
      <c r="H730" t="n">
        <v>0</v>
      </c>
      <c r="I730" t="n">
        <v>0</v>
      </c>
      <c r="J730" t="n">
        <v>0</v>
      </c>
      <c r="K730" t="n">
        <v>0</v>
      </c>
      <c r="L730" t="n">
        <v>0</v>
      </c>
      <c r="M730" t="n">
        <v>0</v>
      </c>
      <c r="N730" t="n">
        <v>0</v>
      </c>
      <c r="O730" t="n">
        <v>0</v>
      </c>
      <c r="P730" t="n">
        <v>0</v>
      </c>
      <c r="Q730" t="n">
        <v>0</v>
      </c>
      <c r="R730" s="2" t="inlineStr"/>
    </row>
    <row r="731" ht="15" customHeight="1">
      <c r="A731" t="inlineStr">
        <is>
          <t>A 25180-2023</t>
        </is>
      </c>
      <c r="B731" s="1" t="n">
        <v>45086</v>
      </c>
      <c r="C731" s="1" t="n">
        <v>45882</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35667-2023</t>
        </is>
      </c>
      <c r="B732" s="1" t="n">
        <v>45147.60667824074</v>
      </c>
      <c r="C732" s="1" t="n">
        <v>45882</v>
      </c>
      <c r="D732" t="inlineStr">
        <is>
          <t>KALMAR LÄN</t>
        </is>
      </c>
      <c r="E732" t="inlineStr">
        <is>
          <t>VÄSTERVIK</t>
        </is>
      </c>
      <c r="G732" t="n">
        <v>1.8</v>
      </c>
      <c r="H732" t="n">
        <v>0</v>
      </c>
      <c r="I732" t="n">
        <v>0</v>
      </c>
      <c r="J732" t="n">
        <v>0</v>
      </c>
      <c r="K732" t="n">
        <v>0</v>
      </c>
      <c r="L732" t="n">
        <v>0</v>
      </c>
      <c r="M732" t="n">
        <v>0</v>
      </c>
      <c r="N732" t="n">
        <v>0</v>
      </c>
      <c r="O732" t="n">
        <v>0</v>
      </c>
      <c r="P732" t="n">
        <v>0</v>
      </c>
      <c r="Q732" t="n">
        <v>0</v>
      </c>
      <c r="R732" s="2" t="inlineStr"/>
    </row>
    <row r="733" ht="15" customHeight="1">
      <c r="A733" t="inlineStr">
        <is>
          <t>A 5923-2024</t>
        </is>
      </c>
      <c r="B733" s="1" t="n">
        <v>45335</v>
      </c>
      <c r="C733" s="1" t="n">
        <v>45882</v>
      </c>
      <c r="D733" t="inlineStr">
        <is>
          <t>KALMAR LÄN</t>
        </is>
      </c>
      <c r="E733" t="inlineStr">
        <is>
          <t>VÄSTERVIK</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3041-2025</t>
        </is>
      </c>
      <c r="B734" s="1" t="n">
        <v>45678.60493055556</v>
      </c>
      <c r="C734" s="1" t="n">
        <v>45882</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c r="U734">
        <f>HYPERLINK("https://klasma.github.io/Logging_0883/knärot/A 3041-2025 karta knärot.png", "A 3041-2025")</f>
        <v/>
      </c>
      <c r="V734">
        <f>HYPERLINK("https://klasma.github.io/Logging_0883/klagomål/A 3041-2025 FSC-klagomål.docx", "A 3041-2025")</f>
        <v/>
      </c>
      <c r="W734">
        <f>HYPERLINK("https://klasma.github.io/Logging_0883/klagomålsmail/A 3041-2025 FSC-klagomål mail.docx", "A 3041-2025")</f>
        <v/>
      </c>
      <c r="X734">
        <f>HYPERLINK("https://klasma.github.io/Logging_0883/tillsyn/A 3041-2025 tillsynsbegäran.docx", "A 3041-2025")</f>
        <v/>
      </c>
      <c r="Y734">
        <f>HYPERLINK("https://klasma.github.io/Logging_0883/tillsynsmail/A 3041-2025 tillsynsbegäran mail.docx", "A 3041-2025")</f>
        <v/>
      </c>
    </row>
    <row r="735" ht="15" customHeight="1">
      <c r="A735" t="inlineStr">
        <is>
          <t>A 7840-2025</t>
        </is>
      </c>
      <c r="B735" s="1" t="n">
        <v>45706.65895833333</v>
      </c>
      <c r="C735" s="1" t="n">
        <v>45882</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63606-2023</t>
        </is>
      </c>
      <c r="B736" s="1" t="n">
        <v>45275</v>
      </c>
      <c r="C736" s="1" t="n">
        <v>45882</v>
      </c>
      <c r="D736" t="inlineStr">
        <is>
          <t>KALMAR LÄN</t>
        </is>
      </c>
      <c r="E736" t="inlineStr">
        <is>
          <t>VÄSTERVIK</t>
        </is>
      </c>
      <c r="G736" t="n">
        <v>2.9</v>
      </c>
      <c r="H736" t="n">
        <v>0</v>
      </c>
      <c r="I736" t="n">
        <v>0</v>
      </c>
      <c r="J736" t="n">
        <v>0</v>
      </c>
      <c r="K736" t="n">
        <v>0</v>
      </c>
      <c r="L736" t="n">
        <v>0</v>
      </c>
      <c r="M736" t="n">
        <v>0</v>
      </c>
      <c r="N736" t="n">
        <v>0</v>
      </c>
      <c r="O736" t="n">
        <v>0</v>
      </c>
      <c r="P736" t="n">
        <v>0</v>
      </c>
      <c r="Q736" t="n">
        <v>0</v>
      </c>
      <c r="R736" s="2" t="inlineStr"/>
    </row>
    <row r="737" ht="15" customHeight="1">
      <c r="A737" t="inlineStr">
        <is>
          <t>A 14237-2024</t>
        </is>
      </c>
      <c r="B737" s="1" t="n">
        <v>45393.47158564815</v>
      </c>
      <c r="C737" s="1" t="n">
        <v>45882</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65059-2023</t>
        </is>
      </c>
      <c r="B738" s="1" t="n">
        <v>45287</v>
      </c>
      <c r="C738" s="1" t="n">
        <v>45882</v>
      </c>
      <c r="D738" t="inlineStr">
        <is>
          <t>KALMAR LÄN</t>
        </is>
      </c>
      <c r="E738" t="inlineStr">
        <is>
          <t>VÄSTERVIK</t>
        </is>
      </c>
      <c r="F738" t="inlineStr">
        <is>
          <t>Holmen skog AB</t>
        </is>
      </c>
      <c r="G738" t="n">
        <v>4.9</v>
      </c>
      <c r="H738" t="n">
        <v>0</v>
      </c>
      <c r="I738" t="n">
        <v>0</v>
      </c>
      <c r="J738" t="n">
        <v>0</v>
      </c>
      <c r="K738" t="n">
        <v>0</v>
      </c>
      <c r="L738" t="n">
        <v>0</v>
      </c>
      <c r="M738" t="n">
        <v>0</v>
      </c>
      <c r="N738" t="n">
        <v>0</v>
      </c>
      <c r="O738" t="n">
        <v>0</v>
      </c>
      <c r="P738" t="n">
        <v>0</v>
      </c>
      <c r="Q738" t="n">
        <v>0</v>
      </c>
      <c r="R738" s="2" t="inlineStr"/>
    </row>
    <row r="739" ht="15" customHeight="1">
      <c r="A739" t="inlineStr">
        <is>
          <t>A 61556-2023</t>
        </is>
      </c>
      <c r="B739" s="1" t="n">
        <v>45261</v>
      </c>
      <c r="C739" s="1" t="n">
        <v>45882</v>
      </c>
      <c r="D739" t="inlineStr">
        <is>
          <t>KALMAR LÄN</t>
        </is>
      </c>
      <c r="E739" t="inlineStr">
        <is>
          <t>VÄSTERVIK</t>
        </is>
      </c>
      <c r="F739" t="inlineStr">
        <is>
          <t>Övriga Aktiebolag</t>
        </is>
      </c>
      <c r="G739" t="n">
        <v>13.9</v>
      </c>
      <c r="H739" t="n">
        <v>0</v>
      </c>
      <c r="I739" t="n">
        <v>0</v>
      </c>
      <c r="J739" t="n">
        <v>0</v>
      </c>
      <c r="K739" t="n">
        <v>0</v>
      </c>
      <c r="L739" t="n">
        <v>0</v>
      </c>
      <c r="M739" t="n">
        <v>0</v>
      </c>
      <c r="N739" t="n">
        <v>0</v>
      </c>
      <c r="O739" t="n">
        <v>0</v>
      </c>
      <c r="P739" t="n">
        <v>0</v>
      </c>
      <c r="Q739" t="n">
        <v>0</v>
      </c>
      <c r="R739" s="2" t="inlineStr"/>
    </row>
    <row r="740" ht="15" customHeight="1">
      <c r="A740" t="inlineStr">
        <is>
          <t>A 33903-2025</t>
        </is>
      </c>
      <c r="B740" s="1" t="n">
        <v>45842.59581018519</v>
      </c>
      <c r="C740" s="1" t="n">
        <v>45882</v>
      </c>
      <c r="D740" t="inlineStr">
        <is>
          <t>KALMAR LÄN</t>
        </is>
      </c>
      <c r="E740" t="inlineStr">
        <is>
          <t>VÄSTERVIK</t>
        </is>
      </c>
      <c r="G740" t="n">
        <v>3.7</v>
      </c>
      <c r="H740" t="n">
        <v>0</v>
      </c>
      <c r="I740" t="n">
        <v>0</v>
      </c>
      <c r="J740" t="n">
        <v>0</v>
      </c>
      <c r="K740" t="n">
        <v>0</v>
      </c>
      <c r="L740" t="n">
        <v>0</v>
      </c>
      <c r="M740" t="n">
        <v>0</v>
      </c>
      <c r="N740" t="n">
        <v>0</v>
      </c>
      <c r="O740" t="n">
        <v>0</v>
      </c>
      <c r="P740" t="n">
        <v>0</v>
      </c>
      <c r="Q740" t="n">
        <v>0</v>
      </c>
      <c r="R740" s="2" t="inlineStr"/>
    </row>
    <row r="741" ht="15" customHeight="1">
      <c r="A741" t="inlineStr">
        <is>
          <t>A 29404-2024</t>
        </is>
      </c>
      <c r="B741" s="1" t="n">
        <v>45483</v>
      </c>
      <c r="C741" s="1" t="n">
        <v>45882</v>
      </c>
      <c r="D741" t="inlineStr">
        <is>
          <t>KALMAR LÄN</t>
        </is>
      </c>
      <c r="E741" t="inlineStr">
        <is>
          <t>VÄSTERVIK</t>
        </is>
      </c>
      <c r="G741" t="n">
        <v>2.2</v>
      </c>
      <c r="H741" t="n">
        <v>0</v>
      </c>
      <c r="I741" t="n">
        <v>0</v>
      </c>
      <c r="J741" t="n">
        <v>0</v>
      </c>
      <c r="K741" t="n">
        <v>0</v>
      </c>
      <c r="L741" t="n">
        <v>0</v>
      </c>
      <c r="M741" t="n">
        <v>0</v>
      </c>
      <c r="N741" t="n">
        <v>0</v>
      </c>
      <c r="O741" t="n">
        <v>0</v>
      </c>
      <c r="P741" t="n">
        <v>0</v>
      </c>
      <c r="Q741" t="n">
        <v>0</v>
      </c>
      <c r="R741" s="2" t="inlineStr"/>
    </row>
    <row r="742" ht="15" customHeight="1">
      <c r="A742" t="inlineStr">
        <is>
          <t>A 25561-2024</t>
        </is>
      </c>
      <c r="B742" s="1" t="n">
        <v>45463.58467592593</v>
      </c>
      <c r="C742" s="1" t="n">
        <v>45882</v>
      </c>
      <c r="D742" t="inlineStr">
        <is>
          <t>KALMAR LÄN</t>
        </is>
      </c>
      <c r="E742" t="inlineStr">
        <is>
          <t>VÄSTERVIK</t>
        </is>
      </c>
      <c r="F742" t="inlineStr">
        <is>
          <t>Holmen skog AB</t>
        </is>
      </c>
      <c r="G742" t="n">
        <v>7.2</v>
      </c>
      <c r="H742" t="n">
        <v>0</v>
      </c>
      <c r="I742" t="n">
        <v>0</v>
      </c>
      <c r="J742" t="n">
        <v>0</v>
      </c>
      <c r="K742" t="n">
        <v>0</v>
      </c>
      <c r="L742" t="n">
        <v>0</v>
      </c>
      <c r="M742" t="n">
        <v>0</v>
      </c>
      <c r="N742" t="n">
        <v>0</v>
      </c>
      <c r="O742" t="n">
        <v>0</v>
      </c>
      <c r="P742" t="n">
        <v>0</v>
      </c>
      <c r="Q742" t="n">
        <v>0</v>
      </c>
      <c r="R742" s="2" t="inlineStr"/>
    </row>
    <row r="743" ht="15" customHeight="1">
      <c r="A743" t="inlineStr">
        <is>
          <t>A 40674-2023</t>
        </is>
      </c>
      <c r="B743" s="1" t="n">
        <v>45170.59288194445</v>
      </c>
      <c r="C743" s="1" t="n">
        <v>45882</v>
      </c>
      <c r="D743" t="inlineStr">
        <is>
          <t>KALMAR LÄN</t>
        </is>
      </c>
      <c r="E743" t="inlineStr">
        <is>
          <t>VÄSTERVIK</t>
        </is>
      </c>
      <c r="G743" t="n">
        <v>4.2</v>
      </c>
      <c r="H743" t="n">
        <v>0</v>
      </c>
      <c r="I743" t="n">
        <v>0</v>
      </c>
      <c r="J743" t="n">
        <v>0</v>
      </c>
      <c r="K743" t="n">
        <v>0</v>
      </c>
      <c r="L743" t="n">
        <v>0</v>
      </c>
      <c r="M743" t="n">
        <v>0</v>
      </c>
      <c r="N743" t="n">
        <v>0</v>
      </c>
      <c r="O743" t="n">
        <v>0</v>
      </c>
      <c r="P743" t="n">
        <v>0</v>
      </c>
      <c r="Q743" t="n">
        <v>0</v>
      </c>
      <c r="R743" s="2" t="inlineStr"/>
    </row>
    <row r="744" ht="15" customHeight="1">
      <c r="A744" t="inlineStr">
        <is>
          <t>A 40677-2023</t>
        </is>
      </c>
      <c r="B744" s="1" t="n">
        <v>45170.59443287037</v>
      </c>
      <c r="C744" s="1" t="n">
        <v>45882</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34162-2025</t>
        </is>
      </c>
      <c r="B745" s="1" t="n">
        <v>45845.57983796296</v>
      </c>
      <c r="C745" s="1" t="n">
        <v>45882</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32647-2023</t>
        </is>
      </c>
      <c r="B746" s="1" t="n">
        <v>45121</v>
      </c>
      <c r="C746" s="1" t="n">
        <v>45882</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33921-2025</t>
        </is>
      </c>
      <c r="B747" s="1" t="n">
        <v>45842.61626157408</v>
      </c>
      <c r="C747" s="1" t="n">
        <v>45882</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33931-2025</t>
        </is>
      </c>
      <c r="B748" s="1" t="n">
        <v>45842.63288194445</v>
      </c>
      <c r="C748" s="1" t="n">
        <v>45882</v>
      </c>
      <c r="D748" t="inlineStr">
        <is>
          <t>KALMAR LÄN</t>
        </is>
      </c>
      <c r="E748" t="inlineStr">
        <is>
          <t>VÄSTERVIK</t>
        </is>
      </c>
      <c r="G748" t="n">
        <v>1.6</v>
      </c>
      <c r="H748" t="n">
        <v>0</v>
      </c>
      <c r="I748" t="n">
        <v>0</v>
      </c>
      <c r="J748" t="n">
        <v>0</v>
      </c>
      <c r="K748" t="n">
        <v>0</v>
      </c>
      <c r="L748" t="n">
        <v>0</v>
      </c>
      <c r="M748" t="n">
        <v>0</v>
      </c>
      <c r="N748" t="n">
        <v>0</v>
      </c>
      <c r="O748" t="n">
        <v>0</v>
      </c>
      <c r="P748" t="n">
        <v>0</v>
      </c>
      <c r="Q748" t="n">
        <v>0</v>
      </c>
      <c r="R748" s="2" t="inlineStr"/>
    </row>
    <row r="749" ht="15" customHeight="1">
      <c r="A749" t="inlineStr">
        <is>
          <t>A 33907-2025</t>
        </is>
      </c>
      <c r="B749" s="1" t="n">
        <v>45842.59880787037</v>
      </c>
      <c r="C749" s="1" t="n">
        <v>45882</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33924-2025</t>
        </is>
      </c>
      <c r="B750" s="1" t="n">
        <v>45842.62152777778</v>
      </c>
      <c r="C750" s="1" t="n">
        <v>45882</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51264-2020</t>
        </is>
      </c>
      <c r="B751" s="1" t="n">
        <v>44112</v>
      </c>
      <c r="C751" s="1" t="n">
        <v>45882</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52845-2023</t>
        </is>
      </c>
      <c r="B752" s="1" t="n">
        <v>45226.43667824074</v>
      </c>
      <c r="C752" s="1" t="n">
        <v>45882</v>
      </c>
      <c r="D752" t="inlineStr">
        <is>
          <t>KALMAR LÄN</t>
        </is>
      </c>
      <c r="E752" t="inlineStr">
        <is>
          <t>VÄSTERVIK</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33842-2025</t>
        </is>
      </c>
      <c r="B753" s="1" t="n">
        <v>45842.48217592593</v>
      </c>
      <c r="C753" s="1" t="n">
        <v>45882</v>
      </c>
      <c r="D753" t="inlineStr">
        <is>
          <t>KALMAR LÄN</t>
        </is>
      </c>
      <c r="E753" t="inlineStr">
        <is>
          <t>VÄSTERVIK</t>
        </is>
      </c>
      <c r="G753" t="n">
        <v>2</v>
      </c>
      <c r="H753" t="n">
        <v>0</v>
      </c>
      <c r="I753" t="n">
        <v>0</v>
      </c>
      <c r="J753" t="n">
        <v>0</v>
      </c>
      <c r="K753" t="n">
        <v>0</v>
      </c>
      <c r="L753" t="n">
        <v>0</v>
      </c>
      <c r="M753" t="n">
        <v>0</v>
      </c>
      <c r="N753" t="n">
        <v>0</v>
      </c>
      <c r="O753" t="n">
        <v>0</v>
      </c>
      <c r="P753" t="n">
        <v>0</v>
      </c>
      <c r="Q753" t="n">
        <v>0</v>
      </c>
      <c r="R753" s="2" t="inlineStr"/>
    </row>
    <row r="754" ht="15" customHeight="1">
      <c r="A754" t="inlineStr">
        <is>
          <t>A 54629-2024</t>
        </is>
      </c>
      <c r="B754" s="1" t="n">
        <v>45617.85399305556</v>
      </c>
      <c r="C754" s="1" t="n">
        <v>45882</v>
      </c>
      <c r="D754" t="inlineStr">
        <is>
          <t>KALMAR LÄN</t>
        </is>
      </c>
      <c r="E754" t="inlineStr">
        <is>
          <t>VÄSTERVIK</t>
        </is>
      </c>
      <c r="F754" t="inlineStr">
        <is>
          <t>Sveaskog</t>
        </is>
      </c>
      <c r="G754" t="n">
        <v>6.7</v>
      </c>
      <c r="H754" t="n">
        <v>0</v>
      </c>
      <c r="I754" t="n">
        <v>0</v>
      </c>
      <c r="J754" t="n">
        <v>0</v>
      </c>
      <c r="K754" t="n">
        <v>0</v>
      </c>
      <c r="L754" t="n">
        <v>0</v>
      </c>
      <c r="M754" t="n">
        <v>0</v>
      </c>
      <c r="N754" t="n">
        <v>0</v>
      </c>
      <c r="O754" t="n">
        <v>0</v>
      </c>
      <c r="P754" t="n">
        <v>0</v>
      </c>
      <c r="Q754" t="n">
        <v>0</v>
      </c>
      <c r="R754" s="2" t="inlineStr"/>
    </row>
    <row r="755" ht="15" customHeight="1">
      <c r="A755" t="inlineStr">
        <is>
          <t>A 34171-2025</t>
        </is>
      </c>
      <c r="B755" s="1" t="n">
        <v>45845.58966435185</v>
      </c>
      <c r="C755" s="1" t="n">
        <v>45882</v>
      </c>
      <c r="D755" t="inlineStr">
        <is>
          <t>KALMAR LÄN</t>
        </is>
      </c>
      <c r="E755" t="inlineStr">
        <is>
          <t>VÄSTERVIK</t>
        </is>
      </c>
      <c r="G755" t="n">
        <v>1.6</v>
      </c>
      <c r="H755" t="n">
        <v>0</v>
      </c>
      <c r="I755" t="n">
        <v>0</v>
      </c>
      <c r="J755" t="n">
        <v>0</v>
      </c>
      <c r="K755" t="n">
        <v>0</v>
      </c>
      <c r="L755" t="n">
        <v>0</v>
      </c>
      <c r="M755" t="n">
        <v>0</v>
      </c>
      <c r="N755" t="n">
        <v>0</v>
      </c>
      <c r="O755" t="n">
        <v>0</v>
      </c>
      <c r="P755" t="n">
        <v>0</v>
      </c>
      <c r="Q755" t="n">
        <v>0</v>
      </c>
      <c r="R755" s="2" t="inlineStr"/>
    </row>
    <row r="756" ht="15" customHeight="1">
      <c r="A756" t="inlineStr">
        <is>
          <t>A 2360-2025</t>
        </is>
      </c>
      <c r="B756" s="1" t="n">
        <v>45673.69037037037</v>
      </c>
      <c r="C756" s="1" t="n">
        <v>45882</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7164-2025</t>
        </is>
      </c>
      <c r="B757" s="1" t="n">
        <v>45702.39331018519</v>
      </c>
      <c r="C757" s="1" t="n">
        <v>45882</v>
      </c>
      <c r="D757" t="inlineStr">
        <is>
          <t>KALMAR LÄN</t>
        </is>
      </c>
      <c r="E757" t="inlineStr">
        <is>
          <t>VÄSTERVIK</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4579-2023</t>
        </is>
      </c>
      <c r="B758" s="1" t="n">
        <v>44956.72383101852</v>
      </c>
      <c r="C758" s="1" t="n">
        <v>45882</v>
      </c>
      <c r="D758" t="inlineStr">
        <is>
          <t>KALMAR LÄN</t>
        </is>
      </c>
      <c r="E758" t="inlineStr">
        <is>
          <t>VÄSTERVIK</t>
        </is>
      </c>
      <c r="G758" t="n">
        <v>2.2</v>
      </c>
      <c r="H758" t="n">
        <v>0</v>
      </c>
      <c r="I758" t="n">
        <v>0</v>
      </c>
      <c r="J758" t="n">
        <v>0</v>
      </c>
      <c r="K758" t="n">
        <v>0</v>
      </c>
      <c r="L758" t="n">
        <v>0</v>
      </c>
      <c r="M758" t="n">
        <v>0</v>
      </c>
      <c r="N758" t="n">
        <v>0</v>
      </c>
      <c r="O758" t="n">
        <v>0</v>
      </c>
      <c r="P758" t="n">
        <v>0</v>
      </c>
      <c r="Q758" t="n">
        <v>0</v>
      </c>
      <c r="R758" s="2" t="inlineStr"/>
    </row>
    <row r="759" ht="15" customHeight="1">
      <c r="A759" t="inlineStr">
        <is>
          <t>A 46088-2023</t>
        </is>
      </c>
      <c r="B759" s="1" t="n">
        <v>45196.50065972222</v>
      </c>
      <c r="C759" s="1" t="n">
        <v>45882</v>
      </c>
      <c r="D759" t="inlineStr">
        <is>
          <t>KALMAR LÄN</t>
        </is>
      </c>
      <c r="E759" t="inlineStr">
        <is>
          <t>VÄSTERVIK</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34160-2025</t>
        </is>
      </c>
      <c r="B760" s="1" t="n">
        <v>45845.57701388889</v>
      </c>
      <c r="C760" s="1" t="n">
        <v>45882</v>
      </c>
      <c r="D760" t="inlineStr">
        <is>
          <t>KALMAR LÄN</t>
        </is>
      </c>
      <c r="E760" t="inlineStr">
        <is>
          <t>VÄSTERVIK</t>
        </is>
      </c>
      <c r="G760" t="n">
        <v>2.4</v>
      </c>
      <c r="H760" t="n">
        <v>0</v>
      </c>
      <c r="I760" t="n">
        <v>0</v>
      </c>
      <c r="J760" t="n">
        <v>0</v>
      </c>
      <c r="K760" t="n">
        <v>0</v>
      </c>
      <c r="L760" t="n">
        <v>0</v>
      </c>
      <c r="M760" t="n">
        <v>0</v>
      </c>
      <c r="N760" t="n">
        <v>0</v>
      </c>
      <c r="O760" t="n">
        <v>0</v>
      </c>
      <c r="P760" t="n">
        <v>0</v>
      </c>
      <c r="Q760" t="n">
        <v>0</v>
      </c>
      <c r="R760" s="2" t="inlineStr"/>
    </row>
    <row r="761" ht="15" customHeight="1">
      <c r="A761" t="inlineStr">
        <is>
          <t>A 56610-2022</t>
        </is>
      </c>
      <c r="B761" s="1" t="n">
        <v>44893.5862037037</v>
      </c>
      <c r="C761" s="1" t="n">
        <v>45882</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33836-2025</t>
        </is>
      </c>
      <c r="B762" s="1" t="n">
        <v>45842.47616898148</v>
      </c>
      <c r="C762" s="1" t="n">
        <v>45882</v>
      </c>
      <c r="D762" t="inlineStr">
        <is>
          <t>KALMAR LÄN</t>
        </is>
      </c>
      <c r="E762" t="inlineStr">
        <is>
          <t>VÄSTERVIK</t>
        </is>
      </c>
      <c r="G762" t="n">
        <v>4.2</v>
      </c>
      <c r="H762" t="n">
        <v>0</v>
      </c>
      <c r="I762" t="n">
        <v>0</v>
      </c>
      <c r="J762" t="n">
        <v>0</v>
      </c>
      <c r="K762" t="n">
        <v>0</v>
      </c>
      <c r="L762" t="n">
        <v>0</v>
      </c>
      <c r="M762" t="n">
        <v>0</v>
      </c>
      <c r="N762" t="n">
        <v>0</v>
      </c>
      <c r="O762" t="n">
        <v>0</v>
      </c>
      <c r="P762" t="n">
        <v>0</v>
      </c>
      <c r="Q762" t="n">
        <v>0</v>
      </c>
      <c r="R762" s="2" t="inlineStr"/>
    </row>
    <row r="763" ht="15" customHeight="1">
      <c r="A763" t="inlineStr">
        <is>
          <t>A 33922-2025</t>
        </is>
      </c>
      <c r="B763" s="1" t="n">
        <v>45842.61993055556</v>
      </c>
      <c r="C763" s="1" t="n">
        <v>45882</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33928-2025</t>
        </is>
      </c>
      <c r="B764" s="1" t="n">
        <v>45842.62488425926</v>
      </c>
      <c r="C764" s="1" t="n">
        <v>45882</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34397-2025</t>
        </is>
      </c>
      <c r="B765" s="1" t="n">
        <v>45846.59813657407</v>
      </c>
      <c r="C765" s="1" t="n">
        <v>45882</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25819-2025</t>
        </is>
      </c>
      <c r="B766" s="1" t="n">
        <v>45804.43547453704</v>
      </c>
      <c r="C766" s="1" t="n">
        <v>45882</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25827-2025</t>
        </is>
      </c>
      <c r="B767" s="1" t="n">
        <v>45804.443125</v>
      </c>
      <c r="C767" s="1" t="n">
        <v>45882</v>
      </c>
      <c r="D767" t="inlineStr">
        <is>
          <t>KALMAR LÄN</t>
        </is>
      </c>
      <c r="E767" t="inlineStr">
        <is>
          <t>VÄSTERVIK</t>
        </is>
      </c>
      <c r="G767" t="n">
        <v>1.8</v>
      </c>
      <c r="H767" t="n">
        <v>0</v>
      </c>
      <c r="I767" t="n">
        <v>0</v>
      </c>
      <c r="J767" t="n">
        <v>0</v>
      </c>
      <c r="K767" t="n">
        <v>0</v>
      </c>
      <c r="L767" t="n">
        <v>0</v>
      </c>
      <c r="M767" t="n">
        <v>0</v>
      </c>
      <c r="N767" t="n">
        <v>0</v>
      </c>
      <c r="O767" t="n">
        <v>0</v>
      </c>
      <c r="P767" t="n">
        <v>0</v>
      </c>
      <c r="Q767" t="n">
        <v>0</v>
      </c>
      <c r="R767" s="2" t="inlineStr"/>
    </row>
    <row r="768" ht="15" customHeight="1">
      <c r="A768" t="inlineStr">
        <is>
          <t>A 2314-2023</t>
        </is>
      </c>
      <c r="B768" s="1" t="n">
        <v>44942</v>
      </c>
      <c r="C768" s="1" t="n">
        <v>45882</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13838-2024</t>
        </is>
      </c>
      <c r="B769" s="1" t="n">
        <v>45391.44646990741</v>
      </c>
      <c r="C769" s="1" t="n">
        <v>45882</v>
      </c>
      <c r="D769" t="inlineStr">
        <is>
          <t>KALMAR LÄN</t>
        </is>
      </c>
      <c r="E769" t="inlineStr">
        <is>
          <t>VÄSTERVIK</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10778-2025</t>
        </is>
      </c>
      <c r="B770" s="1" t="n">
        <v>45722</v>
      </c>
      <c r="C770" s="1" t="n">
        <v>45882</v>
      </c>
      <c r="D770" t="inlineStr">
        <is>
          <t>KALMAR LÄN</t>
        </is>
      </c>
      <c r="E770" t="inlineStr">
        <is>
          <t>VÄSTERVIK</t>
        </is>
      </c>
      <c r="G770" t="n">
        <v>0.6</v>
      </c>
      <c r="H770" t="n">
        <v>0</v>
      </c>
      <c r="I770" t="n">
        <v>0</v>
      </c>
      <c r="J770" t="n">
        <v>0</v>
      </c>
      <c r="K770" t="n">
        <v>0</v>
      </c>
      <c r="L770" t="n">
        <v>0</v>
      </c>
      <c r="M770" t="n">
        <v>0</v>
      </c>
      <c r="N770" t="n">
        <v>0</v>
      </c>
      <c r="O770" t="n">
        <v>0</v>
      </c>
      <c r="P770" t="n">
        <v>0</v>
      </c>
      <c r="Q770" t="n">
        <v>0</v>
      </c>
      <c r="R770" s="2" t="inlineStr"/>
    </row>
    <row r="771" ht="15" customHeight="1">
      <c r="A771" t="inlineStr">
        <is>
          <t>A 47527-2021</t>
        </is>
      </c>
      <c r="B771" s="1" t="n">
        <v>44447</v>
      </c>
      <c r="C771" s="1" t="n">
        <v>45882</v>
      </c>
      <c r="D771" t="inlineStr">
        <is>
          <t>KALMAR LÄN</t>
        </is>
      </c>
      <c r="E771" t="inlineStr">
        <is>
          <t>VÄSTERVIK</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36418-2023</t>
        </is>
      </c>
      <c r="B772" s="1" t="n">
        <v>45152</v>
      </c>
      <c r="C772" s="1" t="n">
        <v>45882</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c r="U772">
        <f>HYPERLINK("https://klasma.github.io/Logging_0883/knärot/A 36418-2023 karta knärot.png", "A 36418-2023")</f>
        <v/>
      </c>
      <c r="V772">
        <f>HYPERLINK("https://klasma.github.io/Logging_0883/klagomål/A 36418-2023 FSC-klagomål.docx", "A 36418-2023")</f>
        <v/>
      </c>
      <c r="W772">
        <f>HYPERLINK("https://klasma.github.io/Logging_0883/klagomålsmail/A 36418-2023 FSC-klagomål mail.docx", "A 36418-2023")</f>
        <v/>
      </c>
      <c r="X772">
        <f>HYPERLINK("https://klasma.github.io/Logging_0883/tillsyn/A 36418-2023 tillsynsbegäran.docx", "A 36418-2023")</f>
        <v/>
      </c>
      <c r="Y772">
        <f>HYPERLINK("https://klasma.github.io/Logging_0883/tillsynsmail/A 36418-2023 tillsynsbegäran mail.docx", "A 36418-2023")</f>
        <v/>
      </c>
    </row>
    <row r="773" ht="15" customHeight="1">
      <c r="A773" t="inlineStr">
        <is>
          <t>A 35959-2023</t>
        </is>
      </c>
      <c r="B773" s="1" t="n">
        <v>45148.84875</v>
      </c>
      <c r="C773" s="1" t="n">
        <v>45882</v>
      </c>
      <c r="D773" t="inlineStr">
        <is>
          <t>KALMAR LÄN</t>
        </is>
      </c>
      <c r="E773" t="inlineStr">
        <is>
          <t>VÄSTERVIK</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34292-2025</t>
        </is>
      </c>
      <c r="B774" s="1" t="n">
        <v>45846.34083333334</v>
      </c>
      <c r="C774" s="1" t="n">
        <v>45882</v>
      </c>
      <c r="D774" t="inlineStr">
        <is>
          <t>KALMAR LÄN</t>
        </is>
      </c>
      <c r="E774" t="inlineStr">
        <is>
          <t>VÄSTERVIK</t>
        </is>
      </c>
      <c r="G774" t="n">
        <v>3.4</v>
      </c>
      <c r="H774" t="n">
        <v>0</v>
      </c>
      <c r="I774" t="n">
        <v>0</v>
      </c>
      <c r="J774" t="n">
        <v>0</v>
      </c>
      <c r="K774" t="n">
        <v>0</v>
      </c>
      <c r="L774" t="n">
        <v>0</v>
      </c>
      <c r="M774" t="n">
        <v>0</v>
      </c>
      <c r="N774" t="n">
        <v>0</v>
      </c>
      <c r="O774" t="n">
        <v>0</v>
      </c>
      <c r="P774" t="n">
        <v>0</v>
      </c>
      <c r="Q774" t="n">
        <v>0</v>
      </c>
      <c r="R774" s="2" t="inlineStr"/>
    </row>
    <row r="775" ht="15" customHeight="1">
      <c r="A775" t="inlineStr">
        <is>
          <t>A 67133-2020</t>
        </is>
      </c>
      <c r="B775" s="1" t="n">
        <v>44180</v>
      </c>
      <c r="C775" s="1" t="n">
        <v>45882</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7934-2023</t>
        </is>
      </c>
      <c r="B776" s="1" t="n">
        <v>44973.65422453704</v>
      </c>
      <c r="C776" s="1" t="n">
        <v>45882</v>
      </c>
      <c r="D776" t="inlineStr">
        <is>
          <t>KALMAR LÄN</t>
        </is>
      </c>
      <c r="E776" t="inlineStr">
        <is>
          <t>VÄSTERVIK</t>
        </is>
      </c>
      <c r="G776" t="n">
        <v>4.1</v>
      </c>
      <c r="H776" t="n">
        <v>0</v>
      </c>
      <c r="I776" t="n">
        <v>0</v>
      </c>
      <c r="J776" t="n">
        <v>0</v>
      </c>
      <c r="K776" t="n">
        <v>0</v>
      </c>
      <c r="L776" t="n">
        <v>0</v>
      </c>
      <c r="M776" t="n">
        <v>0</v>
      </c>
      <c r="N776" t="n">
        <v>0</v>
      </c>
      <c r="O776" t="n">
        <v>0</v>
      </c>
      <c r="P776" t="n">
        <v>0</v>
      </c>
      <c r="Q776" t="n">
        <v>0</v>
      </c>
      <c r="R776" s="2" t="inlineStr"/>
    </row>
    <row r="777" ht="15" customHeight="1">
      <c r="A777" t="inlineStr">
        <is>
          <t>A 7165-2025</t>
        </is>
      </c>
      <c r="B777" s="1" t="n">
        <v>45702.39491898148</v>
      </c>
      <c r="C777" s="1" t="n">
        <v>45882</v>
      </c>
      <c r="D777" t="inlineStr">
        <is>
          <t>KALMAR LÄN</t>
        </is>
      </c>
      <c r="E777" t="inlineStr">
        <is>
          <t>VÄSTERVIK</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34531-2025</t>
        </is>
      </c>
      <c r="B778" s="1" t="n">
        <v>45847.50152777778</v>
      </c>
      <c r="C778" s="1" t="n">
        <v>45882</v>
      </c>
      <c r="D778" t="inlineStr">
        <is>
          <t>KALMAR LÄN</t>
        </is>
      </c>
      <c r="E778" t="inlineStr">
        <is>
          <t>VÄSTERVIK</t>
        </is>
      </c>
      <c r="G778" t="n">
        <v>1.3</v>
      </c>
      <c r="H778" t="n">
        <v>0</v>
      </c>
      <c r="I778" t="n">
        <v>0</v>
      </c>
      <c r="J778" t="n">
        <v>0</v>
      </c>
      <c r="K778" t="n">
        <v>0</v>
      </c>
      <c r="L778" t="n">
        <v>0</v>
      </c>
      <c r="M778" t="n">
        <v>0</v>
      </c>
      <c r="N778" t="n">
        <v>0</v>
      </c>
      <c r="O778" t="n">
        <v>0</v>
      </c>
      <c r="P778" t="n">
        <v>0</v>
      </c>
      <c r="Q778" t="n">
        <v>0</v>
      </c>
      <c r="R778" s="2" t="inlineStr"/>
    </row>
    <row r="779" ht="15" customHeight="1">
      <c r="A779" t="inlineStr">
        <is>
          <t>A 23080-2023</t>
        </is>
      </c>
      <c r="B779" s="1" t="n">
        <v>45075</v>
      </c>
      <c r="C779" s="1" t="n">
        <v>45882</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26140-2024</t>
        </is>
      </c>
      <c r="B780" s="1" t="n">
        <v>45468</v>
      </c>
      <c r="C780" s="1" t="n">
        <v>45882</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34289-2025</t>
        </is>
      </c>
      <c r="B781" s="1" t="n">
        <v>45846.334375</v>
      </c>
      <c r="C781" s="1" t="n">
        <v>45882</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13275-2023</t>
        </is>
      </c>
      <c r="B782" s="1" t="n">
        <v>45003</v>
      </c>
      <c r="C782" s="1" t="n">
        <v>45882</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c r="U782">
        <f>HYPERLINK("https://klasma.github.io/Logging_0883/knärot/A 13275-2023 karta knärot.png", "A 13275-2023")</f>
        <v/>
      </c>
      <c r="V782">
        <f>HYPERLINK("https://klasma.github.io/Logging_0883/klagomål/A 13275-2023 FSC-klagomål.docx", "A 13275-2023")</f>
        <v/>
      </c>
      <c r="W782">
        <f>HYPERLINK("https://klasma.github.io/Logging_0883/klagomålsmail/A 13275-2023 FSC-klagomål mail.docx", "A 13275-2023")</f>
        <v/>
      </c>
      <c r="X782">
        <f>HYPERLINK("https://klasma.github.io/Logging_0883/tillsyn/A 13275-2023 tillsynsbegäran.docx", "A 13275-2023")</f>
        <v/>
      </c>
      <c r="Y782">
        <f>HYPERLINK("https://klasma.github.io/Logging_0883/tillsynsmail/A 13275-2023 tillsynsbegäran mail.docx", "A 13275-2023")</f>
        <v/>
      </c>
    </row>
    <row r="783" ht="15" customHeight="1">
      <c r="A783" t="inlineStr">
        <is>
          <t>A 18880-2025</t>
        </is>
      </c>
      <c r="B783" s="1" t="n">
        <v>45764.43959490741</v>
      </c>
      <c r="C783" s="1" t="n">
        <v>45882</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49286-2022</t>
        </is>
      </c>
      <c r="B784" s="1" t="n">
        <v>44861.45876157407</v>
      </c>
      <c r="C784" s="1" t="n">
        <v>45882</v>
      </c>
      <c r="D784" t="inlineStr">
        <is>
          <t>KALMAR LÄN</t>
        </is>
      </c>
      <c r="E784" t="inlineStr">
        <is>
          <t>VÄSTERVIK</t>
        </is>
      </c>
      <c r="G784" t="n">
        <v>2.6</v>
      </c>
      <c r="H784" t="n">
        <v>0</v>
      </c>
      <c r="I784" t="n">
        <v>0</v>
      </c>
      <c r="J784" t="n">
        <v>0</v>
      </c>
      <c r="K784" t="n">
        <v>0</v>
      </c>
      <c r="L784" t="n">
        <v>0</v>
      </c>
      <c r="M784" t="n">
        <v>0</v>
      </c>
      <c r="N784" t="n">
        <v>0</v>
      </c>
      <c r="O784" t="n">
        <v>0</v>
      </c>
      <c r="P784" t="n">
        <v>0</v>
      </c>
      <c r="Q784" t="n">
        <v>0</v>
      </c>
      <c r="R784" s="2" t="inlineStr"/>
    </row>
    <row r="785" ht="15" customHeight="1">
      <c r="A785" t="inlineStr">
        <is>
          <t>A 57366-2023</t>
        </is>
      </c>
      <c r="B785" s="1" t="n">
        <v>45245</v>
      </c>
      <c r="C785" s="1" t="n">
        <v>45882</v>
      </c>
      <c r="D785" t="inlineStr">
        <is>
          <t>KALMAR LÄN</t>
        </is>
      </c>
      <c r="E785" t="inlineStr">
        <is>
          <t>VÄSTERVIK</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17648-2023</t>
        </is>
      </c>
      <c r="B786" s="1" t="n">
        <v>45036</v>
      </c>
      <c r="C786" s="1" t="n">
        <v>45882</v>
      </c>
      <c r="D786" t="inlineStr">
        <is>
          <t>KALMAR LÄN</t>
        </is>
      </c>
      <c r="E786" t="inlineStr">
        <is>
          <t>VÄSTERVIK</t>
        </is>
      </c>
      <c r="G786" t="n">
        <v>0.4</v>
      </c>
      <c r="H786" t="n">
        <v>0</v>
      </c>
      <c r="I786" t="n">
        <v>0</v>
      </c>
      <c r="J786" t="n">
        <v>0</v>
      </c>
      <c r="K786" t="n">
        <v>0</v>
      </c>
      <c r="L786" t="n">
        <v>0</v>
      </c>
      <c r="M786" t="n">
        <v>0</v>
      </c>
      <c r="N786" t="n">
        <v>0</v>
      </c>
      <c r="O786" t="n">
        <v>0</v>
      </c>
      <c r="P786" t="n">
        <v>0</v>
      </c>
      <c r="Q786" t="n">
        <v>0</v>
      </c>
      <c r="R786" s="2" t="inlineStr"/>
    </row>
    <row r="787" ht="15" customHeight="1">
      <c r="A787" t="inlineStr">
        <is>
          <t>A 12595-2023</t>
        </is>
      </c>
      <c r="B787" s="1" t="n">
        <v>45000.43240740741</v>
      </c>
      <c r="C787" s="1" t="n">
        <v>45882</v>
      </c>
      <c r="D787" t="inlineStr">
        <is>
          <t>KALMAR LÄN</t>
        </is>
      </c>
      <c r="E787" t="inlineStr">
        <is>
          <t>VÄSTERVIK</t>
        </is>
      </c>
      <c r="F787" t="inlineStr">
        <is>
          <t>Holmen skog AB</t>
        </is>
      </c>
      <c r="G787" t="n">
        <v>2.2</v>
      </c>
      <c r="H787" t="n">
        <v>0</v>
      </c>
      <c r="I787" t="n">
        <v>0</v>
      </c>
      <c r="J787" t="n">
        <v>0</v>
      </c>
      <c r="K787" t="n">
        <v>0</v>
      </c>
      <c r="L787" t="n">
        <v>0</v>
      </c>
      <c r="M787" t="n">
        <v>0</v>
      </c>
      <c r="N787" t="n">
        <v>0</v>
      </c>
      <c r="O787" t="n">
        <v>0</v>
      </c>
      <c r="P787" t="n">
        <v>0</v>
      </c>
      <c r="Q787" t="n">
        <v>0</v>
      </c>
      <c r="R787" s="2" t="inlineStr"/>
    </row>
    <row r="788" ht="15" customHeight="1">
      <c r="A788" t="inlineStr">
        <is>
          <t>A 47053-2024</t>
        </is>
      </c>
      <c r="B788" s="1" t="n">
        <v>45586.46196759259</v>
      </c>
      <c r="C788" s="1" t="n">
        <v>45882</v>
      </c>
      <c r="D788" t="inlineStr">
        <is>
          <t>KALMAR LÄN</t>
        </is>
      </c>
      <c r="E788" t="inlineStr">
        <is>
          <t>VÄSTERVIK</t>
        </is>
      </c>
      <c r="F788" t="inlineStr">
        <is>
          <t>Holmen skog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26568-2025</t>
        </is>
      </c>
      <c r="B789" s="1" t="n">
        <v>45807.67447916666</v>
      </c>
      <c r="C789" s="1" t="n">
        <v>45882</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26571-2025</t>
        </is>
      </c>
      <c r="B790" s="1" t="n">
        <v>45807.6794212963</v>
      </c>
      <c r="C790" s="1" t="n">
        <v>45882</v>
      </c>
      <c r="D790" t="inlineStr">
        <is>
          <t>KALMAR LÄN</t>
        </is>
      </c>
      <c r="E790" t="inlineStr">
        <is>
          <t>VÄSTERVIK</t>
        </is>
      </c>
      <c r="G790" t="n">
        <v>2.8</v>
      </c>
      <c r="H790" t="n">
        <v>0</v>
      </c>
      <c r="I790" t="n">
        <v>0</v>
      </c>
      <c r="J790" t="n">
        <v>0</v>
      </c>
      <c r="K790" t="n">
        <v>0</v>
      </c>
      <c r="L790" t="n">
        <v>0</v>
      </c>
      <c r="M790" t="n">
        <v>0</v>
      </c>
      <c r="N790" t="n">
        <v>0</v>
      </c>
      <c r="O790" t="n">
        <v>0</v>
      </c>
      <c r="P790" t="n">
        <v>0</v>
      </c>
      <c r="Q790" t="n">
        <v>0</v>
      </c>
      <c r="R790" s="2" t="inlineStr"/>
    </row>
    <row r="791" ht="15" customHeight="1">
      <c r="A791" t="inlineStr">
        <is>
          <t>A 26566-2025</t>
        </is>
      </c>
      <c r="B791" s="1" t="n">
        <v>45807.66685185185</v>
      </c>
      <c r="C791" s="1" t="n">
        <v>45882</v>
      </c>
      <c r="D791" t="inlineStr">
        <is>
          <t>KALMAR LÄN</t>
        </is>
      </c>
      <c r="E791" t="inlineStr">
        <is>
          <t>VÄSTERVIK</t>
        </is>
      </c>
      <c r="G791" t="n">
        <v>2.5</v>
      </c>
      <c r="H791" t="n">
        <v>0</v>
      </c>
      <c r="I791" t="n">
        <v>0</v>
      </c>
      <c r="J791" t="n">
        <v>0</v>
      </c>
      <c r="K791" t="n">
        <v>0</v>
      </c>
      <c r="L791" t="n">
        <v>0</v>
      </c>
      <c r="M791" t="n">
        <v>0</v>
      </c>
      <c r="N791" t="n">
        <v>0</v>
      </c>
      <c r="O791" t="n">
        <v>0</v>
      </c>
      <c r="P791" t="n">
        <v>0</v>
      </c>
      <c r="Q791" t="n">
        <v>0</v>
      </c>
      <c r="R791" s="2" t="inlineStr"/>
    </row>
    <row r="792" ht="15" customHeight="1">
      <c r="A792" t="inlineStr">
        <is>
          <t>A 26569-2025</t>
        </is>
      </c>
      <c r="B792" s="1" t="n">
        <v>45807.67638888889</v>
      </c>
      <c r="C792" s="1" t="n">
        <v>45882</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26572-2025</t>
        </is>
      </c>
      <c r="B793" s="1" t="n">
        <v>45807.68232638889</v>
      </c>
      <c r="C793" s="1" t="n">
        <v>45882</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34619-2025</t>
        </is>
      </c>
      <c r="B794" s="1" t="n">
        <v>45847</v>
      </c>
      <c r="C794" s="1" t="n">
        <v>45882</v>
      </c>
      <c r="D794" t="inlineStr">
        <is>
          <t>KALMAR LÄN</t>
        </is>
      </c>
      <c r="E794" t="inlineStr">
        <is>
          <t>VÄSTERVIK</t>
        </is>
      </c>
      <c r="G794" t="n">
        <v>3</v>
      </c>
      <c r="H794" t="n">
        <v>0</v>
      </c>
      <c r="I794" t="n">
        <v>0</v>
      </c>
      <c r="J794" t="n">
        <v>0</v>
      </c>
      <c r="K794" t="n">
        <v>0</v>
      </c>
      <c r="L794" t="n">
        <v>0</v>
      </c>
      <c r="M794" t="n">
        <v>0</v>
      </c>
      <c r="N794" t="n">
        <v>0</v>
      </c>
      <c r="O794" t="n">
        <v>0</v>
      </c>
      <c r="P794" t="n">
        <v>0</v>
      </c>
      <c r="Q794" t="n">
        <v>0</v>
      </c>
      <c r="R794" s="2" t="inlineStr"/>
    </row>
    <row r="795" ht="15" customHeight="1">
      <c r="A795" t="inlineStr">
        <is>
          <t>A 34916-2025</t>
        </is>
      </c>
      <c r="B795" s="1" t="n">
        <v>45849.54420138889</v>
      </c>
      <c r="C795" s="1" t="n">
        <v>45882</v>
      </c>
      <c r="D795" t="inlineStr">
        <is>
          <t>KALMAR LÄN</t>
        </is>
      </c>
      <c r="E795" t="inlineStr">
        <is>
          <t>VÄSTERVIK</t>
        </is>
      </c>
      <c r="G795" t="n">
        <v>0.7</v>
      </c>
      <c r="H795" t="n">
        <v>0</v>
      </c>
      <c r="I795" t="n">
        <v>0</v>
      </c>
      <c r="J795" t="n">
        <v>0</v>
      </c>
      <c r="K795" t="n">
        <v>0</v>
      </c>
      <c r="L795" t="n">
        <v>0</v>
      </c>
      <c r="M795" t="n">
        <v>0</v>
      </c>
      <c r="N795" t="n">
        <v>0</v>
      </c>
      <c r="O795" t="n">
        <v>0</v>
      </c>
      <c r="P795" t="n">
        <v>0</v>
      </c>
      <c r="Q795" t="n">
        <v>0</v>
      </c>
      <c r="R795" s="2" t="inlineStr"/>
    </row>
    <row r="796" ht="15" customHeight="1">
      <c r="A796" t="inlineStr">
        <is>
          <t>A 34639-2025</t>
        </is>
      </c>
      <c r="B796" s="1" t="n">
        <v>45848.3125462963</v>
      </c>
      <c r="C796" s="1" t="n">
        <v>45882</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34643-2025</t>
        </is>
      </c>
      <c r="B797" s="1" t="n">
        <v>45848.32959490741</v>
      </c>
      <c r="C797" s="1" t="n">
        <v>45882</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8005-2023</t>
        </is>
      </c>
      <c r="B798" s="1" t="n">
        <v>44973.88452546296</v>
      </c>
      <c r="C798" s="1" t="n">
        <v>45882</v>
      </c>
      <c r="D798" t="inlineStr">
        <is>
          <t>KALMAR LÄN</t>
        </is>
      </c>
      <c r="E798" t="inlineStr">
        <is>
          <t>VÄSTERVIK</t>
        </is>
      </c>
      <c r="G798" t="n">
        <v>2</v>
      </c>
      <c r="H798" t="n">
        <v>0</v>
      </c>
      <c r="I798" t="n">
        <v>0</v>
      </c>
      <c r="J798" t="n">
        <v>0</v>
      </c>
      <c r="K798" t="n">
        <v>0</v>
      </c>
      <c r="L798" t="n">
        <v>0</v>
      </c>
      <c r="M798" t="n">
        <v>0</v>
      </c>
      <c r="N798" t="n">
        <v>0</v>
      </c>
      <c r="O798" t="n">
        <v>0</v>
      </c>
      <c r="P798" t="n">
        <v>0</v>
      </c>
      <c r="Q798" t="n">
        <v>0</v>
      </c>
      <c r="R798" s="2" t="inlineStr"/>
    </row>
    <row r="799" ht="15" customHeight="1">
      <c r="A799" t="inlineStr">
        <is>
          <t>A 13743-2024</t>
        </is>
      </c>
      <c r="B799" s="1" t="n">
        <v>45390.8940625</v>
      </c>
      <c r="C799" s="1" t="n">
        <v>45882</v>
      </c>
      <c r="D799" t="inlineStr">
        <is>
          <t>KALMAR LÄN</t>
        </is>
      </c>
      <c r="E799" t="inlineStr">
        <is>
          <t>VÄSTERVIK</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37936-2022</t>
        </is>
      </c>
      <c r="B800" s="1" t="n">
        <v>44811.46958333333</v>
      </c>
      <c r="C800" s="1" t="n">
        <v>45882</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45721-2022</t>
        </is>
      </c>
      <c r="B801" s="1" t="n">
        <v>44845</v>
      </c>
      <c r="C801" s="1" t="n">
        <v>45882</v>
      </c>
      <c r="D801" t="inlineStr">
        <is>
          <t>KALMAR LÄN</t>
        </is>
      </c>
      <c r="E801" t="inlineStr">
        <is>
          <t>VÄSTERVIK</t>
        </is>
      </c>
      <c r="F801" t="inlineStr">
        <is>
          <t>Holmen skog AB</t>
        </is>
      </c>
      <c r="G801" t="n">
        <v>3.3</v>
      </c>
      <c r="H801" t="n">
        <v>0</v>
      </c>
      <c r="I801" t="n">
        <v>0</v>
      </c>
      <c r="J801" t="n">
        <v>0</v>
      </c>
      <c r="K801" t="n">
        <v>0</v>
      </c>
      <c r="L801" t="n">
        <v>0</v>
      </c>
      <c r="M801" t="n">
        <v>0</v>
      </c>
      <c r="N801" t="n">
        <v>0</v>
      </c>
      <c r="O801" t="n">
        <v>0</v>
      </c>
      <c r="P801" t="n">
        <v>0</v>
      </c>
      <c r="Q801" t="n">
        <v>0</v>
      </c>
      <c r="R801" s="2" t="inlineStr"/>
      <c r="U801">
        <f>HYPERLINK("https://klasma.github.io/Logging_0883/knärot/A 45721-2022 karta knärot.png", "A 45721-2022")</f>
        <v/>
      </c>
      <c r="V801">
        <f>HYPERLINK("https://klasma.github.io/Logging_0883/klagomål/A 45721-2022 FSC-klagomål.docx", "A 45721-2022")</f>
        <v/>
      </c>
      <c r="W801">
        <f>HYPERLINK("https://klasma.github.io/Logging_0883/klagomålsmail/A 45721-2022 FSC-klagomål mail.docx", "A 45721-2022")</f>
        <v/>
      </c>
      <c r="X801">
        <f>HYPERLINK("https://klasma.github.io/Logging_0883/tillsyn/A 45721-2022 tillsynsbegäran.docx", "A 45721-2022")</f>
        <v/>
      </c>
      <c r="Y801">
        <f>HYPERLINK("https://klasma.github.io/Logging_0883/tillsynsmail/A 45721-2022 tillsynsbegäran mail.docx", "A 45721-2022")</f>
        <v/>
      </c>
    </row>
    <row r="802" ht="15" customHeight="1">
      <c r="A802" t="inlineStr">
        <is>
          <t>A 57804-2021</t>
        </is>
      </c>
      <c r="B802" s="1" t="n">
        <v>44484</v>
      </c>
      <c r="C802" s="1" t="n">
        <v>45882</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47267-2023</t>
        </is>
      </c>
      <c r="B803" s="1" t="n">
        <v>45202.42667824074</v>
      </c>
      <c r="C803" s="1" t="n">
        <v>45882</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33814-2023</t>
        </is>
      </c>
      <c r="B804" s="1" t="n">
        <v>45133.59230324074</v>
      </c>
      <c r="C804" s="1" t="n">
        <v>45882</v>
      </c>
      <c r="D804" t="inlineStr">
        <is>
          <t>KALMAR LÄN</t>
        </is>
      </c>
      <c r="E804" t="inlineStr">
        <is>
          <t>VÄSTERVIK</t>
        </is>
      </c>
      <c r="G804" t="n">
        <v>3.9</v>
      </c>
      <c r="H804" t="n">
        <v>0</v>
      </c>
      <c r="I804" t="n">
        <v>0</v>
      </c>
      <c r="J804" t="n">
        <v>0</v>
      </c>
      <c r="K804" t="n">
        <v>0</v>
      </c>
      <c r="L804" t="n">
        <v>0</v>
      </c>
      <c r="M804" t="n">
        <v>0</v>
      </c>
      <c r="N804" t="n">
        <v>0</v>
      </c>
      <c r="O804" t="n">
        <v>0</v>
      </c>
      <c r="P804" t="n">
        <v>0</v>
      </c>
      <c r="Q804" t="n">
        <v>0</v>
      </c>
      <c r="R804" s="2" t="inlineStr"/>
    </row>
    <row r="805" ht="15" customHeight="1">
      <c r="A805" t="inlineStr">
        <is>
          <t>A 8382-2023</t>
        </is>
      </c>
      <c r="B805" s="1" t="n">
        <v>44977.40112268519</v>
      </c>
      <c r="C805" s="1" t="n">
        <v>45882</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55565-2024</t>
        </is>
      </c>
      <c r="B806" s="1" t="n">
        <v>45622.54515046296</v>
      </c>
      <c r="C806" s="1" t="n">
        <v>45882</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10515-2024</t>
        </is>
      </c>
      <c r="B807" s="1" t="n">
        <v>45366</v>
      </c>
      <c r="C807" s="1" t="n">
        <v>45882</v>
      </c>
      <c r="D807" t="inlineStr">
        <is>
          <t>KALMAR LÄN</t>
        </is>
      </c>
      <c r="E807" t="inlineStr">
        <is>
          <t>VÄSTERVIK</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29786-2024</t>
        </is>
      </c>
      <c r="B808" s="1" t="n">
        <v>45485.46388888889</v>
      </c>
      <c r="C808" s="1" t="n">
        <v>45882</v>
      </c>
      <c r="D808" t="inlineStr">
        <is>
          <t>KALMAR LÄN</t>
        </is>
      </c>
      <c r="E808" t="inlineStr">
        <is>
          <t>VÄSTERVIK</t>
        </is>
      </c>
      <c r="G808" t="n">
        <v>2.1</v>
      </c>
      <c r="H808" t="n">
        <v>0</v>
      </c>
      <c r="I808" t="n">
        <v>0</v>
      </c>
      <c r="J808" t="n">
        <v>0</v>
      </c>
      <c r="K808" t="n">
        <v>0</v>
      </c>
      <c r="L808" t="n">
        <v>0</v>
      </c>
      <c r="M808" t="n">
        <v>0</v>
      </c>
      <c r="N808" t="n">
        <v>0</v>
      </c>
      <c r="O808" t="n">
        <v>0</v>
      </c>
      <c r="P808" t="n">
        <v>0</v>
      </c>
      <c r="Q808" t="n">
        <v>0</v>
      </c>
      <c r="R808" s="2" t="inlineStr"/>
    </row>
    <row r="809" ht="15" customHeight="1">
      <c r="A809" t="inlineStr">
        <is>
          <t>A 32006-2024</t>
        </is>
      </c>
      <c r="B809" s="1" t="n">
        <v>45510</v>
      </c>
      <c r="C809" s="1" t="n">
        <v>45882</v>
      </c>
      <c r="D809" t="inlineStr">
        <is>
          <t>KALMAR LÄN</t>
        </is>
      </c>
      <c r="E809" t="inlineStr">
        <is>
          <t>VÄSTERVIK</t>
        </is>
      </c>
      <c r="G809" t="n">
        <v>1.3</v>
      </c>
      <c r="H809" t="n">
        <v>0</v>
      </c>
      <c r="I809" t="n">
        <v>0</v>
      </c>
      <c r="J809" t="n">
        <v>0</v>
      </c>
      <c r="K809" t="n">
        <v>0</v>
      </c>
      <c r="L809" t="n">
        <v>0</v>
      </c>
      <c r="M809" t="n">
        <v>0</v>
      </c>
      <c r="N809" t="n">
        <v>0</v>
      </c>
      <c r="O809" t="n">
        <v>0</v>
      </c>
      <c r="P809" t="n">
        <v>0</v>
      </c>
      <c r="Q809" t="n">
        <v>0</v>
      </c>
      <c r="R809" s="2" t="inlineStr"/>
    </row>
    <row r="810" ht="15" customHeight="1">
      <c r="A810" t="inlineStr">
        <is>
          <t>A 2859-2025</t>
        </is>
      </c>
      <c r="B810" s="1" t="n">
        <v>45677.67003472222</v>
      </c>
      <c r="C810" s="1" t="n">
        <v>45882</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2870-2025</t>
        </is>
      </c>
      <c r="B811" s="1" t="n">
        <v>45677.68149305556</v>
      </c>
      <c r="C811" s="1" t="n">
        <v>45882</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60710-2022</t>
        </is>
      </c>
      <c r="B812" s="1" t="n">
        <v>44912</v>
      </c>
      <c r="C812" s="1" t="n">
        <v>45882</v>
      </c>
      <c r="D812" t="inlineStr">
        <is>
          <t>KALMAR LÄN</t>
        </is>
      </c>
      <c r="E812" t="inlineStr">
        <is>
          <t>VÄSTERVIK</t>
        </is>
      </c>
      <c r="F812" t="inlineStr">
        <is>
          <t>Övriga Aktiebolag</t>
        </is>
      </c>
      <c r="G812" t="n">
        <v>0.6</v>
      </c>
      <c r="H812" t="n">
        <v>0</v>
      </c>
      <c r="I812" t="n">
        <v>0</v>
      </c>
      <c r="J812" t="n">
        <v>0</v>
      </c>
      <c r="K812" t="n">
        <v>0</v>
      </c>
      <c r="L812" t="n">
        <v>0</v>
      </c>
      <c r="M812" t="n">
        <v>0</v>
      </c>
      <c r="N812" t="n">
        <v>0</v>
      </c>
      <c r="O812" t="n">
        <v>0</v>
      </c>
      <c r="P812" t="n">
        <v>0</v>
      </c>
      <c r="Q812" t="n">
        <v>0</v>
      </c>
      <c r="R812" s="2" t="inlineStr"/>
    </row>
    <row r="813" ht="15" customHeight="1">
      <c r="A813" t="inlineStr">
        <is>
          <t>A 1788-2025</t>
        </is>
      </c>
      <c r="B813" s="1" t="n">
        <v>45671.45521990741</v>
      </c>
      <c r="C813" s="1" t="n">
        <v>45882</v>
      </c>
      <c r="D813" t="inlineStr">
        <is>
          <t>KALMAR LÄN</t>
        </is>
      </c>
      <c r="E813" t="inlineStr">
        <is>
          <t>VÄSTERVIK</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34617-2025</t>
        </is>
      </c>
      <c r="B814" s="1" t="n">
        <v>45847</v>
      </c>
      <c r="C814" s="1" t="n">
        <v>45882</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34618-2025</t>
        </is>
      </c>
      <c r="B815" s="1" t="n">
        <v>45847</v>
      </c>
      <c r="C815" s="1" t="n">
        <v>45882</v>
      </c>
      <c r="D815" t="inlineStr">
        <is>
          <t>KALMAR LÄN</t>
        </is>
      </c>
      <c r="E815" t="inlineStr">
        <is>
          <t>VÄSTERVIK</t>
        </is>
      </c>
      <c r="G815" t="n">
        <v>2.6</v>
      </c>
      <c r="H815" t="n">
        <v>0</v>
      </c>
      <c r="I815" t="n">
        <v>0</v>
      </c>
      <c r="J815" t="n">
        <v>0</v>
      </c>
      <c r="K815" t="n">
        <v>0</v>
      </c>
      <c r="L815" t="n">
        <v>0</v>
      </c>
      <c r="M815" t="n">
        <v>0</v>
      </c>
      <c r="N815" t="n">
        <v>0</v>
      </c>
      <c r="O815" t="n">
        <v>0</v>
      </c>
      <c r="P815" t="n">
        <v>0</v>
      </c>
      <c r="Q815" t="n">
        <v>0</v>
      </c>
      <c r="R815" s="2" t="inlineStr"/>
    </row>
    <row r="816" ht="15" customHeight="1">
      <c r="A816" t="inlineStr">
        <is>
          <t>A 35214-2025</t>
        </is>
      </c>
      <c r="B816" s="1" t="n">
        <v>45853.47163194444</v>
      </c>
      <c r="C816" s="1" t="n">
        <v>45882</v>
      </c>
      <c r="D816" t="inlineStr">
        <is>
          <t>KALMAR LÄN</t>
        </is>
      </c>
      <c r="E816" t="inlineStr">
        <is>
          <t>VÄSTERVIK</t>
        </is>
      </c>
      <c r="G816" t="n">
        <v>10.7</v>
      </c>
      <c r="H816" t="n">
        <v>0</v>
      </c>
      <c r="I816" t="n">
        <v>0</v>
      </c>
      <c r="J816" t="n">
        <v>0</v>
      </c>
      <c r="K816" t="n">
        <v>0</v>
      </c>
      <c r="L816" t="n">
        <v>0</v>
      </c>
      <c r="M816" t="n">
        <v>0</v>
      </c>
      <c r="N816" t="n">
        <v>0</v>
      </c>
      <c r="O816" t="n">
        <v>0</v>
      </c>
      <c r="P816" t="n">
        <v>0</v>
      </c>
      <c r="Q816" t="n">
        <v>0</v>
      </c>
      <c r="R816" s="2" t="inlineStr"/>
    </row>
    <row r="817" ht="15" customHeight="1">
      <c r="A817" t="inlineStr">
        <is>
          <t>A 6346-2023</t>
        </is>
      </c>
      <c r="B817" s="1" t="n">
        <v>44960</v>
      </c>
      <c r="C817" s="1" t="n">
        <v>45882</v>
      </c>
      <c r="D817" t="inlineStr">
        <is>
          <t>KALMAR LÄN</t>
        </is>
      </c>
      <c r="E817" t="inlineStr">
        <is>
          <t>VÄSTERVIK</t>
        </is>
      </c>
      <c r="G817" t="n">
        <v>4.5</v>
      </c>
      <c r="H817" t="n">
        <v>0</v>
      </c>
      <c r="I817" t="n">
        <v>0</v>
      </c>
      <c r="J817" t="n">
        <v>0</v>
      </c>
      <c r="K817" t="n">
        <v>0</v>
      </c>
      <c r="L817" t="n">
        <v>0</v>
      </c>
      <c r="M817" t="n">
        <v>0</v>
      </c>
      <c r="N817" t="n">
        <v>0</v>
      </c>
      <c r="O817" t="n">
        <v>0</v>
      </c>
      <c r="P817" t="n">
        <v>0</v>
      </c>
      <c r="Q817" t="n">
        <v>0</v>
      </c>
      <c r="R817" s="2" t="inlineStr"/>
    </row>
    <row r="818" ht="15" customHeight="1">
      <c r="A818" t="inlineStr">
        <is>
          <t>A 7163-2025</t>
        </is>
      </c>
      <c r="B818" s="1" t="n">
        <v>45702.3918287037</v>
      </c>
      <c r="C818" s="1" t="n">
        <v>45882</v>
      </c>
      <c r="D818" t="inlineStr">
        <is>
          <t>KALMAR LÄN</t>
        </is>
      </c>
      <c r="E818" t="inlineStr">
        <is>
          <t>VÄSTERVIK</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55047-2024</t>
        </is>
      </c>
      <c r="B819" s="1" t="n">
        <v>45621.39516203704</v>
      </c>
      <c r="C819" s="1" t="n">
        <v>45882</v>
      </c>
      <c r="D819" t="inlineStr">
        <is>
          <t>KALMAR LÄN</t>
        </is>
      </c>
      <c r="E819" t="inlineStr">
        <is>
          <t>VÄSTERVIK</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5769-2023</t>
        </is>
      </c>
      <c r="B820" s="1" t="n">
        <v>44963.37194444444</v>
      </c>
      <c r="C820" s="1" t="n">
        <v>45882</v>
      </c>
      <c r="D820" t="inlineStr">
        <is>
          <t>KALMAR LÄN</t>
        </is>
      </c>
      <c r="E820" t="inlineStr">
        <is>
          <t>VÄSTERVIK</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42816-2024</t>
        </is>
      </c>
      <c r="B821" s="1" t="n">
        <v>45566</v>
      </c>
      <c r="C821" s="1" t="n">
        <v>45882</v>
      </c>
      <c r="D821" t="inlineStr">
        <is>
          <t>KALMAR LÄN</t>
        </is>
      </c>
      <c r="E821" t="inlineStr">
        <is>
          <t>VÄSTERVIK</t>
        </is>
      </c>
      <c r="G821" t="n">
        <v>0.1</v>
      </c>
      <c r="H821" t="n">
        <v>0</v>
      </c>
      <c r="I821" t="n">
        <v>0</v>
      </c>
      <c r="J821" t="n">
        <v>0</v>
      </c>
      <c r="K821" t="n">
        <v>0</v>
      </c>
      <c r="L821" t="n">
        <v>0</v>
      </c>
      <c r="M821" t="n">
        <v>0</v>
      </c>
      <c r="N821" t="n">
        <v>0</v>
      </c>
      <c r="O821" t="n">
        <v>0</v>
      </c>
      <c r="P821" t="n">
        <v>0</v>
      </c>
      <c r="Q821" t="n">
        <v>0</v>
      </c>
      <c r="R821" s="2" t="inlineStr"/>
    </row>
    <row r="822" ht="15" customHeight="1">
      <c r="A822" t="inlineStr">
        <is>
          <t>A 33208-2022</t>
        </is>
      </c>
      <c r="B822" s="1" t="n">
        <v>44785</v>
      </c>
      <c r="C822" s="1" t="n">
        <v>45882</v>
      </c>
      <c r="D822" t="inlineStr">
        <is>
          <t>KALMAR LÄN</t>
        </is>
      </c>
      <c r="E822" t="inlineStr">
        <is>
          <t>VÄSTERVIK</t>
        </is>
      </c>
      <c r="G822" t="n">
        <v>2.6</v>
      </c>
      <c r="H822" t="n">
        <v>0</v>
      </c>
      <c r="I822" t="n">
        <v>0</v>
      </c>
      <c r="J822" t="n">
        <v>0</v>
      </c>
      <c r="K822" t="n">
        <v>0</v>
      </c>
      <c r="L822" t="n">
        <v>0</v>
      </c>
      <c r="M822" t="n">
        <v>0</v>
      </c>
      <c r="N822" t="n">
        <v>0</v>
      </c>
      <c r="O822" t="n">
        <v>0</v>
      </c>
      <c r="P822" t="n">
        <v>0</v>
      </c>
      <c r="Q822" t="n">
        <v>0</v>
      </c>
      <c r="R822" s="2" t="inlineStr"/>
    </row>
    <row r="823" ht="15" customHeight="1">
      <c r="A823" t="inlineStr">
        <is>
          <t>A 782-2024</t>
        </is>
      </c>
      <c r="B823" s="1" t="n">
        <v>45300.55188657407</v>
      </c>
      <c r="C823" s="1" t="n">
        <v>45882</v>
      </c>
      <c r="D823" t="inlineStr">
        <is>
          <t>KALMAR LÄN</t>
        </is>
      </c>
      <c r="E823" t="inlineStr">
        <is>
          <t>VÄSTERVIK</t>
        </is>
      </c>
      <c r="G823" t="n">
        <v>2.7</v>
      </c>
      <c r="H823" t="n">
        <v>0</v>
      </c>
      <c r="I823" t="n">
        <v>0</v>
      </c>
      <c r="J823" t="n">
        <v>0</v>
      </c>
      <c r="K823" t="n">
        <v>0</v>
      </c>
      <c r="L823" t="n">
        <v>0</v>
      </c>
      <c r="M823" t="n">
        <v>0</v>
      </c>
      <c r="N823" t="n">
        <v>0</v>
      </c>
      <c r="O823" t="n">
        <v>0</v>
      </c>
      <c r="P823" t="n">
        <v>0</v>
      </c>
      <c r="Q823" t="n">
        <v>0</v>
      </c>
      <c r="R823" s="2" t="inlineStr"/>
    </row>
    <row r="824" ht="15" customHeight="1">
      <c r="A824" t="inlineStr">
        <is>
          <t>A 1585-2022</t>
        </is>
      </c>
      <c r="B824" s="1" t="n">
        <v>44573</v>
      </c>
      <c r="C824" s="1" t="n">
        <v>45882</v>
      </c>
      <c r="D824" t="inlineStr">
        <is>
          <t>KALMAR LÄN</t>
        </is>
      </c>
      <c r="E824" t="inlineStr">
        <is>
          <t>VÄSTERVIK</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34471-2024</t>
        </is>
      </c>
      <c r="B825" s="1" t="n">
        <v>45525.59111111111</v>
      </c>
      <c r="C825" s="1" t="n">
        <v>45882</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58731-2024</t>
        </is>
      </c>
      <c r="B826" s="1" t="n">
        <v>45635.67120370371</v>
      </c>
      <c r="C826" s="1" t="n">
        <v>45882</v>
      </c>
      <c r="D826" t="inlineStr">
        <is>
          <t>KALMAR LÄN</t>
        </is>
      </c>
      <c r="E826" t="inlineStr">
        <is>
          <t>VÄSTERVIK</t>
        </is>
      </c>
      <c r="G826" t="n">
        <v>2.3</v>
      </c>
      <c r="H826" t="n">
        <v>0</v>
      </c>
      <c r="I826" t="n">
        <v>0</v>
      </c>
      <c r="J826" t="n">
        <v>0</v>
      </c>
      <c r="K826" t="n">
        <v>0</v>
      </c>
      <c r="L826" t="n">
        <v>0</v>
      </c>
      <c r="M826" t="n">
        <v>0</v>
      </c>
      <c r="N826" t="n">
        <v>0</v>
      </c>
      <c r="O826" t="n">
        <v>0</v>
      </c>
      <c r="P826" t="n">
        <v>0</v>
      </c>
      <c r="Q826" t="n">
        <v>0</v>
      </c>
      <c r="R826" s="2" t="inlineStr"/>
    </row>
    <row r="827" ht="15" customHeight="1">
      <c r="A827" t="inlineStr">
        <is>
          <t>A 2872-2025</t>
        </is>
      </c>
      <c r="B827" s="1" t="n">
        <v>45677.68357638889</v>
      </c>
      <c r="C827" s="1" t="n">
        <v>45882</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row>
    <row r="828" ht="15" customHeight="1">
      <c r="A828" t="inlineStr">
        <is>
          <t>A 7100-2023</t>
        </is>
      </c>
      <c r="B828" s="1" t="n">
        <v>44970.37244212963</v>
      </c>
      <c r="C828" s="1" t="n">
        <v>45882</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60263-2022</t>
        </is>
      </c>
      <c r="B829" s="1" t="n">
        <v>44910.48520833333</v>
      </c>
      <c r="C829" s="1" t="n">
        <v>45882</v>
      </c>
      <c r="D829" t="inlineStr">
        <is>
          <t>KALMAR LÄN</t>
        </is>
      </c>
      <c r="E829" t="inlineStr">
        <is>
          <t>VÄSTERVIK</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31825-2022</t>
        </is>
      </c>
      <c r="B830" s="1" t="n">
        <v>44776.74908564815</v>
      </c>
      <c r="C830" s="1" t="n">
        <v>45882</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8456-2023</t>
        </is>
      </c>
      <c r="B831" s="1" t="n">
        <v>44977</v>
      </c>
      <c r="C831" s="1" t="n">
        <v>45882</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35207-2025</t>
        </is>
      </c>
      <c r="B832" s="1" t="n">
        <v>45853.43320601852</v>
      </c>
      <c r="C832" s="1" t="n">
        <v>45882</v>
      </c>
      <c r="D832" t="inlineStr">
        <is>
          <t>KALMAR LÄN</t>
        </is>
      </c>
      <c r="E832" t="inlineStr">
        <is>
          <t>VÄSTERVIK</t>
        </is>
      </c>
      <c r="G832" t="n">
        <v>7</v>
      </c>
      <c r="H832" t="n">
        <v>0</v>
      </c>
      <c r="I832" t="n">
        <v>0</v>
      </c>
      <c r="J832" t="n">
        <v>0</v>
      </c>
      <c r="K832" t="n">
        <v>0</v>
      </c>
      <c r="L832" t="n">
        <v>0</v>
      </c>
      <c r="M832" t="n">
        <v>0</v>
      </c>
      <c r="N832" t="n">
        <v>0</v>
      </c>
      <c r="O832" t="n">
        <v>0</v>
      </c>
      <c r="P832" t="n">
        <v>0</v>
      </c>
      <c r="Q832" t="n">
        <v>0</v>
      </c>
      <c r="R832" s="2" t="inlineStr"/>
    </row>
    <row r="833" ht="15" customHeight="1">
      <c r="A833" t="inlineStr">
        <is>
          <t>A 35187-2025</t>
        </is>
      </c>
      <c r="B833" s="1" t="n">
        <v>45853.31940972222</v>
      </c>
      <c r="C833" s="1" t="n">
        <v>45882</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54164-2020</t>
        </is>
      </c>
      <c r="B834" s="1" t="n">
        <v>44125</v>
      </c>
      <c r="C834" s="1" t="n">
        <v>45882</v>
      </c>
      <c r="D834" t="inlineStr">
        <is>
          <t>KALMAR LÄN</t>
        </is>
      </c>
      <c r="E834" t="inlineStr">
        <is>
          <t>VÄSTERVIK</t>
        </is>
      </c>
      <c r="F834" t="inlineStr">
        <is>
          <t>Sveaskog</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15099-2023</t>
        </is>
      </c>
      <c r="B835" s="1" t="n">
        <v>45016.39048611111</v>
      </c>
      <c r="C835" s="1" t="n">
        <v>45882</v>
      </c>
      <c r="D835" t="inlineStr">
        <is>
          <t>KALMAR LÄN</t>
        </is>
      </c>
      <c r="E835" t="inlineStr">
        <is>
          <t>VÄSTERVIK</t>
        </is>
      </c>
      <c r="G835" t="n">
        <v>3</v>
      </c>
      <c r="H835" t="n">
        <v>0</v>
      </c>
      <c r="I835" t="n">
        <v>0</v>
      </c>
      <c r="J835" t="n">
        <v>0</v>
      </c>
      <c r="K835" t="n">
        <v>0</v>
      </c>
      <c r="L835" t="n">
        <v>0</v>
      </c>
      <c r="M835" t="n">
        <v>0</v>
      </c>
      <c r="N835" t="n">
        <v>0</v>
      </c>
      <c r="O835" t="n">
        <v>0</v>
      </c>
      <c r="P835" t="n">
        <v>0</v>
      </c>
      <c r="Q835" t="n">
        <v>0</v>
      </c>
      <c r="R835" s="2" t="inlineStr"/>
    </row>
    <row r="836" ht="15" customHeight="1">
      <c r="A836" t="inlineStr">
        <is>
          <t>A 58927-2022</t>
        </is>
      </c>
      <c r="B836" s="1" t="n">
        <v>44896</v>
      </c>
      <c r="C836" s="1" t="n">
        <v>45882</v>
      </c>
      <c r="D836" t="inlineStr">
        <is>
          <t>KALMAR LÄN</t>
        </is>
      </c>
      <c r="E836" t="inlineStr">
        <is>
          <t>VÄSTERVIK</t>
        </is>
      </c>
      <c r="G836" t="n">
        <v>2.5</v>
      </c>
      <c r="H836" t="n">
        <v>0</v>
      </c>
      <c r="I836" t="n">
        <v>0</v>
      </c>
      <c r="J836" t="n">
        <v>0</v>
      </c>
      <c r="K836" t="n">
        <v>0</v>
      </c>
      <c r="L836" t="n">
        <v>0</v>
      </c>
      <c r="M836" t="n">
        <v>0</v>
      </c>
      <c r="N836" t="n">
        <v>0</v>
      </c>
      <c r="O836" t="n">
        <v>0</v>
      </c>
      <c r="P836" t="n">
        <v>0</v>
      </c>
      <c r="Q836" t="n">
        <v>0</v>
      </c>
      <c r="R836" s="2" t="inlineStr"/>
    </row>
    <row r="837" ht="15" customHeight="1">
      <c r="A837" t="inlineStr">
        <is>
          <t>A 31691-2023</t>
        </is>
      </c>
      <c r="B837" s="1" t="n">
        <v>45117.72543981481</v>
      </c>
      <c r="C837" s="1" t="n">
        <v>45882</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47120-2023</t>
        </is>
      </c>
      <c r="B838" s="1" t="n">
        <v>45201</v>
      </c>
      <c r="C838" s="1" t="n">
        <v>45882</v>
      </c>
      <c r="D838" t="inlineStr">
        <is>
          <t>KALMAR LÄN</t>
        </is>
      </c>
      <c r="E838" t="inlineStr">
        <is>
          <t>VÄSTERVIK</t>
        </is>
      </c>
      <c r="G838" t="n">
        <v>1.1</v>
      </c>
      <c r="H838" t="n">
        <v>0</v>
      </c>
      <c r="I838" t="n">
        <v>0</v>
      </c>
      <c r="J838" t="n">
        <v>0</v>
      </c>
      <c r="K838" t="n">
        <v>0</v>
      </c>
      <c r="L838" t="n">
        <v>0</v>
      </c>
      <c r="M838" t="n">
        <v>0</v>
      </c>
      <c r="N838" t="n">
        <v>0</v>
      </c>
      <c r="O838" t="n">
        <v>0</v>
      </c>
      <c r="P838" t="n">
        <v>0</v>
      </c>
      <c r="Q838" t="n">
        <v>0</v>
      </c>
      <c r="R838" s="2" t="inlineStr"/>
    </row>
    <row r="839" ht="15" customHeight="1">
      <c r="A839" t="inlineStr">
        <is>
          <t>A 47123-2023</t>
        </is>
      </c>
      <c r="B839" s="1" t="n">
        <v>45201.68075231482</v>
      </c>
      <c r="C839" s="1" t="n">
        <v>45882</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48121-2021</t>
        </is>
      </c>
      <c r="B840" s="1" t="n">
        <v>44449.46614583334</v>
      </c>
      <c r="C840" s="1" t="n">
        <v>45882</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57802-2024</t>
        </is>
      </c>
      <c r="B841" s="1" t="n">
        <v>45631.34590277778</v>
      </c>
      <c r="C841" s="1" t="n">
        <v>45882</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5348-2024</t>
        </is>
      </c>
      <c r="B842" s="1" t="n">
        <v>45331</v>
      </c>
      <c r="C842" s="1" t="n">
        <v>45882</v>
      </c>
      <c r="D842" t="inlineStr">
        <is>
          <t>KALMAR LÄN</t>
        </is>
      </c>
      <c r="E842" t="inlineStr">
        <is>
          <t>VÄSTERVIK</t>
        </is>
      </c>
      <c r="F842" t="inlineStr">
        <is>
          <t>Övriga Aktiebolag</t>
        </is>
      </c>
      <c r="G842" t="n">
        <v>0.8</v>
      </c>
      <c r="H842" t="n">
        <v>0</v>
      </c>
      <c r="I842" t="n">
        <v>0</v>
      </c>
      <c r="J842" t="n">
        <v>0</v>
      </c>
      <c r="K842" t="n">
        <v>0</v>
      </c>
      <c r="L842" t="n">
        <v>0</v>
      </c>
      <c r="M842" t="n">
        <v>0</v>
      </c>
      <c r="N842" t="n">
        <v>0</v>
      </c>
      <c r="O842" t="n">
        <v>0</v>
      </c>
      <c r="P842" t="n">
        <v>0</v>
      </c>
      <c r="Q842" t="n">
        <v>0</v>
      </c>
      <c r="R842" s="2" t="inlineStr"/>
    </row>
    <row r="843" ht="15" customHeight="1">
      <c r="A843" t="inlineStr">
        <is>
          <t>A 26633-2025</t>
        </is>
      </c>
      <c r="B843" s="1" t="n">
        <v>45810.35262731482</v>
      </c>
      <c r="C843" s="1" t="n">
        <v>45882</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10807-2023</t>
        </is>
      </c>
      <c r="B844" s="1" t="n">
        <v>44989.64261574074</v>
      </c>
      <c r="C844" s="1" t="n">
        <v>45882</v>
      </c>
      <c r="D844" t="inlineStr">
        <is>
          <t>KALMAR LÄN</t>
        </is>
      </c>
      <c r="E844" t="inlineStr">
        <is>
          <t>VÄSTERVIK</t>
        </is>
      </c>
      <c r="G844" t="n">
        <v>0.4</v>
      </c>
      <c r="H844" t="n">
        <v>0</v>
      </c>
      <c r="I844" t="n">
        <v>0</v>
      </c>
      <c r="J844" t="n">
        <v>0</v>
      </c>
      <c r="K844" t="n">
        <v>0</v>
      </c>
      <c r="L844" t="n">
        <v>0</v>
      </c>
      <c r="M844" t="n">
        <v>0</v>
      </c>
      <c r="N844" t="n">
        <v>0</v>
      </c>
      <c r="O844" t="n">
        <v>0</v>
      </c>
      <c r="P844" t="n">
        <v>0</v>
      </c>
      <c r="Q844" t="n">
        <v>0</v>
      </c>
      <c r="R844" s="2" t="inlineStr"/>
    </row>
    <row r="845" ht="15" customHeight="1">
      <c r="A845" t="inlineStr">
        <is>
          <t>A 30035-2023</t>
        </is>
      </c>
      <c r="B845" s="1" t="n">
        <v>45110</v>
      </c>
      <c r="C845" s="1" t="n">
        <v>45882</v>
      </c>
      <c r="D845" t="inlineStr">
        <is>
          <t>KALMAR LÄN</t>
        </is>
      </c>
      <c r="E845" t="inlineStr">
        <is>
          <t>VÄSTERVIK</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1115-2025</t>
        </is>
      </c>
      <c r="B846" s="1" t="n">
        <v>45666.65664351852</v>
      </c>
      <c r="C846" s="1" t="n">
        <v>45882</v>
      </c>
      <c r="D846" t="inlineStr">
        <is>
          <t>KALMAR LÄN</t>
        </is>
      </c>
      <c r="E846" t="inlineStr">
        <is>
          <t>VÄSTERVIK</t>
        </is>
      </c>
      <c r="G846" t="n">
        <v>1.9</v>
      </c>
      <c r="H846" t="n">
        <v>0</v>
      </c>
      <c r="I846" t="n">
        <v>0</v>
      </c>
      <c r="J846" t="n">
        <v>0</v>
      </c>
      <c r="K846" t="n">
        <v>0</v>
      </c>
      <c r="L846" t="n">
        <v>0</v>
      </c>
      <c r="M846" t="n">
        <v>0</v>
      </c>
      <c r="N846" t="n">
        <v>0</v>
      </c>
      <c r="O846" t="n">
        <v>0</v>
      </c>
      <c r="P846" t="n">
        <v>0</v>
      </c>
      <c r="Q846" t="n">
        <v>0</v>
      </c>
      <c r="R846" s="2" t="inlineStr"/>
    </row>
    <row r="847" ht="15" customHeight="1">
      <c r="A847" t="inlineStr">
        <is>
          <t>A 29405-2024</t>
        </is>
      </c>
      <c r="B847" s="1" t="n">
        <v>45483</v>
      </c>
      <c r="C847" s="1" t="n">
        <v>45882</v>
      </c>
      <c r="D847" t="inlineStr">
        <is>
          <t>KALMAR LÄN</t>
        </is>
      </c>
      <c r="E847" t="inlineStr">
        <is>
          <t>VÄSTERVIK</t>
        </is>
      </c>
      <c r="G847" t="n">
        <v>1.8</v>
      </c>
      <c r="H847" t="n">
        <v>0</v>
      </c>
      <c r="I847" t="n">
        <v>0</v>
      </c>
      <c r="J847" t="n">
        <v>0</v>
      </c>
      <c r="K847" t="n">
        <v>0</v>
      </c>
      <c r="L847" t="n">
        <v>0</v>
      </c>
      <c r="M847" t="n">
        <v>0</v>
      </c>
      <c r="N847" t="n">
        <v>0</v>
      </c>
      <c r="O847" t="n">
        <v>0</v>
      </c>
      <c r="P847" t="n">
        <v>0</v>
      </c>
      <c r="Q847" t="n">
        <v>0</v>
      </c>
      <c r="R847" s="2" t="inlineStr"/>
    </row>
    <row r="848" ht="15" customHeight="1">
      <c r="A848" t="inlineStr">
        <is>
          <t>A 1867-2025</t>
        </is>
      </c>
      <c r="B848" s="1" t="n">
        <v>45671.61569444444</v>
      </c>
      <c r="C848" s="1" t="n">
        <v>45882</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32822-2021</t>
        </is>
      </c>
      <c r="B849" s="1" t="n">
        <v>44375</v>
      </c>
      <c r="C849" s="1" t="n">
        <v>45882</v>
      </c>
      <c r="D849" t="inlineStr">
        <is>
          <t>KALMAR LÄN</t>
        </is>
      </c>
      <c r="E849" t="inlineStr">
        <is>
          <t>VÄSTERVIK</t>
        </is>
      </c>
      <c r="G849" t="n">
        <v>5.1</v>
      </c>
      <c r="H849" t="n">
        <v>0</v>
      </c>
      <c r="I849" t="n">
        <v>0</v>
      </c>
      <c r="J849" t="n">
        <v>0</v>
      </c>
      <c r="K849" t="n">
        <v>0</v>
      </c>
      <c r="L849" t="n">
        <v>0</v>
      </c>
      <c r="M849" t="n">
        <v>0</v>
      </c>
      <c r="N849" t="n">
        <v>0</v>
      </c>
      <c r="O849" t="n">
        <v>0</v>
      </c>
      <c r="P849" t="n">
        <v>0</v>
      </c>
      <c r="Q849" t="n">
        <v>0</v>
      </c>
      <c r="R849" s="2" t="inlineStr"/>
    </row>
    <row r="850" ht="15" customHeight="1">
      <c r="A850" t="inlineStr">
        <is>
          <t>A 9549-2024</t>
        </is>
      </c>
      <c r="B850" s="1" t="n">
        <v>45359.87989583334</v>
      </c>
      <c r="C850" s="1" t="n">
        <v>45882</v>
      </c>
      <c r="D850" t="inlineStr">
        <is>
          <t>KALMAR LÄN</t>
        </is>
      </c>
      <c r="E850" t="inlineStr">
        <is>
          <t>VÄSTERVIK</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9025-2022</t>
        </is>
      </c>
      <c r="B851" s="1" t="n">
        <v>44615</v>
      </c>
      <c r="C851" s="1" t="n">
        <v>45882</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27446-2025</t>
        </is>
      </c>
      <c r="B852" s="1" t="n">
        <v>45813.32667824074</v>
      </c>
      <c r="C852" s="1" t="n">
        <v>45882</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61580-2022</t>
        </is>
      </c>
      <c r="B853" s="1" t="n">
        <v>44916.62880787037</v>
      </c>
      <c r="C853" s="1" t="n">
        <v>45882</v>
      </c>
      <c r="D853" t="inlineStr">
        <is>
          <t>KALMAR LÄN</t>
        </is>
      </c>
      <c r="E853" t="inlineStr">
        <is>
          <t>VÄSTERVIK</t>
        </is>
      </c>
      <c r="G853" t="n">
        <v>3.5</v>
      </c>
      <c r="H853" t="n">
        <v>0</v>
      </c>
      <c r="I853" t="n">
        <v>0</v>
      </c>
      <c r="J853" t="n">
        <v>0</v>
      </c>
      <c r="K853" t="n">
        <v>0</v>
      </c>
      <c r="L853" t="n">
        <v>0</v>
      </c>
      <c r="M853" t="n">
        <v>0</v>
      </c>
      <c r="N853" t="n">
        <v>0</v>
      </c>
      <c r="O853" t="n">
        <v>0</v>
      </c>
      <c r="P853" t="n">
        <v>0</v>
      </c>
      <c r="Q853" t="n">
        <v>0</v>
      </c>
      <c r="R853" s="2" t="inlineStr"/>
    </row>
    <row r="854" ht="15" customHeight="1">
      <c r="A854" t="inlineStr">
        <is>
          <t>A 21255-2021</t>
        </is>
      </c>
      <c r="B854" s="1" t="n">
        <v>44320.5672337963</v>
      </c>
      <c r="C854" s="1" t="n">
        <v>45882</v>
      </c>
      <c r="D854" t="inlineStr">
        <is>
          <t>KALMAR LÄN</t>
        </is>
      </c>
      <c r="E854" t="inlineStr">
        <is>
          <t>VÄSTERVIK</t>
        </is>
      </c>
      <c r="G854" t="n">
        <v>0.6</v>
      </c>
      <c r="H854" t="n">
        <v>0</v>
      </c>
      <c r="I854" t="n">
        <v>0</v>
      </c>
      <c r="J854" t="n">
        <v>0</v>
      </c>
      <c r="K854" t="n">
        <v>0</v>
      </c>
      <c r="L854" t="n">
        <v>0</v>
      </c>
      <c r="M854" t="n">
        <v>0</v>
      </c>
      <c r="N854" t="n">
        <v>0</v>
      </c>
      <c r="O854" t="n">
        <v>0</v>
      </c>
      <c r="P854" t="n">
        <v>0</v>
      </c>
      <c r="Q854" t="n">
        <v>0</v>
      </c>
      <c r="R854" s="2" t="inlineStr"/>
    </row>
    <row r="855" ht="15" customHeight="1">
      <c r="A855" t="inlineStr">
        <is>
          <t>A 59695-2023</t>
        </is>
      </c>
      <c r="B855" s="1" t="n">
        <v>45256.85107638889</v>
      </c>
      <c r="C855" s="1" t="n">
        <v>45882</v>
      </c>
      <c r="D855" t="inlineStr">
        <is>
          <t>KALMAR LÄN</t>
        </is>
      </c>
      <c r="E855" t="inlineStr">
        <is>
          <t>VÄSTERVIK</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2738-2023</t>
        </is>
      </c>
      <c r="B856" s="1" t="n">
        <v>44944</v>
      </c>
      <c r="C856" s="1" t="n">
        <v>45882</v>
      </c>
      <c r="D856" t="inlineStr">
        <is>
          <t>KALMAR LÄN</t>
        </is>
      </c>
      <c r="E856" t="inlineStr">
        <is>
          <t>VÄSTERVIK</t>
        </is>
      </c>
      <c r="G856" t="n">
        <v>3</v>
      </c>
      <c r="H856" t="n">
        <v>0</v>
      </c>
      <c r="I856" t="n">
        <v>0</v>
      </c>
      <c r="J856" t="n">
        <v>0</v>
      </c>
      <c r="K856" t="n">
        <v>0</v>
      </c>
      <c r="L856" t="n">
        <v>0</v>
      </c>
      <c r="M856" t="n">
        <v>0</v>
      </c>
      <c r="N856" t="n">
        <v>0</v>
      </c>
      <c r="O856" t="n">
        <v>0</v>
      </c>
      <c r="P856" t="n">
        <v>0</v>
      </c>
      <c r="Q856" t="n">
        <v>0</v>
      </c>
      <c r="R856" s="2" t="inlineStr"/>
    </row>
    <row r="857" ht="15" customHeight="1">
      <c r="A857" t="inlineStr">
        <is>
          <t>A 6021-2024</t>
        </is>
      </c>
      <c r="B857" s="1" t="n">
        <v>45336.62131944444</v>
      </c>
      <c r="C857" s="1" t="n">
        <v>45882</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33207-2022</t>
        </is>
      </c>
      <c r="B858" s="1" t="n">
        <v>44785.72373842593</v>
      </c>
      <c r="C858" s="1" t="n">
        <v>45882</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56188-2023</t>
        </is>
      </c>
      <c r="B859" s="1" t="n">
        <v>45240.65173611111</v>
      </c>
      <c r="C859" s="1" t="n">
        <v>45882</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39859-2020</t>
        </is>
      </c>
      <c r="B860" s="1" t="n">
        <v>44064</v>
      </c>
      <c r="C860" s="1" t="n">
        <v>45882</v>
      </c>
      <c r="D860" t="inlineStr">
        <is>
          <t>KALMAR LÄN</t>
        </is>
      </c>
      <c r="E860" t="inlineStr">
        <is>
          <t>VÄSTERVIK</t>
        </is>
      </c>
      <c r="G860" t="n">
        <v>29.6</v>
      </c>
      <c r="H860" t="n">
        <v>0</v>
      </c>
      <c r="I860" t="n">
        <v>0</v>
      </c>
      <c r="J860" t="n">
        <v>0</v>
      </c>
      <c r="K860" t="n">
        <v>0</v>
      </c>
      <c r="L860" t="n">
        <v>0</v>
      </c>
      <c r="M860" t="n">
        <v>0</v>
      </c>
      <c r="N860" t="n">
        <v>0</v>
      </c>
      <c r="O860" t="n">
        <v>0</v>
      </c>
      <c r="P860" t="n">
        <v>0</v>
      </c>
      <c r="Q860" t="n">
        <v>0</v>
      </c>
      <c r="R860" s="2" t="inlineStr"/>
    </row>
    <row r="861" ht="15" customHeight="1">
      <c r="A861" t="inlineStr">
        <is>
          <t>A 35108-2024</t>
        </is>
      </c>
      <c r="B861" s="1" t="n">
        <v>45529.64638888889</v>
      </c>
      <c r="C861" s="1" t="n">
        <v>45882</v>
      </c>
      <c r="D861" t="inlineStr">
        <is>
          <t>KALMAR LÄN</t>
        </is>
      </c>
      <c r="E861" t="inlineStr">
        <is>
          <t>VÄSTERVIK</t>
        </is>
      </c>
      <c r="G861" t="n">
        <v>10.5</v>
      </c>
      <c r="H861" t="n">
        <v>0</v>
      </c>
      <c r="I861" t="n">
        <v>0</v>
      </c>
      <c r="J861" t="n">
        <v>0</v>
      </c>
      <c r="K861" t="n">
        <v>0</v>
      </c>
      <c r="L861" t="n">
        <v>0</v>
      </c>
      <c r="M861" t="n">
        <v>0</v>
      </c>
      <c r="N861" t="n">
        <v>0</v>
      </c>
      <c r="O861" t="n">
        <v>0</v>
      </c>
      <c r="P861" t="n">
        <v>0</v>
      </c>
      <c r="Q861" t="n">
        <v>0</v>
      </c>
      <c r="R861" s="2" t="inlineStr"/>
    </row>
    <row r="862" ht="15" customHeight="1">
      <c r="A862" t="inlineStr">
        <is>
          <t>A 27980-2025</t>
        </is>
      </c>
      <c r="B862" s="1" t="n">
        <v>45817.57395833333</v>
      </c>
      <c r="C862" s="1" t="n">
        <v>45882</v>
      </c>
      <c r="D862" t="inlineStr">
        <is>
          <t>KALMAR LÄN</t>
        </is>
      </c>
      <c r="E862" t="inlineStr">
        <is>
          <t>VÄSTERVIK</t>
        </is>
      </c>
      <c r="F862" t="inlineStr">
        <is>
          <t>Sveaskog</t>
        </is>
      </c>
      <c r="G862" t="n">
        <v>7.2</v>
      </c>
      <c r="H862" t="n">
        <v>0</v>
      </c>
      <c r="I862" t="n">
        <v>0</v>
      </c>
      <c r="J862" t="n">
        <v>0</v>
      </c>
      <c r="K862" t="n">
        <v>0</v>
      </c>
      <c r="L862" t="n">
        <v>0</v>
      </c>
      <c r="M862" t="n">
        <v>0</v>
      </c>
      <c r="N862" t="n">
        <v>0</v>
      </c>
      <c r="O862" t="n">
        <v>0</v>
      </c>
      <c r="P862" t="n">
        <v>0</v>
      </c>
      <c r="Q862" t="n">
        <v>0</v>
      </c>
      <c r="R862" s="2" t="inlineStr"/>
    </row>
    <row r="863" ht="15" customHeight="1">
      <c r="A863" t="inlineStr">
        <is>
          <t>A 71114-2021</t>
        </is>
      </c>
      <c r="B863" s="1" t="n">
        <v>44539.37123842593</v>
      </c>
      <c r="C863" s="1" t="n">
        <v>45882</v>
      </c>
      <c r="D863" t="inlineStr">
        <is>
          <t>KALMAR LÄN</t>
        </is>
      </c>
      <c r="E863" t="inlineStr">
        <is>
          <t>VÄSTERVIK</t>
        </is>
      </c>
      <c r="G863" t="n">
        <v>1.9</v>
      </c>
      <c r="H863" t="n">
        <v>0</v>
      </c>
      <c r="I863" t="n">
        <v>0</v>
      </c>
      <c r="J863" t="n">
        <v>0</v>
      </c>
      <c r="K863" t="n">
        <v>0</v>
      </c>
      <c r="L863" t="n">
        <v>0</v>
      </c>
      <c r="M863" t="n">
        <v>0</v>
      </c>
      <c r="N863" t="n">
        <v>0</v>
      </c>
      <c r="O863" t="n">
        <v>0</v>
      </c>
      <c r="P863" t="n">
        <v>0</v>
      </c>
      <c r="Q863" t="n">
        <v>0</v>
      </c>
      <c r="R863" s="2" t="inlineStr"/>
    </row>
    <row r="864" ht="15" customHeight="1">
      <c r="A864" t="inlineStr">
        <is>
          <t>A 9267-2025</t>
        </is>
      </c>
      <c r="B864" s="1" t="n">
        <v>45714.61418981481</v>
      </c>
      <c r="C864" s="1" t="n">
        <v>45882</v>
      </c>
      <c r="D864" t="inlineStr">
        <is>
          <t>KALMAR LÄN</t>
        </is>
      </c>
      <c r="E864" t="inlineStr">
        <is>
          <t>VÄSTERVIK</t>
        </is>
      </c>
      <c r="F864" t="inlineStr">
        <is>
          <t>Sveaskog</t>
        </is>
      </c>
      <c r="G864" t="n">
        <v>6.8</v>
      </c>
      <c r="H864" t="n">
        <v>0</v>
      </c>
      <c r="I864" t="n">
        <v>0</v>
      </c>
      <c r="J864" t="n">
        <v>0</v>
      </c>
      <c r="K864" t="n">
        <v>0</v>
      </c>
      <c r="L864" t="n">
        <v>0</v>
      </c>
      <c r="M864" t="n">
        <v>0</v>
      </c>
      <c r="N864" t="n">
        <v>0</v>
      </c>
      <c r="O864" t="n">
        <v>0</v>
      </c>
      <c r="P864" t="n">
        <v>0</v>
      </c>
      <c r="Q864" t="n">
        <v>0</v>
      </c>
      <c r="R864" s="2" t="inlineStr"/>
    </row>
    <row r="865" ht="15" customHeight="1">
      <c r="A865" t="inlineStr">
        <is>
          <t>A 17306-2023</t>
        </is>
      </c>
      <c r="B865" s="1" t="n">
        <v>45035</v>
      </c>
      <c r="C865" s="1" t="n">
        <v>45882</v>
      </c>
      <c r="D865" t="inlineStr">
        <is>
          <t>KALMAR LÄN</t>
        </is>
      </c>
      <c r="E865" t="inlineStr">
        <is>
          <t>VÄSTERVIK</t>
        </is>
      </c>
      <c r="G865" t="n">
        <v>4.3</v>
      </c>
      <c r="H865" t="n">
        <v>0</v>
      </c>
      <c r="I865" t="n">
        <v>0</v>
      </c>
      <c r="J865" t="n">
        <v>0</v>
      </c>
      <c r="K865" t="n">
        <v>0</v>
      </c>
      <c r="L865" t="n">
        <v>0</v>
      </c>
      <c r="M865" t="n">
        <v>0</v>
      </c>
      <c r="N865" t="n">
        <v>0</v>
      </c>
      <c r="O865" t="n">
        <v>0</v>
      </c>
      <c r="P865" t="n">
        <v>0</v>
      </c>
      <c r="Q865" t="n">
        <v>0</v>
      </c>
      <c r="R865" s="2" t="inlineStr"/>
    </row>
    <row r="866" ht="15" customHeight="1">
      <c r="A866" t="inlineStr">
        <is>
          <t>A 28098-2025</t>
        </is>
      </c>
      <c r="B866" s="1" t="n">
        <v>45817</v>
      </c>
      <c r="C866" s="1" t="n">
        <v>45882</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27974-2025</t>
        </is>
      </c>
      <c r="B867" s="1" t="n">
        <v>45817.56891203704</v>
      </c>
      <c r="C867" s="1" t="n">
        <v>45882</v>
      </c>
      <c r="D867" t="inlineStr">
        <is>
          <t>KALMAR LÄN</t>
        </is>
      </c>
      <c r="E867" t="inlineStr">
        <is>
          <t>VÄSTERVIK</t>
        </is>
      </c>
      <c r="F867" t="inlineStr">
        <is>
          <t>Sveaskog</t>
        </is>
      </c>
      <c r="G867" t="n">
        <v>5</v>
      </c>
      <c r="H867" t="n">
        <v>0</v>
      </c>
      <c r="I867" t="n">
        <v>0</v>
      </c>
      <c r="J867" t="n">
        <v>0</v>
      </c>
      <c r="K867" t="n">
        <v>0</v>
      </c>
      <c r="L867" t="n">
        <v>0</v>
      </c>
      <c r="M867" t="n">
        <v>0</v>
      </c>
      <c r="N867" t="n">
        <v>0</v>
      </c>
      <c r="O867" t="n">
        <v>0</v>
      </c>
      <c r="P867" t="n">
        <v>0</v>
      </c>
      <c r="Q867" t="n">
        <v>0</v>
      </c>
      <c r="R867" s="2" t="inlineStr"/>
    </row>
    <row r="868" ht="15" customHeight="1">
      <c r="A868" t="inlineStr">
        <is>
          <t>A 27991-2025</t>
        </is>
      </c>
      <c r="B868" s="1" t="n">
        <v>45817.58832175926</v>
      </c>
      <c r="C868" s="1" t="n">
        <v>45882</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27978-2025</t>
        </is>
      </c>
      <c r="B869" s="1" t="n">
        <v>45817.57153935185</v>
      </c>
      <c r="C869" s="1" t="n">
        <v>45882</v>
      </c>
      <c r="D869" t="inlineStr">
        <is>
          <t>KALMAR LÄN</t>
        </is>
      </c>
      <c r="E869" t="inlineStr">
        <is>
          <t>VÄSTERVIK</t>
        </is>
      </c>
      <c r="F869" t="inlineStr">
        <is>
          <t>Sveaskog</t>
        </is>
      </c>
      <c r="G869" t="n">
        <v>10.8</v>
      </c>
      <c r="H869" t="n">
        <v>0</v>
      </c>
      <c r="I869" t="n">
        <v>0</v>
      </c>
      <c r="J869" t="n">
        <v>0</v>
      </c>
      <c r="K869" t="n">
        <v>0</v>
      </c>
      <c r="L869" t="n">
        <v>0</v>
      </c>
      <c r="M869" t="n">
        <v>0</v>
      </c>
      <c r="N869" t="n">
        <v>0</v>
      </c>
      <c r="O869" t="n">
        <v>0</v>
      </c>
      <c r="P869" t="n">
        <v>0</v>
      </c>
      <c r="Q869" t="n">
        <v>0</v>
      </c>
      <c r="R869" s="2" t="inlineStr"/>
    </row>
    <row r="870" ht="15" customHeight="1">
      <c r="A870" t="inlineStr">
        <is>
          <t>A 27982-2025</t>
        </is>
      </c>
      <c r="B870" s="1" t="n">
        <v>45817.57549768518</v>
      </c>
      <c r="C870" s="1" t="n">
        <v>45882</v>
      </c>
      <c r="D870" t="inlineStr">
        <is>
          <t>KALMAR LÄN</t>
        </is>
      </c>
      <c r="E870" t="inlineStr">
        <is>
          <t>VÄSTERVIK</t>
        </is>
      </c>
      <c r="G870" t="n">
        <v>2.5</v>
      </c>
      <c r="H870" t="n">
        <v>0</v>
      </c>
      <c r="I870" t="n">
        <v>0</v>
      </c>
      <c r="J870" t="n">
        <v>0</v>
      </c>
      <c r="K870" t="n">
        <v>0</v>
      </c>
      <c r="L870" t="n">
        <v>0</v>
      </c>
      <c r="M870" t="n">
        <v>0</v>
      </c>
      <c r="N870" t="n">
        <v>0</v>
      </c>
      <c r="O870" t="n">
        <v>0</v>
      </c>
      <c r="P870" t="n">
        <v>0</v>
      </c>
      <c r="Q870" t="n">
        <v>0</v>
      </c>
      <c r="R870" s="2" t="inlineStr"/>
    </row>
    <row r="871" ht="15" customHeight="1">
      <c r="A871" t="inlineStr">
        <is>
          <t>A 59212-2022</t>
        </is>
      </c>
      <c r="B871" s="1" t="n">
        <v>44904.52560185185</v>
      </c>
      <c r="C871" s="1" t="n">
        <v>45882</v>
      </c>
      <c r="D871" t="inlineStr">
        <is>
          <t>KALMAR LÄN</t>
        </is>
      </c>
      <c r="E871" t="inlineStr">
        <is>
          <t>VÄSTERVIK</t>
        </is>
      </c>
      <c r="G871" t="n">
        <v>2.3</v>
      </c>
      <c r="H871" t="n">
        <v>0</v>
      </c>
      <c r="I871" t="n">
        <v>0</v>
      </c>
      <c r="J871" t="n">
        <v>0</v>
      </c>
      <c r="K871" t="n">
        <v>0</v>
      </c>
      <c r="L871" t="n">
        <v>0</v>
      </c>
      <c r="M871" t="n">
        <v>0</v>
      </c>
      <c r="N871" t="n">
        <v>0</v>
      </c>
      <c r="O871" t="n">
        <v>0</v>
      </c>
      <c r="P871" t="n">
        <v>0</v>
      </c>
      <c r="Q871" t="n">
        <v>0</v>
      </c>
      <c r="R871" s="2" t="inlineStr"/>
    </row>
    <row r="872" ht="15" customHeight="1">
      <c r="A872" t="inlineStr">
        <is>
          <t>A 59227-2022</t>
        </is>
      </c>
      <c r="B872" s="1" t="n">
        <v>44904</v>
      </c>
      <c r="C872" s="1" t="n">
        <v>45882</v>
      </c>
      <c r="D872" t="inlineStr">
        <is>
          <t>KALMAR LÄN</t>
        </is>
      </c>
      <c r="E872" t="inlineStr">
        <is>
          <t>VÄSTERVIK</t>
        </is>
      </c>
      <c r="G872" t="n">
        <v>6</v>
      </c>
      <c r="H872" t="n">
        <v>0</v>
      </c>
      <c r="I872" t="n">
        <v>0</v>
      </c>
      <c r="J872" t="n">
        <v>0</v>
      </c>
      <c r="K872" t="n">
        <v>0</v>
      </c>
      <c r="L872" t="n">
        <v>0</v>
      </c>
      <c r="M872" t="n">
        <v>0</v>
      </c>
      <c r="N872" t="n">
        <v>0</v>
      </c>
      <c r="O872" t="n">
        <v>0</v>
      </c>
      <c r="P872" t="n">
        <v>0</v>
      </c>
      <c r="Q872" t="n">
        <v>0</v>
      </c>
      <c r="R872" s="2" t="inlineStr"/>
    </row>
    <row r="873" ht="15" customHeight="1">
      <c r="A873" t="inlineStr">
        <is>
          <t>A 47945-2023</t>
        </is>
      </c>
      <c r="B873" s="1" t="n">
        <v>45204.5684837963</v>
      </c>
      <c r="C873" s="1" t="n">
        <v>45882</v>
      </c>
      <c r="D873" t="inlineStr">
        <is>
          <t>KALMAR LÄN</t>
        </is>
      </c>
      <c r="E873" t="inlineStr">
        <is>
          <t>VÄSTERVIK</t>
        </is>
      </c>
      <c r="G873" t="n">
        <v>2</v>
      </c>
      <c r="H873" t="n">
        <v>0</v>
      </c>
      <c r="I873" t="n">
        <v>0</v>
      </c>
      <c r="J873" t="n">
        <v>0</v>
      </c>
      <c r="K873" t="n">
        <v>0</v>
      </c>
      <c r="L873" t="n">
        <v>0</v>
      </c>
      <c r="M873" t="n">
        <v>0</v>
      </c>
      <c r="N873" t="n">
        <v>0</v>
      </c>
      <c r="O873" t="n">
        <v>0</v>
      </c>
      <c r="P873" t="n">
        <v>0</v>
      </c>
      <c r="Q873" t="n">
        <v>0</v>
      </c>
      <c r="R873" s="2" t="inlineStr"/>
    </row>
    <row r="874" ht="15" customHeight="1">
      <c r="A874" t="inlineStr">
        <is>
          <t>A 10020-2021</t>
        </is>
      </c>
      <c r="B874" s="1" t="n">
        <v>44256</v>
      </c>
      <c r="C874" s="1" t="n">
        <v>45882</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12520-2021</t>
        </is>
      </c>
      <c r="B875" s="1" t="n">
        <v>44269</v>
      </c>
      <c r="C875" s="1" t="n">
        <v>45882</v>
      </c>
      <c r="D875" t="inlineStr">
        <is>
          <t>KALMAR LÄN</t>
        </is>
      </c>
      <c r="E875" t="inlineStr">
        <is>
          <t>VÄSTERVIK</t>
        </is>
      </c>
      <c r="G875" t="n">
        <v>1.6</v>
      </c>
      <c r="H875" t="n">
        <v>0</v>
      </c>
      <c r="I875" t="n">
        <v>0</v>
      </c>
      <c r="J875" t="n">
        <v>0</v>
      </c>
      <c r="K875" t="n">
        <v>0</v>
      </c>
      <c r="L875" t="n">
        <v>0</v>
      </c>
      <c r="M875" t="n">
        <v>0</v>
      </c>
      <c r="N875" t="n">
        <v>0</v>
      </c>
      <c r="O875" t="n">
        <v>0</v>
      </c>
      <c r="P875" t="n">
        <v>0</v>
      </c>
      <c r="Q875" t="n">
        <v>0</v>
      </c>
      <c r="R875" s="2" t="inlineStr"/>
    </row>
    <row r="876" ht="15" customHeight="1">
      <c r="A876" t="inlineStr">
        <is>
          <t>A 35652-2023</t>
        </is>
      </c>
      <c r="B876" s="1" t="n">
        <v>45147.59215277778</v>
      </c>
      <c r="C876" s="1" t="n">
        <v>45882</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28203-2025</t>
        </is>
      </c>
      <c r="B877" s="1" t="n">
        <v>45818.44662037037</v>
      </c>
      <c r="C877" s="1" t="n">
        <v>45882</v>
      </c>
      <c r="D877" t="inlineStr">
        <is>
          <t>KALMAR LÄN</t>
        </is>
      </c>
      <c r="E877" t="inlineStr">
        <is>
          <t>VÄSTERVIK</t>
        </is>
      </c>
      <c r="G877" t="n">
        <v>1.7</v>
      </c>
      <c r="H877" t="n">
        <v>0</v>
      </c>
      <c r="I877" t="n">
        <v>0</v>
      </c>
      <c r="J877" t="n">
        <v>0</v>
      </c>
      <c r="K877" t="n">
        <v>0</v>
      </c>
      <c r="L877" t="n">
        <v>0</v>
      </c>
      <c r="M877" t="n">
        <v>0</v>
      </c>
      <c r="N877" t="n">
        <v>0</v>
      </c>
      <c r="O877" t="n">
        <v>0</v>
      </c>
      <c r="P877" t="n">
        <v>0</v>
      </c>
      <c r="Q877" t="n">
        <v>0</v>
      </c>
      <c r="R877" s="2" t="inlineStr"/>
    </row>
    <row r="878" ht="15" customHeight="1">
      <c r="A878" t="inlineStr">
        <is>
          <t>A 18068-2023</t>
        </is>
      </c>
      <c r="B878" s="1" t="n">
        <v>45040</v>
      </c>
      <c r="C878" s="1" t="n">
        <v>45882</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69702-2021</t>
        </is>
      </c>
      <c r="B879" s="1" t="n">
        <v>44532.48237268518</v>
      </c>
      <c r="C879" s="1" t="n">
        <v>45882</v>
      </c>
      <c r="D879" t="inlineStr">
        <is>
          <t>KALMAR LÄN</t>
        </is>
      </c>
      <c r="E879" t="inlineStr">
        <is>
          <t>VÄSTERVIK</t>
        </is>
      </c>
      <c r="G879" t="n">
        <v>4.4</v>
      </c>
      <c r="H879" t="n">
        <v>0</v>
      </c>
      <c r="I879" t="n">
        <v>0</v>
      </c>
      <c r="J879" t="n">
        <v>0</v>
      </c>
      <c r="K879" t="n">
        <v>0</v>
      </c>
      <c r="L879" t="n">
        <v>0</v>
      </c>
      <c r="M879" t="n">
        <v>0</v>
      </c>
      <c r="N879" t="n">
        <v>0</v>
      </c>
      <c r="O879" t="n">
        <v>0</v>
      </c>
      <c r="P879" t="n">
        <v>0</v>
      </c>
      <c r="Q879" t="n">
        <v>0</v>
      </c>
      <c r="R879" s="2" t="inlineStr"/>
    </row>
    <row r="880" ht="15" customHeight="1">
      <c r="A880" t="inlineStr">
        <is>
          <t>A 35705-2025</t>
        </is>
      </c>
      <c r="B880" s="1" t="n">
        <v>45860.36769675926</v>
      </c>
      <c r="C880" s="1" t="n">
        <v>45882</v>
      </c>
      <c r="D880" t="inlineStr">
        <is>
          <t>KALMAR LÄN</t>
        </is>
      </c>
      <c r="E880" t="inlineStr">
        <is>
          <t>VÄSTERVIK</t>
        </is>
      </c>
      <c r="G880" t="n">
        <v>2.5</v>
      </c>
      <c r="H880" t="n">
        <v>0</v>
      </c>
      <c r="I880" t="n">
        <v>0</v>
      </c>
      <c r="J880" t="n">
        <v>0</v>
      </c>
      <c r="K880" t="n">
        <v>0</v>
      </c>
      <c r="L880" t="n">
        <v>0</v>
      </c>
      <c r="M880" t="n">
        <v>0</v>
      </c>
      <c r="N880" t="n">
        <v>0</v>
      </c>
      <c r="O880" t="n">
        <v>0</v>
      </c>
      <c r="P880" t="n">
        <v>0</v>
      </c>
      <c r="Q880" t="n">
        <v>0</v>
      </c>
      <c r="R880" s="2" t="inlineStr"/>
    </row>
    <row r="881" ht="15" customHeight="1">
      <c r="A881" t="inlineStr">
        <is>
          <t>A 47363-2023</t>
        </is>
      </c>
      <c r="B881" s="1" t="n">
        <v>45202.59584490741</v>
      </c>
      <c r="C881" s="1" t="n">
        <v>45882</v>
      </c>
      <c r="D881" t="inlineStr">
        <is>
          <t>KALMAR LÄN</t>
        </is>
      </c>
      <c r="E881" t="inlineStr">
        <is>
          <t>VÄSTERVIK</t>
        </is>
      </c>
      <c r="G881" t="n">
        <v>2.5</v>
      </c>
      <c r="H881" t="n">
        <v>0</v>
      </c>
      <c r="I881" t="n">
        <v>0</v>
      </c>
      <c r="J881" t="n">
        <v>0</v>
      </c>
      <c r="K881" t="n">
        <v>0</v>
      </c>
      <c r="L881" t="n">
        <v>0</v>
      </c>
      <c r="M881" t="n">
        <v>0</v>
      </c>
      <c r="N881" t="n">
        <v>0</v>
      </c>
      <c r="O881" t="n">
        <v>0</v>
      </c>
      <c r="P881" t="n">
        <v>0</v>
      </c>
      <c r="Q881" t="n">
        <v>0</v>
      </c>
      <c r="R881" s="2" t="inlineStr"/>
    </row>
    <row r="882" ht="15" customHeight="1">
      <c r="A882" t="inlineStr">
        <is>
          <t>A 28096-2025</t>
        </is>
      </c>
      <c r="B882" s="1" t="n">
        <v>45817.81831018518</v>
      </c>
      <c r="C882" s="1" t="n">
        <v>45882</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37716-2023</t>
        </is>
      </c>
      <c r="B883" s="1" t="n">
        <v>45159</v>
      </c>
      <c r="C883" s="1" t="n">
        <v>45882</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5691-2025</t>
        </is>
      </c>
      <c r="B884" s="1" t="n">
        <v>45694.37447916667</v>
      </c>
      <c r="C884" s="1" t="n">
        <v>45882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18143-2024</t>
        </is>
      </c>
      <c r="B885" s="1" t="n">
        <v>45420</v>
      </c>
      <c r="C885" s="1" t="n">
        <v>45882</v>
      </c>
      <c r="D885" t="inlineStr">
        <is>
          <t>KALMAR LÄN</t>
        </is>
      </c>
      <c r="E885" t="inlineStr">
        <is>
          <t>VÄSTERVIK</t>
        </is>
      </c>
      <c r="G885" t="n">
        <v>3</v>
      </c>
      <c r="H885" t="n">
        <v>0</v>
      </c>
      <c r="I885" t="n">
        <v>0</v>
      </c>
      <c r="J885" t="n">
        <v>0</v>
      </c>
      <c r="K885" t="n">
        <v>0</v>
      </c>
      <c r="L885" t="n">
        <v>0</v>
      </c>
      <c r="M885" t="n">
        <v>0</v>
      </c>
      <c r="N885" t="n">
        <v>0</v>
      </c>
      <c r="O885" t="n">
        <v>0</v>
      </c>
      <c r="P885" t="n">
        <v>0</v>
      </c>
      <c r="Q885" t="n">
        <v>0</v>
      </c>
      <c r="R885" s="2" t="inlineStr"/>
    </row>
    <row r="886" ht="15" customHeight="1">
      <c r="A886" t="inlineStr">
        <is>
          <t>A 21942-2023</t>
        </is>
      </c>
      <c r="B886" s="1" t="n">
        <v>45068</v>
      </c>
      <c r="C886" s="1" t="n">
        <v>45882</v>
      </c>
      <c r="D886" t="inlineStr">
        <is>
          <t>KALMAR LÄN</t>
        </is>
      </c>
      <c r="E886" t="inlineStr">
        <is>
          <t>VÄSTERVIK</t>
        </is>
      </c>
      <c r="G886" t="n">
        <v>1.3</v>
      </c>
      <c r="H886" t="n">
        <v>0</v>
      </c>
      <c r="I886" t="n">
        <v>0</v>
      </c>
      <c r="J886" t="n">
        <v>0</v>
      </c>
      <c r="K886" t="n">
        <v>0</v>
      </c>
      <c r="L886" t="n">
        <v>0</v>
      </c>
      <c r="M886" t="n">
        <v>0</v>
      </c>
      <c r="N886" t="n">
        <v>0</v>
      </c>
      <c r="O886" t="n">
        <v>0</v>
      </c>
      <c r="P886" t="n">
        <v>0</v>
      </c>
      <c r="Q886" t="n">
        <v>0</v>
      </c>
      <c r="R886" s="2" t="inlineStr"/>
    </row>
    <row r="887" ht="15" customHeight="1">
      <c r="A887" t="inlineStr">
        <is>
          <t>A 28696-2025</t>
        </is>
      </c>
      <c r="B887" s="1" t="n">
        <v>45819.91342592592</v>
      </c>
      <c r="C887" s="1" t="n">
        <v>45882</v>
      </c>
      <c r="D887" t="inlineStr">
        <is>
          <t>KALMAR LÄN</t>
        </is>
      </c>
      <c r="E887" t="inlineStr">
        <is>
          <t>VÄSTERVIK</t>
        </is>
      </c>
      <c r="G887" t="n">
        <v>2.8</v>
      </c>
      <c r="H887" t="n">
        <v>0</v>
      </c>
      <c r="I887" t="n">
        <v>0</v>
      </c>
      <c r="J887" t="n">
        <v>0</v>
      </c>
      <c r="K887" t="n">
        <v>0</v>
      </c>
      <c r="L887" t="n">
        <v>0</v>
      </c>
      <c r="M887" t="n">
        <v>0</v>
      </c>
      <c r="N887" t="n">
        <v>0</v>
      </c>
      <c r="O887" t="n">
        <v>0</v>
      </c>
      <c r="P887" t="n">
        <v>0</v>
      </c>
      <c r="Q887" t="n">
        <v>0</v>
      </c>
      <c r="R887" s="2" t="inlineStr"/>
    </row>
    <row r="888" ht="15" customHeight="1">
      <c r="A888" t="inlineStr">
        <is>
          <t>A 5355-2024</t>
        </is>
      </c>
      <c r="B888" s="1" t="n">
        <v>45331</v>
      </c>
      <c r="C888" s="1" t="n">
        <v>45882</v>
      </c>
      <c r="D888" t="inlineStr">
        <is>
          <t>KALMAR LÄN</t>
        </is>
      </c>
      <c r="E888" t="inlineStr">
        <is>
          <t>VÄSTERVIK</t>
        </is>
      </c>
      <c r="F888" t="inlineStr">
        <is>
          <t>Övriga Aktiebolag</t>
        </is>
      </c>
      <c r="G888" t="n">
        <v>1.8</v>
      </c>
      <c r="H888" t="n">
        <v>0</v>
      </c>
      <c r="I888" t="n">
        <v>0</v>
      </c>
      <c r="J888" t="n">
        <v>0</v>
      </c>
      <c r="K888" t="n">
        <v>0</v>
      </c>
      <c r="L888" t="n">
        <v>0</v>
      </c>
      <c r="M888" t="n">
        <v>0</v>
      </c>
      <c r="N888" t="n">
        <v>0</v>
      </c>
      <c r="O888" t="n">
        <v>0</v>
      </c>
      <c r="P888" t="n">
        <v>0</v>
      </c>
      <c r="Q888" t="n">
        <v>0</v>
      </c>
      <c r="R888" s="2" t="inlineStr"/>
    </row>
    <row r="889" ht="15" customHeight="1">
      <c r="A889" t="inlineStr">
        <is>
          <t>A 54190-2022</t>
        </is>
      </c>
      <c r="B889" s="1" t="n">
        <v>44881.68282407407</v>
      </c>
      <c r="C889" s="1" t="n">
        <v>45882</v>
      </c>
      <c r="D889" t="inlineStr">
        <is>
          <t>KALMAR LÄN</t>
        </is>
      </c>
      <c r="E889" t="inlineStr">
        <is>
          <t>VÄSTERVIK</t>
        </is>
      </c>
      <c r="G889" t="n">
        <v>7.4</v>
      </c>
      <c r="H889" t="n">
        <v>0</v>
      </c>
      <c r="I889" t="n">
        <v>0</v>
      </c>
      <c r="J889" t="n">
        <v>0</v>
      </c>
      <c r="K889" t="n">
        <v>0</v>
      </c>
      <c r="L889" t="n">
        <v>0</v>
      </c>
      <c r="M889" t="n">
        <v>0</v>
      </c>
      <c r="N889" t="n">
        <v>0</v>
      </c>
      <c r="O889" t="n">
        <v>0</v>
      </c>
      <c r="P889" t="n">
        <v>0</v>
      </c>
      <c r="Q889" t="n">
        <v>0</v>
      </c>
      <c r="R889" s="2" t="inlineStr"/>
    </row>
    <row r="890" ht="15" customHeight="1">
      <c r="A890" t="inlineStr">
        <is>
          <t>A 10766-2025</t>
        </is>
      </c>
      <c r="B890" s="1" t="n">
        <v>45722.4630787037</v>
      </c>
      <c r="C890" s="1" t="n">
        <v>45882</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27094-2024</t>
        </is>
      </c>
      <c r="B891" s="1" t="n">
        <v>45471</v>
      </c>
      <c r="C891" s="1" t="n">
        <v>45882</v>
      </c>
      <c r="D891" t="inlineStr">
        <is>
          <t>KALMAR LÄN</t>
        </is>
      </c>
      <c r="E891" t="inlineStr">
        <is>
          <t>VÄSTERVIK</t>
        </is>
      </c>
      <c r="F891" t="inlineStr">
        <is>
          <t>Holmen skog AB</t>
        </is>
      </c>
      <c r="G891" t="n">
        <v>2.4</v>
      </c>
      <c r="H891" t="n">
        <v>0</v>
      </c>
      <c r="I891" t="n">
        <v>0</v>
      </c>
      <c r="J891" t="n">
        <v>0</v>
      </c>
      <c r="K891" t="n">
        <v>0</v>
      </c>
      <c r="L891" t="n">
        <v>0</v>
      </c>
      <c r="M891" t="n">
        <v>0</v>
      </c>
      <c r="N891" t="n">
        <v>0</v>
      </c>
      <c r="O891" t="n">
        <v>0</v>
      </c>
      <c r="P891" t="n">
        <v>0</v>
      </c>
      <c r="Q891" t="n">
        <v>0</v>
      </c>
      <c r="R891" s="2" t="inlineStr"/>
      <c r="U891">
        <f>HYPERLINK("https://klasma.github.io/Logging_0883/knärot/A 27094-2024 karta knärot.png", "A 27094-2024")</f>
        <v/>
      </c>
      <c r="V891">
        <f>HYPERLINK("https://klasma.github.io/Logging_0883/klagomål/A 27094-2024 FSC-klagomål.docx", "A 27094-2024")</f>
        <v/>
      </c>
      <c r="W891">
        <f>HYPERLINK("https://klasma.github.io/Logging_0883/klagomålsmail/A 27094-2024 FSC-klagomål mail.docx", "A 27094-2024")</f>
        <v/>
      </c>
      <c r="X891">
        <f>HYPERLINK("https://klasma.github.io/Logging_0883/tillsyn/A 27094-2024 tillsynsbegäran.docx", "A 27094-2024")</f>
        <v/>
      </c>
      <c r="Y891">
        <f>HYPERLINK("https://klasma.github.io/Logging_0883/tillsynsmail/A 27094-2024 tillsynsbegäran mail.docx", "A 27094-2024")</f>
        <v/>
      </c>
    </row>
    <row r="892" ht="15" customHeight="1">
      <c r="A892" t="inlineStr">
        <is>
          <t>A 58216-2022</t>
        </is>
      </c>
      <c r="B892" s="1" t="n">
        <v>44901.36292824074</v>
      </c>
      <c r="C892" s="1" t="n">
        <v>45882</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35770-2023</t>
        </is>
      </c>
      <c r="B893" s="1" t="n">
        <v>45147</v>
      </c>
      <c r="C893" s="1" t="n">
        <v>45882</v>
      </c>
      <c r="D893" t="inlineStr">
        <is>
          <t>KALMAR LÄN</t>
        </is>
      </c>
      <c r="E893" t="inlineStr">
        <is>
          <t>VÄSTERVIK</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38040-2023</t>
        </is>
      </c>
      <c r="B894" s="1" t="n">
        <v>45160.66336805555</v>
      </c>
      <c r="C894" s="1" t="n">
        <v>45882</v>
      </c>
      <c r="D894" t="inlineStr">
        <is>
          <t>KALMAR LÄN</t>
        </is>
      </c>
      <c r="E894" t="inlineStr">
        <is>
          <t>VÄSTERVIK</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29678-2025</t>
        </is>
      </c>
      <c r="B895" s="1" t="n">
        <v>45825.50804398148</v>
      </c>
      <c r="C895" s="1" t="n">
        <v>45882</v>
      </c>
      <c r="D895" t="inlineStr">
        <is>
          <t>KALMAR LÄN</t>
        </is>
      </c>
      <c r="E895" t="inlineStr">
        <is>
          <t>VÄSTERVIK</t>
        </is>
      </c>
      <c r="G895" t="n">
        <v>1.6</v>
      </c>
      <c r="H895" t="n">
        <v>0</v>
      </c>
      <c r="I895" t="n">
        <v>0</v>
      </c>
      <c r="J895" t="n">
        <v>0</v>
      </c>
      <c r="K895" t="n">
        <v>0</v>
      </c>
      <c r="L895" t="n">
        <v>0</v>
      </c>
      <c r="M895" t="n">
        <v>0</v>
      </c>
      <c r="N895" t="n">
        <v>0</v>
      </c>
      <c r="O895" t="n">
        <v>0</v>
      </c>
      <c r="P895" t="n">
        <v>0</v>
      </c>
      <c r="Q895" t="n">
        <v>0</v>
      </c>
      <c r="R895" s="2" t="inlineStr"/>
    </row>
    <row r="896" ht="15" customHeight="1">
      <c r="A896" t="inlineStr">
        <is>
          <t>A 2746-2023</t>
        </is>
      </c>
      <c r="B896" s="1" t="n">
        <v>44944</v>
      </c>
      <c r="C896" s="1" t="n">
        <v>45882</v>
      </c>
      <c r="D896" t="inlineStr">
        <is>
          <t>KALMAR LÄN</t>
        </is>
      </c>
      <c r="E896" t="inlineStr">
        <is>
          <t>VÄSTERVIK</t>
        </is>
      </c>
      <c r="G896" t="n">
        <v>5.5</v>
      </c>
      <c r="H896" t="n">
        <v>0</v>
      </c>
      <c r="I896" t="n">
        <v>0</v>
      </c>
      <c r="J896" t="n">
        <v>0</v>
      </c>
      <c r="K896" t="n">
        <v>0</v>
      </c>
      <c r="L896" t="n">
        <v>0</v>
      </c>
      <c r="M896" t="n">
        <v>0</v>
      </c>
      <c r="N896" t="n">
        <v>0</v>
      </c>
      <c r="O896" t="n">
        <v>0</v>
      </c>
      <c r="P896" t="n">
        <v>0</v>
      </c>
      <c r="Q896" t="n">
        <v>0</v>
      </c>
      <c r="R896" s="2" t="inlineStr"/>
    </row>
    <row r="897" ht="15" customHeight="1">
      <c r="A897" t="inlineStr">
        <is>
          <t>A 15379-2025</t>
        </is>
      </c>
      <c r="B897" s="1" t="n">
        <v>45747.40813657407</v>
      </c>
      <c r="C897" s="1" t="n">
        <v>45882</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31686-2023</t>
        </is>
      </c>
      <c r="B898" s="1" t="n">
        <v>45117</v>
      </c>
      <c r="C898" s="1" t="n">
        <v>45882</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10688-2024</t>
        </is>
      </c>
      <c r="B899" s="1" t="n">
        <v>45369.39894675926</v>
      </c>
      <c r="C899" s="1" t="n">
        <v>45882</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11791-2024</t>
        </is>
      </c>
      <c r="B900" s="1" t="n">
        <v>45374.97038194445</v>
      </c>
      <c r="C900" s="1" t="n">
        <v>45882</v>
      </c>
      <c r="D900" t="inlineStr">
        <is>
          <t>KALMAR LÄN</t>
        </is>
      </c>
      <c r="E900" t="inlineStr">
        <is>
          <t>VÄSTERVIK</t>
        </is>
      </c>
      <c r="G900" t="n">
        <v>3.4</v>
      </c>
      <c r="H900" t="n">
        <v>0</v>
      </c>
      <c r="I900" t="n">
        <v>0</v>
      </c>
      <c r="J900" t="n">
        <v>0</v>
      </c>
      <c r="K900" t="n">
        <v>0</v>
      </c>
      <c r="L900" t="n">
        <v>0</v>
      </c>
      <c r="M900" t="n">
        <v>0</v>
      </c>
      <c r="N900" t="n">
        <v>0</v>
      </c>
      <c r="O900" t="n">
        <v>0</v>
      </c>
      <c r="P900" t="n">
        <v>0</v>
      </c>
      <c r="Q900" t="n">
        <v>0</v>
      </c>
      <c r="R900" s="2" t="inlineStr"/>
    </row>
    <row r="901" ht="15" customHeight="1">
      <c r="A901" t="inlineStr">
        <is>
          <t>A 6938-2025</t>
        </is>
      </c>
      <c r="B901" s="1" t="n">
        <v>45701.46288194445</v>
      </c>
      <c r="C901" s="1" t="n">
        <v>45882</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58764-2024</t>
        </is>
      </c>
      <c r="B902" s="1" t="n">
        <v>45635.72293981481</v>
      </c>
      <c r="C902" s="1" t="n">
        <v>45882</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925-2024</t>
        </is>
      </c>
      <c r="B903" s="1" t="n">
        <v>45301</v>
      </c>
      <c r="C903" s="1" t="n">
        <v>45882</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29719-2025</t>
        </is>
      </c>
      <c r="B904" s="1" t="n">
        <v>45825.57315972223</v>
      </c>
      <c r="C904" s="1" t="n">
        <v>45882</v>
      </c>
      <c r="D904" t="inlineStr">
        <is>
          <t>KALMAR LÄN</t>
        </is>
      </c>
      <c r="E904" t="inlineStr">
        <is>
          <t>VÄSTERVIK</t>
        </is>
      </c>
      <c r="G904" t="n">
        <v>2.9</v>
      </c>
      <c r="H904" t="n">
        <v>0</v>
      </c>
      <c r="I904" t="n">
        <v>0</v>
      </c>
      <c r="J904" t="n">
        <v>0</v>
      </c>
      <c r="K904" t="n">
        <v>0</v>
      </c>
      <c r="L904" t="n">
        <v>0</v>
      </c>
      <c r="M904" t="n">
        <v>0</v>
      </c>
      <c r="N904" t="n">
        <v>0</v>
      </c>
      <c r="O904" t="n">
        <v>0</v>
      </c>
      <c r="P904" t="n">
        <v>0</v>
      </c>
      <c r="Q904" t="n">
        <v>0</v>
      </c>
      <c r="R904" s="2" t="inlineStr"/>
    </row>
    <row r="905" ht="15" customHeight="1">
      <c r="A905" t="inlineStr">
        <is>
          <t>A 29722-2025</t>
        </is>
      </c>
      <c r="B905" s="1" t="n">
        <v>45825.57524305556</v>
      </c>
      <c r="C905" s="1" t="n">
        <v>45882</v>
      </c>
      <c r="D905" t="inlineStr">
        <is>
          <t>KALMAR LÄN</t>
        </is>
      </c>
      <c r="E905" t="inlineStr">
        <is>
          <t>VÄSTERVIK</t>
        </is>
      </c>
      <c r="G905" t="n">
        <v>2.9</v>
      </c>
      <c r="H905" t="n">
        <v>0</v>
      </c>
      <c r="I905" t="n">
        <v>0</v>
      </c>
      <c r="J905" t="n">
        <v>0</v>
      </c>
      <c r="K905" t="n">
        <v>0</v>
      </c>
      <c r="L905" t="n">
        <v>0</v>
      </c>
      <c r="M905" t="n">
        <v>0</v>
      </c>
      <c r="N905" t="n">
        <v>0</v>
      </c>
      <c r="O905" t="n">
        <v>0</v>
      </c>
      <c r="P905" t="n">
        <v>0</v>
      </c>
      <c r="Q905" t="n">
        <v>0</v>
      </c>
      <c r="R905" s="2" t="inlineStr"/>
    </row>
    <row r="906" ht="15" customHeight="1">
      <c r="A906" t="inlineStr">
        <is>
          <t>A 37642-2023</t>
        </is>
      </c>
      <c r="B906" s="1" t="n">
        <v>45159.47940972223</v>
      </c>
      <c r="C906" s="1" t="n">
        <v>45882</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59871-2022</t>
        </is>
      </c>
      <c r="B907" s="1" t="n">
        <v>44908</v>
      </c>
      <c r="C907" s="1" t="n">
        <v>45882</v>
      </c>
      <c r="D907" t="inlineStr">
        <is>
          <t>KALMAR LÄN</t>
        </is>
      </c>
      <c r="E907" t="inlineStr">
        <is>
          <t>VÄSTERVIK</t>
        </is>
      </c>
      <c r="F907" t="inlineStr">
        <is>
          <t>Övriga Aktiebolag</t>
        </is>
      </c>
      <c r="G907" t="n">
        <v>0.4</v>
      </c>
      <c r="H907" t="n">
        <v>0</v>
      </c>
      <c r="I907" t="n">
        <v>0</v>
      </c>
      <c r="J907" t="n">
        <v>0</v>
      </c>
      <c r="K907" t="n">
        <v>0</v>
      </c>
      <c r="L907" t="n">
        <v>0</v>
      </c>
      <c r="M907" t="n">
        <v>0</v>
      </c>
      <c r="N907" t="n">
        <v>0</v>
      </c>
      <c r="O907" t="n">
        <v>0</v>
      </c>
      <c r="P907" t="n">
        <v>0</v>
      </c>
      <c r="Q907" t="n">
        <v>0</v>
      </c>
      <c r="R907" s="2" t="inlineStr"/>
    </row>
    <row r="908" ht="15" customHeight="1">
      <c r="A908" t="inlineStr">
        <is>
          <t>A 73640-2021</t>
        </is>
      </c>
      <c r="B908" s="1" t="n">
        <v>44552.43644675926</v>
      </c>
      <c r="C908" s="1" t="n">
        <v>45882</v>
      </c>
      <c r="D908" t="inlineStr">
        <is>
          <t>KALMAR LÄN</t>
        </is>
      </c>
      <c r="E908" t="inlineStr">
        <is>
          <t>VÄSTERVIK</t>
        </is>
      </c>
      <c r="G908" t="n">
        <v>1.9</v>
      </c>
      <c r="H908" t="n">
        <v>0</v>
      </c>
      <c r="I908" t="n">
        <v>0</v>
      </c>
      <c r="J908" t="n">
        <v>0</v>
      </c>
      <c r="K908" t="n">
        <v>0</v>
      </c>
      <c r="L908" t="n">
        <v>0</v>
      </c>
      <c r="M908" t="n">
        <v>0</v>
      </c>
      <c r="N908" t="n">
        <v>0</v>
      </c>
      <c r="O908" t="n">
        <v>0</v>
      </c>
      <c r="P908" t="n">
        <v>0</v>
      </c>
      <c r="Q908" t="n">
        <v>0</v>
      </c>
      <c r="R908" s="2" t="inlineStr"/>
    </row>
    <row r="909" ht="15" customHeight="1">
      <c r="A909" t="inlineStr">
        <is>
          <t>A 24881-2023</t>
        </is>
      </c>
      <c r="B909" s="1" t="n">
        <v>45085</v>
      </c>
      <c r="C909" s="1" t="n">
        <v>45882</v>
      </c>
      <c r="D909" t="inlineStr">
        <is>
          <t>KALMAR LÄN</t>
        </is>
      </c>
      <c r="E909" t="inlineStr">
        <is>
          <t>VÄSTERVIK</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39982-2024</t>
        </is>
      </c>
      <c r="B910" s="1" t="n">
        <v>45553.61355324074</v>
      </c>
      <c r="C910" s="1" t="n">
        <v>45882</v>
      </c>
      <c r="D910" t="inlineStr">
        <is>
          <t>KALMAR LÄN</t>
        </is>
      </c>
      <c r="E910" t="inlineStr">
        <is>
          <t>VÄSTERVIK</t>
        </is>
      </c>
      <c r="G910" t="n">
        <v>2.1</v>
      </c>
      <c r="H910" t="n">
        <v>0</v>
      </c>
      <c r="I910" t="n">
        <v>0</v>
      </c>
      <c r="J910" t="n">
        <v>0</v>
      </c>
      <c r="K910" t="n">
        <v>0</v>
      </c>
      <c r="L910" t="n">
        <v>0</v>
      </c>
      <c r="M910" t="n">
        <v>0</v>
      </c>
      <c r="N910" t="n">
        <v>0</v>
      </c>
      <c r="O910" t="n">
        <v>0</v>
      </c>
      <c r="P910" t="n">
        <v>0</v>
      </c>
      <c r="Q910" t="n">
        <v>0</v>
      </c>
      <c r="R910" s="2" t="inlineStr"/>
    </row>
    <row r="911" ht="15" customHeight="1">
      <c r="A911" t="inlineStr">
        <is>
          <t>A 28404-2024</t>
        </is>
      </c>
      <c r="B911" s="1" t="n">
        <v>45477.61552083334</v>
      </c>
      <c r="C911" s="1" t="n">
        <v>45882</v>
      </c>
      <c r="D911" t="inlineStr">
        <is>
          <t>KALMAR LÄN</t>
        </is>
      </c>
      <c r="E911" t="inlineStr">
        <is>
          <t>VÄSTERVIK</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28415-2024</t>
        </is>
      </c>
      <c r="B912" s="1" t="n">
        <v>45477.62924768519</v>
      </c>
      <c r="C912" s="1" t="n">
        <v>45882</v>
      </c>
      <c r="D912" t="inlineStr">
        <is>
          <t>KALMAR LÄN</t>
        </is>
      </c>
      <c r="E912" t="inlineStr">
        <is>
          <t>VÄSTERVIK</t>
        </is>
      </c>
      <c r="F912" t="inlineStr">
        <is>
          <t>Holmen skog AB</t>
        </is>
      </c>
      <c r="G912" t="n">
        <v>2.7</v>
      </c>
      <c r="H912" t="n">
        <v>0</v>
      </c>
      <c r="I912" t="n">
        <v>0</v>
      </c>
      <c r="J912" t="n">
        <v>0</v>
      </c>
      <c r="K912" t="n">
        <v>0</v>
      </c>
      <c r="L912" t="n">
        <v>0</v>
      </c>
      <c r="M912" t="n">
        <v>0</v>
      </c>
      <c r="N912" t="n">
        <v>0</v>
      </c>
      <c r="O912" t="n">
        <v>0</v>
      </c>
      <c r="P912" t="n">
        <v>0</v>
      </c>
      <c r="Q912" t="n">
        <v>0</v>
      </c>
      <c r="R912" s="2" t="inlineStr"/>
    </row>
    <row r="913" ht="15" customHeight="1">
      <c r="A913" t="inlineStr">
        <is>
          <t>A 28895-2023</t>
        </is>
      </c>
      <c r="B913" s="1" t="n">
        <v>45104</v>
      </c>
      <c r="C913" s="1" t="n">
        <v>45882</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25488-2023</t>
        </is>
      </c>
      <c r="B914" s="1" t="n">
        <v>45089</v>
      </c>
      <c r="C914" s="1" t="n">
        <v>45882</v>
      </c>
      <c r="D914" t="inlineStr">
        <is>
          <t>KALMAR LÄN</t>
        </is>
      </c>
      <c r="E914" t="inlineStr">
        <is>
          <t>VÄSTERVIK</t>
        </is>
      </c>
      <c r="G914" t="n">
        <v>2.3</v>
      </c>
      <c r="H914" t="n">
        <v>0</v>
      </c>
      <c r="I914" t="n">
        <v>0</v>
      </c>
      <c r="J914" t="n">
        <v>0</v>
      </c>
      <c r="K914" t="n">
        <v>0</v>
      </c>
      <c r="L914" t="n">
        <v>0</v>
      </c>
      <c r="M914" t="n">
        <v>0</v>
      </c>
      <c r="N914" t="n">
        <v>0</v>
      </c>
      <c r="O914" t="n">
        <v>0</v>
      </c>
      <c r="P914" t="n">
        <v>0</v>
      </c>
      <c r="Q914" t="n">
        <v>0</v>
      </c>
      <c r="R914" s="2" t="inlineStr"/>
    </row>
    <row r="915" ht="15" customHeight="1">
      <c r="A915" t="inlineStr">
        <is>
          <t>A 15875-2023</t>
        </is>
      </c>
      <c r="B915" s="1" t="n">
        <v>45022.41916666667</v>
      </c>
      <c r="C915" s="1" t="n">
        <v>45882</v>
      </c>
      <c r="D915" t="inlineStr">
        <is>
          <t>KALMAR LÄN</t>
        </is>
      </c>
      <c r="E915" t="inlineStr">
        <is>
          <t>VÄSTERVIK</t>
        </is>
      </c>
      <c r="F915" t="inlineStr">
        <is>
          <t>Kyrkan</t>
        </is>
      </c>
      <c r="G915" t="n">
        <v>3.2</v>
      </c>
      <c r="H915" t="n">
        <v>0</v>
      </c>
      <c r="I915" t="n">
        <v>0</v>
      </c>
      <c r="J915" t="n">
        <v>0</v>
      </c>
      <c r="K915" t="n">
        <v>0</v>
      </c>
      <c r="L915" t="n">
        <v>0</v>
      </c>
      <c r="M915" t="n">
        <v>0</v>
      </c>
      <c r="N915" t="n">
        <v>0</v>
      </c>
      <c r="O915" t="n">
        <v>0</v>
      </c>
      <c r="P915" t="n">
        <v>0</v>
      </c>
      <c r="Q915" t="n">
        <v>0</v>
      </c>
      <c r="R915" s="2" t="inlineStr"/>
    </row>
    <row r="916" ht="15" customHeight="1">
      <c r="A916" t="inlineStr">
        <is>
          <t>A 58090-2021</t>
        </is>
      </c>
      <c r="B916" s="1" t="n">
        <v>44487.50277777778</v>
      </c>
      <c r="C916" s="1" t="n">
        <v>45882</v>
      </c>
      <c r="D916" t="inlineStr">
        <is>
          <t>KALMAR LÄN</t>
        </is>
      </c>
      <c r="E916" t="inlineStr">
        <is>
          <t>VÄSTERVIK</t>
        </is>
      </c>
      <c r="G916" t="n">
        <v>2.9</v>
      </c>
      <c r="H916" t="n">
        <v>0</v>
      </c>
      <c r="I916" t="n">
        <v>0</v>
      </c>
      <c r="J916" t="n">
        <v>0</v>
      </c>
      <c r="K916" t="n">
        <v>0</v>
      </c>
      <c r="L916" t="n">
        <v>0</v>
      </c>
      <c r="M916" t="n">
        <v>0</v>
      </c>
      <c r="N916" t="n">
        <v>0</v>
      </c>
      <c r="O916" t="n">
        <v>0</v>
      </c>
      <c r="P916" t="n">
        <v>0</v>
      </c>
      <c r="Q916" t="n">
        <v>0</v>
      </c>
      <c r="R916" s="2" t="inlineStr"/>
    </row>
    <row r="917" ht="15" customHeight="1">
      <c r="A917" t="inlineStr">
        <is>
          <t>A 45877-2020</t>
        </is>
      </c>
      <c r="B917" s="1" t="n">
        <v>44091</v>
      </c>
      <c r="C917" s="1" t="n">
        <v>45882</v>
      </c>
      <c r="D917" t="inlineStr">
        <is>
          <t>KALMAR LÄN</t>
        </is>
      </c>
      <c r="E917" t="inlineStr">
        <is>
          <t>VÄSTERVIK</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47124-2023</t>
        </is>
      </c>
      <c r="B918" s="1" t="n">
        <v>45201</v>
      </c>
      <c r="C918" s="1" t="n">
        <v>45882</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35162-2024</t>
        </is>
      </c>
      <c r="B919" s="1" t="n">
        <v>45530.40025462963</v>
      </c>
      <c r="C919" s="1" t="n">
        <v>45882</v>
      </c>
      <c r="D919" t="inlineStr">
        <is>
          <t>KALMAR LÄN</t>
        </is>
      </c>
      <c r="E919" t="inlineStr">
        <is>
          <t>VÄSTERVIK</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11988-2022</t>
        </is>
      </c>
      <c r="B920" s="1" t="n">
        <v>44635.68771990741</v>
      </c>
      <c r="C920" s="1" t="n">
        <v>45882</v>
      </c>
      <c r="D920" t="inlineStr">
        <is>
          <t>KALMAR LÄN</t>
        </is>
      </c>
      <c r="E920" t="inlineStr">
        <is>
          <t>VÄSTERVIK</t>
        </is>
      </c>
      <c r="G920" t="n">
        <v>1.1</v>
      </c>
      <c r="H920" t="n">
        <v>0</v>
      </c>
      <c r="I920" t="n">
        <v>0</v>
      </c>
      <c r="J920" t="n">
        <v>0</v>
      </c>
      <c r="K920" t="n">
        <v>0</v>
      </c>
      <c r="L920" t="n">
        <v>0</v>
      </c>
      <c r="M920" t="n">
        <v>0</v>
      </c>
      <c r="N920" t="n">
        <v>0</v>
      </c>
      <c r="O920" t="n">
        <v>0</v>
      </c>
      <c r="P920" t="n">
        <v>0</v>
      </c>
      <c r="Q920" t="n">
        <v>0</v>
      </c>
      <c r="R920" s="2" t="inlineStr"/>
    </row>
    <row r="921" ht="15" customHeight="1">
      <c r="A921" t="inlineStr">
        <is>
          <t>A 30648-2025</t>
        </is>
      </c>
      <c r="B921" s="1" t="n">
        <v>45831</v>
      </c>
      <c r="C921" s="1" t="n">
        <v>45882</v>
      </c>
      <c r="D921" t="inlineStr">
        <is>
          <t>KALMAR LÄN</t>
        </is>
      </c>
      <c r="E921" t="inlineStr">
        <is>
          <t>VÄSTERVIK</t>
        </is>
      </c>
      <c r="G921" t="n">
        <v>3</v>
      </c>
      <c r="H921" t="n">
        <v>0</v>
      </c>
      <c r="I921" t="n">
        <v>0</v>
      </c>
      <c r="J921" t="n">
        <v>0</v>
      </c>
      <c r="K921" t="n">
        <v>0</v>
      </c>
      <c r="L921" t="n">
        <v>0</v>
      </c>
      <c r="M921" t="n">
        <v>0</v>
      </c>
      <c r="N921" t="n">
        <v>0</v>
      </c>
      <c r="O921" t="n">
        <v>0</v>
      </c>
      <c r="P921" t="n">
        <v>0</v>
      </c>
      <c r="Q921" t="n">
        <v>0</v>
      </c>
      <c r="R921" s="2" t="inlineStr"/>
    </row>
    <row r="922" ht="15" customHeight="1">
      <c r="A922" t="inlineStr">
        <is>
          <t>A 30644-2025</t>
        </is>
      </c>
      <c r="B922" s="1" t="n">
        <v>45831</v>
      </c>
      <c r="C922" s="1" t="n">
        <v>45882</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30800-2025</t>
        </is>
      </c>
      <c r="B923" s="1" t="n">
        <v>45831.65177083333</v>
      </c>
      <c r="C923" s="1" t="n">
        <v>45882</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17052-2025</t>
        </is>
      </c>
      <c r="B924" s="1" t="n">
        <v>45755.60236111111</v>
      </c>
      <c r="C924" s="1" t="n">
        <v>45882</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17054-2025</t>
        </is>
      </c>
      <c r="B925" s="1" t="n">
        <v>45755.60278935185</v>
      </c>
      <c r="C925" s="1" t="n">
        <v>45882</v>
      </c>
      <c r="D925" t="inlineStr">
        <is>
          <t>KALMAR LÄN</t>
        </is>
      </c>
      <c r="E925" t="inlineStr">
        <is>
          <t>VÄSTERVIK</t>
        </is>
      </c>
      <c r="G925" t="n">
        <v>0.4</v>
      </c>
      <c r="H925" t="n">
        <v>0</v>
      </c>
      <c r="I925" t="n">
        <v>0</v>
      </c>
      <c r="J925" t="n">
        <v>0</v>
      </c>
      <c r="K925" t="n">
        <v>0</v>
      </c>
      <c r="L925" t="n">
        <v>0</v>
      </c>
      <c r="M925" t="n">
        <v>0</v>
      </c>
      <c r="N925" t="n">
        <v>0</v>
      </c>
      <c r="O925" t="n">
        <v>0</v>
      </c>
      <c r="P925" t="n">
        <v>0</v>
      </c>
      <c r="Q925" t="n">
        <v>0</v>
      </c>
      <c r="R925" s="2" t="inlineStr"/>
    </row>
    <row r="926" ht="15" customHeight="1">
      <c r="A926" t="inlineStr">
        <is>
          <t>A 23743-2022</t>
        </is>
      </c>
      <c r="B926" s="1" t="n">
        <v>44722.35611111111</v>
      </c>
      <c r="C926" s="1" t="n">
        <v>45882</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30690-2025</t>
        </is>
      </c>
      <c r="B927" s="1" t="n">
        <v>45831.53775462963</v>
      </c>
      <c r="C927" s="1" t="n">
        <v>45882</v>
      </c>
      <c r="D927" t="inlineStr">
        <is>
          <t>KALMAR LÄN</t>
        </is>
      </c>
      <c r="E927" t="inlineStr">
        <is>
          <t>VÄSTERVIK</t>
        </is>
      </c>
      <c r="G927" t="n">
        <v>1.6</v>
      </c>
      <c r="H927" t="n">
        <v>0</v>
      </c>
      <c r="I927" t="n">
        <v>0</v>
      </c>
      <c r="J927" t="n">
        <v>0</v>
      </c>
      <c r="K927" t="n">
        <v>0</v>
      </c>
      <c r="L927" t="n">
        <v>0</v>
      </c>
      <c r="M927" t="n">
        <v>0</v>
      </c>
      <c r="N927" t="n">
        <v>0</v>
      </c>
      <c r="O927" t="n">
        <v>0</v>
      </c>
      <c r="P927" t="n">
        <v>0</v>
      </c>
      <c r="Q927" t="n">
        <v>0</v>
      </c>
      <c r="R927" s="2" t="inlineStr"/>
    </row>
    <row r="928" ht="15" customHeight="1">
      <c r="A928" t="inlineStr">
        <is>
          <t>A 1785-2025</t>
        </is>
      </c>
      <c r="B928" s="1" t="n">
        <v>45671.45061342593</v>
      </c>
      <c r="C928" s="1" t="n">
        <v>45882</v>
      </c>
      <c r="D928" t="inlineStr">
        <is>
          <t>KALMAR LÄN</t>
        </is>
      </c>
      <c r="E928" t="inlineStr">
        <is>
          <t>VÄSTERVIK</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8593-2023</t>
        </is>
      </c>
      <c r="B929" s="1" t="n">
        <v>44977</v>
      </c>
      <c r="C929" s="1" t="n">
        <v>45882</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30789-2025</t>
        </is>
      </c>
      <c r="B930" s="1" t="n">
        <v>45831.63174768518</v>
      </c>
      <c r="C930" s="1" t="n">
        <v>45882</v>
      </c>
      <c r="D930" t="inlineStr">
        <is>
          <t>KALMAR LÄN</t>
        </is>
      </c>
      <c r="E930" t="inlineStr">
        <is>
          <t>VÄSTERVIK</t>
        </is>
      </c>
      <c r="G930" t="n">
        <v>7</v>
      </c>
      <c r="H930" t="n">
        <v>0</v>
      </c>
      <c r="I930" t="n">
        <v>0</v>
      </c>
      <c r="J930" t="n">
        <v>0</v>
      </c>
      <c r="K930" t="n">
        <v>0</v>
      </c>
      <c r="L930" t="n">
        <v>0</v>
      </c>
      <c r="M930" t="n">
        <v>0</v>
      </c>
      <c r="N930" t="n">
        <v>0</v>
      </c>
      <c r="O930" t="n">
        <v>0</v>
      </c>
      <c r="P930" t="n">
        <v>0</v>
      </c>
      <c r="Q930" t="n">
        <v>0</v>
      </c>
      <c r="R930" s="2" t="inlineStr"/>
    </row>
    <row r="931" ht="15" customHeight="1">
      <c r="A931" t="inlineStr">
        <is>
          <t>A 37326-2024</t>
        </is>
      </c>
      <c r="B931" s="1" t="n">
        <v>45540</v>
      </c>
      <c r="C931" s="1" t="n">
        <v>45882</v>
      </c>
      <c r="D931" t="inlineStr">
        <is>
          <t>KALMAR LÄN</t>
        </is>
      </c>
      <c r="E931" t="inlineStr">
        <is>
          <t>VÄSTERVIK</t>
        </is>
      </c>
      <c r="F931" t="inlineStr">
        <is>
          <t>Holmen skog AB</t>
        </is>
      </c>
      <c r="G931" t="n">
        <v>6</v>
      </c>
      <c r="H931" t="n">
        <v>0</v>
      </c>
      <c r="I931" t="n">
        <v>0</v>
      </c>
      <c r="J931" t="n">
        <v>0</v>
      </c>
      <c r="K931" t="n">
        <v>0</v>
      </c>
      <c r="L931" t="n">
        <v>0</v>
      </c>
      <c r="M931" t="n">
        <v>0</v>
      </c>
      <c r="N931" t="n">
        <v>0</v>
      </c>
      <c r="O931" t="n">
        <v>0</v>
      </c>
      <c r="P931" t="n">
        <v>0</v>
      </c>
      <c r="Q931" t="n">
        <v>0</v>
      </c>
      <c r="R931" s="2" t="inlineStr"/>
    </row>
    <row r="932" ht="15" customHeight="1">
      <c r="A932" t="inlineStr">
        <is>
          <t>A 36754-2025</t>
        </is>
      </c>
      <c r="B932" s="1" t="n">
        <v>45873.5591087963</v>
      </c>
      <c r="C932" s="1" t="n">
        <v>45882</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36757-2025</t>
        </is>
      </c>
      <c r="B933" s="1" t="n">
        <v>45873.56483796296</v>
      </c>
      <c r="C933" s="1" t="n">
        <v>45882</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5510-2021</t>
        </is>
      </c>
      <c r="B934" s="1" t="n">
        <v>44230</v>
      </c>
      <c r="C934" s="1" t="n">
        <v>45882</v>
      </c>
      <c r="D934" t="inlineStr">
        <is>
          <t>KALMAR LÄN</t>
        </is>
      </c>
      <c r="E934" t="inlineStr">
        <is>
          <t>VÄSTERVIK</t>
        </is>
      </c>
      <c r="G934" t="n">
        <v>3.2</v>
      </c>
      <c r="H934" t="n">
        <v>0</v>
      </c>
      <c r="I934" t="n">
        <v>0</v>
      </c>
      <c r="J934" t="n">
        <v>0</v>
      </c>
      <c r="K934" t="n">
        <v>0</v>
      </c>
      <c r="L934" t="n">
        <v>0</v>
      </c>
      <c r="M934" t="n">
        <v>0</v>
      </c>
      <c r="N934" t="n">
        <v>0</v>
      </c>
      <c r="O934" t="n">
        <v>0</v>
      </c>
      <c r="P934" t="n">
        <v>0</v>
      </c>
      <c r="Q934" t="n">
        <v>0</v>
      </c>
      <c r="R934" s="2" t="inlineStr"/>
    </row>
    <row r="935" ht="15" customHeight="1">
      <c r="A935" t="inlineStr">
        <is>
          <t>A 30811-2025</t>
        </is>
      </c>
      <c r="B935" s="1" t="n">
        <v>45831.65712962963</v>
      </c>
      <c r="C935" s="1" t="n">
        <v>45882</v>
      </c>
      <c r="D935" t="inlineStr">
        <is>
          <t>KALMAR LÄN</t>
        </is>
      </c>
      <c r="E935" t="inlineStr">
        <is>
          <t>VÄSTERVIK</t>
        </is>
      </c>
      <c r="G935" t="n">
        <v>1.5</v>
      </c>
      <c r="H935" t="n">
        <v>0</v>
      </c>
      <c r="I935" t="n">
        <v>0</v>
      </c>
      <c r="J935" t="n">
        <v>0</v>
      </c>
      <c r="K935" t="n">
        <v>0</v>
      </c>
      <c r="L935" t="n">
        <v>0</v>
      </c>
      <c r="M935" t="n">
        <v>0</v>
      </c>
      <c r="N935" t="n">
        <v>0</v>
      </c>
      <c r="O935" t="n">
        <v>0</v>
      </c>
      <c r="P935" t="n">
        <v>0</v>
      </c>
      <c r="Q935" t="n">
        <v>0</v>
      </c>
      <c r="R935" s="2" t="inlineStr"/>
    </row>
    <row r="936" ht="15" customHeight="1">
      <c r="A936" t="inlineStr">
        <is>
          <t>A 29789-2024</t>
        </is>
      </c>
      <c r="B936" s="1" t="n">
        <v>45485.46721064814</v>
      </c>
      <c r="C936" s="1" t="n">
        <v>45882</v>
      </c>
      <c r="D936" t="inlineStr">
        <is>
          <t>KALMAR LÄN</t>
        </is>
      </c>
      <c r="E936" t="inlineStr">
        <is>
          <t>VÄSTERVIK</t>
        </is>
      </c>
      <c r="G936" t="n">
        <v>0.8</v>
      </c>
      <c r="H936" t="n">
        <v>0</v>
      </c>
      <c r="I936" t="n">
        <v>0</v>
      </c>
      <c r="J936" t="n">
        <v>0</v>
      </c>
      <c r="K936" t="n">
        <v>0</v>
      </c>
      <c r="L936" t="n">
        <v>0</v>
      </c>
      <c r="M936" t="n">
        <v>0</v>
      </c>
      <c r="N936" t="n">
        <v>0</v>
      </c>
      <c r="O936" t="n">
        <v>0</v>
      </c>
      <c r="P936" t="n">
        <v>0</v>
      </c>
      <c r="Q936" t="n">
        <v>0</v>
      </c>
      <c r="R936" s="2" t="inlineStr"/>
    </row>
    <row r="937" ht="15" customHeight="1">
      <c r="A937" t="inlineStr">
        <is>
          <t>A 35417-2022</t>
        </is>
      </c>
      <c r="B937" s="1" t="n">
        <v>44798</v>
      </c>
      <c r="C937" s="1" t="n">
        <v>45882</v>
      </c>
      <c r="D937" t="inlineStr">
        <is>
          <t>KALMAR LÄN</t>
        </is>
      </c>
      <c r="E937" t="inlineStr">
        <is>
          <t>VÄSTERVIK</t>
        </is>
      </c>
      <c r="G937" t="n">
        <v>5.2</v>
      </c>
      <c r="H937" t="n">
        <v>0</v>
      </c>
      <c r="I937" t="n">
        <v>0</v>
      </c>
      <c r="J937" t="n">
        <v>0</v>
      </c>
      <c r="K937" t="n">
        <v>0</v>
      </c>
      <c r="L937" t="n">
        <v>0</v>
      </c>
      <c r="M937" t="n">
        <v>0</v>
      </c>
      <c r="N937" t="n">
        <v>0</v>
      </c>
      <c r="O937" t="n">
        <v>0</v>
      </c>
      <c r="P937" t="n">
        <v>0</v>
      </c>
      <c r="Q937" t="n">
        <v>0</v>
      </c>
      <c r="R937" s="2" t="inlineStr"/>
    </row>
    <row r="938" ht="15" customHeight="1">
      <c r="A938" t="inlineStr">
        <is>
          <t>A 59675-2022</t>
        </is>
      </c>
      <c r="B938" s="1" t="n">
        <v>44908</v>
      </c>
      <c r="C938" s="1" t="n">
        <v>45882</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50911-2022</t>
        </is>
      </c>
      <c r="B939" s="1" t="n">
        <v>44867.62262731481</v>
      </c>
      <c r="C939" s="1" t="n">
        <v>45882</v>
      </c>
      <c r="D939" t="inlineStr">
        <is>
          <t>KALMAR LÄN</t>
        </is>
      </c>
      <c r="E939" t="inlineStr">
        <is>
          <t>VÄSTERVIK</t>
        </is>
      </c>
      <c r="F939" t="inlineStr">
        <is>
          <t>Sveaskog</t>
        </is>
      </c>
      <c r="G939" t="n">
        <v>3</v>
      </c>
      <c r="H939" t="n">
        <v>0</v>
      </c>
      <c r="I939" t="n">
        <v>0</v>
      </c>
      <c r="J939" t="n">
        <v>0</v>
      </c>
      <c r="K939" t="n">
        <v>0</v>
      </c>
      <c r="L939" t="n">
        <v>0</v>
      </c>
      <c r="M939" t="n">
        <v>0</v>
      </c>
      <c r="N939" t="n">
        <v>0</v>
      </c>
      <c r="O939" t="n">
        <v>0</v>
      </c>
      <c r="P939" t="n">
        <v>0</v>
      </c>
      <c r="Q939" t="n">
        <v>0</v>
      </c>
      <c r="R939" s="2" t="inlineStr"/>
    </row>
    <row r="940" ht="15" customHeight="1">
      <c r="A940" t="inlineStr">
        <is>
          <t>A 16207-2022</t>
        </is>
      </c>
      <c r="B940" s="1" t="n">
        <v>44669</v>
      </c>
      <c r="C940" s="1" t="n">
        <v>45882</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23626-2024</t>
        </is>
      </c>
      <c r="B941" s="1" t="n">
        <v>45454</v>
      </c>
      <c r="C941" s="1" t="n">
        <v>45882</v>
      </c>
      <c r="D941" t="inlineStr">
        <is>
          <t>KALMAR LÄN</t>
        </is>
      </c>
      <c r="E941" t="inlineStr">
        <is>
          <t>VÄSTERVIK</t>
        </is>
      </c>
      <c r="G941" t="n">
        <v>2.1</v>
      </c>
      <c r="H941" t="n">
        <v>0</v>
      </c>
      <c r="I941" t="n">
        <v>0</v>
      </c>
      <c r="J941" t="n">
        <v>0</v>
      </c>
      <c r="K941" t="n">
        <v>0</v>
      </c>
      <c r="L941" t="n">
        <v>0</v>
      </c>
      <c r="M941" t="n">
        <v>0</v>
      </c>
      <c r="N941" t="n">
        <v>0</v>
      </c>
      <c r="O941" t="n">
        <v>0</v>
      </c>
      <c r="P941" t="n">
        <v>0</v>
      </c>
      <c r="Q941" t="n">
        <v>0</v>
      </c>
      <c r="R941" s="2" t="inlineStr"/>
    </row>
    <row r="942" ht="15" customHeight="1">
      <c r="A942" t="inlineStr">
        <is>
          <t>A 26061-2024</t>
        </is>
      </c>
      <c r="B942" s="1" t="n">
        <v>45468.35030092593</v>
      </c>
      <c r="C942" s="1" t="n">
        <v>45882</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26066-2024</t>
        </is>
      </c>
      <c r="B943" s="1" t="n">
        <v>45468.35390046296</v>
      </c>
      <c r="C943" s="1" t="n">
        <v>45882</v>
      </c>
      <c r="D943" t="inlineStr">
        <is>
          <t>KALMAR LÄN</t>
        </is>
      </c>
      <c r="E943" t="inlineStr">
        <is>
          <t>VÄSTERVIK</t>
        </is>
      </c>
      <c r="G943" t="n">
        <v>0.6</v>
      </c>
      <c r="H943" t="n">
        <v>0</v>
      </c>
      <c r="I943" t="n">
        <v>0</v>
      </c>
      <c r="J943" t="n">
        <v>0</v>
      </c>
      <c r="K943" t="n">
        <v>0</v>
      </c>
      <c r="L943" t="n">
        <v>0</v>
      </c>
      <c r="M943" t="n">
        <v>0</v>
      </c>
      <c r="N943" t="n">
        <v>0</v>
      </c>
      <c r="O943" t="n">
        <v>0</v>
      </c>
      <c r="P943" t="n">
        <v>0</v>
      </c>
      <c r="Q943" t="n">
        <v>0</v>
      </c>
      <c r="R943" s="2" t="inlineStr"/>
    </row>
    <row r="944" ht="15" customHeight="1">
      <c r="A944" t="inlineStr">
        <is>
          <t>A 46267-2022</t>
        </is>
      </c>
      <c r="B944" s="1" t="n">
        <v>44847</v>
      </c>
      <c r="C944" s="1" t="n">
        <v>45882</v>
      </c>
      <c r="D944" t="inlineStr">
        <is>
          <t>KALMAR LÄN</t>
        </is>
      </c>
      <c r="E944" t="inlineStr">
        <is>
          <t>VÄSTERVIK</t>
        </is>
      </c>
      <c r="G944" t="n">
        <v>1.7</v>
      </c>
      <c r="H944" t="n">
        <v>0</v>
      </c>
      <c r="I944" t="n">
        <v>0</v>
      </c>
      <c r="J944" t="n">
        <v>0</v>
      </c>
      <c r="K944" t="n">
        <v>0</v>
      </c>
      <c r="L944" t="n">
        <v>0</v>
      </c>
      <c r="M944" t="n">
        <v>0</v>
      </c>
      <c r="N944" t="n">
        <v>0</v>
      </c>
      <c r="O944" t="n">
        <v>0</v>
      </c>
      <c r="P944" t="n">
        <v>0</v>
      </c>
      <c r="Q944" t="n">
        <v>0</v>
      </c>
      <c r="R944" s="2" t="inlineStr"/>
    </row>
    <row r="945" ht="15" customHeight="1">
      <c r="A945" t="inlineStr">
        <is>
          <t>A 55609-2024</t>
        </is>
      </c>
      <c r="B945" s="1" t="n">
        <v>45622.58350694444</v>
      </c>
      <c r="C945" s="1" t="n">
        <v>45882</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54951-2023</t>
        </is>
      </c>
      <c r="B946" s="1" t="n">
        <v>45236.82902777778</v>
      </c>
      <c r="C946" s="1" t="n">
        <v>45882</v>
      </c>
      <c r="D946" t="inlineStr">
        <is>
          <t>KALMAR LÄN</t>
        </is>
      </c>
      <c r="E946" t="inlineStr">
        <is>
          <t>VÄSTERVIK</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31248-2025</t>
        </is>
      </c>
      <c r="B947" s="1" t="n">
        <v>45832.89177083333</v>
      </c>
      <c r="C947" s="1" t="n">
        <v>45882</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38048-2023</t>
        </is>
      </c>
      <c r="B948" s="1" t="n">
        <v>45160.67677083334</v>
      </c>
      <c r="C948" s="1" t="n">
        <v>45882</v>
      </c>
      <c r="D948" t="inlineStr">
        <is>
          <t>KALMAR LÄN</t>
        </is>
      </c>
      <c r="E948" t="inlineStr">
        <is>
          <t>VÄSTERVIK</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11584-2023</t>
        </is>
      </c>
      <c r="B949" s="1" t="n">
        <v>44994.35707175926</v>
      </c>
      <c r="C949" s="1" t="n">
        <v>45882</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23411-2022</t>
        </is>
      </c>
      <c r="B950" s="1" t="n">
        <v>44720.70361111111</v>
      </c>
      <c r="C950" s="1" t="n">
        <v>45882</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14080-2025</t>
        </is>
      </c>
      <c r="B951" s="1" t="n">
        <v>45740.43785879629</v>
      </c>
      <c r="C951" s="1" t="n">
        <v>45882</v>
      </c>
      <c r="D951" t="inlineStr">
        <is>
          <t>KALMAR LÄN</t>
        </is>
      </c>
      <c r="E951" t="inlineStr">
        <is>
          <t>VÄSTERVIK</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31576-2025</t>
        </is>
      </c>
      <c r="B952" s="1" t="n">
        <v>45833.67266203704</v>
      </c>
      <c r="C952" s="1" t="n">
        <v>45882</v>
      </c>
      <c r="D952" t="inlineStr">
        <is>
          <t>KALMAR LÄN</t>
        </is>
      </c>
      <c r="E952" t="inlineStr">
        <is>
          <t>VÄSTERVIK</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31600-2025</t>
        </is>
      </c>
      <c r="B953" s="1" t="n">
        <v>45833.72505787037</v>
      </c>
      <c r="C953" s="1" t="n">
        <v>45882</v>
      </c>
      <c r="D953" t="inlineStr">
        <is>
          <t>KALMAR LÄN</t>
        </is>
      </c>
      <c r="E953" t="inlineStr">
        <is>
          <t>VÄSTERVIK</t>
        </is>
      </c>
      <c r="F953" t="inlineStr">
        <is>
          <t>Holmen skog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31419-2025</t>
        </is>
      </c>
      <c r="B954" s="1" t="n">
        <v>45833.48370370371</v>
      </c>
      <c r="C954" s="1" t="n">
        <v>45882</v>
      </c>
      <c r="D954" t="inlineStr">
        <is>
          <t>KALMAR LÄN</t>
        </is>
      </c>
      <c r="E954" t="inlineStr">
        <is>
          <t>VÄSTERVIK</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4496-2022</t>
        </is>
      </c>
      <c r="B955" s="1" t="n">
        <v>44589.67060185185</v>
      </c>
      <c r="C955" s="1" t="n">
        <v>45882</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9037-2023</t>
        </is>
      </c>
      <c r="B956" s="1" t="n">
        <v>44979.65015046296</v>
      </c>
      <c r="C956" s="1" t="n">
        <v>45882</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1798-2023</t>
        </is>
      </c>
      <c r="B957" s="1" t="n">
        <v>44938</v>
      </c>
      <c r="C957" s="1" t="n">
        <v>45882</v>
      </c>
      <c r="D957" t="inlineStr">
        <is>
          <t>KALMAR LÄN</t>
        </is>
      </c>
      <c r="E957" t="inlineStr">
        <is>
          <t>VÄSTERVIK</t>
        </is>
      </c>
      <c r="G957" t="n">
        <v>3.9</v>
      </c>
      <c r="H957" t="n">
        <v>0</v>
      </c>
      <c r="I957" t="n">
        <v>0</v>
      </c>
      <c r="J957" t="n">
        <v>0</v>
      </c>
      <c r="K957" t="n">
        <v>0</v>
      </c>
      <c r="L957" t="n">
        <v>0</v>
      </c>
      <c r="M957" t="n">
        <v>0</v>
      </c>
      <c r="N957" t="n">
        <v>0</v>
      </c>
      <c r="O957" t="n">
        <v>0</v>
      </c>
      <c r="P957" t="n">
        <v>0</v>
      </c>
      <c r="Q957" t="n">
        <v>0</v>
      </c>
      <c r="R957" s="2" t="inlineStr"/>
    </row>
    <row r="958" ht="15" customHeight="1">
      <c r="A958" t="inlineStr">
        <is>
          <t>A 31886-2025</t>
        </is>
      </c>
      <c r="B958" s="1" t="n">
        <v>45834.65864583333</v>
      </c>
      <c r="C958" s="1" t="n">
        <v>45882</v>
      </c>
      <c r="D958" t="inlineStr">
        <is>
          <t>KALMAR LÄN</t>
        </is>
      </c>
      <c r="E958" t="inlineStr">
        <is>
          <t>VÄSTERVIK</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37526-2025</t>
        </is>
      </c>
      <c r="B959" s="1" t="n">
        <v>45877</v>
      </c>
      <c r="C959" s="1" t="n">
        <v>45882</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23706-2025</t>
        </is>
      </c>
      <c r="B960" s="1" t="n">
        <v>45793.36922453704</v>
      </c>
      <c r="C960" s="1" t="n">
        <v>45882</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37523-2025</t>
        </is>
      </c>
      <c r="B961" s="1" t="n">
        <v>45877</v>
      </c>
      <c r="C961" s="1" t="n">
        <v>45882</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31843-2025</t>
        </is>
      </c>
      <c r="B962" s="1" t="n">
        <v>45834.5984375</v>
      </c>
      <c r="C962" s="1" t="n">
        <v>45882</v>
      </c>
      <c r="D962" t="inlineStr">
        <is>
          <t>KALMAR LÄN</t>
        </is>
      </c>
      <c r="E962" t="inlineStr">
        <is>
          <t>VÄSTERVIK</t>
        </is>
      </c>
      <c r="F962" t="inlineStr">
        <is>
          <t>Holmen skog AB</t>
        </is>
      </c>
      <c r="G962" t="n">
        <v>4.5</v>
      </c>
      <c r="H962" t="n">
        <v>0</v>
      </c>
      <c r="I962" t="n">
        <v>0</v>
      </c>
      <c r="J962" t="n">
        <v>0</v>
      </c>
      <c r="K962" t="n">
        <v>0</v>
      </c>
      <c r="L962" t="n">
        <v>0</v>
      </c>
      <c r="M962" t="n">
        <v>0</v>
      </c>
      <c r="N962" t="n">
        <v>0</v>
      </c>
      <c r="O962" t="n">
        <v>0</v>
      </c>
      <c r="P962" t="n">
        <v>0</v>
      </c>
      <c r="Q962" t="n">
        <v>0</v>
      </c>
      <c r="R962" s="2" t="inlineStr"/>
    </row>
    <row r="963" ht="15" customHeight="1">
      <c r="A963" t="inlineStr">
        <is>
          <t>A 31826-2025</t>
        </is>
      </c>
      <c r="B963" s="1" t="n">
        <v>45834.58306712963</v>
      </c>
      <c r="C963" s="1" t="n">
        <v>45882</v>
      </c>
      <c r="D963" t="inlineStr">
        <is>
          <t>KALMAR LÄN</t>
        </is>
      </c>
      <c r="E963" t="inlineStr">
        <is>
          <t>VÄSTERVIK</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28291-2024</t>
        </is>
      </c>
      <c r="B964" s="1" t="n">
        <v>45477</v>
      </c>
      <c r="C964" s="1" t="n">
        <v>45882</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18081-2023</t>
        </is>
      </c>
      <c r="B965" s="1" t="n">
        <v>45040</v>
      </c>
      <c r="C965" s="1" t="n">
        <v>45882</v>
      </c>
      <c r="D965" t="inlineStr">
        <is>
          <t>KALMAR LÄN</t>
        </is>
      </c>
      <c r="E965" t="inlineStr">
        <is>
          <t>VÄSTERVIK</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26776-2023</t>
        </is>
      </c>
      <c r="B966" s="1" t="n">
        <v>45093</v>
      </c>
      <c r="C966" s="1" t="n">
        <v>45882</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62304-2022</t>
        </is>
      </c>
      <c r="B967" s="1" t="n">
        <v>44923.46215277778</v>
      </c>
      <c r="C967" s="1" t="n">
        <v>45882</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62306-2022</t>
        </is>
      </c>
      <c r="B968" s="1" t="n">
        <v>44923</v>
      </c>
      <c r="C968" s="1" t="n">
        <v>45882</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17307-2023</t>
        </is>
      </c>
      <c r="B969" s="1" t="n">
        <v>45035.53497685185</v>
      </c>
      <c r="C969" s="1" t="n">
        <v>45882</v>
      </c>
      <c r="D969" t="inlineStr">
        <is>
          <t>KALMAR LÄN</t>
        </is>
      </c>
      <c r="E969" t="inlineStr">
        <is>
          <t>VÄSTERVIK</t>
        </is>
      </c>
      <c r="G969" t="n">
        <v>0</v>
      </c>
      <c r="H969" t="n">
        <v>0</v>
      </c>
      <c r="I969" t="n">
        <v>0</v>
      </c>
      <c r="J969" t="n">
        <v>0</v>
      </c>
      <c r="K969" t="n">
        <v>0</v>
      </c>
      <c r="L969" t="n">
        <v>0</v>
      </c>
      <c r="M969" t="n">
        <v>0</v>
      </c>
      <c r="N969" t="n">
        <v>0</v>
      </c>
      <c r="O969" t="n">
        <v>0</v>
      </c>
      <c r="P969" t="n">
        <v>0</v>
      </c>
      <c r="Q969" t="n">
        <v>0</v>
      </c>
      <c r="R969" s="2" t="inlineStr"/>
    </row>
    <row r="970" ht="15" customHeight="1">
      <c r="A970" t="inlineStr">
        <is>
          <t>A 37524-2025</t>
        </is>
      </c>
      <c r="B970" s="1" t="n">
        <v>45877</v>
      </c>
      <c r="C970" s="1" t="n">
        <v>45882</v>
      </c>
      <c r="D970" t="inlineStr">
        <is>
          <t>KALMAR LÄN</t>
        </is>
      </c>
      <c r="E970" t="inlineStr">
        <is>
          <t>VÄSTERVIK</t>
        </is>
      </c>
      <c r="G970" t="n">
        <v>3.3</v>
      </c>
      <c r="H970" t="n">
        <v>0</v>
      </c>
      <c r="I970" t="n">
        <v>0</v>
      </c>
      <c r="J970" t="n">
        <v>0</v>
      </c>
      <c r="K970" t="n">
        <v>0</v>
      </c>
      <c r="L970" t="n">
        <v>0</v>
      </c>
      <c r="M970" t="n">
        <v>0</v>
      </c>
      <c r="N970" t="n">
        <v>0</v>
      </c>
      <c r="O970" t="n">
        <v>0</v>
      </c>
      <c r="P970" t="n">
        <v>0</v>
      </c>
      <c r="Q970" t="n">
        <v>0</v>
      </c>
      <c r="R970" s="2" t="inlineStr"/>
    </row>
    <row r="971" ht="15" customHeight="1">
      <c r="A971" t="inlineStr">
        <is>
          <t>A 37525-2025</t>
        </is>
      </c>
      <c r="B971" s="1" t="n">
        <v>45877</v>
      </c>
      <c r="C971" s="1" t="n">
        <v>45882</v>
      </c>
      <c r="D971" t="inlineStr">
        <is>
          <t>KALMAR LÄN</t>
        </is>
      </c>
      <c r="E971" t="inlineStr">
        <is>
          <t>VÄSTERVIK</t>
        </is>
      </c>
      <c r="G971" t="n">
        <v>2.4</v>
      </c>
      <c r="H971" t="n">
        <v>0</v>
      </c>
      <c r="I971" t="n">
        <v>0</v>
      </c>
      <c r="J971" t="n">
        <v>0</v>
      </c>
      <c r="K971" t="n">
        <v>0</v>
      </c>
      <c r="L971" t="n">
        <v>0</v>
      </c>
      <c r="M971" t="n">
        <v>0</v>
      </c>
      <c r="N971" t="n">
        <v>0</v>
      </c>
      <c r="O971" t="n">
        <v>0</v>
      </c>
      <c r="P971" t="n">
        <v>0</v>
      </c>
      <c r="Q971" t="n">
        <v>0</v>
      </c>
      <c r="R971" s="2" t="inlineStr"/>
    </row>
    <row r="972" ht="15" customHeight="1">
      <c r="A972" t="inlineStr">
        <is>
          <t>A 56440-2024</t>
        </is>
      </c>
      <c r="B972" s="1" t="n">
        <v>45625.41949074074</v>
      </c>
      <c r="C972" s="1" t="n">
        <v>45882</v>
      </c>
      <c r="D972" t="inlineStr">
        <is>
          <t>KALMAR LÄN</t>
        </is>
      </c>
      <c r="E972" t="inlineStr">
        <is>
          <t>VÄSTERVIK</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31857-2025</t>
        </is>
      </c>
      <c r="B973" s="1" t="n">
        <v>45834.62629629629</v>
      </c>
      <c r="C973" s="1" t="n">
        <v>45882</v>
      </c>
      <c r="D973" t="inlineStr">
        <is>
          <t>KALMAR LÄN</t>
        </is>
      </c>
      <c r="E973" t="inlineStr">
        <is>
          <t>VÄSTERVIK</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13489-2022</t>
        </is>
      </c>
      <c r="B974" s="1" t="n">
        <v>44646</v>
      </c>
      <c r="C974" s="1" t="n">
        <v>45882</v>
      </c>
      <c r="D974" t="inlineStr">
        <is>
          <t>KALMAR LÄN</t>
        </is>
      </c>
      <c r="E974" t="inlineStr">
        <is>
          <t>VÄSTERVIK</t>
        </is>
      </c>
      <c r="G974" t="n">
        <v>2.5</v>
      </c>
      <c r="H974" t="n">
        <v>0</v>
      </c>
      <c r="I974" t="n">
        <v>0</v>
      </c>
      <c r="J974" t="n">
        <v>0</v>
      </c>
      <c r="K974" t="n">
        <v>0</v>
      </c>
      <c r="L974" t="n">
        <v>0</v>
      </c>
      <c r="M974" t="n">
        <v>0</v>
      </c>
      <c r="N974" t="n">
        <v>0</v>
      </c>
      <c r="O974" t="n">
        <v>0</v>
      </c>
      <c r="P974" t="n">
        <v>0</v>
      </c>
      <c r="Q974" t="n">
        <v>0</v>
      </c>
      <c r="R974" s="2" t="inlineStr"/>
    </row>
    <row r="975" ht="15" customHeight="1">
      <c r="A975" t="inlineStr">
        <is>
          <t>A 32018-2025</t>
        </is>
      </c>
      <c r="B975" s="1" t="n">
        <v>45835.40452546296</v>
      </c>
      <c r="C975" s="1" t="n">
        <v>45882</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37774-2025</t>
        </is>
      </c>
      <c r="B976" s="1" t="n">
        <v>45880.76180555556</v>
      </c>
      <c r="C976" s="1" t="n">
        <v>45882</v>
      </c>
      <c r="D976" t="inlineStr">
        <is>
          <t>KALMAR LÄN</t>
        </is>
      </c>
      <c r="E976" t="inlineStr">
        <is>
          <t>VÄSTERVIK</t>
        </is>
      </c>
      <c r="G976" t="n">
        <v>1.3</v>
      </c>
      <c r="H976" t="n">
        <v>0</v>
      </c>
      <c r="I976" t="n">
        <v>0</v>
      </c>
      <c r="J976" t="n">
        <v>0</v>
      </c>
      <c r="K976" t="n">
        <v>0</v>
      </c>
      <c r="L976" t="n">
        <v>0</v>
      </c>
      <c r="M976" t="n">
        <v>0</v>
      </c>
      <c r="N976" t="n">
        <v>0</v>
      </c>
      <c r="O976" t="n">
        <v>0</v>
      </c>
      <c r="P976" t="n">
        <v>0</v>
      </c>
      <c r="Q976" t="n">
        <v>0</v>
      </c>
      <c r="R976" s="2" t="inlineStr"/>
    </row>
    <row r="977" ht="15" customHeight="1">
      <c r="A977" t="inlineStr">
        <is>
          <t>A 28344-2024</t>
        </is>
      </c>
      <c r="B977" s="1" t="n">
        <v>45477.55280092593</v>
      </c>
      <c r="C977" s="1" t="n">
        <v>45882</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9269-2025</t>
        </is>
      </c>
      <c r="B978" s="1" t="n">
        <v>45714.61543981481</v>
      </c>
      <c r="C978" s="1" t="n">
        <v>45882</v>
      </c>
      <c r="D978" t="inlineStr">
        <is>
          <t>KALMAR LÄN</t>
        </is>
      </c>
      <c r="E978" t="inlineStr">
        <is>
          <t>VÄSTERVIK</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12433-2024</t>
        </is>
      </c>
      <c r="B979" s="1" t="n">
        <v>45379.44450231481</v>
      </c>
      <c r="C979" s="1" t="n">
        <v>45882</v>
      </c>
      <c r="D979" t="inlineStr">
        <is>
          <t>KALMAR LÄN</t>
        </is>
      </c>
      <c r="E979" t="inlineStr">
        <is>
          <t>VÄSTERVIK</t>
        </is>
      </c>
      <c r="G979" t="n">
        <v>0.9</v>
      </c>
      <c r="H979" t="n">
        <v>0</v>
      </c>
      <c r="I979" t="n">
        <v>0</v>
      </c>
      <c r="J979" t="n">
        <v>0</v>
      </c>
      <c r="K979" t="n">
        <v>0</v>
      </c>
      <c r="L979" t="n">
        <v>0</v>
      </c>
      <c r="M979" t="n">
        <v>0</v>
      </c>
      <c r="N979" t="n">
        <v>0</v>
      </c>
      <c r="O979" t="n">
        <v>0</v>
      </c>
      <c r="P979" t="n">
        <v>0</v>
      </c>
      <c r="Q979" t="n">
        <v>0</v>
      </c>
      <c r="R979" s="2" t="inlineStr"/>
    </row>
    <row r="980" ht="15" customHeight="1">
      <c r="A980" t="inlineStr">
        <is>
          <t>A 10441-2022</t>
        </is>
      </c>
      <c r="B980" s="1" t="n">
        <v>44623</v>
      </c>
      <c r="C980" s="1" t="n">
        <v>45882</v>
      </c>
      <c r="D980" t="inlineStr">
        <is>
          <t>KALMAR LÄN</t>
        </is>
      </c>
      <c r="E980" t="inlineStr">
        <is>
          <t>VÄSTERVIK</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60713-2022</t>
        </is>
      </c>
      <c r="B981" s="1" t="n">
        <v>44912</v>
      </c>
      <c r="C981" s="1" t="n">
        <v>45882</v>
      </c>
      <c r="D981" t="inlineStr">
        <is>
          <t>KALMAR LÄN</t>
        </is>
      </c>
      <c r="E981" t="inlineStr">
        <is>
          <t>VÄSTERVIK</t>
        </is>
      </c>
      <c r="F981" t="inlineStr">
        <is>
          <t>Övriga Aktiebolag</t>
        </is>
      </c>
      <c r="G981" t="n">
        <v>2.6</v>
      </c>
      <c r="H981" t="n">
        <v>0</v>
      </c>
      <c r="I981" t="n">
        <v>0</v>
      </c>
      <c r="J981" t="n">
        <v>0</v>
      </c>
      <c r="K981" t="n">
        <v>0</v>
      </c>
      <c r="L981" t="n">
        <v>0</v>
      </c>
      <c r="M981" t="n">
        <v>0</v>
      </c>
      <c r="N981" t="n">
        <v>0</v>
      </c>
      <c r="O981" t="n">
        <v>0</v>
      </c>
      <c r="P981" t="n">
        <v>0</v>
      </c>
      <c r="Q981" t="n">
        <v>0</v>
      </c>
      <c r="R981" s="2" t="inlineStr"/>
    </row>
    <row r="982" ht="15" customHeight="1">
      <c r="A982" t="inlineStr">
        <is>
          <t>A 16689-2025</t>
        </is>
      </c>
      <c r="B982" s="1" t="n">
        <v>45754.45739583333</v>
      </c>
      <c r="C982" s="1" t="n">
        <v>45882</v>
      </c>
      <c r="D982" t="inlineStr">
        <is>
          <t>KALMAR LÄN</t>
        </is>
      </c>
      <c r="E982" t="inlineStr">
        <is>
          <t>VÄSTERVIK</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16693-2025</t>
        </is>
      </c>
      <c r="B983" s="1" t="n">
        <v>45754.4644675926</v>
      </c>
      <c r="C983" s="1" t="n">
        <v>45882</v>
      </c>
      <c r="D983" t="inlineStr">
        <is>
          <t>KALMAR LÄN</t>
        </is>
      </c>
      <c r="E983" t="inlineStr">
        <is>
          <t>VÄSTERVIK</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32400-2025</t>
        </is>
      </c>
      <c r="B984" s="1" t="n">
        <v>45838.25818287037</v>
      </c>
      <c r="C984" s="1" t="n">
        <v>45882</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46070-2023</t>
        </is>
      </c>
      <c r="B985" s="1" t="n">
        <v>45196</v>
      </c>
      <c r="C985" s="1" t="n">
        <v>45882</v>
      </c>
      <c r="D985" t="inlineStr">
        <is>
          <t>KALMAR LÄN</t>
        </is>
      </c>
      <c r="E985" t="inlineStr">
        <is>
          <t>VÄSTERVIK</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16617-2023</t>
        </is>
      </c>
      <c r="B986" s="1" t="n">
        <v>45030</v>
      </c>
      <c r="C986" s="1" t="n">
        <v>45882</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63361-2023</t>
        </is>
      </c>
      <c r="B987" s="1" t="n">
        <v>45274.46324074074</v>
      </c>
      <c r="C987" s="1" t="n">
        <v>45882</v>
      </c>
      <c r="D987" t="inlineStr">
        <is>
          <t>KALMAR LÄN</t>
        </is>
      </c>
      <c r="E987" t="inlineStr">
        <is>
          <t>VÄSTERVIK</t>
        </is>
      </c>
      <c r="G987" t="n">
        <v>2.2</v>
      </c>
      <c r="H987" t="n">
        <v>0</v>
      </c>
      <c r="I987" t="n">
        <v>0</v>
      </c>
      <c r="J987" t="n">
        <v>0</v>
      </c>
      <c r="K987" t="n">
        <v>0</v>
      </c>
      <c r="L987" t="n">
        <v>0</v>
      </c>
      <c r="M987" t="n">
        <v>0</v>
      </c>
      <c r="N987" t="n">
        <v>0</v>
      </c>
      <c r="O987" t="n">
        <v>0</v>
      </c>
      <c r="P987" t="n">
        <v>0</v>
      </c>
      <c r="Q987" t="n">
        <v>0</v>
      </c>
      <c r="R987" s="2" t="inlineStr"/>
    </row>
    <row r="988" ht="15" customHeight="1">
      <c r="A988" t="inlineStr">
        <is>
          <t>A 35961-2023</t>
        </is>
      </c>
      <c r="B988" s="1" t="n">
        <v>45148.85041666667</v>
      </c>
      <c r="C988" s="1" t="n">
        <v>45882</v>
      </c>
      <c r="D988" t="inlineStr">
        <is>
          <t>KALMAR LÄN</t>
        </is>
      </c>
      <c r="E988" t="inlineStr">
        <is>
          <t>VÄSTERVIK</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28952-2023</t>
        </is>
      </c>
      <c r="B989" s="1" t="n">
        <v>45104</v>
      </c>
      <c r="C989" s="1" t="n">
        <v>45882</v>
      </c>
      <c r="D989" t="inlineStr">
        <is>
          <t>KALMAR LÄN</t>
        </is>
      </c>
      <c r="E989" t="inlineStr">
        <is>
          <t>VÄSTERVIK</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32778-2025</t>
        </is>
      </c>
      <c r="B990" s="1" t="n">
        <v>45839.46924768519</v>
      </c>
      <c r="C990" s="1" t="n">
        <v>45882</v>
      </c>
      <c r="D990" t="inlineStr">
        <is>
          <t>KALMAR LÄN</t>
        </is>
      </c>
      <c r="E990" t="inlineStr">
        <is>
          <t>VÄSTERVIK</t>
        </is>
      </c>
      <c r="G990" t="n">
        <v>2.2</v>
      </c>
      <c r="H990" t="n">
        <v>0</v>
      </c>
      <c r="I990" t="n">
        <v>0</v>
      </c>
      <c r="J990" t="n">
        <v>0</v>
      </c>
      <c r="K990" t="n">
        <v>0</v>
      </c>
      <c r="L990" t="n">
        <v>0</v>
      </c>
      <c r="M990" t="n">
        <v>0</v>
      </c>
      <c r="N990" t="n">
        <v>0</v>
      </c>
      <c r="O990" t="n">
        <v>0</v>
      </c>
      <c r="P990" t="n">
        <v>0</v>
      </c>
      <c r="Q990" t="n">
        <v>0</v>
      </c>
      <c r="R990" s="2" t="inlineStr"/>
    </row>
    <row r="991" ht="15" customHeight="1">
      <c r="A991" t="inlineStr">
        <is>
          <t>A 32495-2025</t>
        </is>
      </c>
      <c r="B991" s="1" t="n">
        <v>45838.4546875</v>
      </c>
      <c r="C991" s="1" t="n">
        <v>45882</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23992-2021</t>
        </is>
      </c>
      <c r="B992" s="1" t="n">
        <v>44335</v>
      </c>
      <c r="C992" s="1" t="n">
        <v>45882</v>
      </c>
      <c r="D992" t="inlineStr">
        <is>
          <t>KALMAR LÄN</t>
        </is>
      </c>
      <c r="E992" t="inlineStr">
        <is>
          <t>VÄSTERVIK</t>
        </is>
      </c>
      <c r="G992" t="n">
        <v>3.1</v>
      </c>
      <c r="H992" t="n">
        <v>0</v>
      </c>
      <c r="I992" t="n">
        <v>0</v>
      </c>
      <c r="J992" t="n">
        <v>0</v>
      </c>
      <c r="K992" t="n">
        <v>0</v>
      </c>
      <c r="L992" t="n">
        <v>0</v>
      </c>
      <c r="M992" t="n">
        <v>0</v>
      </c>
      <c r="N992" t="n">
        <v>0</v>
      </c>
      <c r="O992" t="n">
        <v>0</v>
      </c>
      <c r="P992" t="n">
        <v>0</v>
      </c>
      <c r="Q992" t="n">
        <v>0</v>
      </c>
      <c r="R992" s="2" t="inlineStr"/>
    </row>
    <row r="993" ht="15" customHeight="1">
      <c r="A993" t="inlineStr">
        <is>
          <t>A 7925-2023</t>
        </is>
      </c>
      <c r="B993" s="1" t="n">
        <v>44973.64606481481</v>
      </c>
      <c r="C993" s="1" t="n">
        <v>45882</v>
      </c>
      <c r="D993" t="inlineStr">
        <is>
          <t>KALMAR LÄN</t>
        </is>
      </c>
      <c r="E993" t="inlineStr">
        <is>
          <t>VÄSTERVIK</t>
        </is>
      </c>
      <c r="G993" t="n">
        <v>4.9</v>
      </c>
      <c r="H993" t="n">
        <v>0</v>
      </c>
      <c r="I993" t="n">
        <v>0</v>
      </c>
      <c r="J993" t="n">
        <v>0</v>
      </c>
      <c r="K993" t="n">
        <v>0</v>
      </c>
      <c r="L993" t="n">
        <v>0</v>
      </c>
      <c r="M993" t="n">
        <v>0</v>
      </c>
      <c r="N993" t="n">
        <v>0</v>
      </c>
      <c r="O993" t="n">
        <v>0</v>
      </c>
      <c r="P993" t="n">
        <v>0</v>
      </c>
      <c r="Q993" t="n">
        <v>0</v>
      </c>
      <c r="R993" s="2" t="inlineStr"/>
    </row>
    <row r="994" ht="15" customHeight="1">
      <c r="A994" t="inlineStr">
        <is>
          <t>A 28222-2024</t>
        </is>
      </c>
      <c r="B994" s="1" t="n">
        <v>45477.36993055556</v>
      </c>
      <c r="C994" s="1" t="n">
        <v>45882</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55032-2024</t>
        </is>
      </c>
      <c r="B995" s="1" t="n">
        <v>45621.38190972222</v>
      </c>
      <c r="C995" s="1" t="n">
        <v>45882</v>
      </c>
      <c r="D995" t="inlineStr">
        <is>
          <t>KALMAR LÄN</t>
        </is>
      </c>
      <c r="E995" t="inlineStr">
        <is>
          <t>VÄSTERVIK</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55037-2024</t>
        </is>
      </c>
      <c r="B996" s="1" t="n">
        <v>45621.38459490741</v>
      </c>
      <c r="C996" s="1" t="n">
        <v>45882</v>
      </c>
      <c r="D996" t="inlineStr">
        <is>
          <t>KALMAR LÄN</t>
        </is>
      </c>
      <c r="E996" t="inlineStr">
        <is>
          <t>VÄSTERVIK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928-2024</t>
        </is>
      </c>
      <c r="B997" s="1" t="n">
        <v>45301</v>
      </c>
      <c r="C997" s="1" t="n">
        <v>45882</v>
      </c>
      <c r="D997" t="inlineStr">
        <is>
          <t>KALMAR LÄN</t>
        </is>
      </c>
      <c r="E997" t="inlineStr">
        <is>
          <t>VÄSTERVIK</t>
        </is>
      </c>
      <c r="G997" t="n">
        <v>4.8</v>
      </c>
      <c r="H997" t="n">
        <v>0</v>
      </c>
      <c r="I997" t="n">
        <v>0</v>
      </c>
      <c r="J997" t="n">
        <v>0</v>
      </c>
      <c r="K997" t="n">
        <v>0</v>
      </c>
      <c r="L997" t="n">
        <v>0</v>
      </c>
      <c r="M997" t="n">
        <v>0</v>
      </c>
      <c r="N997" t="n">
        <v>0</v>
      </c>
      <c r="O997" t="n">
        <v>0</v>
      </c>
      <c r="P997" t="n">
        <v>0</v>
      </c>
      <c r="Q997" t="n">
        <v>0</v>
      </c>
      <c r="R997" s="2" t="inlineStr"/>
    </row>
    <row r="998" ht="15" customHeight="1">
      <c r="A998" t="inlineStr">
        <is>
          <t>A 15553-2024</t>
        </is>
      </c>
      <c r="B998" s="1" t="n">
        <v>45401.63736111111</v>
      </c>
      <c r="C998" s="1" t="n">
        <v>45882</v>
      </c>
      <c r="D998" t="inlineStr">
        <is>
          <t>KALMAR LÄN</t>
        </is>
      </c>
      <c r="E998" t="inlineStr">
        <is>
          <t>VÄSTERVIK</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3492-2021</t>
        </is>
      </c>
      <c r="B999" s="1" t="n">
        <v>44218.60984953704</v>
      </c>
      <c r="C999" s="1" t="n">
        <v>45882</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63018-2023</t>
        </is>
      </c>
      <c r="B1000" s="1" t="n">
        <v>45272</v>
      </c>
      <c r="C1000" s="1" t="n">
        <v>45882</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16395-2024</t>
        </is>
      </c>
      <c r="B1001" s="1" t="n">
        <v>45407.62733796296</v>
      </c>
      <c r="C1001" s="1" t="n">
        <v>45882</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c r="U1001">
        <f>HYPERLINK("https://klasma.github.io/Logging_0883/knärot/A 16395-2024 karta knärot.png", "A 16395-2024")</f>
        <v/>
      </c>
      <c r="V1001">
        <f>HYPERLINK("https://klasma.github.io/Logging_0883/klagomål/A 16395-2024 FSC-klagomål.docx", "A 16395-2024")</f>
        <v/>
      </c>
      <c r="W1001">
        <f>HYPERLINK("https://klasma.github.io/Logging_0883/klagomålsmail/A 16395-2024 FSC-klagomål mail.docx", "A 16395-2024")</f>
        <v/>
      </c>
      <c r="X1001">
        <f>HYPERLINK("https://klasma.github.io/Logging_0883/tillsyn/A 16395-2024 tillsynsbegäran.docx", "A 16395-2024")</f>
        <v/>
      </c>
      <c r="Y1001">
        <f>HYPERLINK("https://klasma.github.io/Logging_0883/tillsynsmail/A 16395-2024 tillsynsbegäran mail.docx", "A 16395-2024")</f>
        <v/>
      </c>
    </row>
    <row r="1002" ht="15" customHeight="1">
      <c r="A1002" t="inlineStr">
        <is>
          <t>A 6126-2023</t>
        </is>
      </c>
      <c r="B1002" s="1" t="n">
        <v>44964.61592592593</v>
      </c>
      <c r="C1002" s="1" t="n">
        <v>45882</v>
      </c>
      <c r="D1002" t="inlineStr">
        <is>
          <t>KALMAR LÄN</t>
        </is>
      </c>
      <c r="E1002" t="inlineStr">
        <is>
          <t>VÄSTERVIK</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38045-2023</t>
        </is>
      </c>
      <c r="B1003" s="1" t="n">
        <v>45160.67251157408</v>
      </c>
      <c r="C1003" s="1" t="n">
        <v>45882</v>
      </c>
      <c r="D1003" t="inlineStr">
        <is>
          <t>KALMAR LÄN</t>
        </is>
      </c>
      <c r="E1003" t="inlineStr">
        <is>
          <t>VÄSTERVIK</t>
        </is>
      </c>
      <c r="F1003" t="inlineStr">
        <is>
          <t>Sveaskog</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6616-2021</t>
        </is>
      </c>
      <c r="B1004" s="1" t="n">
        <v>44236</v>
      </c>
      <c r="C1004" s="1" t="n">
        <v>45882</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9770-2023</t>
        </is>
      </c>
      <c r="B1005" s="1" t="n">
        <v>44984</v>
      </c>
      <c r="C1005" s="1" t="n">
        <v>45882</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28894-2023</t>
        </is>
      </c>
      <c r="B1006" s="1" t="n">
        <v>45104.49659722222</v>
      </c>
      <c r="C1006" s="1" t="n">
        <v>45882</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62422-2022</t>
        </is>
      </c>
      <c r="B1007" s="1" t="n">
        <v>44924</v>
      </c>
      <c r="C1007" s="1" t="n">
        <v>45882</v>
      </c>
      <c r="D1007" t="inlineStr">
        <is>
          <t>KALMAR LÄN</t>
        </is>
      </c>
      <c r="E1007" t="inlineStr">
        <is>
          <t>VÄSTERVIK</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12333-2025</t>
        </is>
      </c>
      <c r="B1008" s="1" t="n">
        <v>45730</v>
      </c>
      <c r="C1008" s="1" t="n">
        <v>45882</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24567-2024</t>
        </is>
      </c>
      <c r="B1009" s="1" t="n">
        <v>45460.44732638889</v>
      </c>
      <c r="C1009" s="1" t="n">
        <v>45882</v>
      </c>
      <c r="D1009" t="inlineStr">
        <is>
          <t>KALMAR LÄN</t>
        </is>
      </c>
      <c r="E1009" t="inlineStr">
        <is>
          <t>VÄSTERVIK</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23316-2023</t>
        </is>
      </c>
      <c r="B1010" s="1" t="n">
        <v>45076.02563657407</v>
      </c>
      <c r="C1010" s="1" t="n">
        <v>45882</v>
      </c>
      <c r="D1010" t="inlineStr">
        <is>
          <t>KALMAR LÄN</t>
        </is>
      </c>
      <c r="E1010" t="inlineStr">
        <is>
          <t>VÄSTERVIK</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34463-2024</t>
        </is>
      </c>
      <c r="B1011" s="1" t="n">
        <v>45525.57712962963</v>
      </c>
      <c r="C1011" s="1" t="n">
        <v>45882</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16680-2025</t>
        </is>
      </c>
      <c r="B1012" s="1" t="n">
        <v>45754.44952546297</v>
      </c>
      <c r="C1012" s="1" t="n">
        <v>45882</v>
      </c>
      <c r="D1012" t="inlineStr">
        <is>
          <t>KALMAR LÄN</t>
        </is>
      </c>
      <c r="E1012" t="inlineStr">
        <is>
          <t>VÄSTERVIK</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16683-2025</t>
        </is>
      </c>
      <c r="B1013" s="1" t="n">
        <v>45754.45234953704</v>
      </c>
      <c r="C1013" s="1" t="n">
        <v>45882</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16686-2025</t>
        </is>
      </c>
      <c r="B1014" s="1" t="n">
        <v>45754.45355324074</v>
      </c>
      <c r="C1014" s="1" t="n">
        <v>45882</v>
      </c>
      <c r="D1014" t="inlineStr">
        <is>
          <t>KALMAR LÄN</t>
        </is>
      </c>
      <c r="E1014" t="inlineStr">
        <is>
          <t>VÄSTERVIK</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46130-2023</t>
        </is>
      </c>
      <c r="B1015" s="1" t="n">
        <v>45196.55849537037</v>
      </c>
      <c r="C1015" s="1" t="n">
        <v>45882</v>
      </c>
      <c r="D1015" t="inlineStr">
        <is>
          <t>KALMAR LÄN</t>
        </is>
      </c>
      <c r="E1015" t="inlineStr">
        <is>
          <t>VÄSTERVIK</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56033-2023</t>
        </is>
      </c>
      <c r="B1016" s="1" t="n">
        <v>45240.43778935185</v>
      </c>
      <c r="C1016" s="1" t="n">
        <v>45882</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8594-2023</t>
        </is>
      </c>
      <c r="B1017" s="1" t="n">
        <v>44977</v>
      </c>
      <c r="C1017" s="1" t="n">
        <v>45882</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60056-2023</t>
        </is>
      </c>
      <c r="B1018" s="1" t="n">
        <v>45258</v>
      </c>
      <c r="C1018" s="1" t="n">
        <v>45882</v>
      </c>
      <c r="D1018" t="inlineStr">
        <is>
          <t>KALMAR LÄN</t>
        </is>
      </c>
      <c r="E1018" t="inlineStr">
        <is>
          <t>VÄSTERVIK</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60848-2020</t>
        </is>
      </c>
      <c r="B1019" s="1" t="n">
        <v>44152</v>
      </c>
      <c r="C1019" s="1" t="n">
        <v>45882</v>
      </c>
      <c r="D1019" t="inlineStr">
        <is>
          <t>KALMAR LÄN</t>
        </is>
      </c>
      <c r="E1019" t="inlineStr">
        <is>
          <t>VÄSTERVIK</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59196-2024</t>
        </is>
      </c>
      <c r="B1020" s="1" t="n">
        <v>45637.54589120371</v>
      </c>
      <c r="C1020" s="1" t="n">
        <v>45882</v>
      </c>
      <c r="D1020" t="inlineStr">
        <is>
          <t>KALMAR LÄN</t>
        </is>
      </c>
      <c r="E1020" t="inlineStr">
        <is>
          <t>VÄSTERVIK</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944-2024</t>
        </is>
      </c>
      <c r="B1021" s="1" t="n">
        <v>45301.54230324074</v>
      </c>
      <c r="C1021" s="1" t="n">
        <v>45882</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946-2024</t>
        </is>
      </c>
      <c r="B1022" s="1" t="n">
        <v>45301.54412037037</v>
      </c>
      <c r="C1022" s="1" t="n">
        <v>45882</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5982-2023</t>
        </is>
      </c>
      <c r="B1023" s="1" t="n">
        <v>44964.35730324074</v>
      </c>
      <c r="C1023" s="1" t="n">
        <v>45882</v>
      </c>
      <c r="D1023" t="inlineStr">
        <is>
          <t>KALMAR LÄN</t>
        </is>
      </c>
      <c r="E1023" t="inlineStr">
        <is>
          <t>VÄSTERVIK</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39980-2024</t>
        </is>
      </c>
      <c r="B1024" s="1" t="n">
        <v>45553.61098379629</v>
      </c>
      <c r="C1024" s="1" t="n">
        <v>45882</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3467-2025</t>
        </is>
      </c>
      <c r="B1025" s="1" t="n">
        <v>45680.50885416667</v>
      </c>
      <c r="C1025" s="1" t="n">
        <v>45882</v>
      </c>
      <c r="D1025" t="inlineStr">
        <is>
          <t>KALMAR LÄN</t>
        </is>
      </c>
      <c r="E1025" t="inlineStr">
        <is>
          <t>VÄSTERVIK</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3776-2024</t>
        </is>
      </c>
      <c r="B1026" s="1" t="n">
        <v>45321.58569444445</v>
      </c>
      <c r="C1026" s="1" t="n">
        <v>45882</v>
      </c>
      <c r="D1026" t="inlineStr">
        <is>
          <t>KALMAR LÄN</t>
        </is>
      </c>
      <c r="E1026" t="inlineStr">
        <is>
          <t>VÄSTERVIK</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3828-2024</t>
        </is>
      </c>
      <c r="B1027" s="1" t="n">
        <v>45321</v>
      </c>
      <c r="C1027" s="1" t="n">
        <v>45882</v>
      </c>
      <c r="D1027" t="inlineStr">
        <is>
          <t>KALMAR LÄN</t>
        </is>
      </c>
      <c r="E1027" t="inlineStr">
        <is>
          <t>VÄSTERVIK</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13837-2024</t>
        </is>
      </c>
      <c r="B1028" s="1" t="n">
        <v>45391.4450462963</v>
      </c>
      <c r="C1028" s="1" t="n">
        <v>45882</v>
      </c>
      <c r="D1028" t="inlineStr">
        <is>
          <t>KALMAR LÄN</t>
        </is>
      </c>
      <c r="E1028" t="inlineStr">
        <is>
          <t>VÄSTERVIK</t>
        </is>
      </c>
      <c r="F1028" t="inlineStr">
        <is>
          <t>Sveaskog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13839-2024</t>
        </is>
      </c>
      <c r="B1029" s="1" t="n">
        <v>45391.44789351852</v>
      </c>
      <c r="C1029" s="1" t="n">
        <v>45882</v>
      </c>
      <c r="D1029" t="inlineStr">
        <is>
          <t>KALMAR LÄN</t>
        </is>
      </c>
      <c r="E1029" t="inlineStr">
        <is>
          <t>VÄSTERVIK</t>
        </is>
      </c>
      <c r="F1029" t="inlineStr">
        <is>
          <t>Sveaskog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13843-2024</t>
        </is>
      </c>
      <c r="B1030" s="1" t="n">
        <v>45391.45087962963</v>
      </c>
      <c r="C1030" s="1" t="n">
        <v>45882</v>
      </c>
      <c r="D1030" t="inlineStr">
        <is>
          <t>KALMAR LÄN</t>
        </is>
      </c>
      <c r="E1030" t="inlineStr">
        <is>
          <t>VÄSTERVIK</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25714-2023</t>
        </is>
      </c>
      <c r="B1031" s="1" t="n">
        <v>45089</v>
      </c>
      <c r="C1031" s="1" t="n">
        <v>45882</v>
      </c>
      <c r="D1031" t="inlineStr">
        <is>
          <t>KALMAR LÄN</t>
        </is>
      </c>
      <c r="E1031" t="inlineStr">
        <is>
          <t>VÄSTERVIK</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52035-2023</t>
        </is>
      </c>
      <c r="B1032" s="1" t="n">
        <v>45216</v>
      </c>
      <c r="C1032" s="1" t="n">
        <v>45882</v>
      </c>
      <c r="D1032" t="inlineStr">
        <is>
          <t>KALMAR LÄN</t>
        </is>
      </c>
      <c r="E1032" t="inlineStr">
        <is>
          <t>VÄSTERVIK</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49708-2024</t>
        </is>
      </c>
      <c r="B1033" s="1" t="n">
        <v>45596.69846064815</v>
      </c>
      <c r="C1033" s="1" t="n">
        <v>45882</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10803-2025</t>
        </is>
      </c>
      <c r="B1034" s="1" t="n">
        <v>45722.52284722222</v>
      </c>
      <c r="C1034" s="1" t="n">
        <v>45882</v>
      </c>
      <c r="D1034" t="inlineStr">
        <is>
          <t>KALMAR LÄN</t>
        </is>
      </c>
      <c r="E1034" t="inlineStr">
        <is>
          <t>VÄSTERVIK</t>
        </is>
      </c>
      <c r="F1034" t="inlineStr">
        <is>
          <t>Övriga Aktiebolag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54569-2023</t>
        </is>
      </c>
      <c r="B1035" s="1" t="n">
        <v>45233.65532407408</v>
      </c>
      <c r="C1035" s="1" t="n">
        <v>45882</v>
      </c>
      <c r="D1035" t="inlineStr">
        <is>
          <t>KALMAR LÄN</t>
        </is>
      </c>
      <c r="E1035" t="inlineStr">
        <is>
          <t>VÄSTERVIK</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12435-2024</t>
        </is>
      </c>
      <c r="B1036" s="1" t="n">
        <v>45379.4459375</v>
      </c>
      <c r="C1036" s="1" t="n">
        <v>45882</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14529-2022</t>
        </is>
      </c>
      <c r="B1037" s="1" t="n">
        <v>44655</v>
      </c>
      <c r="C1037" s="1" t="n">
        <v>45882</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c r="A1038" t="inlineStr">
        <is>
          <t>A 9792-2023</t>
        </is>
      </c>
      <c r="B1038" s="1" t="n">
        <v>44984.64269675926</v>
      </c>
      <c r="C1038" s="1" t="n">
        <v>45882</v>
      </c>
      <c r="D1038" t="inlineStr">
        <is>
          <t>KALMAR LÄN</t>
        </is>
      </c>
      <c r="E1038" t="inlineStr">
        <is>
          <t>VÄSTERVIK</t>
        </is>
      </c>
      <c r="F1038" t="inlineStr">
        <is>
          <t>Holmen skog AB</t>
        </is>
      </c>
      <c r="G1038" t="n">
        <v>2</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2025-08-13T08:27:31Z</dcterms:created>
  <dcterms:modified xmlns:dcterms="http://purl.org/dc/terms/" xmlns:xsi="http://www.w3.org/2001/XMLSchema-instance" xsi:type="dcterms:W3CDTF">2025-08-13T08:27:32Z</dcterms:modified>
</cp:coreProperties>
</file>