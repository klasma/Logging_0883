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45355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45355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45355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45355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45355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45355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45355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45355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45355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45355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45355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45355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45355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45355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45355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45355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45355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45355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45355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45355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45355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45355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45355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45355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45355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45355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45355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45355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45355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45355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45355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45355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45355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45355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45355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45355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45355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45355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45355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45355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45355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45355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45355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45355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45355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45355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45355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45355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45355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45355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45355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45355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45355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45355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45355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45355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45355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45355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45355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45355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45355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45355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45355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45355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45355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45355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45355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45355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45355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45355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45355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45355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45355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45355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45355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45355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45355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45355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45355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45355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45355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45355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45355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45355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45355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45355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45355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45355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45355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45355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45355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45355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45355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45355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45355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45355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45355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45355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45355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45355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45355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45355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45355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45355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45355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45355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45355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45355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45355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45355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45355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45355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45355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45355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45355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45355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45355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45355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45355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45355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45355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45355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45355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45355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45355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45355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45355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45355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45355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45355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45355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45355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45355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45355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45355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45355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45355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45355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45355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45355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45355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45355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45355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45355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45355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45355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45355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45355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45355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45355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45355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45355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45355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45355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45355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45355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45355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45355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45355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45355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45355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45355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45355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45355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45355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45355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45355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45355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45355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45355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45355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45355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45355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45355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45355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45355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45355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45355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45355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45355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45355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45355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45355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45355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6025-2024</t>
        </is>
      </c>
      <c r="B188" s="1" t="n">
        <v>45336</v>
      </c>
      <c r="C188" s="1" t="n">
        <v>45355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6025-2024 artfynd.xlsx", "A 6025-2024")</f>
        <v/>
      </c>
      <c r="T188">
        <f>HYPERLINK("https://klasma.github.io/Logging_0883/kartor/A 6025-2024 karta.png", "A 6025-2024")</f>
        <v/>
      </c>
      <c r="V188">
        <f>HYPERLINK("https://klasma.github.io/Logging_0883/klagomål/A 6025-2024 FSC-klagomål.docx", "A 6025-2024")</f>
        <v/>
      </c>
      <c r="W188">
        <f>HYPERLINK("https://klasma.github.io/Logging_0883/klagomålsmail/A 6025-2024 FSC-klagomål mail.docx", "A 6025-2024")</f>
        <v/>
      </c>
      <c r="X188">
        <f>HYPERLINK("https://klasma.github.io/Logging_0883/tillsyn/A 6025-2024 tillsynsbegäran.docx", "A 6025-2024")</f>
        <v/>
      </c>
      <c r="Y188">
        <f>HYPERLINK("https://klasma.github.io/Logging_0883/tillsynsmail/A 6025-2024 tillsynsbegäran mail.docx", "A 6025-2024")</f>
        <v/>
      </c>
    </row>
    <row r="189" ht="15" customHeight="1">
      <c r="A189" t="inlineStr">
        <is>
          <t>A 34043-2018</t>
        </is>
      </c>
      <c r="B189" s="1" t="n">
        <v>43315</v>
      </c>
      <c r="C189" s="1" t="n">
        <v>45355</v>
      </c>
      <c r="D189" t="inlineStr">
        <is>
          <t>KALMAR LÄN</t>
        </is>
      </c>
      <c r="E189" t="inlineStr">
        <is>
          <t>VÄSTERVIK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35140-2018</t>
        </is>
      </c>
      <c r="B190" s="1" t="n">
        <v>43322</v>
      </c>
      <c r="C190" s="1" t="n">
        <v>45355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37590-2018</t>
        </is>
      </c>
      <c r="B191" s="1" t="n">
        <v>43334</v>
      </c>
      <c r="C191" s="1" t="n">
        <v>45355</v>
      </c>
      <c r="D191" t="inlineStr">
        <is>
          <t>KALMAR LÄN</t>
        </is>
      </c>
      <c r="E191" t="inlineStr">
        <is>
          <t>VÄSTERVIK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37626-2018</t>
        </is>
      </c>
      <c r="B192" s="1" t="n">
        <v>43334</v>
      </c>
      <c r="C192" s="1" t="n">
        <v>45355</v>
      </c>
      <c r="D192" t="inlineStr">
        <is>
          <t>KALMAR LÄN</t>
        </is>
      </c>
      <c r="E192" t="inlineStr">
        <is>
          <t>VÄSTERVIK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37566-2018</t>
        </is>
      </c>
      <c r="B193" s="1" t="n">
        <v>43334</v>
      </c>
      <c r="C193" s="1" t="n">
        <v>45355</v>
      </c>
      <c r="D193" t="inlineStr">
        <is>
          <t>KALMAR LÄN</t>
        </is>
      </c>
      <c r="E193" t="inlineStr">
        <is>
          <t>VÄSTERVIK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HYPERLINK("https://klasma.github.io/Logging_0883/knärot/A 37566-2018 karta knärot.png", "A 37566-2018")</f>
        <v/>
      </c>
      <c r="V193">
        <f>HYPERLINK("https://klasma.github.io/Logging_0883/klagomål/A 37566-2018 FSC-klagomål.docx", "A 37566-2018")</f>
        <v/>
      </c>
      <c r="W193">
        <f>HYPERLINK("https://klasma.github.io/Logging_0883/klagomålsmail/A 37566-2018 FSC-klagomål mail.docx", "A 37566-2018")</f>
        <v/>
      </c>
      <c r="X193">
        <f>HYPERLINK("https://klasma.github.io/Logging_0883/tillsyn/A 37566-2018 tillsynsbegäran.docx", "A 37566-2018")</f>
        <v/>
      </c>
      <c r="Y193">
        <f>HYPERLINK("https://klasma.github.io/Logging_0883/tillsynsmail/A 37566-2018 tillsynsbegäran mail.docx", "A 37566-2018")</f>
        <v/>
      </c>
    </row>
    <row r="194" ht="15" customHeight="1">
      <c r="A194" t="inlineStr">
        <is>
          <t>A 37595-2018</t>
        </is>
      </c>
      <c r="B194" s="1" t="n">
        <v>43334</v>
      </c>
      <c r="C194" s="1" t="n">
        <v>45355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39681-2018</t>
        </is>
      </c>
      <c r="B195" s="1" t="n">
        <v>43341</v>
      </c>
      <c r="C195" s="1" t="n">
        <v>45355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41343-2018</t>
        </is>
      </c>
      <c r="B196" s="1" t="n">
        <v>43348</v>
      </c>
      <c r="C196" s="1" t="n">
        <v>45355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41339-2018</t>
        </is>
      </c>
      <c r="B197" s="1" t="n">
        <v>43348</v>
      </c>
      <c r="C197" s="1" t="n">
        <v>45355</v>
      </c>
      <c r="D197" t="inlineStr">
        <is>
          <t>KALMAR LÄN</t>
        </is>
      </c>
      <c r="E197" t="inlineStr">
        <is>
          <t>VÄSTERVIK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42283-2018</t>
        </is>
      </c>
      <c r="B198" s="1" t="n">
        <v>43349</v>
      </c>
      <c r="C198" s="1" t="n">
        <v>45355</v>
      </c>
      <c r="D198" t="inlineStr">
        <is>
          <t>KALMAR LÄN</t>
        </is>
      </c>
      <c r="E198" t="inlineStr">
        <is>
          <t>VÄSTERVIK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72680-2018</t>
        </is>
      </c>
      <c r="B199" s="1" t="n">
        <v>43354</v>
      </c>
      <c r="C199" s="1" t="n">
        <v>45355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42579-2018</t>
        </is>
      </c>
      <c r="B200" s="1" t="n">
        <v>43354</v>
      </c>
      <c r="C200" s="1" t="n">
        <v>45355</v>
      </c>
      <c r="D200" t="inlineStr">
        <is>
          <t>KALMAR LÄN</t>
        </is>
      </c>
      <c r="E200" t="inlineStr">
        <is>
          <t>VÄSTERVIK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46363-2018</t>
        </is>
      </c>
      <c r="B201" s="1" t="n">
        <v>43363</v>
      </c>
      <c r="C201" s="1" t="n">
        <v>45355</v>
      </c>
      <c r="D201" t="inlineStr">
        <is>
          <t>KALMAR LÄN</t>
        </is>
      </c>
      <c r="E201" t="inlineStr">
        <is>
          <t>VÄSTERVIK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45954-2018</t>
        </is>
      </c>
      <c r="B202" s="1" t="n">
        <v>43364</v>
      </c>
      <c r="C202" s="1" t="n">
        <v>45355</v>
      </c>
      <c r="D202" t="inlineStr">
        <is>
          <t>KALMAR LÄN</t>
        </is>
      </c>
      <c r="E202" t="inlineStr">
        <is>
          <t>VÄSTERVIK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46355-2018</t>
        </is>
      </c>
      <c r="B203" s="1" t="n">
        <v>43364</v>
      </c>
      <c r="C203" s="1" t="n">
        <v>45355</v>
      </c>
      <c r="D203" t="inlineStr">
        <is>
          <t>KALMAR LÄN</t>
        </is>
      </c>
      <c r="E203" t="inlineStr">
        <is>
          <t>VÄSTERVIK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46250-2018</t>
        </is>
      </c>
      <c r="B204" s="1" t="n">
        <v>43364</v>
      </c>
      <c r="C204" s="1" t="n">
        <v>45355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45871-2018</t>
        </is>
      </c>
      <c r="B205" s="1" t="n">
        <v>43364</v>
      </c>
      <c r="C205" s="1" t="n">
        <v>45355</v>
      </c>
      <c r="D205" t="inlineStr">
        <is>
          <t>KALMAR LÄN</t>
        </is>
      </c>
      <c r="E205" t="inlineStr">
        <is>
          <t>VÄSTERVIK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46247-2018</t>
        </is>
      </c>
      <c r="B206" s="1" t="n">
        <v>43364</v>
      </c>
      <c r="C206" s="1" t="n">
        <v>45355</v>
      </c>
      <c r="D206" t="inlineStr">
        <is>
          <t>KALMAR LÄN</t>
        </is>
      </c>
      <c r="E206" t="inlineStr">
        <is>
          <t>VÄSTERVIK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50802-2018</t>
        </is>
      </c>
      <c r="B207" s="1" t="n">
        <v>43376</v>
      </c>
      <c r="C207" s="1" t="n">
        <v>45355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51206-2018</t>
        </is>
      </c>
      <c r="B208" s="1" t="n">
        <v>43377</v>
      </c>
      <c r="C208" s="1" t="n">
        <v>45355</v>
      </c>
      <c r="D208" t="inlineStr">
        <is>
          <t>KALMAR LÄN</t>
        </is>
      </c>
      <c r="E208" t="inlineStr">
        <is>
          <t>VÄSTERVIK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49744-2018</t>
        </is>
      </c>
      <c r="B209" s="1" t="n">
        <v>43377</v>
      </c>
      <c r="C209" s="1" t="n">
        <v>45355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51198-2018</t>
        </is>
      </c>
      <c r="B210" s="1" t="n">
        <v>43377</v>
      </c>
      <c r="C210" s="1" t="n">
        <v>45355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51109-2018</t>
        </is>
      </c>
      <c r="B211" s="1" t="n">
        <v>43378</v>
      </c>
      <c r="C211" s="1" t="n">
        <v>45355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51978-2018</t>
        </is>
      </c>
      <c r="B212" s="1" t="n">
        <v>43382</v>
      </c>
      <c r="C212" s="1" t="n">
        <v>45355</v>
      </c>
      <c r="D212" t="inlineStr">
        <is>
          <t>KALMAR LÄN</t>
        </is>
      </c>
      <c r="E212" t="inlineStr">
        <is>
          <t>VÄSTERVIK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52411-2018</t>
        </is>
      </c>
      <c r="B213" s="1" t="n">
        <v>43388</v>
      </c>
      <c r="C213" s="1" t="n">
        <v>45355</v>
      </c>
      <c r="D213" t="inlineStr">
        <is>
          <t>KALMAR LÄN</t>
        </is>
      </c>
      <c r="E213" t="inlineStr">
        <is>
          <t>VÄSTERVIK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54305-2018</t>
        </is>
      </c>
      <c r="B214" s="1" t="n">
        <v>43393</v>
      </c>
      <c r="C214" s="1" t="n">
        <v>45355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54601-2018</t>
        </is>
      </c>
      <c r="B215" s="1" t="n">
        <v>43395</v>
      </c>
      <c r="C215" s="1" t="n">
        <v>45355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57753-2018</t>
        </is>
      </c>
      <c r="B216" s="1" t="n">
        <v>43397</v>
      </c>
      <c r="C216" s="1" t="n">
        <v>45355</v>
      </c>
      <c r="D216" t="inlineStr">
        <is>
          <t>KALMAR LÄN</t>
        </is>
      </c>
      <c r="E216" t="inlineStr">
        <is>
          <t>VÄSTERVIK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58654-2018</t>
        </is>
      </c>
      <c r="B217" s="1" t="n">
        <v>43399</v>
      </c>
      <c r="C217" s="1" t="n">
        <v>45355</v>
      </c>
      <c r="D217" t="inlineStr">
        <is>
          <t>KALMAR LÄN</t>
        </is>
      </c>
      <c r="E217" t="inlineStr">
        <is>
          <t>VÄSTERVIK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58980-2018</t>
        </is>
      </c>
      <c r="B218" s="1" t="n">
        <v>43402</v>
      </c>
      <c r="C218" s="1" t="n">
        <v>45355</v>
      </c>
      <c r="D218" t="inlineStr">
        <is>
          <t>KALMAR LÄN</t>
        </is>
      </c>
      <c r="E218" t="inlineStr">
        <is>
          <t>VÄSTERVIK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58989-2018</t>
        </is>
      </c>
      <c r="B219" s="1" t="n">
        <v>43402</v>
      </c>
      <c r="C219" s="1" t="n">
        <v>45355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59797-2018</t>
        </is>
      </c>
      <c r="B220" s="1" t="n">
        <v>43411</v>
      </c>
      <c r="C220" s="1" t="n">
        <v>45355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62110-2018</t>
        </is>
      </c>
      <c r="B221" s="1" t="n">
        <v>43416</v>
      </c>
      <c r="C221" s="1" t="n">
        <v>45355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61218-2018</t>
        </is>
      </c>
      <c r="B222" s="1" t="n">
        <v>43416</v>
      </c>
      <c r="C222" s="1" t="n">
        <v>45355</v>
      </c>
      <c r="D222" t="inlineStr">
        <is>
          <t>KALMAR LÄN</t>
        </is>
      </c>
      <c r="E222" t="inlineStr">
        <is>
          <t>VÄSTERVIK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62121-2018</t>
        </is>
      </c>
      <c r="B223" s="1" t="n">
        <v>43416</v>
      </c>
      <c r="C223" s="1" t="n">
        <v>45355</v>
      </c>
      <c r="D223" t="inlineStr">
        <is>
          <t>KALMAR LÄN</t>
        </is>
      </c>
      <c r="E223" t="inlineStr">
        <is>
          <t>VÄSTERVIK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61206-2018</t>
        </is>
      </c>
      <c r="B224" s="1" t="n">
        <v>43416</v>
      </c>
      <c r="C224" s="1" t="n">
        <v>45355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60989-2018</t>
        </is>
      </c>
      <c r="B225" s="1" t="n">
        <v>43423</v>
      </c>
      <c r="C225" s="1" t="n">
        <v>45355</v>
      </c>
      <c r="D225" t="inlineStr">
        <is>
          <t>KALMAR LÄN</t>
        </is>
      </c>
      <c r="E225" t="inlineStr">
        <is>
          <t>VÄSTERVIK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61633-2018</t>
        </is>
      </c>
      <c r="B226" s="1" t="n">
        <v>43424</v>
      </c>
      <c r="C226" s="1" t="n">
        <v>45355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61635-2018</t>
        </is>
      </c>
      <c r="B227" s="1" t="n">
        <v>43424</v>
      </c>
      <c r="C227" s="1" t="n">
        <v>45355</v>
      </c>
      <c r="D227" t="inlineStr">
        <is>
          <t>KALMAR LÄN</t>
        </is>
      </c>
      <c r="E227" t="inlineStr">
        <is>
          <t>VÄSTERVIK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63491-2018</t>
        </is>
      </c>
      <c r="B228" s="1" t="n">
        <v>43427</v>
      </c>
      <c r="C228" s="1" t="n">
        <v>45355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63526-2018</t>
        </is>
      </c>
      <c r="B229" s="1" t="n">
        <v>43427</v>
      </c>
      <c r="C229" s="1" t="n">
        <v>45355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63483-2018</t>
        </is>
      </c>
      <c r="B230" s="1" t="n">
        <v>43427</v>
      </c>
      <c r="C230" s="1" t="n">
        <v>45355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63880-2018</t>
        </is>
      </c>
      <c r="B231" s="1" t="n">
        <v>43430</v>
      </c>
      <c r="C231" s="1" t="n">
        <v>45355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64880-2018</t>
        </is>
      </c>
      <c r="B232" s="1" t="n">
        <v>43431</v>
      </c>
      <c r="C232" s="1" t="n">
        <v>45355</v>
      </c>
      <c r="D232" t="inlineStr">
        <is>
          <t>KALMAR LÄN</t>
        </is>
      </c>
      <c r="E232" t="inlineStr">
        <is>
          <t>VÄSTERVIK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66040-2018</t>
        </is>
      </c>
      <c r="B233" s="1" t="n">
        <v>43434</v>
      </c>
      <c r="C233" s="1" t="n">
        <v>45355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66375-2018</t>
        </is>
      </c>
      <c r="B234" s="1" t="n">
        <v>43436</v>
      </c>
      <c r="C234" s="1" t="n">
        <v>45355</v>
      </c>
      <c r="D234" t="inlineStr">
        <is>
          <t>KALMAR LÄN</t>
        </is>
      </c>
      <c r="E234" t="inlineStr">
        <is>
          <t>VÄSTERVIK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66438-2018</t>
        </is>
      </c>
      <c r="B235" s="1" t="n">
        <v>43437</v>
      </c>
      <c r="C235" s="1" t="n">
        <v>45355</v>
      </c>
      <c r="D235" t="inlineStr">
        <is>
          <t>KALMAR LÄN</t>
        </is>
      </c>
      <c r="E235" t="inlineStr">
        <is>
          <t>VÄSTERVIK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66790-2018</t>
        </is>
      </c>
      <c r="B236" s="1" t="n">
        <v>43437</v>
      </c>
      <c r="C236" s="1" t="n">
        <v>45355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66706-2018</t>
        </is>
      </c>
      <c r="B237" s="1" t="n">
        <v>43437</v>
      </c>
      <c r="C237" s="1" t="n">
        <v>45355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67016-2018</t>
        </is>
      </c>
      <c r="B238" s="1" t="n">
        <v>43438</v>
      </c>
      <c r="C238" s="1" t="n">
        <v>45355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68457-2018</t>
        </is>
      </c>
      <c r="B239" s="1" t="n">
        <v>43439</v>
      </c>
      <c r="C239" s="1" t="n">
        <v>45355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67244-2018</t>
        </is>
      </c>
      <c r="B240" s="1" t="n">
        <v>43439</v>
      </c>
      <c r="C240" s="1" t="n">
        <v>45355</v>
      </c>
      <c r="D240" t="inlineStr">
        <is>
          <t>KALMAR LÄN</t>
        </is>
      </c>
      <c r="E240" t="inlineStr">
        <is>
          <t>VÄSTERVIK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67444-2018</t>
        </is>
      </c>
      <c r="B241" s="1" t="n">
        <v>43439</v>
      </c>
      <c r="C241" s="1" t="n">
        <v>45355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67471-2018</t>
        </is>
      </c>
      <c r="B242" s="1" t="n">
        <v>43439</v>
      </c>
      <c r="C242" s="1" t="n">
        <v>45355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67908-2018</t>
        </is>
      </c>
      <c r="B243" s="1" t="n">
        <v>43440</v>
      </c>
      <c r="C243" s="1" t="n">
        <v>45355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68734-2018</t>
        </is>
      </c>
      <c r="B244" s="1" t="n">
        <v>43444</v>
      </c>
      <c r="C244" s="1" t="n">
        <v>45355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68859-2018</t>
        </is>
      </c>
      <c r="B245" s="1" t="n">
        <v>43444</v>
      </c>
      <c r="C245" s="1" t="n">
        <v>45355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68866-2018</t>
        </is>
      </c>
      <c r="B246" s="1" t="n">
        <v>43444</v>
      </c>
      <c r="C246" s="1" t="n">
        <v>45355</v>
      </c>
      <c r="D246" t="inlineStr">
        <is>
          <t>KALMAR LÄN</t>
        </is>
      </c>
      <c r="E246" t="inlineStr">
        <is>
          <t>VÄSTERVIK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68863-2018</t>
        </is>
      </c>
      <c r="B247" s="1" t="n">
        <v>43444</v>
      </c>
      <c r="C247" s="1" t="n">
        <v>45355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68862-2018</t>
        </is>
      </c>
      <c r="B248" s="1" t="n">
        <v>43444</v>
      </c>
      <c r="C248" s="1" t="n">
        <v>45355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68731-2018</t>
        </is>
      </c>
      <c r="B249" s="1" t="n">
        <v>43444</v>
      </c>
      <c r="C249" s="1" t="n">
        <v>45355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68860-2018</t>
        </is>
      </c>
      <c r="B250" s="1" t="n">
        <v>43444</v>
      </c>
      <c r="C250" s="1" t="n">
        <v>45355</v>
      </c>
      <c r="D250" t="inlineStr">
        <is>
          <t>KALMAR LÄN</t>
        </is>
      </c>
      <c r="E250" t="inlineStr">
        <is>
          <t>VÄSTERVIK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70500-2018</t>
        </is>
      </c>
      <c r="B251" s="1" t="n">
        <v>43447</v>
      </c>
      <c r="C251" s="1" t="n">
        <v>45355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70503-2018</t>
        </is>
      </c>
      <c r="B252" s="1" t="n">
        <v>43447</v>
      </c>
      <c r="C252" s="1" t="n">
        <v>45355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70103-2018</t>
        </is>
      </c>
      <c r="B253" s="1" t="n">
        <v>43448</v>
      </c>
      <c r="C253" s="1" t="n">
        <v>45355</v>
      </c>
      <c r="D253" t="inlineStr">
        <is>
          <t>KALMAR LÄN</t>
        </is>
      </c>
      <c r="E253" t="inlineStr">
        <is>
          <t>VÄSTERVIK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71713-2018</t>
        </is>
      </c>
      <c r="B254" s="1" t="n">
        <v>43454</v>
      </c>
      <c r="C254" s="1" t="n">
        <v>45355</v>
      </c>
      <c r="D254" t="inlineStr">
        <is>
          <t>KALMAR LÄN</t>
        </is>
      </c>
      <c r="E254" t="inlineStr">
        <is>
          <t>VÄSTERVIK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71690-2018</t>
        </is>
      </c>
      <c r="B255" s="1" t="n">
        <v>43454</v>
      </c>
      <c r="C255" s="1" t="n">
        <v>45355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71645-2018</t>
        </is>
      </c>
      <c r="B256" s="1" t="n">
        <v>43454</v>
      </c>
      <c r="C256" s="1" t="n">
        <v>45355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71657-2018</t>
        </is>
      </c>
      <c r="B257" s="1" t="n">
        <v>43454</v>
      </c>
      <c r="C257" s="1" t="n">
        <v>45355</v>
      </c>
      <c r="D257" t="inlineStr">
        <is>
          <t>KALMAR LÄN</t>
        </is>
      </c>
      <c r="E257" t="inlineStr">
        <is>
          <t>VÄSTERVIK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530-2019</t>
        </is>
      </c>
      <c r="B258" s="1" t="n">
        <v>43455</v>
      </c>
      <c r="C258" s="1" t="n">
        <v>45355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71990-2018</t>
        </is>
      </c>
      <c r="B259" s="1" t="n">
        <v>43455</v>
      </c>
      <c r="C259" s="1" t="n">
        <v>45355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2821-2019</t>
        </is>
      </c>
      <c r="B260" s="1" t="n">
        <v>43469</v>
      </c>
      <c r="C260" s="1" t="n">
        <v>45355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1341-2019</t>
        </is>
      </c>
      <c r="B261" s="1" t="n">
        <v>43473</v>
      </c>
      <c r="C261" s="1" t="n">
        <v>45355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1490-2019</t>
        </is>
      </c>
      <c r="B262" s="1" t="n">
        <v>43473</v>
      </c>
      <c r="C262" s="1" t="n">
        <v>45355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2443-2019</t>
        </is>
      </c>
      <c r="B263" s="1" t="n">
        <v>43476</v>
      </c>
      <c r="C263" s="1" t="n">
        <v>45355</v>
      </c>
      <c r="D263" t="inlineStr">
        <is>
          <t>KALMAR LÄN</t>
        </is>
      </c>
      <c r="E263" t="inlineStr">
        <is>
          <t>VÄSTERVIK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2442-2019</t>
        </is>
      </c>
      <c r="B264" s="1" t="n">
        <v>43476</v>
      </c>
      <c r="C264" s="1" t="n">
        <v>45355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2437-2019</t>
        </is>
      </c>
      <c r="B265" s="1" t="n">
        <v>43476</v>
      </c>
      <c r="C265" s="1" t="n">
        <v>45355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5154-2019</t>
        </is>
      </c>
      <c r="B266" s="1" t="n">
        <v>43488</v>
      </c>
      <c r="C266" s="1" t="n">
        <v>45355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6918-2019</t>
        </is>
      </c>
      <c r="B267" s="1" t="n">
        <v>43488</v>
      </c>
      <c r="C267" s="1" t="n">
        <v>45355</v>
      </c>
      <c r="D267" t="inlineStr">
        <is>
          <t>KALMAR LÄN</t>
        </is>
      </c>
      <c r="E267" t="inlineStr">
        <is>
          <t>VÄSTERVIK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6614-2019</t>
        </is>
      </c>
      <c r="B268" s="1" t="n">
        <v>43488</v>
      </c>
      <c r="C268" s="1" t="n">
        <v>45355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5598-2019</t>
        </is>
      </c>
      <c r="B269" s="1" t="n">
        <v>43489</v>
      </c>
      <c r="C269" s="1" t="n">
        <v>45355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5536-2019</t>
        </is>
      </c>
      <c r="B270" s="1" t="n">
        <v>43489</v>
      </c>
      <c r="C270" s="1" t="n">
        <v>45355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5602-2019</t>
        </is>
      </c>
      <c r="B271" s="1" t="n">
        <v>43489</v>
      </c>
      <c r="C271" s="1" t="n">
        <v>45355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5604-2019</t>
        </is>
      </c>
      <c r="B272" s="1" t="n">
        <v>43489</v>
      </c>
      <c r="C272" s="1" t="n">
        <v>45355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5614-2019</t>
        </is>
      </c>
      <c r="B273" s="1" t="n">
        <v>43489</v>
      </c>
      <c r="C273" s="1" t="n">
        <v>45355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5599-2019</t>
        </is>
      </c>
      <c r="B274" s="1" t="n">
        <v>43489</v>
      </c>
      <c r="C274" s="1" t="n">
        <v>45355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6276-2019</t>
        </is>
      </c>
      <c r="B275" s="1" t="n">
        <v>43493</v>
      </c>
      <c r="C275" s="1" t="n">
        <v>45355</v>
      </c>
      <c r="D275" t="inlineStr">
        <is>
          <t>KALMAR LÄN</t>
        </is>
      </c>
      <c r="E275" t="inlineStr">
        <is>
          <t>VÄSTERVIK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6533-2019</t>
        </is>
      </c>
      <c r="B276" s="1" t="n">
        <v>43494</v>
      </c>
      <c r="C276" s="1" t="n">
        <v>45355</v>
      </c>
      <c r="D276" t="inlineStr">
        <is>
          <t>KALMAR LÄN</t>
        </is>
      </c>
      <c r="E276" t="inlineStr">
        <is>
          <t>VÄSTERVIK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6730-2019</t>
        </is>
      </c>
      <c r="B277" s="1" t="n">
        <v>43494</v>
      </c>
      <c r="C277" s="1" t="n">
        <v>45355</v>
      </c>
      <c r="D277" t="inlineStr">
        <is>
          <t>KALMAR LÄN</t>
        </is>
      </c>
      <c r="E277" t="inlineStr">
        <is>
          <t>VÄSTERVIK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7779-2019</t>
        </is>
      </c>
      <c r="B278" s="1" t="n">
        <v>43494</v>
      </c>
      <c r="C278" s="1" t="n">
        <v>45355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6726-2019</t>
        </is>
      </c>
      <c r="B279" s="1" t="n">
        <v>43494</v>
      </c>
      <c r="C279" s="1" t="n">
        <v>45355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6731-2019</t>
        </is>
      </c>
      <c r="B280" s="1" t="n">
        <v>43494</v>
      </c>
      <c r="C280" s="1" t="n">
        <v>45355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6567-2019</t>
        </is>
      </c>
      <c r="B281" s="1" t="n">
        <v>43494</v>
      </c>
      <c r="C281" s="1" t="n">
        <v>45355</v>
      </c>
      <c r="D281" t="inlineStr">
        <is>
          <t>KALMAR LÄN</t>
        </is>
      </c>
      <c r="E281" t="inlineStr">
        <is>
          <t>VÄSTERVIK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9468-2019</t>
        </is>
      </c>
      <c r="B282" s="1" t="n">
        <v>43507</v>
      </c>
      <c r="C282" s="1" t="n">
        <v>45355</v>
      </c>
      <c r="D282" t="inlineStr">
        <is>
          <t>KALMAR LÄN</t>
        </is>
      </c>
      <c r="E282" t="inlineStr">
        <is>
          <t>VÄSTERVIK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10455-2019</t>
        </is>
      </c>
      <c r="B283" s="1" t="n">
        <v>43511</v>
      </c>
      <c r="C283" s="1" t="n">
        <v>45355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10744-2019</t>
        </is>
      </c>
      <c r="B284" s="1" t="n">
        <v>43514</v>
      </c>
      <c r="C284" s="1" t="n">
        <v>45355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10742-2019</t>
        </is>
      </c>
      <c r="B285" s="1" t="n">
        <v>43514</v>
      </c>
      <c r="C285" s="1" t="n">
        <v>45355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10740-2019</t>
        </is>
      </c>
      <c r="B286" s="1" t="n">
        <v>43514</v>
      </c>
      <c r="C286" s="1" t="n">
        <v>45355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10709-2019</t>
        </is>
      </c>
      <c r="B287" s="1" t="n">
        <v>43514</v>
      </c>
      <c r="C287" s="1" t="n">
        <v>45355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10694-2019</t>
        </is>
      </c>
      <c r="B288" s="1" t="n">
        <v>43514</v>
      </c>
      <c r="C288" s="1" t="n">
        <v>45355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11244-2019</t>
        </is>
      </c>
      <c r="B289" s="1" t="n">
        <v>43516</v>
      </c>
      <c r="C289" s="1" t="n">
        <v>45355</v>
      </c>
      <c r="D289" t="inlineStr">
        <is>
          <t>KALMAR LÄN</t>
        </is>
      </c>
      <c r="E289" t="inlineStr">
        <is>
          <t>VÄSTERVIK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11306-2019</t>
        </is>
      </c>
      <c r="B290" s="1" t="n">
        <v>43516</v>
      </c>
      <c r="C290" s="1" t="n">
        <v>45355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11303-2019</t>
        </is>
      </c>
      <c r="B291" s="1" t="n">
        <v>43516</v>
      </c>
      <c r="C291" s="1" t="n">
        <v>45355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11686-2019</t>
        </is>
      </c>
      <c r="B292" s="1" t="n">
        <v>43518</v>
      </c>
      <c r="C292" s="1" t="n">
        <v>45355</v>
      </c>
      <c r="D292" t="inlineStr">
        <is>
          <t>KALMAR LÄN</t>
        </is>
      </c>
      <c r="E292" t="inlineStr">
        <is>
          <t>VÄSTERVIK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11689-2019</t>
        </is>
      </c>
      <c r="B293" s="1" t="n">
        <v>43518</v>
      </c>
      <c r="C293" s="1" t="n">
        <v>45355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11979-2019</t>
        </is>
      </c>
      <c r="B294" s="1" t="n">
        <v>43521</v>
      </c>
      <c r="C294" s="1" t="n">
        <v>45355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12117-2019</t>
        </is>
      </c>
      <c r="B295" s="1" t="n">
        <v>43521</v>
      </c>
      <c r="C295" s="1" t="n">
        <v>45355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12113-2019</t>
        </is>
      </c>
      <c r="B296" s="1" t="n">
        <v>43521</v>
      </c>
      <c r="C296" s="1" t="n">
        <v>45355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12111-2019</t>
        </is>
      </c>
      <c r="B297" s="1" t="n">
        <v>43521</v>
      </c>
      <c r="C297" s="1" t="n">
        <v>45355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12143-2019</t>
        </is>
      </c>
      <c r="B298" s="1" t="n">
        <v>43522</v>
      </c>
      <c r="C298" s="1" t="n">
        <v>45355</v>
      </c>
      <c r="D298" t="inlineStr">
        <is>
          <t>KALMAR LÄN</t>
        </is>
      </c>
      <c r="E298" t="inlineStr">
        <is>
          <t>VÄSTERVIK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12833-2019</t>
        </is>
      </c>
      <c r="B299" s="1" t="n">
        <v>43525</v>
      </c>
      <c r="C299" s="1" t="n">
        <v>45355</v>
      </c>
      <c r="D299" t="inlineStr">
        <is>
          <t>KALMAR LÄN</t>
        </is>
      </c>
      <c r="E299" t="inlineStr">
        <is>
          <t>VÄSTERVIK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13480-2019</t>
        </is>
      </c>
      <c r="B300" s="1" t="n">
        <v>43529</v>
      </c>
      <c r="C300" s="1" t="n">
        <v>45355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13473-2019</t>
        </is>
      </c>
      <c r="B301" s="1" t="n">
        <v>43529</v>
      </c>
      <c r="C301" s="1" t="n">
        <v>45355</v>
      </c>
      <c r="D301" t="inlineStr">
        <is>
          <t>KALMAR LÄN</t>
        </is>
      </c>
      <c r="E301" t="inlineStr">
        <is>
          <t>VÄSTERVIK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13903-2019</t>
        </is>
      </c>
      <c r="B302" s="1" t="n">
        <v>43531</v>
      </c>
      <c r="C302" s="1" t="n">
        <v>45355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13902-2019</t>
        </is>
      </c>
      <c r="B303" s="1" t="n">
        <v>43531</v>
      </c>
      <c r="C303" s="1" t="n">
        <v>45355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14149-2019</t>
        </is>
      </c>
      <c r="B304" s="1" t="n">
        <v>43533</v>
      </c>
      <c r="C304" s="1" t="n">
        <v>45355</v>
      </c>
      <c r="D304" t="inlineStr">
        <is>
          <t>KALMAR LÄN</t>
        </is>
      </c>
      <c r="E304" t="inlineStr">
        <is>
          <t>VÄSTERVIK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14895-2019</t>
        </is>
      </c>
      <c r="B305" s="1" t="n">
        <v>43537</v>
      </c>
      <c r="C305" s="1" t="n">
        <v>45355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15123-2019</t>
        </is>
      </c>
      <c r="B306" s="1" t="n">
        <v>43538</v>
      </c>
      <c r="C306" s="1" t="n">
        <v>45355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15136-2019</t>
        </is>
      </c>
      <c r="B307" s="1" t="n">
        <v>43539</v>
      </c>
      <c r="C307" s="1" t="n">
        <v>45355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15281-2019</t>
        </is>
      </c>
      <c r="B308" s="1" t="n">
        <v>43539</v>
      </c>
      <c r="C308" s="1" t="n">
        <v>45355</v>
      </c>
      <c r="D308" t="inlineStr">
        <is>
          <t>KALMAR LÄN</t>
        </is>
      </c>
      <c r="E308" t="inlineStr">
        <is>
          <t>VÄSTERVIK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15806-2019</t>
        </is>
      </c>
      <c r="B309" s="1" t="n">
        <v>43543</v>
      </c>
      <c r="C309" s="1" t="n">
        <v>45355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15872-2019</t>
        </is>
      </c>
      <c r="B310" s="1" t="n">
        <v>43543</v>
      </c>
      <c r="C310" s="1" t="n">
        <v>45355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16730-2019</t>
        </is>
      </c>
      <c r="B311" s="1" t="n">
        <v>43549</v>
      </c>
      <c r="C311" s="1" t="n">
        <v>45355</v>
      </c>
      <c r="D311" t="inlineStr">
        <is>
          <t>KALMAR LÄN</t>
        </is>
      </c>
      <c r="E311" t="inlineStr">
        <is>
          <t>VÄSTERVIK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17291-2019</t>
        </is>
      </c>
      <c r="B312" s="1" t="n">
        <v>43550</v>
      </c>
      <c r="C312" s="1" t="n">
        <v>45355</v>
      </c>
      <c r="D312" t="inlineStr">
        <is>
          <t>KALMAR LÄN</t>
        </is>
      </c>
      <c r="E312" t="inlineStr">
        <is>
          <t>VÄSTERVIK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17286-2019</t>
        </is>
      </c>
      <c r="B313" s="1" t="n">
        <v>43550</v>
      </c>
      <c r="C313" s="1" t="n">
        <v>45355</v>
      </c>
      <c r="D313" t="inlineStr">
        <is>
          <t>KALMAR LÄN</t>
        </is>
      </c>
      <c r="E313" t="inlineStr">
        <is>
          <t>VÄSTERVIK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17120-2019</t>
        </is>
      </c>
      <c r="B314" s="1" t="n">
        <v>43551</v>
      </c>
      <c r="C314" s="1" t="n">
        <v>45355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17155-2019</t>
        </is>
      </c>
      <c r="B315" s="1" t="n">
        <v>43551</v>
      </c>
      <c r="C315" s="1" t="n">
        <v>45355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17794-2019</t>
        </is>
      </c>
      <c r="B316" s="1" t="n">
        <v>43556</v>
      </c>
      <c r="C316" s="1" t="n">
        <v>45355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45355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45355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45355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45355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45355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45355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45355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45355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45355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45355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45355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45355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45355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45355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45355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45355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45355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45355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45355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45355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45355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45355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45355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45355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45355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45355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45355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45355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45355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45355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45355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45355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45355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45355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45355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45355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45355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45355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45355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45355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45355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45355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45355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45355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45355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45355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45355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45355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45355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45355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45355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45355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45355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45355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45355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45355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45355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45355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45355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45355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45355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45355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45355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45355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45355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45355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45355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45355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45355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45355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45355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45355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45355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45355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45355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45355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45355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45355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45355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45355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45355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45355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45355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45355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45355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45355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45355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45355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45355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45355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45355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45355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45355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45355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45355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45355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45355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45355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45355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45355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45355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45355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45355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45355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45355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45355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45355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45355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45355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45355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45355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45355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45355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45355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45355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45355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45355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45355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45355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45355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45355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45355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45355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45355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45355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45355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45355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45355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45355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45355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45355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45355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45355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45355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45355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45355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45355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45355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45355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45355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45355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45355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45355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45355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45355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45355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45355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45355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45355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45355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45355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45355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45355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45355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45355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45355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45355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45355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45355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45355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45355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45355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45355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45355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45355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45355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45355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45355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45355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45355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45355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45355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45355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45355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45355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45355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45355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45355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45355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45355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45355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45355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45355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45355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45355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45355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45355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45355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45355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45355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45355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45355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45355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45355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45355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45355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45355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45355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45355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45355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45355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45355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45355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45355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45355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45355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45355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45355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45355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45355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45355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45537-2020</t>
        </is>
      </c>
      <c r="B528" s="1" t="n">
        <v>44089</v>
      </c>
      <c r="C528" s="1" t="n">
        <v>45355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45355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45355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45355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45355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45355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45355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45355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45355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45355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45355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45355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45355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57065-2020</t>
        </is>
      </c>
      <c r="B541" s="1" t="n">
        <v>44138</v>
      </c>
      <c r="C541" s="1" t="n">
        <v>45355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45355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45355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45355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45355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45355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45355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45355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45355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45355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45355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45355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45355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45355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45355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45355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45355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45355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45355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45355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45355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45355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45355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45355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45355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45355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45355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45355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45355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45355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45355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45355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45355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45355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45355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45355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45355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45355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45355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45355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45355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45355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45355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45355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45355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45355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45355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45355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45355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45355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45355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45355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45355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45355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45355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45355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45355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45355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45355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45355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45355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45355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45355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45355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45355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45355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45355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45355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45355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45355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45355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45355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45355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45355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45355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45355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45355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45355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45355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45355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45355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45355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45355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45355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45355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45355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45355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45355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45355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45355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45355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45355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45355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45355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45355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45355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45355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45355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45355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45355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45355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45355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45355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45355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45355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45355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45355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45355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45355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45355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45355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45355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45355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45355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45355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45355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45355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45355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45355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45355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45355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45355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45355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45355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45355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45355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45355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45355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45355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45355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45355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45355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45355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45355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45355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45355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45355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45355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45355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45355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45355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45355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45355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45355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45355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45355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45355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45355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45355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45355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45355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45355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44668-2021</t>
        </is>
      </c>
      <c r="B693" s="1" t="n">
        <v>44438</v>
      </c>
      <c r="C693" s="1" t="n">
        <v>45355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45355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45355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45355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45355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45355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45355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45355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45355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45355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45355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45355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45355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45355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45355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45355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45355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45355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45355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45355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45355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45355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45355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45355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45355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45355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45355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45355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45355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45355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45355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45355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45355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45355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45355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45355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45355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45355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45355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45355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45355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45355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45355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45355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45355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45355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45355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45355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45355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45355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45355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45355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45355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45355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45355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45355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45355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45355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45355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45355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45355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45355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45355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45355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45355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45355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45355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45355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45355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45355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45355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45355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45355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45355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45355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45355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45355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45355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45355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45355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45355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45355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11609-2022</t>
        </is>
      </c>
      <c r="B775" s="1" t="n">
        <v>44631</v>
      </c>
      <c r="C775" s="1" t="n">
        <v>45355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11988-2022</t>
        </is>
      </c>
      <c r="B776" s="1" t="n">
        <v>44635</v>
      </c>
      <c r="C776" s="1" t="n">
        <v>45355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12652-2022</t>
        </is>
      </c>
      <c r="B777" s="1" t="n">
        <v>44641</v>
      </c>
      <c r="C777" s="1" t="n">
        <v>45355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13023-2022</t>
        </is>
      </c>
      <c r="B778" s="1" t="n">
        <v>44643</v>
      </c>
      <c r="C778" s="1" t="n">
        <v>45355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13375-2022</t>
        </is>
      </c>
      <c r="B779" s="1" t="n">
        <v>44645</v>
      </c>
      <c r="C779" s="1" t="n">
        <v>45355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13491-2022</t>
        </is>
      </c>
      <c r="B780" s="1" t="n">
        <v>44646</v>
      </c>
      <c r="C780" s="1" t="n">
        <v>45355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13489-2022</t>
        </is>
      </c>
      <c r="B781" s="1" t="n">
        <v>44646</v>
      </c>
      <c r="C781" s="1" t="n">
        <v>45355</v>
      </c>
      <c r="D781" t="inlineStr">
        <is>
          <t>KALMAR LÄN</t>
        </is>
      </c>
      <c r="E781" t="inlineStr">
        <is>
          <t>VÄSTERVIK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13490-2022</t>
        </is>
      </c>
      <c r="B782" s="1" t="n">
        <v>44646</v>
      </c>
      <c r="C782" s="1" t="n">
        <v>45355</v>
      </c>
      <c r="D782" t="inlineStr">
        <is>
          <t>KALMAR LÄN</t>
        </is>
      </c>
      <c r="E782" t="inlineStr">
        <is>
          <t>VÄSTERVIK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13765-2022</t>
        </is>
      </c>
      <c r="B783" s="1" t="n">
        <v>44649</v>
      </c>
      <c r="C783" s="1" t="n">
        <v>45355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14038-2022</t>
        </is>
      </c>
      <c r="B784" s="1" t="n">
        <v>44650</v>
      </c>
      <c r="C784" s="1" t="n">
        <v>45355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14212-2022</t>
        </is>
      </c>
      <c r="B785" s="1" t="n">
        <v>44651</v>
      </c>
      <c r="C785" s="1" t="n">
        <v>45355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14529-2022</t>
        </is>
      </c>
      <c r="B786" s="1" t="n">
        <v>44655</v>
      </c>
      <c r="C786" s="1" t="n">
        <v>45355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15379-2022</t>
        </is>
      </c>
      <c r="B787" s="1" t="n">
        <v>44659</v>
      </c>
      <c r="C787" s="1" t="n">
        <v>45355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16207-2022</t>
        </is>
      </c>
      <c r="B788" s="1" t="n">
        <v>44669</v>
      </c>
      <c r="C788" s="1" t="n">
        <v>45355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16587-2022</t>
        </is>
      </c>
      <c r="B789" s="1" t="n">
        <v>44672</v>
      </c>
      <c r="C789" s="1" t="n">
        <v>45355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16586-2022</t>
        </is>
      </c>
      <c r="B790" s="1" t="n">
        <v>44672</v>
      </c>
      <c r="C790" s="1" t="n">
        <v>45355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16765-2022</t>
        </is>
      </c>
      <c r="B791" s="1" t="n">
        <v>44673</v>
      </c>
      <c r="C791" s="1" t="n">
        <v>45355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17953-2022</t>
        </is>
      </c>
      <c r="B792" s="1" t="n">
        <v>44683</v>
      </c>
      <c r="C792" s="1" t="n">
        <v>45355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17954-2022</t>
        </is>
      </c>
      <c r="B793" s="1" t="n">
        <v>44683</v>
      </c>
      <c r="C793" s="1" t="n">
        <v>45355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19648-2022</t>
        </is>
      </c>
      <c r="B794" s="1" t="n">
        <v>44694</v>
      </c>
      <c r="C794" s="1" t="n">
        <v>45355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19656-2022</t>
        </is>
      </c>
      <c r="B795" s="1" t="n">
        <v>44694</v>
      </c>
      <c r="C795" s="1" t="n">
        <v>45355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19653-2022</t>
        </is>
      </c>
      <c r="B796" s="1" t="n">
        <v>44694</v>
      </c>
      <c r="C796" s="1" t="n">
        <v>45355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23167-2022</t>
        </is>
      </c>
      <c r="B797" s="1" t="n">
        <v>44719</v>
      </c>
      <c r="C797" s="1" t="n">
        <v>45355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23411-2022</t>
        </is>
      </c>
      <c r="B798" s="1" t="n">
        <v>44720</v>
      </c>
      <c r="C798" s="1" t="n">
        <v>45355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23589-2022</t>
        </is>
      </c>
      <c r="B799" s="1" t="n">
        <v>44721</v>
      </c>
      <c r="C799" s="1" t="n">
        <v>45355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23743-2022</t>
        </is>
      </c>
      <c r="B800" s="1" t="n">
        <v>44722</v>
      </c>
      <c r="C800" s="1" t="n">
        <v>45355</v>
      </c>
      <c r="D800" t="inlineStr">
        <is>
          <t>KALMAR LÄN</t>
        </is>
      </c>
      <c r="E800" t="inlineStr">
        <is>
          <t>VÄSTERVIK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24040-2022</t>
        </is>
      </c>
      <c r="B801" s="1" t="n">
        <v>44724</v>
      </c>
      <c r="C801" s="1" t="n">
        <v>45355</v>
      </c>
      <c r="D801" t="inlineStr">
        <is>
          <t>KALMAR LÄN</t>
        </is>
      </c>
      <c r="E801" t="inlineStr">
        <is>
          <t>VÄSTERVIK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24830-2022</t>
        </is>
      </c>
      <c r="B802" s="1" t="n">
        <v>44728</v>
      </c>
      <c r="C802" s="1" t="n">
        <v>45355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24829-2022</t>
        </is>
      </c>
      <c r="B803" s="1" t="n">
        <v>44728</v>
      </c>
      <c r="C803" s="1" t="n">
        <v>45355</v>
      </c>
      <c r="D803" t="inlineStr">
        <is>
          <t>KALMAR LÄN</t>
        </is>
      </c>
      <c r="E803" t="inlineStr">
        <is>
          <t>VÄSTERVIK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26059-2022</t>
        </is>
      </c>
      <c r="B804" s="1" t="n">
        <v>44734</v>
      </c>
      <c r="C804" s="1" t="n">
        <v>45355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27552-2022</t>
        </is>
      </c>
      <c r="B805" s="1" t="n">
        <v>44742</v>
      </c>
      <c r="C805" s="1" t="n">
        <v>45355</v>
      </c>
      <c r="D805" t="inlineStr">
        <is>
          <t>KALMAR LÄN</t>
        </is>
      </c>
      <c r="E805" t="inlineStr">
        <is>
          <t>VÄSTERVIK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28426-2022</t>
        </is>
      </c>
      <c r="B806" s="1" t="n">
        <v>44747</v>
      </c>
      <c r="C806" s="1" t="n">
        <v>45355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28588-2022</t>
        </is>
      </c>
      <c r="B807" s="1" t="n">
        <v>44748</v>
      </c>
      <c r="C807" s="1" t="n">
        <v>45355</v>
      </c>
      <c r="D807" t="inlineStr">
        <is>
          <t>KALMAR LÄN</t>
        </is>
      </c>
      <c r="E807" t="inlineStr">
        <is>
          <t>VÄSTERVIK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28679-2022</t>
        </is>
      </c>
      <c r="B808" s="1" t="n">
        <v>44748</v>
      </c>
      <c r="C808" s="1" t="n">
        <v>45355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28798-2022</t>
        </is>
      </c>
      <c r="B809" s="1" t="n">
        <v>44749</v>
      </c>
      <c r="C809" s="1" t="n">
        <v>45355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29816-2022</t>
        </is>
      </c>
      <c r="B810" s="1" t="n">
        <v>44755</v>
      </c>
      <c r="C810" s="1" t="n">
        <v>45355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29909-2022</t>
        </is>
      </c>
      <c r="B811" s="1" t="n">
        <v>44756</v>
      </c>
      <c r="C811" s="1" t="n">
        <v>45355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29952-2022</t>
        </is>
      </c>
      <c r="B812" s="1" t="n">
        <v>44756</v>
      </c>
      <c r="C812" s="1" t="n">
        <v>45355</v>
      </c>
      <c r="D812" t="inlineStr">
        <is>
          <t>KALMAR LÄN</t>
        </is>
      </c>
      <c r="E812" t="inlineStr">
        <is>
          <t>VÄSTERVIK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30186-2022</t>
        </is>
      </c>
      <c r="B813" s="1" t="n">
        <v>44757</v>
      </c>
      <c r="C813" s="1" t="n">
        <v>45355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31825-2022</t>
        </is>
      </c>
      <c r="B814" s="1" t="n">
        <v>44776</v>
      </c>
      <c r="C814" s="1" t="n">
        <v>45355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32104-2022</t>
        </is>
      </c>
      <c r="B815" s="1" t="n">
        <v>44778</v>
      </c>
      <c r="C815" s="1" t="n">
        <v>45355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32702-2022</t>
        </is>
      </c>
      <c r="B816" s="1" t="n">
        <v>44783</v>
      </c>
      <c r="C816" s="1" t="n">
        <v>45355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32763-2022</t>
        </is>
      </c>
      <c r="B817" s="1" t="n">
        <v>44783</v>
      </c>
      <c r="C817" s="1" t="n">
        <v>45355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32764-2022</t>
        </is>
      </c>
      <c r="B818" s="1" t="n">
        <v>44783</v>
      </c>
      <c r="C818" s="1" t="n">
        <v>45355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32934-2022</t>
        </is>
      </c>
      <c r="B819" s="1" t="n">
        <v>44784</v>
      </c>
      <c r="C819" s="1" t="n">
        <v>45355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33206-2022</t>
        </is>
      </c>
      <c r="B820" s="1" t="n">
        <v>44785</v>
      </c>
      <c r="C820" s="1" t="n">
        <v>45355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33204-2022</t>
        </is>
      </c>
      <c r="B821" s="1" t="n">
        <v>44785</v>
      </c>
      <c r="C821" s="1" t="n">
        <v>45355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33208-2022</t>
        </is>
      </c>
      <c r="B822" s="1" t="n">
        <v>44785</v>
      </c>
      <c r="C822" s="1" t="n">
        <v>45355</v>
      </c>
      <c r="D822" t="inlineStr">
        <is>
          <t>KALMAR LÄN</t>
        </is>
      </c>
      <c r="E822" t="inlineStr">
        <is>
          <t>VÄSTERVIK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33210-2022</t>
        </is>
      </c>
      <c r="B823" s="1" t="n">
        <v>44785</v>
      </c>
      <c r="C823" s="1" t="n">
        <v>45355</v>
      </c>
      <c r="D823" t="inlineStr">
        <is>
          <t>KALMAR LÄN</t>
        </is>
      </c>
      <c r="E823" t="inlineStr">
        <is>
          <t>VÄSTERVIK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33207-2022</t>
        </is>
      </c>
      <c r="B824" s="1" t="n">
        <v>44785</v>
      </c>
      <c r="C824" s="1" t="n">
        <v>45355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33211-2022</t>
        </is>
      </c>
      <c r="B825" s="1" t="n">
        <v>44785</v>
      </c>
      <c r="C825" s="1" t="n">
        <v>45355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34241-2022</t>
        </is>
      </c>
      <c r="B826" s="1" t="n">
        <v>44791</v>
      </c>
      <c r="C826" s="1" t="n">
        <v>45355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34644-2022</t>
        </is>
      </c>
      <c r="B827" s="1" t="n">
        <v>44795</v>
      </c>
      <c r="C827" s="1" t="n">
        <v>45355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34675-2022</t>
        </is>
      </c>
      <c r="B828" s="1" t="n">
        <v>44795</v>
      </c>
      <c r="C828" s="1" t="n">
        <v>45355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34672-2022</t>
        </is>
      </c>
      <c r="B829" s="1" t="n">
        <v>44795</v>
      </c>
      <c r="C829" s="1" t="n">
        <v>45355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34836-2022</t>
        </is>
      </c>
      <c r="B830" s="1" t="n">
        <v>44796</v>
      </c>
      <c r="C830" s="1" t="n">
        <v>45355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35417-2022</t>
        </is>
      </c>
      <c r="B831" s="1" t="n">
        <v>44798</v>
      </c>
      <c r="C831" s="1" t="n">
        <v>45355</v>
      </c>
      <c r="D831" t="inlineStr">
        <is>
          <t>KALMAR LÄN</t>
        </is>
      </c>
      <c r="E831" t="inlineStr">
        <is>
          <t>VÄSTERVIK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37936-2022</t>
        </is>
      </c>
      <c r="B832" s="1" t="n">
        <v>44811</v>
      </c>
      <c r="C832" s="1" t="n">
        <v>45355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38069-2022</t>
        </is>
      </c>
      <c r="B833" s="1" t="n">
        <v>44811</v>
      </c>
      <c r="C833" s="1" t="n">
        <v>45355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38399-2022</t>
        </is>
      </c>
      <c r="B834" s="1" t="n">
        <v>44812</v>
      </c>
      <c r="C834" s="1" t="n">
        <v>45355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40062-2022</t>
        </is>
      </c>
      <c r="B835" s="1" t="n">
        <v>44820</v>
      </c>
      <c r="C835" s="1" t="n">
        <v>45355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40050-2022</t>
        </is>
      </c>
      <c r="B836" s="1" t="n">
        <v>44820</v>
      </c>
      <c r="C836" s="1" t="n">
        <v>45355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40925-2022</t>
        </is>
      </c>
      <c r="B837" s="1" t="n">
        <v>44825</v>
      </c>
      <c r="C837" s="1" t="n">
        <v>45355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40920-2022</t>
        </is>
      </c>
      <c r="B838" s="1" t="n">
        <v>44825</v>
      </c>
      <c r="C838" s="1" t="n">
        <v>45355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42122-2022</t>
        </is>
      </c>
      <c r="B839" s="1" t="n">
        <v>44830</v>
      </c>
      <c r="C839" s="1" t="n">
        <v>45355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42130-2022</t>
        </is>
      </c>
      <c r="B840" s="1" t="n">
        <v>44830</v>
      </c>
      <c r="C840" s="1" t="n">
        <v>45355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42119-2022</t>
        </is>
      </c>
      <c r="B841" s="1" t="n">
        <v>44830</v>
      </c>
      <c r="C841" s="1" t="n">
        <v>45355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43965-2022</t>
        </is>
      </c>
      <c r="B842" s="1" t="n">
        <v>44838</v>
      </c>
      <c r="C842" s="1" t="n">
        <v>45355</v>
      </c>
      <c r="D842" t="inlineStr">
        <is>
          <t>KALMAR LÄN</t>
        </is>
      </c>
      <c r="E842" t="inlineStr">
        <is>
          <t>VÄSTERVIK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45721-2022</t>
        </is>
      </c>
      <c r="B843" s="1" t="n">
        <v>44845</v>
      </c>
      <c r="C843" s="1" t="n">
        <v>45355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45806-2022</t>
        </is>
      </c>
      <c r="B844" s="1" t="n">
        <v>44846</v>
      </c>
      <c r="C844" s="1" t="n">
        <v>45355</v>
      </c>
      <c r="D844" t="inlineStr">
        <is>
          <t>KALMAR LÄN</t>
        </is>
      </c>
      <c r="E844" t="inlineStr">
        <is>
          <t>VÄSTERVIK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46018-2022</t>
        </is>
      </c>
      <c r="B845" s="1" t="n">
        <v>44846</v>
      </c>
      <c r="C845" s="1" t="n">
        <v>45355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46267-2022</t>
        </is>
      </c>
      <c r="B846" s="1" t="n">
        <v>44847</v>
      </c>
      <c r="C846" s="1" t="n">
        <v>45355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46135-2022</t>
        </is>
      </c>
      <c r="B847" s="1" t="n">
        <v>44847</v>
      </c>
      <c r="C847" s="1" t="n">
        <v>45355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46354-2022</t>
        </is>
      </c>
      <c r="B848" s="1" t="n">
        <v>44848</v>
      </c>
      <c r="C848" s="1" t="n">
        <v>45355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46527-2022</t>
        </is>
      </c>
      <c r="B849" s="1" t="n">
        <v>44848</v>
      </c>
      <c r="C849" s="1" t="n">
        <v>45355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46560-2022</t>
        </is>
      </c>
      <c r="B850" s="1" t="n">
        <v>44848</v>
      </c>
      <c r="C850" s="1" t="n">
        <v>45355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46561-2022</t>
        </is>
      </c>
      <c r="B851" s="1" t="n">
        <v>44848</v>
      </c>
      <c r="C851" s="1" t="n">
        <v>45355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46596-2022</t>
        </is>
      </c>
      <c r="B852" s="1" t="n">
        <v>44848</v>
      </c>
      <c r="C852" s="1" t="n">
        <v>45355</v>
      </c>
      <c r="D852" t="inlineStr">
        <is>
          <t>KALMAR LÄN</t>
        </is>
      </c>
      <c r="E852" t="inlineStr">
        <is>
          <t>VÄSTERVIK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46562-2022</t>
        </is>
      </c>
      <c r="B853" s="1" t="n">
        <v>44848</v>
      </c>
      <c r="C853" s="1" t="n">
        <v>45355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46781-2022</t>
        </is>
      </c>
      <c r="B854" s="1" t="n">
        <v>44851</v>
      </c>
      <c r="C854" s="1" t="n">
        <v>45355</v>
      </c>
      <c r="D854" t="inlineStr">
        <is>
          <t>KALMAR LÄN</t>
        </is>
      </c>
      <c r="E854" t="inlineStr">
        <is>
          <t>VÄSTERVIK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46783-2022</t>
        </is>
      </c>
      <c r="B855" s="1" t="n">
        <v>44851</v>
      </c>
      <c r="C855" s="1" t="n">
        <v>45355</v>
      </c>
      <c r="D855" t="inlineStr">
        <is>
          <t>KALMAR LÄN</t>
        </is>
      </c>
      <c r="E855" t="inlineStr">
        <is>
          <t>VÄSTERVIK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46790-2022</t>
        </is>
      </c>
      <c r="B856" s="1" t="n">
        <v>44851</v>
      </c>
      <c r="C856" s="1" t="n">
        <v>45355</v>
      </c>
      <c r="D856" t="inlineStr">
        <is>
          <t>KALMAR LÄN</t>
        </is>
      </c>
      <c r="E856" t="inlineStr">
        <is>
          <t>VÄSTERVIK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47323-2022</t>
        </is>
      </c>
      <c r="B857" s="1" t="n">
        <v>44853</v>
      </c>
      <c r="C857" s="1" t="n">
        <v>45355</v>
      </c>
      <c r="D857" t="inlineStr">
        <is>
          <t>KALMAR LÄN</t>
        </is>
      </c>
      <c r="E857" t="inlineStr">
        <is>
          <t>VÄSTERVIK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47325-2022</t>
        </is>
      </c>
      <c r="B858" s="1" t="n">
        <v>44853</v>
      </c>
      <c r="C858" s="1" t="n">
        <v>45355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47705-2022</t>
        </is>
      </c>
      <c r="B859" s="1" t="n">
        <v>44854</v>
      </c>
      <c r="C859" s="1" t="n">
        <v>45355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49276-2022</t>
        </is>
      </c>
      <c r="B860" s="1" t="n">
        <v>44858</v>
      </c>
      <c r="C860" s="1" t="n">
        <v>45355</v>
      </c>
      <c r="D860" t="inlineStr">
        <is>
          <t>KALMAR LÄN</t>
        </is>
      </c>
      <c r="E860" t="inlineStr">
        <is>
          <t>VÄSTERVIK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48553-2022</t>
        </is>
      </c>
      <c r="B861" s="1" t="n">
        <v>44859</v>
      </c>
      <c r="C861" s="1" t="n">
        <v>45355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48888-2022</t>
        </is>
      </c>
      <c r="B862" s="1" t="n">
        <v>44859</v>
      </c>
      <c r="C862" s="1" t="n">
        <v>45355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49205-2022</t>
        </is>
      </c>
      <c r="B863" s="1" t="n">
        <v>44860</v>
      </c>
      <c r="C863" s="1" t="n">
        <v>45355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50253-2022</t>
        </is>
      </c>
      <c r="B864" s="1" t="n">
        <v>44860</v>
      </c>
      <c r="C864" s="1" t="n">
        <v>45355</v>
      </c>
      <c r="D864" t="inlineStr">
        <is>
          <t>KALMAR LÄN</t>
        </is>
      </c>
      <c r="E864" t="inlineStr">
        <is>
          <t>VÄSTERVIK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49286-2022</t>
        </is>
      </c>
      <c r="B865" s="1" t="n">
        <v>44861</v>
      </c>
      <c r="C865" s="1" t="n">
        <v>45355</v>
      </c>
      <c r="D865" t="inlineStr">
        <is>
          <t>KALMAR LÄN</t>
        </is>
      </c>
      <c r="E865" t="inlineStr">
        <is>
          <t>VÄSTERVIK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49377-2022</t>
        </is>
      </c>
      <c r="B866" s="1" t="n">
        <v>44861</v>
      </c>
      <c r="C866" s="1" t="n">
        <v>45355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49916-2022</t>
        </is>
      </c>
      <c r="B867" s="1" t="n">
        <v>44865</v>
      </c>
      <c r="C867" s="1" t="n">
        <v>45355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50691-2022</t>
        </is>
      </c>
      <c r="B868" s="1" t="n">
        <v>44867</v>
      </c>
      <c r="C868" s="1" t="n">
        <v>45355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50911-2022</t>
        </is>
      </c>
      <c r="B869" s="1" t="n">
        <v>44867</v>
      </c>
      <c r="C869" s="1" t="n">
        <v>45355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50990-2022</t>
        </is>
      </c>
      <c r="B870" s="1" t="n">
        <v>44867</v>
      </c>
      <c r="C870" s="1" t="n">
        <v>45355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52289-2022</t>
        </is>
      </c>
      <c r="B871" s="1" t="n">
        <v>44873</v>
      </c>
      <c r="C871" s="1" t="n">
        <v>45355</v>
      </c>
      <c r="D871" t="inlineStr">
        <is>
          <t>KALMAR LÄN</t>
        </is>
      </c>
      <c r="E871" t="inlineStr">
        <is>
          <t>VÄSTERVIK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53108-2022</t>
        </is>
      </c>
      <c r="B872" s="1" t="n">
        <v>44876</v>
      </c>
      <c r="C872" s="1" t="n">
        <v>45355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53333-2022</t>
        </is>
      </c>
      <c r="B873" s="1" t="n">
        <v>44879</v>
      </c>
      <c r="C873" s="1" t="n">
        <v>45355</v>
      </c>
      <c r="D873" t="inlineStr">
        <is>
          <t>KALMAR LÄN</t>
        </is>
      </c>
      <c r="E873" t="inlineStr">
        <is>
          <t>VÄSTERVIK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54190-2022</t>
        </is>
      </c>
      <c r="B874" s="1" t="n">
        <v>44881</v>
      </c>
      <c r="C874" s="1" t="n">
        <v>45355</v>
      </c>
      <c r="D874" t="inlineStr">
        <is>
          <t>KALMAR LÄN</t>
        </is>
      </c>
      <c r="E874" t="inlineStr">
        <is>
          <t>VÄSTERVIK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55382-2022</t>
        </is>
      </c>
      <c r="B875" s="1" t="n">
        <v>44887</v>
      </c>
      <c r="C875" s="1" t="n">
        <v>45355</v>
      </c>
      <c r="D875" t="inlineStr">
        <is>
          <t>KALMAR LÄN</t>
        </is>
      </c>
      <c r="E875" t="inlineStr">
        <is>
          <t>VÄSTERVIK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55828-2022</t>
        </is>
      </c>
      <c r="B876" s="1" t="n">
        <v>44888</v>
      </c>
      <c r="C876" s="1" t="n">
        <v>45355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55922-2022</t>
        </is>
      </c>
      <c r="B877" s="1" t="n">
        <v>44889</v>
      </c>
      <c r="C877" s="1" t="n">
        <v>45355</v>
      </c>
      <c r="D877" t="inlineStr">
        <is>
          <t>KALMAR LÄN</t>
        </is>
      </c>
      <c r="E877" t="inlineStr">
        <is>
          <t>VÄSTERVIK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56610-2022</t>
        </is>
      </c>
      <c r="B878" s="1" t="n">
        <v>44893</v>
      </c>
      <c r="C878" s="1" t="n">
        <v>45355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57023-2022</t>
        </is>
      </c>
      <c r="B879" s="1" t="n">
        <v>44895</v>
      </c>
      <c r="C879" s="1" t="n">
        <v>45355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58927-2022</t>
        </is>
      </c>
      <c r="B880" s="1" t="n">
        <v>44896</v>
      </c>
      <c r="C880" s="1" t="n">
        <v>45355</v>
      </c>
      <c r="D880" t="inlineStr">
        <is>
          <t>KALMAR LÄN</t>
        </is>
      </c>
      <c r="E880" t="inlineStr">
        <is>
          <t>VÄSTERVIK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57997-2022</t>
        </is>
      </c>
      <c r="B881" s="1" t="n">
        <v>44900</v>
      </c>
      <c r="C881" s="1" t="n">
        <v>45355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58217-2022</t>
        </is>
      </c>
      <c r="B882" s="1" t="n">
        <v>44901</v>
      </c>
      <c r="C882" s="1" t="n">
        <v>45355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58216-2022</t>
        </is>
      </c>
      <c r="B883" s="1" t="n">
        <v>44901</v>
      </c>
      <c r="C883" s="1" t="n">
        <v>45355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58209-2022</t>
        </is>
      </c>
      <c r="B884" s="1" t="n">
        <v>44901</v>
      </c>
      <c r="C884" s="1" t="n">
        <v>45355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58214-2022</t>
        </is>
      </c>
      <c r="B885" s="1" t="n">
        <v>44901</v>
      </c>
      <c r="C885" s="1" t="n">
        <v>45355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58707-2022</t>
        </is>
      </c>
      <c r="B886" s="1" t="n">
        <v>44902</v>
      </c>
      <c r="C886" s="1" t="n">
        <v>45355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58826-2022</t>
        </is>
      </c>
      <c r="B887" s="1" t="n">
        <v>44903</v>
      </c>
      <c r="C887" s="1" t="n">
        <v>45355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59212-2022</t>
        </is>
      </c>
      <c r="B888" s="1" t="n">
        <v>44904</v>
      </c>
      <c r="C888" s="1" t="n">
        <v>45355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59227-2022</t>
        </is>
      </c>
      <c r="B889" s="1" t="n">
        <v>44904</v>
      </c>
      <c r="C889" s="1" t="n">
        <v>45355</v>
      </c>
      <c r="D889" t="inlineStr">
        <is>
          <t>KALMAR LÄN</t>
        </is>
      </c>
      <c r="E889" t="inlineStr">
        <is>
          <t>VÄSTERVIK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59210-2022</t>
        </is>
      </c>
      <c r="B890" s="1" t="n">
        <v>44904</v>
      </c>
      <c r="C890" s="1" t="n">
        <v>45355</v>
      </c>
      <c r="D890" t="inlineStr">
        <is>
          <t>KALMAR LÄN</t>
        </is>
      </c>
      <c r="E890" t="inlineStr">
        <is>
          <t>VÄSTERVIK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59221-2022</t>
        </is>
      </c>
      <c r="B891" s="1" t="n">
        <v>44904</v>
      </c>
      <c r="C891" s="1" t="n">
        <v>45355</v>
      </c>
      <c r="D891" t="inlineStr">
        <is>
          <t>KALMAR LÄN</t>
        </is>
      </c>
      <c r="E891" t="inlineStr">
        <is>
          <t>VÄSTERVIK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59156-2022</t>
        </is>
      </c>
      <c r="B892" s="1" t="n">
        <v>44904</v>
      </c>
      <c r="C892" s="1" t="n">
        <v>45355</v>
      </c>
      <c r="D892" t="inlineStr">
        <is>
          <t>KALMAR LÄN</t>
        </is>
      </c>
      <c r="E892" t="inlineStr">
        <is>
          <t>VÄSTERVIK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59170-2022</t>
        </is>
      </c>
      <c r="B893" s="1" t="n">
        <v>44904</v>
      </c>
      <c r="C893" s="1" t="n">
        <v>45355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59202-2022</t>
        </is>
      </c>
      <c r="B894" s="1" t="n">
        <v>44904</v>
      </c>
      <c r="C894" s="1" t="n">
        <v>45355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59220-2022</t>
        </is>
      </c>
      <c r="B895" s="1" t="n">
        <v>44904</v>
      </c>
      <c r="C895" s="1" t="n">
        <v>45355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59498-2022</t>
        </is>
      </c>
      <c r="B896" s="1" t="n">
        <v>44907</v>
      </c>
      <c r="C896" s="1" t="n">
        <v>45355</v>
      </c>
      <c r="D896" t="inlineStr">
        <is>
          <t>KALMAR LÄN</t>
        </is>
      </c>
      <c r="E896" t="inlineStr">
        <is>
          <t>VÄSTERVIK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59675-2022</t>
        </is>
      </c>
      <c r="B897" s="1" t="n">
        <v>44908</v>
      </c>
      <c r="C897" s="1" t="n">
        <v>45355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59871-2022</t>
        </is>
      </c>
      <c r="B898" s="1" t="n">
        <v>44908</v>
      </c>
      <c r="C898" s="1" t="n">
        <v>45355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60263-2022</t>
        </is>
      </c>
      <c r="B899" s="1" t="n">
        <v>44910</v>
      </c>
      <c r="C899" s="1" t="n">
        <v>45355</v>
      </c>
      <c r="D899" t="inlineStr">
        <is>
          <t>KALMAR LÄN</t>
        </is>
      </c>
      <c r="E899" t="inlineStr">
        <is>
          <t>VÄSTERVIK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60402-2022</t>
        </is>
      </c>
      <c r="B900" s="1" t="n">
        <v>44910</v>
      </c>
      <c r="C900" s="1" t="n">
        <v>45355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60409-2022</t>
        </is>
      </c>
      <c r="B901" s="1" t="n">
        <v>44910</v>
      </c>
      <c r="C901" s="1" t="n">
        <v>45355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61529-2022</t>
        </is>
      </c>
      <c r="B902" s="1" t="n">
        <v>44910</v>
      </c>
      <c r="C902" s="1" t="n">
        <v>45355</v>
      </c>
      <c r="D902" t="inlineStr">
        <is>
          <t>KALMAR LÄN</t>
        </is>
      </c>
      <c r="E902" t="inlineStr">
        <is>
          <t>VÄSTERVIK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60710-2022</t>
        </is>
      </c>
      <c r="B903" s="1" t="n">
        <v>44912</v>
      </c>
      <c r="C903" s="1" t="n">
        <v>45355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60713-2022</t>
        </is>
      </c>
      <c r="B904" s="1" t="n">
        <v>44912</v>
      </c>
      <c r="C904" s="1" t="n">
        <v>45355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60711-2022</t>
        </is>
      </c>
      <c r="B905" s="1" t="n">
        <v>44912</v>
      </c>
      <c r="C905" s="1" t="n">
        <v>45355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61580-2022</t>
        </is>
      </c>
      <c r="B906" s="1" t="n">
        <v>44916</v>
      </c>
      <c r="C906" s="1" t="n">
        <v>45355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61649-2022</t>
        </is>
      </c>
      <c r="B907" s="1" t="n">
        <v>44916</v>
      </c>
      <c r="C907" s="1" t="n">
        <v>45355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62005-2022</t>
        </is>
      </c>
      <c r="B908" s="1" t="n">
        <v>44918</v>
      </c>
      <c r="C908" s="1" t="n">
        <v>45355</v>
      </c>
      <c r="D908" t="inlineStr">
        <is>
          <t>KALMAR LÄN</t>
        </is>
      </c>
      <c r="E908" t="inlineStr">
        <is>
          <t>VÄSTERVIK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62306-2022</t>
        </is>
      </c>
      <c r="B909" s="1" t="n">
        <v>44923</v>
      </c>
      <c r="C909" s="1" t="n">
        <v>45355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62422-2022</t>
        </is>
      </c>
      <c r="B910" s="1" t="n">
        <v>44924</v>
      </c>
      <c r="C910" s="1" t="n">
        <v>45355</v>
      </c>
      <c r="D910" t="inlineStr">
        <is>
          <t>KALMAR LÄN</t>
        </is>
      </c>
      <c r="E910" t="inlineStr">
        <is>
          <t>VÄSTERVIK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65-2023</t>
        </is>
      </c>
      <c r="B911" s="1" t="n">
        <v>44928</v>
      </c>
      <c r="C911" s="1" t="n">
        <v>45355</v>
      </c>
      <c r="D911" t="inlineStr">
        <is>
          <t>KALMAR LÄN</t>
        </is>
      </c>
      <c r="E911" t="inlineStr">
        <is>
          <t>VÄSTERVIK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352-2023</t>
        </is>
      </c>
      <c r="B912" s="1" t="n">
        <v>44929</v>
      </c>
      <c r="C912" s="1" t="n">
        <v>45355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351-2023</t>
        </is>
      </c>
      <c r="B913" s="1" t="n">
        <v>44929</v>
      </c>
      <c r="C913" s="1" t="n">
        <v>45355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562-2023</t>
        </is>
      </c>
      <c r="B914" s="1" t="n">
        <v>44930</v>
      </c>
      <c r="C914" s="1" t="n">
        <v>45355</v>
      </c>
      <c r="D914" t="inlineStr">
        <is>
          <t>KALMAR LÄN</t>
        </is>
      </c>
      <c r="E914" t="inlineStr">
        <is>
          <t>VÄSTERVIK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740-2023</t>
        </is>
      </c>
      <c r="B915" s="1" t="n">
        <v>44931</v>
      </c>
      <c r="C915" s="1" t="n">
        <v>45355</v>
      </c>
      <c r="D915" t="inlineStr">
        <is>
          <t>KALMAR LÄN</t>
        </is>
      </c>
      <c r="E915" t="inlineStr">
        <is>
          <t>VÄSTERVIK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765-2023</t>
        </is>
      </c>
      <c r="B916" s="1" t="n">
        <v>44931</v>
      </c>
      <c r="C916" s="1" t="n">
        <v>45355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792-2023</t>
        </is>
      </c>
      <c r="B917" s="1" t="n">
        <v>44931</v>
      </c>
      <c r="C917" s="1" t="n">
        <v>45355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808-2023</t>
        </is>
      </c>
      <c r="B918" s="1" t="n">
        <v>44931</v>
      </c>
      <c r="C918" s="1" t="n">
        <v>45355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843-2023</t>
        </is>
      </c>
      <c r="B919" s="1" t="n">
        <v>44931</v>
      </c>
      <c r="C919" s="1" t="n">
        <v>45355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1079-2023</t>
        </is>
      </c>
      <c r="B920" s="1" t="n">
        <v>44935</v>
      </c>
      <c r="C920" s="1" t="n">
        <v>45355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1699-2023</t>
        </is>
      </c>
      <c r="B921" s="1" t="n">
        <v>44935</v>
      </c>
      <c r="C921" s="1" t="n">
        <v>45355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1568-2023</t>
        </is>
      </c>
      <c r="B922" s="1" t="n">
        <v>44937</v>
      </c>
      <c r="C922" s="1" t="n">
        <v>45355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1798-2023</t>
        </is>
      </c>
      <c r="B923" s="1" t="n">
        <v>44938</v>
      </c>
      <c r="C923" s="1" t="n">
        <v>45355</v>
      </c>
      <c r="D923" t="inlineStr">
        <is>
          <t>KALMAR LÄN</t>
        </is>
      </c>
      <c r="E923" t="inlineStr">
        <is>
          <t>VÄSTERVIK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1961-2023</t>
        </is>
      </c>
      <c r="B924" s="1" t="n">
        <v>44939</v>
      </c>
      <c r="C924" s="1" t="n">
        <v>45355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2098-2023</t>
        </is>
      </c>
      <c r="B925" s="1" t="n">
        <v>44939</v>
      </c>
      <c r="C925" s="1" t="n">
        <v>45355</v>
      </c>
      <c r="D925" t="inlineStr">
        <is>
          <t>KALMAR LÄN</t>
        </is>
      </c>
      <c r="E925" t="inlineStr">
        <is>
          <t>VÄSTERVIK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2314-2023</t>
        </is>
      </c>
      <c r="B926" s="1" t="n">
        <v>44942</v>
      </c>
      <c r="C926" s="1" t="n">
        <v>45355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2738-2023</t>
        </is>
      </c>
      <c r="B927" s="1" t="n">
        <v>44944</v>
      </c>
      <c r="C927" s="1" t="n">
        <v>45355</v>
      </c>
      <c r="D927" t="inlineStr">
        <is>
          <t>KALMAR LÄN</t>
        </is>
      </c>
      <c r="E927" t="inlineStr">
        <is>
          <t>VÄSTERVIK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2741-2023</t>
        </is>
      </c>
      <c r="B928" s="1" t="n">
        <v>44944</v>
      </c>
      <c r="C928" s="1" t="n">
        <v>45355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2746-2023</t>
        </is>
      </c>
      <c r="B929" s="1" t="n">
        <v>44944</v>
      </c>
      <c r="C929" s="1" t="n">
        <v>45355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3075-2023</t>
        </is>
      </c>
      <c r="B930" s="1" t="n">
        <v>44946</v>
      </c>
      <c r="C930" s="1" t="n">
        <v>45355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3187-2023</t>
        </is>
      </c>
      <c r="B931" s="1" t="n">
        <v>44946</v>
      </c>
      <c r="C931" s="1" t="n">
        <v>45355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3185-2023</t>
        </is>
      </c>
      <c r="B932" s="1" t="n">
        <v>44946</v>
      </c>
      <c r="C932" s="1" t="n">
        <v>45355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3190-2023</t>
        </is>
      </c>
      <c r="B933" s="1" t="n">
        <v>44946</v>
      </c>
      <c r="C933" s="1" t="n">
        <v>45355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3867-2023</t>
        </is>
      </c>
      <c r="B934" s="1" t="n">
        <v>44951</v>
      </c>
      <c r="C934" s="1" t="n">
        <v>45355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4508-2023</t>
        </is>
      </c>
      <c r="B935" s="1" t="n">
        <v>44956</v>
      </c>
      <c r="C935" s="1" t="n">
        <v>45355</v>
      </c>
      <c r="D935" t="inlineStr">
        <is>
          <t>KALMAR LÄN</t>
        </is>
      </c>
      <c r="E935" t="inlineStr">
        <is>
          <t>VÄSTERVIK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4624-2023</t>
        </is>
      </c>
      <c r="B936" s="1" t="n">
        <v>44956</v>
      </c>
      <c r="C936" s="1" t="n">
        <v>45355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4579-2023</t>
        </is>
      </c>
      <c r="B937" s="1" t="n">
        <v>44956</v>
      </c>
      <c r="C937" s="1" t="n">
        <v>45355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4583-2023</t>
        </is>
      </c>
      <c r="B938" s="1" t="n">
        <v>44956</v>
      </c>
      <c r="C938" s="1" t="n">
        <v>45355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4951-2023</t>
        </is>
      </c>
      <c r="B939" s="1" t="n">
        <v>44958</v>
      </c>
      <c r="C939" s="1" t="n">
        <v>45355</v>
      </c>
      <c r="D939" t="inlineStr">
        <is>
          <t>KALMAR LÄN</t>
        </is>
      </c>
      <c r="E939" t="inlineStr">
        <is>
          <t>VÄSTERVIK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5684-2023</t>
        </is>
      </c>
      <c r="B940" s="1" t="n">
        <v>44960</v>
      </c>
      <c r="C940" s="1" t="n">
        <v>45355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6346-2023</t>
        </is>
      </c>
      <c r="B941" s="1" t="n">
        <v>44960</v>
      </c>
      <c r="C941" s="1" t="n">
        <v>45355</v>
      </c>
      <c r="D941" t="inlineStr">
        <is>
          <t>KALMAR LÄN</t>
        </is>
      </c>
      <c r="E941" t="inlineStr">
        <is>
          <t>VÄSTERVIK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5775-2023</t>
        </is>
      </c>
      <c r="B942" s="1" t="n">
        <v>44963</v>
      </c>
      <c r="C942" s="1" t="n">
        <v>45355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5769-2023</t>
        </is>
      </c>
      <c r="B943" s="1" t="n">
        <v>44963</v>
      </c>
      <c r="C943" s="1" t="n">
        <v>45355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5774-2023</t>
        </is>
      </c>
      <c r="B944" s="1" t="n">
        <v>44963</v>
      </c>
      <c r="C944" s="1" t="n">
        <v>45355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6042-2023</t>
        </is>
      </c>
      <c r="B945" s="1" t="n">
        <v>44964</v>
      </c>
      <c r="C945" s="1" t="n">
        <v>45355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5982-2023</t>
        </is>
      </c>
      <c r="B946" s="1" t="n">
        <v>44964</v>
      </c>
      <c r="C946" s="1" t="n">
        <v>45355</v>
      </c>
      <c r="D946" t="inlineStr">
        <is>
          <t>KALMAR LÄN</t>
        </is>
      </c>
      <c r="E946" t="inlineStr">
        <is>
          <t>VÄSTERVIK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6126-2023</t>
        </is>
      </c>
      <c r="B947" s="1" t="n">
        <v>44964</v>
      </c>
      <c r="C947" s="1" t="n">
        <v>45355</v>
      </c>
      <c r="D947" t="inlineStr">
        <is>
          <t>KALMAR LÄN</t>
        </is>
      </c>
      <c r="E947" t="inlineStr">
        <is>
          <t>VÄSTERVIK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6319-2023</t>
        </is>
      </c>
      <c r="B948" s="1" t="n">
        <v>44965</v>
      </c>
      <c r="C948" s="1" t="n">
        <v>45355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7126-2023</t>
        </is>
      </c>
      <c r="B949" s="1" t="n">
        <v>44970</v>
      </c>
      <c r="C949" s="1" t="n">
        <v>45355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7080-2023</t>
        </is>
      </c>
      <c r="B950" s="1" t="n">
        <v>44970</v>
      </c>
      <c r="C950" s="1" t="n">
        <v>45355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7098-2023</t>
        </is>
      </c>
      <c r="B951" s="1" t="n">
        <v>44970</v>
      </c>
      <c r="C951" s="1" t="n">
        <v>45355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7255-2023</t>
        </is>
      </c>
      <c r="B952" s="1" t="n">
        <v>44970</v>
      </c>
      <c r="C952" s="1" t="n">
        <v>45355</v>
      </c>
      <c r="D952" t="inlineStr">
        <is>
          <t>KALMAR LÄN</t>
        </is>
      </c>
      <c r="E952" t="inlineStr">
        <is>
          <t>VÄSTERVIK</t>
        </is>
      </c>
      <c r="F952" t="inlineStr">
        <is>
          <t>Naturvårdsverket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HYPERLINK("https://klasma.github.io/Logging_0883/knärot/A 7255-2023 karta knärot.png", "A 7255-2023")</f>
        <v/>
      </c>
      <c r="V952">
        <f>HYPERLINK("https://klasma.github.io/Logging_0883/klagomål/A 7255-2023 FSC-klagomål.docx", "A 7255-2023")</f>
        <v/>
      </c>
      <c r="W952">
        <f>HYPERLINK("https://klasma.github.io/Logging_0883/klagomålsmail/A 7255-2023 FSC-klagomål mail.docx", "A 7255-2023")</f>
        <v/>
      </c>
      <c r="X952">
        <f>HYPERLINK("https://klasma.github.io/Logging_0883/tillsyn/A 7255-2023 tillsynsbegäran.docx", "A 7255-2023")</f>
        <v/>
      </c>
      <c r="Y952">
        <f>HYPERLINK("https://klasma.github.io/Logging_0883/tillsynsmail/A 7255-2023 tillsynsbegäran mail.docx", "A 7255-2023")</f>
        <v/>
      </c>
    </row>
    <row r="953" ht="15" customHeight="1">
      <c r="A953" t="inlineStr">
        <is>
          <t>A 7100-2023</t>
        </is>
      </c>
      <c r="B953" s="1" t="n">
        <v>44970</v>
      </c>
      <c r="C953" s="1" t="n">
        <v>45355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7360-2023</t>
        </is>
      </c>
      <c r="B954" s="1" t="n">
        <v>44971</v>
      </c>
      <c r="C954" s="1" t="n">
        <v>45355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7779-2023</t>
        </is>
      </c>
      <c r="B955" s="1" t="n">
        <v>44973</v>
      </c>
      <c r="C955" s="1" t="n">
        <v>45355</v>
      </c>
      <c r="D955" t="inlineStr">
        <is>
          <t>KALMAR LÄN</t>
        </is>
      </c>
      <c r="E955" t="inlineStr">
        <is>
          <t>VÄSTERVIK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8005-2023</t>
        </is>
      </c>
      <c r="B956" s="1" t="n">
        <v>44973</v>
      </c>
      <c r="C956" s="1" t="n">
        <v>45355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7925-2023</t>
        </is>
      </c>
      <c r="B957" s="1" t="n">
        <v>44973</v>
      </c>
      <c r="C957" s="1" t="n">
        <v>45355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7934-2023</t>
        </is>
      </c>
      <c r="B958" s="1" t="n">
        <v>44973</v>
      </c>
      <c r="C958" s="1" t="n">
        <v>45355</v>
      </c>
      <c r="D958" t="inlineStr">
        <is>
          <t>KALMAR LÄN</t>
        </is>
      </c>
      <c r="E958" t="inlineStr">
        <is>
          <t>VÄSTERVIK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7938-2023</t>
        </is>
      </c>
      <c r="B959" s="1" t="n">
        <v>44973</v>
      </c>
      <c r="C959" s="1" t="n">
        <v>45355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8014-2023</t>
        </is>
      </c>
      <c r="B960" s="1" t="n">
        <v>44973</v>
      </c>
      <c r="C960" s="1" t="n">
        <v>45355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8007-2023</t>
        </is>
      </c>
      <c r="B961" s="1" t="n">
        <v>44973</v>
      </c>
      <c r="C961" s="1" t="n">
        <v>45355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8283-2023</t>
        </is>
      </c>
      <c r="B962" s="1" t="n">
        <v>44974</v>
      </c>
      <c r="C962" s="1" t="n">
        <v>45355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8289-2023</t>
        </is>
      </c>
      <c r="B963" s="1" t="n">
        <v>44974</v>
      </c>
      <c r="C963" s="1" t="n">
        <v>45355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8456-2023</t>
        </is>
      </c>
      <c r="B964" s="1" t="n">
        <v>44977</v>
      </c>
      <c r="C964" s="1" t="n">
        <v>45355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8382-2023</t>
        </is>
      </c>
      <c r="B965" s="1" t="n">
        <v>44977</v>
      </c>
      <c r="C965" s="1" t="n">
        <v>45355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8440-2023</t>
        </is>
      </c>
      <c r="B966" s="1" t="n">
        <v>44977</v>
      </c>
      <c r="C966" s="1" t="n">
        <v>45355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8593-2023</t>
        </is>
      </c>
      <c r="B967" s="1" t="n">
        <v>44977</v>
      </c>
      <c r="C967" s="1" t="n">
        <v>45355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8597-2023</t>
        </is>
      </c>
      <c r="B968" s="1" t="n">
        <v>44977</v>
      </c>
      <c r="C968" s="1" t="n">
        <v>45355</v>
      </c>
      <c r="D968" t="inlineStr">
        <is>
          <t>KALMAR LÄN</t>
        </is>
      </c>
      <c r="E968" t="inlineStr">
        <is>
          <t>VÄSTERVIK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8594-2023</t>
        </is>
      </c>
      <c r="B969" s="1" t="n">
        <v>44977</v>
      </c>
      <c r="C969" s="1" t="n">
        <v>45355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8513-2023</t>
        </is>
      </c>
      <c r="B970" s="1" t="n">
        <v>44977</v>
      </c>
      <c r="C970" s="1" t="n">
        <v>45355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8561-2023</t>
        </is>
      </c>
      <c r="B971" s="1" t="n">
        <v>44977</v>
      </c>
      <c r="C971" s="1" t="n">
        <v>45355</v>
      </c>
      <c r="D971" t="inlineStr">
        <is>
          <t>KALMAR LÄN</t>
        </is>
      </c>
      <c r="E971" t="inlineStr">
        <is>
          <t>VÄSTERVIK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8896-2023</t>
        </is>
      </c>
      <c r="B972" s="1" t="n">
        <v>44979</v>
      </c>
      <c r="C972" s="1" t="n">
        <v>45355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9037-2023</t>
        </is>
      </c>
      <c r="B973" s="1" t="n">
        <v>44979</v>
      </c>
      <c r="C973" s="1" t="n">
        <v>45355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9111-2023</t>
        </is>
      </c>
      <c r="B974" s="1" t="n">
        <v>44980</v>
      </c>
      <c r="C974" s="1" t="n">
        <v>45355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9042-2023</t>
        </is>
      </c>
      <c r="B975" s="1" t="n">
        <v>44979</v>
      </c>
      <c r="C975" s="1" t="n">
        <v>45355</v>
      </c>
      <c r="D975" t="inlineStr">
        <is>
          <t>KALMAR LÄN</t>
        </is>
      </c>
      <c r="E975" t="inlineStr">
        <is>
          <t>VÄSTERVIK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9112-2023</t>
        </is>
      </c>
      <c r="B976" s="1" t="n">
        <v>44979</v>
      </c>
      <c r="C976" s="1" t="n">
        <v>45355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9110-2023</t>
        </is>
      </c>
      <c r="B977" s="1" t="n">
        <v>44979</v>
      </c>
      <c r="C977" s="1" t="n">
        <v>45355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9223-2023</t>
        </is>
      </c>
      <c r="B978" s="1" t="n">
        <v>44980</v>
      </c>
      <c r="C978" s="1" t="n">
        <v>45355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9222-2023</t>
        </is>
      </c>
      <c r="B979" s="1" t="n">
        <v>44980</v>
      </c>
      <c r="C979" s="1" t="n">
        <v>45355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9220-2023</t>
        </is>
      </c>
      <c r="B980" s="1" t="n">
        <v>44980</v>
      </c>
      <c r="C980" s="1" t="n">
        <v>45355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9631-2023</t>
        </is>
      </c>
      <c r="B981" s="1" t="n">
        <v>44984</v>
      </c>
      <c r="C981" s="1" t="n">
        <v>45355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9771-2023</t>
        </is>
      </c>
      <c r="B982" s="1" t="n">
        <v>44984</v>
      </c>
      <c r="C982" s="1" t="n">
        <v>45355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9770-2023</t>
        </is>
      </c>
      <c r="B983" s="1" t="n">
        <v>44984</v>
      </c>
      <c r="C983" s="1" t="n">
        <v>45355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9792-2023</t>
        </is>
      </c>
      <c r="B984" s="1" t="n">
        <v>44984</v>
      </c>
      <c r="C984" s="1" t="n">
        <v>45355</v>
      </c>
      <c r="D984" t="inlineStr">
        <is>
          <t>KALMAR LÄN</t>
        </is>
      </c>
      <c r="E984" t="inlineStr">
        <is>
          <t>VÄSTERVIK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10419-2023</t>
        </is>
      </c>
      <c r="B985" s="1" t="n">
        <v>44987</v>
      </c>
      <c r="C985" s="1" t="n">
        <v>45355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10421-2023</t>
        </is>
      </c>
      <c r="B986" s="1" t="n">
        <v>44987</v>
      </c>
      <c r="C986" s="1" t="n">
        <v>45355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10665-2023</t>
        </is>
      </c>
      <c r="B987" s="1" t="n">
        <v>44988</v>
      </c>
      <c r="C987" s="1" t="n">
        <v>45355</v>
      </c>
      <c r="D987" t="inlineStr">
        <is>
          <t>KALMAR LÄN</t>
        </is>
      </c>
      <c r="E987" t="inlineStr">
        <is>
          <t>VÄSTERVIK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10725-2023</t>
        </is>
      </c>
      <c r="B988" s="1" t="n">
        <v>44988</v>
      </c>
      <c r="C988" s="1" t="n">
        <v>45355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10807-2023</t>
        </is>
      </c>
      <c r="B989" s="1" t="n">
        <v>44989</v>
      </c>
      <c r="C989" s="1" t="n">
        <v>45355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10801-2023</t>
        </is>
      </c>
      <c r="B990" s="1" t="n">
        <v>44989</v>
      </c>
      <c r="C990" s="1" t="n">
        <v>45355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11210-2023</t>
        </is>
      </c>
      <c r="B991" s="1" t="n">
        <v>44992</v>
      </c>
      <c r="C991" s="1" t="n">
        <v>45355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11276-2023</t>
        </is>
      </c>
      <c r="B992" s="1" t="n">
        <v>44992</v>
      </c>
      <c r="C992" s="1" t="n">
        <v>45355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11577-2023</t>
        </is>
      </c>
      <c r="B993" s="1" t="n">
        <v>44994</v>
      </c>
      <c r="C993" s="1" t="n">
        <v>45355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11583-2023</t>
        </is>
      </c>
      <c r="B994" s="1" t="n">
        <v>44994</v>
      </c>
      <c r="C994" s="1" t="n">
        <v>45355</v>
      </c>
      <c r="D994" t="inlineStr">
        <is>
          <t>KALMAR LÄN</t>
        </is>
      </c>
      <c r="E994" t="inlineStr">
        <is>
          <t>VÄSTERVIK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11579-2023</t>
        </is>
      </c>
      <c r="B995" s="1" t="n">
        <v>44994</v>
      </c>
      <c r="C995" s="1" t="n">
        <v>45355</v>
      </c>
      <c r="D995" t="inlineStr">
        <is>
          <t>KALMAR LÄN</t>
        </is>
      </c>
      <c r="E995" t="inlineStr">
        <is>
          <t>VÄSTERVIK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11584-2023</t>
        </is>
      </c>
      <c r="B996" s="1" t="n">
        <v>44994</v>
      </c>
      <c r="C996" s="1" t="n">
        <v>45355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11586-2023</t>
        </is>
      </c>
      <c r="B997" s="1" t="n">
        <v>44994</v>
      </c>
      <c r="C997" s="1" t="n">
        <v>45355</v>
      </c>
      <c r="D997" t="inlineStr">
        <is>
          <t>KALMAR LÄN</t>
        </is>
      </c>
      <c r="E997" t="inlineStr">
        <is>
          <t>VÄSTERVIK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11804-2023</t>
        </is>
      </c>
      <c r="B998" s="1" t="n">
        <v>44994</v>
      </c>
      <c r="C998" s="1" t="n">
        <v>45355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11727-2023</t>
        </is>
      </c>
      <c r="B999" s="1" t="n">
        <v>44994</v>
      </c>
      <c r="C999" s="1" t="n">
        <v>45355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11741-2023</t>
        </is>
      </c>
      <c r="B1000" s="1" t="n">
        <v>44994</v>
      </c>
      <c r="C1000" s="1" t="n">
        <v>45355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11730-2023</t>
        </is>
      </c>
      <c r="B1001" s="1" t="n">
        <v>44994</v>
      </c>
      <c r="C1001" s="1" t="n">
        <v>45355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12504-2023</t>
        </is>
      </c>
      <c r="B1002" s="1" t="n">
        <v>44999</v>
      </c>
      <c r="C1002" s="1" t="n">
        <v>45355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12595-2023</t>
        </is>
      </c>
      <c r="B1003" s="1" t="n">
        <v>45000</v>
      </c>
      <c r="C1003" s="1" t="n">
        <v>45355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13275-2023</t>
        </is>
      </c>
      <c r="B1004" s="1" t="n">
        <v>45003</v>
      </c>
      <c r="C1004" s="1" t="n">
        <v>45355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13275-2023 karta knärot.png", "A 13275-2023")</f>
        <v/>
      </c>
      <c r="V1004">
        <f>HYPERLINK("https://klasma.github.io/Logging_0883/klagomål/A 13275-2023 FSC-klagomål.docx", "A 13275-2023")</f>
        <v/>
      </c>
      <c r="W1004">
        <f>HYPERLINK("https://klasma.github.io/Logging_0883/klagomålsmail/A 13275-2023 FSC-klagomål mail.docx", "A 13275-2023")</f>
        <v/>
      </c>
      <c r="X1004">
        <f>HYPERLINK("https://klasma.github.io/Logging_0883/tillsyn/A 13275-2023 tillsynsbegäran.docx", "A 13275-2023")</f>
        <v/>
      </c>
      <c r="Y1004">
        <f>HYPERLINK("https://klasma.github.io/Logging_0883/tillsynsmail/A 13275-2023 tillsynsbegäran mail.docx", "A 13275-2023")</f>
        <v/>
      </c>
    </row>
    <row r="1005" ht="15" customHeight="1">
      <c r="A1005" t="inlineStr">
        <is>
          <t>A 13761-2023</t>
        </is>
      </c>
      <c r="B1005" s="1" t="n">
        <v>45007</v>
      </c>
      <c r="C1005" s="1" t="n">
        <v>45355</v>
      </c>
      <c r="D1005" t="inlineStr">
        <is>
          <t>KALMAR LÄN</t>
        </is>
      </c>
      <c r="E1005" t="inlineStr">
        <is>
          <t>VÄSTERVIK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13770-2023</t>
        </is>
      </c>
      <c r="B1006" s="1" t="n">
        <v>45007</v>
      </c>
      <c r="C1006" s="1" t="n">
        <v>45355</v>
      </c>
      <c r="D1006" t="inlineStr">
        <is>
          <t>KALMAR LÄN</t>
        </is>
      </c>
      <c r="E1006" t="inlineStr">
        <is>
          <t>VÄSTERVIK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13841-2023</t>
        </is>
      </c>
      <c r="B1007" s="1" t="n">
        <v>45007</v>
      </c>
      <c r="C1007" s="1" t="n">
        <v>45355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13838-2023</t>
        </is>
      </c>
      <c r="B1008" s="1" t="n">
        <v>45007</v>
      </c>
      <c r="C1008" s="1" t="n">
        <v>45355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13995-2023</t>
        </is>
      </c>
      <c r="B1009" s="1" t="n">
        <v>45008</v>
      </c>
      <c r="C1009" s="1" t="n">
        <v>45355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14388-2023</t>
        </is>
      </c>
      <c r="B1010" s="1" t="n">
        <v>45012</v>
      </c>
      <c r="C1010" s="1" t="n">
        <v>45355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14387-2023</t>
        </is>
      </c>
      <c r="B1011" s="1" t="n">
        <v>45012</v>
      </c>
      <c r="C1011" s="1" t="n">
        <v>45355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14385-2023</t>
        </is>
      </c>
      <c r="B1012" s="1" t="n">
        <v>45012</v>
      </c>
      <c r="C1012" s="1" t="n">
        <v>45355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15099-2023</t>
        </is>
      </c>
      <c r="B1013" s="1" t="n">
        <v>45016</v>
      </c>
      <c r="C1013" s="1" t="n">
        <v>45355</v>
      </c>
      <c r="D1013" t="inlineStr">
        <is>
          <t>KALMAR LÄN</t>
        </is>
      </c>
      <c r="E1013" t="inlineStr">
        <is>
          <t>VÄSTERVIK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15106-2023</t>
        </is>
      </c>
      <c r="B1014" s="1" t="n">
        <v>45016</v>
      </c>
      <c r="C1014" s="1" t="n">
        <v>45355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15097-2023</t>
        </is>
      </c>
      <c r="B1015" s="1" t="n">
        <v>45016</v>
      </c>
      <c r="C1015" s="1" t="n">
        <v>45355</v>
      </c>
      <c r="D1015" t="inlineStr">
        <is>
          <t>KALMAR LÄN</t>
        </is>
      </c>
      <c r="E1015" t="inlineStr">
        <is>
          <t>VÄSTERVIK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15103-2023</t>
        </is>
      </c>
      <c r="B1016" s="1" t="n">
        <v>45016</v>
      </c>
      <c r="C1016" s="1" t="n">
        <v>45355</v>
      </c>
      <c r="D1016" t="inlineStr">
        <is>
          <t>KALMAR LÄN</t>
        </is>
      </c>
      <c r="E1016" t="inlineStr">
        <is>
          <t>VÄSTERVIK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15270-2023</t>
        </is>
      </c>
      <c r="B1017" s="1" t="n">
        <v>45019</v>
      </c>
      <c r="C1017" s="1" t="n">
        <v>45355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15438-2023</t>
        </is>
      </c>
      <c r="B1018" s="1" t="n">
        <v>45020</v>
      </c>
      <c r="C1018" s="1" t="n">
        <v>45355</v>
      </c>
      <c r="D1018" t="inlineStr">
        <is>
          <t>KALMAR LÄN</t>
        </is>
      </c>
      <c r="E1018" t="inlineStr">
        <is>
          <t>VÄSTERVIK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15761-2023</t>
        </is>
      </c>
      <c r="B1019" s="1" t="n">
        <v>45021</v>
      </c>
      <c r="C1019" s="1" t="n">
        <v>45355</v>
      </c>
      <c r="D1019" t="inlineStr">
        <is>
          <t>KALMAR LÄN</t>
        </is>
      </c>
      <c r="E1019" t="inlineStr">
        <is>
          <t>VÄSTERVIK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15765-2023</t>
        </is>
      </c>
      <c r="B1020" s="1" t="n">
        <v>45021</v>
      </c>
      <c r="C1020" s="1" t="n">
        <v>45355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15875-2023</t>
        </is>
      </c>
      <c r="B1021" s="1" t="n">
        <v>45022</v>
      </c>
      <c r="C1021" s="1" t="n">
        <v>45355</v>
      </c>
      <c r="D1021" t="inlineStr">
        <is>
          <t>KALMAR LÄN</t>
        </is>
      </c>
      <c r="E1021" t="inlineStr">
        <is>
          <t>VÄSTERVIK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16485-2023</t>
        </is>
      </c>
      <c r="B1022" s="1" t="n">
        <v>45029</v>
      </c>
      <c r="C1022" s="1" t="n">
        <v>45355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16506-2023</t>
        </is>
      </c>
      <c r="B1023" s="1" t="n">
        <v>45029</v>
      </c>
      <c r="C1023" s="1" t="n">
        <v>45355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16507-2023</t>
        </is>
      </c>
      <c r="B1024" s="1" t="n">
        <v>45029</v>
      </c>
      <c r="C1024" s="1" t="n">
        <v>45355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16617-2023</t>
        </is>
      </c>
      <c r="B1025" s="1" t="n">
        <v>45030</v>
      </c>
      <c r="C1025" s="1" t="n">
        <v>45355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16834-2023</t>
        </is>
      </c>
      <c r="B1026" s="1" t="n">
        <v>45033</v>
      </c>
      <c r="C1026" s="1" t="n">
        <v>45355</v>
      </c>
      <c r="D1026" t="inlineStr">
        <is>
          <t>KALMAR LÄN</t>
        </is>
      </c>
      <c r="E1026" t="inlineStr">
        <is>
          <t>VÄSTERVIK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16819-2023</t>
        </is>
      </c>
      <c r="B1027" s="1" t="n">
        <v>45033</v>
      </c>
      <c r="C1027" s="1" t="n">
        <v>45355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17307-2023</t>
        </is>
      </c>
      <c r="B1028" s="1" t="n">
        <v>45035</v>
      </c>
      <c r="C1028" s="1" t="n">
        <v>45355</v>
      </c>
      <c r="D1028" t="inlineStr">
        <is>
          <t>KALMAR LÄN</t>
        </is>
      </c>
      <c r="E1028" t="inlineStr">
        <is>
          <t>VÄSTERVIK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17314-2023</t>
        </is>
      </c>
      <c r="B1029" s="1" t="n">
        <v>45035</v>
      </c>
      <c r="C1029" s="1" t="n">
        <v>45355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17315-2023</t>
        </is>
      </c>
      <c r="B1030" s="1" t="n">
        <v>45035</v>
      </c>
      <c r="C1030" s="1" t="n">
        <v>45355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17306-2023</t>
        </is>
      </c>
      <c r="B1031" s="1" t="n">
        <v>45035</v>
      </c>
      <c r="C1031" s="1" t="n">
        <v>45355</v>
      </c>
      <c r="D1031" t="inlineStr">
        <is>
          <t>KALMAR LÄN</t>
        </is>
      </c>
      <c r="E1031" t="inlineStr">
        <is>
          <t>VÄSTERVIK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17313-2023</t>
        </is>
      </c>
      <c r="B1032" s="1" t="n">
        <v>45035</v>
      </c>
      <c r="C1032" s="1" t="n">
        <v>45355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17317-2023</t>
        </is>
      </c>
      <c r="B1033" s="1" t="n">
        <v>45035</v>
      </c>
      <c r="C1033" s="1" t="n">
        <v>45355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HYPERLINK("https://klasma.github.io/Logging_0883/knärot/A 17317-2023 karta knärot.png", "A 17317-2023")</f>
        <v/>
      </c>
      <c r="V1033">
        <f>HYPERLINK("https://klasma.github.io/Logging_0883/klagomål/A 17317-2023 FSC-klagomål.docx", "A 17317-2023")</f>
        <v/>
      </c>
      <c r="W1033">
        <f>HYPERLINK("https://klasma.github.io/Logging_0883/klagomålsmail/A 17317-2023 FSC-klagomål mail.docx", "A 17317-2023")</f>
        <v/>
      </c>
      <c r="X1033">
        <f>HYPERLINK("https://klasma.github.io/Logging_0883/tillsyn/A 17317-2023 tillsynsbegäran.docx", "A 17317-2023")</f>
        <v/>
      </c>
      <c r="Y1033">
        <f>HYPERLINK("https://klasma.github.io/Logging_0883/tillsynsmail/A 17317-2023 tillsynsbegäran mail.docx", "A 17317-2023")</f>
        <v/>
      </c>
    </row>
    <row r="1034" ht="15" customHeight="1">
      <c r="A1034" t="inlineStr">
        <is>
          <t>A 17467-2023</t>
        </is>
      </c>
      <c r="B1034" s="1" t="n">
        <v>45036</v>
      </c>
      <c r="C1034" s="1" t="n">
        <v>45355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17642-2023</t>
        </is>
      </c>
      <c r="B1035" s="1" t="n">
        <v>45036</v>
      </c>
      <c r="C1035" s="1" t="n">
        <v>45355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17644-2023</t>
        </is>
      </c>
      <c r="B1036" s="1" t="n">
        <v>45036</v>
      </c>
      <c r="C1036" s="1" t="n">
        <v>45355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17650-2023</t>
        </is>
      </c>
      <c r="B1037" s="1" t="n">
        <v>45036</v>
      </c>
      <c r="C1037" s="1" t="n">
        <v>45355</v>
      </c>
      <c r="D1037" t="inlineStr">
        <is>
          <t>KALMAR LÄN</t>
        </is>
      </c>
      <c r="E1037" t="inlineStr">
        <is>
          <t>VÄSTERVIK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17645-2023</t>
        </is>
      </c>
      <c r="B1038" s="1" t="n">
        <v>45036</v>
      </c>
      <c r="C1038" s="1" t="n">
        <v>45355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17652-2023</t>
        </is>
      </c>
      <c r="B1039" s="1" t="n">
        <v>45036</v>
      </c>
      <c r="C1039" s="1" t="n">
        <v>45355</v>
      </c>
      <c r="D1039" t="inlineStr">
        <is>
          <t>KALMAR LÄN</t>
        </is>
      </c>
      <c r="E1039" t="inlineStr">
        <is>
          <t>VÄSTERVIK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17643-2023</t>
        </is>
      </c>
      <c r="B1040" s="1" t="n">
        <v>45036</v>
      </c>
      <c r="C1040" s="1" t="n">
        <v>45355</v>
      </c>
      <c r="D1040" t="inlineStr">
        <is>
          <t>KALMAR LÄN</t>
        </is>
      </c>
      <c r="E1040" t="inlineStr">
        <is>
          <t>VÄSTERVIK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17648-2023</t>
        </is>
      </c>
      <c r="B1041" s="1" t="n">
        <v>45036</v>
      </c>
      <c r="C1041" s="1" t="n">
        <v>45355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18051-2023</t>
        </is>
      </c>
      <c r="B1042" s="1" t="n">
        <v>45040</v>
      </c>
      <c r="C1042" s="1" t="n">
        <v>45355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18071-2023</t>
        </is>
      </c>
      <c r="B1043" s="1" t="n">
        <v>45040</v>
      </c>
      <c r="C1043" s="1" t="n">
        <v>45355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18068-2023</t>
        </is>
      </c>
      <c r="B1044" s="1" t="n">
        <v>45040</v>
      </c>
      <c r="C1044" s="1" t="n">
        <v>45355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18079-2023</t>
        </is>
      </c>
      <c r="B1045" s="1" t="n">
        <v>45040</v>
      </c>
      <c r="C1045" s="1" t="n">
        <v>45355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18048-2023</t>
        </is>
      </c>
      <c r="B1046" s="1" t="n">
        <v>45040</v>
      </c>
      <c r="C1046" s="1" t="n">
        <v>45355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18081-2023</t>
        </is>
      </c>
      <c r="B1047" s="1" t="n">
        <v>45040</v>
      </c>
      <c r="C1047" s="1" t="n">
        <v>45355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18858-2023</t>
        </is>
      </c>
      <c r="B1048" s="1" t="n">
        <v>45044</v>
      </c>
      <c r="C1048" s="1" t="n">
        <v>45355</v>
      </c>
      <c r="D1048" t="inlineStr">
        <is>
          <t>KALMAR LÄN</t>
        </is>
      </c>
      <c r="E1048" t="inlineStr">
        <is>
          <t>VÄSTERVIK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18859-2023</t>
        </is>
      </c>
      <c r="B1049" s="1" t="n">
        <v>45044</v>
      </c>
      <c r="C1049" s="1" t="n">
        <v>45355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18960-2023</t>
        </is>
      </c>
      <c r="B1050" s="1" t="n">
        <v>45044</v>
      </c>
      <c r="C1050" s="1" t="n">
        <v>45355</v>
      </c>
      <c r="D1050" t="inlineStr">
        <is>
          <t>KALMAR LÄN</t>
        </is>
      </c>
      <c r="E1050" t="inlineStr">
        <is>
          <t>VÄSTERVIK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19110-2023</t>
        </is>
      </c>
      <c r="B1051" s="1" t="n">
        <v>45048</v>
      </c>
      <c r="C1051" s="1" t="n">
        <v>45355</v>
      </c>
      <c r="D1051" t="inlineStr">
        <is>
          <t>KALMAR LÄN</t>
        </is>
      </c>
      <c r="E1051" t="inlineStr">
        <is>
          <t>VÄSTERVIK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19212-2023</t>
        </is>
      </c>
      <c r="B1052" s="1" t="n">
        <v>45048</v>
      </c>
      <c r="C1052" s="1" t="n">
        <v>45355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19365-2023</t>
        </is>
      </c>
      <c r="B1053" s="1" t="n">
        <v>45049</v>
      </c>
      <c r="C1053" s="1" t="n">
        <v>45355</v>
      </c>
      <c r="D1053" t="inlineStr">
        <is>
          <t>KALMAR LÄN</t>
        </is>
      </c>
      <c r="E1053" t="inlineStr">
        <is>
          <t>VÄSTERVIK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19365-2023 karta knärot.png", "A 19365-2023")</f>
        <v/>
      </c>
      <c r="V1053">
        <f>HYPERLINK("https://klasma.github.io/Logging_0883/klagomål/A 19365-2023 FSC-klagomål.docx", "A 19365-2023")</f>
        <v/>
      </c>
      <c r="W1053">
        <f>HYPERLINK("https://klasma.github.io/Logging_0883/klagomålsmail/A 19365-2023 FSC-klagomål mail.docx", "A 19365-2023")</f>
        <v/>
      </c>
      <c r="X1053">
        <f>HYPERLINK("https://klasma.github.io/Logging_0883/tillsyn/A 19365-2023 tillsynsbegäran.docx", "A 19365-2023")</f>
        <v/>
      </c>
      <c r="Y1053">
        <f>HYPERLINK("https://klasma.github.io/Logging_0883/tillsynsmail/A 19365-2023 tillsynsbegäran mail.docx", "A 19365-2023")</f>
        <v/>
      </c>
    </row>
    <row r="1054" ht="15" customHeight="1">
      <c r="A1054" t="inlineStr">
        <is>
          <t>A 19333-2023</t>
        </is>
      </c>
      <c r="B1054" s="1" t="n">
        <v>45049</v>
      </c>
      <c r="C1054" s="1" t="n">
        <v>45355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19551-2023</t>
        </is>
      </c>
      <c r="B1055" s="1" t="n">
        <v>45049</v>
      </c>
      <c r="C1055" s="1" t="n">
        <v>45355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19638-2023</t>
        </is>
      </c>
      <c r="B1056" s="1" t="n">
        <v>45051</v>
      </c>
      <c r="C1056" s="1" t="n">
        <v>45355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19660-2023</t>
        </is>
      </c>
      <c r="B1057" s="1" t="n">
        <v>45051</v>
      </c>
      <c r="C1057" s="1" t="n">
        <v>45355</v>
      </c>
      <c r="D1057" t="inlineStr">
        <is>
          <t>KALMAR LÄN</t>
        </is>
      </c>
      <c r="E1057" t="inlineStr">
        <is>
          <t>VÄSTERVIK</t>
        </is>
      </c>
      <c r="F1057" t="inlineStr">
        <is>
          <t>Övriga Aktiebolag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19639-2023</t>
        </is>
      </c>
      <c r="B1058" s="1" t="n">
        <v>45051</v>
      </c>
      <c r="C1058" s="1" t="n">
        <v>45355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19640-2023</t>
        </is>
      </c>
      <c r="B1059" s="1" t="n">
        <v>45051</v>
      </c>
      <c r="C1059" s="1" t="n">
        <v>45355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19864-2023</t>
        </is>
      </c>
      <c r="B1060" s="1" t="n">
        <v>45053</v>
      </c>
      <c r="C1060" s="1" t="n">
        <v>45355</v>
      </c>
      <c r="D1060" t="inlineStr">
        <is>
          <t>KALMAR LÄN</t>
        </is>
      </c>
      <c r="E1060" t="inlineStr">
        <is>
          <t>VÄSTERVIK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20637-2023</t>
        </is>
      </c>
      <c r="B1061" s="1" t="n">
        <v>45057</v>
      </c>
      <c r="C1061" s="1" t="n">
        <v>45355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20774-2023</t>
        </is>
      </c>
      <c r="B1062" s="1" t="n">
        <v>45058</v>
      </c>
      <c r="C1062" s="1" t="n">
        <v>45355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21122-2023</t>
        </is>
      </c>
      <c r="B1063" s="1" t="n">
        <v>45062</v>
      </c>
      <c r="C1063" s="1" t="n">
        <v>45355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21286-2023</t>
        </is>
      </c>
      <c r="B1064" s="1" t="n">
        <v>45062</v>
      </c>
      <c r="C1064" s="1" t="n">
        <v>45355</v>
      </c>
      <c r="D1064" t="inlineStr">
        <is>
          <t>KALMAR LÄN</t>
        </is>
      </c>
      <c r="E1064" t="inlineStr">
        <is>
          <t>VÄSTERVIK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21447-2023</t>
        </is>
      </c>
      <c r="B1065" s="1" t="n">
        <v>45063</v>
      </c>
      <c r="C1065" s="1" t="n">
        <v>45355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21826-2023</t>
        </is>
      </c>
      <c r="B1066" s="1" t="n">
        <v>45068</v>
      </c>
      <c r="C1066" s="1" t="n">
        <v>45355</v>
      </c>
      <c r="D1066" t="inlineStr">
        <is>
          <t>KALMAR LÄN</t>
        </is>
      </c>
      <c r="E1066" t="inlineStr">
        <is>
          <t>VÄSTERVIK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21831-2023</t>
        </is>
      </c>
      <c r="B1067" s="1" t="n">
        <v>45068</v>
      </c>
      <c r="C1067" s="1" t="n">
        <v>45355</v>
      </c>
      <c r="D1067" t="inlineStr">
        <is>
          <t>KALMAR LÄN</t>
        </is>
      </c>
      <c r="E1067" t="inlineStr">
        <is>
          <t>VÄSTERVIK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21939-2023</t>
        </is>
      </c>
      <c r="B1068" s="1" t="n">
        <v>45068</v>
      </c>
      <c r="C1068" s="1" t="n">
        <v>45355</v>
      </c>
      <c r="D1068" t="inlineStr">
        <is>
          <t>KALMAR LÄN</t>
        </is>
      </c>
      <c r="E1068" t="inlineStr">
        <is>
          <t>VÄSTERVIK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21823-2023</t>
        </is>
      </c>
      <c r="B1069" s="1" t="n">
        <v>45068</v>
      </c>
      <c r="C1069" s="1" t="n">
        <v>45355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21830-2023</t>
        </is>
      </c>
      <c r="B1070" s="1" t="n">
        <v>45068</v>
      </c>
      <c r="C1070" s="1" t="n">
        <v>45355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21824-2023</t>
        </is>
      </c>
      <c r="B1071" s="1" t="n">
        <v>45068</v>
      </c>
      <c r="C1071" s="1" t="n">
        <v>45355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21829-2023</t>
        </is>
      </c>
      <c r="B1072" s="1" t="n">
        <v>45068</v>
      </c>
      <c r="C1072" s="1" t="n">
        <v>45355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21942-2023</t>
        </is>
      </c>
      <c r="B1073" s="1" t="n">
        <v>45068</v>
      </c>
      <c r="C1073" s="1" t="n">
        <v>45355</v>
      </c>
      <c r="D1073" t="inlineStr">
        <is>
          <t>KALMAR LÄN</t>
        </is>
      </c>
      <c r="E1073" t="inlineStr">
        <is>
          <t>VÄSTERVIK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21940-2023</t>
        </is>
      </c>
      <c r="B1074" s="1" t="n">
        <v>45068</v>
      </c>
      <c r="C1074" s="1" t="n">
        <v>45355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23439-2023</t>
        </is>
      </c>
      <c r="B1075" s="1" t="n">
        <v>45072</v>
      </c>
      <c r="C1075" s="1" t="n">
        <v>45355</v>
      </c>
      <c r="D1075" t="inlineStr">
        <is>
          <t>KALMAR LÄN</t>
        </is>
      </c>
      <c r="E1075" t="inlineStr">
        <is>
          <t>VÄSTERVIK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23080-2023</t>
        </is>
      </c>
      <c r="B1076" s="1" t="n">
        <v>45075</v>
      </c>
      <c r="C1076" s="1" t="n">
        <v>45355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23317-2023</t>
        </is>
      </c>
      <c r="B1077" s="1" t="n">
        <v>45076</v>
      </c>
      <c r="C1077" s="1" t="n">
        <v>45355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23316-2023</t>
        </is>
      </c>
      <c r="B1078" s="1" t="n">
        <v>45076</v>
      </c>
      <c r="C1078" s="1" t="n">
        <v>45355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23580-2023</t>
        </is>
      </c>
      <c r="B1079" s="1" t="n">
        <v>45077</v>
      </c>
      <c r="C1079" s="1" t="n">
        <v>45355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25403-2023</t>
        </is>
      </c>
      <c r="B1080" s="1" t="n">
        <v>45079</v>
      </c>
      <c r="C1080" s="1" t="n">
        <v>45355</v>
      </c>
      <c r="D1080" t="inlineStr">
        <is>
          <t>KALMAR LÄN</t>
        </is>
      </c>
      <c r="E1080" t="inlineStr">
        <is>
          <t>VÄSTERVIK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24877-2023</t>
        </is>
      </c>
      <c r="B1081" s="1" t="n">
        <v>45085</v>
      </c>
      <c r="C1081" s="1" t="n">
        <v>45355</v>
      </c>
      <c r="D1081" t="inlineStr">
        <is>
          <t>KALMAR LÄN</t>
        </is>
      </c>
      <c r="E1081" t="inlineStr">
        <is>
          <t>VÄSTERVIK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24881-2023</t>
        </is>
      </c>
      <c r="B1082" s="1" t="n">
        <v>45085</v>
      </c>
      <c r="C1082" s="1" t="n">
        <v>45355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24893-2023</t>
        </is>
      </c>
      <c r="B1083" s="1" t="n">
        <v>45085</v>
      </c>
      <c r="C1083" s="1" t="n">
        <v>45355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25180-2023</t>
        </is>
      </c>
      <c r="B1084" s="1" t="n">
        <v>45086</v>
      </c>
      <c r="C1084" s="1" t="n">
        <v>45355</v>
      </c>
      <c r="D1084" t="inlineStr">
        <is>
          <t>KALMAR LÄN</t>
        </is>
      </c>
      <c r="E1084" t="inlineStr">
        <is>
          <t>VÄSTERVIK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25434-2023</t>
        </is>
      </c>
      <c r="B1085" s="1" t="n">
        <v>45089</v>
      </c>
      <c r="C1085" s="1" t="n">
        <v>45355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25440-2023</t>
        </is>
      </c>
      <c r="B1086" s="1" t="n">
        <v>45089</v>
      </c>
      <c r="C1086" s="1" t="n">
        <v>45355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25568-2023</t>
        </is>
      </c>
      <c r="B1087" s="1" t="n">
        <v>45089</v>
      </c>
      <c r="C1087" s="1" t="n">
        <v>45355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25488-2023</t>
        </is>
      </c>
      <c r="B1088" s="1" t="n">
        <v>45089</v>
      </c>
      <c r="C1088" s="1" t="n">
        <v>45355</v>
      </c>
      <c r="D1088" t="inlineStr">
        <is>
          <t>KALMAR LÄN</t>
        </is>
      </c>
      <c r="E1088" t="inlineStr">
        <is>
          <t>VÄSTERVIK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25518-2023</t>
        </is>
      </c>
      <c r="B1089" s="1" t="n">
        <v>45089</v>
      </c>
      <c r="C1089" s="1" t="n">
        <v>45355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25714-2023</t>
        </is>
      </c>
      <c r="B1090" s="1" t="n">
        <v>45089</v>
      </c>
      <c r="C1090" s="1" t="n">
        <v>45355</v>
      </c>
      <c r="D1090" t="inlineStr">
        <is>
          <t>KALMAR LÄN</t>
        </is>
      </c>
      <c r="E1090" t="inlineStr">
        <is>
          <t>VÄSTERVIK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25801-2023</t>
        </is>
      </c>
      <c r="B1091" s="1" t="n">
        <v>45090</v>
      </c>
      <c r="C1091" s="1" t="n">
        <v>45355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26244-2023</t>
        </is>
      </c>
      <c r="B1092" s="1" t="n">
        <v>45091</v>
      </c>
      <c r="C1092" s="1" t="n">
        <v>45355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26073-2023</t>
        </is>
      </c>
      <c r="B1093" s="1" t="n">
        <v>45091</v>
      </c>
      <c r="C1093" s="1" t="n">
        <v>45355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26773-2023</t>
        </is>
      </c>
      <c r="B1094" s="1" t="n">
        <v>45093</v>
      </c>
      <c r="C1094" s="1" t="n">
        <v>45355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26772-2023</t>
        </is>
      </c>
      <c r="B1095" s="1" t="n">
        <v>45093</v>
      </c>
      <c r="C1095" s="1" t="n">
        <v>45355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26776-2023</t>
        </is>
      </c>
      <c r="B1096" s="1" t="n">
        <v>45093</v>
      </c>
      <c r="C1096" s="1" t="n">
        <v>45355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26770-2023</t>
        </is>
      </c>
      <c r="B1097" s="1" t="n">
        <v>45093</v>
      </c>
      <c r="C1097" s="1" t="n">
        <v>45355</v>
      </c>
      <c r="D1097" t="inlineStr">
        <is>
          <t>KALMAR LÄN</t>
        </is>
      </c>
      <c r="E1097" t="inlineStr">
        <is>
          <t>VÄSTERVIK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26775-2023</t>
        </is>
      </c>
      <c r="B1098" s="1" t="n">
        <v>45093</v>
      </c>
      <c r="C1098" s="1" t="n">
        <v>45355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27485-2023</t>
        </is>
      </c>
      <c r="B1099" s="1" t="n">
        <v>45097</v>
      </c>
      <c r="C1099" s="1" t="n">
        <v>45355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27491-2023</t>
        </is>
      </c>
      <c r="B1100" s="1" t="n">
        <v>45097</v>
      </c>
      <c r="C1100" s="1" t="n">
        <v>45355</v>
      </c>
      <c r="D1100" t="inlineStr">
        <is>
          <t>KALMAR LÄN</t>
        </is>
      </c>
      <c r="E1100" t="inlineStr">
        <is>
          <t>VÄSTERVIK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27482-2023</t>
        </is>
      </c>
      <c r="B1101" s="1" t="n">
        <v>45097</v>
      </c>
      <c r="C1101" s="1" t="n">
        <v>45355</v>
      </c>
      <c r="D1101" t="inlineStr">
        <is>
          <t>KALMAR LÄN</t>
        </is>
      </c>
      <c r="E1101" t="inlineStr">
        <is>
          <t>VÄSTERVIK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27662-2023</t>
        </is>
      </c>
      <c r="B1102" s="1" t="n">
        <v>45097</v>
      </c>
      <c r="C1102" s="1" t="n">
        <v>45355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28895-2023</t>
        </is>
      </c>
      <c r="B1103" s="1" t="n">
        <v>45104</v>
      </c>
      <c r="C1103" s="1" t="n">
        <v>45355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28894-2023</t>
        </is>
      </c>
      <c r="B1104" s="1" t="n">
        <v>45104</v>
      </c>
      <c r="C1104" s="1" t="n">
        <v>45355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28939-2023</t>
        </is>
      </c>
      <c r="B1105" s="1" t="n">
        <v>45104</v>
      </c>
      <c r="C1105" s="1" t="n">
        <v>45355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28952-2023</t>
        </is>
      </c>
      <c r="B1106" s="1" t="n">
        <v>45104</v>
      </c>
      <c r="C1106" s="1" t="n">
        <v>45355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29907-2023</t>
        </is>
      </c>
      <c r="B1107" s="1" t="n">
        <v>45107</v>
      </c>
      <c r="C1107" s="1" t="n">
        <v>45355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29905-2023</t>
        </is>
      </c>
      <c r="B1108" s="1" t="n">
        <v>45107</v>
      </c>
      <c r="C1108" s="1" t="n">
        <v>45355</v>
      </c>
      <c r="D1108" t="inlineStr">
        <is>
          <t>KALMAR LÄN</t>
        </is>
      </c>
      <c r="E1108" t="inlineStr">
        <is>
          <t>VÄSTERVIK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29904-2023</t>
        </is>
      </c>
      <c r="B1109" s="1" t="n">
        <v>45107</v>
      </c>
      <c r="C1109" s="1" t="n">
        <v>45355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30029-2023</t>
        </is>
      </c>
      <c r="B1110" s="1" t="n">
        <v>45110</v>
      </c>
      <c r="C1110" s="1" t="n">
        <v>45355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30035-2023</t>
        </is>
      </c>
      <c r="B1111" s="1" t="n">
        <v>45110</v>
      </c>
      <c r="C1111" s="1" t="n">
        <v>45355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32418-2023</t>
        </is>
      </c>
      <c r="B1112" s="1" t="n">
        <v>45110</v>
      </c>
      <c r="C1112" s="1" t="n">
        <v>45355</v>
      </c>
      <c r="D1112" t="inlineStr">
        <is>
          <t>KALMAR LÄN</t>
        </is>
      </c>
      <c r="E1112" t="inlineStr">
        <is>
          <t>VÄSTERVIK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30431-2023</t>
        </is>
      </c>
      <c r="B1113" s="1" t="n">
        <v>45111</v>
      </c>
      <c r="C1113" s="1" t="n">
        <v>45355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30692-2023</t>
        </is>
      </c>
      <c r="B1114" s="1" t="n">
        <v>45112</v>
      </c>
      <c r="C1114" s="1" t="n">
        <v>45355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31437-2023</t>
        </is>
      </c>
      <c r="B1115" s="1" t="n">
        <v>45114</v>
      </c>
      <c r="C1115" s="1" t="n">
        <v>45355</v>
      </c>
      <c r="D1115" t="inlineStr">
        <is>
          <t>KALMAR LÄN</t>
        </is>
      </c>
      <c r="E1115" t="inlineStr">
        <is>
          <t>VÄSTERVIK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33277-2023</t>
        </is>
      </c>
      <c r="B1116" s="1" t="n">
        <v>45114</v>
      </c>
      <c r="C1116" s="1" t="n">
        <v>45355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31686-2023</t>
        </is>
      </c>
      <c r="B1117" s="1" t="n">
        <v>45117</v>
      </c>
      <c r="C1117" s="1" t="n">
        <v>45355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31691-2023</t>
        </is>
      </c>
      <c r="B1118" s="1" t="n">
        <v>45117</v>
      </c>
      <c r="C1118" s="1" t="n">
        <v>45355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32647-2023</t>
        </is>
      </c>
      <c r="B1119" s="1" t="n">
        <v>45121</v>
      </c>
      <c r="C1119" s="1" t="n">
        <v>45355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32813-2023</t>
        </is>
      </c>
      <c r="B1120" s="1" t="n">
        <v>45124</v>
      </c>
      <c r="C1120" s="1" t="n">
        <v>45355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32812-2023</t>
        </is>
      </c>
      <c r="B1121" s="1" t="n">
        <v>45124</v>
      </c>
      <c r="C1121" s="1" t="n">
        <v>45355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32811-2023</t>
        </is>
      </c>
      <c r="B1122" s="1" t="n">
        <v>45124</v>
      </c>
      <c r="C1122" s="1" t="n">
        <v>45355</v>
      </c>
      <c r="D1122" t="inlineStr">
        <is>
          <t>KALMAR LÄN</t>
        </is>
      </c>
      <c r="E1122" t="inlineStr">
        <is>
          <t>VÄSTERVIK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33271-2023</t>
        </is>
      </c>
      <c r="B1123" s="1" t="n">
        <v>45127</v>
      </c>
      <c r="C1123" s="1" t="n">
        <v>45355</v>
      </c>
      <c r="D1123" t="inlineStr">
        <is>
          <t>KALMAR LÄN</t>
        </is>
      </c>
      <c r="E1123" t="inlineStr">
        <is>
          <t>VÄSTERVIK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33272-2023</t>
        </is>
      </c>
      <c r="B1124" s="1" t="n">
        <v>45127</v>
      </c>
      <c r="C1124" s="1" t="n">
        <v>45355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33489-2023</t>
        </is>
      </c>
      <c r="B1125" s="1" t="n">
        <v>45131</v>
      </c>
      <c r="C1125" s="1" t="n">
        <v>45355</v>
      </c>
      <c r="D1125" t="inlineStr">
        <is>
          <t>KALMAR LÄN</t>
        </is>
      </c>
      <c r="E1125" t="inlineStr">
        <is>
          <t>VÄSTERVIK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33648-2023</t>
        </is>
      </c>
      <c r="B1126" s="1" t="n">
        <v>45132</v>
      </c>
      <c r="C1126" s="1" t="n">
        <v>45355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33647-2023</t>
        </is>
      </c>
      <c r="B1127" s="1" t="n">
        <v>45132</v>
      </c>
      <c r="C1127" s="1" t="n">
        <v>45355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33722-2023</t>
        </is>
      </c>
      <c r="B1128" s="1" t="n">
        <v>45133</v>
      </c>
      <c r="C1128" s="1" t="n">
        <v>45355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33828-2023</t>
        </is>
      </c>
      <c r="B1129" s="1" t="n">
        <v>45133</v>
      </c>
      <c r="C1129" s="1" t="n">
        <v>45355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33814-2023</t>
        </is>
      </c>
      <c r="B1130" s="1" t="n">
        <v>45133</v>
      </c>
      <c r="C1130" s="1" t="n">
        <v>45355</v>
      </c>
      <c r="D1130" t="inlineStr">
        <is>
          <t>KALMAR LÄN</t>
        </is>
      </c>
      <c r="E1130" t="inlineStr">
        <is>
          <t>VÄSTERVIK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33990-2023</t>
        </is>
      </c>
      <c r="B1131" s="1" t="n">
        <v>45134</v>
      </c>
      <c r="C1131" s="1" t="n">
        <v>45355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34121-2023</t>
        </is>
      </c>
      <c r="B1132" s="1" t="n">
        <v>45135</v>
      </c>
      <c r="C1132" s="1" t="n">
        <v>45355</v>
      </c>
      <c r="D1132" t="inlineStr">
        <is>
          <t>KALMAR LÄN</t>
        </is>
      </c>
      <c r="E1132" t="inlineStr">
        <is>
          <t>VÄSTERVIK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HYPERLINK("https://klasma.github.io/Logging_0883/knärot/A 34121-2023 karta knärot.png", "A 34121-2023")</f>
        <v/>
      </c>
      <c r="V1132">
        <f>HYPERLINK("https://klasma.github.io/Logging_0883/klagomål/A 34121-2023 FSC-klagomål.docx", "A 34121-2023")</f>
        <v/>
      </c>
      <c r="W1132">
        <f>HYPERLINK("https://klasma.github.io/Logging_0883/klagomålsmail/A 34121-2023 FSC-klagomål mail.docx", "A 34121-2023")</f>
        <v/>
      </c>
      <c r="X1132">
        <f>HYPERLINK("https://klasma.github.io/Logging_0883/tillsyn/A 34121-2023 tillsynsbegäran.docx", "A 34121-2023")</f>
        <v/>
      </c>
      <c r="Y1132">
        <f>HYPERLINK("https://klasma.github.io/Logging_0883/tillsynsmail/A 34121-2023 tillsynsbegäran mail.docx", "A 34121-2023")</f>
        <v/>
      </c>
    </row>
    <row r="1133" ht="15" customHeight="1">
      <c r="A1133" t="inlineStr">
        <is>
          <t>A 34643-2023</t>
        </is>
      </c>
      <c r="B1133" s="1" t="n">
        <v>45140</v>
      </c>
      <c r="C1133" s="1" t="n">
        <v>45355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34648-2023</t>
        </is>
      </c>
      <c r="B1134" s="1" t="n">
        <v>45140</v>
      </c>
      <c r="C1134" s="1" t="n">
        <v>45355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34641-2023</t>
        </is>
      </c>
      <c r="B1135" s="1" t="n">
        <v>45140</v>
      </c>
      <c r="C1135" s="1" t="n">
        <v>45355</v>
      </c>
      <c r="D1135" t="inlineStr">
        <is>
          <t>KALMAR LÄN</t>
        </is>
      </c>
      <c r="E1135" t="inlineStr">
        <is>
          <t>VÄSTERVIK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34646-2023</t>
        </is>
      </c>
      <c r="B1136" s="1" t="n">
        <v>45140</v>
      </c>
      <c r="C1136" s="1" t="n">
        <v>45355</v>
      </c>
      <c r="D1136" t="inlineStr">
        <is>
          <t>KALMAR LÄN</t>
        </is>
      </c>
      <c r="E1136" t="inlineStr">
        <is>
          <t>VÄSTERVIK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34655-2023</t>
        </is>
      </c>
      <c r="B1137" s="1" t="n">
        <v>45140</v>
      </c>
      <c r="C1137" s="1" t="n">
        <v>45355</v>
      </c>
      <c r="D1137" t="inlineStr">
        <is>
          <t>KALMAR LÄN</t>
        </is>
      </c>
      <c r="E1137" t="inlineStr">
        <is>
          <t>VÄSTERVIK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34650-2023</t>
        </is>
      </c>
      <c r="B1138" s="1" t="n">
        <v>45140</v>
      </c>
      <c r="C1138" s="1" t="n">
        <v>45355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34953-2023</t>
        </is>
      </c>
      <c r="B1139" s="1" t="n">
        <v>45142</v>
      </c>
      <c r="C1139" s="1" t="n">
        <v>45355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35171-2023</t>
        </is>
      </c>
      <c r="B1140" s="1" t="n">
        <v>45145</v>
      </c>
      <c r="C1140" s="1" t="n">
        <v>45355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35160-2023</t>
        </is>
      </c>
      <c r="B1141" s="1" t="n">
        <v>45145</v>
      </c>
      <c r="C1141" s="1" t="n">
        <v>45355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35180-2023</t>
        </is>
      </c>
      <c r="B1142" s="1" t="n">
        <v>45145</v>
      </c>
      <c r="C1142" s="1" t="n">
        <v>45355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35502-2023</t>
        </is>
      </c>
      <c r="B1143" s="1" t="n">
        <v>45146</v>
      </c>
      <c r="C1143" s="1" t="n">
        <v>45355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35484-2023</t>
        </is>
      </c>
      <c r="B1144" s="1" t="n">
        <v>45146</v>
      </c>
      <c r="C1144" s="1" t="n">
        <v>45355</v>
      </c>
      <c r="D1144" t="inlineStr">
        <is>
          <t>KALMAR LÄN</t>
        </is>
      </c>
      <c r="E1144" t="inlineStr">
        <is>
          <t>VÄSTERVIK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35485-2023</t>
        </is>
      </c>
      <c r="B1145" s="1" t="n">
        <v>45146</v>
      </c>
      <c r="C1145" s="1" t="n">
        <v>45355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35658-2023</t>
        </is>
      </c>
      <c r="B1146" s="1" t="n">
        <v>45147</v>
      </c>
      <c r="C1146" s="1" t="n">
        <v>45355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35662-2023</t>
        </is>
      </c>
      <c r="B1147" s="1" t="n">
        <v>45147</v>
      </c>
      <c r="C1147" s="1" t="n">
        <v>45355</v>
      </c>
      <c r="D1147" t="inlineStr">
        <is>
          <t>KALMAR LÄN</t>
        </is>
      </c>
      <c r="E1147" t="inlineStr">
        <is>
          <t>VÄSTERVIK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35666-2023</t>
        </is>
      </c>
      <c r="B1148" s="1" t="n">
        <v>45147</v>
      </c>
      <c r="C1148" s="1" t="n">
        <v>45355</v>
      </c>
      <c r="D1148" t="inlineStr">
        <is>
          <t>KALMAR LÄN</t>
        </is>
      </c>
      <c r="E1148" t="inlineStr">
        <is>
          <t>VÄSTERVIK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35606-2023</t>
        </is>
      </c>
      <c r="B1149" s="1" t="n">
        <v>45147</v>
      </c>
      <c r="C1149" s="1" t="n">
        <v>45355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35770-2023</t>
        </is>
      </c>
      <c r="B1150" s="1" t="n">
        <v>45147</v>
      </c>
      <c r="C1150" s="1" t="n">
        <v>45355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35655-2023</t>
        </is>
      </c>
      <c r="B1151" s="1" t="n">
        <v>45147</v>
      </c>
      <c r="C1151" s="1" t="n">
        <v>45355</v>
      </c>
      <c r="D1151" t="inlineStr">
        <is>
          <t>KALMAR LÄN</t>
        </is>
      </c>
      <c r="E1151" t="inlineStr">
        <is>
          <t>VÄSTERVIK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35667-2023</t>
        </is>
      </c>
      <c r="B1152" s="1" t="n">
        <v>45147</v>
      </c>
      <c r="C1152" s="1" t="n">
        <v>45355</v>
      </c>
      <c r="D1152" t="inlineStr">
        <is>
          <t>KALMAR LÄN</t>
        </is>
      </c>
      <c r="E1152" t="inlineStr">
        <is>
          <t>VÄSTERVIK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35652-2023</t>
        </is>
      </c>
      <c r="B1153" s="1" t="n">
        <v>45147</v>
      </c>
      <c r="C1153" s="1" t="n">
        <v>45355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35660-2023</t>
        </is>
      </c>
      <c r="B1154" s="1" t="n">
        <v>45147</v>
      </c>
      <c r="C1154" s="1" t="n">
        <v>45355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35619-2023</t>
        </is>
      </c>
      <c r="B1155" s="1" t="n">
        <v>45147</v>
      </c>
      <c r="C1155" s="1" t="n">
        <v>45355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35653-2023</t>
        </is>
      </c>
      <c r="B1156" s="1" t="n">
        <v>45147</v>
      </c>
      <c r="C1156" s="1" t="n">
        <v>45355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35665-2023</t>
        </is>
      </c>
      <c r="B1157" s="1" t="n">
        <v>45147</v>
      </c>
      <c r="C1157" s="1" t="n">
        <v>45355</v>
      </c>
      <c r="D1157" t="inlineStr">
        <is>
          <t>KALMAR LÄN</t>
        </is>
      </c>
      <c r="E1157" t="inlineStr">
        <is>
          <t>VÄSTERVIK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35960-2023</t>
        </is>
      </c>
      <c r="B1158" s="1" t="n">
        <v>45148</v>
      </c>
      <c r="C1158" s="1" t="n">
        <v>45355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35959-2023</t>
        </is>
      </c>
      <c r="B1159" s="1" t="n">
        <v>45148</v>
      </c>
      <c r="C1159" s="1" t="n">
        <v>45355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35962-2023</t>
        </is>
      </c>
      <c r="B1160" s="1" t="n">
        <v>45148</v>
      </c>
      <c r="C1160" s="1" t="n">
        <v>45355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35961-2023</t>
        </is>
      </c>
      <c r="B1161" s="1" t="n">
        <v>45148</v>
      </c>
      <c r="C1161" s="1" t="n">
        <v>45355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36418-2023</t>
        </is>
      </c>
      <c r="B1162" s="1" t="n">
        <v>45152</v>
      </c>
      <c r="C1162" s="1" t="n">
        <v>45355</v>
      </c>
      <c r="D1162" t="inlineStr">
        <is>
          <t>KALMAR LÄN</t>
        </is>
      </c>
      <c r="E1162" t="inlineStr">
        <is>
          <t>VÄSTERVIK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HYPERLINK("https://klasma.github.io/Logging_0883/knärot/A 36418-2023 karta knärot.png", "A 36418-2023")</f>
        <v/>
      </c>
      <c r="V1162">
        <f>HYPERLINK("https://klasma.github.io/Logging_0883/klagomål/A 36418-2023 FSC-klagomål.docx", "A 36418-2023")</f>
        <v/>
      </c>
      <c r="W1162">
        <f>HYPERLINK("https://klasma.github.io/Logging_0883/klagomålsmail/A 36418-2023 FSC-klagomål mail.docx", "A 36418-2023")</f>
        <v/>
      </c>
      <c r="X1162">
        <f>HYPERLINK("https://klasma.github.io/Logging_0883/tillsyn/A 36418-2023 tillsynsbegäran.docx", "A 36418-2023")</f>
        <v/>
      </c>
      <c r="Y1162">
        <f>HYPERLINK("https://klasma.github.io/Logging_0883/tillsynsmail/A 36418-2023 tillsynsbegäran mail.docx", "A 36418-2023")</f>
        <v/>
      </c>
    </row>
    <row r="1163" ht="15" customHeight="1">
      <c r="A1163" t="inlineStr">
        <is>
          <t>A 36572-2023</t>
        </is>
      </c>
      <c r="B1163" s="1" t="n">
        <v>45153</v>
      </c>
      <c r="C1163" s="1" t="n">
        <v>45355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36643-2023</t>
        </is>
      </c>
      <c r="B1164" s="1" t="n">
        <v>45153</v>
      </c>
      <c r="C1164" s="1" t="n">
        <v>45355</v>
      </c>
      <c r="D1164" t="inlineStr">
        <is>
          <t>KALMAR LÄN</t>
        </is>
      </c>
      <c r="E1164" t="inlineStr">
        <is>
          <t>VÄSTERVIK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37349-2023</t>
        </is>
      </c>
      <c r="B1165" s="1" t="n">
        <v>45156</v>
      </c>
      <c r="C1165" s="1" t="n">
        <v>45355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37352-2023</t>
        </is>
      </c>
      <c r="B1166" s="1" t="n">
        <v>45156</v>
      </c>
      <c r="C1166" s="1" t="n">
        <v>45355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37354-2023</t>
        </is>
      </c>
      <c r="B1167" s="1" t="n">
        <v>45156</v>
      </c>
      <c r="C1167" s="1" t="n">
        <v>45355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37351-2023</t>
        </is>
      </c>
      <c r="B1168" s="1" t="n">
        <v>45156</v>
      </c>
      <c r="C1168" s="1" t="n">
        <v>45355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37642-2023</t>
        </is>
      </c>
      <c r="B1169" s="1" t="n">
        <v>45159</v>
      </c>
      <c r="C1169" s="1" t="n">
        <v>45355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37643-2023</t>
        </is>
      </c>
      <c r="B1170" s="1" t="n">
        <v>45159</v>
      </c>
      <c r="C1170" s="1" t="n">
        <v>45355</v>
      </c>
      <c r="D1170" t="inlineStr">
        <is>
          <t>KALMAR LÄN</t>
        </is>
      </c>
      <c r="E1170" t="inlineStr">
        <is>
          <t>VÄSTERVIK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37644-2023</t>
        </is>
      </c>
      <c r="B1171" s="1" t="n">
        <v>45159</v>
      </c>
      <c r="C1171" s="1" t="n">
        <v>45355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37661-2023</t>
        </is>
      </c>
      <c r="B1172" s="1" t="n">
        <v>45159</v>
      </c>
      <c r="C1172" s="1" t="n">
        <v>45355</v>
      </c>
      <c r="D1172" t="inlineStr">
        <is>
          <t>KALMAR LÄN</t>
        </is>
      </c>
      <c r="E1172" t="inlineStr">
        <is>
          <t>VÄSTERVIK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37716-2023</t>
        </is>
      </c>
      <c r="B1173" s="1" t="n">
        <v>45159</v>
      </c>
      <c r="C1173" s="1" t="n">
        <v>45355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37858-2023</t>
        </is>
      </c>
      <c r="B1174" s="1" t="n">
        <v>45160</v>
      </c>
      <c r="C1174" s="1" t="n">
        <v>45355</v>
      </c>
      <c r="D1174" t="inlineStr">
        <is>
          <t>KALMAR LÄN</t>
        </is>
      </c>
      <c r="E1174" t="inlineStr">
        <is>
          <t>VÄSTERVIK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37956-2023</t>
        </is>
      </c>
      <c r="B1175" s="1" t="n">
        <v>45160</v>
      </c>
      <c r="C1175" s="1" t="n">
        <v>45355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38040-2023</t>
        </is>
      </c>
      <c r="B1176" s="1" t="n">
        <v>45160</v>
      </c>
      <c r="C1176" s="1" t="n">
        <v>45355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38045-2023</t>
        </is>
      </c>
      <c r="B1177" s="1" t="n">
        <v>45160</v>
      </c>
      <c r="C1177" s="1" t="n">
        <v>45355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37952-2023</t>
        </is>
      </c>
      <c r="B1178" s="1" t="n">
        <v>45160</v>
      </c>
      <c r="C1178" s="1" t="n">
        <v>45355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37986-2023</t>
        </is>
      </c>
      <c r="B1179" s="1" t="n">
        <v>45160</v>
      </c>
      <c r="C1179" s="1" t="n">
        <v>45355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37991-2023</t>
        </is>
      </c>
      <c r="B1180" s="1" t="n">
        <v>45160</v>
      </c>
      <c r="C1180" s="1" t="n">
        <v>45355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38047-2023</t>
        </is>
      </c>
      <c r="B1181" s="1" t="n">
        <v>45160</v>
      </c>
      <c r="C1181" s="1" t="n">
        <v>45355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37987-2023</t>
        </is>
      </c>
      <c r="B1182" s="1" t="n">
        <v>45160</v>
      </c>
      <c r="C1182" s="1" t="n">
        <v>45355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37997-2023</t>
        </is>
      </c>
      <c r="B1183" s="1" t="n">
        <v>45160</v>
      </c>
      <c r="C1183" s="1" t="n">
        <v>45355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37957-2023</t>
        </is>
      </c>
      <c r="B1184" s="1" t="n">
        <v>45160</v>
      </c>
      <c r="C1184" s="1" t="n">
        <v>45355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37963-2023</t>
        </is>
      </c>
      <c r="B1185" s="1" t="n">
        <v>45160</v>
      </c>
      <c r="C1185" s="1" t="n">
        <v>45355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37989-2023</t>
        </is>
      </c>
      <c r="B1186" s="1" t="n">
        <v>45160</v>
      </c>
      <c r="C1186" s="1" t="n">
        <v>45355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37995-2023</t>
        </is>
      </c>
      <c r="B1187" s="1" t="n">
        <v>45160</v>
      </c>
      <c r="C1187" s="1" t="n">
        <v>45355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38037-2023</t>
        </is>
      </c>
      <c r="B1188" s="1" t="n">
        <v>45160</v>
      </c>
      <c r="C1188" s="1" t="n">
        <v>45355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38041-2023</t>
        </is>
      </c>
      <c r="B1189" s="1" t="n">
        <v>45160</v>
      </c>
      <c r="C1189" s="1" t="n">
        <v>45355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38046-2023</t>
        </is>
      </c>
      <c r="B1190" s="1" t="n">
        <v>45160</v>
      </c>
      <c r="C1190" s="1" t="n">
        <v>45355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38048-2023</t>
        </is>
      </c>
      <c r="B1191" s="1" t="n">
        <v>45160</v>
      </c>
      <c r="C1191" s="1" t="n">
        <v>45355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38174-2023</t>
        </is>
      </c>
      <c r="B1192" s="1" t="n">
        <v>45161</v>
      </c>
      <c r="C1192" s="1" t="n">
        <v>45355</v>
      </c>
      <c r="D1192" t="inlineStr">
        <is>
          <t>KALMAR LÄN</t>
        </is>
      </c>
      <c r="E1192" t="inlineStr">
        <is>
          <t>VÄSTERVIK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39299-2023</t>
        </is>
      </c>
      <c r="B1193" s="1" t="n">
        <v>45166</v>
      </c>
      <c r="C1193" s="1" t="n">
        <v>45355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39630-2023</t>
        </is>
      </c>
      <c r="B1194" s="1" t="n">
        <v>45167</v>
      </c>
      <c r="C1194" s="1" t="n">
        <v>45355</v>
      </c>
      <c r="D1194" t="inlineStr">
        <is>
          <t>KALMAR LÄN</t>
        </is>
      </c>
      <c r="E1194" t="inlineStr">
        <is>
          <t>VÄSTERVIK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39892-2023</t>
        </is>
      </c>
      <c r="B1195" s="1" t="n">
        <v>45168</v>
      </c>
      <c r="C1195" s="1" t="n">
        <v>45355</v>
      </c>
      <c r="D1195" t="inlineStr">
        <is>
          <t>KALMAR LÄN</t>
        </is>
      </c>
      <c r="E1195" t="inlineStr">
        <is>
          <t>VÄSTERVIK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40677-2023</t>
        </is>
      </c>
      <c r="B1196" s="1" t="n">
        <v>45170</v>
      </c>
      <c r="C1196" s="1" t="n">
        <v>45355</v>
      </c>
      <c r="D1196" t="inlineStr">
        <is>
          <t>KALMAR LÄN</t>
        </is>
      </c>
      <c r="E1196" t="inlineStr">
        <is>
          <t>VÄSTERVIK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40451-2023</t>
        </is>
      </c>
      <c r="B1197" s="1" t="n">
        <v>45170</v>
      </c>
      <c r="C1197" s="1" t="n">
        <v>45355</v>
      </c>
      <c r="D1197" t="inlineStr">
        <is>
          <t>KALMAR LÄN</t>
        </is>
      </c>
      <c r="E1197" t="inlineStr">
        <is>
          <t>VÄSTERVIK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40674-2023</t>
        </is>
      </c>
      <c r="B1198" s="1" t="n">
        <v>45170</v>
      </c>
      <c r="C1198" s="1" t="n">
        <v>45355</v>
      </c>
      <c r="D1198" t="inlineStr">
        <is>
          <t>KALMAR LÄN</t>
        </is>
      </c>
      <c r="E1198" t="inlineStr">
        <is>
          <t>VÄSTERVIK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40973-2023</t>
        </is>
      </c>
      <c r="B1199" s="1" t="n">
        <v>45173</v>
      </c>
      <c r="C1199" s="1" t="n">
        <v>45355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40935-2023</t>
        </is>
      </c>
      <c r="B1200" s="1" t="n">
        <v>45173</v>
      </c>
      <c r="C1200" s="1" t="n">
        <v>45355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40977-2023</t>
        </is>
      </c>
      <c r="B1201" s="1" t="n">
        <v>45173</v>
      </c>
      <c r="C1201" s="1" t="n">
        <v>45355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41342-2023</t>
        </is>
      </c>
      <c r="B1202" s="1" t="n">
        <v>45174</v>
      </c>
      <c r="C1202" s="1" t="n">
        <v>45355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41994-2023</t>
        </is>
      </c>
      <c r="B1203" s="1" t="n">
        <v>45177</v>
      </c>
      <c r="C1203" s="1" t="n">
        <v>45355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42415-2023</t>
        </is>
      </c>
      <c r="B1204" s="1" t="n">
        <v>45180</v>
      </c>
      <c r="C1204" s="1" t="n">
        <v>45355</v>
      </c>
      <c r="D1204" t="inlineStr">
        <is>
          <t>KALMAR LÄN</t>
        </is>
      </c>
      <c r="E1204" t="inlineStr">
        <is>
          <t>VÄSTERVIK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42331-2023</t>
        </is>
      </c>
      <c r="B1205" s="1" t="n">
        <v>45180</v>
      </c>
      <c r="C1205" s="1" t="n">
        <v>45355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42348-2023</t>
        </is>
      </c>
      <c r="B1206" s="1" t="n">
        <v>45180</v>
      </c>
      <c r="C1206" s="1" t="n">
        <v>45355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43660-2023</t>
        </is>
      </c>
      <c r="B1207" s="1" t="n">
        <v>45187</v>
      </c>
      <c r="C1207" s="1" t="n">
        <v>45355</v>
      </c>
      <c r="D1207" t="inlineStr">
        <is>
          <t>KALMAR LÄN</t>
        </is>
      </c>
      <c r="E1207" t="inlineStr">
        <is>
          <t>VÄSTERVIK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43759-2023</t>
        </is>
      </c>
      <c r="B1208" s="1" t="n">
        <v>45187</v>
      </c>
      <c r="C1208" s="1" t="n">
        <v>45355</v>
      </c>
      <c r="D1208" t="inlineStr">
        <is>
          <t>KALMAR LÄN</t>
        </is>
      </c>
      <c r="E1208" t="inlineStr">
        <is>
          <t>VÄSTERVIK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43900-2023</t>
        </is>
      </c>
      <c r="B1209" s="1" t="n">
        <v>45187</v>
      </c>
      <c r="C1209" s="1" t="n">
        <v>45355</v>
      </c>
      <c r="D1209" t="inlineStr">
        <is>
          <t>KALMAR LÄN</t>
        </is>
      </c>
      <c r="E1209" t="inlineStr">
        <is>
          <t>VÄSTERVIK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44705-2023</t>
        </is>
      </c>
      <c r="B1210" s="1" t="n">
        <v>45190</v>
      </c>
      <c r="C1210" s="1" t="n">
        <v>45355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44714-2023</t>
        </is>
      </c>
      <c r="B1211" s="1" t="n">
        <v>45190</v>
      </c>
      <c r="C1211" s="1" t="n">
        <v>45355</v>
      </c>
      <c r="D1211" t="inlineStr">
        <is>
          <t>KALMAR LÄN</t>
        </is>
      </c>
      <c r="E1211" t="inlineStr">
        <is>
          <t>VÄSTERVIK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44749-2023</t>
        </is>
      </c>
      <c r="B1212" s="1" t="n">
        <v>45190</v>
      </c>
      <c r="C1212" s="1" t="n">
        <v>45355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44721-2023</t>
        </is>
      </c>
      <c r="B1213" s="1" t="n">
        <v>45190</v>
      </c>
      <c r="C1213" s="1" t="n">
        <v>45355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45192-2023</t>
        </is>
      </c>
      <c r="B1214" s="1" t="n">
        <v>45191</v>
      </c>
      <c r="C1214" s="1" t="n">
        <v>45355</v>
      </c>
      <c r="D1214" t="inlineStr">
        <is>
          <t>KALMAR LÄN</t>
        </is>
      </c>
      <c r="E1214" t="inlineStr">
        <is>
          <t>VÄSTERVIK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45202-2023</t>
        </is>
      </c>
      <c r="B1215" s="1" t="n">
        <v>45191</v>
      </c>
      <c r="C1215" s="1" t="n">
        <v>45355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45190-2023</t>
        </is>
      </c>
      <c r="B1216" s="1" t="n">
        <v>45191</v>
      </c>
      <c r="C1216" s="1" t="n">
        <v>45355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45396-2023</t>
        </is>
      </c>
      <c r="B1217" s="1" t="n">
        <v>45194</v>
      </c>
      <c r="C1217" s="1" t="n">
        <v>45355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45474-2023</t>
        </is>
      </c>
      <c r="B1218" s="1" t="n">
        <v>45194</v>
      </c>
      <c r="C1218" s="1" t="n">
        <v>45355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45450-2023</t>
        </is>
      </c>
      <c r="B1219" s="1" t="n">
        <v>45194</v>
      </c>
      <c r="C1219" s="1" t="n">
        <v>45355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45460-2023</t>
        </is>
      </c>
      <c r="B1220" s="1" t="n">
        <v>45194</v>
      </c>
      <c r="C1220" s="1" t="n">
        <v>45355</v>
      </c>
      <c r="D1220" t="inlineStr">
        <is>
          <t>KALMAR LÄN</t>
        </is>
      </c>
      <c r="E1220" t="inlineStr">
        <is>
          <t>VÄSTERVIK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45921-2023</t>
        </is>
      </c>
      <c r="B1221" s="1" t="n">
        <v>45195</v>
      </c>
      <c r="C1221" s="1" t="n">
        <v>45355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46088-2023</t>
        </is>
      </c>
      <c r="B1222" s="1" t="n">
        <v>45196</v>
      </c>
      <c r="C1222" s="1" t="n">
        <v>45355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46124-2023</t>
        </is>
      </c>
      <c r="B1223" s="1" t="n">
        <v>45196</v>
      </c>
      <c r="C1223" s="1" t="n">
        <v>45355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46129-2023</t>
        </is>
      </c>
      <c r="B1224" s="1" t="n">
        <v>45196</v>
      </c>
      <c r="C1224" s="1" t="n">
        <v>45355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46067-2023</t>
        </is>
      </c>
      <c r="B1225" s="1" t="n">
        <v>45196</v>
      </c>
      <c r="C1225" s="1" t="n">
        <v>45355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46064-2023</t>
        </is>
      </c>
      <c r="B1226" s="1" t="n">
        <v>45196</v>
      </c>
      <c r="C1226" s="1" t="n">
        <v>45355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46069-2023</t>
        </is>
      </c>
      <c r="B1227" s="1" t="n">
        <v>45196</v>
      </c>
      <c r="C1227" s="1" t="n">
        <v>45355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46130-2023</t>
        </is>
      </c>
      <c r="B1228" s="1" t="n">
        <v>45196</v>
      </c>
      <c r="C1228" s="1" t="n">
        <v>45355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46066-2023</t>
        </is>
      </c>
      <c r="B1229" s="1" t="n">
        <v>45196</v>
      </c>
      <c r="C1229" s="1" t="n">
        <v>45355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46070-2023</t>
        </is>
      </c>
      <c r="B1230" s="1" t="n">
        <v>45196</v>
      </c>
      <c r="C1230" s="1" t="n">
        <v>45355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46121-2023</t>
        </is>
      </c>
      <c r="B1231" s="1" t="n">
        <v>45196</v>
      </c>
      <c r="C1231" s="1" t="n">
        <v>45355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46126-2023</t>
        </is>
      </c>
      <c r="B1232" s="1" t="n">
        <v>45196</v>
      </c>
      <c r="C1232" s="1" t="n">
        <v>45355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46131-2023</t>
        </is>
      </c>
      <c r="B1233" s="1" t="n">
        <v>45196</v>
      </c>
      <c r="C1233" s="1" t="n">
        <v>45355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46598-2023</t>
        </is>
      </c>
      <c r="B1234" s="1" t="n">
        <v>45198</v>
      </c>
      <c r="C1234" s="1" t="n">
        <v>45355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46717-2023</t>
        </is>
      </c>
      <c r="B1235" s="1" t="n">
        <v>45198</v>
      </c>
      <c r="C1235" s="1" t="n">
        <v>45355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46718-2023</t>
        </is>
      </c>
      <c r="B1236" s="1" t="n">
        <v>45198</v>
      </c>
      <c r="C1236" s="1" t="n">
        <v>45355</v>
      </c>
      <c r="D1236" t="inlineStr">
        <is>
          <t>KALMAR LÄN</t>
        </is>
      </c>
      <c r="E1236" t="inlineStr">
        <is>
          <t>VÄSTERVIK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47123-2023</t>
        </is>
      </c>
      <c r="B1237" s="1" t="n">
        <v>45201</v>
      </c>
      <c r="C1237" s="1" t="n">
        <v>45355</v>
      </c>
      <c r="D1237" t="inlineStr">
        <is>
          <t>KALMAR LÄN</t>
        </is>
      </c>
      <c r="E1237" t="inlineStr">
        <is>
          <t>VÄSTERVIK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46920-2023</t>
        </is>
      </c>
      <c r="B1238" s="1" t="n">
        <v>45201</v>
      </c>
      <c r="C1238" s="1" t="n">
        <v>45355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47111-2023</t>
        </is>
      </c>
      <c r="B1239" s="1" t="n">
        <v>45201</v>
      </c>
      <c r="C1239" s="1" t="n">
        <v>45355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47120-2023</t>
        </is>
      </c>
      <c r="B1240" s="1" t="n">
        <v>45201</v>
      </c>
      <c r="C1240" s="1" t="n">
        <v>45355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47124-2023</t>
        </is>
      </c>
      <c r="B1241" s="1" t="n">
        <v>45201</v>
      </c>
      <c r="C1241" s="1" t="n">
        <v>45355</v>
      </c>
      <c r="D1241" t="inlineStr">
        <is>
          <t>KALMAR LÄN</t>
        </is>
      </c>
      <c r="E1241" t="inlineStr">
        <is>
          <t>VÄSTERVIK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46970-2023</t>
        </is>
      </c>
      <c r="B1242" s="1" t="n">
        <v>45201</v>
      </c>
      <c r="C1242" s="1" t="n">
        <v>45355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46968-2023</t>
        </is>
      </c>
      <c r="B1243" s="1" t="n">
        <v>45201</v>
      </c>
      <c r="C1243" s="1" t="n">
        <v>45355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47414-2023</t>
        </is>
      </c>
      <c r="B1244" s="1" t="n">
        <v>45202</v>
      </c>
      <c r="C1244" s="1" t="n">
        <v>45355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47267-2023</t>
        </is>
      </c>
      <c r="B1245" s="1" t="n">
        <v>45202</v>
      </c>
      <c r="C1245" s="1" t="n">
        <v>45355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47363-2023</t>
        </is>
      </c>
      <c r="B1246" s="1" t="n">
        <v>45202</v>
      </c>
      <c r="C1246" s="1" t="n">
        <v>45355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47964-2023</t>
        </is>
      </c>
      <c r="B1247" s="1" t="n">
        <v>45204</v>
      </c>
      <c r="C1247" s="1" t="n">
        <v>45355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47945-2023</t>
        </is>
      </c>
      <c r="B1248" s="1" t="n">
        <v>45204</v>
      </c>
      <c r="C1248" s="1" t="n">
        <v>45355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47939-2023</t>
        </is>
      </c>
      <c r="B1249" s="1" t="n">
        <v>45204</v>
      </c>
      <c r="C1249" s="1" t="n">
        <v>45355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48039-2023</t>
        </is>
      </c>
      <c r="B1250" s="1" t="n">
        <v>45204</v>
      </c>
      <c r="C1250" s="1" t="n">
        <v>45355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48043-2023</t>
        </is>
      </c>
      <c r="B1251" s="1" t="n">
        <v>45204</v>
      </c>
      <c r="C1251" s="1" t="n">
        <v>45355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48041-2023</t>
        </is>
      </c>
      <c r="B1252" s="1" t="n">
        <v>45204</v>
      </c>
      <c r="C1252" s="1" t="n">
        <v>45355</v>
      </c>
      <c r="D1252" t="inlineStr">
        <is>
          <t>KALMAR LÄN</t>
        </is>
      </c>
      <c r="E1252" t="inlineStr">
        <is>
          <t>VÄSTERVIK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47967-2023</t>
        </is>
      </c>
      <c r="B1253" s="1" t="n">
        <v>45204</v>
      </c>
      <c r="C1253" s="1" t="n">
        <v>45355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48511-2023</t>
        </is>
      </c>
      <c r="B1254" s="1" t="n">
        <v>45208</v>
      </c>
      <c r="C1254" s="1" t="n">
        <v>45355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49177-2023</t>
        </is>
      </c>
      <c r="B1255" s="1" t="n">
        <v>45210</v>
      </c>
      <c r="C1255" s="1" t="n">
        <v>45355</v>
      </c>
      <c r="D1255" t="inlineStr">
        <is>
          <t>KALMAR LÄN</t>
        </is>
      </c>
      <c r="E1255" t="inlineStr">
        <is>
          <t>VÄSTERVIK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49351-2023</t>
        </is>
      </c>
      <c r="B1256" s="1" t="n">
        <v>45211</v>
      </c>
      <c r="C1256" s="1" t="n">
        <v>45355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49355-2023</t>
        </is>
      </c>
      <c r="B1257" s="1" t="n">
        <v>45211</v>
      </c>
      <c r="C1257" s="1" t="n">
        <v>45355</v>
      </c>
      <c r="D1257" t="inlineStr">
        <is>
          <t>KALMAR LÄN</t>
        </is>
      </c>
      <c r="E1257" t="inlineStr">
        <is>
          <t>VÄSTERVIK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49369-2023</t>
        </is>
      </c>
      <c r="B1258" s="1" t="n">
        <v>45211</v>
      </c>
      <c r="C1258" s="1" t="n">
        <v>45355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49452-2023</t>
        </is>
      </c>
      <c r="B1259" s="1" t="n">
        <v>45211</v>
      </c>
      <c r="C1259" s="1" t="n">
        <v>45355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49479-2023</t>
        </is>
      </c>
      <c r="B1260" s="1" t="n">
        <v>45211</v>
      </c>
      <c r="C1260" s="1" t="n">
        <v>45355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49507-2023</t>
        </is>
      </c>
      <c r="B1261" s="1" t="n">
        <v>45211</v>
      </c>
      <c r="C1261" s="1" t="n">
        <v>45355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49516-2023</t>
        </is>
      </c>
      <c r="B1262" s="1" t="n">
        <v>45211</v>
      </c>
      <c r="C1262" s="1" t="n">
        <v>45355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49442-2023</t>
        </is>
      </c>
      <c r="B1263" s="1" t="n">
        <v>45211</v>
      </c>
      <c r="C1263" s="1" t="n">
        <v>45355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49468-2023</t>
        </is>
      </c>
      <c r="B1264" s="1" t="n">
        <v>45211</v>
      </c>
      <c r="C1264" s="1" t="n">
        <v>45355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49580-2023</t>
        </is>
      </c>
      <c r="B1265" s="1" t="n">
        <v>45211</v>
      </c>
      <c r="C1265" s="1" t="n">
        <v>45355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50042-2023</t>
        </is>
      </c>
      <c r="B1266" s="1" t="n">
        <v>45215</v>
      </c>
      <c r="C1266" s="1" t="n">
        <v>45355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50127-2023</t>
        </is>
      </c>
      <c r="B1267" s="1" t="n">
        <v>45215</v>
      </c>
      <c r="C1267" s="1" t="n">
        <v>45355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50001-2023</t>
        </is>
      </c>
      <c r="B1268" s="1" t="n">
        <v>45215</v>
      </c>
      <c r="C1268" s="1" t="n">
        <v>45355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50045-2023</t>
        </is>
      </c>
      <c r="B1269" s="1" t="n">
        <v>45215</v>
      </c>
      <c r="C1269" s="1" t="n">
        <v>45355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50086-2023</t>
        </is>
      </c>
      <c r="B1270" s="1" t="n">
        <v>45215</v>
      </c>
      <c r="C1270" s="1" t="n">
        <v>45355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52043-2023</t>
        </is>
      </c>
      <c r="B1271" s="1" t="n">
        <v>45216</v>
      </c>
      <c r="C1271" s="1" t="n">
        <v>45355</v>
      </c>
      <c r="D1271" t="inlineStr">
        <is>
          <t>KALMAR LÄN</t>
        </is>
      </c>
      <c r="E1271" t="inlineStr">
        <is>
          <t>VÄSTERVIK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52049-2023</t>
        </is>
      </c>
      <c r="B1272" s="1" t="n">
        <v>45216</v>
      </c>
      <c r="C1272" s="1" t="n">
        <v>45355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52035-2023</t>
        </is>
      </c>
      <c r="B1273" s="1" t="n">
        <v>45216</v>
      </c>
      <c r="C1273" s="1" t="n">
        <v>45355</v>
      </c>
      <c r="D1273" t="inlineStr">
        <is>
          <t>KALMAR LÄN</t>
        </is>
      </c>
      <c r="E1273" t="inlineStr">
        <is>
          <t>VÄSTERVIK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51524-2023</t>
        </is>
      </c>
      <c r="B1274" s="1" t="n">
        <v>45222</v>
      </c>
      <c r="C1274" s="1" t="n">
        <v>45355</v>
      </c>
      <c r="D1274" t="inlineStr">
        <is>
          <t>KALMAR LÄN</t>
        </is>
      </c>
      <c r="E1274" t="inlineStr">
        <is>
          <t>VÄSTERVIK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51640-2023</t>
        </is>
      </c>
      <c r="B1275" s="1" t="n">
        <v>45222</v>
      </c>
      <c r="C1275" s="1" t="n">
        <v>45355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51645-2023</t>
        </is>
      </c>
      <c r="B1276" s="1" t="n">
        <v>45222</v>
      </c>
      <c r="C1276" s="1" t="n">
        <v>45355</v>
      </c>
      <c r="D1276" t="inlineStr">
        <is>
          <t>KALMAR LÄN</t>
        </is>
      </c>
      <c r="E1276" t="inlineStr">
        <is>
          <t>VÄSTERVIK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51581-2023</t>
        </is>
      </c>
      <c r="B1277" s="1" t="n">
        <v>45222</v>
      </c>
      <c r="C1277" s="1" t="n">
        <v>45355</v>
      </c>
      <c r="D1277" t="inlineStr">
        <is>
          <t>KALMAR LÄN</t>
        </is>
      </c>
      <c r="E1277" t="inlineStr">
        <is>
          <t>VÄSTERVIK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52189-2023</t>
        </is>
      </c>
      <c r="B1278" s="1" t="n">
        <v>45224</v>
      </c>
      <c r="C1278" s="1" t="n">
        <v>45355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52325-2023</t>
        </is>
      </c>
      <c r="B1279" s="1" t="n">
        <v>45224</v>
      </c>
      <c r="C1279" s="1" t="n">
        <v>45355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52468-2023</t>
        </is>
      </c>
      <c r="B1280" s="1" t="n">
        <v>45225</v>
      </c>
      <c r="C1280" s="1" t="n">
        <v>45355</v>
      </c>
      <c r="D1280" t="inlineStr">
        <is>
          <t>KALMAR LÄN</t>
        </is>
      </c>
      <c r="E1280" t="inlineStr">
        <is>
          <t>VÄSTERVIK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52845-2023</t>
        </is>
      </c>
      <c r="B1281" s="1" t="n">
        <v>45226</v>
      </c>
      <c r="C1281" s="1" t="n">
        <v>45355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52844-2023</t>
        </is>
      </c>
      <c r="B1282" s="1" t="n">
        <v>45226</v>
      </c>
      <c r="C1282" s="1" t="n">
        <v>45355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54124-2023</t>
        </is>
      </c>
      <c r="B1283" s="1" t="n">
        <v>45232</v>
      </c>
      <c r="C1283" s="1" t="n">
        <v>45355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54135-2023</t>
        </is>
      </c>
      <c r="B1284" s="1" t="n">
        <v>45232</v>
      </c>
      <c r="C1284" s="1" t="n">
        <v>45355</v>
      </c>
      <c r="D1284" t="inlineStr">
        <is>
          <t>KALMAR LÄN</t>
        </is>
      </c>
      <c r="E1284" t="inlineStr">
        <is>
          <t>VÄSTERVIK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54232-2023</t>
        </is>
      </c>
      <c r="B1285" s="1" t="n">
        <v>45232</v>
      </c>
      <c r="C1285" s="1" t="n">
        <v>45355</v>
      </c>
      <c r="D1285" t="inlineStr">
        <is>
          <t>KALMAR LÄN</t>
        </is>
      </c>
      <c r="E1285" t="inlineStr">
        <is>
          <t>VÄSTERVIK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54569-2023</t>
        </is>
      </c>
      <c r="B1286" s="1" t="n">
        <v>45233</v>
      </c>
      <c r="C1286" s="1" t="n">
        <v>45355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54358-2023</t>
        </is>
      </c>
      <c r="B1287" s="1" t="n">
        <v>45233</v>
      </c>
      <c r="C1287" s="1" t="n">
        <v>45355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54778-2023</t>
        </is>
      </c>
      <c r="B1288" s="1" t="n">
        <v>45236</v>
      </c>
      <c r="C1288" s="1" t="n">
        <v>45355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54951-2023</t>
        </is>
      </c>
      <c r="B1289" s="1" t="n">
        <v>45236</v>
      </c>
      <c r="C1289" s="1" t="n">
        <v>45355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55007-2023</t>
        </is>
      </c>
      <c r="B1290" s="1" t="n">
        <v>45237</v>
      </c>
      <c r="C1290" s="1" t="n">
        <v>45355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54950-2023</t>
        </is>
      </c>
      <c r="B1291" s="1" t="n">
        <v>45236</v>
      </c>
      <c r="C1291" s="1" t="n">
        <v>45355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54784-2023</t>
        </is>
      </c>
      <c r="B1292" s="1" t="n">
        <v>45236</v>
      </c>
      <c r="C1292" s="1" t="n">
        <v>45355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54953-2023</t>
        </is>
      </c>
      <c r="B1293" s="1" t="n">
        <v>45236</v>
      </c>
      <c r="C1293" s="1" t="n">
        <v>45355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55287-2023</t>
        </is>
      </c>
      <c r="B1294" s="1" t="n">
        <v>45237</v>
      </c>
      <c r="C1294" s="1" t="n">
        <v>45355</v>
      </c>
      <c r="D1294" t="inlineStr">
        <is>
          <t>KALMAR LÄN</t>
        </is>
      </c>
      <c r="E1294" t="inlineStr">
        <is>
          <t>VÄSTERVIK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55289-2023</t>
        </is>
      </c>
      <c r="B1295" s="1" t="n">
        <v>45237</v>
      </c>
      <c r="C1295" s="1" t="n">
        <v>45355</v>
      </c>
      <c r="D1295" t="inlineStr">
        <is>
          <t>KALMAR LÄN</t>
        </is>
      </c>
      <c r="E1295" t="inlineStr">
        <is>
          <t>VÄSTERVIK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55403-2023</t>
        </is>
      </c>
      <c r="B1296" s="1" t="n">
        <v>45238</v>
      </c>
      <c r="C1296" s="1" t="n">
        <v>45355</v>
      </c>
      <c r="D1296" t="inlineStr">
        <is>
          <t>KALMAR LÄN</t>
        </is>
      </c>
      <c r="E1296" t="inlineStr">
        <is>
          <t>VÄSTERVIK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55578-2023</t>
        </is>
      </c>
      <c r="B1297" s="1" t="n">
        <v>45238</v>
      </c>
      <c r="C1297" s="1" t="n">
        <v>45355</v>
      </c>
      <c r="D1297" t="inlineStr">
        <is>
          <t>KALMAR LÄN</t>
        </is>
      </c>
      <c r="E1297" t="inlineStr">
        <is>
          <t>VÄSTERVIK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56719-2023</t>
        </is>
      </c>
      <c r="B1298" s="1" t="n">
        <v>45238</v>
      </c>
      <c r="C1298" s="1" t="n">
        <v>45355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55866-2023</t>
        </is>
      </c>
      <c r="B1299" s="1" t="n">
        <v>45239</v>
      </c>
      <c r="C1299" s="1" t="n">
        <v>45355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55958-2023</t>
        </is>
      </c>
      <c r="B1300" s="1" t="n">
        <v>45240</v>
      </c>
      <c r="C1300" s="1" t="n">
        <v>45355</v>
      </c>
      <c r="D1300" t="inlineStr">
        <is>
          <t>KALMAR LÄN</t>
        </is>
      </c>
      <c r="E1300" t="inlineStr">
        <is>
          <t>VÄSTERVIK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56188-2023</t>
        </is>
      </c>
      <c r="B1301" s="1" t="n">
        <v>45240</v>
      </c>
      <c r="C1301" s="1" t="n">
        <v>45355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56033-2023</t>
        </is>
      </c>
      <c r="B1302" s="1" t="n">
        <v>45240</v>
      </c>
      <c r="C1302" s="1" t="n">
        <v>45355</v>
      </c>
      <c r="D1302" t="inlineStr">
        <is>
          <t>KALMAR LÄN</t>
        </is>
      </c>
      <c r="E1302" t="inlineStr">
        <is>
          <t>VÄSTERVIK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56187-2023</t>
        </is>
      </c>
      <c r="B1303" s="1" t="n">
        <v>45240</v>
      </c>
      <c r="C1303" s="1" t="n">
        <v>45355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HYPERLINK("https://klasma.github.io/Logging_0883/knärot/A 56187-2023 karta knärot.png", "A 56187-2023")</f>
        <v/>
      </c>
      <c r="V1303">
        <f>HYPERLINK("https://klasma.github.io/Logging_0883/klagomål/A 56187-2023 FSC-klagomål.docx", "A 56187-2023")</f>
        <v/>
      </c>
      <c r="W1303">
        <f>HYPERLINK("https://klasma.github.io/Logging_0883/klagomålsmail/A 56187-2023 FSC-klagomål mail.docx", "A 56187-2023")</f>
        <v/>
      </c>
      <c r="X1303">
        <f>HYPERLINK("https://klasma.github.io/Logging_0883/tillsyn/A 56187-2023 tillsynsbegäran.docx", "A 56187-2023")</f>
        <v/>
      </c>
      <c r="Y1303">
        <f>HYPERLINK("https://klasma.github.io/Logging_0883/tillsynsmail/A 56187-2023 tillsynsbegäran mail.docx", "A 56187-2023")</f>
        <v/>
      </c>
    </row>
    <row r="1304" ht="15" customHeight="1">
      <c r="A1304" t="inlineStr">
        <is>
          <t>A 56042-2023</t>
        </is>
      </c>
      <c r="B1304" s="1" t="n">
        <v>45240</v>
      </c>
      <c r="C1304" s="1" t="n">
        <v>45355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56046-2023</t>
        </is>
      </c>
      <c r="B1305" s="1" t="n">
        <v>45240</v>
      </c>
      <c r="C1305" s="1" t="n">
        <v>45355</v>
      </c>
      <c r="D1305" t="inlineStr">
        <is>
          <t>KALMAR LÄN</t>
        </is>
      </c>
      <c r="E1305" t="inlineStr">
        <is>
          <t>VÄSTERVIK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57019-2023</t>
        </is>
      </c>
      <c r="B1306" s="1" t="n">
        <v>45244</v>
      </c>
      <c r="C1306" s="1" t="n">
        <v>45355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57025-2023</t>
        </is>
      </c>
      <c r="B1307" s="1" t="n">
        <v>45244</v>
      </c>
      <c r="C1307" s="1" t="n">
        <v>45355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57367-2023</t>
        </is>
      </c>
      <c r="B1308" s="1" t="n">
        <v>45245</v>
      </c>
      <c r="C1308" s="1" t="n">
        <v>45355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57162-2023</t>
        </is>
      </c>
      <c r="B1309" s="1" t="n">
        <v>45245</v>
      </c>
      <c r="C1309" s="1" t="n">
        <v>45355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57369-2023</t>
        </is>
      </c>
      <c r="B1310" s="1" t="n">
        <v>45245</v>
      </c>
      <c r="C1310" s="1" t="n">
        <v>45355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57368-2023</t>
        </is>
      </c>
      <c r="B1311" s="1" t="n">
        <v>45245</v>
      </c>
      <c r="C1311" s="1" t="n">
        <v>45355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57366-2023</t>
        </is>
      </c>
      <c r="B1312" s="1" t="n">
        <v>45245</v>
      </c>
      <c r="C1312" s="1" t="n">
        <v>45355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57757-2023</t>
        </is>
      </c>
      <c r="B1313" s="1" t="n">
        <v>45246</v>
      </c>
      <c r="C1313" s="1" t="n">
        <v>45355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58454-2023</t>
        </is>
      </c>
      <c r="B1314" s="1" t="n">
        <v>45250</v>
      </c>
      <c r="C1314" s="1" t="n">
        <v>45355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58703-2023</t>
        </is>
      </c>
      <c r="B1315" s="1" t="n">
        <v>45251</v>
      </c>
      <c r="C1315" s="1" t="n">
        <v>45355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59331-2023</t>
        </is>
      </c>
      <c r="B1316" s="1" t="n">
        <v>45253</v>
      </c>
      <c r="C1316" s="1" t="n">
        <v>45355</v>
      </c>
      <c r="D1316" t="inlineStr">
        <is>
          <t>KALMAR LÄN</t>
        </is>
      </c>
      <c r="E1316" t="inlineStr">
        <is>
          <t>VÄSTERVIK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59539-2023</t>
        </is>
      </c>
      <c r="B1317" s="1" t="n">
        <v>45254</v>
      </c>
      <c r="C1317" s="1" t="n">
        <v>45355</v>
      </c>
      <c r="D1317" t="inlineStr">
        <is>
          <t>KALMAR LÄN</t>
        </is>
      </c>
      <c r="E1317" t="inlineStr">
        <is>
          <t>VÄSTERVIK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59696-2023</t>
        </is>
      </c>
      <c r="B1318" s="1" t="n">
        <v>45256</v>
      </c>
      <c r="C1318" s="1" t="n">
        <v>45355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59695-2023</t>
        </is>
      </c>
      <c r="B1319" s="1" t="n">
        <v>45256</v>
      </c>
      <c r="C1319" s="1" t="n">
        <v>45355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59732-2023</t>
        </is>
      </c>
      <c r="B1320" s="1" t="n">
        <v>45257</v>
      </c>
      <c r="C1320" s="1" t="n">
        <v>45355</v>
      </c>
      <c r="D1320" t="inlineStr">
        <is>
          <t>KALMAR LÄN</t>
        </is>
      </c>
      <c r="E1320" t="inlineStr">
        <is>
          <t>VÄSTERVIK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59847-2023</t>
        </is>
      </c>
      <c r="B1321" s="1" t="n">
        <v>45257</v>
      </c>
      <c r="C1321" s="1" t="n">
        <v>45355</v>
      </c>
      <c r="D1321" t="inlineStr">
        <is>
          <t>KALMAR LÄN</t>
        </is>
      </c>
      <c r="E1321" t="inlineStr">
        <is>
          <t>VÄSTERVIK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59844-2023</t>
        </is>
      </c>
      <c r="B1322" s="1" t="n">
        <v>45257</v>
      </c>
      <c r="C1322" s="1" t="n">
        <v>45355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60056-2023</t>
        </is>
      </c>
      <c r="B1323" s="1" t="n">
        <v>45258</v>
      </c>
      <c r="C1323" s="1" t="n">
        <v>45355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60196-2023</t>
        </is>
      </c>
      <c r="B1324" s="1" t="n">
        <v>45258</v>
      </c>
      <c r="C1324" s="1" t="n">
        <v>45355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60179-2023</t>
        </is>
      </c>
      <c r="B1325" s="1" t="n">
        <v>45258</v>
      </c>
      <c r="C1325" s="1" t="n">
        <v>45355</v>
      </c>
      <c r="D1325" t="inlineStr">
        <is>
          <t>KALMAR LÄN</t>
        </is>
      </c>
      <c r="E1325" t="inlineStr">
        <is>
          <t>VÄSTERVIK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60187-2023</t>
        </is>
      </c>
      <c r="B1326" s="1" t="n">
        <v>45258</v>
      </c>
      <c r="C1326" s="1" t="n">
        <v>45355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60300-2023</t>
        </is>
      </c>
      <c r="B1327" s="1" t="n">
        <v>45258</v>
      </c>
      <c r="C1327" s="1" t="n">
        <v>45355</v>
      </c>
      <c r="D1327" t="inlineStr">
        <is>
          <t>KALMAR LÄN</t>
        </is>
      </c>
      <c r="E1327" t="inlineStr">
        <is>
          <t>VÄSTERVIK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60634-2023</t>
        </is>
      </c>
      <c r="B1328" s="1" t="n">
        <v>45260</v>
      </c>
      <c r="C1328" s="1" t="n">
        <v>45355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60921-2023</t>
        </is>
      </c>
      <c r="B1329" s="1" t="n">
        <v>45261</v>
      </c>
      <c r="C1329" s="1" t="n">
        <v>45355</v>
      </c>
      <c r="D1329" t="inlineStr">
        <is>
          <t>KALMAR LÄN</t>
        </is>
      </c>
      <c r="E1329" t="inlineStr">
        <is>
          <t>VÄSTERVIK</t>
        </is>
      </c>
      <c r="G1329" t="n">
        <v>11.1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61556-2023</t>
        </is>
      </c>
      <c r="B1330" s="1" t="n">
        <v>45261</v>
      </c>
      <c r="C1330" s="1" t="n">
        <v>45355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61449-2023</t>
        </is>
      </c>
      <c r="B1331" s="1" t="n">
        <v>45264</v>
      </c>
      <c r="C1331" s="1" t="n">
        <v>45355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61448-2023</t>
        </is>
      </c>
      <c r="B1332" s="1" t="n">
        <v>45264</v>
      </c>
      <c r="C1332" s="1" t="n">
        <v>45355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61450-2023</t>
        </is>
      </c>
      <c r="B1333" s="1" t="n">
        <v>45264</v>
      </c>
      <c r="C1333" s="1" t="n">
        <v>45355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61746-2023</t>
        </is>
      </c>
      <c r="B1334" s="1" t="n">
        <v>45265</v>
      </c>
      <c r="C1334" s="1" t="n">
        <v>45355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61728-2023</t>
        </is>
      </c>
      <c r="B1335" s="1" t="n">
        <v>45265</v>
      </c>
      <c r="C1335" s="1" t="n">
        <v>45355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61999-2023</t>
        </is>
      </c>
      <c r="B1336" s="1" t="n">
        <v>45266</v>
      </c>
      <c r="C1336" s="1" t="n">
        <v>45355</v>
      </c>
      <c r="D1336" t="inlineStr">
        <is>
          <t>KALMAR LÄN</t>
        </is>
      </c>
      <c r="E1336" t="inlineStr">
        <is>
          <t>VÄSTERVIK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62003-2023</t>
        </is>
      </c>
      <c r="B1337" s="1" t="n">
        <v>45266</v>
      </c>
      <c r="C1337" s="1" t="n">
        <v>45355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62017-2023</t>
        </is>
      </c>
      <c r="B1338" s="1" t="n">
        <v>45266</v>
      </c>
      <c r="C1338" s="1" t="n">
        <v>45355</v>
      </c>
      <c r="D1338" t="inlineStr">
        <is>
          <t>KALMAR LÄN</t>
        </is>
      </c>
      <c r="E1338" t="inlineStr">
        <is>
          <t>VÄSTERVIK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62027-2023</t>
        </is>
      </c>
      <c r="B1339" s="1" t="n">
        <v>45266</v>
      </c>
      <c r="C1339" s="1" t="n">
        <v>45355</v>
      </c>
      <c r="D1339" t="inlineStr">
        <is>
          <t>KALMAR LÄN</t>
        </is>
      </c>
      <c r="E1339" t="inlineStr">
        <is>
          <t>VÄSTERVIK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61807-2023</t>
        </is>
      </c>
      <c r="B1340" s="1" t="n">
        <v>45266</v>
      </c>
      <c r="C1340" s="1" t="n">
        <v>45355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62034-2023</t>
        </is>
      </c>
      <c r="B1341" s="1" t="n">
        <v>45266</v>
      </c>
      <c r="C1341" s="1" t="n">
        <v>45355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62340-2023</t>
        </is>
      </c>
      <c r="B1342" s="1" t="n">
        <v>45267</v>
      </c>
      <c r="C1342" s="1" t="n">
        <v>45355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62589-2023</t>
        </is>
      </c>
      <c r="B1343" s="1" t="n">
        <v>45270</v>
      </c>
      <c r="C1343" s="1" t="n">
        <v>45355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62898-2023</t>
        </is>
      </c>
      <c r="B1344" s="1" t="n">
        <v>45271</v>
      </c>
      <c r="C1344" s="1" t="n">
        <v>45355</v>
      </c>
      <c r="D1344" t="inlineStr">
        <is>
          <t>KALMAR LÄN</t>
        </is>
      </c>
      <c r="E1344" t="inlineStr">
        <is>
          <t>VÄSTERVIK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45355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45355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45355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45355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63041-2023</t>
        </is>
      </c>
      <c r="B1349" s="1" t="n">
        <v>45272</v>
      </c>
      <c r="C1349" s="1" t="n">
        <v>45355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45355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45355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62921-2023</t>
        </is>
      </c>
      <c r="B1352" s="1" t="n">
        <v>45272</v>
      </c>
      <c r="C1352" s="1" t="n">
        <v>45355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45355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62873-2023</t>
        </is>
      </c>
      <c r="B1354" s="1" t="n">
        <v>45272</v>
      </c>
      <c r="C1354" s="1" t="n">
        <v>45355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45355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45355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63361-2023</t>
        </is>
      </c>
      <c r="B1357" s="1" t="n">
        <v>45274</v>
      </c>
      <c r="C1357" s="1" t="n">
        <v>45355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63606-2023</t>
        </is>
      </c>
      <c r="B1358" s="1" t="n">
        <v>45275</v>
      </c>
      <c r="C1358" s="1" t="n">
        <v>45355</v>
      </c>
      <c r="D1358" t="inlineStr">
        <is>
          <t>KALMAR LÄN</t>
        </is>
      </c>
      <c r="E1358" t="inlineStr">
        <is>
          <t>VÄSTERVIK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63859-2023</t>
        </is>
      </c>
      <c r="B1359" s="1" t="n">
        <v>45278</v>
      </c>
      <c r="C1359" s="1" t="n">
        <v>45355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63890-2023</t>
        </is>
      </c>
      <c r="B1360" s="1" t="n">
        <v>45278</v>
      </c>
      <c r="C1360" s="1" t="n">
        <v>45355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64040-2023</t>
        </is>
      </c>
      <c r="B1361" s="1" t="n">
        <v>45279</v>
      </c>
      <c r="C1361" s="1" t="n">
        <v>45355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64580-2023</t>
        </is>
      </c>
      <c r="B1362" s="1" t="n">
        <v>45281</v>
      </c>
      <c r="C1362" s="1" t="n">
        <v>45355</v>
      </c>
      <c r="D1362" t="inlineStr">
        <is>
          <t>KALMAR LÄN</t>
        </is>
      </c>
      <c r="E1362" t="inlineStr">
        <is>
          <t>VÄSTERVIK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64762-2023</t>
        </is>
      </c>
      <c r="B1363" s="1" t="n">
        <v>45282</v>
      </c>
      <c r="C1363" s="1" t="n">
        <v>45355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45355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64760-2023</t>
        </is>
      </c>
      <c r="B1365" s="1" t="n">
        <v>45282</v>
      </c>
      <c r="C1365" s="1" t="n">
        <v>45355</v>
      </c>
      <c r="D1365" t="inlineStr">
        <is>
          <t>KALMAR LÄN</t>
        </is>
      </c>
      <c r="E1365" t="inlineStr">
        <is>
          <t>VÄSTERVIK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64885-2023</t>
        </is>
      </c>
      <c r="B1366" s="1" t="n">
        <v>45282</v>
      </c>
      <c r="C1366" s="1" t="n">
        <v>45355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45355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65028-2023</t>
        </is>
      </c>
      <c r="B1368" s="1" t="n">
        <v>45287</v>
      </c>
      <c r="C1368" s="1" t="n">
        <v>45355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65059-2023</t>
        </is>
      </c>
      <c r="B1369" s="1" t="n">
        <v>45287</v>
      </c>
      <c r="C1369" s="1" t="n">
        <v>45355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45355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338-2024</t>
        </is>
      </c>
      <c r="B1371" s="1" t="n">
        <v>45295</v>
      </c>
      <c r="C1371" s="1" t="n">
        <v>45355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340-2024</t>
        </is>
      </c>
      <c r="B1372" s="1" t="n">
        <v>45295</v>
      </c>
      <c r="C1372" s="1" t="n">
        <v>45355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492-2024</t>
        </is>
      </c>
      <c r="B1373" s="1" t="n">
        <v>45299</v>
      </c>
      <c r="C1373" s="1" t="n">
        <v>45355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782-2024</t>
        </is>
      </c>
      <c r="B1374" s="1" t="n">
        <v>45300</v>
      </c>
      <c r="C1374" s="1" t="n">
        <v>45355</v>
      </c>
      <c r="D1374" t="inlineStr">
        <is>
          <t>KALMAR LÄN</t>
        </is>
      </c>
      <c r="E1374" t="inlineStr">
        <is>
          <t>VÄSTERVIK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45355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45355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938-2024</t>
        </is>
      </c>
      <c r="B1377" s="1" t="n">
        <v>45301</v>
      </c>
      <c r="C1377" s="1" t="n">
        <v>45355</v>
      </c>
      <c r="D1377" t="inlineStr">
        <is>
          <t>KALMAR LÄN</t>
        </is>
      </c>
      <c r="E1377" t="inlineStr">
        <is>
          <t>VÄSTERVIK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45355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45355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925-2024</t>
        </is>
      </c>
      <c r="B1380" s="1" t="n">
        <v>45301</v>
      </c>
      <c r="C1380" s="1" t="n">
        <v>45355</v>
      </c>
      <c r="D1380" t="inlineStr">
        <is>
          <t>KALMAR LÄN</t>
        </is>
      </c>
      <c r="E1380" t="inlineStr">
        <is>
          <t>VÄSTERVIK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949-2024</t>
        </is>
      </c>
      <c r="B1381" s="1" t="n">
        <v>45301</v>
      </c>
      <c r="C1381" s="1" t="n">
        <v>45355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45355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45355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45355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948-2024</t>
        </is>
      </c>
      <c r="B1385" s="1" t="n">
        <v>45301</v>
      </c>
      <c r="C1385" s="1" t="n">
        <v>45355</v>
      </c>
      <c r="D1385" t="inlineStr">
        <is>
          <t>KALMAR LÄN</t>
        </is>
      </c>
      <c r="E1385" t="inlineStr">
        <is>
          <t>VÄSTERVIK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45355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45355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1568-2024</t>
        </is>
      </c>
      <c r="B1388" s="1" t="n">
        <v>45306</v>
      </c>
      <c r="C1388" s="1" t="n">
        <v>45355</v>
      </c>
      <c r="D1388" t="inlineStr">
        <is>
          <t>KALMAR LÄN</t>
        </is>
      </c>
      <c r="E1388" t="inlineStr">
        <is>
          <t>VÄSTERVIK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1572-2024</t>
        </is>
      </c>
      <c r="B1389" s="1" t="n">
        <v>45306</v>
      </c>
      <c r="C1389" s="1" t="n">
        <v>45355</v>
      </c>
      <c r="D1389" t="inlineStr">
        <is>
          <t>KALMAR LÄN</t>
        </is>
      </c>
      <c r="E1389" t="inlineStr">
        <is>
          <t>VÄSTERVIK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45355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45355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2144-2024</t>
        </is>
      </c>
      <c r="B1392" s="1" t="n">
        <v>45309</v>
      </c>
      <c r="C1392" s="1" t="n">
        <v>45355</v>
      </c>
      <c r="D1392" t="inlineStr">
        <is>
          <t>KALMAR LÄN</t>
        </is>
      </c>
      <c r="E1392" t="inlineStr">
        <is>
          <t>VÄSTERVIK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2168-2024</t>
        </is>
      </c>
      <c r="B1393" s="1" t="n">
        <v>45309</v>
      </c>
      <c r="C1393" s="1" t="n">
        <v>45355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2082-2024</t>
        </is>
      </c>
      <c r="B1394" s="1" t="n">
        <v>45309</v>
      </c>
      <c r="C1394" s="1" t="n">
        <v>45355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2153-2024</t>
        </is>
      </c>
      <c r="B1395" s="1" t="n">
        <v>45309</v>
      </c>
      <c r="C1395" s="1" t="n">
        <v>45355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2507-2024</t>
        </is>
      </c>
      <c r="B1396" s="1" t="n">
        <v>45313</v>
      </c>
      <c r="C1396" s="1" t="n">
        <v>45355</v>
      </c>
      <c r="D1396" t="inlineStr">
        <is>
          <t>KALMAR LÄN</t>
        </is>
      </c>
      <c r="E1396" t="inlineStr">
        <is>
          <t>VÄSTERVIK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2520-2024</t>
        </is>
      </c>
      <c r="B1397" s="1" t="n">
        <v>45313</v>
      </c>
      <c r="C1397" s="1" t="n">
        <v>45355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45355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2804-2024</t>
        </is>
      </c>
      <c r="B1399" s="1" t="n">
        <v>45314</v>
      </c>
      <c r="C1399" s="1" t="n">
        <v>45355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45355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45355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45355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45355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45355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45355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45355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45355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45355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45355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45355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45355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45355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45355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4858-2024</t>
        </is>
      </c>
      <c r="B1414" s="1" t="n">
        <v>45329</v>
      </c>
      <c r="C1414" s="1" t="n">
        <v>45355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5004-2024</t>
        </is>
      </c>
      <c r="B1415" s="1" t="n">
        <v>45329</v>
      </c>
      <c r="C1415" s="1" t="n">
        <v>45355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45355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4965-2024</t>
        </is>
      </c>
      <c r="B1417" s="1" t="n">
        <v>45329</v>
      </c>
      <c r="C1417" s="1" t="n">
        <v>45355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4950-2024</t>
        </is>
      </c>
      <c r="B1418" s="1" t="n">
        <v>45329</v>
      </c>
      <c r="C1418" s="1" t="n">
        <v>45355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45355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45355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45355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5355-2024</t>
        </is>
      </c>
      <c r="B1422" s="1" t="n">
        <v>45331</v>
      </c>
      <c r="C1422" s="1" t="n">
        <v>45355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45355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5924-2024</t>
        </is>
      </c>
      <c r="B1424" s="1" t="n">
        <v>45335</v>
      </c>
      <c r="C1424" s="1" t="n">
        <v>45355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5923-2024</t>
        </is>
      </c>
      <c r="B1425" s="1" t="n">
        <v>45335</v>
      </c>
      <c r="C1425" s="1" t="n">
        <v>45355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45355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45355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6019-2024</t>
        </is>
      </c>
      <c r="B1428" s="1" t="n">
        <v>45336</v>
      </c>
      <c r="C1428" s="1" t="n">
        <v>45355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45355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45355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45355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45355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45355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6731-2024</t>
        </is>
      </c>
      <c r="B1434" s="1" t="n">
        <v>45342</v>
      </c>
      <c r="C1434" s="1" t="n">
        <v>45355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45355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7089-2024</t>
        </is>
      </c>
      <c r="B1436" s="1" t="n">
        <v>45343</v>
      </c>
      <c r="C1436" s="1" t="n">
        <v>45355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7090-2024</t>
        </is>
      </c>
      <c r="B1437" s="1" t="n">
        <v>45343</v>
      </c>
      <c r="C1437" s="1" t="n">
        <v>45355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7512-2024</t>
        </is>
      </c>
      <c r="B1438" s="1" t="n">
        <v>45348</v>
      </c>
      <c r="C1438" s="1" t="n">
        <v>45355</v>
      </c>
      <c r="D1438" t="inlineStr">
        <is>
          <t>KALMAR LÄN</t>
        </is>
      </c>
      <c r="E1438" t="inlineStr">
        <is>
          <t>VÄSTERVIK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7688-2024</t>
        </is>
      </c>
      <c r="B1439" s="1" t="n">
        <v>45349</v>
      </c>
      <c r="C1439" s="1" t="n">
        <v>45355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45355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45355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45355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8089-2024</t>
        </is>
      </c>
      <c r="B1443" s="1" t="n">
        <v>45351</v>
      </c>
      <c r="C1443" s="1" t="n">
        <v>45355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2024-03-04T12:56:56Z</dcterms:created>
  <dcterms:modified xmlns:dcterms="http://purl.org/dc/terms/" xmlns:xsi="http://www.w3.org/2001/XMLSchema-instance" xsi:type="dcterms:W3CDTF">2024-03-04T12:56:57Z</dcterms:modified>
</cp:coreProperties>
</file>