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45822</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45822</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45822</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45822</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45822</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45822</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45822</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45822</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45822</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45822</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45822</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45822</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45822</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45822</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45822</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45822</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45822</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45822</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45822</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45822</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45822</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45822</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45822</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45822</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45822</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45822</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45822</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45822</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45822</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45822</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45822</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45822</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45822</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45822</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45822</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45822</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26574-2025</t>
        </is>
      </c>
      <c r="B46" s="1" t="n">
        <v>45807</v>
      </c>
      <c r="C46" s="1" t="n">
        <v>45822</v>
      </c>
      <c r="D46" t="inlineStr">
        <is>
          <t>KALMAR LÄN</t>
        </is>
      </c>
      <c r="E46" t="inlineStr">
        <is>
          <t>VÄSTERVIK</t>
        </is>
      </c>
      <c r="G46" t="n">
        <v>8.4</v>
      </c>
      <c r="H46" t="n">
        <v>2</v>
      </c>
      <c r="I46" t="n">
        <v>3</v>
      </c>
      <c r="J46" t="n">
        <v>3</v>
      </c>
      <c r="K46" t="n">
        <v>0</v>
      </c>
      <c r="L46" t="n">
        <v>0</v>
      </c>
      <c r="M46" t="n">
        <v>0</v>
      </c>
      <c r="N46" t="n">
        <v>0</v>
      </c>
      <c r="O46" t="n">
        <v>3</v>
      </c>
      <c r="P46" t="n">
        <v>0</v>
      </c>
      <c r="Q46" t="n">
        <v>7</v>
      </c>
      <c r="R46" s="2" t="inlineStr">
        <is>
          <t>Drillsnäppa
Tallticka
Vippärt
Blåmossa
Murgröna
Sårläka
Kungsfågel</t>
        </is>
      </c>
      <c r="S46">
        <f>HYPERLINK("https://klasma.github.io/Logging_080883/artfynd/A 26574-2025 artfynd.xlsx", "A 26574-2025")</f>
        <v/>
      </c>
      <c r="T46">
        <f>HYPERLINK("https://klasma.github.io/Logging_080883/kartor/A 26574-2025 karta.png", "A 26574-2025")</f>
        <v/>
      </c>
      <c r="V46">
        <f>HYPERLINK("https://klasma.github.io/Logging_080883/klagomål/A 26574-2025 FSC-klagomål.docx", "A 26574-2025")</f>
        <v/>
      </c>
      <c r="W46">
        <f>HYPERLINK("https://klasma.github.io/Logging_080883/klagomålsmail/A 26574-2025 FSC-klagomål mail.docx", "A 26574-2025")</f>
        <v/>
      </c>
      <c r="X46">
        <f>HYPERLINK("https://klasma.github.io/Logging_080883/tillsyn/A 26574-2025 tillsynsbegäran.docx", "A 26574-2025")</f>
        <v/>
      </c>
      <c r="Y46">
        <f>HYPERLINK("https://klasma.github.io/Logging_080883/tillsynsmail/A 26574-2025 tillsynsbegäran mail.docx", "A 26574-2025")</f>
        <v/>
      </c>
      <c r="Z46">
        <f>HYPERLINK("https://klasma.github.io/Logging_080883/fåglar/A 26574-2025 prioriterade fågelarter.docx", "A 26574-2025")</f>
        <v/>
      </c>
    </row>
    <row r="47" ht="15" customHeight="1">
      <c r="A47" t="inlineStr">
        <is>
          <t>A 52916-2020</t>
        </is>
      </c>
      <c r="B47" s="1" t="n">
        <v>44120</v>
      </c>
      <c r="C47" s="1" t="n">
        <v>45822</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53760-2021</t>
        </is>
      </c>
      <c r="B48" s="1" t="n">
        <v>44467</v>
      </c>
      <c r="C48" s="1" t="n">
        <v>45822</v>
      </c>
      <c r="D48" t="inlineStr">
        <is>
          <t>KALMAR LÄN</t>
        </is>
      </c>
      <c r="E48" t="inlineStr">
        <is>
          <t>VÄSTERVIK</t>
        </is>
      </c>
      <c r="G48" t="n">
        <v>3.9</v>
      </c>
      <c r="H48" t="n">
        <v>5</v>
      </c>
      <c r="I48" t="n">
        <v>0</v>
      </c>
      <c r="J48" t="n">
        <v>3</v>
      </c>
      <c r="K48" t="n">
        <v>0</v>
      </c>
      <c r="L48" t="n">
        <v>0</v>
      </c>
      <c r="M48" t="n">
        <v>0</v>
      </c>
      <c r="N48" t="n">
        <v>0</v>
      </c>
      <c r="O48" t="n">
        <v>3</v>
      </c>
      <c r="P48" t="n">
        <v>0</v>
      </c>
      <c r="Q48" t="n">
        <v>6</v>
      </c>
      <c r="R48" s="2" t="inlineStr">
        <is>
          <t>Brunlångöra
Nordfladdermus
Tallticka
Dvärgpipistrell
Större brunfladdermus
Trollpipistrell</t>
        </is>
      </c>
      <c r="S48">
        <f>HYPERLINK("https://klasma.github.io/Logging_0883/artfynd/A 53760-2021 artfynd.xlsx", "A 53760-2021")</f>
        <v/>
      </c>
      <c r="T48">
        <f>HYPERLINK("https://klasma.github.io/Logging_0883/kartor/A 53760-2021 karta.png", "A 53760-2021")</f>
        <v/>
      </c>
      <c r="V48">
        <f>HYPERLINK("https://klasma.github.io/Logging_0883/klagomål/A 53760-2021 FSC-klagomål.docx", "A 53760-2021")</f>
        <v/>
      </c>
      <c r="W48">
        <f>HYPERLINK("https://klasma.github.io/Logging_0883/klagomålsmail/A 53760-2021 FSC-klagomål mail.docx", "A 53760-2021")</f>
        <v/>
      </c>
      <c r="X48">
        <f>HYPERLINK("https://klasma.github.io/Logging_0883/tillsyn/A 53760-2021 tillsynsbegäran.docx", "A 53760-2021")</f>
        <v/>
      </c>
      <c r="Y48">
        <f>HYPERLINK("https://klasma.github.io/Logging_0883/tillsynsmail/A 53760-2021 tillsynsbegäran mail.docx", "A 53760-2021")</f>
        <v/>
      </c>
    </row>
    <row r="49" ht="15" customHeight="1">
      <c r="A49" t="inlineStr">
        <is>
          <t>A 60996-2021</t>
        </is>
      </c>
      <c r="B49" s="1" t="n">
        <v>44497</v>
      </c>
      <c r="C49" s="1" t="n">
        <v>45822</v>
      </c>
      <c r="D49" t="inlineStr">
        <is>
          <t>KALMAR LÄN</t>
        </is>
      </c>
      <c r="E49" t="inlineStr">
        <is>
          <t>VÄSTERVIK</t>
        </is>
      </c>
      <c r="F49" t="inlineStr">
        <is>
          <t>Kyrkan</t>
        </is>
      </c>
      <c r="G49" t="n">
        <v>7.2</v>
      </c>
      <c r="H49" t="n">
        <v>3</v>
      </c>
      <c r="I49" t="n">
        <v>2</v>
      </c>
      <c r="J49" t="n">
        <v>2</v>
      </c>
      <c r="K49" t="n">
        <v>1</v>
      </c>
      <c r="L49" t="n">
        <v>0</v>
      </c>
      <c r="M49" t="n">
        <v>0</v>
      </c>
      <c r="N49" t="n">
        <v>0</v>
      </c>
      <c r="O49" t="n">
        <v>3</v>
      </c>
      <c r="P49" t="n">
        <v>1</v>
      </c>
      <c r="Q49" t="n">
        <v>6</v>
      </c>
      <c r="R49" s="2" t="inlineStr">
        <is>
          <t>Knärot
Talltita
Vedtrappmossa
Grönpyrola
Platt fjädermossa
Revlummer</t>
        </is>
      </c>
      <c r="S49">
        <f>HYPERLINK("https://klasma.github.io/Logging_0883/artfynd/A 60996-2021 artfynd.xlsx", "A 60996-2021")</f>
        <v/>
      </c>
      <c r="T49">
        <f>HYPERLINK("https://klasma.github.io/Logging_0883/kartor/A 60996-2021 karta.png", "A 60996-2021")</f>
        <v/>
      </c>
      <c r="U49">
        <f>HYPERLINK("https://klasma.github.io/Logging_0883/knärot/A 60996-2021 karta knärot.png", "A 60996-2021")</f>
        <v/>
      </c>
      <c r="V49">
        <f>HYPERLINK("https://klasma.github.io/Logging_0883/klagomål/A 60996-2021 FSC-klagomål.docx", "A 60996-2021")</f>
        <v/>
      </c>
      <c r="W49">
        <f>HYPERLINK("https://klasma.github.io/Logging_0883/klagomålsmail/A 60996-2021 FSC-klagomål mail.docx", "A 60996-2021")</f>
        <v/>
      </c>
      <c r="X49">
        <f>HYPERLINK("https://klasma.github.io/Logging_0883/tillsyn/A 60996-2021 tillsynsbegäran.docx", "A 60996-2021")</f>
        <v/>
      </c>
      <c r="Y49">
        <f>HYPERLINK("https://klasma.github.io/Logging_0883/tillsynsmail/A 60996-2021 tillsynsbegäran mail.docx", "A 60996-2021")</f>
        <v/>
      </c>
      <c r="Z49">
        <f>HYPERLINK("https://klasma.github.io/Logging_0883/fåglar/A 60996-2021 prioriterade fågelarter.docx", "A 60996-2021")</f>
        <v/>
      </c>
    </row>
    <row r="50" ht="15" customHeight="1">
      <c r="A50" t="inlineStr">
        <is>
          <t>A 71188-2021</t>
        </is>
      </c>
      <c r="B50" s="1" t="n">
        <v>44539</v>
      </c>
      <c r="C50" s="1" t="n">
        <v>45822</v>
      </c>
      <c r="D50" t="inlineStr">
        <is>
          <t>KALMAR LÄN</t>
        </is>
      </c>
      <c r="E50" t="inlineStr">
        <is>
          <t>VÄSTERVIK</t>
        </is>
      </c>
      <c r="G50" t="n">
        <v>0.6</v>
      </c>
      <c r="H50" t="n">
        <v>0</v>
      </c>
      <c r="I50" t="n">
        <v>3</v>
      </c>
      <c r="J50" t="n">
        <v>3</v>
      </c>
      <c r="K50" t="n">
        <v>0</v>
      </c>
      <c r="L50" t="n">
        <v>0</v>
      </c>
      <c r="M50" t="n">
        <v>0</v>
      </c>
      <c r="N50" t="n">
        <v>0</v>
      </c>
      <c r="O50" t="n">
        <v>3</v>
      </c>
      <c r="P50" t="n">
        <v>0</v>
      </c>
      <c r="Q50" t="n">
        <v>6</v>
      </c>
      <c r="R50" s="2" t="inlineStr">
        <is>
          <t>Blå taggsvamp
Motaggsvamp
Svartvit taggsvamp
Blomkålssvamp
Dropptaggsvamp
Grovticka</t>
        </is>
      </c>
      <c r="S50">
        <f>HYPERLINK("https://klasma.github.io/Logging_0883/artfynd/A 71188-2021 artfynd.xlsx", "A 71188-2021")</f>
        <v/>
      </c>
      <c r="T50">
        <f>HYPERLINK("https://klasma.github.io/Logging_0883/kartor/A 71188-2021 karta.png", "A 71188-2021")</f>
        <v/>
      </c>
      <c r="V50">
        <f>HYPERLINK("https://klasma.github.io/Logging_0883/klagomål/A 71188-2021 FSC-klagomål.docx", "A 71188-2021")</f>
        <v/>
      </c>
      <c r="W50">
        <f>HYPERLINK("https://klasma.github.io/Logging_0883/klagomålsmail/A 71188-2021 FSC-klagomål mail.docx", "A 71188-2021")</f>
        <v/>
      </c>
      <c r="X50">
        <f>HYPERLINK("https://klasma.github.io/Logging_0883/tillsyn/A 71188-2021 tillsynsbegäran.docx", "A 71188-2021")</f>
        <v/>
      </c>
      <c r="Y50">
        <f>HYPERLINK("https://klasma.github.io/Logging_0883/tillsynsmail/A 71188-2021 tillsynsbegäran mail.docx", "A 71188-2021")</f>
        <v/>
      </c>
    </row>
    <row r="51" ht="15" customHeight="1">
      <c r="A51" t="inlineStr">
        <is>
          <t>A 974-2023</t>
        </is>
      </c>
      <c r="B51" s="1" t="n">
        <v>44935</v>
      </c>
      <c r="C51" s="1" t="n">
        <v>45822</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11740-2023</t>
        </is>
      </c>
      <c r="B52" s="1" t="n">
        <v>44994</v>
      </c>
      <c r="C52" s="1" t="n">
        <v>45822</v>
      </c>
      <c r="D52" t="inlineStr">
        <is>
          <t>KALMAR LÄN</t>
        </is>
      </c>
      <c r="E52" t="inlineStr">
        <is>
          <t>VÄSTERVIK</t>
        </is>
      </c>
      <c r="F52" t="inlineStr">
        <is>
          <t>Sveaskog</t>
        </is>
      </c>
      <c r="G52" t="n">
        <v>2.9</v>
      </c>
      <c r="H52" t="n">
        <v>1</v>
      </c>
      <c r="I52" t="n">
        <v>1</v>
      </c>
      <c r="J52" t="n">
        <v>4</v>
      </c>
      <c r="K52" t="n">
        <v>0</v>
      </c>
      <c r="L52" t="n">
        <v>0</v>
      </c>
      <c r="M52" t="n">
        <v>0</v>
      </c>
      <c r="N52" t="n">
        <v>0</v>
      </c>
      <c r="O52" t="n">
        <v>4</v>
      </c>
      <c r="P52" t="n">
        <v>0</v>
      </c>
      <c r="Q52" t="n">
        <v>6</v>
      </c>
      <c r="R52" s="2" t="inlineStr">
        <is>
          <t>Mindre bastardsvärmare
Skogsklocka
Smalsprötad bastardsvärmare
Tallticka
Fällmossa
Blåsippa</t>
        </is>
      </c>
      <c r="S52">
        <f>HYPERLINK("https://klasma.github.io/Logging_0883/artfynd/A 11740-2023 artfynd.xlsx", "A 11740-2023")</f>
        <v/>
      </c>
      <c r="T52">
        <f>HYPERLINK("https://klasma.github.io/Logging_0883/kartor/A 11740-2023 karta.png", "A 11740-2023")</f>
        <v/>
      </c>
      <c r="V52">
        <f>HYPERLINK("https://klasma.github.io/Logging_0883/klagomål/A 11740-2023 FSC-klagomål.docx", "A 11740-2023")</f>
        <v/>
      </c>
      <c r="W52">
        <f>HYPERLINK("https://klasma.github.io/Logging_0883/klagomålsmail/A 11740-2023 FSC-klagomål mail.docx", "A 11740-2023")</f>
        <v/>
      </c>
      <c r="X52">
        <f>HYPERLINK("https://klasma.github.io/Logging_0883/tillsyn/A 11740-2023 tillsynsbegäran.docx", "A 11740-2023")</f>
        <v/>
      </c>
      <c r="Y52">
        <f>HYPERLINK("https://klasma.github.io/Logging_0883/tillsynsmail/A 11740-2023 tillsynsbegäran mail.docx", "A 11740-2023")</f>
        <v/>
      </c>
    </row>
    <row r="53" ht="15" customHeight="1">
      <c r="A53" t="inlineStr">
        <is>
          <t>A 47936-2023</t>
        </is>
      </c>
      <c r="B53" s="1" t="n">
        <v>45204</v>
      </c>
      <c r="C53" s="1" t="n">
        <v>45822</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55286-2023</t>
        </is>
      </c>
      <c r="B54" s="1" t="n">
        <v>45237</v>
      </c>
      <c r="C54" s="1" t="n">
        <v>45822</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5922-2024</t>
        </is>
      </c>
      <c r="B55" s="1" t="n">
        <v>45335</v>
      </c>
      <c r="C55" s="1" t="n">
        <v>45822</v>
      </c>
      <c r="D55" t="inlineStr">
        <is>
          <t>KALMAR LÄN</t>
        </is>
      </c>
      <c r="E55" t="inlineStr">
        <is>
          <t>VÄSTERVIK</t>
        </is>
      </c>
      <c r="F55" t="inlineStr">
        <is>
          <t>Holmen skog AB</t>
        </is>
      </c>
      <c r="G55" t="n">
        <v>9</v>
      </c>
      <c r="H55" t="n">
        <v>2</v>
      </c>
      <c r="I55" t="n">
        <v>0</v>
      </c>
      <c r="J55" t="n">
        <v>5</v>
      </c>
      <c r="K55" t="n">
        <v>1</v>
      </c>
      <c r="L55" t="n">
        <v>0</v>
      </c>
      <c r="M55" t="n">
        <v>0</v>
      </c>
      <c r="N55" t="n">
        <v>0</v>
      </c>
      <c r="O55" t="n">
        <v>6</v>
      </c>
      <c r="P55" t="n">
        <v>1</v>
      </c>
      <c r="Q55" t="n">
        <v>6</v>
      </c>
      <c r="R55" s="2" t="inlineStr">
        <is>
          <t>Lungrot
Entita
Klubbsprötad bastardsvärmare
Smalsprötad bastardsvärmare
Tallticka
Talltita</t>
        </is>
      </c>
      <c r="S55">
        <f>HYPERLINK("https://klasma.github.io/Logging_0883/artfynd/A 5922-2024 artfynd.xlsx", "A 5922-2024")</f>
        <v/>
      </c>
      <c r="T55">
        <f>HYPERLINK("https://klasma.github.io/Logging_0883/kartor/A 5922-2024 karta.png", "A 5922-2024")</f>
        <v/>
      </c>
      <c r="V55">
        <f>HYPERLINK("https://klasma.github.io/Logging_0883/klagomål/A 5922-2024 FSC-klagomål.docx", "A 5922-2024")</f>
        <v/>
      </c>
      <c r="W55">
        <f>HYPERLINK("https://klasma.github.io/Logging_0883/klagomålsmail/A 5922-2024 FSC-klagomål mail.docx", "A 5922-2024")</f>
        <v/>
      </c>
      <c r="X55">
        <f>HYPERLINK("https://klasma.github.io/Logging_0883/tillsyn/A 5922-2024 tillsynsbegäran.docx", "A 5922-2024")</f>
        <v/>
      </c>
      <c r="Y55">
        <f>HYPERLINK("https://klasma.github.io/Logging_0883/tillsynsmail/A 5922-2024 tillsynsbegäran mail.docx", "A 5922-2024")</f>
        <v/>
      </c>
      <c r="Z55">
        <f>HYPERLINK("https://klasma.github.io/Logging_0883/fåglar/A 5922-2024 prioriterade fågelarter.docx", "A 5922-2024")</f>
        <v/>
      </c>
    </row>
    <row r="56" ht="15" customHeight="1">
      <c r="A56" t="inlineStr">
        <is>
          <t>A 27379-2024</t>
        </is>
      </c>
      <c r="B56" s="1" t="n">
        <v>45473</v>
      </c>
      <c r="C56" s="1" t="n">
        <v>45822</v>
      </c>
      <c r="D56" t="inlineStr">
        <is>
          <t>KALMAR LÄN</t>
        </is>
      </c>
      <c r="E56" t="inlineStr">
        <is>
          <t>VÄSTERVIK</t>
        </is>
      </c>
      <c r="G56" t="n">
        <v>3.4</v>
      </c>
      <c r="H56" t="n">
        <v>3</v>
      </c>
      <c r="I56" t="n">
        <v>2</v>
      </c>
      <c r="J56" t="n">
        <v>2</v>
      </c>
      <c r="K56" t="n">
        <v>1</v>
      </c>
      <c r="L56" t="n">
        <v>0</v>
      </c>
      <c r="M56" t="n">
        <v>0</v>
      </c>
      <c r="N56" t="n">
        <v>0</v>
      </c>
      <c r="O56" t="n">
        <v>3</v>
      </c>
      <c r="P56" t="n">
        <v>1</v>
      </c>
      <c r="Q56" t="n">
        <v>6</v>
      </c>
      <c r="R56" s="2" t="inlineStr">
        <is>
          <t>Knärot
Talltita
Ullticka
Blåmossa
Grönpyrola
Revlummer</t>
        </is>
      </c>
      <c r="S56">
        <f>HYPERLINK("https://klasma.github.io/Logging_0883/artfynd/A 27379-2024 artfynd.xlsx", "A 27379-2024")</f>
        <v/>
      </c>
      <c r="T56">
        <f>HYPERLINK("https://klasma.github.io/Logging_0883/kartor/A 27379-2024 karta.png", "A 27379-2024")</f>
        <v/>
      </c>
      <c r="U56">
        <f>HYPERLINK("https://klasma.github.io/Logging_0883/knärot/A 27379-2024 karta knärot.png", "A 27379-2024")</f>
        <v/>
      </c>
      <c r="V56">
        <f>HYPERLINK("https://klasma.github.io/Logging_0883/klagomål/A 27379-2024 FSC-klagomål.docx", "A 27379-2024")</f>
        <v/>
      </c>
      <c r="W56">
        <f>HYPERLINK("https://klasma.github.io/Logging_0883/klagomålsmail/A 27379-2024 FSC-klagomål mail.docx", "A 27379-2024")</f>
        <v/>
      </c>
      <c r="X56">
        <f>HYPERLINK("https://klasma.github.io/Logging_0883/tillsyn/A 27379-2024 tillsynsbegäran.docx", "A 27379-2024")</f>
        <v/>
      </c>
      <c r="Y56">
        <f>HYPERLINK("https://klasma.github.io/Logging_0883/tillsynsmail/A 27379-2024 tillsynsbegäran mail.docx", "A 27379-2024")</f>
        <v/>
      </c>
      <c r="Z56">
        <f>HYPERLINK("https://klasma.github.io/Logging_0883/fåglar/A 27379-2024 prioriterade fågelarter.docx", "A 27379-2024")</f>
        <v/>
      </c>
    </row>
    <row r="57" ht="15" customHeight="1">
      <c r="A57" t="inlineStr">
        <is>
          <t>A 39295-2024</t>
        </is>
      </c>
      <c r="B57" s="1" t="n">
        <v>45551</v>
      </c>
      <c r="C57" s="1" t="n">
        <v>45822</v>
      </c>
      <c r="D57" t="inlineStr">
        <is>
          <t>KALMAR LÄN</t>
        </is>
      </c>
      <c r="E57" t="inlineStr">
        <is>
          <t>VÄSTERVIK</t>
        </is>
      </c>
      <c r="G57" t="n">
        <v>4.4</v>
      </c>
      <c r="H57" t="n">
        <v>3</v>
      </c>
      <c r="I57" t="n">
        <v>3</v>
      </c>
      <c r="J57" t="n">
        <v>2</v>
      </c>
      <c r="K57" t="n">
        <v>1</v>
      </c>
      <c r="L57" t="n">
        <v>0</v>
      </c>
      <c r="M57" t="n">
        <v>0</v>
      </c>
      <c r="N57" t="n">
        <v>0</v>
      </c>
      <c r="O57" t="n">
        <v>3</v>
      </c>
      <c r="P57" t="n">
        <v>1</v>
      </c>
      <c r="Q57" t="n">
        <v>6</v>
      </c>
      <c r="R57" s="2" t="inlineStr">
        <is>
          <t>Knärot
Entita
Talltita
Dropptaggsvamp
Fjällig taggsvamp s.str.
Grönpyrola</t>
        </is>
      </c>
      <c r="S57">
        <f>HYPERLINK("https://klasma.github.io/Logging_0883/artfynd/A 39295-2024 artfynd.xlsx", "A 39295-2024")</f>
        <v/>
      </c>
      <c r="T57">
        <f>HYPERLINK("https://klasma.github.io/Logging_0883/kartor/A 39295-2024 karta.png", "A 39295-2024")</f>
        <v/>
      </c>
      <c r="U57">
        <f>HYPERLINK("https://klasma.github.io/Logging_0883/knärot/A 39295-2024 karta knärot.png", "A 39295-2024")</f>
        <v/>
      </c>
      <c r="V57">
        <f>HYPERLINK("https://klasma.github.io/Logging_0883/klagomål/A 39295-2024 FSC-klagomål.docx", "A 39295-2024")</f>
        <v/>
      </c>
      <c r="W57">
        <f>HYPERLINK("https://klasma.github.io/Logging_0883/klagomålsmail/A 39295-2024 FSC-klagomål mail.docx", "A 39295-2024")</f>
        <v/>
      </c>
      <c r="X57">
        <f>HYPERLINK("https://klasma.github.io/Logging_0883/tillsyn/A 39295-2024 tillsynsbegäran.docx", "A 39295-2024")</f>
        <v/>
      </c>
      <c r="Y57">
        <f>HYPERLINK("https://klasma.github.io/Logging_0883/tillsynsmail/A 39295-2024 tillsynsbegäran mail.docx", "A 39295-2024")</f>
        <v/>
      </c>
      <c r="Z57">
        <f>HYPERLINK("https://klasma.github.io/Logging_0883/fåglar/A 39295-2024 prioriterade fågelarter.docx", "A 39295-2024")</f>
        <v/>
      </c>
    </row>
    <row r="58" ht="15" customHeight="1">
      <c r="A58" t="inlineStr">
        <is>
          <t>A 52046-2024</t>
        </is>
      </c>
      <c r="B58" s="1" t="n">
        <v>45608</v>
      </c>
      <c r="C58" s="1" t="n">
        <v>45822</v>
      </c>
      <c r="D58" t="inlineStr">
        <is>
          <t>KALMAR LÄN</t>
        </is>
      </c>
      <c r="E58" t="inlineStr">
        <is>
          <t>VÄSTERVIK</t>
        </is>
      </c>
      <c r="G58" t="n">
        <v>4.6</v>
      </c>
      <c r="H58" t="n">
        <v>1</v>
      </c>
      <c r="I58" t="n">
        <v>3</v>
      </c>
      <c r="J58" t="n">
        <v>3</v>
      </c>
      <c r="K58" t="n">
        <v>0</v>
      </c>
      <c r="L58" t="n">
        <v>0</v>
      </c>
      <c r="M58" t="n">
        <v>0</v>
      </c>
      <c r="N58" t="n">
        <v>0</v>
      </c>
      <c r="O58" t="n">
        <v>3</v>
      </c>
      <c r="P58" t="n">
        <v>0</v>
      </c>
      <c r="Q58" t="n">
        <v>6</v>
      </c>
      <c r="R58" s="2" t="inlineStr">
        <is>
          <t>Motaggsvamp
Tallticka
Talltita
Blåmossa
Dropptaggsvamp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2806-2025</t>
        </is>
      </c>
      <c r="B59" s="1" t="n">
        <v>45677</v>
      </c>
      <c r="C59" s="1" t="n">
        <v>45822</v>
      </c>
      <c r="D59" t="inlineStr">
        <is>
          <t>KALMAR LÄN</t>
        </is>
      </c>
      <c r="E59" t="inlineStr">
        <is>
          <t>VÄSTERVIK</t>
        </is>
      </c>
      <c r="G59" t="n">
        <v>1.5</v>
      </c>
      <c r="H59" t="n">
        <v>3</v>
      </c>
      <c r="I59" t="n">
        <v>1</v>
      </c>
      <c r="J59" t="n">
        <v>2</v>
      </c>
      <c r="K59" t="n">
        <v>1</v>
      </c>
      <c r="L59" t="n">
        <v>1</v>
      </c>
      <c r="M59" t="n">
        <v>0</v>
      </c>
      <c r="N59" t="n">
        <v>0</v>
      </c>
      <c r="O59" t="n">
        <v>4</v>
      </c>
      <c r="P59" t="n">
        <v>2</v>
      </c>
      <c r="Q59" t="n">
        <v>6</v>
      </c>
      <c r="R59" s="2" t="inlineStr">
        <is>
          <t>Ryl
Knärot
Talltita
Ullticka
Grönpyrola
Kungsfågel</t>
        </is>
      </c>
      <c r="S59">
        <f>HYPERLINK("https://klasma.github.io/Logging_0883/artfynd/A 2806-2025 artfynd.xlsx", "A 2806-2025")</f>
        <v/>
      </c>
      <c r="T59">
        <f>HYPERLINK("https://klasma.github.io/Logging_0883/kartor/A 2806-2025 karta.png", "A 2806-2025")</f>
        <v/>
      </c>
      <c r="U59">
        <f>HYPERLINK("https://klasma.github.io/Logging_0883/knärot/A 2806-2025 karta knärot.png", "A 2806-2025")</f>
        <v/>
      </c>
      <c r="V59">
        <f>HYPERLINK("https://klasma.github.io/Logging_0883/klagomål/A 2806-2025 FSC-klagomål.docx", "A 2806-2025")</f>
        <v/>
      </c>
      <c r="W59">
        <f>HYPERLINK("https://klasma.github.io/Logging_0883/klagomålsmail/A 2806-2025 FSC-klagomål mail.docx", "A 2806-2025")</f>
        <v/>
      </c>
      <c r="X59">
        <f>HYPERLINK("https://klasma.github.io/Logging_0883/tillsyn/A 2806-2025 tillsynsbegäran.docx", "A 2806-2025")</f>
        <v/>
      </c>
      <c r="Y59">
        <f>HYPERLINK("https://klasma.github.io/Logging_0883/tillsynsmail/A 2806-2025 tillsynsbegäran mail.docx", "A 2806-2025")</f>
        <v/>
      </c>
      <c r="Z59">
        <f>HYPERLINK("https://klasma.github.io/Logging_0883/fåglar/A 2806-2025 prioriterade fågelarter.docx", "A 2806-2025")</f>
        <v/>
      </c>
    </row>
    <row r="60" ht="15" customHeight="1">
      <c r="A60" t="inlineStr">
        <is>
          <t>A 4456-2025</t>
        </is>
      </c>
      <c r="B60" s="1" t="n">
        <v>45686</v>
      </c>
      <c r="C60" s="1" t="n">
        <v>45822</v>
      </c>
      <c r="D60" t="inlineStr">
        <is>
          <t>KALMAR LÄN</t>
        </is>
      </c>
      <c r="E60" t="inlineStr">
        <is>
          <t>VÄSTERVIK</t>
        </is>
      </c>
      <c r="G60" t="n">
        <v>1.3</v>
      </c>
      <c r="H60" t="n">
        <v>2</v>
      </c>
      <c r="I60" t="n">
        <v>2</v>
      </c>
      <c r="J60" t="n">
        <v>3</v>
      </c>
      <c r="K60" t="n">
        <v>1</v>
      </c>
      <c r="L60" t="n">
        <v>0</v>
      </c>
      <c r="M60" t="n">
        <v>0</v>
      </c>
      <c r="N60" t="n">
        <v>0</v>
      </c>
      <c r="O60" t="n">
        <v>4</v>
      </c>
      <c r="P60" t="n">
        <v>1</v>
      </c>
      <c r="Q60" t="n">
        <v>6</v>
      </c>
      <c r="R60" s="2" t="inlineStr">
        <is>
          <t>Knärot
Spillkråka
Tallticka
Ullticka
Grovticka
Grönpyrola</t>
        </is>
      </c>
      <c r="S60">
        <f>HYPERLINK("https://klasma.github.io/Logging_0883/artfynd/A 4456-2025 artfynd.xlsx", "A 4456-2025")</f>
        <v/>
      </c>
      <c r="T60">
        <f>HYPERLINK("https://klasma.github.io/Logging_0883/kartor/A 4456-2025 karta.png", "A 4456-2025")</f>
        <v/>
      </c>
      <c r="U60">
        <f>HYPERLINK("https://klasma.github.io/Logging_0883/knärot/A 4456-2025 karta knärot.png", "A 4456-2025")</f>
        <v/>
      </c>
      <c r="V60">
        <f>HYPERLINK("https://klasma.github.io/Logging_0883/klagomål/A 4456-2025 FSC-klagomål.docx", "A 4456-2025")</f>
        <v/>
      </c>
      <c r="W60">
        <f>HYPERLINK("https://klasma.github.io/Logging_0883/klagomålsmail/A 4456-2025 FSC-klagomål mail.docx", "A 4456-2025")</f>
        <v/>
      </c>
      <c r="X60">
        <f>HYPERLINK("https://klasma.github.io/Logging_0883/tillsyn/A 4456-2025 tillsynsbegäran.docx", "A 4456-2025")</f>
        <v/>
      </c>
      <c r="Y60">
        <f>HYPERLINK("https://klasma.github.io/Logging_0883/tillsynsmail/A 4456-2025 tillsynsbegäran mail.docx", "A 4456-2025")</f>
        <v/>
      </c>
      <c r="Z60">
        <f>HYPERLINK("https://klasma.github.io/Logging_0883/fåglar/A 4456-2025 prioriterade fågelarter.docx", "A 4456-2025")</f>
        <v/>
      </c>
    </row>
    <row r="61" ht="15" customHeight="1">
      <c r="A61" t="inlineStr">
        <is>
          <t>A 13353-2025</t>
        </is>
      </c>
      <c r="B61" s="1" t="n">
        <v>45735</v>
      </c>
      <c r="C61" s="1" t="n">
        <v>45822</v>
      </c>
      <c r="D61" t="inlineStr">
        <is>
          <t>KALMAR LÄN</t>
        </is>
      </c>
      <c r="E61" t="inlineStr">
        <is>
          <t>VÄSTERVIK</t>
        </is>
      </c>
      <c r="G61" t="n">
        <v>1.9</v>
      </c>
      <c r="H61" t="n">
        <v>5</v>
      </c>
      <c r="I61" t="n">
        <v>1</v>
      </c>
      <c r="J61" t="n">
        <v>2</v>
      </c>
      <c r="K61" t="n">
        <v>1</v>
      </c>
      <c r="L61" t="n">
        <v>0</v>
      </c>
      <c r="M61" t="n">
        <v>0</v>
      </c>
      <c r="N61" t="n">
        <v>0</v>
      </c>
      <c r="O61" t="n">
        <v>3</v>
      </c>
      <c r="P61" t="n">
        <v>1</v>
      </c>
      <c r="Q61" t="n">
        <v>6</v>
      </c>
      <c r="R61" s="2" t="inlineStr">
        <is>
          <t>Knärot
Spillkråka
Talltita
Dropptaggsvamp
Järnsparv
Kungsfågel</t>
        </is>
      </c>
      <c r="S61">
        <f>HYPERLINK("https://klasma.github.io/Logging_080883/artfynd/A 13353-2025 artfynd.xlsx", "A 13353-2025")</f>
        <v/>
      </c>
      <c r="T61">
        <f>HYPERLINK("https://klasma.github.io/Logging_080883/kartor/A 13353-2025 karta.png", "A 13353-2025")</f>
        <v/>
      </c>
      <c r="U61">
        <f>HYPERLINK("https://klasma.github.io/Logging_080883/knärot/A 13353-2025 karta knärot.png", "A 13353-2025")</f>
        <v/>
      </c>
      <c r="V61">
        <f>HYPERLINK("https://klasma.github.io/Logging_080883/klagomål/A 13353-2025 FSC-klagomål.docx", "A 13353-2025")</f>
        <v/>
      </c>
      <c r="W61">
        <f>HYPERLINK("https://klasma.github.io/Logging_080883/klagomålsmail/A 13353-2025 FSC-klagomål mail.docx", "A 13353-2025")</f>
        <v/>
      </c>
      <c r="X61">
        <f>HYPERLINK("https://klasma.github.io/Logging_080883/tillsyn/A 13353-2025 tillsynsbegäran.docx", "A 13353-2025")</f>
        <v/>
      </c>
      <c r="Y61">
        <f>HYPERLINK("https://klasma.github.io/Logging_080883/tillsynsmail/A 13353-2025 tillsynsbegäran mail.docx", "A 13353-2025")</f>
        <v/>
      </c>
      <c r="Z61">
        <f>HYPERLINK("https://klasma.github.io/Logging_080883/fåglar/A 13353-2025 prioriterade fågelarter.docx", "A 13353-2025")</f>
        <v/>
      </c>
    </row>
    <row r="62" ht="15" customHeight="1">
      <c r="A62" t="inlineStr">
        <is>
          <t>A 14121-2025</t>
        </is>
      </c>
      <c r="B62" s="1" t="n">
        <v>45740</v>
      </c>
      <c r="C62" s="1" t="n">
        <v>45822</v>
      </c>
      <c r="D62" t="inlineStr">
        <is>
          <t>KALMAR LÄN</t>
        </is>
      </c>
      <c r="E62" t="inlineStr">
        <is>
          <t>VÄSTERVIK</t>
        </is>
      </c>
      <c r="F62" t="inlineStr">
        <is>
          <t>Sveaskog</t>
        </is>
      </c>
      <c r="G62" t="n">
        <v>3.4</v>
      </c>
      <c r="H62" t="n">
        <v>6</v>
      </c>
      <c r="I62" t="n">
        <v>1</v>
      </c>
      <c r="J62" t="n">
        <v>4</v>
      </c>
      <c r="K62" t="n">
        <v>0</v>
      </c>
      <c r="L62" t="n">
        <v>0</v>
      </c>
      <c r="M62" t="n">
        <v>0</v>
      </c>
      <c r="N62" t="n">
        <v>0</v>
      </c>
      <c r="O62" t="n">
        <v>4</v>
      </c>
      <c r="P62" t="n">
        <v>0</v>
      </c>
      <c r="Q62" t="n">
        <v>6</v>
      </c>
      <c r="R62" s="2" t="inlineStr">
        <is>
          <t>Entita
Grönsångare
Mindre hackspett
Spillkråka
Purpurknipprot
Skogsduva</t>
        </is>
      </c>
      <c r="S62">
        <f>HYPERLINK("https://klasma.github.io/Logging_080883/artfynd/A 14121-2025 artfynd.xlsx", "A 14121-2025")</f>
        <v/>
      </c>
      <c r="T62">
        <f>HYPERLINK("https://klasma.github.io/Logging_080883/kartor/A 14121-2025 karta.png", "A 14121-2025")</f>
        <v/>
      </c>
      <c r="V62">
        <f>HYPERLINK("https://klasma.github.io/Logging_080883/klagomål/A 14121-2025 FSC-klagomål.docx", "A 14121-2025")</f>
        <v/>
      </c>
      <c r="W62">
        <f>HYPERLINK("https://klasma.github.io/Logging_080883/klagomålsmail/A 14121-2025 FSC-klagomål mail.docx", "A 14121-2025")</f>
        <v/>
      </c>
      <c r="X62">
        <f>HYPERLINK("https://klasma.github.io/Logging_080883/tillsyn/A 14121-2025 tillsynsbegäran.docx", "A 14121-2025")</f>
        <v/>
      </c>
      <c r="Y62">
        <f>HYPERLINK("https://klasma.github.io/Logging_080883/tillsynsmail/A 14121-2025 tillsynsbegäran mail.docx", "A 14121-2025")</f>
        <v/>
      </c>
      <c r="Z62">
        <f>HYPERLINK("https://klasma.github.io/Logging_080883/fåglar/A 14121-2025 prioriterade fågelarter.docx", "A 14121-2025")</f>
        <v/>
      </c>
    </row>
    <row r="63" ht="15" customHeight="1">
      <c r="A63" t="inlineStr">
        <is>
          <t>A 15280-2025</t>
        </is>
      </c>
      <c r="B63" s="1" t="n">
        <v>45744</v>
      </c>
      <c r="C63" s="1" t="n">
        <v>45822</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45822</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45822</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45822</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45822</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45822</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45822</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45822</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45822</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45822</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45822</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45822</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45822</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45822</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45822</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45822</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45822</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45822</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45822</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45822</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45822</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45822</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45822</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45822</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45822</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45822</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45822</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45822</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45822</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45822</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45822</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45822</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45822</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45822</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45822</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45822</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45822</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45822</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45822</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45822</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45822</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45822</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45822</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45822</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45822</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45822</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45822</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45822</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45822</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45822</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45822</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45822</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45822</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45822</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9097-2021</t>
        </is>
      </c>
      <c r="B117" s="1" t="n">
        <v>44249</v>
      </c>
      <c r="C117" s="1" t="n">
        <v>45822</v>
      </c>
      <c r="D117" t="inlineStr">
        <is>
          <t>KALMAR LÄN</t>
        </is>
      </c>
      <c r="E117" t="inlineStr">
        <is>
          <t>VÄSTERVIK</t>
        </is>
      </c>
      <c r="F117" t="inlineStr">
        <is>
          <t>Sveaskog</t>
        </is>
      </c>
      <c r="G117" t="n">
        <v>1.9</v>
      </c>
      <c r="H117" t="n">
        <v>0</v>
      </c>
      <c r="I117" t="n">
        <v>1</v>
      </c>
      <c r="J117" t="n">
        <v>2</v>
      </c>
      <c r="K117" t="n">
        <v>0</v>
      </c>
      <c r="L117" t="n">
        <v>0</v>
      </c>
      <c r="M117" t="n">
        <v>0</v>
      </c>
      <c r="N117" t="n">
        <v>0</v>
      </c>
      <c r="O117" t="n">
        <v>2</v>
      </c>
      <c r="P117" t="n">
        <v>0</v>
      </c>
      <c r="Q117" t="n">
        <v>3</v>
      </c>
      <c r="R117" s="2" t="inlineStr">
        <is>
          <t>Tallticka
Vedskivlav
Vätteros</t>
        </is>
      </c>
      <c r="S117">
        <f>HYPERLINK("https://klasma.github.io/Logging_0883/artfynd/A 9097-2021 artfynd.xlsx", "A 9097-2021")</f>
        <v/>
      </c>
      <c r="T117">
        <f>HYPERLINK("https://klasma.github.io/Logging_0883/kartor/A 9097-2021 karta.png", "A 9097-2021")</f>
        <v/>
      </c>
      <c r="V117">
        <f>HYPERLINK("https://klasma.github.io/Logging_0883/klagomål/A 9097-2021 FSC-klagomål.docx", "A 9097-2021")</f>
        <v/>
      </c>
      <c r="W117">
        <f>HYPERLINK("https://klasma.github.io/Logging_0883/klagomålsmail/A 9097-2021 FSC-klagomål mail.docx", "A 9097-2021")</f>
        <v/>
      </c>
      <c r="X117">
        <f>HYPERLINK("https://klasma.github.io/Logging_0883/tillsyn/A 9097-2021 tillsynsbegäran.docx", "A 9097-2021")</f>
        <v/>
      </c>
      <c r="Y117">
        <f>HYPERLINK("https://klasma.github.io/Logging_0883/tillsynsmail/A 9097-2021 tillsynsbegäran mail.docx", "A 9097-2021")</f>
        <v/>
      </c>
    </row>
    <row r="118" ht="15" customHeight="1">
      <c r="A118" t="inlineStr">
        <is>
          <t>A 63813-2021</t>
        </is>
      </c>
      <c r="B118" s="1" t="n">
        <v>44505</v>
      </c>
      <c r="C118" s="1" t="n">
        <v>45822</v>
      </c>
      <c r="D118" t="inlineStr">
        <is>
          <t>KALMAR LÄN</t>
        </is>
      </c>
      <c r="E118" t="inlineStr">
        <is>
          <t>VÄSTERVIK</t>
        </is>
      </c>
      <c r="G118" t="n">
        <v>4.4</v>
      </c>
      <c r="H118" t="n">
        <v>1</v>
      </c>
      <c r="I118" t="n">
        <v>1</v>
      </c>
      <c r="J118" t="n">
        <v>2</v>
      </c>
      <c r="K118" t="n">
        <v>0</v>
      </c>
      <c r="L118" t="n">
        <v>0</v>
      </c>
      <c r="M118" t="n">
        <v>0</v>
      </c>
      <c r="N118" t="n">
        <v>0</v>
      </c>
      <c r="O118" t="n">
        <v>2</v>
      </c>
      <c r="P118" t="n">
        <v>0</v>
      </c>
      <c r="Q118" t="n">
        <v>3</v>
      </c>
      <c r="R118" s="2" t="inlineStr">
        <is>
          <t>Tallticka
Talltita
Grovticka</t>
        </is>
      </c>
      <c r="S118">
        <f>HYPERLINK("https://klasma.github.io/Logging_0883/artfynd/A 63813-2021 artfynd.xlsx", "A 63813-2021")</f>
        <v/>
      </c>
      <c r="T118">
        <f>HYPERLINK("https://klasma.github.io/Logging_0883/kartor/A 63813-2021 karta.png", "A 63813-2021")</f>
        <v/>
      </c>
      <c r="U118">
        <f>HYPERLINK("https://klasma.github.io/Logging_0883/knärot/A 63813-2021 karta knärot.png", "A 63813-2021")</f>
        <v/>
      </c>
      <c r="V118">
        <f>HYPERLINK("https://klasma.github.io/Logging_0883/klagomål/A 63813-2021 FSC-klagomål.docx", "A 63813-2021")</f>
        <v/>
      </c>
      <c r="W118">
        <f>HYPERLINK("https://klasma.github.io/Logging_0883/klagomålsmail/A 63813-2021 FSC-klagomål mail.docx", "A 63813-2021")</f>
        <v/>
      </c>
      <c r="X118">
        <f>HYPERLINK("https://klasma.github.io/Logging_0883/tillsyn/A 63813-2021 tillsynsbegäran.docx", "A 63813-2021")</f>
        <v/>
      </c>
      <c r="Y118">
        <f>HYPERLINK("https://klasma.github.io/Logging_0883/tillsynsmail/A 63813-2021 tillsynsbegäran mail.docx", "A 63813-2021")</f>
        <v/>
      </c>
      <c r="Z118">
        <f>HYPERLINK("https://klasma.github.io/Logging_0883/fåglar/A 63813-2021 prioriterade fågelarter.docx", "A 63813-2021")</f>
        <v/>
      </c>
    </row>
    <row r="119" ht="15" customHeight="1">
      <c r="A119" t="inlineStr">
        <is>
          <t>A 68416-2021</t>
        </is>
      </c>
      <c r="B119" s="1" t="n">
        <v>44529</v>
      </c>
      <c r="C119" s="1" t="n">
        <v>45822</v>
      </c>
      <c r="D119" t="inlineStr">
        <is>
          <t>KALMAR LÄN</t>
        </is>
      </c>
      <c r="E119" t="inlineStr">
        <is>
          <t>VÄSTERVIK</t>
        </is>
      </c>
      <c r="F119" t="inlineStr">
        <is>
          <t>Kyrkan</t>
        </is>
      </c>
      <c r="G119" t="n">
        <v>10.5</v>
      </c>
      <c r="H119" t="n">
        <v>2</v>
      </c>
      <c r="I119" t="n">
        <v>0</v>
      </c>
      <c r="J119" t="n">
        <v>2</v>
      </c>
      <c r="K119" t="n">
        <v>1</v>
      </c>
      <c r="L119" t="n">
        <v>0</v>
      </c>
      <c r="M119" t="n">
        <v>0</v>
      </c>
      <c r="N119" t="n">
        <v>0</v>
      </c>
      <c r="O119" t="n">
        <v>3</v>
      </c>
      <c r="P119" t="n">
        <v>1</v>
      </c>
      <c r="Q119" t="n">
        <v>3</v>
      </c>
      <c r="R119" s="2" t="inlineStr">
        <is>
          <t>Knärot
Tallticka
Talltita</t>
        </is>
      </c>
      <c r="S119">
        <f>HYPERLINK("https://klasma.github.io/Logging_0883/artfynd/A 68416-2021 artfynd.xlsx", "A 68416-2021")</f>
        <v/>
      </c>
      <c r="T119">
        <f>HYPERLINK("https://klasma.github.io/Logging_0883/kartor/A 68416-2021 karta.png", "A 68416-2021")</f>
        <v/>
      </c>
      <c r="U119">
        <f>HYPERLINK("https://klasma.github.io/Logging_0883/knärot/A 68416-2021 karta knärot.png", "A 68416-2021")</f>
        <v/>
      </c>
      <c r="V119">
        <f>HYPERLINK("https://klasma.github.io/Logging_0883/klagomål/A 68416-2021 FSC-klagomål.docx", "A 68416-2021")</f>
        <v/>
      </c>
      <c r="W119">
        <f>HYPERLINK("https://klasma.github.io/Logging_0883/klagomålsmail/A 68416-2021 FSC-klagomål mail.docx", "A 68416-2021")</f>
        <v/>
      </c>
      <c r="X119">
        <f>HYPERLINK("https://klasma.github.io/Logging_0883/tillsyn/A 68416-2021 tillsynsbegäran.docx", "A 68416-2021")</f>
        <v/>
      </c>
      <c r="Y119">
        <f>HYPERLINK("https://klasma.github.io/Logging_0883/tillsynsmail/A 68416-2021 tillsynsbegäran mail.docx", "A 68416-2021")</f>
        <v/>
      </c>
      <c r="Z119">
        <f>HYPERLINK("https://klasma.github.io/Logging_0883/fåglar/A 68416-2021 prioriterade fågelarter.docx", "A 68416-2021")</f>
        <v/>
      </c>
    </row>
    <row r="120" ht="15" customHeight="1">
      <c r="A120" t="inlineStr">
        <is>
          <t>A 55506-2022</t>
        </is>
      </c>
      <c r="B120" s="1" t="n">
        <v>44887</v>
      </c>
      <c r="C120" s="1" t="n">
        <v>45822</v>
      </c>
      <c r="D120" t="inlineStr">
        <is>
          <t>KALMAR LÄN</t>
        </is>
      </c>
      <c r="E120" t="inlineStr">
        <is>
          <t>VÄSTERVIK</t>
        </is>
      </c>
      <c r="G120" t="n">
        <v>3.4</v>
      </c>
      <c r="H120" t="n">
        <v>0</v>
      </c>
      <c r="I120" t="n">
        <v>1</v>
      </c>
      <c r="J120" t="n">
        <v>2</v>
      </c>
      <c r="K120" t="n">
        <v>0</v>
      </c>
      <c r="L120" t="n">
        <v>0</v>
      </c>
      <c r="M120" t="n">
        <v>0</v>
      </c>
      <c r="N120" t="n">
        <v>0</v>
      </c>
      <c r="O120" t="n">
        <v>2</v>
      </c>
      <c r="P120" t="n">
        <v>0</v>
      </c>
      <c r="Q120" t="n">
        <v>3</v>
      </c>
      <c r="R120" s="2" t="inlineStr">
        <is>
          <t>Tallticka
Ullticka
Trädporella</t>
        </is>
      </c>
      <c r="S120">
        <f>HYPERLINK("https://klasma.github.io/Logging_0883/artfynd/A 55506-2022 artfynd.xlsx", "A 55506-2022")</f>
        <v/>
      </c>
      <c r="T120">
        <f>HYPERLINK("https://klasma.github.io/Logging_0883/kartor/A 55506-2022 karta.png", "A 55506-2022")</f>
        <v/>
      </c>
      <c r="V120">
        <f>HYPERLINK("https://klasma.github.io/Logging_0883/klagomål/A 55506-2022 FSC-klagomål.docx", "A 55506-2022")</f>
        <v/>
      </c>
      <c r="W120">
        <f>HYPERLINK("https://klasma.github.io/Logging_0883/klagomålsmail/A 55506-2022 FSC-klagomål mail.docx", "A 55506-2022")</f>
        <v/>
      </c>
      <c r="X120">
        <f>HYPERLINK("https://klasma.github.io/Logging_0883/tillsyn/A 55506-2022 tillsynsbegäran.docx", "A 55506-2022")</f>
        <v/>
      </c>
      <c r="Y120">
        <f>HYPERLINK("https://klasma.github.io/Logging_0883/tillsynsmail/A 55506-2022 tillsynsbegäran mail.docx", "A 55506-2022")</f>
        <v/>
      </c>
    </row>
    <row r="121" ht="15" customHeight="1">
      <c r="A121" t="inlineStr">
        <is>
          <t>A 804-2023</t>
        </is>
      </c>
      <c r="B121" s="1" t="n">
        <v>44931</v>
      </c>
      <c r="C121" s="1" t="n">
        <v>45822</v>
      </c>
      <c r="D121" t="inlineStr">
        <is>
          <t>KALMAR LÄN</t>
        </is>
      </c>
      <c r="E121" t="inlineStr">
        <is>
          <t>VÄSTERVIK</t>
        </is>
      </c>
      <c r="F121" t="inlineStr">
        <is>
          <t>Holmen skog AB</t>
        </is>
      </c>
      <c r="G121" t="n">
        <v>5.2</v>
      </c>
      <c r="H121" t="n">
        <v>1</v>
      </c>
      <c r="I121" t="n">
        <v>1</v>
      </c>
      <c r="J121" t="n">
        <v>1</v>
      </c>
      <c r="K121" t="n">
        <v>1</v>
      </c>
      <c r="L121" t="n">
        <v>0</v>
      </c>
      <c r="M121" t="n">
        <v>0</v>
      </c>
      <c r="N121" t="n">
        <v>0</v>
      </c>
      <c r="O121" t="n">
        <v>2</v>
      </c>
      <c r="P121" t="n">
        <v>1</v>
      </c>
      <c r="Q121" t="n">
        <v>3</v>
      </c>
      <c r="R121" s="2" t="inlineStr">
        <is>
          <t>Violett fingersvamp
Ekticka
Ekoxe</t>
        </is>
      </c>
      <c r="S121">
        <f>HYPERLINK("https://klasma.github.io/Logging_0883/artfynd/A 804-2023 artfynd.xlsx", "A 804-2023")</f>
        <v/>
      </c>
      <c r="T121">
        <f>HYPERLINK("https://klasma.github.io/Logging_0883/kartor/A 804-2023 karta.png", "A 804-2023")</f>
        <v/>
      </c>
      <c r="V121">
        <f>HYPERLINK("https://klasma.github.io/Logging_0883/klagomål/A 804-2023 FSC-klagomål.docx", "A 804-2023")</f>
        <v/>
      </c>
      <c r="W121">
        <f>HYPERLINK("https://klasma.github.io/Logging_0883/klagomålsmail/A 804-2023 FSC-klagomål mail.docx", "A 804-2023")</f>
        <v/>
      </c>
      <c r="X121">
        <f>HYPERLINK("https://klasma.github.io/Logging_0883/tillsyn/A 804-2023 tillsynsbegäran.docx", "A 804-2023")</f>
        <v/>
      </c>
      <c r="Y121">
        <f>HYPERLINK("https://klasma.github.io/Logging_0883/tillsynsmail/A 804-2023 tillsynsbegäran mail.docx", "A 804-2023")</f>
        <v/>
      </c>
    </row>
    <row r="122" ht="15" customHeight="1">
      <c r="A122" t="inlineStr">
        <is>
          <t>A 12708-2023</t>
        </is>
      </c>
      <c r="B122" s="1" t="n">
        <v>45000</v>
      </c>
      <c r="C122" s="1" t="n">
        <v>45822</v>
      </c>
      <c r="D122" t="inlineStr">
        <is>
          <t>KALMAR LÄN</t>
        </is>
      </c>
      <c r="E122" t="inlineStr">
        <is>
          <t>VÄSTERVIK</t>
        </is>
      </c>
      <c r="G122" t="n">
        <v>8.6</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12708-2023 artfynd.xlsx", "A 12708-2023")</f>
        <v/>
      </c>
      <c r="T122">
        <f>HYPERLINK("https://klasma.github.io/Logging_0883/kartor/A 12708-2023 karta.png", "A 12708-2023")</f>
        <v/>
      </c>
      <c r="U122">
        <f>HYPERLINK("https://klasma.github.io/Logging_0883/knärot/A 12708-2023 karta knärot.png", "A 12708-2023")</f>
        <v/>
      </c>
      <c r="V122">
        <f>HYPERLINK("https://klasma.github.io/Logging_0883/klagomål/A 12708-2023 FSC-klagomål.docx", "A 12708-2023")</f>
        <v/>
      </c>
      <c r="W122">
        <f>HYPERLINK("https://klasma.github.io/Logging_0883/klagomålsmail/A 12708-2023 FSC-klagomål mail.docx", "A 12708-2023")</f>
        <v/>
      </c>
      <c r="X122">
        <f>HYPERLINK("https://klasma.github.io/Logging_0883/tillsyn/A 12708-2023 tillsynsbegäran.docx", "A 12708-2023")</f>
        <v/>
      </c>
      <c r="Y122">
        <f>HYPERLINK("https://klasma.github.io/Logging_0883/tillsynsmail/A 12708-2023 tillsynsbegäran mail.docx", "A 12708-2023")</f>
        <v/>
      </c>
      <c r="Z122">
        <f>HYPERLINK("https://klasma.github.io/Logging_0883/fåglar/A 12708-2023 prioriterade fågelarter.docx", "A 12708-2023")</f>
        <v/>
      </c>
    </row>
    <row r="123" ht="15" customHeight="1">
      <c r="A123" t="inlineStr">
        <is>
          <t>A 30194-2023</t>
        </is>
      </c>
      <c r="B123" s="1" t="n">
        <v>45110</v>
      </c>
      <c r="C123" s="1" t="n">
        <v>45822</v>
      </c>
      <c r="D123" t="inlineStr">
        <is>
          <t>KALMAR LÄN</t>
        </is>
      </c>
      <c r="E123" t="inlineStr">
        <is>
          <t>VÄSTERVIK</t>
        </is>
      </c>
      <c r="F123" t="inlineStr">
        <is>
          <t>Kyrkan</t>
        </is>
      </c>
      <c r="G123" t="n">
        <v>5.8</v>
      </c>
      <c r="H123" t="n">
        <v>1</v>
      </c>
      <c r="I123" t="n">
        <v>2</v>
      </c>
      <c r="J123" t="n">
        <v>0</v>
      </c>
      <c r="K123" t="n">
        <v>1</v>
      </c>
      <c r="L123" t="n">
        <v>0</v>
      </c>
      <c r="M123" t="n">
        <v>0</v>
      </c>
      <c r="N123" t="n">
        <v>0</v>
      </c>
      <c r="O123" t="n">
        <v>1</v>
      </c>
      <c r="P123" t="n">
        <v>1</v>
      </c>
      <c r="Q123" t="n">
        <v>3</v>
      </c>
      <c r="R123" s="2" t="inlineStr">
        <is>
          <t>Knärot
Grovticka
Grönpyrola</t>
        </is>
      </c>
      <c r="S123">
        <f>HYPERLINK("https://klasma.github.io/Logging_0883/artfynd/A 30194-2023 artfynd.xlsx", "A 30194-2023")</f>
        <v/>
      </c>
      <c r="T123">
        <f>HYPERLINK("https://klasma.github.io/Logging_0883/kartor/A 30194-2023 karta.png", "A 30194-2023")</f>
        <v/>
      </c>
      <c r="U123">
        <f>HYPERLINK("https://klasma.github.io/Logging_0883/knärot/A 30194-2023 karta knärot.png", "A 30194-2023")</f>
        <v/>
      </c>
      <c r="V123">
        <f>HYPERLINK("https://klasma.github.io/Logging_0883/klagomål/A 30194-2023 FSC-klagomål.docx", "A 30194-2023")</f>
        <v/>
      </c>
      <c r="W123">
        <f>HYPERLINK("https://klasma.github.io/Logging_0883/klagomålsmail/A 30194-2023 FSC-klagomål mail.docx", "A 30194-2023")</f>
        <v/>
      </c>
      <c r="X123">
        <f>HYPERLINK("https://klasma.github.io/Logging_0883/tillsyn/A 30194-2023 tillsynsbegäran.docx", "A 30194-2023")</f>
        <v/>
      </c>
      <c r="Y123">
        <f>HYPERLINK("https://klasma.github.io/Logging_0883/tillsynsmail/A 30194-2023 tillsynsbegäran mail.docx", "A 30194-2023")</f>
        <v/>
      </c>
    </row>
    <row r="124" ht="15" customHeight="1">
      <c r="A124" t="inlineStr">
        <is>
          <t>A 35480-2023</t>
        </is>
      </c>
      <c r="B124" s="1" t="n">
        <v>45146</v>
      </c>
      <c r="C124" s="1" t="n">
        <v>45822</v>
      </c>
      <c r="D124" t="inlineStr">
        <is>
          <t>KALMAR LÄN</t>
        </is>
      </c>
      <c r="E124" t="inlineStr">
        <is>
          <t>VÄSTERVIK</t>
        </is>
      </c>
      <c r="G124" t="n">
        <v>5.5</v>
      </c>
      <c r="H124" t="n">
        <v>1</v>
      </c>
      <c r="I124" t="n">
        <v>2</v>
      </c>
      <c r="J124" t="n">
        <v>1</v>
      </c>
      <c r="K124" t="n">
        <v>0</v>
      </c>
      <c r="L124" t="n">
        <v>0</v>
      </c>
      <c r="M124" t="n">
        <v>0</v>
      </c>
      <c r="N124" t="n">
        <v>0</v>
      </c>
      <c r="O124" t="n">
        <v>1</v>
      </c>
      <c r="P124" t="n">
        <v>0</v>
      </c>
      <c r="Q124" t="n">
        <v>3</v>
      </c>
      <c r="R124" s="2" t="inlineStr">
        <is>
          <t>Spillkråka
Blåmossa
Tjockfotad fingersvamp</t>
        </is>
      </c>
      <c r="S124">
        <f>HYPERLINK("https://klasma.github.io/Logging_0883/artfynd/A 35480-2023 artfynd.xlsx", "A 35480-2023")</f>
        <v/>
      </c>
      <c r="T124">
        <f>HYPERLINK("https://klasma.github.io/Logging_0883/kartor/A 35480-2023 karta.png", "A 35480-2023")</f>
        <v/>
      </c>
      <c r="V124">
        <f>HYPERLINK("https://klasma.github.io/Logging_0883/klagomål/A 35480-2023 FSC-klagomål.docx", "A 35480-2023")</f>
        <v/>
      </c>
      <c r="W124">
        <f>HYPERLINK("https://klasma.github.io/Logging_0883/klagomålsmail/A 35480-2023 FSC-klagomål mail.docx", "A 35480-2023")</f>
        <v/>
      </c>
      <c r="X124">
        <f>HYPERLINK("https://klasma.github.io/Logging_0883/tillsyn/A 35480-2023 tillsynsbegäran.docx", "A 35480-2023")</f>
        <v/>
      </c>
      <c r="Y124">
        <f>HYPERLINK("https://klasma.github.io/Logging_0883/tillsynsmail/A 35480-2023 tillsynsbegäran mail.docx", "A 35480-2023")</f>
        <v/>
      </c>
      <c r="Z124">
        <f>HYPERLINK("https://klasma.github.io/Logging_0883/fåglar/A 35480-2023 prioriterade fågelarter.docx", "A 35480-2023")</f>
        <v/>
      </c>
    </row>
    <row r="125" ht="15" customHeight="1">
      <c r="A125" t="inlineStr">
        <is>
          <t>A 39904-2023</t>
        </is>
      </c>
      <c r="B125" s="1" t="n">
        <v>45168</v>
      </c>
      <c r="C125" s="1" t="n">
        <v>45822</v>
      </c>
      <c r="D125" t="inlineStr">
        <is>
          <t>KALMAR LÄN</t>
        </is>
      </c>
      <c r="E125" t="inlineStr">
        <is>
          <t>VÄSTERVIK</t>
        </is>
      </c>
      <c r="G125" t="n">
        <v>7.3</v>
      </c>
      <c r="H125" t="n">
        <v>1</v>
      </c>
      <c r="I125" t="n">
        <v>1</v>
      </c>
      <c r="J125" t="n">
        <v>1</v>
      </c>
      <c r="K125" t="n">
        <v>0</v>
      </c>
      <c r="L125" t="n">
        <v>0</v>
      </c>
      <c r="M125" t="n">
        <v>0</v>
      </c>
      <c r="N125" t="n">
        <v>0</v>
      </c>
      <c r="O125" t="n">
        <v>1</v>
      </c>
      <c r="P125" t="n">
        <v>0</v>
      </c>
      <c r="Q125" t="n">
        <v>3</v>
      </c>
      <c r="R125" s="2" t="inlineStr">
        <is>
          <t>Gropticka
Grönpyrola
Revlummer</t>
        </is>
      </c>
      <c r="S125">
        <f>HYPERLINK("https://klasma.github.io/Logging_0883/artfynd/A 39904-2023 artfynd.xlsx", "A 39904-2023")</f>
        <v/>
      </c>
      <c r="T125">
        <f>HYPERLINK("https://klasma.github.io/Logging_0883/kartor/A 39904-2023 karta.png", "A 39904-2023")</f>
        <v/>
      </c>
      <c r="V125">
        <f>HYPERLINK("https://klasma.github.io/Logging_0883/klagomål/A 39904-2023 FSC-klagomål.docx", "A 39904-2023")</f>
        <v/>
      </c>
      <c r="W125">
        <f>HYPERLINK("https://klasma.github.io/Logging_0883/klagomålsmail/A 39904-2023 FSC-klagomål mail.docx", "A 39904-2023")</f>
        <v/>
      </c>
      <c r="X125">
        <f>HYPERLINK("https://klasma.github.io/Logging_0883/tillsyn/A 39904-2023 tillsynsbegäran.docx", "A 39904-2023")</f>
        <v/>
      </c>
      <c r="Y125">
        <f>HYPERLINK("https://klasma.github.io/Logging_0883/tillsynsmail/A 39904-2023 tillsynsbegäran mail.docx", "A 39904-2023")</f>
        <v/>
      </c>
    </row>
    <row r="126" ht="15" customHeight="1">
      <c r="A126" t="inlineStr">
        <is>
          <t>A 39906-2023</t>
        </is>
      </c>
      <c r="B126" s="1" t="n">
        <v>45168</v>
      </c>
      <c r="C126" s="1" t="n">
        <v>45822</v>
      </c>
      <c r="D126" t="inlineStr">
        <is>
          <t>KALMAR LÄN</t>
        </is>
      </c>
      <c r="E126" t="inlineStr">
        <is>
          <t>VÄSTERVIK</t>
        </is>
      </c>
      <c r="G126" t="n">
        <v>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HYPERLINK("https://klasma.github.io/Logging_0883/artfynd/A 39906-2023 artfynd.xlsx", "A 39906-2023")</f>
        <v/>
      </c>
      <c r="T126">
        <f>HYPERLINK("https://klasma.github.io/Logging_0883/kartor/A 39906-2023 karta.png", "A 39906-2023")</f>
        <v/>
      </c>
      <c r="U126">
        <f>HYPERLINK("https://klasma.github.io/Logging_0883/knärot/A 39906-2023 karta knärot.png", "A 39906-2023")</f>
        <v/>
      </c>
      <c r="V126">
        <f>HYPERLINK("https://klasma.github.io/Logging_0883/klagomål/A 39906-2023 FSC-klagomål.docx", "A 39906-2023")</f>
        <v/>
      </c>
      <c r="W126">
        <f>HYPERLINK("https://klasma.github.io/Logging_0883/klagomålsmail/A 39906-2023 FSC-klagomål mail.docx", "A 39906-2023")</f>
        <v/>
      </c>
      <c r="X126">
        <f>HYPERLINK("https://klasma.github.io/Logging_0883/tillsyn/A 39906-2023 tillsynsbegäran.docx", "A 39906-2023")</f>
        <v/>
      </c>
      <c r="Y126">
        <f>HYPERLINK("https://klasma.github.io/Logging_0883/tillsynsmail/A 39906-2023 tillsynsbegäran mail.docx", "A 39906-2023")</f>
        <v/>
      </c>
    </row>
    <row r="127" ht="15" customHeight="1">
      <c r="A127" t="inlineStr">
        <is>
          <t>A 42353-2023</t>
        </is>
      </c>
      <c r="B127" s="1" t="n">
        <v>45180</v>
      </c>
      <c r="C127" s="1" t="n">
        <v>45822</v>
      </c>
      <c r="D127" t="inlineStr">
        <is>
          <t>KALMAR LÄN</t>
        </is>
      </c>
      <c r="E127" t="inlineStr">
        <is>
          <t>VÄSTERVIK</t>
        </is>
      </c>
      <c r="G127" t="n">
        <v>11.3</v>
      </c>
      <c r="H127" t="n">
        <v>1</v>
      </c>
      <c r="I127" t="n">
        <v>1</v>
      </c>
      <c r="J127" t="n">
        <v>1</v>
      </c>
      <c r="K127" t="n">
        <v>1</v>
      </c>
      <c r="L127" t="n">
        <v>0</v>
      </c>
      <c r="M127" t="n">
        <v>0</v>
      </c>
      <c r="N127" t="n">
        <v>0</v>
      </c>
      <c r="O127" t="n">
        <v>2</v>
      </c>
      <c r="P127" t="n">
        <v>1</v>
      </c>
      <c r="Q127" t="n">
        <v>3</v>
      </c>
      <c r="R127" s="2" t="inlineStr">
        <is>
          <t>Knärot
Tallticka
Blomkålssvamp</t>
        </is>
      </c>
      <c r="S127">
        <f>HYPERLINK("https://klasma.github.io/Logging_0883/artfynd/A 42353-2023 artfynd.xlsx", "A 42353-2023")</f>
        <v/>
      </c>
      <c r="T127">
        <f>HYPERLINK("https://klasma.github.io/Logging_0883/kartor/A 42353-2023 karta.png", "A 42353-2023")</f>
        <v/>
      </c>
      <c r="U127">
        <f>HYPERLINK("https://klasma.github.io/Logging_0883/knärot/A 42353-2023 karta knärot.png", "A 42353-2023")</f>
        <v/>
      </c>
      <c r="V127">
        <f>HYPERLINK("https://klasma.github.io/Logging_0883/klagomål/A 42353-2023 FSC-klagomål.docx", "A 42353-2023")</f>
        <v/>
      </c>
      <c r="W127">
        <f>HYPERLINK("https://klasma.github.io/Logging_0883/klagomålsmail/A 42353-2023 FSC-klagomål mail.docx", "A 42353-2023")</f>
        <v/>
      </c>
      <c r="X127">
        <f>HYPERLINK("https://klasma.github.io/Logging_0883/tillsyn/A 42353-2023 tillsynsbegäran.docx", "A 42353-2023")</f>
        <v/>
      </c>
      <c r="Y127">
        <f>HYPERLINK("https://klasma.github.io/Logging_0883/tillsynsmail/A 42353-2023 tillsynsbegäran mail.docx", "A 42353-2023")</f>
        <v/>
      </c>
    </row>
    <row r="128" ht="15" customHeight="1">
      <c r="A128" t="inlineStr">
        <is>
          <t>A 45702-2023</t>
        </is>
      </c>
      <c r="B128" s="1" t="n">
        <v>45195</v>
      </c>
      <c r="C128" s="1" t="n">
        <v>45822</v>
      </c>
      <c r="D128" t="inlineStr">
        <is>
          <t>KALMAR LÄN</t>
        </is>
      </c>
      <c r="E128" t="inlineStr">
        <is>
          <t>VÄSTERVIK</t>
        </is>
      </c>
      <c r="G128" t="n">
        <v>7.3</v>
      </c>
      <c r="H128" t="n">
        <v>0</v>
      </c>
      <c r="I128" t="n">
        <v>1</v>
      </c>
      <c r="J128" t="n">
        <v>2</v>
      </c>
      <c r="K128" t="n">
        <v>0</v>
      </c>
      <c r="L128" t="n">
        <v>0</v>
      </c>
      <c r="M128" t="n">
        <v>0</v>
      </c>
      <c r="N128" t="n">
        <v>0</v>
      </c>
      <c r="O128" t="n">
        <v>2</v>
      </c>
      <c r="P128" t="n">
        <v>0</v>
      </c>
      <c r="Q128" t="n">
        <v>3</v>
      </c>
      <c r="R128" s="2" t="inlineStr">
        <is>
          <t>Reliktbock
Tallticka
Blåmossa</t>
        </is>
      </c>
      <c r="S128">
        <f>HYPERLINK("https://klasma.github.io/Logging_0883/artfynd/A 45702-2023 artfynd.xlsx", "A 45702-2023")</f>
        <v/>
      </c>
      <c r="T128">
        <f>HYPERLINK("https://klasma.github.io/Logging_0883/kartor/A 45702-2023 karta.png", "A 45702-2023")</f>
        <v/>
      </c>
      <c r="V128">
        <f>HYPERLINK("https://klasma.github.io/Logging_0883/klagomål/A 45702-2023 FSC-klagomål.docx", "A 45702-2023")</f>
        <v/>
      </c>
      <c r="W128">
        <f>HYPERLINK("https://klasma.github.io/Logging_0883/klagomålsmail/A 45702-2023 FSC-klagomål mail.docx", "A 45702-2023")</f>
        <v/>
      </c>
      <c r="X128">
        <f>HYPERLINK("https://klasma.github.io/Logging_0883/tillsyn/A 45702-2023 tillsynsbegäran.docx", "A 45702-2023")</f>
        <v/>
      </c>
      <c r="Y128">
        <f>HYPERLINK("https://klasma.github.io/Logging_0883/tillsynsmail/A 45702-2023 tillsynsbegäran mail.docx", "A 45702-2023")</f>
        <v/>
      </c>
    </row>
    <row r="129" ht="15" customHeight="1">
      <c r="A129" t="inlineStr">
        <is>
          <t>A 46090-2023</t>
        </is>
      </c>
      <c r="B129" s="1" t="n">
        <v>45196</v>
      </c>
      <c r="C129" s="1" t="n">
        <v>45822</v>
      </c>
      <c r="D129" t="inlineStr">
        <is>
          <t>KALMAR LÄN</t>
        </is>
      </c>
      <c r="E129" t="inlineStr">
        <is>
          <t>VÄSTERVIK</t>
        </is>
      </c>
      <c r="F129" t="inlineStr">
        <is>
          <t>Sveaskog</t>
        </is>
      </c>
      <c r="G129" t="n">
        <v>3.5</v>
      </c>
      <c r="H129" t="n">
        <v>1</v>
      </c>
      <c r="I129" t="n">
        <v>2</v>
      </c>
      <c r="J129" t="n">
        <v>0</v>
      </c>
      <c r="K129" t="n">
        <v>0</v>
      </c>
      <c r="L129" t="n">
        <v>0</v>
      </c>
      <c r="M129" t="n">
        <v>0</v>
      </c>
      <c r="N129" t="n">
        <v>0</v>
      </c>
      <c r="O129" t="n">
        <v>0</v>
      </c>
      <c r="P129" t="n">
        <v>0</v>
      </c>
      <c r="Q129" t="n">
        <v>3</v>
      </c>
      <c r="R129" s="2" t="inlineStr">
        <is>
          <t>Fällmossa
Platt fjädermossa
Blåsippa</t>
        </is>
      </c>
      <c r="S129">
        <f>HYPERLINK("https://klasma.github.io/Logging_0883/artfynd/A 46090-2023 artfynd.xlsx", "A 46090-2023")</f>
        <v/>
      </c>
      <c r="T129">
        <f>HYPERLINK("https://klasma.github.io/Logging_0883/kartor/A 46090-2023 karta.png", "A 46090-2023")</f>
        <v/>
      </c>
      <c r="V129">
        <f>HYPERLINK("https://klasma.github.io/Logging_0883/klagomål/A 46090-2023 FSC-klagomål.docx", "A 46090-2023")</f>
        <v/>
      </c>
      <c r="W129">
        <f>HYPERLINK("https://klasma.github.io/Logging_0883/klagomålsmail/A 46090-2023 FSC-klagomål mail.docx", "A 46090-2023")</f>
        <v/>
      </c>
      <c r="X129">
        <f>HYPERLINK("https://klasma.github.io/Logging_0883/tillsyn/A 46090-2023 tillsynsbegäran.docx", "A 46090-2023")</f>
        <v/>
      </c>
      <c r="Y129">
        <f>HYPERLINK("https://klasma.github.io/Logging_0883/tillsynsmail/A 46090-2023 tillsynsbegäran mail.docx", "A 46090-2023")</f>
        <v/>
      </c>
    </row>
    <row r="130" ht="15" customHeight="1">
      <c r="A130" t="inlineStr">
        <is>
          <t>A 54265-2023</t>
        </is>
      </c>
      <c r="B130" s="1" t="n">
        <v>45232</v>
      </c>
      <c r="C130" s="1" t="n">
        <v>45822</v>
      </c>
      <c r="D130" t="inlineStr">
        <is>
          <t>KALMAR LÄN</t>
        </is>
      </c>
      <c r="E130" t="inlineStr">
        <is>
          <t>VÄSTERVIK</t>
        </is>
      </c>
      <c r="G130" t="n">
        <v>3.3</v>
      </c>
      <c r="H130" t="n">
        <v>1</v>
      </c>
      <c r="I130" t="n">
        <v>1</v>
      </c>
      <c r="J130" t="n">
        <v>1</v>
      </c>
      <c r="K130" t="n">
        <v>1</v>
      </c>
      <c r="L130" t="n">
        <v>0</v>
      </c>
      <c r="M130" t="n">
        <v>0</v>
      </c>
      <c r="N130" t="n">
        <v>0</v>
      </c>
      <c r="O130" t="n">
        <v>2</v>
      </c>
      <c r="P130" t="n">
        <v>1</v>
      </c>
      <c r="Q130" t="n">
        <v>3</v>
      </c>
      <c r="R130" s="2" t="inlineStr">
        <is>
          <t>Knärot
Tallticka
Blåmossa</t>
        </is>
      </c>
      <c r="S130">
        <f>HYPERLINK("https://klasma.github.io/Logging_0883/artfynd/A 54265-2023 artfynd.xlsx", "A 54265-2023")</f>
        <v/>
      </c>
      <c r="T130">
        <f>HYPERLINK("https://klasma.github.io/Logging_0883/kartor/A 54265-2023 karta.png", "A 54265-2023")</f>
        <v/>
      </c>
      <c r="U130">
        <f>HYPERLINK("https://klasma.github.io/Logging_0883/knärot/A 54265-2023 karta knärot.png", "A 54265-2023")</f>
        <v/>
      </c>
      <c r="V130">
        <f>HYPERLINK("https://klasma.github.io/Logging_0883/klagomål/A 54265-2023 FSC-klagomål.docx", "A 54265-2023")</f>
        <v/>
      </c>
      <c r="W130">
        <f>HYPERLINK("https://klasma.github.io/Logging_0883/klagomålsmail/A 54265-2023 FSC-klagomål mail.docx", "A 54265-2023")</f>
        <v/>
      </c>
      <c r="X130">
        <f>HYPERLINK("https://klasma.github.io/Logging_0883/tillsyn/A 54265-2023 tillsynsbegäran.docx", "A 54265-2023")</f>
        <v/>
      </c>
      <c r="Y130">
        <f>HYPERLINK("https://klasma.github.io/Logging_0883/tillsynsmail/A 54265-2023 tillsynsbegäran mail.docx", "A 54265-2023")</f>
        <v/>
      </c>
    </row>
    <row r="131" ht="15" customHeight="1">
      <c r="A131" t="inlineStr">
        <is>
          <t>A 2657-2024</t>
        </is>
      </c>
      <c r="B131" s="1" t="n">
        <v>45314</v>
      </c>
      <c r="C131" s="1" t="n">
        <v>45822</v>
      </c>
      <c r="D131" t="inlineStr">
        <is>
          <t>KALMAR LÄN</t>
        </is>
      </c>
      <c r="E131" t="inlineStr">
        <is>
          <t>VÄSTERVIK</t>
        </is>
      </c>
      <c r="G131" t="n">
        <v>5.9</v>
      </c>
      <c r="H131" t="n">
        <v>2</v>
      </c>
      <c r="I131" t="n">
        <v>1</v>
      </c>
      <c r="J131" t="n">
        <v>1</v>
      </c>
      <c r="K131" t="n">
        <v>1</v>
      </c>
      <c r="L131" t="n">
        <v>0</v>
      </c>
      <c r="M131" t="n">
        <v>0</v>
      </c>
      <c r="N131" t="n">
        <v>0</v>
      </c>
      <c r="O131" t="n">
        <v>2</v>
      </c>
      <c r="P131" t="n">
        <v>1</v>
      </c>
      <c r="Q131" t="n">
        <v>3</v>
      </c>
      <c r="R131" s="2" t="inlineStr">
        <is>
          <t>Knärot
Spillkråka
Grönpyrola</t>
        </is>
      </c>
      <c r="S131">
        <f>HYPERLINK("https://klasma.github.io/Logging_0883/artfynd/A 2657-2024 artfynd.xlsx", "A 2657-2024")</f>
        <v/>
      </c>
      <c r="T131">
        <f>HYPERLINK("https://klasma.github.io/Logging_0883/kartor/A 2657-2024 karta.png", "A 2657-2024")</f>
        <v/>
      </c>
      <c r="U131">
        <f>HYPERLINK("https://klasma.github.io/Logging_0883/knärot/A 2657-2024 karta knärot.png", "A 2657-2024")</f>
        <v/>
      </c>
      <c r="V131">
        <f>HYPERLINK("https://klasma.github.io/Logging_0883/klagomål/A 2657-2024 FSC-klagomål.docx", "A 2657-2024")</f>
        <v/>
      </c>
      <c r="W131">
        <f>HYPERLINK("https://klasma.github.io/Logging_0883/klagomålsmail/A 2657-2024 FSC-klagomål mail.docx", "A 2657-2024")</f>
        <v/>
      </c>
      <c r="X131">
        <f>HYPERLINK("https://klasma.github.io/Logging_0883/tillsyn/A 2657-2024 tillsynsbegäran.docx", "A 2657-2024")</f>
        <v/>
      </c>
      <c r="Y131">
        <f>HYPERLINK("https://klasma.github.io/Logging_0883/tillsynsmail/A 2657-2024 tillsynsbegäran mail.docx", "A 2657-2024")</f>
        <v/>
      </c>
      <c r="Z131">
        <f>HYPERLINK("https://klasma.github.io/Logging_0883/fåglar/A 2657-2024 prioriterade fågelarter.docx", "A 2657-2024")</f>
        <v/>
      </c>
    </row>
    <row r="132" ht="15" customHeight="1">
      <c r="A132" t="inlineStr">
        <is>
          <t>A 2916-2024</t>
        </is>
      </c>
      <c r="B132" s="1" t="n">
        <v>45315</v>
      </c>
      <c r="C132" s="1" t="n">
        <v>45822</v>
      </c>
      <c r="D132" t="inlineStr">
        <is>
          <t>KALMAR LÄN</t>
        </is>
      </c>
      <c r="E132" t="inlineStr">
        <is>
          <t>VÄSTERVIK</t>
        </is>
      </c>
      <c r="G132" t="n">
        <v>6.3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2916-2024 artfynd.xlsx", "A 2916-2024")</f>
        <v/>
      </c>
      <c r="T132">
        <f>HYPERLINK("https://klasma.github.io/Logging_0883/kartor/A 2916-2024 karta.png", "A 2916-2024")</f>
        <v/>
      </c>
      <c r="U132">
        <f>HYPERLINK("https://klasma.github.io/Logging_0883/knärot/A 2916-2024 karta knärot.png", "A 2916-2024")</f>
        <v/>
      </c>
      <c r="V132">
        <f>HYPERLINK("https://klasma.github.io/Logging_0883/klagomål/A 2916-2024 FSC-klagomål.docx", "A 2916-2024")</f>
        <v/>
      </c>
      <c r="W132">
        <f>HYPERLINK("https://klasma.github.io/Logging_0883/klagomålsmail/A 2916-2024 FSC-klagomål mail.docx", "A 2916-2024")</f>
        <v/>
      </c>
      <c r="X132">
        <f>HYPERLINK("https://klasma.github.io/Logging_0883/tillsyn/A 2916-2024 tillsynsbegäran.docx", "A 2916-2024")</f>
        <v/>
      </c>
      <c r="Y132">
        <f>HYPERLINK("https://klasma.github.io/Logging_0883/tillsynsmail/A 2916-2024 tillsynsbegäran mail.docx", "A 2916-2024")</f>
        <v/>
      </c>
      <c r="Z132">
        <f>HYPERLINK("https://klasma.github.io/Logging_0883/fåglar/A 2916-2024 prioriterade fågelarter.docx", "A 2916-2024")</f>
        <v/>
      </c>
    </row>
    <row r="133" ht="15" customHeight="1">
      <c r="A133" t="inlineStr">
        <is>
          <t>A 3429-2024</t>
        </is>
      </c>
      <c r="B133" s="1" t="n">
        <v>45320</v>
      </c>
      <c r="C133" s="1" t="n">
        <v>45822</v>
      </c>
      <c r="D133" t="inlineStr">
        <is>
          <t>KALMAR LÄN</t>
        </is>
      </c>
      <c r="E133" t="inlineStr">
        <is>
          <t>VÄSTERVIK</t>
        </is>
      </c>
      <c r="G133" t="n">
        <v>4.2</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HYPERLINK("https://klasma.github.io/Logging_0883/artfynd/A 3429-2024 artfynd.xlsx", "A 3429-2024")</f>
        <v/>
      </c>
      <c r="T133">
        <f>HYPERLINK("https://klasma.github.io/Logging_0883/kartor/A 3429-2024 karta.png", "A 3429-2024")</f>
        <v/>
      </c>
      <c r="U133">
        <f>HYPERLINK("https://klasma.github.io/Logging_0883/knärot/A 3429-2024 karta knärot.png", "A 3429-2024")</f>
        <v/>
      </c>
      <c r="V133">
        <f>HYPERLINK("https://klasma.github.io/Logging_0883/klagomål/A 3429-2024 FSC-klagomål.docx", "A 3429-2024")</f>
        <v/>
      </c>
      <c r="W133">
        <f>HYPERLINK("https://klasma.github.io/Logging_0883/klagomålsmail/A 3429-2024 FSC-klagomål mail.docx", "A 3429-2024")</f>
        <v/>
      </c>
      <c r="X133">
        <f>HYPERLINK("https://klasma.github.io/Logging_0883/tillsyn/A 3429-2024 tillsynsbegäran.docx", "A 3429-2024")</f>
        <v/>
      </c>
      <c r="Y133">
        <f>HYPERLINK("https://klasma.github.io/Logging_0883/tillsynsmail/A 3429-2024 tillsynsbegäran mail.docx", "A 3429-2024")</f>
        <v/>
      </c>
    </row>
    <row r="134" ht="15" customHeight="1">
      <c r="A134" t="inlineStr">
        <is>
          <t>A 8620-2024</t>
        </is>
      </c>
      <c r="B134" s="1" t="n">
        <v>45355</v>
      </c>
      <c r="C134" s="1" t="n">
        <v>45822</v>
      </c>
      <c r="D134" t="inlineStr">
        <is>
          <t>KALMAR LÄN</t>
        </is>
      </c>
      <c r="E134" t="inlineStr">
        <is>
          <t>VÄSTERVIK</t>
        </is>
      </c>
      <c r="G134" t="n">
        <v>0.9</v>
      </c>
      <c r="H134" t="n">
        <v>2</v>
      </c>
      <c r="I134" t="n">
        <v>1</v>
      </c>
      <c r="J134" t="n">
        <v>1</v>
      </c>
      <c r="K134" t="n">
        <v>1</v>
      </c>
      <c r="L134" t="n">
        <v>0</v>
      </c>
      <c r="M134" t="n">
        <v>0</v>
      </c>
      <c r="N134" t="n">
        <v>0</v>
      </c>
      <c r="O134" t="n">
        <v>2</v>
      </c>
      <c r="P134" t="n">
        <v>1</v>
      </c>
      <c r="Q134" t="n">
        <v>3</v>
      </c>
      <c r="R134" s="2" t="inlineStr">
        <is>
          <t>Knärot
Talltita
Blodticka</t>
        </is>
      </c>
      <c r="S134">
        <f>HYPERLINK("https://klasma.github.io/Logging_0883/artfynd/A 8620-2024 artfynd.xlsx", "A 8620-2024")</f>
        <v/>
      </c>
      <c r="T134">
        <f>HYPERLINK("https://klasma.github.io/Logging_0883/kartor/A 8620-2024 karta.png", "A 8620-2024")</f>
        <v/>
      </c>
      <c r="U134">
        <f>HYPERLINK("https://klasma.github.io/Logging_0883/knärot/A 8620-2024 karta knärot.png", "A 8620-2024")</f>
        <v/>
      </c>
      <c r="V134">
        <f>HYPERLINK("https://klasma.github.io/Logging_0883/klagomål/A 8620-2024 FSC-klagomål.docx", "A 8620-2024")</f>
        <v/>
      </c>
      <c r="W134">
        <f>HYPERLINK("https://klasma.github.io/Logging_0883/klagomålsmail/A 8620-2024 FSC-klagomål mail.docx", "A 8620-2024")</f>
        <v/>
      </c>
      <c r="X134">
        <f>HYPERLINK("https://klasma.github.io/Logging_0883/tillsyn/A 8620-2024 tillsynsbegäran.docx", "A 8620-2024")</f>
        <v/>
      </c>
      <c r="Y134">
        <f>HYPERLINK("https://klasma.github.io/Logging_0883/tillsynsmail/A 8620-2024 tillsynsbegäran mail.docx", "A 8620-2024")</f>
        <v/>
      </c>
      <c r="Z134">
        <f>HYPERLINK("https://klasma.github.io/Logging_0883/fåglar/A 8620-2024 prioriterade fågelarter.docx", "A 8620-2024")</f>
        <v/>
      </c>
    </row>
    <row r="135" ht="15" customHeight="1">
      <c r="A135" t="inlineStr">
        <is>
          <t>A 13744-2024</t>
        </is>
      </c>
      <c r="B135" s="1" t="n">
        <v>45390</v>
      </c>
      <c r="C135" s="1" t="n">
        <v>45822</v>
      </c>
      <c r="D135" t="inlineStr">
        <is>
          <t>KALMAR LÄN</t>
        </is>
      </c>
      <c r="E135" t="inlineStr">
        <is>
          <t>VÄSTERVIK</t>
        </is>
      </c>
      <c r="F135" t="inlineStr">
        <is>
          <t>Sveaskog</t>
        </is>
      </c>
      <c r="G135" t="n">
        <v>6.3</v>
      </c>
      <c r="H135" t="n">
        <v>3</v>
      </c>
      <c r="I135" t="n">
        <v>0</v>
      </c>
      <c r="J135" t="n">
        <v>1</v>
      </c>
      <c r="K135" t="n">
        <v>1</v>
      </c>
      <c r="L135" t="n">
        <v>0</v>
      </c>
      <c r="M135" t="n">
        <v>0</v>
      </c>
      <c r="N135" t="n">
        <v>0</v>
      </c>
      <c r="O135" t="n">
        <v>2</v>
      </c>
      <c r="P135" t="n">
        <v>1</v>
      </c>
      <c r="Q135" t="n">
        <v>3</v>
      </c>
      <c r="R135" s="2" t="inlineStr">
        <is>
          <t>Knärot
Talltita
Tjäder</t>
        </is>
      </c>
      <c r="S135">
        <f>HYPERLINK("https://klasma.github.io/Logging_0883/artfynd/A 13744-2024 artfynd.xlsx", "A 13744-2024")</f>
        <v/>
      </c>
      <c r="T135">
        <f>HYPERLINK("https://klasma.github.io/Logging_0883/kartor/A 13744-2024 karta.png", "A 13744-2024")</f>
        <v/>
      </c>
      <c r="U135">
        <f>HYPERLINK("https://klasma.github.io/Logging_0883/knärot/A 13744-2024 karta knärot.png", "A 13744-2024")</f>
        <v/>
      </c>
      <c r="V135">
        <f>HYPERLINK("https://klasma.github.io/Logging_0883/klagomål/A 13744-2024 FSC-klagomål.docx", "A 13744-2024")</f>
        <v/>
      </c>
      <c r="W135">
        <f>HYPERLINK("https://klasma.github.io/Logging_0883/klagomålsmail/A 13744-2024 FSC-klagomål mail.docx", "A 13744-2024")</f>
        <v/>
      </c>
      <c r="X135">
        <f>HYPERLINK("https://klasma.github.io/Logging_0883/tillsyn/A 13744-2024 tillsynsbegäran.docx", "A 13744-2024")</f>
        <v/>
      </c>
      <c r="Y135">
        <f>HYPERLINK("https://klasma.github.io/Logging_0883/tillsynsmail/A 13744-2024 tillsynsbegäran mail.docx", "A 13744-2024")</f>
        <v/>
      </c>
      <c r="Z135">
        <f>HYPERLINK("https://klasma.github.io/Logging_0883/fåglar/A 13744-2024 prioriterade fågelarter.docx", "A 13744-2024")</f>
        <v/>
      </c>
    </row>
    <row r="136" ht="15" customHeight="1">
      <c r="A136" t="inlineStr">
        <is>
          <t>A 16948-2024</t>
        </is>
      </c>
      <c r="B136" s="1" t="n">
        <v>45411</v>
      </c>
      <c r="C136" s="1" t="n">
        <v>45822</v>
      </c>
      <c r="D136" t="inlineStr">
        <is>
          <t>KALMAR LÄN</t>
        </is>
      </c>
      <c r="E136" t="inlineStr">
        <is>
          <t>VÄSTERVIK</t>
        </is>
      </c>
      <c r="G136" t="n">
        <v>13.3</v>
      </c>
      <c r="H136" t="n">
        <v>2</v>
      </c>
      <c r="I136" t="n">
        <v>0</v>
      </c>
      <c r="J136" t="n">
        <v>2</v>
      </c>
      <c r="K136" t="n">
        <v>1</v>
      </c>
      <c r="L136" t="n">
        <v>0</v>
      </c>
      <c r="M136" t="n">
        <v>0</v>
      </c>
      <c r="N136" t="n">
        <v>0</v>
      </c>
      <c r="O136" t="n">
        <v>3</v>
      </c>
      <c r="P136" t="n">
        <v>1</v>
      </c>
      <c r="Q136" t="n">
        <v>3</v>
      </c>
      <c r="R136" s="2" t="inlineStr">
        <is>
          <t>Knärot
Spillkråka
Tallticka</t>
        </is>
      </c>
      <c r="S136">
        <f>HYPERLINK("https://klasma.github.io/Logging_0883/artfynd/A 16948-2024 artfynd.xlsx", "A 16948-2024")</f>
        <v/>
      </c>
      <c r="T136">
        <f>HYPERLINK("https://klasma.github.io/Logging_0883/kartor/A 16948-2024 karta.png", "A 16948-2024")</f>
        <v/>
      </c>
      <c r="U136">
        <f>HYPERLINK("https://klasma.github.io/Logging_0883/knärot/A 16948-2024 karta knärot.png", "A 16948-2024")</f>
        <v/>
      </c>
      <c r="V136">
        <f>HYPERLINK("https://klasma.github.io/Logging_0883/klagomål/A 16948-2024 FSC-klagomål.docx", "A 16948-2024")</f>
        <v/>
      </c>
      <c r="W136">
        <f>HYPERLINK("https://klasma.github.io/Logging_0883/klagomålsmail/A 16948-2024 FSC-klagomål mail.docx", "A 16948-2024")</f>
        <v/>
      </c>
      <c r="X136">
        <f>HYPERLINK("https://klasma.github.io/Logging_0883/tillsyn/A 16948-2024 tillsynsbegäran.docx", "A 16948-2024")</f>
        <v/>
      </c>
      <c r="Y136">
        <f>HYPERLINK("https://klasma.github.io/Logging_0883/tillsynsmail/A 16948-2024 tillsynsbegäran mail.docx", "A 16948-2024")</f>
        <v/>
      </c>
      <c r="Z136">
        <f>HYPERLINK("https://klasma.github.io/Logging_0883/fåglar/A 16948-2024 prioriterade fågelarter.docx", "A 16948-2024")</f>
        <v/>
      </c>
    </row>
    <row r="137" ht="15" customHeight="1">
      <c r="A137" t="inlineStr">
        <is>
          <t>A 23219-2024</t>
        </is>
      </c>
      <c r="B137" s="1" t="n">
        <v>45452</v>
      </c>
      <c r="C137" s="1" t="n">
        <v>45822</v>
      </c>
      <c r="D137" t="inlineStr">
        <is>
          <t>KALMAR LÄN</t>
        </is>
      </c>
      <c r="E137" t="inlineStr">
        <is>
          <t>VÄSTERVIK</t>
        </is>
      </c>
      <c r="G137" t="n">
        <v>0.9</v>
      </c>
      <c r="H137" t="n">
        <v>1</v>
      </c>
      <c r="I137" t="n">
        <v>1</v>
      </c>
      <c r="J137" t="n">
        <v>2</v>
      </c>
      <c r="K137" t="n">
        <v>0</v>
      </c>
      <c r="L137" t="n">
        <v>0</v>
      </c>
      <c r="M137" t="n">
        <v>0</v>
      </c>
      <c r="N137" t="n">
        <v>0</v>
      </c>
      <c r="O137" t="n">
        <v>2</v>
      </c>
      <c r="P137" t="n">
        <v>0</v>
      </c>
      <c r="Q137" t="n">
        <v>3</v>
      </c>
      <c r="R137" s="2" t="inlineStr">
        <is>
          <t>Ekticka
Spillkråka
Grönpyrola</t>
        </is>
      </c>
      <c r="S137">
        <f>HYPERLINK("https://klasma.github.io/Logging_0883/artfynd/A 23219-2024 artfynd.xlsx", "A 23219-2024")</f>
        <v/>
      </c>
      <c r="T137">
        <f>HYPERLINK("https://klasma.github.io/Logging_0883/kartor/A 23219-2024 karta.png", "A 23219-2024")</f>
        <v/>
      </c>
      <c r="V137">
        <f>HYPERLINK("https://klasma.github.io/Logging_0883/klagomål/A 23219-2024 FSC-klagomål.docx", "A 23219-2024")</f>
        <v/>
      </c>
      <c r="W137">
        <f>HYPERLINK("https://klasma.github.io/Logging_0883/klagomålsmail/A 23219-2024 FSC-klagomål mail.docx", "A 23219-2024")</f>
        <v/>
      </c>
      <c r="X137">
        <f>HYPERLINK("https://klasma.github.io/Logging_0883/tillsyn/A 23219-2024 tillsynsbegäran.docx", "A 23219-2024")</f>
        <v/>
      </c>
      <c r="Y137">
        <f>HYPERLINK("https://klasma.github.io/Logging_0883/tillsynsmail/A 23219-2024 tillsynsbegäran mail.docx", "A 23219-2024")</f>
        <v/>
      </c>
      <c r="Z137">
        <f>HYPERLINK("https://klasma.github.io/Logging_0883/fåglar/A 23219-2024 prioriterade fågelarter.docx", "A 23219-2024")</f>
        <v/>
      </c>
    </row>
    <row r="138" ht="15" customHeight="1">
      <c r="A138" t="inlineStr">
        <is>
          <t>A 27067-2024</t>
        </is>
      </c>
      <c r="B138" s="1" t="n">
        <v>45471</v>
      </c>
      <c r="C138" s="1" t="n">
        <v>45822</v>
      </c>
      <c r="D138" t="inlineStr">
        <is>
          <t>KALMAR LÄN</t>
        </is>
      </c>
      <c r="E138" t="inlineStr">
        <is>
          <t>VÄSTERVIK</t>
        </is>
      </c>
      <c r="F138" t="inlineStr">
        <is>
          <t>Holmen skog AB</t>
        </is>
      </c>
      <c r="G138" t="n">
        <v>8.4</v>
      </c>
      <c r="H138" t="n">
        <v>2</v>
      </c>
      <c r="I138" t="n">
        <v>0</v>
      </c>
      <c r="J138" t="n">
        <v>3</v>
      </c>
      <c r="K138" t="n">
        <v>0</v>
      </c>
      <c r="L138" t="n">
        <v>0</v>
      </c>
      <c r="M138" t="n">
        <v>0</v>
      </c>
      <c r="N138" t="n">
        <v>0</v>
      </c>
      <c r="O138" t="n">
        <v>3</v>
      </c>
      <c r="P138" t="n">
        <v>0</v>
      </c>
      <c r="Q138" t="n">
        <v>3</v>
      </c>
      <c r="R138" s="2" t="inlineStr">
        <is>
          <t>Ekticka
Spillkråka
Talltita</t>
        </is>
      </c>
      <c r="S138">
        <f>HYPERLINK("https://klasma.github.io/Logging_0883/artfynd/A 27067-2024 artfynd.xlsx", "A 27067-2024")</f>
        <v/>
      </c>
      <c r="T138">
        <f>HYPERLINK("https://klasma.github.io/Logging_0883/kartor/A 27067-2024 karta.png", "A 27067-2024")</f>
        <v/>
      </c>
      <c r="V138">
        <f>HYPERLINK("https://klasma.github.io/Logging_0883/klagomål/A 27067-2024 FSC-klagomål.docx", "A 27067-2024")</f>
        <v/>
      </c>
      <c r="W138">
        <f>HYPERLINK("https://klasma.github.io/Logging_0883/klagomålsmail/A 27067-2024 FSC-klagomål mail.docx", "A 27067-2024")</f>
        <v/>
      </c>
      <c r="X138">
        <f>HYPERLINK("https://klasma.github.io/Logging_0883/tillsyn/A 27067-2024 tillsynsbegäran.docx", "A 27067-2024")</f>
        <v/>
      </c>
      <c r="Y138">
        <f>HYPERLINK("https://klasma.github.io/Logging_0883/tillsynsmail/A 27067-2024 tillsynsbegäran mail.docx", "A 27067-2024")</f>
        <v/>
      </c>
      <c r="Z138">
        <f>HYPERLINK("https://klasma.github.io/Logging_0883/fåglar/A 27067-2024 prioriterade fågelarter.docx", "A 27067-2024")</f>
        <v/>
      </c>
    </row>
    <row r="139" ht="15" customHeight="1">
      <c r="A139" t="inlineStr">
        <is>
          <t>A 27700-2024</t>
        </is>
      </c>
      <c r="B139" s="1" t="n">
        <v>45475</v>
      </c>
      <c r="C139" s="1" t="n">
        <v>45822</v>
      </c>
      <c r="D139" t="inlineStr">
        <is>
          <t>KALMAR LÄN</t>
        </is>
      </c>
      <c r="E139" t="inlineStr">
        <is>
          <t>VÄSTERVIK</t>
        </is>
      </c>
      <c r="F139" t="inlineStr">
        <is>
          <t>Holmen skog AB</t>
        </is>
      </c>
      <c r="G139" t="n">
        <v>1.1</v>
      </c>
      <c r="H139" t="n">
        <v>1</v>
      </c>
      <c r="I139" t="n">
        <v>2</v>
      </c>
      <c r="J139" t="n">
        <v>1</v>
      </c>
      <c r="K139" t="n">
        <v>0</v>
      </c>
      <c r="L139" t="n">
        <v>0</v>
      </c>
      <c r="M139" t="n">
        <v>0</v>
      </c>
      <c r="N139" t="n">
        <v>0</v>
      </c>
      <c r="O139" t="n">
        <v>1</v>
      </c>
      <c r="P139" t="n">
        <v>0</v>
      </c>
      <c r="Q139" t="n">
        <v>3</v>
      </c>
      <c r="R139" s="2" t="inlineStr">
        <is>
          <t>Spillkråka
Blåmossa
Zontaggsvamp</t>
        </is>
      </c>
      <c r="S139">
        <f>HYPERLINK("https://klasma.github.io/Logging_0883/artfynd/A 27700-2024 artfynd.xlsx", "A 27700-2024")</f>
        <v/>
      </c>
      <c r="T139">
        <f>HYPERLINK("https://klasma.github.io/Logging_0883/kartor/A 27700-2024 karta.png", "A 27700-2024")</f>
        <v/>
      </c>
      <c r="V139">
        <f>HYPERLINK("https://klasma.github.io/Logging_0883/klagomål/A 27700-2024 FSC-klagomål.docx", "A 27700-2024")</f>
        <v/>
      </c>
      <c r="W139">
        <f>HYPERLINK("https://klasma.github.io/Logging_0883/klagomålsmail/A 27700-2024 FSC-klagomål mail.docx", "A 27700-2024")</f>
        <v/>
      </c>
      <c r="X139">
        <f>HYPERLINK("https://klasma.github.io/Logging_0883/tillsyn/A 27700-2024 tillsynsbegäran.docx", "A 27700-2024")</f>
        <v/>
      </c>
      <c r="Y139">
        <f>HYPERLINK("https://klasma.github.io/Logging_0883/tillsynsmail/A 27700-2024 tillsynsbegäran mail.docx", "A 27700-2024")</f>
        <v/>
      </c>
      <c r="Z139">
        <f>HYPERLINK("https://klasma.github.io/Logging_0883/fåglar/A 27700-2024 prioriterade fågelarter.docx", "A 27700-2024")</f>
        <v/>
      </c>
    </row>
    <row r="140" ht="15" customHeight="1">
      <c r="A140" t="inlineStr">
        <is>
          <t>A 28368-2024</t>
        </is>
      </c>
      <c r="B140" s="1" t="n">
        <v>45477</v>
      </c>
      <c r="C140" s="1" t="n">
        <v>45822</v>
      </c>
      <c r="D140" t="inlineStr">
        <is>
          <t>KALMAR LÄN</t>
        </is>
      </c>
      <c r="E140" t="inlineStr">
        <is>
          <t>VÄSTERVIK</t>
        </is>
      </c>
      <c r="G140" t="n">
        <v>0.8</v>
      </c>
      <c r="H140" t="n">
        <v>1</v>
      </c>
      <c r="I140" t="n">
        <v>1</v>
      </c>
      <c r="J140" t="n">
        <v>1</v>
      </c>
      <c r="K140" t="n">
        <v>1</v>
      </c>
      <c r="L140" t="n">
        <v>0</v>
      </c>
      <c r="M140" t="n">
        <v>0</v>
      </c>
      <c r="N140" t="n">
        <v>0</v>
      </c>
      <c r="O140" t="n">
        <v>2</v>
      </c>
      <c r="P140" t="n">
        <v>1</v>
      </c>
      <c r="Q140" t="n">
        <v>3</v>
      </c>
      <c r="R140" s="2" t="inlineStr">
        <is>
          <t>Knärot
Orange taggsvamp
Grönpyrola</t>
        </is>
      </c>
      <c r="S140">
        <f>HYPERLINK("https://klasma.github.io/Logging_0883/artfynd/A 28368-2024 artfynd.xlsx", "A 28368-2024")</f>
        <v/>
      </c>
      <c r="T140">
        <f>HYPERLINK("https://klasma.github.io/Logging_0883/kartor/A 28368-2024 karta.png", "A 28368-2024")</f>
        <v/>
      </c>
      <c r="U140">
        <f>HYPERLINK("https://klasma.github.io/Logging_0883/knärot/A 28368-2024 karta knärot.png", "A 28368-2024")</f>
        <v/>
      </c>
      <c r="V140">
        <f>HYPERLINK("https://klasma.github.io/Logging_0883/klagomål/A 28368-2024 FSC-klagomål.docx", "A 28368-2024")</f>
        <v/>
      </c>
      <c r="W140">
        <f>HYPERLINK("https://klasma.github.io/Logging_0883/klagomålsmail/A 28368-2024 FSC-klagomål mail.docx", "A 28368-2024")</f>
        <v/>
      </c>
      <c r="X140">
        <f>HYPERLINK("https://klasma.github.io/Logging_0883/tillsyn/A 28368-2024 tillsynsbegäran.docx", "A 28368-2024")</f>
        <v/>
      </c>
      <c r="Y140">
        <f>HYPERLINK("https://klasma.github.io/Logging_0883/tillsynsmail/A 28368-2024 tillsynsbegäran mail.docx", "A 28368-2024")</f>
        <v/>
      </c>
    </row>
    <row r="141" ht="15" customHeight="1">
      <c r="A141" t="inlineStr">
        <is>
          <t>A 39190-2024</t>
        </is>
      </c>
      <c r="B141" s="1" t="n">
        <v>45548</v>
      </c>
      <c r="C141" s="1" t="n">
        <v>45822</v>
      </c>
      <c r="D141" t="inlineStr">
        <is>
          <t>KALMAR LÄN</t>
        </is>
      </c>
      <c r="E141" t="inlineStr">
        <is>
          <t>VÄSTERVIK</t>
        </is>
      </c>
      <c r="G141" t="n">
        <v>1.7</v>
      </c>
      <c r="H141" t="n">
        <v>2</v>
      </c>
      <c r="I141" t="n">
        <v>0</v>
      </c>
      <c r="J141" t="n">
        <v>2</v>
      </c>
      <c r="K141" t="n">
        <v>1</v>
      </c>
      <c r="L141" t="n">
        <v>0</v>
      </c>
      <c r="M141" t="n">
        <v>0</v>
      </c>
      <c r="N141" t="n">
        <v>0</v>
      </c>
      <c r="O141" t="n">
        <v>3</v>
      </c>
      <c r="P141" t="n">
        <v>1</v>
      </c>
      <c r="Q141" t="n">
        <v>3</v>
      </c>
      <c r="R141" s="2" t="inlineStr">
        <is>
          <t>Knärot
Svart taggsvamp
Talltita</t>
        </is>
      </c>
      <c r="S141">
        <f>HYPERLINK("https://klasma.github.io/Logging_0883/artfynd/A 39190-2024 artfynd.xlsx", "A 39190-2024")</f>
        <v/>
      </c>
      <c r="T141">
        <f>HYPERLINK("https://klasma.github.io/Logging_0883/kartor/A 39190-2024 karta.png", "A 39190-2024")</f>
        <v/>
      </c>
      <c r="U141">
        <f>HYPERLINK("https://klasma.github.io/Logging_0883/knärot/A 39190-2024 karta knärot.png", "A 39190-2024")</f>
        <v/>
      </c>
      <c r="V141">
        <f>HYPERLINK("https://klasma.github.io/Logging_0883/klagomål/A 39190-2024 FSC-klagomål.docx", "A 39190-2024")</f>
        <v/>
      </c>
      <c r="W141">
        <f>HYPERLINK("https://klasma.github.io/Logging_0883/klagomålsmail/A 39190-2024 FSC-klagomål mail.docx", "A 39190-2024")</f>
        <v/>
      </c>
      <c r="X141">
        <f>HYPERLINK("https://klasma.github.io/Logging_0883/tillsyn/A 39190-2024 tillsynsbegäran.docx", "A 39190-2024")</f>
        <v/>
      </c>
      <c r="Y141">
        <f>HYPERLINK("https://klasma.github.io/Logging_0883/tillsynsmail/A 39190-2024 tillsynsbegäran mail.docx", "A 39190-2024")</f>
        <v/>
      </c>
      <c r="Z141">
        <f>HYPERLINK("https://klasma.github.io/Logging_0883/fåglar/A 39190-2024 prioriterade fågelarter.docx", "A 39190-2024")</f>
        <v/>
      </c>
    </row>
    <row r="142" ht="15" customHeight="1">
      <c r="A142" t="inlineStr">
        <is>
          <t>A 39284-2024</t>
        </is>
      </c>
      <c r="B142" s="1" t="n">
        <v>45551</v>
      </c>
      <c r="C142" s="1" t="n">
        <v>45822</v>
      </c>
      <c r="D142" t="inlineStr">
        <is>
          <t>KALMAR LÄN</t>
        </is>
      </c>
      <c r="E142" t="inlineStr">
        <is>
          <t>VÄSTERVIK</t>
        </is>
      </c>
      <c r="G142" t="n">
        <v>4.1</v>
      </c>
      <c r="H142" t="n">
        <v>2</v>
      </c>
      <c r="I142" t="n">
        <v>1</v>
      </c>
      <c r="J142" t="n">
        <v>1</v>
      </c>
      <c r="K142" t="n">
        <v>0</v>
      </c>
      <c r="L142" t="n">
        <v>0</v>
      </c>
      <c r="M142" t="n">
        <v>0</v>
      </c>
      <c r="N142" t="n">
        <v>0</v>
      </c>
      <c r="O142" t="n">
        <v>1</v>
      </c>
      <c r="P142" t="n">
        <v>0</v>
      </c>
      <c r="Q142" t="n">
        <v>3</v>
      </c>
      <c r="R142" s="2" t="inlineStr">
        <is>
          <t>Talltita
Blåmossa
Mattlummer</t>
        </is>
      </c>
      <c r="S142">
        <f>HYPERLINK("https://klasma.github.io/Logging_0883/artfynd/A 39284-2024 artfynd.xlsx", "A 39284-2024")</f>
        <v/>
      </c>
      <c r="T142">
        <f>HYPERLINK("https://klasma.github.io/Logging_0883/kartor/A 39284-2024 karta.png", "A 39284-2024")</f>
        <v/>
      </c>
      <c r="V142">
        <f>HYPERLINK("https://klasma.github.io/Logging_0883/klagomål/A 39284-2024 FSC-klagomål.docx", "A 39284-2024")</f>
        <v/>
      </c>
      <c r="W142">
        <f>HYPERLINK("https://klasma.github.io/Logging_0883/klagomålsmail/A 39284-2024 FSC-klagomål mail.docx", "A 39284-2024")</f>
        <v/>
      </c>
      <c r="X142">
        <f>HYPERLINK("https://klasma.github.io/Logging_0883/tillsyn/A 39284-2024 tillsynsbegäran.docx", "A 39284-2024")</f>
        <v/>
      </c>
      <c r="Y142">
        <f>HYPERLINK("https://klasma.github.io/Logging_0883/tillsynsmail/A 39284-2024 tillsynsbegäran mail.docx", "A 39284-2024")</f>
        <v/>
      </c>
      <c r="Z142">
        <f>HYPERLINK("https://klasma.github.io/Logging_0883/fåglar/A 39284-2024 prioriterade fågelarter.docx", "A 39284-2024")</f>
        <v/>
      </c>
    </row>
    <row r="143" ht="15" customHeight="1">
      <c r="A143" t="inlineStr">
        <is>
          <t>A 39296-2024</t>
        </is>
      </c>
      <c r="B143" s="1" t="n">
        <v>45551</v>
      </c>
      <c r="C143" s="1" t="n">
        <v>45822</v>
      </c>
      <c r="D143" t="inlineStr">
        <is>
          <t>KALMAR LÄN</t>
        </is>
      </c>
      <c r="E143" t="inlineStr">
        <is>
          <t>VÄSTERVIK</t>
        </is>
      </c>
      <c r="G143" t="n">
        <v>0.8</v>
      </c>
      <c r="H143" t="n">
        <v>2</v>
      </c>
      <c r="I143" t="n">
        <v>1</v>
      </c>
      <c r="J143" t="n">
        <v>2</v>
      </c>
      <c r="K143" t="n">
        <v>0</v>
      </c>
      <c r="L143" t="n">
        <v>0</v>
      </c>
      <c r="M143" t="n">
        <v>0</v>
      </c>
      <c r="N143" t="n">
        <v>0</v>
      </c>
      <c r="O143" t="n">
        <v>2</v>
      </c>
      <c r="P143" t="n">
        <v>0</v>
      </c>
      <c r="Q143" t="n">
        <v>3</v>
      </c>
      <c r="R143" s="2" t="inlineStr">
        <is>
          <t>Järpe
Spillkråka
Grönpyrola</t>
        </is>
      </c>
      <c r="S143">
        <f>HYPERLINK("https://klasma.github.io/Logging_0883/artfynd/A 39296-2024 artfynd.xlsx", "A 39296-2024")</f>
        <v/>
      </c>
      <c r="T143">
        <f>HYPERLINK("https://klasma.github.io/Logging_0883/kartor/A 39296-2024 karta.png", "A 39296-2024")</f>
        <v/>
      </c>
      <c r="U143">
        <f>HYPERLINK("https://klasma.github.io/Logging_0883/knärot/A 39296-2024 karta knärot.png", "A 39296-2024")</f>
        <v/>
      </c>
      <c r="V143">
        <f>HYPERLINK("https://klasma.github.io/Logging_0883/klagomål/A 39296-2024 FSC-klagomål.docx", "A 39296-2024")</f>
        <v/>
      </c>
      <c r="W143">
        <f>HYPERLINK("https://klasma.github.io/Logging_0883/klagomålsmail/A 39296-2024 FSC-klagomål mail.docx", "A 39296-2024")</f>
        <v/>
      </c>
      <c r="X143">
        <f>HYPERLINK("https://klasma.github.io/Logging_0883/tillsyn/A 39296-2024 tillsynsbegäran.docx", "A 39296-2024")</f>
        <v/>
      </c>
      <c r="Y143">
        <f>HYPERLINK("https://klasma.github.io/Logging_0883/tillsynsmail/A 39296-2024 tillsynsbegäran mail.docx", "A 39296-2024")</f>
        <v/>
      </c>
      <c r="Z143">
        <f>HYPERLINK("https://klasma.github.io/Logging_0883/fåglar/A 39296-2024 prioriterade fågelarter.docx", "A 39296-2024")</f>
        <v/>
      </c>
    </row>
    <row r="144" ht="15" customHeight="1">
      <c r="A144" t="inlineStr">
        <is>
          <t>A 45639-2024</t>
        </is>
      </c>
      <c r="B144" s="1" t="n">
        <v>45579</v>
      </c>
      <c r="C144" s="1" t="n">
        <v>45822</v>
      </c>
      <c r="D144" t="inlineStr">
        <is>
          <t>KALMAR LÄN</t>
        </is>
      </c>
      <c r="E144" t="inlineStr">
        <is>
          <t>VÄSTERVIK</t>
        </is>
      </c>
      <c r="F144" t="inlineStr">
        <is>
          <t>Kyrkan</t>
        </is>
      </c>
      <c r="G144" t="n">
        <v>6.4</v>
      </c>
      <c r="H144" t="n">
        <v>2</v>
      </c>
      <c r="I144" t="n">
        <v>1</v>
      </c>
      <c r="J144" t="n">
        <v>2</v>
      </c>
      <c r="K144" t="n">
        <v>0</v>
      </c>
      <c r="L144" t="n">
        <v>0</v>
      </c>
      <c r="M144" t="n">
        <v>0</v>
      </c>
      <c r="N144" t="n">
        <v>0</v>
      </c>
      <c r="O144" t="n">
        <v>2</v>
      </c>
      <c r="P144" t="n">
        <v>0</v>
      </c>
      <c r="Q144" t="n">
        <v>3</v>
      </c>
      <c r="R144" s="2" t="inlineStr">
        <is>
          <t>Spillkråka
Talltita
Grovticka</t>
        </is>
      </c>
      <c r="S144">
        <f>HYPERLINK("https://klasma.github.io/Logging_0883/artfynd/A 45639-2024 artfynd.xlsx", "A 45639-2024")</f>
        <v/>
      </c>
      <c r="T144">
        <f>HYPERLINK("https://klasma.github.io/Logging_0883/kartor/A 45639-2024 karta.png", "A 45639-2024")</f>
        <v/>
      </c>
      <c r="V144">
        <f>HYPERLINK("https://klasma.github.io/Logging_0883/klagomål/A 45639-2024 FSC-klagomål.docx", "A 45639-2024")</f>
        <v/>
      </c>
      <c r="W144">
        <f>HYPERLINK("https://klasma.github.io/Logging_0883/klagomålsmail/A 45639-2024 FSC-klagomål mail.docx", "A 45639-2024")</f>
        <v/>
      </c>
      <c r="X144">
        <f>HYPERLINK("https://klasma.github.io/Logging_0883/tillsyn/A 45639-2024 tillsynsbegäran.docx", "A 45639-2024")</f>
        <v/>
      </c>
      <c r="Y144">
        <f>HYPERLINK("https://klasma.github.io/Logging_0883/tillsynsmail/A 45639-2024 tillsynsbegäran mail.docx", "A 45639-2024")</f>
        <v/>
      </c>
      <c r="Z144">
        <f>HYPERLINK("https://klasma.github.io/Logging_0883/fåglar/A 45639-2024 prioriterade fågelarter.docx", "A 45639-2024")</f>
        <v/>
      </c>
    </row>
    <row r="145" ht="15" customHeight="1">
      <c r="A145" t="inlineStr">
        <is>
          <t>A 48318-2024</t>
        </is>
      </c>
      <c r="B145" s="1" t="n">
        <v>45590</v>
      </c>
      <c r="C145" s="1" t="n">
        <v>45822</v>
      </c>
      <c r="D145" t="inlineStr">
        <is>
          <t>KALMAR LÄN</t>
        </is>
      </c>
      <c r="E145" t="inlineStr">
        <is>
          <t>VÄSTERVIK</t>
        </is>
      </c>
      <c r="F145" t="inlineStr">
        <is>
          <t>Holmen skog AB</t>
        </is>
      </c>
      <c r="G145" t="n">
        <v>4</v>
      </c>
      <c r="H145" t="n">
        <v>3</v>
      </c>
      <c r="I145" t="n">
        <v>0</v>
      </c>
      <c r="J145" t="n">
        <v>3</v>
      </c>
      <c r="K145" t="n">
        <v>0</v>
      </c>
      <c r="L145" t="n">
        <v>0</v>
      </c>
      <c r="M145" t="n">
        <v>0</v>
      </c>
      <c r="N145" t="n">
        <v>0</v>
      </c>
      <c r="O145" t="n">
        <v>3</v>
      </c>
      <c r="P145" t="n">
        <v>0</v>
      </c>
      <c r="Q145" t="n">
        <v>3</v>
      </c>
      <c r="R145" s="2" t="inlineStr">
        <is>
          <t>Entita
Spillkråka
Talltita</t>
        </is>
      </c>
      <c r="S145">
        <f>HYPERLINK("https://klasma.github.io/Logging_0883/artfynd/A 48318-2024 artfynd.xlsx", "A 48318-2024")</f>
        <v/>
      </c>
      <c r="T145">
        <f>HYPERLINK("https://klasma.github.io/Logging_0883/kartor/A 48318-2024 karta.png", "A 48318-2024")</f>
        <v/>
      </c>
      <c r="U145">
        <f>HYPERLINK("https://klasma.github.io/Logging_0883/knärot/A 48318-2024 karta knärot.png", "A 48318-2024")</f>
        <v/>
      </c>
      <c r="V145">
        <f>HYPERLINK("https://klasma.github.io/Logging_0883/klagomål/A 48318-2024 FSC-klagomål.docx", "A 48318-2024")</f>
        <v/>
      </c>
      <c r="W145">
        <f>HYPERLINK("https://klasma.github.io/Logging_0883/klagomålsmail/A 48318-2024 FSC-klagomål mail.docx", "A 48318-2024")</f>
        <v/>
      </c>
      <c r="X145">
        <f>HYPERLINK("https://klasma.github.io/Logging_0883/tillsyn/A 48318-2024 tillsynsbegäran.docx", "A 48318-2024")</f>
        <v/>
      </c>
      <c r="Y145">
        <f>HYPERLINK("https://klasma.github.io/Logging_0883/tillsynsmail/A 48318-2024 tillsynsbegäran mail.docx", "A 48318-2024")</f>
        <v/>
      </c>
      <c r="Z145">
        <f>HYPERLINK("https://klasma.github.io/Logging_0883/fåglar/A 48318-2024 prioriterade fågelarter.docx", "A 48318-2024")</f>
        <v/>
      </c>
    </row>
    <row r="146" ht="15" customHeight="1">
      <c r="A146" t="inlineStr">
        <is>
          <t>A 51590-2024</t>
        </is>
      </c>
      <c r="B146" s="1" t="n">
        <v>45604</v>
      </c>
      <c r="C146" s="1" t="n">
        <v>45822</v>
      </c>
      <c r="D146" t="inlineStr">
        <is>
          <t>KALMAR LÄN</t>
        </is>
      </c>
      <c r="E146" t="inlineStr">
        <is>
          <t>VÄSTERVIK</t>
        </is>
      </c>
      <c r="F146" t="inlineStr">
        <is>
          <t>Övriga Aktiebolag</t>
        </is>
      </c>
      <c r="G146" t="n">
        <v>2.3</v>
      </c>
      <c r="H146" t="n">
        <v>3</v>
      </c>
      <c r="I146" t="n">
        <v>0</v>
      </c>
      <c r="J146" t="n">
        <v>2</v>
      </c>
      <c r="K146" t="n">
        <v>1</v>
      </c>
      <c r="L146" t="n">
        <v>0</v>
      </c>
      <c r="M146" t="n">
        <v>0</v>
      </c>
      <c r="N146" t="n">
        <v>0</v>
      </c>
      <c r="O146" t="n">
        <v>3</v>
      </c>
      <c r="P146" t="n">
        <v>1</v>
      </c>
      <c r="Q146" t="n">
        <v>3</v>
      </c>
      <c r="R146" s="2" t="inlineStr">
        <is>
          <t>Knärot
Spillkråka
Talltita</t>
        </is>
      </c>
      <c r="S146">
        <f>HYPERLINK("https://klasma.github.io/Logging_0883/artfynd/A 51590-2024 artfynd.xlsx", "A 51590-2024")</f>
        <v/>
      </c>
      <c r="T146">
        <f>HYPERLINK("https://klasma.github.io/Logging_0883/kartor/A 51590-2024 karta.png", "A 51590-2024")</f>
        <v/>
      </c>
      <c r="U146">
        <f>HYPERLINK("https://klasma.github.io/Logging_0883/knärot/A 51590-2024 karta knärot.png", "A 51590-2024")</f>
        <v/>
      </c>
      <c r="V146">
        <f>HYPERLINK("https://klasma.github.io/Logging_0883/klagomål/A 51590-2024 FSC-klagomål.docx", "A 51590-2024")</f>
        <v/>
      </c>
      <c r="W146">
        <f>HYPERLINK("https://klasma.github.io/Logging_0883/klagomålsmail/A 51590-2024 FSC-klagomål mail.docx", "A 51590-2024")</f>
        <v/>
      </c>
      <c r="X146">
        <f>HYPERLINK("https://klasma.github.io/Logging_0883/tillsyn/A 51590-2024 tillsynsbegäran.docx", "A 51590-2024")</f>
        <v/>
      </c>
      <c r="Y146">
        <f>HYPERLINK("https://klasma.github.io/Logging_0883/tillsynsmail/A 51590-2024 tillsynsbegäran mail.docx", "A 51590-2024")</f>
        <v/>
      </c>
      <c r="Z146">
        <f>HYPERLINK("https://klasma.github.io/Logging_0883/fåglar/A 51590-2024 prioriterade fågelarter.docx", "A 51590-2024")</f>
        <v/>
      </c>
    </row>
    <row r="147" ht="15" customHeight="1">
      <c r="A147" t="inlineStr">
        <is>
          <t>A 52992-2024</t>
        </is>
      </c>
      <c r="B147" s="1" t="n">
        <v>45611</v>
      </c>
      <c r="C147" s="1" t="n">
        <v>45822</v>
      </c>
      <c r="D147" t="inlineStr">
        <is>
          <t>KALMAR LÄN</t>
        </is>
      </c>
      <c r="E147" t="inlineStr">
        <is>
          <t>VÄSTERVIK</t>
        </is>
      </c>
      <c r="F147" t="inlineStr">
        <is>
          <t>Holmen skog AB</t>
        </is>
      </c>
      <c r="G147" t="n">
        <v>5.5</v>
      </c>
      <c r="H147" t="n">
        <v>2</v>
      </c>
      <c r="I147" t="n">
        <v>1</v>
      </c>
      <c r="J147" t="n">
        <v>2</v>
      </c>
      <c r="K147" t="n">
        <v>0</v>
      </c>
      <c r="L147" t="n">
        <v>0</v>
      </c>
      <c r="M147" t="n">
        <v>0</v>
      </c>
      <c r="N147" t="n">
        <v>0</v>
      </c>
      <c r="O147" t="n">
        <v>2</v>
      </c>
      <c r="P147" t="n">
        <v>0</v>
      </c>
      <c r="Q147" t="n">
        <v>3</v>
      </c>
      <c r="R147" s="2" t="inlineStr">
        <is>
          <t>Spillkråka
Talltita
Brandticka</t>
        </is>
      </c>
      <c r="S147">
        <f>HYPERLINK("https://klasma.github.io/Logging_0883/artfynd/A 52992-2024 artfynd.xlsx", "A 52992-2024")</f>
        <v/>
      </c>
      <c r="T147">
        <f>HYPERLINK("https://klasma.github.io/Logging_0883/kartor/A 52992-2024 karta.png", "A 52992-2024")</f>
        <v/>
      </c>
      <c r="V147">
        <f>HYPERLINK("https://klasma.github.io/Logging_0883/klagomål/A 52992-2024 FSC-klagomål.docx", "A 52992-2024")</f>
        <v/>
      </c>
      <c r="W147">
        <f>HYPERLINK("https://klasma.github.io/Logging_0883/klagomålsmail/A 52992-2024 FSC-klagomål mail.docx", "A 52992-2024")</f>
        <v/>
      </c>
      <c r="X147">
        <f>HYPERLINK("https://klasma.github.io/Logging_0883/tillsyn/A 52992-2024 tillsynsbegäran.docx", "A 52992-2024")</f>
        <v/>
      </c>
      <c r="Y147">
        <f>HYPERLINK("https://klasma.github.io/Logging_0883/tillsynsmail/A 52992-2024 tillsynsbegäran mail.docx", "A 52992-2024")</f>
        <v/>
      </c>
      <c r="Z147">
        <f>HYPERLINK("https://klasma.github.io/Logging_0883/fåglar/A 52992-2024 prioriterade fågelarter.docx", "A 52992-2024")</f>
        <v/>
      </c>
    </row>
    <row r="148" ht="15" customHeight="1">
      <c r="A148" t="inlineStr">
        <is>
          <t>A 56032-2024</t>
        </is>
      </c>
      <c r="B148" s="1" t="n">
        <v>45624</v>
      </c>
      <c r="C148" s="1" t="n">
        <v>45822</v>
      </c>
      <c r="D148" t="inlineStr">
        <is>
          <t>KALMAR LÄN</t>
        </is>
      </c>
      <c r="E148" t="inlineStr">
        <is>
          <t>VÄSTERVIK</t>
        </is>
      </c>
      <c r="F148" t="inlineStr">
        <is>
          <t>Kyrkan</t>
        </is>
      </c>
      <c r="G148" t="n">
        <v>5.4</v>
      </c>
      <c r="H148" t="n">
        <v>1</v>
      </c>
      <c r="I148" t="n">
        <v>2</v>
      </c>
      <c r="J148" t="n">
        <v>0</v>
      </c>
      <c r="K148" t="n">
        <v>1</v>
      </c>
      <c r="L148" t="n">
        <v>0</v>
      </c>
      <c r="M148" t="n">
        <v>0</v>
      </c>
      <c r="N148" t="n">
        <v>0</v>
      </c>
      <c r="O148" t="n">
        <v>1</v>
      </c>
      <c r="P148" t="n">
        <v>1</v>
      </c>
      <c r="Q148" t="n">
        <v>3</v>
      </c>
      <c r="R148" s="2" t="inlineStr">
        <is>
          <t>Knärot
Grovticka
Grönpyrola</t>
        </is>
      </c>
      <c r="S148">
        <f>HYPERLINK("https://klasma.github.io/Logging_0883/artfynd/A 56032-2024 artfynd.xlsx", "A 56032-2024")</f>
        <v/>
      </c>
      <c r="T148">
        <f>HYPERLINK("https://klasma.github.io/Logging_0883/kartor/A 56032-2024 karta.png", "A 56032-2024")</f>
        <v/>
      </c>
      <c r="U148">
        <f>HYPERLINK("https://klasma.github.io/Logging_0883/knärot/A 56032-2024 karta knärot.png", "A 56032-2024")</f>
        <v/>
      </c>
      <c r="V148">
        <f>HYPERLINK("https://klasma.github.io/Logging_0883/klagomål/A 56032-2024 FSC-klagomål.docx", "A 56032-2024")</f>
        <v/>
      </c>
      <c r="W148">
        <f>HYPERLINK("https://klasma.github.io/Logging_0883/klagomålsmail/A 56032-2024 FSC-klagomål mail.docx", "A 56032-2024")</f>
        <v/>
      </c>
      <c r="X148">
        <f>HYPERLINK("https://klasma.github.io/Logging_0883/tillsyn/A 56032-2024 tillsynsbegäran.docx", "A 56032-2024")</f>
        <v/>
      </c>
      <c r="Y148">
        <f>HYPERLINK("https://klasma.github.io/Logging_0883/tillsynsmail/A 56032-2024 tillsynsbegäran mail.docx", "A 56032-2024")</f>
        <v/>
      </c>
    </row>
    <row r="149" ht="15" customHeight="1">
      <c r="A149" t="inlineStr">
        <is>
          <t>A 58750-2024</t>
        </is>
      </c>
      <c r="B149" s="1" t="n">
        <v>45635</v>
      </c>
      <c r="C149" s="1" t="n">
        <v>45822</v>
      </c>
      <c r="D149" t="inlineStr">
        <is>
          <t>KALMAR LÄN</t>
        </is>
      </c>
      <c r="E149" t="inlineStr">
        <is>
          <t>VÄSTERVIK</t>
        </is>
      </c>
      <c r="G149" t="n">
        <v>6.7</v>
      </c>
      <c r="H149" t="n">
        <v>1</v>
      </c>
      <c r="I149" t="n">
        <v>1</v>
      </c>
      <c r="J149" t="n">
        <v>1</v>
      </c>
      <c r="K149" t="n">
        <v>1</v>
      </c>
      <c r="L149" t="n">
        <v>0</v>
      </c>
      <c r="M149" t="n">
        <v>0</v>
      </c>
      <c r="N149" t="n">
        <v>0</v>
      </c>
      <c r="O149" t="n">
        <v>2</v>
      </c>
      <c r="P149" t="n">
        <v>1</v>
      </c>
      <c r="Q149" t="n">
        <v>3</v>
      </c>
      <c r="R149" s="2" t="inlineStr">
        <is>
          <t>Knärot
Tallticka
Blåmossa</t>
        </is>
      </c>
      <c r="S149">
        <f>HYPERLINK("https://klasma.github.io/Logging_0883/artfynd/A 58750-2024 artfynd.xlsx", "A 58750-2024")</f>
        <v/>
      </c>
      <c r="T149">
        <f>HYPERLINK("https://klasma.github.io/Logging_0883/kartor/A 58750-2024 karta.png", "A 58750-2024")</f>
        <v/>
      </c>
      <c r="U149">
        <f>HYPERLINK("https://klasma.github.io/Logging_0883/knärot/A 58750-2024 karta knärot.png", "A 58750-2024")</f>
        <v/>
      </c>
      <c r="V149">
        <f>HYPERLINK("https://klasma.github.io/Logging_0883/klagomål/A 58750-2024 FSC-klagomål.docx", "A 58750-2024")</f>
        <v/>
      </c>
      <c r="W149">
        <f>HYPERLINK("https://klasma.github.io/Logging_0883/klagomålsmail/A 58750-2024 FSC-klagomål mail.docx", "A 58750-2024")</f>
        <v/>
      </c>
      <c r="X149">
        <f>HYPERLINK("https://klasma.github.io/Logging_0883/tillsyn/A 58750-2024 tillsynsbegäran.docx", "A 58750-2024")</f>
        <v/>
      </c>
      <c r="Y149">
        <f>HYPERLINK("https://klasma.github.io/Logging_0883/tillsynsmail/A 58750-2024 tillsynsbegäran mail.docx", "A 58750-2024")</f>
        <v/>
      </c>
    </row>
    <row r="150" ht="15" customHeight="1">
      <c r="A150" t="inlineStr">
        <is>
          <t>A 42-2025</t>
        </is>
      </c>
      <c r="B150" s="1" t="n">
        <v>45659</v>
      </c>
      <c r="C150" s="1" t="n">
        <v>45822</v>
      </c>
      <c r="D150" t="inlineStr">
        <is>
          <t>KALMAR LÄN</t>
        </is>
      </c>
      <c r="E150" t="inlineStr">
        <is>
          <t>VÄSTERVIK</t>
        </is>
      </c>
      <c r="G150" t="n">
        <v>5.5</v>
      </c>
      <c r="H150" t="n">
        <v>3</v>
      </c>
      <c r="I150" t="n">
        <v>0</v>
      </c>
      <c r="J150" t="n">
        <v>1</v>
      </c>
      <c r="K150" t="n">
        <v>1</v>
      </c>
      <c r="L150" t="n">
        <v>0</v>
      </c>
      <c r="M150" t="n">
        <v>0</v>
      </c>
      <c r="N150" t="n">
        <v>0</v>
      </c>
      <c r="O150" t="n">
        <v>2</v>
      </c>
      <c r="P150" t="n">
        <v>1</v>
      </c>
      <c r="Q150" t="n">
        <v>3</v>
      </c>
      <c r="R150" s="2" t="inlineStr">
        <is>
          <t>Knärot
Talltita
Kungsfågel</t>
        </is>
      </c>
      <c r="S150">
        <f>HYPERLINK("https://klasma.github.io/Logging_0883/artfynd/A 42-2025 artfynd.xlsx", "A 42-2025")</f>
        <v/>
      </c>
      <c r="T150">
        <f>HYPERLINK("https://klasma.github.io/Logging_0883/kartor/A 42-2025 karta.png", "A 42-2025")</f>
        <v/>
      </c>
      <c r="U150">
        <f>HYPERLINK("https://klasma.github.io/Logging_0883/knärot/A 42-2025 karta knärot.png", "A 42-2025")</f>
        <v/>
      </c>
      <c r="V150">
        <f>HYPERLINK("https://klasma.github.io/Logging_0883/klagomål/A 42-2025 FSC-klagomål.docx", "A 42-2025")</f>
        <v/>
      </c>
      <c r="W150">
        <f>HYPERLINK("https://klasma.github.io/Logging_0883/klagomålsmail/A 42-2025 FSC-klagomål mail.docx", "A 42-2025")</f>
        <v/>
      </c>
      <c r="X150">
        <f>HYPERLINK("https://klasma.github.io/Logging_0883/tillsyn/A 42-2025 tillsynsbegäran.docx", "A 42-2025")</f>
        <v/>
      </c>
      <c r="Y150">
        <f>HYPERLINK("https://klasma.github.io/Logging_0883/tillsynsmail/A 42-2025 tillsynsbegäran mail.docx", "A 42-2025")</f>
        <v/>
      </c>
      <c r="Z150">
        <f>HYPERLINK("https://klasma.github.io/Logging_0883/fåglar/A 42-2025 prioriterade fågelarter.docx", "A 42-2025")</f>
        <v/>
      </c>
    </row>
    <row r="151" ht="15" customHeight="1">
      <c r="A151" t="inlineStr">
        <is>
          <t>A 953-2025</t>
        </is>
      </c>
      <c r="B151" s="1" t="n">
        <v>45666</v>
      </c>
      <c r="C151" s="1" t="n">
        <v>45822</v>
      </c>
      <c r="D151" t="inlineStr">
        <is>
          <t>KALMAR LÄN</t>
        </is>
      </c>
      <c r="E151" t="inlineStr">
        <is>
          <t>VÄSTERVIK</t>
        </is>
      </c>
      <c r="G151" t="n">
        <v>2.3</v>
      </c>
      <c r="H151" t="n">
        <v>1</v>
      </c>
      <c r="I151" t="n">
        <v>2</v>
      </c>
      <c r="J151" t="n">
        <v>0</v>
      </c>
      <c r="K151" t="n">
        <v>1</v>
      </c>
      <c r="L151" t="n">
        <v>0</v>
      </c>
      <c r="M151" t="n">
        <v>0</v>
      </c>
      <c r="N151" t="n">
        <v>0</v>
      </c>
      <c r="O151" t="n">
        <v>1</v>
      </c>
      <c r="P151" t="n">
        <v>1</v>
      </c>
      <c r="Q151" t="n">
        <v>3</v>
      </c>
      <c r="R151" s="2" t="inlineStr">
        <is>
          <t>Knärot
Barkticka
Dropptaggsvamp</t>
        </is>
      </c>
      <c r="S151">
        <f>HYPERLINK("https://klasma.github.io/Logging_0883/artfynd/A 953-2025 artfynd.xlsx", "A 953-2025")</f>
        <v/>
      </c>
      <c r="T151">
        <f>HYPERLINK("https://klasma.github.io/Logging_0883/kartor/A 953-2025 karta.png", "A 953-2025")</f>
        <v/>
      </c>
      <c r="U151">
        <f>HYPERLINK("https://klasma.github.io/Logging_0883/knärot/A 953-2025 karta knärot.png", "A 953-2025")</f>
        <v/>
      </c>
      <c r="V151">
        <f>HYPERLINK("https://klasma.github.io/Logging_0883/klagomål/A 953-2025 FSC-klagomål.docx", "A 953-2025")</f>
        <v/>
      </c>
      <c r="W151">
        <f>HYPERLINK("https://klasma.github.io/Logging_0883/klagomålsmail/A 953-2025 FSC-klagomål mail.docx", "A 953-2025")</f>
        <v/>
      </c>
      <c r="X151">
        <f>HYPERLINK("https://klasma.github.io/Logging_0883/tillsyn/A 953-2025 tillsynsbegäran.docx", "A 953-2025")</f>
        <v/>
      </c>
      <c r="Y151">
        <f>HYPERLINK("https://klasma.github.io/Logging_0883/tillsynsmail/A 953-2025 tillsynsbegäran mail.docx", "A 953-2025")</f>
        <v/>
      </c>
    </row>
    <row r="152" ht="15" customHeight="1">
      <c r="A152" t="inlineStr">
        <is>
          <t>A 1763-2025</t>
        </is>
      </c>
      <c r="B152" s="1" t="n">
        <v>45671</v>
      </c>
      <c r="C152" s="1" t="n">
        <v>45822</v>
      </c>
      <c r="D152" t="inlineStr">
        <is>
          <t>KALMAR LÄN</t>
        </is>
      </c>
      <c r="E152" t="inlineStr">
        <is>
          <t>VÄSTERVIK</t>
        </is>
      </c>
      <c r="G152" t="n">
        <v>1.1</v>
      </c>
      <c r="H152" t="n">
        <v>2</v>
      </c>
      <c r="I152" t="n">
        <v>1</v>
      </c>
      <c r="J152" t="n">
        <v>2</v>
      </c>
      <c r="K152" t="n">
        <v>0</v>
      </c>
      <c r="L152" t="n">
        <v>0</v>
      </c>
      <c r="M152" t="n">
        <v>0</v>
      </c>
      <c r="N152" t="n">
        <v>0</v>
      </c>
      <c r="O152" t="n">
        <v>2</v>
      </c>
      <c r="P152" t="n">
        <v>0</v>
      </c>
      <c r="Q152" t="n">
        <v>3</v>
      </c>
      <c r="R152" s="2" t="inlineStr">
        <is>
          <t>Spillkråka
Talltita
Blåmossa</t>
        </is>
      </c>
      <c r="S152">
        <f>HYPERLINK("https://klasma.github.io/Logging_0883/artfynd/A 1763-2025 artfynd.xlsx", "A 1763-2025")</f>
        <v/>
      </c>
      <c r="T152">
        <f>HYPERLINK("https://klasma.github.io/Logging_0883/kartor/A 1763-2025 karta.png", "A 1763-2025")</f>
        <v/>
      </c>
      <c r="V152">
        <f>HYPERLINK("https://klasma.github.io/Logging_0883/klagomål/A 1763-2025 FSC-klagomål.docx", "A 1763-2025")</f>
        <v/>
      </c>
      <c r="W152">
        <f>HYPERLINK("https://klasma.github.io/Logging_0883/klagomålsmail/A 1763-2025 FSC-klagomål mail.docx", "A 1763-2025")</f>
        <v/>
      </c>
      <c r="X152">
        <f>HYPERLINK("https://klasma.github.io/Logging_0883/tillsyn/A 1763-2025 tillsynsbegäran.docx", "A 1763-2025")</f>
        <v/>
      </c>
      <c r="Y152">
        <f>HYPERLINK("https://klasma.github.io/Logging_0883/tillsynsmail/A 1763-2025 tillsynsbegäran mail.docx", "A 1763-2025")</f>
        <v/>
      </c>
      <c r="Z152">
        <f>HYPERLINK("https://klasma.github.io/Logging_0883/fåglar/A 1763-2025 prioriterade fågelarter.docx", "A 1763-2025")</f>
        <v/>
      </c>
    </row>
    <row r="153" ht="15" customHeight="1">
      <c r="A153" t="inlineStr">
        <is>
          <t>A 1764-2025</t>
        </is>
      </c>
      <c r="B153" s="1" t="n">
        <v>45671</v>
      </c>
      <c r="C153" s="1" t="n">
        <v>45822</v>
      </c>
      <c r="D153" t="inlineStr">
        <is>
          <t>KALMAR LÄN</t>
        </is>
      </c>
      <c r="E153" t="inlineStr">
        <is>
          <t>VÄSTERVIK</t>
        </is>
      </c>
      <c r="G153" t="n">
        <v>1.8</v>
      </c>
      <c r="H153" t="n">
        <v>1</v>
      </c>
      <c r="I153" t="n">
        <v>1</v>
      </c>
      <c r="J153" t="n">
        <v>1</v>
      </c>
      <c r="K153" t="n">
        <v>1</v>
      </c>
      <c r="L153" t="n">
        <v>0</v>
      </c>
      <c r="M153" t="n">
        <v>0</v>
      </c>
      <c r="N153" t="n">
        <v>0</v>
      </c>
      <c r="O153" t="n">
        <v>2</v>
      </c>
      <c r="P153" t="n">
        <v>1</v>
      </c>
      <c r="Q153" t="n">
        <v>3</v>
      </c>
      <c r="R153" s="2" t="inlineStr">
        <is>
          <t>Knärot
Ullticka
Grovticka</t>
        </is>
      </c>
      <c r="S153">
        <f>HYPERLINK("https://klasma.github.io/Logging_0883/artfynd/A 1764-2025 artfynd.xlsx", "A 1764-2025")</f>
        <v/>
      </c>
      <c r="T153">
        <f>HYPERLINK("https://klasma.github.io/Logging_0883/kartor/A 1764-2025 karta.png", "A 1764-2025")</f>
        <v/>
      </c>
      <c r="U153">
        <f>HYPERLINK("https://klasma.github.io/Logging_0883/knärot/A 1764-2025 karta knärot.png", "A 1764-2025")</f>
        <v/>
      </c>
      <c r="V153">
        <f>HYPERLINK("https://klasma.github.io/Logging_0883/klagomål/A 1764-2025 FSC-klagomål.docx", "A 1764-2025")</f>
        <v/>
      </c>
      <c r="W153">
        <f>HYPERLINK("https://klasma.github.io/Logging_0883/klagomålsmail/A 1764-2025 FSC-klagomål mail.docx", "A 1764-2025")</f>
        <v/>
      </c>
      <c r="X153">
        <f>HYPERLINK("https://klasma.github.io/Logging_0883/tillsyn/A 1764-2025 tillsynsbegäran.docx", "A 1764-2025")</f>
        <v/>
      </c>
      <c r="Y153">
        <f>HYPERLINK("https://klasma.github.io/Logging_0883/tillsynsmail/A 1764-2025 tillsynsbegäran mail.docx", "A 1764-2025")</f>
        <v/>
      </c>
    </row>
    <row r="154" ht="15" customHeight="1">
      <c r="A154" t="inlineStr">
        <is>
          <t>A 2340-2025</t>
        </is>
      </c>
      <c r="B154" s="1" t="n">
        <v>45673</v>
      </c>
      <c r="C154" s="1" t="n">
        <v>45822</v>
      </c>
      <c r="D154" t="inlineStr">
        <is>
          <t>KALMAR LÄN</t>
        </is>
      </c>
      <c r="E154" t="inlineStr">
        <is>
          <t>VÄSTERVIK</t>
        </is>
      </c>
      <c r="G154" t="n">
        <v>3.5</v>
      </c>
      <c r="H154" t="n">
        <v>3</v>
      </c>
      <c r="I154" t="n">
        <v>0</v>
      </c>
      <c r="J154" t="n">
        <v>2</v>
      </c>
      <c r="K154" t="n">
        <v>0</v>
      </c>
      <c r="L154" t="n">
        <v>0</v>
      </c>
      <c r="M154" t="n">
        <v>0</v>
      </c>
      <c r="N154" t="n">
        <v>0</v>
      </c>
      <c r="O154" t="n">
        <v>2</v>
      </c>
      <c r="P154" t="n">
        <v>0</v>
      </c>
      <c r="Q154" t="n">
        <v>3</v>
      </c>
      <c r="R154" s="2" t="inlineStr">
        <is>
          <t>Spillkråka
Talltita
Kungsfågel</t>
        </is>
      </c>
      <c r="S154">
        <f>HYPERLINK("https://klasma.github.io/Logging_0883/artfynd/A 2340-2025 artfynd.xlsx", "A 2340-2025")</f>
        <v/>
      </c>
      <c r="T154">
        <f>HYPERLINK("https://klasma.github.io/Logging_0883/kartor/A 2340-2025 karta.png", "A 2340-2025")</f>
        <v/>
      </c>
      <c r="U154">
        <f>HYPERLINK("https://klasma.github.io/Logging_0883/knärot/A 2340-2025 karta knärot.png", "A 2340-2025")</f>
        <v/>
      </c>
      <c r="V154">
        <f>HYPERLINK("https://klasma.github.io/Logging_0883/klagomål/A 2340-2025 FSC-klagomål.docx", "A 2340-2025")</f>
        <v/>
      </c>
      <c r="W154">
        <f>HYPERLINK("https://klasma.github.io/Logging_0883/klagomålsmail/A 2340-2025 FSC-klagomål mail.docx", "A 2340-2025")</f>
        <v/>
      </c>
      <c r="X154">
        <f>HYPERLINK("https://klasma.github.io/Logging_0883/tillsyn/A 2340-2025 tillsynsbegäran.docx", "A 2340-2025")</f>
        <v/>
      </c>
      <c r="Y154">
        <f>HYPERLINK("https://klasma.github.io/Logging_0883/tillsynsmail/A 2340-2025 tillsynsbegäran mail.docx", "A 2340-2025")</f>
        <v/>
      </c>
      <c r="Z154">
        <f>HYPERLINK("https://klasma.github.io/Logging_0883/fåglar/A 2340-2025 prioriterade fågelarter.docx", "A 2340-2025")</f>
        <v/>
      </c>
    </row>
    <row r="155" ht="15" customHeight="1">
      <c r="A155" t="inlineStr">
        <is>
          <t>A 4454-2025</t>
        </is>
      </c>
      <c r="B155" s="1" t="n">
        <v>45686</v>
      </c>
      <c r="C155" s="1" t="n">
        <v>45822</v>
      </c>
      <c r="D155" t="inlineStr">
        <is>
          <t>KALMAR LÄN</t>
        </is>
      </c>
      <c r="E155" t="inlineStr">
        <is>
          <t>VÄSTERVIK</t>
        </is>
      </c>
      <c r="G155" t="n">
        <v>1</v>
      </c>
      <c r="H155" t="n">
        <v>2</v>
      </c>
      <c r="I155" t="n">
        <v>1</v>
      </c>
      <c r="J155" t="n">
        <v>0</v>
      </c>
      <c r="K155" t="n">
        <v>1</v>
      </c>
      <c r="L155" t="n">
        <v>0</v>
      </c>
      <c r="M155" t="n">
        <v>0</v>
      </c>
      <c r="N155" t="n">
        <v>0</v>
      </c>
      <c r="O155" t="n">
        <v>1</v>
      </c>
      <c r="P155" t="n">
        <v>1</v>
      </c>
      <c r="Q155" t="n">
        <v>3</v>
      </c>
      <c r="R155" s="2" t="inlineStr">
        <is>
          <t>Knärot
Grönpyrola
Kungsfågel</t>
        </is>
      </c>
      <c r="S155">
        <f>HYPERLINK("https://klasma.github.io/Logging_0883/artfynd/A 4454-2025 artfynd.xlsx", "A 4454-2025")</f>
        <v/>
      </c>
      <c r="T155">
        <f>HYPERLINK("https://klasma.github.io/Logging_0883/kartor/A 4454-2025 karta.png", "A 4454-2025")</f>
        <v/>
      </c>
      <c r="U155">
        <f>HYPERLINK("https://klasma.github.io/Logging_0883/knärot/A 4454-2025 karta knärot.png", "A 4454-2025")</f>
        <v/>
      </c>
      <c r="V155">
        <f>HYPERLINK("https://klasma.github.io/Logging_0883/klagomål/A 4454-2025 FSC-klagomål.docx", "A 4454-2025")</f>
        <v/>
      </c>
      <c r="W155">
        <f>HYPERLINK("https://klasma.github.io/Logging_0883/klagomålsmail/A 4454-2025 FSC-klagomål mail.docx", "A 4454-2025")</f>
        <v/>
      </c>
      <c r="X155">
        <f>HYPERLINK("https://klasma.github.io/Logging_0883/tillsyn/A 4454-2025 tillsynsbegäran.docx", "A 4454-2025")</f>
        <v/>
      </c>
      <c r="Y155">
        <f>HYPERLINK("https://klasma.github.io/Logging_0883/tillsynsmail/A 4454-2025 tillsynsbegäran mail.docx", "A 4454-2025")</f>
        <v/>
      </c>
      <c r="Z155">
        <f>HYPERLINK("https://klasma.github.io/Logging_0883/fåglar/A 4454-2025 prioriterade fågelarter.docx", "A 4454-2025")</f>
        <v/>
      </c>
    </row>
    <row r="156" ht="15" customHeight="1">
      <c r="A156" t="inlineStr">
        <is>
          <t>A 7832-2025</t>
        </is>
      </c>
      <c r="B156" s="1" t="n">
        <v>45706</v>
      </c>
      <c r="C156" s="1" t="n">
        <v>45822</v>
      </c>
      <c r="D156" t="inlineStr">
        <is>
          <t>KALMAR LÄN</t>
        </is>
      </c>
      <c r="E156" t="inlineStr">
        <is>
          <t>VÄSTERVIK</t>
        </is>
      </c>
      <c r="G156" t="n">
        <v>5.5</v>
      </c>
      <c r="H156" t="n">
        <v>3</v>
      </c>
      <c r="I156" t="n">
        <v>0</v>
      </c>
      <c r="J156" t="n">
        <v>1</v>
      </c>
      <c r="K156" t="n">
        <v>1</v>
      </c>
      <c r="L156" t="n">
        <v>0</v>
      </c>
      <c r="M156" t="n">
        <v>0</v>
      </c>
      <c r="N156" t="n">
        <v>0</v>
      </c>
      <c r="O156" t="n">
        <v>2</v>
      </c>
      <c r="P156" t="n">
        <v>1</v>
      </c>
      <c r="Q156" t="n">
        <v>3</v>
      </c>
      <c r="R156" s="2" t="inlineStr">
        <is>
          <t>Knärot
Talltita
Kungsfågel</t>
        </is>
      </c>
      <c r="S156">
        <f>HYPERLINK("https://klasma.github.io/Logging_0883/artfynd/A 7832-2025 artfynd.xlsx", "A 7832-2025")</f>
        <v/>
      </c>
      <c r="T156">
        <f>HYPERLINK("https://klasma.github.io/Logging_0883/kartor/A 7832-2025 karta.png", "A 7832-2025")</f>
        <v/>
      </c>
      <c r="U156">
        <f>HYPERLINK("https://klasma.github.io/Logging_0883/knärot/A 7832-2025 karta knärot.png", "A 7832-2025")</f>
        <v/>
      </c>
      <c r="V156">
        <f>HYPERLINK("https://klasma.github.io/Logging_0883/klagomål/A 7832-2025 FSC-klagomål.docx", "A 7832-2025")</f>
        <v/>
      </c>
      <c r="W156">
        <f>HYPERLINK("https://klasma.github.io/Logging_0883/klagomålsmail/A 7832-2025 FSC-klagomål mail.docx", "A 7832-2025")</f>
        <v/>
      </c>
      <c r="X156">
        <f>HYPERLINK("https://klasma.github.io/Logging_0883/tillsyn/A 7832-2025 tillsynsbegäran.docx", "A 7832-2025")</f>
        <v/>
      </c>
      <c r="Y156">
        <f>HYPERLINK("https://klasma.github.io/Logging_0883/tillsynsmail/A 7832-2025 tillsynsbegäran mail.docx", "A 7832-2025")</f>
        <v/>
      </c>
      <c r="Z156">
        <f>HYPERLINK("https://klasma.github.io/Logging_0883/fåglar/A 7832-2025 prioriterade fågelarter.docx", "A 7832-2025")</f>
        <v/>
      </c>
    </row>
    <row r="157" ht="15" customHeight="1">
      <c r="A157" t="inlineStr">
        <is>
          <t>A 13956-2025</t>
        </is>
      </c>
      <c r="B157" s="1" t="n">
        <v>45737</v>
      </c>
      <c r="C157" s="1" t="n">
        <v>45822</v>
      </c>
      <c r="D157" t="inlineStr">
        <is>
          <t>KALMAR LÄN</t>
        </is>
      </c>
      <c r="E157" t="inlineStr">
        <is>
          <t>VÄSTERVIK</t>
        </is>
      </c>
      <c r="G157" t="n">
        <v>2.5</v>
      </c>
      <c r="H157" t="n">
        <v>2</v>
      </c>
      <c r="I157" t="n">
        <v>1</v>
      </c>
      <c r="J157" t="n">
        <v>1</v>
      </c>
      <c r="K157" t="n">
        <v>1</v>
      </c>
      <c r="L157" t="n">
        <v>0</v>
      </c>
      <c r="M157" t="n">
        <v>0</v>
      </c>
      <c r="N157" t="n">
        <v>0</v>
      </c>
      <c r="O157" t="n">
        <v>2</v>
      </c>
      <c r="P157" t="n">
        <v>1</v>
      </c>
      <c r="Q157" t="n">
        <v>3</v>
      </c>
      <c r="R157" s="2" t="inlineStr">
        <is>
          <t>Knärot
Mindre hackspett
Grönpyrola</t>
        </is>
      </c>
      <c r="S157">
        <f>HYPERLINK("https://klasma.github.io/Logging_080883/artfynd/A 13956-2025 artfynd.xlsx", "A 13956-2025")</f>
        <v/>
      </c>
      <c r="T157">
        <f>HYPERLINK("https://klasma.github.io/Logging_080883/kartor/A 13956-2025 karta.png", "A 13956-2025")</f>
        <v/>
      </c>
      <c r="U157">
        <f>HYPERLINK("https://klasma.github.io/Logging_080883/knärot/A 13956-2025 karta knärot.png", "A 13956-2025")</f>
        <v/>
      </c>
      <c r="V157">
        <f>HYPERLINK("https://klasma.github.io/Logging_080883/klagomål/A 13956-2025 FSC-klagomål.docx", "A 13956-2025")</f>
        <v/>
      </c>
      <c r="W157">
        <f>HYPERLINK("https://klasma.github.io/Logging_080883/klagomålsmail/A 13956-2025 FSC-klagomål mail.docx", "A 13956-2025")</f>
        <v/>
      </c>
      <c r="X157">
        <f>HYPERLINK("https://klasma.github.io/Logging_080883/tillsyn/A 13956-2025 tillsynsbegäran.docx", "A 13956-2025")</f>
        <v/>
      </c>
      <c r="Y157">
        <f>HYPERLINK("https://klasma.github.io/Logging_080883/tillsynsmail/A 13956-2025 tillsynsbegäran mail.docx", "A 13956-2025")</f>
        <v/>
      </c>
      <c r="Z157">
        <f>HYPERLINK("https://klasma.github.io/Logging_080883/fåglar/A 13956-2025 prioriterade fågelarter.docx", "A 13956-2025")</f>
        <v/>
      </c>
    </row>
    <row r="158" ht="15" customHeight="1">
      <c r="A158" t="inlineStr">
        <is>
          <t>A 17954-2025</t>
        </is>
      </c>
      <c r="B158" s="1" t="n">
        <v>45760</v>
      </c>
      <c r="C158" s="1" t="n">
        <v>45822</v>
      </c>
      <c r="D158" t="inlineStr">
        <is>
          <t>KALMAR LÄN</t>
        </is>
      </c>
      <c r="E158" t="inlineStr">
        <is>
          <t>VÄSTERVIK</t>
        </is>
      </c>
      <c r="G158" t="n">
        <v>2.9</v>
      </c>
      <c r="H158" t="n">
        <v>2</v>
      </c>
      <c r="I158" t="n">
        <v>1</v>
      </c>
      <c r="J158" t="n">
        <v>1</v>
      </c>
      <c r="K158" t="n">
        <v>0</v>
      </c>
      <c r="L158" t="n">
        <v>0</v>
      </c>
      <c r="M158" t="n">
        <v>0</v>
      </c>
      <c r="N158" t="n">
        <v>0</v>
      </c>
      <c r="O158" t="n">
        <v>1</v>
      </c>
      <c r="P158" t="n">
        <v>0</v>
      </c>
      <c r="Q158" t="n">
        <v>3</v>
      </c>
      <c r="R158" s="2" t="inlineStr">
        <is>
          <t>Talltita
Blåmossa
Tjäder</t>
        </is>
      </c>
      <c r="S158">
        <f>HYPERLINK("https://klasma.github.io/Logging_080883/artfynd/A 17954-2025 artfynd.xlsx", "A 17954-2025")</f>
        <v/>
      </c>
      <c r="T158">
        <f>HYPERLINK("https://klasma.github.io/Logging_080883/kartor/A 17954-2025 karta.png", "A 17954-2025")</f>
        <v/>
      </c>
      <c r="V158">
        <f>HYPERLINK("https://klasma.github.io/Logging_080883/klagomål/A 17954-2025 FSC-klagomål.docx", "A 17954-2025")</f>
        <v/>
      </c>
      <c r="W158">
        <f>HYPERLINK("https://klasma.github.io/Logging_080883/klagomålsmail/A 17954-2025 FSC-klagomål mail.docx", "A 17954-2025")</f>
        <v/>
      </c>
      <c r="X158">
        <f>HYPERLINK("https://klasma.github.io/Logging_080883/tillsyn/A 17954-2025 tillsynsbegäran.docx", "A 17954-2025")</f>
        <v/>
      </c>
      <c r="Y158">
        <f>HYPERLINK("https://klasma.github.io/Logging_080883/tillsynsmail/A 17954-2025 tillsynsbegäran mail.docx", "A 17954-2025")</f>
        <v/>
      </c>
      <c r="Z158">
        <f>HYPERLINK("https://klasma.github.io/Logging_080883/fåglar/A 17954-2025 prioriterade fågelarter.docx", "A 17954-2025")</f>
        <v/>
      </c>
    </row>
    <row r="159" ht="15" customHeight="1">
      <c r="A159" t="inlineStr">
        <is>
          <t>A 21084-2025</t>
        </is>
      </c>
      <c r="B159" s="1" t="n">
        <v>45777</v>
      </c>
      <c r="C159" s="1" t="n">
        <v>45822</v>
      </c>
      <c r="D159" t="inlineStr">
        <is>
          <t>KALMAR LÄN</t>
        </is>
      </c>
      <c r="E159" t="inlineStr">
        <is>
          <t>VÄSTERVIK</t>
        </is>
      </c>
      <c r="G159" t="n">
        <v>0.8</v>
      </c>
      <c r="H159" t="n">
        <v>2</v>
      </c>
      <c r="I159" t="n">
        <v>1</v>
      </c>
      <c r="J159" t="n">
        <v>2</v>
      </c>
      <c r="K159" t="n">
        <v>0</v>
      </c>
      <c r="L159" t="n">
        <v>0</v>
      </c>
      <c r="M159" t="n">
        <v>0</v>
      </c>
      <c r="N159" t="n">
        <v>0</v>
      </c>
      <c r="O159" t="n">
        <v>2</v>
      </c>
      <c r="P159" t="n">
        <v>0</v>
      </c>
      <c r="Q159" t="n">
        <v>3</v>
      </c>
      <c r="R159" s="2" t="inlineStr">
        <is>
          <t>Spillkråka
Talltita
Grönpyrola</t>
        </is>
      </c>
      <c r="S159">
        <f>HYPERLINK("https://klasma.github.io/Logging_080883/artfynd/A 21084-2025 artfynd.xlsx", "A 21084-2025")</f>
        <v/>
      </c>
      <c r="T159">
        <f>HYPERLINK("https://klasma.github.io/Logging_080883/kartor/A 21084-2025 karta.png", "A 21084-2025")</f>
        <v/>
      </c>
      <c r="V159">
        <f>HYPERLINK("https://klasma.github.io/Logging_080883/klagomål/A 21084-2025 FSC-klagomål.docx", "A 21084-2025")</f>
        <v/>
      </c>
      <c r="W159">
        <f>HYPERLINK("https://klasma.github.io/Logging_080883/klagomålsmail/A 21084-2025 FSC-klagomål mail.docx", "A 21084-2025")</f>
        <v/>
      </c>
      <c r="X159">
        <f>HYPERLINK("https://klasma.github.io/Logging_080883/tillsyn/A 21084-2025 tillsynsbegäran.docx", "A 21084-2025")</f>
        <v/>
      </c>
      <c r="Y159">
        <f>HYPERLINK("https://klasma.github.io/Logging_080883/tillsynsmail/A 21084-2025 tillsynsbegäran mail.docx", "A 21084-2025")</f>
        <v/>
      </c>
      <c r="Z159">
        <f>HYPERLINK("https://klasma.github.io/Logging_080883/fåglar/A 21084-2025 prioriterade fågelarter.docx", "A 21084-2025")</f>
        <v/>
      </c>
    </row>
    <row r="160" ht="15" customHeight="1">
      <c r="A160" t="inlineStr">
        <is>
          <t>A 26985-2025</t>
        </is>
      </c>
      <c r="B160" s="1" t="n">
        <v>45811</v>
      </c>
      <c r="C160" s="1" t="n">
        <v>45822</v>
      </c>
      <c r="D160" t="inlineStr">
        <is>
          <t>KALMAR LÄN</t>
        </is>
      </c>
      <c r="E160" t="inlineStr">
        <is>
          <t>VÄSTERVIK</t>
        </is>
      </c>
      <c r="G160" t="n">
        <v>2.5</v>
      </c>
      <c r="H160" t="n">
        <v>3</v>
      </c>
      <c r="I160" t="n">
        <v>0</v>
      </c>
      <c r="J160" t="n">
        <v>2</v>
      </c>
      <c r="K160" t="n">
        <v>0</v>
      </c>
      <c r="L160" t="n">
        <v>0</v>
      </c>
      <c r="M160" t="n">
        <v>0</v>
      </c>
      <c r="N160" t="n">
        <v>0</v>
      </c>
      <c r="O160" t="n">
        <v>2</v>
      </c>
      <c r="P160" t="n">
        <v>0</v>
      </c>
      <c r="Q160" t="n">
        <v>3</v>
      </c>
      <c r="R160" s="2" t="inlineStr">
        <is>
          <t>Entita
Spillkråka
Gröngöling</t>
        </is>
      </c>
      <c r="S160">
        <f>HYPERLINK("https://klasma.github.io/Logging_080883/artfynd/A 26985-2025 artfynd.xlsx", "A 26985-2025")</f>
        <v/>
      </c>
      <c r="T160">
        <f>HYPERLINK("https://klasma.github.io/Logging_080883/kartor/A 26985-2025 karta.png", "A 26985-2025")</f>
        <v/>
      </c>
      <c r="V160">
        <f>HYPERLINK("https://klasma.github.io/Logging_080883/klagomål/A 26985-2025 FSC-klagomål.docx", "A 26985-2025")</f>
        <v/>
      </c>
      <c r="W160">
        <f>HYPERLINK("https://klasma.github.io/Logging_080883/klagomålsmail/A 26985-2025 FSC-klagomål mail.docx", "A 26985-2025")</f>
        <v/>
      </c>
      <c r="X160">
        <f>HYPERLINK("https://klasma.github.io/Logging_080883/tillsyn/A 26985-2025 tillsynsbegäran.docx", "A 26985-2025")</f>
        <v/>
      </c>
      <c r="Y160">
        <f>HYPERLINK("https://klasma.github.io/Logging_080883/tillsynsmail/A 26985-2025 tillsynsbegäran mail.docx", "A 26985-2025")</f>
        <v/>
      </c>
      <c r="Z160">
        <f>HYPERLINK("https://klasma.github.io/Logging_080883/fåglar/A 26985-2025 prioriterade fågelarter.docx", "A 26985-2025")</f>
        <v/>
      </c>
    </row>
    <row r="161" ht="15" customHeight="1">
      <c r="A161" t="inlineStr">
        <is>
          <t>A 62128-2019</t>
        </is>
      </c>
      <c r="B161" s="1" t="n">
        <v>43782</v>
      </c>
      <c r="C161" s="1" t="n">
        <v>45822</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45822</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45822</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45822</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45822</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45822</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45822</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45822</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45822</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45822</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45822</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45822</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45822</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45822</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45822</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45822</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45822</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45822</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45822</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45822</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45822</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45822</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45822</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45822</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45822</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45822</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45822</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45822</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45822</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45822</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45822</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45822</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45822</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45822</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45822</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45822</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45822</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45822</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45822</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45822</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45822</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45822</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45822</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45822</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45822</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45822</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45822</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45822</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45822</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45822</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45822</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45822</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45822</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45822</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45822</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45822</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45822</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45822</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45822</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45822</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45822</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45822</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45822</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45822</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45822</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45822</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45822</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45822</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45822</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45822</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45822</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45822</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45822</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45822</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45822</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45822</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45822</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45822</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45822</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45822</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45822</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45822</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45822</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45822</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45822</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45822</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45822</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45822</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45822</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45822</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45822</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45822</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45822</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45822</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45822</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45822</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45822</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45822</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45822</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45822</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45822</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45822</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45822</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45822</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20233-2021</t>
        </is>
      </c>
      <c r="B265" s="1" t="n">
        <v>44314</v>
      </c>
      <c r="C265" s="1" t="n">
        <v>45822</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24048-2021</t>
        </is>
      </c>
      <c r="B266" s="1" t="n">
        <v>44336</v>
      </c>
      <c r="C266" s="1" t="n">
        <v>45822</v>
      </c>
      <c r="D266" t="inlineStr">
        <is>
          <t>KALMAR LÄN</t>
        </is>
      </c>
      <c r="E266" t="inlineStr">
        <is>
          <t>VÄSTERVIK</t>
        </is>
      </c>
      <c r="G266" t="n">
        <v>3.5</v>
      </c>
      <c r="H266" t="n">
        <v>1</v>
      </c>
      <c r="I266" t="n">
        <v>0</v>
      </c>
      <c r="J266" t="n">
        <v>0</v>
      </c>
      <c r="K266" t="n">
        <v>1</v>
      </c>
      <c r="L266" t="n">
        <v>0</v>
      </c>
      <c r="M266" t="n">
        <v>0</v>
      </c>
      <c r="N266" t="n">
        <v>0</v>
      </c>
      <c r="O266" t="n">
        <v>1</v>
      </c>
      <c r="P266" t="n">
        <v>1</v>
      </c>
      <c r="Q266" t="n">
        <v>1</v>
      </c>
      <c r="R266" s="2" t="inlineStr">
        <is>
          <t>Knärot</t>
        </is>
      </c>
      <c r="S266">
        <f>HYPERLINK("https://klasma.github.io/Logging_0883/artfynd/A 24048-2021 artfynd.xlsx", "A 24048-2021")</f>
        <v/>
      </c>
      <c r="T266">
        <f>HYPERLINK("https://klasma.github.io/Logging_0883/kartor/A 24048-2021 karta.png", "A 24048-2021")</f>
        <v/>
      </c>
      <c r="U266">
        <f>HYPERLINK("https://klasma.github.io/Logging_0883/knärot/A 24048-2021 karta knärot.png", "A 24048-2021")</f>
        <v/>
      </c>
      <c r="V266">
        <f>HYPERLINK("https://klasma.github.io/Logging_0883/klagomål/A 24048-2021 FSC-klagomål.docx", "A 24048-2021")</f>
        <v/>
      </c>
      <c r="W266">
        <f>HYPERLINK("https://klasma.github.io/Logging_0883/klagomålsmail/A 24048-2021 FSC-klagomål mail.docx", "A 24048-2021")</f>
        <v/>
      </c>
      <c r="X266">
        <f>HYPERLINK("https://klasma.github.io/Logging_0883/tillsyn/A 24048-2021 tillsynsbegäran.docx", "A 24048-2021")</f>
        <v/>
      </c>
      <c r="Y266">
        <f>HYPERLINK("https://klasma.github.io/Logging_0883/tillsynsmail/A 24048-2021 tillsynsbegäran mail.docx", "A 24048-2021")</f>
        <v/>
      </c>
    </row>
    <row r="267" ht="15" customHeight="1">
      <c r="A267" t="inlineStr">
        <is>
          <t>A 25447-2021</t>
        </is>
      </c>
      <c r="B267" s="1" t="n">
        <v>44342</v>
      </c>
      <c r="C267" s="1" t="n">
        <v>45822</v>
      </c>
      <c r="D267" t="inlineStr">
        <is>
          <t>KALMAR LÄN</t>
        </is>
      </c>
      <c r="E267" t="inlineStr">
        <is>
          <t>VÄSTERVIK</t>
        </is>
      </c>
      <c r="F267" t="inlineStr">
        <is>
          <t>Holmen skog AB</t>
        </is>
      </c>
      <c r="G267" t="n">
        <v>9</v>
      </c>
      <c r="H267" t="n">
        <v>1</v>
      </c>
      <c r="I267" t="n">
        <v>0</v>
      </c>
      <c r="J267" t="n">
        <v>0</v>
      </c>
      <c r="K267" t="n">
        <v>1</v>
      </c>
      <c r="L267" t="n">
        <v>0</v>
      </c>
      <c r="M267" t="n">
        <v>0</v>
      </c>
      <c r="N267" t="n">
        <v>0</v>
      </c>
      <c r="O267" t="n">
        <v>1</v>
      </c>
      <c r="P267" t="n">
        <v>1</v>
      </c>
      <c r="Q267" t="n">
        <v>1</v>
      </c>
      <c r="R267" s="2" t="inlineStr">
        <is>
          <t>Knärot</t>
        </is>
      </c>
      <c r="S267">
        <f>HYPERLINK("https://klasma.github.io/Logging_0883/artfynd/A 25447-2021 artfynd.xlsx", "A 25447-2021")</f>
        <v/>
      </c>
      <c r="T267">
        <f>HYPERLINK("https://klasma.github.io/Logging_0883/kartor/A 25447-2021 karta.png", "A 25447-2021")</f>
        <v/>
      </c>
      <c r="U267">
        <f>HYPERLINK("https://klasma.github.io/Logging_0883/knärot/A 25447-2021 karta knärot.png", "A 25447-2021")</f>
        <v/>
      </c>
      <c r="V267">
        <f>HYPERLINK("https://klasma.github.io/Logging_0883/klagomål/A 25447-2021 FSC-klagomål.docx", "A 25447-2021")</f>
        <v/>
      </c>
      <c r="W267">
        <f>HYPERLINK("https://klasma.github.io/Logging_0883/klagomålsmail/A 25447-2021 FSC-klagomål mail.docx", "A 25447-2021")</f>
        <v/>
      </c>
      <c r="X267">
        <f>HYPERLINK("https://klasma.github.io/Logging_0883/tillsyn/A 25447-2021 tillsynsbegäran.docx", "A 25447-2021")</f>
        <v/>
      </c>
      <c r="Y267">
        <f>HYPERLINK("https://klasma.github.io/Logging_0883/tillsynsmail/A 25447-2021 tillsynsbegäran mail.docx", "A 25447-2021")</f>
        <v/>
      </c>
    </row>
    <row r="268" ht="15" customHeight="1">
      <c r="A268" t="inlineStr">
        <is>
          <t>A 25594-2021</t>
        </is>
      </c>
      <c r="B268" s="1" t="n">
        <v>44343</v>
      </c>
      <c r="C268" s="1" t="n">
        <v>45822</v>
      </c>
      <c r="D268" t="inlineStr">
        <is>
          <t>KALMAR LÄN</t>
        </is>
      </c>
      <c r="E268" t="inlineStr">
        <is>
          <t>VÄSTERVIK</t>
        </is>
      </c>
      <c r="F268" t="inlineStr">
        <is>
          <t>Holmen skog AB</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HYPERLINK("https://klasma.github.io/Logging_0883/artfynd/A 25594-2021 artfynd.xlsx", "A 25594-2021")</f>
        <v/>
      </c>
      <c r="T268">
        <f>HYPERLINK("https://klasma.github.io/Logging_0883/kartor/A 25594-2021 karta.png", "A 25594-2021")</f>
        <v/>
      </c>
      <c r="U268">
        <f>HYPERLINK("https://klasma.github.io/Logging_0883/knärot/A 25594-2021 karta knärot.png", "A 25594-2021")</f>
        <v/>
      </c>
      <c r="V268">
        <f>HYPERLINK("https://klasma.github.io/Logging_0883/klagomål/A 25594-2021 FSC-klagomål.docx", "A 25594-2021")</f>
        <v/>
      </c>
      <c r="W268">
        <f>HYPERLINK("https://klasma.github.io/Logging_0883/klagomålsmail/A 25594-2021 FSC-klagomål mail.docx", "A 25594-2021")</f>
        <v/>
      </c>
      <c r="X268">
        <f>HYPERLINK("https://klasma.github.io/Logging_0883/tillsyn/A 25594-2021 tillsynsbegäran.docx", "A 25594-2021")</f>
        <v/>
      </c>
      <c r="Y268">
        <f>HYPERLINK("https://klasma.github.io/Logging_0883/tillsynsmail/A 25594-2021 tillsynsbegäran mail.docx", "A 25594-2021")</f>
        <v/>
      </c>
    </row>
    <row r="269" ht="15" customHeight="1">
      <c r="A269" t="inlineStr">
        <is>
          <t>A 29455-2021</t>
        </is>
      </c>
      <c r="B269" s="1" t="n">
        <v>44361</v>
      </c>
      <c r="C269" s="1" t="n">
        <v>45822</v>
      </c>
      <c r="D269" t="inlineStr">
        <is>
          <t>KALMAR LÄN</t>
        </is>
      </c>
      <c r="E269" t="inlineStr">
        <is>
          <t>VÄSTERVIK</t>
        </is>
      </c>
      <c r="F269" t="inlineStr">
        <is>
          <t>Övriga Aktiebolag</t>
        </is>
      </c>
      <c r="G269" t="n">
        <v>3.1</v>
      </c>
      <c r="H269" t="n">
        <v>1</v>
      </c>
      <c r="I269" t="n">
        <v>0</v>
      </c>
      <c r="J269" t="n">
        <v>0</v>
      </c>
      <c r="K269" t="n">
        <v>1</v>
      </c>
      <c r="L269" t="n">
        <v>0</v>
      </c>
      <c r="M269" t="n">
        <v>0</v>
      </c>
      <c r="N269" t="n">
        <v>0</v>
      </c>
      <c r="O269" t="n">
        <v>1</v>
      </c>
      <c r="P269" t="n">
        <v>1</v>
      </c>
      <c r="Q269" t="n">
        <v>1</v>
      </c>
      <c r="R269" s="2" t="inlineStr">
        <is>
          <t>Knärot</t>
        </is>
      </c>
      <c r="S269">
        <f>HYPERLINK("https://klasma.github.io/Logging_0883/artfynd/A 29455-2021 artfynd.xlsx", "A 29455-2021")</f>
        <v/>
      </c>
      <c r="T269">
        <f>HYPERLINK("https://klasma.github.io/Logging_0883/kartor/A 29455-2021 karta.png", "A 29455-2021")</f>
        <v/>
      </c>
      <c r="U269">
        <f>HYPERLINK("https://klasma.github.io/Logging_0883/knärot/A 29455-2021 karta knärot.png", "A 29455-2021")</f>
        <v/>
      </c>
      <c r="V269">
        <f>HYPERLINK("https://klasma.github.io/Logging_0883/klagomål/A 29455-2021 FSC-klagomål.docx", "A 29455-2021")</f>
        <v/>
      </c>
      <c r="W269">
        <f>HYPERLINK("https://klasma.github.io/Logging_0883/klagomålsmail/A 29455-2021 FSC-klagomål mail.docx", "A 29455-2021")</f>
        <v/>
      </c>
      <c r="X269">
        <f>HYPERLINK("https://klasma.github.io/Logging_0883/tillsyn/A 29455-2021 tillsynsbegäran.docx", "A 29455-2021")</f>
        <v/>
      </c>
      <c r="Y269">
        <f>HYPERLINK("https://klasma.github.io/Logging_0883/tillsynsmail/A 29455-2021 tillsynsbegäran mail.docx", "A 29455-2021")</f>
        <v/>
      </c>
    </row>
    <row r="270" ht="15" customHeight="1">
      <c r="A270" t="inlineStr">
        <is>
          <t>A 31315-2021</t>
        </is>
      </c>
      <c r="B270" s="1" t="n">
        <v>44368</v>
      </c>
      <c r="C270" s="1" t="n">
        <v>45822</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31315-2021 artfynd.xlsx", "A 31315-2021")</f>
        <v/>
      </c>
      <c r="T270">
        <f>HYPERLINK("https://klasma.github.io/Logging_0883/kartor/A 31315-2021 karta.png", "A 31315-2021")</f>
        <v/>
      </c>
      <c r="U270">
        <f>HYPERLINK("https://klasma.github.io/Logging_0883/knärot/A 31315-2021 karta knärot.png", "A 31315-2021")</f>
        <v/>
      </c>
      <c r="V270">
        <f>HYPERLINK("https://klasma.github.io/Logging_0883/klagomål/A 31315-2021 FSC-klagomål.docx", "A 31315-2021")</f>
        <v/>
      </c>
      <c r="W270">
        <f>HYPERLINK("https://klasma.github.io/Logging_0883/klagomålsmail/A 31315-2021 FSC-klagomål mail.docx", "A 31315-2021")</f>
        <v/>
      </c>
      <c r="X270">
        <f>HYPERLINK("https://klasma.github.io/Logging_0883/tillsyn/A 31315-2021 tillsynsbegäran.docx", "A 31315-2021")</f>
        <v/>
      </c>
      <c r="Y270">
        <f>HYPERLINK("https://klasma.github.io/Logging_0883/tillsynsmail/A 31315-2021 tillsynsbegäran mail.docx", "A 31315-2021")</f>
        <v/>
      </c>
    </row>
    <row r="271" ht="15" customHeight="1">
      <c r="A271" t="inlineStr">
        <is>
          <t>A 44635-2021</t>
        </is>
      </c>
      <c r="B271" s="1" t="n">
        <v>44437</v>
      </c>
      <c r="C271" s="1" t="n">
        <v>45822</v>
      </c>
      <c r="D271" t="inlineStr">
        <is>
          <t>KALMAR LÄN</t>
        </is>
      </c>
      <c r="E271" t="inlineStr">
        <is>
          <t>VÄSTERVIK</t>
        </is>
      </c>
      <c r="G271" t="n">
        <v>0.9</v>
      </c>
      <c r="H271" t="n">
        <v>0</v>
      </c>
      <c r="I271" t="n">
        <v>1</v>
      </c>
      <c r="J271" t="n">
        <v>0</v>
      </c>
      <c r="K271" t="n">
        <v>0</v>
      </c>
      <c r="L271" t="n">
        <v>0</v>
      </c>
      <c r="M271" t="n">
        <v>0</v>
      </c>
      <c r="N271" t="n">
        <v>0</v>
      </c>
      <c r="O271" t="n">
        <v>0</v>
      </c>
      <c r="P271" t="n">
        <v>0</v>
      </c>
      <c r="Q271" t="n">
        <v>1</v>
      </c>
      <c r="R271" s="2" t="inlineStr">
        <is>
          <t>Brandticka</t>
        </is>
      </c>
      <c r="S271">
        <f>HYPERLINK("https://klasma.github.io/Logging_0883/artfynd/A 44635-2021 artfynd.xlsx", "A 44635-2021")</f>
        <v/>
      </c>
      <c r="T271">
        <f>HYPERLINK("https://klasma.github.io/Logging_0883/kartor/A 44635-2021 karta.png", "A 44635-2021")</f>
        <v/>
      </c>
      <c r="V271">
        <f>HYPERLINK("https://klasma.github.io/Logging_0883/klagomål/A 44635-2021 FSC-klagomål.docx", "A 44635-2021")</f>
        <v/>
      </c>
      <c r="W271">
        <f>HYPERLINK("https://klasma.github.io/Logging_0883/klagomålsmail/A 44635-2021 FSC-klagomål mail.docx", "A 44635-2021")</f>
        <v/>
      </c>
      <c r="X271">
        <f>HYPERLINK("https://klasma.github.io/Logging_0883/tillsyn/A 44635-2021 tillsynsbegäran.docx", "A 44635-2021")</f>
        <v/>
      </c>
      <c r="Y271">
        <f>HYPERLINK("https://klasma.github.io/Logging_0883/tillsynsmail/A 44635-2021 tillsynsbegäran mail.docx", "A 44635-2021")</f>
        <v/>
      </c>
    </row>
    <row r="272" ht="15" customHeight="1">
      <c r="A272" t="inlineStr">
        <is>
          <t>A 47860-2021</t>
        </is>
      </c>
      <c r="B272" s="1" t="n">
        <v>44448</v>
      </c>
      <c r="C272" s="1" t="n">
        <v>45822</v>
      </c>
      <c r="D272" t="inlineStr">
        <is>
          <t>KALMAR LÄN</t>
        </is>
      </c>
      <c r="E272" t="inlineStr">
        <is>
          <t>VÄSTERVIK</t>
        </is>
      </c>
      <c r="G272" t="n">
        <v>2.8</v>
      </c>
      <c r="H272" t="n">
        <v>0</v>
      </c>
      <c r="I272" t="n">
        <v>0</v>
      </c>
      <c r="J272" t="n">
        <v>1</v>
      </c>
      <c r="K272" t="n">
        <v>0</v>
      </c>
      <c r="L272" t="n">
        <v>0</v>
      </c>
      <c r="M272" t="n">
        <v>0</v>
      </c>
      <c r="N272" t="n">
        <v>0</v>
      </c>
      <c r="O272" t="n">
        <v>1</v>
      </c>
      <c r="P272" t="n">
        <v>0</v>
      </c>
      <c r="Q272" t="n">
        <v>1</v>
      </c>
      <c r="R272" s="2" t="inlineStr">
        <is>
          <t>Tallticka</t>
        </is>
      </c>
      <c r="S272">
        <f>HYPERLINK("https://klasma.github.io/Logging_0883/artfynd/A 47860-2021 artfynd.xlsx", "A 47860-2021")</f>
        <v/>
      </c>
      <c r="T272">
        <f>HYPERLINK("https://klasma.github.io/Logging_0883/kartor/A 47860-2021 karta.png", "A 47860-2021")</f>
        <v/>
      </c>
      <c r="V272">
        <f>HYPERLINK("https://klasma.github.io/Logging_0883/klagomål/A 47860-2021 FSC-klagomål.docx", "A 47860-2021")</f>
        <v/>
      </c>
      <c r="W272">
        <f>HYPERLINK("https://klasma.github.io/Logging_0883/klagomålsmail/A 47860-2021 FSC-klagomål mail.docx", "A 47860-2021")</f>
        <v/>
      </c>
      <c r="X272">
        <f>HYPERLINK("https://klasma.github.io/Logging_0883/tillsyn/A 47860-2021 tillsynsbegäran.docx", "A 47860-2021")</f>
        <v/>
      </c>
      <c r="Y272">
        <f>HYPERLINK("https://klasma.github.io/Logging_0883/tillsynsmail/A 47860-2021 tillsynsbegäran mail.docx", "A 47860-2021")</f>
        <v/>
      </c>
    </row>
    <row r="273" ht="15" customHeight="1">
      <c r="A273" t="inlineStr">
        <is>
          <t>A 52831-2021</t>
        </is>
      </c>
      <c r="B273" s="1" t="n">
        <v>44467</v>
      </c>
      <c r="C273" s="1" t="n">
        <v>45822</v>
      </c>
      <c r="D273" t="inlineStr">
        <is>
          <t>KALMAR LÄN</t>
        </is>
      </c>
      <c r="E273" t="inlineStr">
        <is>
          <t>VÄSTERVIK</t>
        </is>
      </c>
      <c r="G273" t="n">
        <v>0.8</v>
      </c>
      <c r="H273" t="n">
        <v>0</v>
      </c>
      <c r="I273" t="n">
        <v>0</v>
      </c>
      <c r="J273" t="n">
        <v>1</v>
      </c>
      <c r="K273" t="n">
        <v>0</v>
      </c>
      <c r="L273" t="n">
        <v>0</v>
      </c>
      <c r="M273" t="n">
        <v>0</v>
      </c>
      <c r="N273" t="n">
        <v>0</v>
      </c>
      <c r="O273" t="n">
        <v>1</v>
      </c>
      <c r="P273" t="n">
        <v>0</v>
      </c>
      <c r="Q273" t="n">
        <v>1</v>
      </c>
      <c r="R273" s="2" t="inlineStr">
        <is>
          <t>Tallticka</t>
        </is>
      </c>
      <c r="S273">
        <f>HYPERLINK("https://klasma.github.io/Logging_0883/artfynd/A 52831-2021 artfynd.xlsx", "A 52831-2021")</f>
        <v/>
      </c>
      <c r="T273">
        <f>HYPERLINK("https://klasma.github.io/Logging_0883/kartor/A 52831-2021 karta.png", "A 52831-2021")</f>
        <v/>
      </c>
      <c r="V273">
        <f>HYPERLINK("https://klasma.github.io/Logging_0883/klagomål/A 52831-2021 FSC-klagomål.docx", "A 52831-2021")</f>
        <v/>
      </c>
      <c r="W273">
        <f>HYPERLINK("https://klasma.github.io/Logging_0883/klagomålsmail/A 52831-2021 FSC-klagomål mail.docx", "A 52831-2021")</f>
        <v/>
      </c>
      <c r="X273">
        <f>HYPERLINK("https://klasma.github.io/Logging_0883/tillsyn/A 52831-2021 tillsynsbegäran.docx", "A 52831-2021")</f>
        <v/>
      </c>
      <c r="Y273">
        <f>HYPERLINK("https://klasma.github.io/Logging_0883/tillsynsmail/A 52831-2021 tillsynsbegäran mail.docx", "A 52831-2021")</f>
        <v/>
      </c>
    </row>
    <row r="274" ht="15" customHeight="1">
      <c r="A274" t="inlineStr">
        <is>
          <t>A 53738-2021</t>
        </is>
      </c>
      <c r="B274" s="1" t="n">
        <v>44467</v>
      </c>
      <c r="C274" s="1" t="n">
        <v>45822</v>
      </c>
      <c r="D274" t="inlineStr">
        <is>
          <t>KALMAR LÄN</t>
        </is>
      </c>
      <c r="E274" t="inlineStr">
        <is>
          <t>VÄSTERVIK</t>
        </is>
      </c>
      <c r="G274" t="n">
        <v>2.8</v>
      </c>
      <c r="H274" t="n">
        <v>1</v>
      </c>
      <c r="I274" t="n">
        <v>0</v>
      </c>
      <c r="J274" t="n">
        <v>0</v>
      </c>
      <c r="K274" t="n">
        <v>1</v>
      </c>
      <c r="L274" t="n">
        <v>0</v>
      </c>
      <c r="M274" t="n">
        <v>0</v>
      </c>
      <c r="N274" t="n">
        <v>0</v>
      </c>
      <c r="O274" t="n">
        <v>1</v>
      </c>
      <c r="P274" t="n">
        <v>1</v>
      </c>
      <c r="Q274" t="n">
        <v>1</v>
      </c>
      <c r="R274" s="2" t="inlineStr">
        <is>
          <t>Knärot</t>
        </is>
      </c>
      <c r="S274">
        <f>HYPERLINK("https://klasma.github.io/Logging_0883/artfynd/A 53738-2021 artfynd.xlsx", "A 53738-2021")</f>
        <v/>
      </c>
      <c r="T274">
        <f>HYPERLINK("https://klasma.github.io/Logging_0883/kartor/A 53738-2021 karta.png", "A 53738-2021")</f>
        <v/>
      </c>
      <c r="U274">
        <f>HYPERLINK("https://klasma.github.io/Logging_0883/knärot/A 53738-2021 karta knärot.png", "A 53738-2021")</f>
        <v/>
      </c>
      <c r="V274">
        <f>HYPERLINK("https://klasma.github.io/Logging_0883/klagomål/A 53738-2021 FSC-klagomål.docx", "A 53738-2021")</f>
        <v/>
      </c>
      <c r="W274">
        <f>HYPERLINK("https://klasma.github.io/Logging_0883/klagomålsmail/A 53738-2021 FSC-klagomål mail.docx", "A 53738-2021")</f>
        <v/>
      </c>
      <c r="X274">
        <f>HYPERLINK("https://klasma.github.io/Logging_0883/tillsyn/A 53738-2021 tillsynsbegäran.docx", "A 53738-2021")</f>
        <v/>
      </c>
      <c r="Y274">
        <f>HYPERLINK("https://klasma.github.io/Logging_0883/tillsynsmail/A 53738-2021 tillsynsbegäran mail.docx", "A 53738-2021")</f>
        <v/>
      </c>
    </row>
    <row r="275" ht="15" customHeight="1">
      <c r="A275" t="inlineStr">
        <is>
          <t>A 56618-2021</t>
        </is>
      </c>
      <c r="B275" s="1" t="n">
        <v>44480</v>
      </c>
      <c r="C275" s="1" t="n">
        <v>45822</v>
      </c>
      <c r="D275" t="inlineStr">
        <is>
          <t>KALMAR LÄN</t>
        </is>
      </c>
      <c r="E275" t="inlineStr">
        <is>
          <t>VÄSTERVIK</t>
        </is>
      </c>
      <c r="G275" t="n">
        <v>1.5</v>
      </c>
      <c r="H275" t="n">
        <v>0</v>
      </c>
      <c r="I275" t="n">
        <v>0</v>
      </c>
      <c r="J275" t="n">
        <v>1</v>
      </c>
      <c r="K275" t="n">
        <v>0</v>
      </c>
      <c r="L275" t="n">
        <v>0</v>
      </c>
      <c r="M275" t="n">
        <v>0</v>
      </c>
      <c r="N275" t="n">
        <v>0</v>
      </c>
      <c r="O275" t="n">
        <v>1</v>
      </c>
      <c r="P275" t="n">
        <v>0</v>
      </c>
      <c r="Q275" t="n">
        <v>1</v>
      </c>
      <c r="R275" s="2" t="inlineStr">
        <is>
          <t>Tallticka</t>
        </is>
      </c>
      <c r="S275">
        <f>HYPERLINK("https://klasma.github.io/Logging_0883/artfynd/A 56618-2021 artfynd.xlsx", "A 56618-2021")</f>
        <v/>
      </c>
      <c r="T275">
        <f>HYPERLINK("https://klasma.github.io/Logging_0883/kartor/A 56618-2021 karta.png", "A 56618-2021")</f>
        <v/>
      </c>
      <c r="V275">
        <f>HYPERLINK("https://klasma.github.io/Logging_0883/klagomål/A 56618-2021 FSC-klagomål.docx", "A 56618-2021")</f>
        <v/>
      </c>
      <c r="W275">
        <f>HYPERLINK("https://klasma.github.io/Logging_0883/klagomålsmail/A 56618-2021 FSC-klagomål mail.docx", "A 56618-2021")</f>
        <v/>
      </c>
      <c r="X275">
        <f>HYPERLINK("https://klasma.github.io/Logging_0883/tillsyn/A 56618-2021 tillsynsbegäran.docx", "A 56618-2021")</f>
        <v/>
      </c>
      <c r="Y275">
        <f>HYPERLINK("https://klasma.github.io/Logging_0883/tillsynsmail/A 56618-2021 tillsynsbegäran mail.docx", "A 56618-2021")</f>
        <v/>
      </c>
    </row>
    <row r="276" ht="15" customHeight="1">
      <c r="A276" t="inlineStr">
        <is>
          <t>A 61319-2021</t>
        </is>
      </c>
      <c r="B276" s="1" t="n">
        <v>44498</v>
      </c>
      <c r="C276" s="1" t="n">
        <v>45822</v>
      </c>
      <c r="D276" t="inlineStr">
        <is>
          <t>KALMAR LÄN</t>
        </is>
      </c>
      <c r="E276" t="inlineStr">
        <is>
          <t>VÄSTERVIK</t>
        </is>
      </c>
      <c r="G276" t="n">
        <v>2.2</v>
      </c>
      <c r="H276" t="n">
        <v>1</v>
      </c>
      <c r="I276" t="n">
        <v>1</v>
      </c>
      <c r="J276" t="n">
        <v>0</v>
      </c>
      <c r="K276" t="n">
        <v>0</v>
      </c>
      <c r="L276" t="n">
        <v>0</v>
      </c>
      <c r="M276" t="n">
        <v>0</v>
      </c>
      <c r="N276" t="n">
        <v>0</v>
      </c>
      <c r="O276" t="n">
        <v>0</v>
      </c>
      <c r="P276" t="n">
        <v>0</v>
      </c>
      <c r="Q276" t="n">
        <v>1</v>
      </c>
      <c r="R276" s="2" t="inlineStr">
        <is>
          <t>Ekoxe</t>
        </is>
      </c>
      <c r="S276">
        <f>HYPERLINK("https://klasma.github.io/Logging_0883/artfynd/A 61319-2021 artfynd.xlsx", "A 61319-2021")</f>
        <v/>
      </c>
      <c r="T276">
        <f>HYPERLINK("https://klasma.github.io/Logging_0883/kartor/A 61319-2021 karta.png", "A 61319-2021")</f>
        <v/>
      </c>
      <c r="V276">
        <f>HYPERLINK("https://klasma.github.io/Logging_0883/klagomål/A 61319-2021 FSC-klagomål.docx", "A 61319-2021")</f>
        <v/>
      </c>
      <c r="W276">
        <f>HYPERLINK("https://klasma.github.io/Logging_0883/klagomålsmail/A 61319-2021 FSC-klagomål mail.docx", "A 61319-2021")</f>
        <v/>
      </c>
      <c r="X276">
        <f>HYPERLINK("https://klasma.github.io/Logging_0883/tillsyn/A 61319-2021 tillsynsbegäran.docx", "A 61319-2021")</f>
        <v/>
      </c>
      <c r="Y276">
        <f>HYPERLINK("https://klasma.github.io/Logging_0883/tillsynsmail/A 61319-2021 tillsynsbegäran mail.docx", "A 61319-2021")</f>
        <v/>
      </c>
    </row>
    <row r="277" ht="15" customHeight="1">
      <c r="A277" t="inlineStr">
        <is>
          <t>A 1677-2022</t>
        </is>
      </c>
      <c r="B277" s="1" t="n">
        <v>44574</v>
      </c>
      <c r="C277" s="1" t="n">
        <v>45822</v>
      </c>
      <c r="D277" t="inlineStr">
        <is>
          <t>KALMAR LÄN</t>
        </is>
      </c>
      <c r="E277" t="inlineStr">
        <is>
          <t>VÄSTERVIK</t>
        </is>
      </c>
      <c r="G277" t="n">
        <v>3.3</v>
      </c>
      <c r="H277" t="n">
        <v>1</v>
      </c>
      <c r="I277" t="n">
        <v>0</v>
      </c>
      <c r="J277" t="n">
        <v>0</v>
      </c>
      <c r="K277" t="n">
        <v>1</v>
      </c>
      <c r="L277" t="n">
        <v>0</v>
      </c>
      <c r="M277" t="n">
        <v>0</v>
      </c>
      <c r="N277" t="n">
        <v>0</v>
      </c>
      <c r="O277" t="n">
        <v>1</v>
      </c>
      <c r="P277" t="n">
        <v>1</v>
      </c>
      <c r="Q277" t="n">
        <v>1</v>
      </c>
      <c r="R277" s="2" t="inlineStr">
        <is>
          <t>Knärot</t>
        </is>
      </c>
      <c r="S277">
        <f>HYPERLINK("https://klasma.github.io/Logging_0883/artfynd/A 1677-2022 artfynd.xlsx", "A 1677-2022")</f>
        <v/>
      </c>
      <c r="T277">
        <f>HYPERLINK("https://klasma.github.io/Logging_0883/kartor/A 1677-2022 karta.png", "A 1677-2022")</f>
        <v/>
      </c>
      <c r="U277">
        <f>HYPERLINK("https://klasma.github.io/Logging_0883/knärot/A 1677-2022 karta knärot.png", "A 1677-2022")</f>
        <v/>
      </c>
      <c r="V277">
        <f>HYPERLINK("https://klasma.github.io/Logging_0883/klagomål/A 1677-2022 FSC-klagomål.docx", "A 1677-2022")</f>
        <v/>
      </c>
      <c r="W277">
        <f>HYPERLINK("https://klasma.github.io/Logging_0883/klagomålsmail/A 1677-2022 FSC-klagomål mail.docx", "A 1677-2022")</f>
        <v/>
      </c>
      <c r="X277">
        <f>HYPERLINK("https://klasma.github.io/Logging_0883/tillsyn/A 1677-2022 tillsynsbegäran.docx", "A 1677-2022")</f>
        <v/>
      </c>
      <c r="Y277">
        <f>HYPERLINK("https://klasma.github.io/Logging_0883/tillsynsmail/A 1677-2022 tillsynsbegäran mail.docx", "A 1677-2022")</f>
        <v/>
      </c>
    </row>
    <row r="278" ht="15" customHeight="1">
      <c r="A278" t="inlineStr">
        <is>
          <t>A 11609-2022</t>
        </is>
      </c>
      <c r="B278" s="1" t="n">
        <v>44631</v>
      </c>
      <c r="C278" s="1" t="n">
        <v>45822</v>
      </c>
      <c r="D278" t="inlineStr">
        <is>
          <t>KALMAR LÄN</t>
        </is>
      </c>
      <c r="E278" t="inlineStr">
        <is>
          <t>VÄSTERVIK</t>
        </is>
      </c>
      <c r="F278" t="inlineStr">
        <is>
          <t>Holmen skog AB</t>
        </is>
      </c>
      <c r="G278" t="n">
        <v>3.2</v>
      </c>
      <c r="H278" t="n">
        <v>0</v>
      </c>
      <c r="I278" t="n">
        <v>0</v>
      </c>
      <c r="J278" t="n">
        <v>1</v>
      </c>
      <c r="K278" t="n">
        <v>0</v>
      </c>
      <c r="L278" t="n">
        <v>0</v>
      </c>
      <c r="M278" t="n">
        <v>0</v>
      </c>
      <c r="N278" t="n">
        <v>0</v>
      </c>
      <c r="O278" t="n">
        <v>1</v>
      </c>
      <c r="P278" t="n">
        <v>0</v>
      </c>
      <c r="Q278" t="n">
        <v>1</v>
      </c>
      <c r="R278" s="2" t="inlineStr">
        <is>
          <t>Tallticka</t>
        </is>
      </c>
      <c r="S278">
        <f>HYPERLINK("https://klasma.github.io/Logging_0883/artfynd/A 11609-2022 artfynd.xlsx", "A 11609-2022")</f>
        <v/>
      </c>
      <c r="T278">
        <f>HYPERLINK("https://klasma.github.io/Logging_0883/kartor/A 11609-2022 karta.png", "A 11609-2022")</f>
        <v/>
      </c>
      <c r="U278">
        <f>HYPERLINK("https://klasma.github.io/Logging_0883/knärot/A 11609-2022 karta knärot.png", "A 11609-2022")</f>
        <v/>
      </c>
      <c r="V278">
        <f>HYPERLINK("https://klasma.github.io/Logging_0883/klagomål/A 11609-2022 FSC-klagomål.docx", "A 11609-2022")</f>
        <v/>
      </c>
      <c r="W278">
        <f>HYPERLINK("https://klasma.github.io/Logging_0883/klagomålsmail/A 11609-2022 FSC-klagomål mail.docx", "A 11609-2022")</f>
        <v/>
      </c>
      <c r="X278">
        <f>HYPERLINK("https://klasma.github.io/Logging_0883/tillsyn/A 11609-2022 tillsynsbegäran.docx", "A 11609-2022")</f>
        <v/>
      </c>
      <c r="Y278">
        <f>HYPERLINK("https://klasma.github.io/Logging_0883/tillsynsmail/A 11609-2022 tillsynsbegäran mail.docx", "A 11609-2022")</f>
        <v/>
      </c>
    </row>
    <row r="279" ht="15" customHeight="1">
      <c r="A279" t="inlineStr">
        <is>
          <t>A 12662-2022</t>
        </is>
      </c>
      <c r="B279" s="1" t="n">
        <v>44641</v>
      </c>
      <c r="C279" s="1" t="n">
        <v>45822</v>
      </c>
      <c r="D279" t="inlineStr">
        <is>
          <t>KALMAR LÄN</t>
        </is>
      </c>
      <c r="E279" t="inlineStr">
        <is>
          <t>VÄSTERVIK</t>
        </is>
      </c>
      <c r="G279" t="n">
        <v>2.1</v>
      </c>
      <c r="H279" t="n">
        <v>0</v>
      </c>
      <c r="I279" t="n">
        <v>1</v>
      </c>
      <c r="J279" t="n">
        <v>0</v>
      </c>
      <c r="K279" t="n">
        <v>0</v>
      </c>
      <c r="L279" t="n">
        <v>0</v>
      </c>
      <c r="M279" t="n">
        <v>0</v>
      </c>
      <c r="N279" t="n">
        <v>0</v>
      </c>
      <c r="O279" t="n">
        <v>0</v>
      </c>
      <c r="P279" t="n">
        <v>0</v>
      </c>
      <c r="Q279" t="n">
        <v>1</v>
      </c>
      <c r="R279" s="2" t="inlineStr">
        <is>
          <t>Blåmossa</t>
        </is>
      </c>
      <c r="S279">
        <f>HYPERLINK("https://klasma.github.io/Logging_0883/artfynd/A 12662-2022 artfynd.xlsx", "A 12662-2022")</f>
        <v/>
      </c>
      <c r="T279">
        <f>HYPERLINK("https://klasma.github.io/Logging_0883/kartor/A 12662-2022 karta.png", "A 12662-2022")</f>
        <v/>
      </c>
      <c r="V279">
        <f>HYPERLINK("https://klasma.github.io/Logging_0883/klagomål/A 12662-2022 FSC-klagomål.docx", "A 12662-2022")</f>
        <v/>
      </c>
      <c r="W279">
        <f>HYPERLINK("https://klasma.github.io/Logging_0883/klagomålsmail/A 12662-2022 FSC-klagomål mail.docx", "A 12662-2022")</f>
        <v/>
      </c>
      <c r="X279">
        <f>HYPERLINK("https://klasma.github.io/Logging_0883/tillsyn/A 12662-2022 tillsynsbegäran.docx", "A 12662-2022")</f>
        <v/>
      </c>
      <c r="Y279">
        <f>HYPERLINK("https://klasma.github.io/Logging_0883/tillsynsmail/A 12662-2022 tillsynsbegäran mail.docx", "A 12662-2022")</f>
        <v/>
      </c>
    </row>
    <row r="280" ht="15" customHeight="1">
      <c r="A280" t="inlineStr">
        <is>
          <t>A 15378-2022</t>
        </is>
      </c>
      <c r="B280" s="1" t="n">
        <v>44659</v>
      </c>
      <c r="C280" s="1" t="n">
        <v>45822</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Klofibbla</t>
        </is>
      </c>
      <c r="S280">
        <f>HYPERLINK("https://klasma.github.io/Logging_0883/artfynd/A 15378-2022 artfynd.xlsx", "A 15378-2022")</f>
        <v/>
      </c>
      <c r="T280">
        <f>HYPERLINK("https://klasma.github.io/Logging_0883/kartor/A 15378-2022 karta.png", "A 15378-2022")</f>
        <v/>
      </c>
      <c r="V280">
        <f>HYPERLINK("https://klasma.github.io/Logging_0883/klagomål/A 15378-2022 FSC-klagomål.docx", "A 15378-2022")</f>
        <v/>
      </c>
      <c r="W280">
        <f>HYPERLINK("https://klasma.github.io/Logging_0883/klagomålsmail/A 15378-2022 FSC-klagomål mail.docx", "A 15378-2022")</f>
        <v/>
      </c>
      <c r="X280">
        <f>HYPERLINK("https://klasma.github.io/Logging_0883/tillsyn/A 15378-2022 tillsynsbegäran.docx", "A 15378-2022")</f>
        <v/>
      </c>
      <c r="Y280">
        <f>HYPERLINK("https://klasma.github.io/Logging_0883/tillsynsmail/A 15378-2022 tillsynsbegäran mail.docx", "A 15378-2022")</f>
        <v/>
      </c>
    </row>
    <row r="281" ht="15" customHeight="1">
      <c r="A281" t="inlineStr">
        <is>
          <t>A 19900-2022</t>
        </is>
      </c>
      <c r="B281" s="1" t="n">
        <v>44697</v>
      </c>
      <c r="C281" s="1" t="n">
        <v>45822</v>
      </c>
      <c r="D281" t="inlineStr">
        <is>
          <t>KALMAR LÄN</t>
        </is>
      </c>
      <c r="E281" t="inlineStr">
        <is>
          <t>VÄSTERVIK</t>
        </is>
      </c>
      <c r="G281" t="n">
        <v>2.4</v>
      </c>
      <c r="H281" t="n">
        <v>1</v>
      </c>
      <c r="I281" t="n">
        <v>0</v>
      </c>
      <c r="J281" t="n">
        <v>0</v>
      </c>
      <c r="K281" t="n">
        <v>1</v>
      </c>
      <c r="L281" t="n">
        <v>0</v>
      </c>
      <c r="M281" t="n">
        <v>0</v>
      </c>
      <c r="N281" t="n">
        <v>0</v>
      </c>
      <c r="O281" t="n">
        <v>1</v>
      </c>
      <c r="P281" t="n">
        <v>1</v>
      </c>
      <c r="Q281" t="n">
        <v>1</v>
      </c>
      <c r="R281" s="2" t="inlineStr">
        <is>
          <t>Knärot</t>
        </is>
      </c>
      <c r="S281">
        <f>HYPERLINK("https://klasma.github.io/Logging_0883/artfynd/A 19900-2022 artfynd.xlsx", "A 19900-2022")</f>
        <v/>
      </c>
      <c r="T281">
        <f>HYPERLINK("https://klasma.github.io/Logging_0883/kartor/A 19900-2022 karta.png", "A 19900-2022")</f>
        <v/>
      </c>
      <c r="U281">
        <f>HYPERLINK("https://klasma.github.io/Logging_0883/knärot/A 19900-2022 karta knärot.png", "A 19900-2022")</f>
        <v/>
      </c>
      <c r="V281">
        <f>HYPERLINK("https://klasma.github.io/Logging_0883/klagomål/A 19900-2022 FSC-klagomål.docx", "A 19900-2022")</f>
        <v/>
      </c>
      <c r="W281">
        <f>HYPERLINK("https://klasma.github.io/Logging_0883/klagomålsmail/A 19900-2022 FSC-klagomål mail.docx", "A 19900-2022")</f>
        <v/>
      </c>
      <c r="X281">
        <f>HYPERLINK("https://klasma.github.io/Logging_0883/tillsyn/A 19900-2022 tillsynsbegäran.docx", "A 19900-2022")</f>
        <v/>
      </c>
      <c r="Y281">
        <f>HYPERLINK("https://klasma.github.io/Logging_0883/tillsynsmail/A 19900-2022 tillsynsbegäran mail.docx", "A 19900-2022")</f>
        <v/>
      </c>
    </row>
    <row r="282" ht="15" customHeight="1">
      <c r="A282" t="inlineStr">
        <is>
          <t>A 26056-2022</t>
        </is>
      </c>
      <c r="B282" s="1" t="n">
        <v>44734</v>
      </c>
      <c r="C282" s="1" t="n">
        <v>45822</v>
      </c>
      <c r="D282" t="inlineStr">
        <is>
          <t>KALMAR LÄN</t>
        </is>
      </c>
      <c r="E282" t="inlineStr">
        <is>
          <t>VÄSTERVIK</t>
        </is>
      </c>
      <c r="G282" t="n">
        <v>1.1</v>
      </c>
      <c r="H282" t="n">
        <v>0</v>
      </c>
      <c r="I282" t="n">
        <v>0</v>
      </c>
      <c r="J282" t="n">
        <v>1</v>
      </c>
      <c r="K282" t="n">
        <v>0</v>
      </c>
      <c r="L282" t="n">
        <v>0</v>
      </c>
      <c r="M282" t="n">
        <v>0</v>
      </c>
      <c r="N282" t="n">
        <v>0</v>
      </c>
      <c r="O282" t="n">
        <v>1</v>
      </c>
      <c r="P282" t="n">
        <v>0</v>
      </c>
      <c r="Q282" t="n">
        <v>1</v>
      </c>
      <c r="R282" s="2" t="inlineStr">
        <is>
          <t>Slåtterfibbla</t>
        </is>
      </c>
      <c r="S282">
        <f>HYPERLINK("https://klasma.github.io/Logging_0883/artfynd/A 26056-2022 artfynd.xlsx", "A 26056-2022")</f>
        <v/>
      </c>
      <c r="T282">
        <f>HYPERLINK("https://klasma.github.io/Logging_0883/kartor/A 26056-2022 karta.png", "A 26056-2022")</f>
        <v/>
      </c>
      <c r="V282">
        <f>HYPERLINK("https://klasma.github.io/Logging_0883/klagomål/A 26056-2022 FSC-klagomål.docx", "A 26056-2022")</f>
        <v/>
      </c>
      <c r="W282">
        <f>HYPERLINK("https://klasma.github.io/Logging_0883/klagomålsmail/A 26056-2022 FSC-klagomål mail.docx", "A 26056-2022")</f>
        <v/>
      </c>
      <c r="X282">
        <f>HYPERLINK("https://klasma.github.io/Logging_0883/tillsyn/A 26056-2022 tillsynsbegäran.docx", "A 26056-2022")</f>
        <v/>
      </c>
      <c r="Y282">
        <f>HYPERLINK("https://klasma.github.io/Logging_0883/tillsynsmail/A 26056-2022 tillsynsbegäran mail.docx", "A 26056-2022")</f>
        <v/>
      </c>
    </row>
    <row r="283" ht="15" customHeight="1">
      <c r="A283" t="inlineStr">
        <is>
          <t>A 33209-2022</t>
        </is>
      </c>
      <c r="B283" s="1" t="n">
        <v>44785</v>
      </c>
      <c r="C283" s="1" t="n">
        <v>45822</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Slåtterfibbla</t>
        </is>
      </c>
      <c r="S283">
        <f>HYPERLINK("https://klasma.github.io/Logging_0883/artfynd/A 33209-2022 artfynd.xlsx", "A 33209-2022")</f>
        <v/>
      </c>
      <c r="T283">
        <f>HYPERLINK("https://klasma.github.io/Logging_0883/kartor/A 33209-2022 karta.png", "A 33209-2022")</f>
        <v/>
      </c>
      <c r="V283">
        <f>HYPERLINK("https://klasma.github.io/Logging_0883/klagomål/A 33209-2022 FSC-klagomål.docx", "A 33209-2022")</f>
        <v/>
      </c>
      <c r="W283">
        <f>HYPERLINK("https://klasma.github.io/Logging_0883/klagomålsmail/A 33209-2022 FSC-klagomål mail.docx", "A 33209-2022")</f>
        <v/>
      </c>
      <c r="X283">
        <f>HYPERLINK("https://klasma.github.io/Logging_0883/tillsyn/A 33209-2022 tillsynsbegäran.docx", "A 33209-2022")</f>
        <v/>
      </c>
      <c r="Y283">
        <f>HYPERLINK("https://klasma.github.io/Logging_0883/tillsynsmail/A 33209-2022 tillsynsbegäran mail.docx", "A 33209-2022")</f>
        <v/>
      </c>
    </row>
    <row r="284" ht="15" customHeight="1">
      <c r="A284" t="inlineStr">
        <is>
          <t>A 40924-2022</t>
        </is>
      </c>
      <c r="B284" s="1" t="n">
        <v>44825</v>
      </c>
      <c r="C284" s="1" t="n">
        <v>45822</v>
      </c>
      <c r="D284" t="inlineStr">
        <is>
          <t>KALMAR LÄN</t>
        </is>
      </c>
      <c r="E284" t="inlineStr">
        <is>
          <t>VÄSTERVIK</t>
        </is>
      </c>
      <c r="F284" t="inlineStr">
        <is>
          <t>Sveaskog</t>
        </is>
      </c>
      <c r="G284" t="n">
        <v>0.5</v>
      </c>
      <c r="H284" t="n">
        <v>1</v>
      </c>
      <c r="I284" t="n">
        <v>0</v>
      </c>
      <c r="J284" t="n">
        <v>1</v>
      </c>
      <c r="K284" t="n">
        <v>0</v>
      </c>
      <c r="L284" t="n">
        <v>0</v>
      </c>
      <c r="M284" t="n">
        <v>0</v>
      </c>
      <c r="N284" t="n">
        <v>0</v>
      </c>
      <c r="O284" t="n">
        <v>1</v>
      </c>
      <c r="P284" t="n">
        <v>0</v>
      </c>
      <c r="Q284" t="n">
        <v>1</v>
      </c>
      <c r="R284" s="2" t="inlineStr">
        <is>
          <t>Barbastell</t>
        </is>
      </c>
      <c r="S284">
        <f>HYPERLINK("https://klasma.github.io/Logging_0883/artfynd/A 40924-2022 artfynd.xlsx", "A 40924-2022")</f>
        <v/>
      </c>
      <c r="T284">
        <f>HYPERLINK("https://klasma.github.io/Logging_0883/kartor/A 40924-2022 karta.png", "A 40924-2022")</f>
        <v/>
      </c>
      <c r="V284">
        <f>HYPERLINK("https://klasma.github.io/Logging_0883/klagomål/A 40924-2022 FSC-klagomål.docx", "A 40924-2022")</f>
        <v/>
      </c>
      <c r="W284">
        <f>HYPERLINK("https://klasma.github.io/Logging_0883/klagomålsmail/A 40924-2022 FSC-klagomål mail.docx", "A 40924-2022")</f>
        <v/>
      </c>
      <c r="X284">
        <f>HYPERLINK("https://klasma.github.io/Logging_0883/tillsyn/A 40924-2022 tillsynsbegäran.docx", "A 40924-2022")</f>
        <v/>
      </c>
      <c r="Y284">
        <f>HYPERLINK("https://klasma.github.io/Logging_0883/tillsynsmail/A 40924-2022 tillsynsbegäran mail.docx", "A 40924-2022")</f>
        <v/>
      </c>
    </row>
    <row r="285" ht="15" customHeight="1">
      <c r="A285" t="inlineStr">
        <is>
          <t>A 46559-2022</t>
        </is>
      </c>
      <c r="B285" s="1" t="n">
        <v>44848</v>
      </c>
      <c r="C285" s="1" t="n">
        <v>45822</v>
      </c>
      <c r="D285" t="inlineStr">
        <is>
          <t>KALMAR LÄN</t>
        </is>
      </c>
      <c r="E285" t="inlineStr">
        <is>
          <t>VÄSTERVIK</t>
        </is>
      </c>
      <c r="F285" t="inlineStr">
        <is>
          <t>Sveaskog</t>
        </is>
      </c>
      <c r="G285" t="n">
        <v>2.2</v>
      </c>
      <c r="H285" t="n">
        <v>1</v>
      </c>
      <c r="I285" t="n">
        <v>0</v>
      </c>
      <c r="J285" t="n">
        <v>0</v>
      </c>
      <c r="K285" t="n">
        <v>0</v>
      </c>
      <c r="L285" t="n">
        <v>0</v>
      </c>
      <c r="M285" t="n">
        <v>0</v>
      </c>
      <c r="N285" t="n">
        <v>0</v>
      </c>
      <c r="O285" t="n">
        <v>0</v>
      </c>
      <c r="P285" t="n">
        <v>0</v>
      </c>
      <c r="Q285" t="n">
        <v>1</v>
      </c>
      <c r="R285" s="2" t="inlineStr">
        <is>
          <t>Blåsippa</t>
        </is>
      </c>
      <c r="S285">
        <f>HYPERLINK("https://klasma.github.io/Logging_0883/artfynd/A 46559-2022 artfynd.xlsx", "A 46559-2022")</f>
        <v/>
      </c>
      <c r="T285">
        <f>HYPERLINK("https://klasma.github.io/Logging_0883/kartor/A 46559-2022 karta.png", "A 46559-2022")</f>
        <v/>
      </c>
      <c r="V285">
        <f>HYPERLINK("https://klasma.github.io/Logging_0883/klagomål/A 46559-2022 FSC-klagomål.docx", "A 46559-2022")</f>
        <v/>
      </c>
      <c r="W285">
        <f>HYPERLINK("https://klasma.github.io/Logging_0883/klagomålsmail/A 46559-2022 FSC-klagomål mail.docx", "A 46559-2022")</f>
        <v/>
      </c>
      <c r="X285">
        <f>HYPERLINK("https://klasma.github.io/Logging_0883/tillsyn/A 46559-2022 tillsynsbegäran.docx", "A 46559-2022")</f>
        <v/>
      </c>
      <c r="Y285">
        <f>HYPERLINK("https://klasma.github.io/Logging_0883/tillsynsmail/A 46559-2022 tillsynsbegäran mail.docx", "A 46559-2022")</f>
        <v/>
      </c>
    </row>
    <row r="286" ht="15" customHeight="1">
      <c r="A286" t="inlineStr">
        <is>
          <t>A 46556-2022</t>
        </is>
      </c>
      <c r="B286" s="1" t="n">
        <v>44848</v>
      </c>
      <c r="C286" s="1" t="n">
        <v>45822</v>
      </c>
      <c r="D286" t="inlineStr">
        <is>
          <t>KALMAR LÄN</t>
        </is>
      </c>
      <c r="E286" t="inlineStr">
        <is>
          <t>VÄSTERVIK</t>
        </is>
      </c>
      <c r="F286" t="inlineStr">
        <is>
          <t>Sveaskog</t>
        </is>
      </c>
      <c r="G286" t="n">
        <v>1.5</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46556-2022 artfynd.xlsx", "A 46556-2022")</f>
        <v/>
      </c>
      <c r="T286">
        <f>HYPERLINK("https://klasma.github.io/Logging_0883/kartor/A 46556-2022 karta.png", "A 46556-2022")</f>
        <v/>
      </c>
      <c r="V286">
        <f>HYPERLINK("https://klasma.github.io/Logging_0883/klagomål/A 46556-2022 FSC-klagomål.docx", "A 46556-2022")</f>
        <v/>
      </c>
      <c r="W286">
        <f>HYPERLINK("https://klasma.github.io/Logging_0883/klagomålsmail/A 46556-2022 FSC-klagomål mail.docx", "A 46556-2022")</f>
        <v/>
      </c>
      <c r="X286">
        <f>HYPERLINK("https://klasma.github.io/Logging_0883/tillsyn/A 46556-2022 tillsynsbegäran.docx", "A 46556-2022")</f>
        <v/>
      </c>
      <c r="Y286">
        <f>HYPERLINK("https://klasma.github.io/Logging_0883/tillsynsmail/A 46556-2022 tillsynsbegäran mail.docx", "A 46556-2022")</f>
        <v/>
      </c>
    </row>
    <row r="287" ht="15" customHeight="1">
      <c r="A287" t="inlineStr">
        <is>
          <t>A 51024-2022</t>
        </is>
      </c>
      <c r="B287" s="1" t="n">
        <v>44867</v>
      </c>
      <c r="C287" s="1" t="n">
        <v>45822</v>
      </c>
      <c r="D287" t="inlineStr">
        <is>
          <t>KALMAR LÄN</t>
        </is>
      </c>
      <c r="E287" t="inlineStr">
        <is>
          <t>VÄSTERVIK</t>
        </is>
      </c>
      <c r="F287" t="inlineStr">
        <is>
          <t>Holmen skog AB</t>
        </is>
      </c>
      <c r="G287" t="n">
        <v>7.6</v>
      </c>
      <c r="H287" t="n">
        <v>1</v>
      </c>
      <c r="I287" t="n">
        <v>0</v>
      </c>
      <c r="J287" t="n">
        <v>1</v>
      </c>
      <c r="K287" t="n">
        <v>0</v>
      </c>
      <c r="L287" t="n">
        <v>0</v>
      </c>
      <c r="M287" t="n">
        <v>0</v>
      </c>
      <c r="N287" t="n">
        <v>0</v>
      </c>
      <c r="O287" t="n">
        <v>1</v>
      </c>
      <c r="P287" t="n">
        <v>0</v>
      </c>
      <c r="Q287" t="n">
        <v>1</v>
      </c>
      <c r="R287" s="2" t="inlineStr">
        <is>
          <t>Talltita</t>
        </is>
      </c>
      <c r="S287">
        <f>HYPERLINK("https://klasma.github.io/Logging_0883/artfynd/A 51024-2022 artfynd.xlsx", "A 51024-2022")</f>
        <v/>
      </c>
      <c r="T287">
        <f>HYPERLINK("https://klasma.github.io/Logging_0883/kartor/A 51024-2022 karta.png", "A 51024-2022")</f>
        <v/>
      </c>
      <c r="V287">
        <f>HYPERLINK("https://klasma.github.io/Logging_0883/klagomål/A 51024-2022 FSC-klagomål.docx", "A 51024-2022")</f>
        <v/>
      </c>
      <c r="W287">
        <f>HYPERLINK("https://klasma.github.io/Logging_0883/klagomålsmail/A 51024-2022 FSC-klagomål mail.docx", "A 51024-2022")</f>
        <v/>
      </c>
      <c r="X287">
        <f>HYPERLINK("https://klasma.github.io/Logging_0883/tillsyn/A 51024-2022 tillsynsbegäran.docx", "A 51024-2022")</f>
        <v/>
      </c>
      <c r="Y287">
        <f>HYPERLINK("https://klasma.github.io/Logging_0883/tillsynsmail/A 51024-2022 tillsynsbegäran mail.docx", "A 51024-2022")</f>
        <v/>
      </c>
      <c r="Z287">
        <f>HYPERLINK("https://klasma.github.io/Logging_0883/fåglar/A 51024-2022 prioriterade fågelarter.docx", "A 51024-2022")</f>
        <v/>
      </c>
    </row>
    <row r="288" ht="15" customHeight="1">
      <c r="A288" t="inlineStr">
        <is>
          <t>A 54193-2022</t>
        </is>
      </c>
      <c r="B288" s="1" t="n">
        <v>44881</v>
      </c>
      <c r="C288" s="1" t="n">
        <v>45822</v>
      </c>
      <c r="D288" t="inlineStr">
        <is>
          <t>KALMAR LÄN</t>
        </is>
      </c>
      <c r="E288" t="inlineStr">
        <is>
          <t>VÄSTERVIK</t>
        </is>
      </c>
      <c r="G288" t="n">
        <v>1.7</v>
      </c>
      <c r="H288" t="n">
        <v>0</v>
      </c>
      <c r="I288" t="n">
        <v>1</v>
      </c>
      <c r="J288" t="n">
        <v>0</v>
      </c>
      <c r="K288" t="n">
        <v>0</v>
      </c>
      <c r="L288" t="n">
        <v>0</v>
      </c>
      <c r="M288" t="n">
        <v>0</v>
      </c>
      <c r="N288" t="n">
        <v>0</v>
      </c>
      <c r="O288" t="n">
        <v>0</v>
      </c>
      <c r="P288" t="n">
        <v>0</v>
      </c>
      <c r="Q288" t="n">
        <v>1</v>
      </c>
      <c r="R288" s="2" t="inlineStr">
        <is>
          <t>Murgröna</t>
        </is>
      </c>
      <c r="S288">
        <f>HYPERLINK("https://klasma.github.io/Logging_0883/artfynd/A 54193-2022 artfynd.xlsx", "A 54193-2022")</f>
        <v/>
      </c>
      <c r="T288">
        <f>HYPERLINK("https://klasma.github.io/Logging_0883/kartor/A 54193-2022 karta.png", "A 54193-2022")</f>
        <v/>
      </c>
      <c r="U288">
        <f>HYPERLINK("https://klasma.github.io/Logging_0883/knärot/A 54193-2022 karta knärot.png", "A 54193-2022")</f>
        <v/>
      </c>
      <c r="V288">
        <f>HYPERLINK("https://klasma.github.io/Logging_0883/klagomål/A 54193-2022 FSC-klagomål.docx", "A 54193-2022")</f>
        <v/>
      </c>
      <c r="W288">
        <f>HYPERLINK("https://klasma.github.io/Logging_0883/klagomålsmail/A 54193-2022 FSC-klagomål mail.docx", "A 54193-2022")</f>
        <v/>
      </c>
      <c r="X288">
        <f>HYPERLINK("https://klasma.github.io/Logging_0883/tillsyn/A 54193-2022 tillsynsbegäran.docx", "A 54193-2022")</f>
        <v/>
      </c>
      <c r="Y288">
        <f>HYPERLINK("https://klasma.github.io/Logging_0883/tillsynsmail/A 54193-2022 tillsynsbegäran mail.docx", "A 54193-2022")</f>
        <v/>
      </c>
    </row>
    <row r="289" ht="15" customHeight="1">
      <c r="A289" t="inlineStr">
        <is>
          <t>A 59178-2022</t>
        </is>
      </c>
      <c r="B289" s="1" t="n">
        <v>44904</v>
      </c>
      <c r="C289" s="1" t="n">
        <v>45822</v>
      </c>
      <c r="D289" t="inlineStr">
        <is>
          <t>KALMAR LÄN</t>
        </is>
      </c>
      <c r="E289" t="inlineStr">
        <is>
          <t>VÄSTERVIK</t>
        </is>
      </c>
      <c r="G289" t="n">
        <v>3.3</v>
      </c>
      <c r="H289" t="n">
        <v>0</v>
      </c>
      <c r="I289" t="n">
        <v>0</v>
      </c>
      <c r="J289" t="n">
        <v>1</v>
      </c>
      <c r="K289" t="n">
        <v>0</v>
      </c>
      <c r="L289" t="n">
        <v>0</v>
      </c>
      <c r="M289" t="n">
        <v>0</v>
      </c>
      <c r="N289" t="n">
        <v>0</v>
      </c>
      <c r="O289" t="n">
        <v>1</v>
      </c>
      <c r="P289" t="n">
        <v>0</v>
      </c>
      <c r="Q289" t="n">
        <v>1</v>
      </c>
      <c r="R289" s="2" t="inlineStr">
        <is>
          <t>Tallticka</t>
        </is>
      </c>
      <c r="S289">
        <f>HYPERLINK("https://klasma.github.io/Logging_0883/artfynd/A 59178-2022 artfynd.xlsx", "A 59178-2022")</f>
        <v/>
      </c>
      <c r="T289">
        <f>HYPERLINK("https://klasma.github.io/Logging_0883/kartor/A 59178-2022 karta.png", "A 59178-2022")</f>
        <v/>
      </c>
      <c r="V289">
        <f>HYPERLINK("https://klasma.github.io/Logging_0883/klagomål/A 59178-2022 FSC-klagomål.docx", "A 59178-2022")</f>
        <v/>
      </c>
      <c r="W289">
        <f>HYPERLINK("https://klasma.github.io/Logging_0883/klagomålsmail/A 59178-2022 FSC-klagomål mail.docx", "A 59178-2022")</f>
        <v/>
      </c>
      <c r="X289">
        <f>HYPERLINK("https://klasma.github.io/Logging_0883/tillsyn/A 59178-2022 tillsynsbegäran.docx", "A 59178-2022")</f>
        <v/>
      </c>
      <c r="Y289">
        <f>HYPERLINK("https://klasma.github.io/Logging_0883/tillsynsmail/A 59178-2022 tillsynsbegäran mail.docx", "A 59178-2022")</f>
        <v/>
      </c>
    </row>
    <row r="290" ht="15" customHeight="1">
      <c r="A290" t="inlineStr">
        <is>
          <t>A 975-2023</t>
        </is>
      </c>
      <c r="B290" s="1" t="n">
        <v>44935</v>
      </c>
      <c r="C290" s="1" t="n">
        <v>45822</v>
      </c>
      <c r="D290" t="inlineStr">
        <is>
          <t>KALMAR LÄN</t>
        </is>
      </c>
      <c r="E290" t="inlineStr">
        <is>
          <t>VÄSTERVIK</t>
        </is>
      </c>
      <c r="G290" t="n">
        <v>1.7</v>
      </c>
      <c r="H290" t="n">
        <v>1</v>
      </c>
      <c r="I290" t="n">
        <v>0</v>
      </c>
      <c r="J290" t="n">
        <v>0</v>
      </c>
      <c r="K290" t="n">
        <v>1</v>
      </c>
      <c r="L290" t="n">
        <v>0</v>
      </c>
      <c r="M290" t="n">
        <v>0</v>
      </c>
      <c r="N290" t="n">
        <v>0</v>
      </c>
      <c r="O290" t="n">
        <v>1</v>
      </c>
      <c r="P290" t="n">
        <v>1</v>
      </c>
      <c r="Q290" t="n">
        <v>1</v>
      </c>
      <c r="R290" s="2" t="inlineStr">
        <is>
          <t>Läderbagge</t>
        </is>
      </c>
      <c r="S290">
        <f>HYPERLINK("https://klasma.github.io/Logging_0883/artfynd/A 975-2023 artfynd.xlsx", "A 975-2023")</f>
        <v/>
      </c>
      <c r="T290">
        <f>HYPERLINK("https://klasma.github.io/Logging_0883/kartor/A 975-2023 karta.png", "A 975-2023")</f>
        <v/>
      </c>
      <c r="V290">
        <f>HYPERLINK("https://klasma.github.io/Logging_0883/klagomål/A 975-2023 FSC-klagomål.docx", "A 975-2023")</f>
        <v/>
      </c>
      <c r="W290">
        <f>HYPERLINK("https://klasma.github.io/Logging_0883/klagomålsmail/A 975-2023 FSC-klagomål mail.docx", "A 975-2023")</f>
        <v/>
      </c>
      <c r="X290">
        <f>HYPERLINK("https://klasma.github.io/Logging_0883/tillsyn/A 975-2023 tillsynsbegäran.docx", "A 975-2023")</f>
        <v/>
      </c>
      <c r="Y290">
        <f>HYPERLINK("https://klasma.github.io/Logging_0883/tillsynsmail/A 975-2023 tillsynsbegäran mail.docx", "A 975-2023")</f>
        <v/>
      </c>
    </row>
    <row r="291" ht="15" customHeight="1">
      <c r="A291" t="inlineStr">
        <is>
          <t>A 1024-2023</t>
        </is>
      </c>
      <c r="B291" s="1" t="n">
        <v>44935</v>
      </c>
      <c r="C291" s="1" t="n">
        <v>45822</v>
      </c>
      <c r="D291" t="inlineStr">
        <is>
          <t>KALMAR LÄN</t>
        </is>
      </c>
      <c r="E291" t="inlineStr">
        <is>
          <t>VÄSTERVIK</t>
        </is>
      </c>
      <c r="F291" t="inlineStr">
        <is>
          <t>Holmen skog AB</t>
        </is>
      </c>
      <c r="G291" t="n">
        <v>1.9</v>
      </c>
      <c r="H291" t="n">
        <v>0</v>
      </c>
      <c r="I291" t="n">
        <v>0</v>
      </c>
      <c r="J291" t="n">
        <v>1</v>
      </c>
      <c r="K291" t="n">
        <v>0</v>
      </c>
      <c r="L291" t="n">
        <v>0</v>
      </c>
      <c r="M291" t="n">
        <v>0</v>
      </c>
      <c r="N291" t="n">
        <v>0</v>
      </c>
      <c r="O291" t="n">
        <v>1</v>
      </c>
      <c r="P291" t="n">
        <v>0</v>
      </c>
      <c r="Q291" t="n">
        <v>1</v>
      </c>
      <c r="R291" s="2" t="inlineStr">
        <is>
          <t>Ekticka</t>
        </is>
      </c>
      <c r="S291">
        <f>HYPERLINK("https://klasma.github.io/Logging_0883/artfynd/A 1024-2023 artfynd.xlsx", "A 1024-2023")</f>
        <v/>
      </c>
      <c r="T291">
        <f>HYPERLINK("https://klasma.github.io/Logging_0883/kartor/A 1024-2023 karta.png", "A 1024-2023")</f>
        <v/>
      </c>
      <c r="V291">
        <f>HYPERLINK("https://klasma.github.io/Logging_0883/klagomål/A 1024-2023 FSC-klagomål.docx", "A 1024-2023")</f>
        <v/>
      </c>
      <c r="W291">
        <f>HYPERLINK("https://klasma.github.io/Logging_0883/klagomålsmail/A 1024-2023 FSC-klagomål mail.docx", "A 1024-2023")</f>
        <v/>
      </c>
      <c r="X291">
        <f>HYPERLINK("https://klasma.github.io/Logging_0883/tillsyn/A 1024-2023 tillsynsbegäran.docx", "A 1024-2023")</f>
        <v/>
      </c>
      <c r="Y291">
        <f>HYPERLINK("https://klasma.github.io/Logging_0883/tillsynsmail/A 1024-2023 tillsynsbegäran mail.docx", "A 1024-2023")</f>
        <v/>
      </c>
    </row>
    <row r="292" ht="15" customHeight="1">
      <c r="A292" t="inlineStr">
        <is>
          <t>A 11589-2023</t>
        </is>
      </c>
      <c r="B292" s="1" t="n">
        <v>44994</v>
      </c>
      <c r="C292" s="1" t="n">
        <v>45822</v>
      </c>
      <c r="D292" t="inlineStr">
        <is>
          <t>KALMAR LÄN</t>
        </is>
      </c>
      <c r="E292" t="inlineStr">
        <is>
          <t>VÄSTERVIK</t>
        </is>
      </c>
      <c r="G292" t="n">
        <v>7.7</v>
      </c>
      <c r="H292" t="n">
        <v>1</v>
      </c>
      <c r="I292" t="n">
        <v>0</v>
      </c>
      <c r="J292" t="n">
        <v>0</v>
      </c>
      <c r="K292" t="n">
        <v>0</v>
      </c>
      <c r="L292" t="n">
        <v>0</v>
      </c>
      <c r="M292" t="n">
        <v>0</v>
      </c>
      <c r="N292" t="n">
        <v>0</v>
      </c>
      <c r="O292" t="n">
        <v>0</v>
      </c>
      <c r="P292" t="n">
        <v>0</v>
      </c>
      <c r="Q292" t="n">
        <v>1</v>
      </c>
      <c r="R292" s="2" t="inlineStr">
        <is>
          <t>Revlummer</t>
        </is>
      </c>
      <c r="S292">
        <f>HYPERLINK("https://klasma.github.io/Logging_0883/artfynd/A 11589-2023 artfynd.xlsx", "A 11589-2023")</f>
        <v/>
      </c>
      <c r="T292">
        <f>HYPERLINK("https://klasma.github.io/Logging_0883/kartor/A 11589-2023 karta.png", "A 11589-2023")</f>
        <v/>
      </c>
      <c r="V292">
        <f>HYPERLINK("https://klasma.github.io/Logging_0883/klagomål/A 11589-2023 FSC-klagomål.docx", "A 11589-2023")</f>
        <v/>
      </c>
      <c r="W292">
        <f>HYPERLINK("https://klasma.github.io/Logging_0883/klagomålsmail/A 11589-2023 FSC-klagomål mail.docx", "A 11589-2023")</f>
        <v/>
      </c>
      <c r="X292">
        <f>HYPERLINK("https://klasma.github.io/Logging_0883/tillsyn/A 11589-2023 tillsynsbegäran.docx", "A 11589-2023")</f>
        <v/>
      </c>
      <c r="Y292">
        <f>HYPERLINK("https://klasma.github.io/Logging_0883/tillsynsmail/A 11589-2023 tillsynsbegäran mail.docx", "A 11589-2023")</f>
        <v/>
      </c>
    </row>
    <row r="293" ht="15" customHeight="1">
      <c r="A293" t="inlineStr">
        <is>
          <t>A 11729-2023</t>
        </is>
      </c>
      <c r="B293" s="1" t="n">
        <v>44994</v>
      </c>
      <c r="C293" s="1" t="n">
        <v>45822</v>
      </c>
      <c r="D293" t="inlineStr">
        <is>
          <t>KALMAR LÄN</t>
        </is>
      </c>
      <c r="E293" t="inlineStr">
        <is>
          <t>VÄSTERVIK</t>
        </is>
      </c>
      <c r="F293" t="inlineStr">
        <is>
          <t>Sveaskog</t>
        </is>
      </c>
      <c r="G293" t="n">
        <v>4.1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HYPERLINK("https://klasma.github.io/Logging_0883/artfynd/A 11729-2023 artfynd.xlsx", "A 11729-2023")</f>
        <v/>
      </c>
      <c r="T293">
        <f>HYPERLINK("https://klasma.github.io/Logging_0883/kartor/A 11729-2023 karta.png", "A 11729-2023")</f>
        <v/>
      </c>
      <c r="V293">
        <f>HYPERLINK("https://klasma.github.io/Logging_0883/klagomål/A 11729-2023 FSC-klagomål.docx", "A 11729-2023")</f>
        <v/>
      </c>
      <c r="W293">
        <f>HYPERLINK("https://klasma.github.io/Logging_0883/klagomålsmail/A 11729-2023 FSC-klagomål mail.docx", "A 11729-2023")</f>
        <v/>
      </c>
      <c r="X293">
        <f>HYPERLINK("https://klasma.github.io/Logging_0883/tillsyn/A 11729-2023 tillsynsbegäran.docx", "A 11729-2023")</f>
        <v/>
      </c>
      <c r="Y293">
        <f>HYPERLINK("https://klasma.github.io/Logging_0883/tillsynsmail/A 11729-2023 tillsynsbegäran mail.docx", "A 11729-2023")</f>
        <v/>
      </c>
    </row>
    <row r="294" ht="15" customHeight="1">
      <c r="A294" t="inlineStr">
        <is>
          <t>A 14720-2023</t>
        </is>
      </c>
      <c r="B294" s="1" t="n">
        <v>45014</v>
      </c>
      <c r="C294" s="1" t="n">
        <v>45822</v>
      </c>
      <c r="D294" t="inlineStr">
        <is>
          <t>KALMAR LÄN</t>
        </is>
      </c>
      <c r="E294" t="inlineStr">
        <is>
          <t>VÄSTERVIK</t>
        </is>
      </c>
      <c r="G294" t="n">
        <v>3.5</v>
      </c>
      <c r="H294" t="n">
        <v>1</v>
      </c>
      <c r="I294" t="n">
        <v>0</v>
      </c>
      <c r="J294" t="n">
        <v>0</v>
      </c>
      <c r="K294" t="n">
        <v>1</v>
      </c>
      <c r="L294" t="n">
        <v>0</v>
      </c>
      <c r="M294" t="n">
        <v>0</v>
      </c>
      <c r="N294" t="n">
        <v>0</v>
      </c>
      <c r="O294" t="n">
        <v>1</v>
      </c>
      <c r="P294" t="n">
        <v>1</v>
      </c>
      <c r="Q294" t="n">
        <v>1</v>
      </c>
      <c r="R294" s="2" t="inlineStr">
        <is>
          <t>Knärot</t>
        </is>
      </c>
      <c r="S294">
        <f>HYPERLINK("https://klasma.github.io/Logging_0883/artfynd/A 14720-2023 artfynd.xlsx", "A 14720-2023")</f>
        <v/>
      </c>
      <c r="T294">
        <f>HYPERLINK("https://klasma.github.io/Logging_0883/kartor/A 14720-2023 karta.png", "A 14720-2023")</f>
        <v/>
      </c>
      <c r="U294">
        <f>HYPERLINK("https://klasma.github.io/Logging_0883/knärot/A 14720-2023 karta knärot.png", "A 14720-2023")</f>
        <v/>
      </c>
      <c r="V294">
        <f>HYPERLINK("https://klasma.github.io/Logging_0883/klagomål/A 14720-2023 FSC-klagomål.docx", "A 14720-2023")</f>
        <v/>
      </c>
      <c r="W294">
        <f>HYPERLINK("https://klasma.github.io/Logging_0883/klagomålsmail/A 14720-2023 FSC-klagomål mail.docx", "A 14720-2023")</f>
        <v/>
      </c>
      <c r="X294">
        <f>HYPERLINK("https://klasma.github.io/Logging_0883/tillsyn/A 14720-2023 tillsynsbegäran.docx", "A 14720-2023")</f>
        <v/>
      </c>
      <c r="Y294">
        <f>HYPERLINK("https://klasma.github.io/Logging_0883/tillsynsmail/A 14720-2023 tillsynsbegäran mail.docx", "A 14720-2023")</f>
        <v/>
      </c>
    </row>
    <row r="295" ht="15" customHeight="1">
      <c r="A295" t="inlineStr">
        <is>
          <t>A 21828-2023</t>
        </is>
      </c>
      <c r="B295" s="1" t="n">
        <v>45068</v>
      </c>
      <c r="C295" s="1" t="n">
        <v>45822</v>
      </c>
      <c r="D295" t="inlineStr">
        <is>
          <t>KALMAR LÄN</t>
        </is>
      </c>
      <c r="E295" t="inlineStr">
        <is>
          <t>VÄSTERVIK</t>
        </is>
      </c>
      <c r="G295" t="n">
        <v>0.7</v>
      </c>
      <c r="H295" t="n">
        <v>0</v>
      </c>
      <c r="I295" t="n">
        <v>1</v>
      </c>
      <c r="J295" t="n">
        <v>0</v>
      </c>
      <c r="K295" t="n">
        <v>0</v>
      </c>
      <c r="L295" t="n">
        <v>0</v>
      </c>
      <c r="M295" t="n">
        <v>0</v>
      </c>
      <c r="N295" t="n">
        <v>0</v>
      </c>
      <c r="O295" t="n">
        <v>0</v>
      </c>
      <c r="P295" t="n">
        <v>0</v>
      </c>
      <c r="Q295" t="n">
        <v>1</v>
      </c>
      <c r="R295" s="2" t="inlineStr">
        <is>
          <t>Grönpyrola</t>
        </is>
      </c>
      <c r="S295">
        <f>HYPERLINK("https://klasma.github.io/Logging_0883/artfynd/A 21828-2023 artfynd.xlsx", "A 21828-2023")</f>
        <v/>
      </c>
      <c r="T295">
        <f>HYPERLINK("https://klasma.github.io/Logging_0883/kartor/A 21828-2023 karta.png", "A 21828-2023")</f>
        <v/>
      </c>
      <c r="V295">
        <f>HYPERLINK("https://klasma.github.io/Logging_0883/klagomål/A 21828-2023 FSC-klagomål.docx", "A 21828-2023")</f>
        <v/>
      </c>
      <c r="W295">
        <f>HYPERLINK("https://klasma.github.io/Logging_0883/klagomålsmail/A 21828-2023 FSC-klagomål mail.docx", "A 21828-2023")</f>
        <v/>
      </c>
      <c r="X295">
        <f>HYPERLINK("https://klasma.github.io/Logging_0883/tillsyn/A 21828-2023 tillsynsbegäran.docx", "A 21828-2023")</f>
        <v/>
      </c>
      <c r="Y295">
        <f>HYPERLINK("https://klasma.github.io/Logging_0883/tillsynsmail/A 21828-2023 tillsynsbegäran mail.docx", "A 21828-2023")</f>
        <v/>
      </c>
    </row>
    <row r="296" ht="15" customHeight="1">
      <c r="A296" t="inlineStr">
        <is>
          <t>A 25436-2023</t>
        </is>
      </c>
      <c r="B296" s="1" t="n">
        <v>45089</v>
      </c>
      <c r="C296" s="1" t="n">
        <v>45822</v>
      </c>
      <c r="D296" t="inlineStr">
        <is>
          <t>KALMAR LÄN</t>
        </is>
      </c>
      <c r="E296" t="inlineStr">
        <is>
          <t>VÄSTERVIK</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HYPERLINK("https://klasma.github.io/Logging_0883/artfynd/A 25436-2023 artfynd.xlsx", "A 25436-2023")</f>
        <v/>
      </c>
      <c r="T296">
        <f>HYPERLINK("https://klasma.github.io/Logging_0883/kartor/A 25436-2023 karta.png", "A 25436-2023")</f>
        <v/>
      </c>
      <c r="U296">
        <f>HYPERLINK("https://klasma.github.io/Logging_0883/knärot/A 25436-2023 karta knärot.png", "A 25436-2023")</f>
        <v/>
      </c>
      <c r="V296">
        <f>HYPERLINK("https://klasma.github.io/Logging_0883/klagomål/A 25436-2023 FSC-klagomål.docx", "A 25436-2023")</f>
        <v/>
      </c>
      <c r="W296">
        <f>HYPERLINK("https://klasma.github.io/Logging_0883/klagomålsmail/A 25436-2023 FSC-klagomål mail.docx", "A 25436-2023")</f>
        <v/>
      </c>
      <c r="X296">
        <f>HYPERLINK("https://klasma.github.io/Logging_0883/tillsyn/A 25436-2023 tillsynsbegäran.docx", "A 25436-2023")</f>
        <v/>
      </c>
      <c r="Y296">
        <f>HYPERLINK("https://klasma.github.io/Logging_0883/tillsynsmail/A 25436-2023 tillsynsbegäran mail.docx", "A 25436-2023")</f>
        <v/>
      </c>
    </row>
    <row r="297" ht="15" customHeight="1">
      <c r="A297" t="inlineStr">
        <is>
          <t>A 25433-2023</t>
        </is>
      </c>
      <c r="B297" s="1" t="n">
        <v>45089</v>
      </c>
      <c r="C297" s="1" t="n">
        <v>45822</v>
      </c>
      <c r="D297" t="inlineStr">
        <is>
          <t>KALMAR LÄN</t>
        </is>
      </c>
      <c r="E297" t="inlineStr">
        <is>
          <t>VÄSTERVIK</t>
        </is>
      </c>
      <c r="G297" t="n">
        <v>2.3</v>
      </c>
      <c r="H297" t="n">
        <v>1</v>
      </c>
      <c r="I297" t="n">
        <v>0</v>
      </c>
      <c r="J297" t="n">
        <v>0</v>
      </c>
      <c r="K297" t="n">
        <v>1</v>
      </c>
      <c r="L297" t="n">
        <v>0</v>
      </c>
      <c r="M297" t="n">
        <v>0</v>
      </c>
      <c r="N297" t="n">
        <v>0</v>
      </c>
      <c r="O297" t="n">
        <v>1</v>
      </c>
      <c r="P297" t="n">
        <v>1</v>
      </c>
      <c r="Q297" t="n">
        <v>1</v>
      </c>
      <c r="R297" s="2" t="inlineStr">
        <is>
          <t>Knärot</t>
        </is>
      </c>
      <c r="S297">
        <f>HYPERLINK("https://klasma.github.io/Logging_0883/artfynd/A 25433-2023 artfynd.xlsx", "A 25433-2023")</f>
        <v/>
      </c>
      <c r="T297">
        <f>HYPERLINK("https://klasma.github.io/Logging_0883/kartor/A 25433-2023 karta.png", "A 25433-2023")</f>
        <v/>
      </c>
      <c r="U297">
        <f>HYPERLINK("https://klasma.github.io/Logging_0883/knärot/A 25433-2023 karta knärot.png", "A 25433-2023")</f>
        <v/>
      </c>
      <c r="V297">
        <f>HYPERLINK("https://klasma.github.io/Logging_0883/klagomål/A 25433-2023 FSC-klagomål.docx", "A 25433-2023")</f>
        <v/>
      </c>
      <c r="W297">
        <f>HYPERLINK("https://klasma.github.io/Logging_0883/klagomålsmail/A 25433-2023 FSC-klagomål mail.docx", "A 25433-2023")</f>
        <v/>
      </c>
      <c r="X297">
        <f>HYPERLINK("https://klasma.github.io/Logging_0883/tillsyn/A 25433-2023 tillsynsbegäran.docx", "A 25433-2023")</f>
        <v/>
      </c>
      <c r="Y297">
        <f>HYPERLINK("https://klasma.github.io/Logging_0883/tillsynsmail/A 25433-2023 tillsynsbegäran mail.docx", "A 25433-2023")</f>
        <v/>
      </c>
    </row>
    <row r="298" ht="15" customHeight="1">
      <c r="A298" t="inlineStr">
        <is>
          <t>A 25563-2023</t>
        </is>
      </c>
      <c r="B298" s="1" t="n">
        <v>45089</v>
      </c>
      <c r="C298" s="1" t="n">
        <v>45822</v>
      </c>
      <c r="D298" t="inlineStr">
        <is>
          <t>KALMAR LÄN</t>
        </is>
      </c>
      <c r="E298" t="inlineStr">
        <is>
          <t>VÄSTERVIK</t>
        </is>
      </c>
      <c r="G298" t="n">
        <v>1.6</v>
      </c>
      <c r="H298" t="n">
        <v>1</v>
      </c>
      <c r="I298" t="n">
        <v>0</v>
      </c>
      <c r="J298" t="n">
        <v>1</v>
      </c>
      <c r="K298" t="n">
        <v>0</v>
      </c>
      <c r="L298" t="n">
        <v>0</v>
      </c>
      <c r="M298" t="n">
        <v>0</v>
      </c>
      <c r="N298" t="n">
        <v>0</v>
      </c>
      <c r="O298" t="n">
        <v>1</v>
      </c>
      <c r="P298" t="n">
        <v>0</v>
      </c>
      <c r="Q298" t="n">
        <v>1</v>
      </c>
      <c r="R298" s="2" t="inlineStr">
        <is>
          <t>Talltita</t>
        </is>
      </c>
      <c r="S298">
        <f>HYPERLINK("https://klasma.github.io/Logging_0883/artfynd/A 25563-2023 artfynd.xlsx", "A 25563-2023")</f>
        <v/>
      </c>
      <c r="T298">
        <f>HYPERLINK("https://klasma.github.io/Logging_0883/kartor/A 25563-2023 karta.png", "A 25563-2023")</f>
        <v/>
      </c>
      <c r="V298">
        <f>HYPERLINK("https://klasma.github.io/Logging_0883/klagomål/A 25563-2023 FSC-klagomål.docx", "A 25563-2023")</f>
        <v/>
      </c>
      <c r="W298">
        <f>HYPERLINK("https://klasma.github.io/Logging_0883/klagomålsmail/A 25563-2023 FSC-klagomål mail.docx", "A 25563-2023")</f>
        <v/>
      </c>
      <c r="X298">
        <f>HYPERLINK("https://klasma.github.io/Logging_0883/tillsyn/A 25563-2023 tillsynsbegäran.docx", "A 25563-2023")</f>
        <v/>
      </c>
      <c r="Y298">
        <f>HYPERLINK("https://klasma.github.io/Logging_0883/tillsynsmail/A 25563-2023 tillsynsbegäran mail.docx", "A 25563-2023")</f>
        <v/>
      </c>
      <c r="Z298">
        <f>HYPERLINK("https://klasma.github.io/Logging_0883/fåglar/A 25563-2023 prioriterade fågelarter.docx", "A 25563-2023")</f>
        <v/>
      </c>
    </row>
    <row r="299" ht="15" customHeight="1">
      <c r="A299" t="inlineStr">
        <is>
          <t>A 26278-2023</t>
        </is>
      </c>
      <c r="B299" s="1" t="n">
        <v>45091</v>
      </c>
      <c r="C299" s="1" t="n">
        <v>45822</v>
      </c>
      <c r="D299" t="inlineStr">
        <is>
          <t>KALMAR LÄN</t>
        </is>
      </c>
      <c r="E299" t="inlineStr">
        <is>
          <t>VÄSTERVIK</t>
        </is>
      </c>
      <c r="G299" t="n">
        <v>3.1</v>
      </c>
      <c r="H299" t="n">
        <v>1</v>
      </c>
      <c r="I299" t="n">
        <v>0</v>
      </c>
      <c r="J299" t="n">
        <v>0</v>
      </c>
      <c r="K299" t="n">
        <v>1</v>
      </c>
      <c r="L299" t="n">
        <v>0</v>
      </c>
      <c r="M299" t="n">
        <v>0</v>
      </c>
      <c r="N299" t="n">
        <v>0</v>
      </c>
      <c r="O299" t="n">
        <v>1</v>
      </c>
      <c r="P299" t="n">
        <v>1</v>
      </c>
      <c r="Q299" t="n">
        <v>1</v>
      </c>
      <c r="R299" s="2" t="inlineStr">
        <is>
          <t>Knärot</t>
        </is>
      </c>
      <c r="S299">
        <f>HYPERLINK("https://klasma.github.io/Logging_0883/artfynd/A 26278-2023 artfynd.xlsx", "A 26278-2023")</f>
        <v/>
      </c>
      <c r="T299">
        <f>HYPERLINK("https://klasma.github.io/Logging_0883/kartor/A 26278-2023 karta.png", "A 26278-2023")</f>
        <v/>
      </c>
      <c r="U299">
        <f>HYPERLINK("https://klasma.github.io/Logging_0883/knärot/A 26278-2023 karta knärot.png", "A 26278-2023")</f>
        <v/>
      </c>
      <c r="V299">
        <f>HYPERLINK("https://klasma.github.io/Logging_0883/klagomål/A 26278-2023 FSC-klagomål.docx", "A 26278-2023")</f>
        <v/>
      </c>
      <c r="W299">
        <f>HYPERLINK("https://klasma.github.io/Logging_0883/klagomålsmail/A 26278-2023 FSC-klagomål mail.docx", "A 26278-2023")</f>
        <v/>
      </c>
      <c r="X299">
        <f>HYPERLINK("https://klasma.github.io/Logging_0883/tillsyn/A 26278-2023 tillsynsbegäran.docx", "A 26278-2023")</f>
        <v/>
      </c>
      <c r="Y299">
        <f>HYPERLINK("https://klasma.github.io/Logging_0883/tillsynsmail/A 26278-2023 tillsynsbegäran mail.docx", "A 26278-2023")</f>
        <v/>
      </c>
    </row>
    <row r="300" ht="15" customHeight="1">
      <c r="A300" t="inlineStr">
        <is>
          <t>A 28495-2023</t>
        </is>
      </c>
      <c r="B300" s="1" t="n">
        <v>45103</v>
      </c>
      <c r="C300" s="1" t="n">
        <v>45822</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28495-2023 artfynd.xlsx", "A 28495-2023")</f>
        <v/>
      </c>
      <c r="T300">
        <f>HYPERLINK("https://klasma.github.io/Logging_0883/kartor/A 28495-2023 karta.png", "A 28495-2023")</f>
        <v/>
      </c>
      <c r="U300">
        <f>HYPERLINK("https://klasma.github.io/Logging_0883/knärot/A 28495-2023 karta knärot.png", "A 28495-2023")</f>
        <v/>
      </c>
      <c r="V300">
        <f>HYPERLINK("https://klasma.github.io/Logging_0883/klagomål/A 28495-2023 FSC-klagomål.docx", "A 28495-2023")</f>
        <v/>
      </c>
      <c r="W300">
        <f>HYPERLINK("https://klasma.github.io/Logging_0883/klagomålsmail/A 28495-2023 FSC-klagomål mail.docx", "A 28495-2023")</f>
        <v/>
      </c>
      <c r="X300">
        <f>HYPERLINK("https://klasma.github.io/Logging_0883/tillsyn/A 28495-2023 tillsynsbegäran.docx", "A 28495-2023")</f>
        <v/>
      </c>
      <c r="Y300">
        <f>HYPERLINK("https://klasma.github.io/Logging_0883/tillsynsmail/A 28495-2023 tillsynsbegäran mail.docx", "A 28495-2023")</f>
        <v/>
      </c>
    </row>
    <row r="301" ht="15" customHeight="1">
      <c r="A301" t="inlineStr">
        <is>
          <t>A 32653-2023</t>
        </is>
      </c>
      <c r="B301" s="1" t="n">
        <v>45121</v>
      </c>
      <c r="C301" s="1" t="n">
        <v>45822</v>
      </c>
      <c r="D301" t="inlineStr">
        <is>
          <t>KALMAR LÄN</t>
        </is>
      </c>
      <c r="E301" t="inlineStr">
        <is>
          <t>VÄSTERVIK</t>
        </is>
      </c>
      <c r="G301" t="n">
        <v>1.4</v>
      </c>
      <c r="H301" t="n">
        <v>1</v>
      </c>
      <c r="I301" t="n">
        <v>0</v>
      </c>
      <c r="J301" t="n">
        <v>0</v>
      </c>
      <c r="K301" t="n">
        <v>1</v>
      </c>
      <c r="L301" t="n">
        <v>0</v>
      </c>
      <c r="M301" t="n">
        <v>0</v>
      </c>
      <c r="N301" t="n">
        <v>0</v>
      </c>
      <c r="O301" t="n">
        <v>1</v>
      </c>
      <c r="P301" t="n">
        <v>1</v>
      </c>
      <c r="Q301" t="n">
        <v>1</v>
      </c>
      <c r="R301" s="2" t="inlineStr">
        <is>
          <t>Knärot</t>
        </is>
      </c>
      <c r="S301">
        <f>HYPERLINK("https://klasma.github.io/Logging_0883/artfynd/A 32653-2023 artfynd.xlsx", "A 32653-2023")</f>
        <v/>
      </c>
      <c r="T301">
        <f>HYPERLINK("https://klasma.github.io/Logging_0883/kartor/A 32653-2023 karta.png", "A 32653-2023")</f>
        <v/>
      </c>
      <c r="U301">
        <f>HYPERLINK("https://klasma.github.io/Logging_0883/knärot/A 32653-2023 karta knärot.png", "A 32653-2023")</f>
        <v/>
      </c>
      <c r="V301">
        <f>HYPERLINK("https://klasma.github.io/Logging_0883/klagomål/A 32653-2023 FSC-klagomål.docx", "A 32653-2023")</f>
        <v/>
      </c>
      <c r="W301">
        <f>HYPERLINK("https://klasma.github.io/Logging_0883/klagomålsmail/A 32653-2023 FSC-klagomål mail.docx", "A 32653-2023")</f>
        <v/>
      </c>
      <c r="X301">
        <f>HYPERLINK("https://klasma.github.io/Logging_0883/tillsyn/A 32653-2023 tillsynsbegäran.docx", "A 32653-2023")</f>
        <v/>
      </c>
      <c r="Y301">
        <f>HYPERLINK("https://klasma.github.io/Logging_0883/tillsynsmail/A 32653-2023 tillsynsbegäran mail.docx", "A 32653-2023")</f>
        <v/>
      </c>
    </row>
    <row r="302" ht="15" customHeight="1">
      <c r="A302" t="inlineStr">
        <is>
          <t>A 33816-2023</t>
        </is>
      </c>
      <c r="B302" s="1" t="n">
        <v>45133</v>
      </c>
      <c r="C302" s="1" t="n">
        <v>45822</v>
      </c>
      <c r="D302" t="inlineStr">
        <is>
          <t>KALMAR LÄN</t>
        </is>
      </c>
      <c r="E302" t="inlineStr">
        <is>
          <t>VÄSTERVIK</t>
        </is>
      </c>
      <c r="G302" t="n">
        <v>4.9</v>
      </c>
      <c r="H302" t="n">
        <v>0</v>
      </c>
      <c r="I302" t="n">
        <v>0</v>
      </c>
      <c r="J302" t="n">
        <v>1</v>
      </c>
      <c r="K302" t="n">
        <v>0</v>
      </c>
      <c r="L302" t="n">
        <v>0</v>
      </c>
      <c r="M302" t="n">
        <v>0</v>
      </c>
      <c r="N302" t="n">
        <v>0</v>
      </c>
      <c r="O302" t="n">
        <v>1</v>
      </c>
      <c r="P302" t="n">
        <v>0</v>
      </c>
      <c r="Q302" t="n">
        <v>1</v>
      </c>
      <c r="R302" s="2" t="inlineStr">
        <is>
          <t>Tallticka</t>
        </is>
      </c>
      <c r="S302">
        <f>HYPERLINK("https://klasma.github.io/Logging_0883/artfynd/A 33816-2023 artfynd.xlsx", "A 33816-2023")</f>
        <v/>
      </c>
      <c r="T302">
        <f>HYPERLINK("https://klasma.github.io/Logging_0883/kartor/A 33816-2023 karta.png", "A 33816-2023")</f>
        <v/>
      </c>
      <c r="V302">
        <f>HYPERLINK("https://klasma.github.io/Logging_0883/klagomål/A 33816-2023 FSC-klagomål.docx", "A 33816-2023")</f>
        <v/>
      </c>
      <c r="W302">
        <f>HYPERLINK("https://klasma.github.io/Logging_0883/klagomålsmail/A 33816-2023 FSC-klagomål mail.docx", "A 33816-2023")</f>
        <v/>
      </c>
      <c r="X302">
        <f>HYPERLINK("https://klasma.github.io/Logging_0883/tillsyn/A 33816-2023 tillsynsbegäran.docx", "A 33816-2023")</f>
        <v/>
      </c>
      <c r="Y302">
        <f>HYPERLINK("https://klasma.github.io/Logging_0883/tillsynsmail/A 33816-2023 tillsynsbegäran mail.docx", "A 33816-2023")</f>
        <v/>
      </c>
    </row>
    <row r="303" ht="15" customHeight="1">
      <c r="A303" t="inlineStr">
        <is>
          <t>A 33815-2023</t>
        </is>
      </c>
      <c r="B303" s="1" t="n">
        <v>45133</v>
      </c>
      <c r="C303" s="1" t="n">
        <v>45822</v>
      </c>
      <c r="D303" t="inlineStr">
        <is>
          <t>KALMAR LÄN</t>
        </is>
      </c>
      <c r="E303" t="inlineStr">
        <is>
          <t>VÄSTERVIK</t>
        </is>
      </c>
      <c r="G303" t="n">
        <v>3.4</v>
      </c>
      <c r="H303" t="n">
        <v>0</v>
      </c>
      <c r="I303" t="n">
        <v>1</v>
      </c>
      <c r="J303" t="n">
        <v>0</v>
      </c>
      <c r="K303" t="n">
        <v>0</v>
      </c>
      <c r="L303" t="n">
        <v>0</v>
      </c>
      <c r="M303" t="n">
        <v>0</v>
      </c>
      <c r="N303" t="n">
        <v>0</v>
      </c>
      <c r="O303" t="n">
        <v>0</v>
      </c>
      <c r="P303" t="n">
        <v>0</v>
      </c>
      <c r="Q303" t="n">
        <v>1</v>
      </c>
      <c r="R303" s="2" t="inlineStr">
        <is>
          <t>Grönpyrola</t>
        </is>
      </c>
      <c r="S303">
        <f>HYPERLINK("https://klasma.github.io/Logging_0883/artfynd/A 33815-2023 artfynd.xlsx", "A 33815-2023")</f>
        <v/>
      </c>
      <c r="T303">
        <f>HYPERLINK("https://klasma.github.io/Logging_0883/kartor/A 33815-2023 karta.png", "A 33815-2023")</f>
        <v/>
      </c>
      <c r="V303">
        <f>HYPERLINK("https://klasma.github.io/Logging_0883/klagomål/A 33815-2023 FSC-klagomål.docx", "A 33815-2023")</f>
        <v/>
      </c>
      <c r="W303">
        <f>HYPERLINK("https://klasma.github.io/Logging_0883/klagomålsmail/A 33815-2023 FSC-klagomål mail.docx", "A 33815-2023")</f>
        <v/>
      </c>
      <c r="X303">
        <f>HYPERLINK("https://klasma.github.io/Logging_0883/tillsyn/A 33815-2023 tillsynsbegäran.docx", "A 33815-2023")</f>
        <v/>
      </c>
      <c r="Y303">
        <f>HYPERLINK("https://klasma.github.io/Logging_0883/tillsynsmail/A 33815-2023 tillsynsbegäran mail.docx", "A 33815-2023")</f>
        <v/>
      </c>
    </row>
    <row r="304" ht="15" customHeight="1">
      <c r="A304" t="inlineStr">
        <is>
          <t>A 34563-2023</t>
        </is>
      </c>
      <c r="B304" s="1" t="n">
        <v>45140</v>
      </c>
      <c r="C304" s="1" t="n">
        <v>45822</v>
      </c>
      <c r="D304" t="inlineStr">
        <is>
          <t>KALMAR LÄN</t>
        </is>
      </c>
      <c r="E304" t="inlineStr">
        <is>
          <t>VÄSTERVIK</t>
        </is>
      </c>
      <c r="G304" t="n">
        <v>1.4</v>
      </c>
      <c r="H304" t="n">
        <v>0</v>
      </c>
      <c r="I304" t="n">
        <v>1</v>
      </c>
      <c r="J304" t="n">
        <v>0</v>
      </c>
      <c r="K304" t="n">
        <v>0</v>
      </c>
      <c r="L304" t="n">
        <v>0</v>
      </c>
      <c r="M304" t="n">
        <v>0</v>
      </c>
      <c r="N304" t="n">
        <v>0</v>
      </c>
      <c r="O304" t="n">
        <v>0</v>
      </c>
      <c r="P304" t="n">
        <v>0</v>
      </c>
      <c r="Q304" t="n">
        <v>1</v>
      </c>
      <c r="R304" s="2" t="inlineStr">
        <is>
          <t>Fjällig taggsvamp s.str.</t>
        </is>
      </c>
      <c r="S304">
        <f>HYPERLINK("https://klasma.github.io/Logging_0883/artfynd/A 34563-2023 artfynd.xlsx", "A 34563-2023")</f>
        <v/>
      </c>
      <c r="T304">
        <f>HYPERLINK("https://klasma.github.io/Logging_0883/kartor/A 34563-2023 karta.png", "A 34563-2023")</f>
        <v/>
      </c>
      <c r="U304">
        <f>HYPERLINK("https://klasma.github.io/Logging_0883/knärot/A 34563-2023 karta knärot.png", "A 34563-2023")</f>
        <v/>
      </c>
      <c r="V304">
        <f>HYPERLINK("https://klasma.github.io/Logging_0883/klagomål/A 34563-2023 FSC-klagomål.docx", "A 34563-2023")</f>
        <v/>
      </c>
      <c r="W304">
        <f>HYPERLINK("https://klasma.github.io/Logging_0883/klagomålsmail/A 34563-2023 FSC-klagomål mail.docx", "A 34563-2023")</f>
        <v/>
      </c>
      <c r="X304">
        <f>HYPERLINK("https://klasma.github.io/Logging_0883/tillsyn/A 34563-2023 tillsynsbegäran.docx", "A 34563-2023")</f>
        <v/>
      </c>
      <c r="Y304">
        <f>HYPERLINK("https://klasma.github.io/Logging_0883/tillsynsmail/A 34563-2023 tillsynsbegäran mail.docx", "A 34563-2023")</f>
        <v/>
      </c>
    </row>
    <row r="305" ht="15" customHeight="1">
      <c r="A305" t="inlineStr">
        <is>
          <t>A 36400-2023</t>
        </is>
      </c>
      <c r="B305" s="1" t="n">
        <v>45152</v>
      </c>
      <c r="C305" s="1" t="n">
        <v>45822</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36400-2023 artfynd.xlsx", "A 36400-2023")</f>
        <v/>
      </c>
      <c r="T305">
        <f>HYPERLINK("https://klasma.github.io/Logging_0883/kartor/A 36400-2023 karta.png", "A 36400-2023")</f>
        <v/>
      </c>
      <c r="U305">
        <f>HYPERLINK("https://klasma.github.io/Logging_0883/knärot/A 36400-2023 karta knärot.png", "A 36400-2023")</f>
        <v/>
      </c>
      <c r="V305">
        <f>HYPERLINK("https://klasma.github.io/Logging_0883/klagomål/A 36400-2023 FSC-klagomål.docx", "A 36400-2023")</f>
        <v/>
      </c>
      <c r="W305">
        <f>HYPERLINK("https://klasma.github.io/Logging_0883/klagomålsmail/A 36400-2023 FSC-klagomål mail.docx", "A 36400-2023")</f>
        <v/>
      </c>
      <c r="X305">
        <f>HYPERLINK("https://klasma.github.io/Logging_0883/tillsyn/A 36400-2023 tillsynsbegäran.docx", "A 36400-2023")</f>
        <v/>
      </c>
      <c r="Y305">
        <f>HYPERLINK("https://klasma.github.io/Logging_0883/tillsynsmail/A 36400-2023 tillsynsbegäran mail.docx", "A 36400-2023")</f>
        <v/>
      </c>
    </row>
    <row r="306" ht="15" customHeight="1">
      <c r="A306" t="inlineStr">
        <is>
          <t>A 43788-2023</t>
        </is>
      </c>
      <c r="B306" s="1" t="n">
        <v>45187</v>
      </c>
      <c r="C306" s="1" t="n">
        <v>45822</v>
      </c>
      <c r="D306" t="inlineStr">
        <is>
          <t>KALMAR LÄN</t>
        </is>
      </c>
      <c r="E306" t="inlineStr">
        <is>
          <t>VÄSTERVIK</t>
        </is>
      </c>
      <c r="G306" t="n">
        <v>4.5</v>
      </c>
      <c r="H306" t="n">
        <v>0</v>
      </c>
      <c r="I306" t="n">
        <v>0</v>
      </c>
      <c r="J306" t="n">
        <v>1</v>
      </c>
      <c r="K306" t="n">
        <v>0</v>
      </c>
      <c r="L306" t="n">
        <v>0</v>
      </c>
      <c r="M306" t="n">
        <v>0</v>
      </c>
      <c r="N306" t="n">
        <v>0</v>
      </c>
      <c r="O306" t="n">
        <v>1</v>
      </c>
      <c r="P306" t="n">
        <v>0</v>
      </c>
      <c r="Q306" t="n">
        <v>1</v>
      </c>
      <c r="R306" s="2" t="inlineStr">
        <is>
          <t>Motaggsvamp</t>
        </is>
      </c>
      <c r="S306">
        <f>HYPERLINK("https://klasma.github.io/Logging_0883/artfynd/A 43788-2023 artfynd.xlsx", "A 43788-2023")</f>
        <v/>
      </c>
      <c r="T306">
        <f>HYPERLINK("https://klasma.github.io/Logging_0883/kartor/A 43788-2023 karta.png", "A 43788-2023")</f>
        <v/>
      </c>
      <c r="V306">
        <f>HYPERLINK("https://klasma.github.io/Logging_0883/klagomål/A 43788-2023 FSC-klagomål.docx", "A 43788-2023")</f>
        <v/>
      </c>
      <c r="W306">
        <f>HYPERLINK("https://klasma.github.io/Logging_0883/klagomålsmail/A 43788-2023 FSC-klagomål mail.docx", "A 43788-2023")</f>
        <v/>
      </c>
      <c r="X306">
        <f>HYPERLINK("https://klasma.github.io/Logging_0883/tillsyn/A 43788-2023 tillsynsbegäran.docx", "A 43788-2023")</f>
        <v/>
      </c>
      <c r="Y306">
        <f>HYPERLINK("https://klasma.github.io/Logging_0883/tillsynsmail/A 43788-2023 tillsynsbegäran mail.docx", "A 43788-2023")</f>
        <v/>
      </c>
    </row>
    <row r="307" ht="15" customHeight="1">
      <c r="A307" t="inlineStr">
        <is>
          <t>A 46722-2023</t>
        </is>
      </c>
      <c r="B307" s="1" t="n">
        <v>45194</v>
      </c>
      <c r="C307" s="1" t="n">
        <v>45822</v>
      </c>
      <c r="D307" t="inlineStr">
        <is>
          <t>KALMAR LÄN</t>
        </is>
      </c>
      <c r="E307" t="inlineStr">
        <is>
          <t>VÄSTERVIK</t>
        </is>
      </c>
      <c r="G307" t="n">
        <v>0.9</v>
      </c>
      <c r="H307" t="n">
        <v>1</v>
      </c>
      <c r="I307" t="n">
        <v>0</v>
      </c>
      <c r="J307" t="n">
        <v>0</v>
      </c>
      <c r="K307" t="n">
        <v>1</v>
      </c>
      <c r="L307" t="n">
        <v>0</v>
      </c>
      <c r="M307" t="n">
        <v>0</v>
      </c>
      <c r="N307" t="n">
        <v>0</v>
      </c>
      <c r="O307" t="n">
        <v>1</v>
      </c>
      <c r="P307" t="n">
        <v>1</v>
      </c>
      <c r="Q307" t="n">
        <v>1</v>
      </c>
      <c r="R307" s="2" t="inlineStr">
        <is>
          <t>Knärot</t>
        </is>
      </c>
      <c r="S307">
        <f>HYPERLINK("https://klasma.github.io/Logging_0883/artfynd/A 46722-2023 artfynd.xlsx", "A 46722-2023")</f>
        <v/>
      </c>
      <c r="T307">
        <f>HYPERLINK("https://klasma.github.io/Logging_0883/kartor/A 46722-2023 karta.png", "A 46722-2023")</f>
        <v/>
      </c>
      <c r="U307">
        <f>HYPERLINK("https://klasma.github.io/Logging_0883/knärot/A 46722-2023 karta knärot.png", "A 46722-2023")</f>
        <v/>
      </c>
      <c r="V307">
        <f>HYPERLINK("https://klasma.github.io/Logging_0883/klagomål/A 46722-2023 FSC-klagomål.docx", "A 46722-2023")</f>
        <v/>
      </c>
      <c r="W307">
        <f>HYPERLINK("https://klasma.github.io/Logging_0883/klagomålsmail/A 46722-2023 FSC-klagomål mail.docx", "A 46722-2023")</f>
        <v/>
      </c>
      <c r="X307">
        <f>HYPERLINK("https://klasma.github.io/Logging_0883/tillsyn/A 46722-2023 tillsynsbegäran.docx", "A 46722-2023")</f>
        <v/>
      </c>
      <c r="Y307">
        <f>HYPERLINK("https://klasma.github.io/Logging_0883/tillsynsmail/A 46722-2023 tillsynsbegäran mail.docx", "A 46722-2023")</f>
        <v/>
      </c>
    </row>
    <row r="308" ht="15" customHeight="1">
      <c r="A308" t="inlineStr">
        <is>
          <t>A 47112-2023</t>
        </is>
      </c>
      <c r="B308" s="1" t="n">
        <v>45201</v>
      </c>
      <c r="C308" s="1" t="n">
        <v>45822</v>
      </c>
      <c r="D308" t="inlineStr">
        <is>
          <t>KALMAR LÄN</t>
        </is>
      </c>
      <c r="E308" t="inlineStr">
        <is>
          <t>VÄSTERVIK</t>
        </is>
      </c>
      <c r="G308" t="n">
        <v>1</v>
      </c>
      <c r="H308" t="n">
        <v>0</v>
      </c>
      <c r="I308" t="n">
        <v>0</v>
      </c>
      <c r="J308" t="n">
        <v>1</v>
      </c>
      <c r="K308" t="n">
        <v>0</v>
      </c>
      <c r="L308" t="n">
        <v>0</v>
      </c>
      <c r="M308" t="n">
        <v>0</v>
      </c>
      <c r="N308" t="n">
        <v>0</v>
      </c>
      <c r="O308" t="n">
        <v>1</v>
      </c>
      <c r="P308" t="n">
        <v>0</v>
      </c>
      <c r="Q308" t="n">
        <v>1</v>
      </c>
      <c r="R308" s="2" t="inlineStr">
        <is>
          <t>Tallticka</t>
        </is>
      </c>
      <c r="S308">
        <f>HYPERLINK("https://klasma.github.io/Logging_0883/artfynd/A 47112-2023 artfynd.xlsx", "A 47112-2023")</f>
        <v/>
      </c>
      <c r="T308">
        <f>HYPERLINK("https://klasma.github.io/Logging_0883/kartor/A 47112-2023 karta.png", "A 47112-2023")</f>
        <v/>
      </c>
      <c r="V308">
        <f>HYPERLINK("https://klasma.github.io/Logging_0883/klagomål/A 47112-2023 FSC-klagomål.docx", "A 47112-2023")</f>
        <v/>
      </c>
      <c r="W308">
        <f>HYPERLINK("https://klasma.github.io/Logging_0883/klagomålsmail/A 47112-2023 FSC-klagomål mail.docx", "A 47112-2023")</f>
        <v/>
      </c>
      <c r="X308">
        <f>HYPERLINK("https://klasma.github.io/Logging_0883/tillsyn/A 47112-2023 tillsynsbegäran.docx", "A 47112-2023")</f>
        <v/>
      </c>
      <c r="Y308">
        <f>HYPERLINK("https://klasma.github.io/Logging_0883/tillsynsmail/A 47112-2023 tillsynsbegäran mail.docx", "A 47112-2023")</f>
        <v/>
      </c>
    </row>
    <row r="309" ht="15" customHeight="1">
      <c r="A309" t="inlineStr">
        <is>
          <t>A 49680-2023</t>
        </is>
      </c>
      <c r="B309" s="1" t="n">
        <v>45212</v>
      </c>
      <c r="C309" s="1" t="n">
        <v>45822</v>
      </c>
      <c r="D309" t="inlineStr">
        <is>
          <t>KALMAR LÄN</t>
        </is>
      </c>
      <c r="E309" t="inlineStr">
        <is>
          <t>VÄSTERVIK</t>
        </is>
      </c>
      <c r="G309" t="n">
        <v>3.3</v>
      </c>
      <c r="H309" t="n">
        <v>0</v>
      </c>
      <c r="I309" t="n">
        <v>0</v>
      </c>
      <c r="J309" t="n">
        <v>1</v>
      </c>
      <c r="K309" t="n">
        <v>0</v>
      </c>
      <c r="L309" t="n">
        <v>0</v>
      </c>
      <c r="M309" t="n">
        <v>0</v>
      </c>
      <c r="N309" t="n">
        <v>0</v>
      </c>
      <c r="O309" t="n">
        <v>1</v>
      </c>
      <c r="P309" t="n">
        <v>0</v>
      </c>
      <c r="Q309" t="n">
        <v>1</v>
      </c>
      <c r="R309" s="2" t="inlineStr">
        <is>
          <t>Skogsklocka</t>
        </is>
      </c>
      <c r="S309">
        <f>HYPERLINK("https://klasma.github.io/Logging_0883/artfynd/A 49680-2023 artfynd.xlsx", "A 49680-2023")</f>
        <v/>
      </c>
      <c r="T309">
        <f>HYPERLINK("https://klasma.github.io/Logging_0883/kartor/A 49680-2023 karta.png", "A 49680-2023")</f>
        <v/>
      </c>
      <c r="V309">
        <f>HYPERLINK("https://klasma.github.io/Logging_0883/klagomål/A 49680-2023 FSC-klagomål.docx", "A 49680-2023")</f>
        <v/>
      </c>
      <c r="W309">
        <f>HYPERLINK("https://klasma.github.io/Logging_0883/klagomålsmail/A 49680-2023 FSC-klagomål mail.docx", "A 49680-2023")</f>
        <v/>
      </c>
      <c r="X309">
        <f>HYPERLINK("https://klasma.github.io/Logging_0883/tillsyn/A 49680-2023 tillsynsbegäran.docx", "A 49680-2023")</f>
        <v/>
      </c>
      <c r="Y309">
        <f>HYPERLINK("https://klasma.github.io/Logging_0883/tillsynsmail/A 49680-2023 tillsynsbegäran mail.docx", "A 49680-2023")</f>
        <v/>
      </c>
    </row>
    <row r="310" ht="15" customHeight="1">
      <c r="A310" t="inlineStr">
        <is>
          <t>A 54272-2023</t>
        </is>
      </c>
      <c r="B310" s="1" t="n">
        <v>45232</v>
      </c>
      <c r="C310" s="1" t="n">
        <v>45822</v>
      </c>
      <c r="D310" t="inlineStr">
        <is>
          <t>KALMAR LÄN</t>
        </is>
      </c>
      <c r="E310" t="inlineStr">
        <is>
          <t>VÄSTERVIK</t>
        </is>
      </c>
      <c r="G310" t="n">
        <v>1</v>
      </c>
      <c r="H310" t="n">
        <v>0</v>
      </c>
      <c r="I310" t="n">
        <v>1</v>
      </c>
      <c r="J310" t="n">
        <v>0</v>
      </c>
      <c r="K310" t="n">
        <v>0</v>
      </c>
      <c r="L310" t="n">
        <v>0</v>
      </c>
      <c r="M310" t="n">
        <v>0</v>
      </c>
      <c r="N310" t="n">
        <v>0</v>
      </c>
      <c r="O310" t="n">
        <v>0</v>
      </c>
      <c r="P310" t="n">
        <v>0</v>
      </c>
      <c r="Q310" t="n">
        <v>1</v>
      </c>
      <c r="R310" s="2" t="inlineStr">
        <is>
          <t>Aprikosfingersvamp</t>
        </is>
      </c>
      <c r="S310">
        <f>HYPERLINK("https://klasma.github.io/Logging_0883/artfynd/A 54272-2023 artfynd.xlsx", "A 54272-2023")</f>
        <v/>
      </c>
      <c r="T310">
        <f>HYPERLINK("https://klasma.github.io/Logging_0883/kartor/A 54272-2023 karta.png", "A 54272-2023")</f>
        <v/>
      </c>
      <c r="V310">
        <f>HYPERLINK("https://klasma.github.io/Logging_0883/klagomål/A 54272-2023 FSC-klagomål.docx", "A 54272-2023")</f>
        <v/>
      </c>
      <c r="W310">
        <f>HYPERLINK("https://klasma.github.io/Logging_0883/klagomålsmail/A 54272-2023 FSC-klagomål mail.docx", "A 54272-2023")</f>
        <v/>
      </c>
      <c r="X310">
        <f>HYPERLINK("https://klasma.github.io/Logging_0883/tillsyn/A 54272-2023 tillsynsbegäran.docx", "A 54272-2023")</f>
        <v/>
      </c>
      <c r="Y310">
        <f>HYPERLINK("https://klasma.github.io/Logging_0883/tillsynsmail/A 54272-2023 tillsynsbegäran mail.docx", "A 54272-2023")</f>
        <v/>
      </c>
    </row>
    <row r="311" ht="15" customHeight="1">
      <c r="A311" t="inlineStr">
        <is>
          <t>A 55575-2023</t>
        </is>
      </c>
      <c r="B311" s="1" t="n">
        <v>45238</v>
      </c>
      <c r="C311" s="1" t="n">
        <v>45822</v>
      </c>
      <c r="D311" t="inlineStr">
        <is>
          <t>KALMAR LÄN</t>
        </is>
      </c>
      <c r="E311" t="inlineStr">
        <is>
          <t>VÄSTERVIK</t>
        </is>
      </c>
      <c r="G311" t="n">
        <v>3.8</v>
      </c>
      <c r="H311" t="n">
        <v>1</v>
      </c>
      <c r="I311" t="n">
        <v>0</v>
      </c>
      <c r="J311" t="n">
        <v>0</v>
      </c>
      <c r="K311" t="n">
        <v>1</v>
      </c>
      <c r="L311" t="n">
        <v>0</v>
      </c>
      <c r="M311" t="n">
        <v>0</v>
      </c>
      <c r="N311" t="n">
        <v>0</v>
      </c>
      <c r="O311" t="n">
        <v>1</v>
      </c>
      <c r="P311" t="n">
        <v>1</v>
      </c>
      <c r="Q311" t="n">
        <v>1</v>
      </c>
      <c r="R311" s="2" t="inlineStr">
        <is>
          <t>Knärot</t>
        </is>
      </c>
      <c r="S311">
        <f>HYPERLINK("https://klasma.github.io/Logging_0883/artfynd/A 55575-2023 artfynd.xlsx", "A 55575-2023")</f>
        <v/>
      </c>
      <c r="T311">
        <f>HYPERLINK("https://klasma.github.io/Logging_0883/kartor/A 55575-2023 karta.png", "A 55575-2023")</f>
        <v/>
      </c>
      <c r="U311">
        <f>HYPERLINK("https://klasma.github.io/Logging_0883/knärot/A 55575-2023 karta knärot.png", "A 55575-2023")</f>
        <v/>
      </c>
      <c r="V311">
        <f>HYPERLINK("https://klasma.github.io/Logging_0883/klagomål/A 55575-2023 FSC-klagomål.docx", "A 55575-2023")</f>
        <v/>
      </c>
      <c r="W311">
        <f>HYPERLINK("https://klasma.github.io/Logging_0883/klagomålsmail/A 55575-2023 FSC-klagomål mail.docx", "A 55575-2023")</f>
        <v/>
      </c>
      <c r="X311">
        <f>HYPERLINK("https://klasma.github.io/Logging_0883/tillsyn/A 55575-2023 tillsynsbegäran.docx", "A 55575-2023")</f>
        <v/>
      </c>
      <c r="Y311">
        <f>HYPERLINK("https://klasma.github.io/Logging_0883/tillsynsmail/A 55575-2023 tillsynsbegäran mail.docx", "A 55575-2023")</f>
        <v/>
      </c>
    </row>
    <row r="312" ht="15" customHeight="1">
      <c r="A312" t="inlineStr">
        <is>
          <t>A 56186-2023</t>
        </is>
      </c>
      <c r="B312" s="1" t="n">
        <v>45240</v>
      </c>
      <c r="C312" s="1" t="n">
        <v>45822</v>
      </c>
      <c r="D312" t="inlineStr">
        <is>
          <t>KALMAR LÄN</t>
        </is>
      </c>
      <c r="E312" t="inlineStr">
        <is>
          <t>VÄSTERVIK</t>
        </is>
      </c>
      <c r="G312" t="n">
        <v>2.7</v>
      </c>
      <c r="H312" t="n">
        <v>0</v>
      </c>
      <c r="I312" t="n">
        <v>0</v>
      </c>
      <c r="J312" t="n">
        <v>1</v>
      </c>
      <c r="K312" t="n">
        <v>0</v>
      </c>
      <c r="L312" t="n">
        <v>0</v>
      </c>
      <c r="M312" t="n">
        <v>0</v>
      </c>
      <c r="N312" t="n">
        <v>0</v>
      </c>
      <c r="O312" t="n">
        <v>1</v>
      </c>
      <c r="P312" t="n">
        <v>0</v>
      </c>
      <c r="Q312" t="n">
        <v>1</v>
      </c>
      <c r="R312" s="2" t="inlineStr">
        <is>
          <t>Tallticka</t>
        </is>
      </c>
      <c r="S312">
        <f>HYPERLINK("https://klasma.github.io/Logging_0883/artfynd/A 56186-2023 artfynd.xlsx", "A 56186-2023")</f>
        <v/>
      </c>
      <c r="T312">
        <f>HYPERLINK("https://klasma.github.io/Logging_0883/kartor/A 56186-2023 karta.png", "A 56186-2023")</f>
        <v/>
      </c>
      <c r="V312">
        <f>HYPERLINK("https://klasma.github.io/Logging_0883/klagomål/A 56186-2023 FSC-klagomål.docx", "A 56186-2023")</f>
        <v/>
      </c>
      <c r="W312">
        <f>HYPERLINK("https://klasma.github.io/Logging_0883/klagomålsmail/A 56186-2023 FSC-klagomål mail.docx", "A 56186-2023")</f>
        <v/>
      </c>
      <c r="X312">
        <f>HYPERLINK("https://klasma.github.io/Logging_0883/tillsyn/A 56186-2023 tillsynsbegäran.docx", "A 56186-2023")</f>
        <v/>
      </c>
      <c r="Y312">
        <f>HYPERLINK("https://klasma.github.io/Logging_0883/tillsynsmail/A 56186-2023 tillsynsbegäran mail.docx", "A 56186-2023")</f>
        <v/>
      </c>
    </row>
    <row r="313" ht="15" customHeight="1">
      <c r="A313" t="inlineStr">
        <is>
          <t>A 59368-2023</t>
        </is>
      </c>
      <c r="B313" s="1" t="n">
        <v>45253</v>
      </c>
      <c r="C313" s="1" t="n">
        <v>45822</v>
      </c>
      <c r="D313" t="inlineStr">
        <is>
          <t>KALMAR LÄN</t>
        </is>
      </c>
      <c r="E313" t="inlineStr">
        <is>
          <t>VÄSTERVIK</t>
        </is>
      </c>
      <c r="G313" t="n">
        <v>2.4</v>
      </c>
      <c r="H313" t="n">
        <v>1</v>
      </c>
      <c r="I313" t="n">
        <v>0</v>
      </c>
      <c r="J313" t="n">
        <v>0</v>
      </c>
      <c r="K313" t="n">
        <v>1</v>
      </c>
      <c r="L313" t="n">
        <v>0</v>
      </c>
      <c r="M313" t="n">
        <v>0</v>
      </c>
      <c r="N313" t="n">
        <v>0</v>
      </c>
      <c r="O313" t="n">
        <v>1</v>
      </c>
      <c r="P313" t="n">
        <v>1</v>
      </c>
      <c r="Q313" t="n">
        <v>1</v>
      </c>
      <c r="R313" s="2" t="inlineStr">
        <is>
          <t>Knärot</t>
        </is>
      </c>
      <c r="S313">
        <f>HYPERLINK("https://klasma.github.io/Logging_0883/artfynd/A 59368-2023 artfynd.xlsx", "A 59368-2023")</f>
        <v/>
      </c>
      <c r="T313">
        <f>HYPERLINK("https://klasma.github.io/Logging_0883/kartor/A 59368-2023 karta.png", "A 59368-2023")</f>
        <v/>
      </c>
      <c r="U313">
        <f>HYPERLINK("https://klasma.github.io/Logging_0883/knärot/A 59368-2023 karta knärot.png", "A 59368-2023")</f>
        <v/>
      </c>
      <c r="V313">
        <f>HYPERLINK("https://klasma.github.io/Logging_0883/klagomål/A 59368-2023 FSC-klagomål.docx", "A 59368-2023")</f>
        <v/>
      </c>
      <c r="W313">
        <f>HYPERLINK("https://klasma.github.io/Logging_0883/klagomålsmail/A 59368-2023 FSC-klagomål mail.docx", "A 59368-2023")</f>
        <v/>
      </c>
      <c r="X313">
        <f>HYPERLINK("https://klasma.github.io/Logging_0883/tillsyn/A 59368-2023 tillsynsbegäran.docx", "A 59368-2023")</f>
        <v/>
      </c>
      <c r="Y313">
        <f>HYPERLINK("https://klasma.github.io/Logging_0883/tillsynsmail/A 59368-2023 tillsynsbegäran mail.docx", "A 59368-2023")</f>
        <v/>
      </c>
    </row>
    <row r="314" ht="15" customHeight="1">
      <c r="A314" t="inlineStr">
        <is>
          <t>A 60633-2023</t>
        </is>
      </c>
      <c r="B314" s="1" t="n">
        <v>45260</v>
      </c>
      <c r="C314" s="1" t="n">
        <v>45822</v>
      </c>
      <c r="D314" t="inlineStr">
        <is>
          <t>KALMAR LÄN</t>
        </is>
      </c>
      <c r="E314" t="inlineStr">
        <is>
          <t>VÄSTERVIK</t>
        </is>
      </c>
      <c r="G314" t="n">
        <v>1.4</v>
      </c>
      <c r="H314" t="n">
        <v>1</v>
      </c>
      <c r="I314" t="n">
        <v>0</v>
      </c>
      <c r="J314" t="n">
        <v>1</v>
      </c>
      <c r="K314" t="n">
        <v>0</v>
      </c>
      <c r="L314" t="n">
        <v>0</v>
      </c>
      <c r="M314" t="n">
        <v>0</v>
      </c>
      <c r="N314" t="n">
        <v>0</v>
      </c>
      <c r="O314" t="n">
        <v>1</v>
      </c>
      <c r="P314" t="n">
        <v>0</v>
      </c>
      <c r="Q314" t="n">
        <v>1</v>
      </c>
      <c r="R314" s="2" t="inlineStr">
        <is>
          <t>Talltita</t>
        </is>
      </c>
      <c r="S314">
        <f>HYPERLINK("https://klasma.github.io/Logging_0883/artfynd/A 60633-2023 artfynd.xlsx", "A 60633-2023")</f>
        <v/>
      </c>
      <c r="T314">
        <f>HYPERLINK("https://klasma.github.io/Logging_0883/kartor/A 60633-2023 karta.png", "A 60633-2023")</f>
        <v/>
      </c>
      <c r="V314">
        <f>HYPERLINK("https://klasma.github.io/Logging_0883/klagomål/A 60633-2023 FSC-klagomål.docx", "A 60633-2023")</f>
        <v/>
      </c>
      <c r="W314">
        <f>HYPERLINK("https://klasma.github.io/Logging_0883/klagomålsmail/A 60633-2023 FSC-klagomål mail.docx", "A 60633-2023")</f>
        <v/>
      </c>
      <c r="X314">
        <f>HYPERLINK("https://klasma.github.io/Logging_0883/tillsyn/A 60633-2023 tillsynsbegäran.docx", "A 60633-2023")</f>
        <v/>
      </c>
      <c r="Y314">
        <f>HYPERLINK("https://klasma.github.io/Logging_0883/tillsynsmail/A 60633-2023 tillsynsbegäran mail.docx", "A 60633-2023")</f>
        <v/>
      </c>
      <c r="Z314">
        <f>HYPERLINK("https://klasma.github.io/Logging_0883/fåglar/A 60633-2023 prioriterade fågelarter.docx", "A 60633-2023")</f>
        <v/>
      </c>
    </row>
    <row r="315" ht="15" customHeight="1">
      <c r="A315" t="inlineStr">
        <is>
          <t>A 61806-2023</t>
        </is>
      </c>
      <c r="B315" s="1" t="n">
        <v>45266</v>
      </c>
      <c r="C315" s="1" t="n">
        <v>45822</v>
      </c>
      <c r="D315" t="inlineStr">
        <is>
          <t>KALMAR LÄN</t>
        </is>
      </c>
      <c r="E315" t="inlineStr">
        <is>
          <t>VÄSTERVIK</t>
        </is>
      </c>
      <c r="G315" t="n">
        <v>1.1</v>
      </c>
      <c r="H315" t="n">
        <v>0</v>
      </c>
      <c r="I315" t="n">
        <v>0</v>
      </c>
      <c r="J315" t="n">
        <v>1</v>
      </c>
      <c r="K315" t="n">
        <v>0</v>
      </c>
      <c r="L315" t="n">
        <v>0</v>
      </c>
      <c r="M315" t="n">
        <v>0</v>
      </c>
      <c r="N315" t="n">
        <v>0</v>
      </c>
      <c r="O315" t="n">
        <v>1</v>
      </c>
      <c r="P315" t="n">
        <v>0</v>
      </c>
      <c r="Q315" t="n">
        <v>1</v>
      </c>
      <c r="R315" s="2" t="inlineStr">
        <is>
          <t>Veckticka</t>
        </is>
      </c>
      <c r="S315">
        <f>HYPERLINK("https://klasma.github.io/Logging_0883/artfynd/A 61806-2023 artfynd.xlsx", "A 61806-2023")</f>
        <v/>
      </c>
      <c r="T315">
        <f>HYPERLINK("https://klasma.github.io/Logging_0883/kartor/A 61806-2023 karta.png", "A 61806-2023")</f>
        <v/>
      </c>
      <c r="V315">
        <f>HYPERLINK("https://klasma.github.io/Logging_0883/klagomål/A 61806-2023 FSC-klagomål.docx", "A 61806-2023")</f>
        <v/>
      </c>
      <c r="W315">
        <f>HYPERLINK("https://klasma.github.io/Logging_0883/klagomålsmail/A 61806-2023 FSC-klagomål mail.docx", "A 61806-2023")</f>
        <v/>
      </c>
      <c r="X315">
        <f>HYPERLINK("https://klasma.github.io/Logging_0883/tillsyn/A 61806-2023 tillsynsbegäran.docx", "A 61806-2023")</f>
        <v/>
      </c>
      <c r="Y315">
        <f>HYPERLINK("https://klasma.github.io/Logging_0883/tillsynsmail/A 61806-2023 tillsynsbegäran mail.docx", "A 61806-2023")</f>
        <v/>
      </c>
    </row>
    <row r="316" ht="15" customHeight="1">
      <c r="A316" t="inlineStr">
        <is>
          <t>A 1176-2024</t>
        </is>
      </c>
      <c r="B316" s="1" t="n">
        <v>45302</v>
      </c>
      <c r="C316" s="1" t="n">
        <v>45822</v>
      </c>
      <c r="D316" t="inlineStr">
        <is>
          <t>KALMAR LÄN</t>
        </is>
      </c>
      <c r="E316" t="inlineStr">
        <is>
          <t>VÄSTERVIK</t>
        </is>
      </c>
      <c r="G316" t="n">
        <v>2.5</v>
      </c>
      <c r="H316" t="n">
        <v>0</v>
      </c>
      <c r="I316" t="n">
        <v>0</v>
      </c>
      <c r="J316" t="n">
        <v>1</v>
      </c>
      <c r="K316" t="n">
        <v>0</v>
      </c>
      <c r="L316" t="n">
        <v>0</v>
      </c>
      <c r="M316" t="n">
        <v>0</v>
      </c>
      <c r="N316" t="n">
        <v>0</v>
      </c>
      <c r="O316" t="n">
        <v>1</v>
      </c>
      <c r="P316" t="n">
        <v>0</v>
      </c>
      <c r="Q316" t="n">
        <v>1</v>
      </c>
      <c r="R316" s="2" t="inlineStr">
        <is>
          <t>Tallticka</t>
        </is>
      </c>
      <c r="S316">
        <f>HYPERLINK("https://klasma.github.io/Logging_0883/artfynd/A 1176-2024 artfynd.xlsx", "A 1176-2024")</f>
        <v/>
      </c>
      <c r="T316">
        <f>HYPERLINK("https://klasma.github.io/Logging_0883/kartor/A 1176-2024 karta.png", "A 1176-2024")</f>
        <v/>
      </c>
      <c r="V316">
        <f>HYPERLINK("https://klasma.github.io/Logging_0883/klagomål/A 1176-2024 FSC-klagomål.docx", "A 1176-2024")</f>
        <v/>
      </c>
      <c r="W316">
        <f>HYPERLINK("https://klasma.github.io/Logging_0883/klagomålsmail/A 1176-2024 FSC-klagomål mail.docx", "A 1176-2024")</f>
        <v/>
      </c>
      <c r="X316">
        <f>HYPERLINK("https://klasma.github.io/Logging_0883/tillsyn/A 1176-2024 tillsynsbegäran.docx", "A 1176-2024")</f>
        <v/>
      </c>
      <c r="Y316">
        <f>HYPERLINK("https://klasma.github.io/Logging_0883/tillsynsmail/A 1176-2024 tillsynsbegäran mail.docx", "A 1176-2024")</f>
        <v/>
      </c>
    </row>
    <row r="317" ht="15" customHeight="1">
      <c r="A317" t="inlineStr">
        <is>
          <t>A 2804-2024</t>
        </is>
      </c>
      <c r="B317" s="1" t="n">
        <v>45314</v>
      </c>
      <c r="C317" s="1" t="n">
        <v>45822</v>
      </c>
      <c r="D317" t="inlineStr">
        <is>
          <t>KALMAR LÄN</t>
        </is>
      </c>
      <c r="E317" t="inlineStr">
        <is>
          <t>VÄSTERVIK</t>
        </is>
      </c>
      <c r="G317" t="n">
        <v>2</v>
      </c>
      <c r="H317" t="n">
        <v>1</v>
      </c>
      <c r="I317" t="n">
        <v>0</v>
      </c>
      <c r="J317" t="n">
        <v>0</v>
      </c>
      <c r="K317" t="n">
        <v>1</v>
      </c>
      <c r="L317" t="n">
        <v>0</v>
      </c>
      <c r="M317" t="n">
        <v>0</v>
      </c>
      <c r="N317" t="n">
        <v>0</v>
      </c>
      <c r="O317" t="n">
        <v>1</v>
      </c>
      <c r="P317" t="n">
        <v>1</v>
      </c>
      <c r="Q317" t="n">
        <v>1</v>
      </c>
      <c r="R317" s="2" t="inlineStr">
        <is>
          <t>Knärot</t>
        </is>
      </c>
      <c r="S317">
        <f>HYPERLINK("https://klasma.github.io/Logging_0883/artfynd/A 2804-2024 artfynd.xlsx", "A 2804-2024")</f>
        <v/>
      </c>
      <c r="T317">
        <f>HYPERLINK("https://klasma.github.io/Logging_0883/kartor/A 2804-2024 karta.png", "A 2804-2024")</f>
        <v/>
      </c>
      <c r="U317">
        <f>HYPERLINK("https://klasma.github.io/Logging_0883/knärot/A 2804-2024 karta knärot.png", "A 2804-2024")</f>
        <v/>
      </c>
      <c r="V317">
        <f>HYPERLINK("https://klasma.github.io/Logging_0883/klagomål/A 2804-2024 FSC-klagomål.docx", "A 2804-2024")</f>
        <v/>
      </c>
      <c r="W317">
        <f>HYPERLINK("https://klasma.github.io/Logging_0883/klagomålsmail/A 2804-2024 FSC-klagomål mail.docx", "A 2804-2024")</f>
        <v/>
      </c>
      <c r="X317">
        <f>HYPERLINK("https://klasma.github.io/Logging_0883/tillsyn/A 2804-2024 tillsynsbegäran.docx", "A 2804-2024")</f>
        <v/>
      </c>
      <c r="Y317">
        <f>HYPERLINK("https://klasma.github.io/Logging_0883/tillsynsmail/A 2804-2024 tillsynsbegäran mail.docx", "A 2804-2024")</f>
        <v/>
      </c>
    </row>
    <row r="318" ht="15" customHeight="1">
      <c r="A318" t="inlineStr">
        <is>
          <t>A 6025-2024</t>
        </is>
      </c>
      <c r="B318" s="1" t="n">
        <v>45336</v>
      </c>
      <c r="C318" s="1" t="n">
        <v>45822</v>
      </c>
      <c r="D318" t="inlineStr">
        <is>
          <t>KALMAR LÄN</t>
        </is>
      </c>
      <c r="E318" t="inlineStr">
        <is>
          <t>VÄSTERVIK</t>
        </is>
      </c>
      <c r="G318" t="n">
        <v>2.8</v>
      </c>
      <c r="H318" t="n">
        <v>0</v>
      </c>
      <c r="I318" t="n">
        <v>0</v>
      </c>
      <c r="J318" t="n">
        <v>1</v>
      </c>
      <c r="K318" t="n">
        <v>0</v>
      </c>
      <c r="L318" t="n">
        <v>0</v>
      </c>
      <c r="M318" t="n">
        <v>0</v>
      </c>
      <c r="N318" t="n">
        <v>0</v>
      </c>
      <c r="O318" t="n">
        <v>1</v>
      </c>
      <c r="P318" t="n">
        <v>0</v>
      </c>
      <c r="Q318" t="n">
        <v>1</v>
      </c>
      <c r="R318" s="2" t="inlineStr">
        <is>
          <t>Tallticka</t>
        </is>
      </c>
      <c r="S318">
        <f>HYPERLINK("https://klasma.github.io/Logging_0883/artfynd/A 6025-2024 artfynd.xlsx", "A 6025-2024")</f>
        <v/>
      </c>
      <c r="T318">
        <f>HYPERLINK("https://klasma.github.io/Logging_0883/kartor/A 6025-2024 karta.png", "A 6025-2024")</f>
        <v/>
      </c>
      <c r="V318">
        <f>HYPERLINK("https://klasma.github.io/Logging_0883/klagomål/A 6025-2024 FSC-klagomål.docx", "A 6025-2024")</f>
        <v/>
      </c>
      <c r="W318">
        <f>HYPERLINK("https://klasma.github.io/Logging_0883/klagomålsmail/A 6025-2024 FSC-klagomål mail.docx", "A 6025-2024")</f>
        <v/>
      </c>
      <c r="X318">
        <f>HYPERLINK("https://klasma.github.io/Logging_0883/tillsyn/A 6025-2024 tillsynsbegäran.docx", "A 6025-2024")</f>
        <v/>
      </c>
      <c r="Y318">
        <f>HYPERLINK("https://klasma.github.io/Logging_0883/tillsynsmail/A 6025-2024 tillsynsbegäran mail.docx", "A 6025-2024")</f>
        <v/>
      </c>
    </row>
    <row r="319" ht="15" customHeight="1">
      <c r="A319" t="inlineStr">
        <is>
          <t>A 11165-2024</t>
        </is>
      </c>
      <c r="B319" s="1" t="n">
        <v>45371</v>
      </c>
      <c r="C319" s="1" t="n">
        <v>45822</v>
      </c>
      <c r="D319" t="inlineStr">
        <is>
          <t>KALMAR LÄN</t>
        </is>
      </c>
      <c r="E319" t="inlineStr">
        <is>
          <t>VÄSTERVIK</t>
        </is>
      </c>
      <c r="G319" t="n">
        <v>3.7</v>
      </c>
      <c r="H319" t="n">
        <v>1</v>
      </c>
      <c r="I319" t="n">
        <v>0</v>
      </c>
      <c r="J319" t="n">
        <v>1</v>
      </c>
      <c r="K319" t="n">
        <v>0</v>
      </c>
      <c r="L319" t="n">
        <v>0</v>
      </c>
      <c r="M319" t="n">
        <v>0</v>
      </c>
      <c r="N319" t="n">
        <v>0</v>
      </c>
      <c r="O319" t="n">
        <v>1</v>
      </c>
      <c r="P319" t="n">
        <v>0</v>
      </c>
      <c r="Q319" t="n">
        <v>1</v>
      </c>
      <c r="R319" s="2" t="inlineStr">
        <is>
          <t>Spillkråka</t>
        </is>
      </c>
      <c r="S319">
        <f>HYPERLINK("https://klasma.github.io/Logging_0883/artfynd/A 11165-2024 artfynd.xlsx", "A 11165-2024")</f>
        <v/>
      </c>
      <c r="T319">
        <f>HYPERLINK("https://klasma.github.io/Logging_0883/kartor/A 11165-2024 karta.png", "A 11165-2024")</f>
        <v/>
      </c>
      <c r="V319">
        <f>HYPERLINK("https://klasma.github.io/Logging_0883/klagomål/A 11165-2024 FSC-klagomål.docx", "A 11165-2024")</f>
        <v/>
      </c>
      <c r="W319">
        <f>HYPERLINK("https://klasma.github.io/Logging_0883/klagomålsmail/A 11165-2024 FSC-klagomål mail.docx", "A 11165-2024")</f>
        <v/>
      </c>
      <c r="X319">
        <f>HYPERLINK("https://klasma.github.io/Logging_0883/tillsyn/A 11165-2024 tillsynsbegäran.docx", "A 11165-2024")</f>
        <v/>
      </c>
      <c r="Y319">
        <f>HYPERLINK("https://klasma.github.io/Logging_0883/tillsynsmail/A 11165-2024 tillsynsbegäran mail.docx", "A 11165-2024")</f>
        <v/>
      </c>
      <c r="Z319">
        <f>HYPERLINK("https://klasma.github.io/Logging_0883/fåglar/A 11165-2024 prioriterade fågelarter.docx", "A 11165-2024")</f>
        <v/>
      </c>
    </row>
    <row r="320" ht="15" customHeight="1">
      <c r="A320" t="inlineStr">
        <is>
          <t>A 11195-2024</t>
        </is>
      </c>
      <c r="B320" s="1" t="n">
        <v>45371</v>
      </c>
      <c r="C320" s="1" t="n">
        <v>45822</v>
      </c>
      <c r="D320" t="inlineStr">
        <is>
          <t>KALMAR LÄN</t>
        </is>
      </c>
      <c r="E320" t="inlineStr">
        <is>
          <t>VÄSTERVIK</t>
        </is>
      </c>
      <c r="G320" t="n">
        <v>1.9</v>
      </c>
      <c r="H320" t="n">
        <v>1</v>
      </c>
      <c r="I320" t="n">
        <v>0</v>
      </c>
      <c r="J320" t="n">
        <v>0</v>
      </c>
      <c r="K320" t="n">
        <v>1</v>
      </c>
      <c r="L320" t="n">
        <v>0</v>
      </c>
      <c r="M320" t="n">
        <v>0</v>
      </c>
      <c r="N320" t="n">
        <v>0</v>
      </c>
      <c r="O320" t="n">
        <v>1</v>
      </c>
      <c r="P320" t="n">
        <v>1</v>
      </c>
      <c r="Q320" t="n">
        <v>1</v>
      </c>
      <c r="R320" s="2" t="inlineStr">
        <is>
          <t>Knärot</t>
        </is>
      </c>
      <c r="S320">
        <f>HYPERLINK("https://klasma.github.io/Logging_0883/artfynd/A 11195-2024 artfynd.xlsx", "A 11195-2024")</f>
        <v/>
      </c>
      <c r="T320">
        <f>HYPERLINK("https://klasma.github.io/Logging_0883/kartor/A 11195-2024 karta.png", "A 11195-2024")</f>
        <v/>
      </c>
      <c r="U320">
        <f>HYPERLINK("https://klasma.github.io/Logging_0883/knärot/A 11195-2024 karta knärot.png", "A 11195-2024")</f>
        <v/>
      </c>
      <c r="V320">
        <f>HYPERLINK("https://klasma.github.io/Logging_0883/klagomål/A 11195-2024 FSC-klagomål.docx", "A 11195-2024")</f>
        <v/>
      </c>
      <c r="W320">
        <f>HYPERLINK("https://klasma.github.io/Logging_0883/klagomålsmail/A 11195-2024 FSC-klagomål mail.docx", "A 11195-2024")</f>
        <v/>
      </c>
      <c r="X320">
        <f>HYPERLINK("https://klasma.github.io/Logging_0883/tillsyn/A 11195-2024 tillsynsbegäran.docx", "A 11195-2024")</f>
        <v/>
      </c>
      <c r="Y320">
        <f>HYPERLINK("https://klasma.github.io/Logging_0883/tillsynsmail/A 11195-2024 tillsynsbegäran mail.docx", "A 11195-2024")</f>
        <v/>
      </c>
    </row>
    <row r="321" ht="15" customHeight="1">
      <c r="A321" t="inlineStr">
        <is>
          <t>A 13745-2024</t>
        </is>
      </c>
      <c r="B321" s="1" t="n">
        <v>45390</v>
      </c>
      <c r="C321" s="1" t="n">
        <v>45822</v>
      </c>
      <c r="D321" t="inlineStr">
        <is>
          <t>KALMAR LÄN</t>
        </is>
      </c>
      <c r="E321" t="inlineStr">
        <is>
          <t>VÄSTERVIK</t>
        </is>
      </c>
      <c r="F321" t="inlineStr">
        <is>
          <t>Sveaskog</t>
        </is>
      </c>
      <c r="G321" t="n">
        <v>2.7</v>
      </c>
      <c r="H321" t="n">
        <v>1</v>
      </c>
      <c r="I321" t="n">
        <v>0</v>
      </c>
      <c r="J321" t="n">
        <v>1</v>
      </c>
      <c r="K321" t="n">
        <v>0</v>
      </c>
      <c r="L321" t="n">
        <v>0</v>
      </c>
      <c r="M321" t="n">
        <v>0</v>
      </c>
      <c r="N321" t="n">
        <v>0</v>
      </c>
      <c r="O321" t="n">
        <v>1</v>
      </c>
      <c r="P321" t="n">
        <v>0</v>
      </c>
      <c r="Q321" t="n">
        <v>1</v>
      </c>
      <c r="R321" s="2" t="inlineStr">
        <is>
          <t>Talltita</t>
        </is>
      </c>
      <c r="S321">
        <f>HYPERLINK("https://klasma.github.io/Logging_0883/artfynd/A 13745-2024 artfynd.xlsx", "A 13745-2024")</f>
        <v/>
      </c>
      <c r="T321">
        <f>HYPERLINK("https://klasma.github.io/Logging_0883/kartor/A 13745-2024 karta.png", "A 13745-2024")</f>
        <v/>
      </c>
      <c r="U321">
        <f>HYPERLINK("https://klasma.github.io/Logging_0883/knärot/A 13745-2024 karta knärot.png", "A 13745-2024")</f>
        <v/>
      </c>
      <c r="V321">
        <f>HYPERLINK("https://klasma.github.io/Logging_0883/klagomål/A 13745-2024 FSC-klagomål.docx", "A 13745-2024")</f>
        <v/>
      </c>
      <c r="W321">
        <f>HYPERLINK("https://klasma.github.io/Logging_0883/klagomålsmail/A 13745-2024 FSC-klagomål mail.docx", "A 13745-2024")</f>
        <v/>
      </c>
      <c r="X321">
        <f>HYPERLINK("https://klasma.github.io/Logging_0883/tillsyn/A 13745-2024 tillsynsbegäran.docx", "A 13745-2024")</f>
        <v/>
      </c>
      <c r="Y321">
        <f>HYPERLINK("https://klasma.github.io/Logging_0883/tillsynsmail/A 13745-2024 tillsynsbegäran mail.docx", "A 13745-2024")</f>
        <v/>
      </c>
      <c r="Z321">
        <f>HYPERLINK("https://klasma.github.io/Logging_0883/fåglar/A 13745-2024 prioriterade fågelarter.docx", "A 13745-2024")</f>
        <v/>
      </c>
    </row>
    <row r="322" ht="15" customHeight="1">
      <c r="A322" t="inlineStr">
        <is>
          <t>A 14231-2024</t>
        </is>
      </c>
      <c r="B322" s="1" t="n">
        <v>45393</v>
      </c>
      <c r="C322" s="1" t="n">
        <v>45822</v>
      </c>
      <c r="D322" t="inlineStr">
        <is>
          <t>KALMAR LÄN</t>
        </is>
      </c>
      <c r="E322" t="inlineStr">
        <is>
          <t>VÄSTERVIK</t>
        </is>
      </c>
      <c r="G322" t="n">
        <v>2.8</v>
      </c>
      <c r="H322" t="n">
        <v>1</v>
      </c>
      <c r="I322" t="n">
        <v>0</v>
      </c>
      <c r="J322" t="n">
        <v>0</v>
      </c>
      <c r="K322" t="n">
        <v>1</v>
      </c>
      <c r="L322" t="n">
        <v>0</v>
      </c>
      <c r="M322" t="n">
        <v>0</v>
      </c>
      <c r="N322" t="n">
        <v>0</v>
      </c>
      <c r="O322" t="n">
        <v>1</v>
      </c>
      <c r="P322" t="n">
        <v>1</v>
      </c>
      <c r="Q322" t="n">
        <v>1</v>
      </c>
      <c r="R322" s="2" t="inlineStr">
        <is>
          <t>Knärot</t>
        </is>
      </c>
      <c r="S322">
        <f>HYPERLINK("https://klasma.github.io/Logging_0883/artfynd/A 14231-2024 artfynd.xlsx", "A 14231-2024")</f>
        <v/>
      </c>
      <c r="T322">
        <f>HYPERLINK("https://klasma.github.io/Logging_0883/kartor/A 14231-2024 karta.png", "A 14231-2024")</f>
        <v/>
      </c>
      <c r="U322">
        <f>HYPERLINK("https://klasma.github.io/Logging_0883/knärot/A 14231-2024 karta knärot.png", "A 14231-2024")</f>
        <v/>
      </c>
      <c r="V322">
        <f>HYPERLINK("https://klasma.github.io/Logging_0883/klagomål/A 14231-2024 FSC-klagomål.docx", "A 14231-2024")</f>
        <v/>
      </c>
      <c r="W322">
        <f>HYPERLINK("https://klasma.github.io/Logging_0883/klagomålsmail/A 14231-2024 FSC-klagomål mail.docx", "A 14231-2024")</f>
        <v/>
      </c>
      <c r="X322">
        <f>HYPERLINK("https://klasma.github.io/Logging_0883/tillsyn/A 14231-2024 tillsynsbegäran.docx", "A 14231-2024")</f>
        <v/>
      </c>
      <c r="Y322">
        <f>HYPERLINK("https://klasma.github.io/Logging_0883/tillsynsmail/A 14231-2024 tillsynsbegäran mail.docx", "A 14231-2024")</f>
        <v/>
      </c>
    </row>
    <row r="323" ht="15" customHeight="1">
      <c r="A323" t="inlineStr">
        <is>
          <t>A 16406-2024</t>
        </is>
      </c>
      <c r="B323" s="1" t="n">
        <v>45407</v>
      </c>
      <c r="C323" s="1" t="n">
        <v>45822</v>
      </c>
      <c r="D323" t="inlineStr">
        <is>
          <t>KALMAR LÄN</t>
        </is>
      </c>
      <c r="E323" t="inlineStr">
        <is>
          <t>VÄSTERVIK</t>
        </is>
      </c>
      <c r="F323" t="inlineStr">
        <is>
          <t>Holmen skog AB</t>
        </is>
      </c>
      <c r="G323" t="n">
        <v>4.9</v>
      </c>
      <c r="H323" t="n">
        <v>0</v>
      </c>
      <c r="I323" t="n">
        <v>1</v>
      </c>
      <c r="J323" t="n">
        <v>0</v>
      </c>
      <c r="K323" t="n">
        <v>0</v>
      </c>
      <c r="L323" t="n">
        <v>0</v>
      </c>
      <c r="M323" t="n">
        <v>0</v>
      </c>
      <c r="N323" t="n">
        <v>0</v>
      </c>
      <c r="O323" t="n">
        <v>0</v>
      </c>
      <c r="P323" t="n">
        <v>0</v>
      </c>
      <c r="Q323" t="n">
        <v>1</v>
      </c>
      <c r="R323" s="2" t="inlineStr">
        <is>
          <t>Tibast</t>
        </is>
      </c>
      <c r="S323">
        <f>HYPERLINK("https://klasma.github.io/Logging_0883/artfynd/A 16406-2024 artfynd.xlsx", "A 16406-2024")</f>
        <v/>
      </c>
      <c r="T323">
        <f>HYPERLINK("https://klasma.github.io/Logging_0883/kartor/A 16406-2024 karta.png", "A 16406-2024")</f>
        <v/>
      </c>
      <c r="V323">
        <f>HYPERLINK("https://klasma.github.io/Logging_0883/klagomål/A 16406-2024 FSC-klagomål.docx", "A 16406-2024")</f>
        <v/>
      </c>
      <c r="W323">
        <f>HYPERLINK("https://klasma.github.io/Logging_0883/klagomålsmail/A 16406-2024 FSC-klagomål mail.docx", "A 16406-2024")</f>
        <v/>
      </c>
      <c r="X323">
        <f>HYPERLINK("https://klasma.github.io/Logging_0883/tillsyn/A 16406-2024 tillsynsbegäran.docx", "A 16406-2024")</f>
        <v/>
      </c>
      <c r="Y323">
        <f>HYPERLINK("https://klasma.github.io/Logging_0883/tillsynsmail/A 16406-2024 tillsynsbegäran mail.docx", "A 16406-2024")</f>
        <v/>
      </c>
    </row>
    <row r="324" ht="15" customHeight="1">
      <c r="A324" t="inlineStr">
        <is>
          <t>A 17424-2024</t>
        </is>
      </c>
      <c r="B324" s="1" t="n">
        <v>45415</v>
      </c>
      <c r="C324" s="1" t="n">
        <v>45822</v>
      </c>
      <c r="D324" t="inlineStr">
        <is>
          <t>KALMAR LÄN</t>
        </is>
      </c>
      <c r="E324" t="inlineStr">
        <is>
          <t>VÄSTERVIK</t>
        </is>
      </c>
      <c r="F324" t="inlineStr">
        <is>
          <t>Sveaskog</t>
        </is>
      </c>
      <c r="G324" t="n">
        <v>5</v>
      </c>
      <c r="H324" t="n">
        <v>1</v>
      </c>
      <c r="I324" t="n">
        <v>0</v>
      </c>
      <c r="J324" t="n">
        <v>0</v>
      </c>
      <c r="K324" t="n">
        <v>0</v>
      </c>
      <c r="L324" t="n">
        <v>0</v>
      </c>
      <c r="M324" t="n">
        <v>0</v>
      </c>
      <c r="N324" t="n">
        <v>0</v>
      </c>
      <c r="O324" t="n">
        <v>0</v>
      </c>
      <c r="P324" t="n">
        <v>0</v>
      </c>
      <c r="Q324" t="n">
        <v>1</v>
      </c>
      <c r="R324" s="2" t="inlineStr">
        <is>
          <t>Blåsippa</t>
        </is>
      </c>
      <c r="S324">
        <f>HYPERLINK("https://klasma.github.io/Logging_0883/artfynd/A 17424-2024 artfynd.xlsx", "A 17424-2024")</f>
        <v/>
      </c>
      <c r="T324">
        <f>HYPERLINK("https://klasma.github.io/Logging_0883/kartor/A 17424-2024 karta.png", "A 17424-2024")</f>
        <v/>
      </c>
      <c r="V324">
        <f>HYPERLINK("https://klasma.github.io/Logging_0883/klagomål/A 17424-2024 FSC-klagomål.docx", "A 17424-2024")</f>
        <v/>
      </c>
      <c r="W324">
        <f>HYPERLINK("https://klasma.github.io/Logging_0883/klagomålsmail/A 17424-2024 FSC-klagomål mail.docx", "A 17424-2024")</f>
        <v/>
      </c>
      <c r="X324">
        <f>HYPERLINK("https://klasma.github.io/Logging_0883/tillsyn/A 17424-2024 tillsynsbegäran.docx", "A 17424-2024")</f>
        <v/>
      </c>
      <c r="Y324">
        <f>HYPERLINK("https://klasma.github.io/Logging_0883/tillsynsmail/A 17424-2024 tillsynsbegäran mail.docx", "A 17424-2024")</f>
        <v/>
      </c>
    </row>
    <row r="325" ht="15" customHeight="1">
      <c r="A325" t="inlineStr">
        <is>
          <t>A 18396-2024</t>
        </is>
      </c>
      <c r="B325" s="1" t="n">
        <v>45425</v>
      </c>
      <c r="C325" s="1" t="n">
        <v>45822</v>
      </c>
      <c r="D325" t="inlineStr">
        <is>
          <t>KALMAR LÄN</t>
        </is>
      </c>
      <c r="E325" t="inlineStr">
        <is>
          <t>VÄSTERVIK</t>
        </is>
      </c>
      <c r="F325" t="inlineStr">
        <is>
          <t>Holmen skog AB</t>
        </is>
      </c>
      <c r="G325" t="n">
        <v>3.5</v>
      </c>
      <c r="H325" t="n">
        <v>0</v>
      </c>
      <c r="I325" t="n">
        <v>1</v>
      </c>
      <c r="J325" t="n">
        <v>0</v>
      </c>
      <c r="K325" t="n">
        <v>0</v>
      </c>
      <c r="L325" t="n">
        <v>0</v>
      </c>
      <c r="M325" t="n">
        <v>0</v>
      </c>
      <c r="N325" t="n">
        <v>0</v>
      </c>
      <c r="O325" t="n">
        <v>0</v>
      </c>
      <c r="P325" t="n">
        <v>0</v>
      </c>
      <c r="Q325" t="n">
        <v>1</v>
      </c>
      <c r="R325" s="2" t="inlineStr">
        <is>
          <t>Blåmossa</t>
        </is>
      </c>
      <c r="S325">
        <f>HYPERLINK("https://klasma.github.io/Logging_0883/artfynd/A 18396-2024 artfynd.xlsx", "A 18396-2024")</f>
        <v/>
      </c>
      <c r="T325">
        <f>HYPERLINK("https://klasma.github.io/Logging_0883/kartor/A 18396-2024 karta.png", "A 18396-2024")</f>
        <v/>
      </c>
      <c r="V325">
        <f>HYPERLINK("https://klasma.github.io/Logging_0883/klagomål/A 18396-2024 FSC-klagomål.docx", "A 18396-2024")</f>
        <v/>
      </c>
      <c r="W325">
        <f>HYPERLINK("https://klasma.github.io/Logging_0883/klagomålsmail/A 18396-2024 FSC-klagomål mail.docx", "A 18396-2024")</f>
        <v/>
      </c>
      <c r="X325">
        <f>HYPERLINK("https://klasma.github.io/Logging_0883/tillsyn/A 18396-2024 tillsynsbegäran.docx", "A 18396-2024")</f>
        <v/>
      </c>
      <c r="Y325">
        <f>HYPERLINK("https://klasma.github.io/Logging_0883/tillsynsmail/A 18396-2024 tillsynsbegäran mail.docx", "A 18396-2024")</f>
        <v/>
      </c>
    </row>
    <row r="326" ht="15" customHeight="1">
      <c r="A326" t="inlineStr">
        <is>
          <t>A 22885-2024</t>
        </is>
      </c>
      <c r="B326" s="1" t="n">
        <v>45448</v>
      </c>
      <c r="C326" s="1" t="n">
        <v>45822</v>
      </c>
      <c r="D326" t="inlineStr">
        <is>
          <t>KALMAR LÄN</t>
        </is>
      </c>
      <c r="E326" t="inlineStr">
        <is>
          <t>VÄSTERVIK</t>
        </is>
      </c>
      <c r="G326" t="n">
        <v>7.1</v>
      </c>
      <c r="H326" t="n">
        <v>0</v>
      </c>
      <c r="I326" t="n">
        <v>0</v>
      </c>
      <c r="J326" t="n">
        <v>1</v>
      </c>
      <c r="K326" t="n">
        <v>0</v>
      </c>
      <c r="L326" t="n">
        <v>0</v>
      </c>
      <c r="M326" t="n">
        <v>0</v>
      </c>
      <c r="N326" t="n">
        <v>0</v>
      </c>
      <c r="O326" t="n">
        <v>1</v>
      </c>
      <c r="P326" t="n">
        <v>0</v>
      </c>
      <c r="Q326" t="n">
        <v>1</v>
      </c>
      <c r="R326" s="2" t="inlineStr">
        <is>
          <t>Tallticka</t>
        </is>
      </c>
      <c r="S326">
        <f>HYPERLINK("https://klasma.github.io/Logging_0883/artfynd/A 22885-2024 artfynd.xlsx", "A 22885-2024")</f>
        <v/>
      </c>
      <c r="T326">
        <f>HYPERLINK("https://klasma.github.io/Logging_0883/kartor/A 22885-2024 karta.png", "A 22885-2024")</f>
        <v/>
      </c>
      <c r="V326">
        <f>HYPERLINK("https://klasma.github.io/Logging_0883/klagomål/A 22885-2024 FSC-klagomål.docx", "A 22885-2024")</f>
        <v/>
      </c>
      <c r="W326">
        <f>HYPERLINK("https://klasma.github.io/Logging_0883/klagomålsmail/A 22885-2024 FSC-klagomål mail.docx", "A 22885-2024")</f>
        <v/>
      </c>
      <c r="X326">
        <f>HYPERLINK("https://klasma.github.io/Logging_0883/tillsyn/A 22885-2024 tillsynsbegäran.docx", "A 22885-2024")</f>
        <v/>
      </c>
      <c r="Y326">
        <f>HYPERLINK("https://klasma.github.io/Logging_0883/tillsynsmail/A 22885-2024 tillsynsbegäran mail.docx", "A 22885-2024")</f>
        <v/>
      </c>
    </row>
    <row r="327" ht="15" customHeight="1">
      <c r="A327" t="inlineStr">
        <is>
          <t>A 27708-2024</t>
        </is>
      </c>
      <c r="B327" s="1" t="n">
        <v>45475</v>
      </c>
      <c r="C327" s="1" t="n">
        <v>45822</v>
      </c>
      <c r="D327" t="inlineStr">
        <is>
          <t>KALMAR LÄN</t>
        </is>
      </c>
      <c r="E327" t="inlineStr">
        <is>
          <t>VÄSTERVIK</t>
        </is>
      </c>
      <c r="F327" t="inlineStr">
        <is>
          <t>Holmen skog AB</t>
        </is>
      </c>
      <c r="G327" t="n">
        <v>1.7</v>
      </c>
      <c r="H327" t="n">
        <v>1</v>
      </c>
      <c r="I327" t="n">
        <v>0</v>
      </c>
      <c r="J327" t="n">
        <v>1</v>
      </c>
      <c r="K327" t="n">
        <v>0</v>
      </c>
      <c r="L327" t="n">
        <v>0</v>
      </c>
      <c r="M327" t="n">
        <v>0</v>
      </c>
      <c r="N327" t="n">
        <v>0</v>
      </c>
      <c r="O327" t="n">
        <v>1</v>
      </c>
      <c r="P327" t="n">
        <v>0</v>
      </c>
      <c r="Q327" t="n">
        <v>1</v>
      </c>
      <c r="R327" s="2" t="inlineStr">
        <is>
          <t>Spillkråka</t>
        </is>
      </c>
      <c r="S327">
        <f>HYPERLINK("https://klasma.github.io/Logging_0883/artfynd/A 27708-2024 artfynd.xlsx", "A 27708-2024")</f>
        <v/>
      </c>
      <c r="T327">
        <f>HYPERLINK("https://klasma.github.io/Logging_0883/kartor/A 27708-2024 karta.png", "A 27708-2024")</f>
        <v/>
      </c>
      <c r="V327">
        <f>HYPERLINK("https://klasma.github.io/Logging_0883/klagomål/A 27708-2024 FSC-klagomål.docx", "A 27708-2024")</f>
        <v/>
      </c>
      <c r="W327">
        <f>HYPERLINK("https://klasma.github.io/Logging_0883/klagomålsmail/A 27708-2024 FSC-klagomål mail.docx", "A 27708-2024")</f>
        <v/>
      </c>
      <c r="X327">
        <f>HYPERLINK("https://klasma.github.io/Logging_0883/tillsyn/A 27708-2024 tillsynsbegäran.docx", "A 27708-2024")</f>
        <v/>
      </c>
      <c r="Y327">
        <f>HYPERLINK("https://klasma.github.io/Logging_0883/tillsynsmail/A 27708-2024 tillsynsbegäran mail.docx", "A 27708-2024")</f>
        <v/>
      </c>
      <c r="Z327">
        <f>HYPERLINK("https://klasma.github.io/Logging_0883/fåglar/A 27708-2024 prioriterade fågelarter.docx", "A 27708-2024")</f>
        <v/>
      </c>
    </row>
    <row r="328" ht="15" customHeight="1">
      <c r="A328" t="inlineStr">
        <is>
          <t>A 29398-2024</t>
        </is>
      </c>
      <c r="B328" s="1" t="n">
        <v>45483</v>
      </c>
      <c r="C328" s="1" t="n">
        <v>45822</v>
      </c>
      <c r="D328" t="inlineStr">
        <is>
          <t>KALMAR LÄN</t>
        </is>
      </c>
      <c r="E328" t="inlineStr">
        <is>
          <t>VÄSTERVIK</t>
        </is>
      </c>
      <c r="G328" t="n">
        <v>2.7</v>
      </c>
      <c r="H328" t="n">
        <v>0</v>
      </c>
      <c r="I328" t="n">
        <v>0</v>
      </c>
      <c r="J328" t="n">
        <v>1</v>
      </c>
      <c r="K328" t="n">
        <v>0</v>
      </c>
      <c r="L328" t="n">
        <v>0</v>
      </c>
      <c r="M328" t="n">
        <v>0</v>
      </c>
      <c r="N328" t="n">
        <v>0</v>
      </c>
      <c r="O328" t="n">
        <v>1</v>
      </c>
      <c r="P328" t="n">
        <v>0</v>
      </c>
      <c r="Q328" t="n">
        <v>1</v>
      </c>
      <c r="R328" s="2" t="inlineStr">
        <is>
          <t>Skogsklocka</t>
        </is>
      </c>
      <c r="S328">
        <f>HYPERLINK("https://klasma.github.io/Logging_0883/artfynd/A 29398-2024 artfynd.xlsx", "A 29398-2024")</f>
        <v/>
      </c>
      <c r="T328">
        <f>HYPERLINK("https://klasma.github.io/Logging_0883/kartor/A 29398-2024 karta.png", "A 29398-2024")</f>
        <v/>
      </c>
      <c r="V328">
        <f>HYPERLINK("https://klasma.github.io/Logging_0883/klagomål/A 29398-2024 FSC-klagomål.docx", "A 29398-2024")</f>
        <v/>
      </c>
      <c r="W328">
        <f>HYPERLINK("https://klasma.github.io/Logging_0883/klagomålsmail/A 29398-2024 FSC-klagomål mail.docx", "A 29398-2024")</f>
        <v/>
      </c>
      <c r="X328">
        <f>HYPERLINK("https://klasma.github.io/Logging_0883/tillsyn/A 29398-2024 tillsynsbegäran.docx", "A 29398-2024")</f>
        <v/>
      </c>
      <c r="Y328">
        <f>HYPERLINK("https://klasma.github.io/Logging_0883/tillsynsmail/A 29398-2024 tillsynsbegäran mail.docx", "A 29398-2024")</f>
        <v/>
      </c>
    </row>
    <row r="329" ht="15" customHeight="1">
      <c r="A329" t="inlineStr">
        <is>
          <t>A 30386-2024</t>
        </is>
      </c>
      <c r="B329" s="1" t="n">
        <v>45491</v>
      </c>
      <c r="C329" s="1" t="n">
        <v>45822</v>
      </c>
      <c r="D329" t="inlineStr">
        <is>
          <t>KALMAR LÄN</t>
        </is>
      </c>
      <c r="E329" t="inlineStr">
        <is>
          <t>VÄSTERVIK</t>
        </is>
      </c>
      <c r="F329" t="inlineStr">
        <is>
          <t>Holmen skog AB</t>
        </is>
      </c>
      <c r="G329" t="n">
        <v>3.7</v>
      </c>
      <c r="H329" t="n">
        <v>0</v>
      </c>
      <c r="I329" t="n">
        <v>0</v>
      </c>
      <c r="J329" t="n">
        <v>1</v>
      </c>
      <c r="K329" t="n">
        <v>0</v>
      </c>
      <c r="L329" t="n">
        <v>0</v>
      </c>
      <c r="M329" t="n">
        <v>0</v>
      </c>
      <c r="N329" t="n">
        <v>0</v>
      </c>
      <c r="O329" t="n">
        <v>1</v>
      </c>
      <c r="P329" t="n">
        <v>0</v>
      </c>
      <c r="Q329" t="n">
        <v>1</v>
      </c>
      <c r="R329" s="2" t="inlineStr">
        <is>
          <t>Svedjenäva</t>
        </is>
      </c>
      <c r="S329">
        <f>HYPERLINK("https://klasma.github.io/Logging_0883/artfynd/A 30386-2024 artfynd.xlsx", "A 30386-2024")</f>
        <v/>
      </c>
      <c r="T329">
        <f>HYPERLINK("https://klasma.github.io/Logging_0883/kartor/A 30386-2024 karta.png", "A 30386-2024")</f>
        <v/>
      </c>
      <c r="V329">
        <f>HYPERLINK("https://klasma.github.io/Logging_0883/klagomål/A 30386-2024 FSC-klagomål.docx", "A 30386-2024")</f>
        <v/>
      </c>
      <c r="W329">
        <f>HYPERLINK("https://klasma.github.io/Logging_0883/klagomålsmail/A 30386-2024 FSC-klagomål mail.docx", "A 30386-2024")</f>
        <v/>
      </c>
      <c r="X329">
        <f>HYPERLINK("https://klasma.github.io/Logging_0883/tillsyn/A 30386-2024 tillsynsbegäran.docx", "A 30386-2024")</f>
        <v/>
      </c>
      <c r="Y329">
        <f>HYPERLINK("https://klasma.github.io/Logging_0883/tillsynsmail/A 30386-2024 tillsynsbegäran mail.docx", "A 30386-2024")</f>
        <v/>
      </c>
    </row>
    <row r="330" ht="15" customHeight="1">
      <c r="A330" t="inlineStr">
        <is>
          <t>A 34357-2024</t>
        </is>
      </c>
      <c r="B330" s="1" t="n">
        <v>45525</v>
      </c>
      <c r="C330" s="1" t="n">
        <v>45822</v>
      </c>
      <c r="D330" t="inlineStr">
        <is>
          <t>KALMAR LÄN</t>
        </is>
      </c>
      <c r="E330" t="inlineStr">
        <is>
          <t>VÄSTERVIK</t>
        </is>
      </c>
      <c r="F330" t="inlineStr">
        <is>
          <t>Övriga Aktiebolag</t>
        </is>
      </c>
      <c r="G330" t="n">
        <v>14</v>
      </c>
      <c r="H330" t="n">
        <v>1</v>
      </c>
      <c r="I330" t="n">
        <v>0</v>
      </c>
      <c r="J330" t="n">
        <v>1</v>
      </c>
      <c r="K330" t="n">
        <v>0</v>
      </c>
      <c r="L330" t="n">
        <v>0</v>
      </c>
      <c r="M330" t="n">
        <v>0</v>
      </c>
      <c r="N330" t="n">
        <v>0</v>
      </c>
      <c r="O330" t="n">
        <v>1</v>
      </c>
      <c r="P330" t="n">
        <v>0</v>
      </c>
      <c r="Q330" t="n">
        <v>1</v>
      </c>
      <c r="R330" s="2" t="inlineStr">
        <is>
          <t>Havsörn</t>
        </is>
      </c>
      <c r="S330">
        <f>HYPERLINK("https://klasma.github.io/Logging_0883/artfynd/A 34357-2024 artfynd.xlsx", "A 34357-2024")</f>
        <v/>
      </c>
      <c r="T330">
        <f>HYPERLINK("https://klasma.github.io/Logging_0883/kartor/A 34357-2024 karta.png", "A 34357-2024")</f>
        <v/>
      </c>
      <c r="V330">
        <f>HYPERLINK("https://klasma.github.io/Logging_0883/klagomål/A 34357-2024 FSC-klagomål.docx", "A 34357-2024")</f>
        <v/>
      </c>
      <c r="W330">
        <f>HYPERLINK("https://klasma.github.io/Logging_0883/klagomålsmail/A 34357-2024 FSC-klagomål mail.docx", "A 34357-2024")</f>
        <v/>
      </c>
      <c r="X330">
        <f>HYPERLINK("https://klasma.github.io/Logging_0883/tillsyn/A 34357-2024 tillsynsbegäran.docx", "A 34357-2024")</f>
        <v/>
      </c>
      <c r="Y330">
        <f>HYPERLINK("https://klasma.github.io/Logging_0883/tillsynsmail/A 34357-2024 tillsynsbegäran mail.docx", "A 34357-2024")</f>
        <v/>
      </c>
      <c r="Z330">
        <f>HYPERLINK("https://klasma.github.io/Logging_0883/fåglar/A 34357-2024 prioriterade fågelarter.docx", "A 34357-2024")</f>
        <v/>
      </c>
    </row>
    <row r="331" ht="15" customHeight="1">
      <c r="A331" t="inlineStr">
        <is>
          <t>A 35028-2024</t>
        </is>
      </c>
      <c r="B331" s="1" t="n">
        <v>45527</v>
      </c>
      <c r="C331" s="1" t="n">
        <v>45822</v>
      </c>
      <c r="D331" t="inlineStr">
        <is>
          <t>KALMAR LÄN</t>
        </is>
      </c>
      <c r="E331" t="inlineStr">
        <is>
          <t>VÄSTERVIK</t>
        </is>
      </c>
      <c r="G331" t="n">
        <v>1.3</v>
      </c>
      <c r="H331" t="n">
        <v>0</v>
      </c>
      <c r="I331" t="n">
        <v>1</v>
      </c>
      <c r="J331" t="n">
        <v>0</v>
      </c>
      <c r="K331" t="n">
        <v>0</v>
      </c>
      <c r="L331" t="n">
        <v>0</v>
      </c>
      <c r="M331" t="n">
        <v>0</v>
      </c>
      <c r="N331" t="n">
        <v>0</v>
      </c>
      <c r="O331" t="n">
        <v>0</v>
      </c>
      <c r="P331" t="n">
        <v>0</v>
      </c>
      <c r="Q331" t="n">
        <v>1</v>
      </c>
      <c r="R331" s="2" t="inlineStr">
        <is>
          <t>Blomkålssvamp</t>
        </is>
      </c>
      <c r="S331">
        <f>HYPERLINK("https://klasma.github.io/Logging_0883/artfynd/A 35028-2024 artfynd.xlsx", "A 35028-2024")</f>
        <v/>
      </c>
      <c r="T331">
        <f>HYPERLINK("https://klasma.github.io/Logging_0883/kartor/A 35028-2024 karta.png", "A 35028-2024")</f>
        <v/>
      </c>
      <c r="V331">
        <f>HYPERLINK("https://klasma.github.io/Logging_0883/klagomål/A 35028-2024 FSC-klagomål.docx", "A 35028-2024")</f>
        <v/>
      </c>
      <c r="W331">
        <f>HYPERLINK("https://klasma.github.io/Logging_0883/klagomålsmail/A 35028-2024 FSC-klagomål mail.docx", "A 35028-2024")</f>
        <v/>
      </c>
      <c r="X331">
        <f>HYPERLINK("https://klasma.github.io/Logging_0883/tillsyn/A 35028-2024 tillsynsbegäran.docx", "A 35028-2024")</f>
        <v/>
      </c>
      <c r="Y331">
        <f>HYPERLINK("https://klasma.github.io/Logging_0883/tillsynsmail/A 35028-2024 tillsynsbegäran mail.docx", "A 35028-2024")</f>
        <v/>
      </c>
    </row>
    <row r="332" ht="15" customHeight="1">
      <c r="A332" t="inlineStr">
        <is>
          <t>A 35959-2024</t>
        </is>
      </c>
      <c r="B332" s="1" t="n">
        <v>45533</v>
      </c>
      <c r="C332" s="1" t="n">
        <v>45822</v>
      </c>
      <c r="D332" t="inlineStr">
        <is>
          <t>KALMAR LÄN</t>
        </is>
      </c>
      <c r="E332" t="inlineStr">
        <is>
          <t>VÄSTERVIK</t>
        </is>
      </c>
      <c r="F332" t="inlineStr">
        <is>
          <t>Holmen skog AB</t>
        </is>
      </c>
      <c r="G332" t="n">
        <v>3.2</v>
      </c>
      <c r="H332" t="n">
        <v>0</v>
      </c>
      <c r="I332" t="n">
        <v>0</v>
      </c>
      <c r="J332" t="n">
        <v>1</v>
      </c>
      <c r="K332" t="n">
        <v>0</v>
      </c>
      <c r="L332" t="n">
        <v>0</v>
      </c>
      <c r="M332" t="n">
        <v>0</v>
      </c>
      <c r="N332" t="n">
        <v>0</v>
      </c>
      <c r="O332" t="n">
        <v>1</v>
      </c>
      <c r="P332" t="n">
        <v>0</v>
      </c>
      <c r="Q332" t="n">
        <v>1</v>
      </c>
      <c r="R332" s="2" t="inlineStr">
        <is>
          <t>Smalsprötad bastardsvärmare</t>
        </is>
      </c>
      <c r="S332">
        <f>HYPERLINK("https://klasma.github.io/Logging_0883/artfynd/A 35959-2024 artfynd.xlsx", "A 35959-2024")</f>
        <v/>
      </c>
      <c r="T332">
        <f>HYPERLINK("https://klasma.github.io/Logging_0883/kartor/A 35959-2024 karta.png", "A 35959-2024")</f>
        <v/>
      </c>
      <c r="V332">
        <f>HYPERLINK("https://klasma.github.io/Logging_0883/klagomål/A 35959-2024 FSC-klagomål.docx", "A 35959-2024")</f>
        <v/>
      </c>
      <c r="W332">
        <f>HYPERLINK("https://klasma.github.io/Logging_0883/klagomålsmail/A 35959-2024 FSC-klagomål mail.docx", "A 35959-2024")</f>
        <v/>
      </c>
      <c r="X332">
        <f>HYPERLINK("https://klasma.github.io/Logging_0883/tillsyn/A 35959-2024 tillsynsbegäran.docx", "A 35959-2024")</f>
        <v/>
      </c>
      <c r="Y332">
        <f>HYPERLINK("https://klasma.github.io/Logging_0883/tillsynsmail/A 35959-2024 tillsynsbegäran mail.docx", "A 35959-2024")</f>
        <v/>
      </c>
    </row>
    <row r="333" ht="15" customHeight="1">
      <c r="A333" t="inlineStr">
        <is>
          <t>A 42811-2024</t>
        </is>
      </c>
      <c r="B333" s="1" t="n">
        <v>45566</v>
      </c>
      <c r="C333" s="1" t="n">
        <v>45822</v>
      </c>
      <c r="D333" t="inlineStr">
        <is>
          <t>KALMAR LÄN</t>
        </is>
      </c>
      <c r="E333" t="inlineStr">
        <is>
          <t>VÄSTERVIK</t>
        </is>
      </c>
      <c r="G333" t="n">
        <v>4.4</v>
      </c>
      <c r="H333" t="n">
        <v>0</v>
      </c>
      <c r="I333" t="n">
        <v>1</v>
      </c>
      <c r="J333" t="n">
        <v>0</v>
      </c>
      <c r="K333" t="n">
        <v>0</v>
      </c>
      <c r="L333" t="n">
        <v>0</v>
      </c>
      <c r="M333" t="n">
        <v>0</v>
      </c>
      <c r="N333" t="n">
        <v>0</v>
      </c>
      <c r="O333" t="n">
        <v>0</v>
      </c>
      <c r="P333" t="n">
        <v>0</v>
      </c>
      <c r="Q333" t="n">
        <v>1</v>
      </c>
      <c r="R333" s="2" t="inlineStr">
        <is>
          <t>Grönpyrola</t>
        </is>
      </c>
      <c r="S333">
        <f>HYPERLINK("https://klasma.github.io/Logging_0883/artfynd/A 42811-2024 artfynd.xlsx", "A 42811-2024")</f>
        <v/>
      </c>
      <c r="T333">
        <f>HYPERLINK("https://klasma.github.io/Logging_0883/kartor/A 42811-2024 karta.png", "A 42811-2024")</f>
        <v/>
      </c>
      <c r="V333">
        <f>HYPERLINK("https://klasma.github.io/Logging_0883/klagomål/A 42811-2024 FSC-klagomål.docx", "A 42811-2024")</f>
        <v/>
      </c>
      <c r="W333">
        <f>HYPERLINK("https://klasma.github.io/Logging_0883/klagomålsmail/A 42811-2024 FSC-klagomål mail.docx", "A 42811-2024")</f>
        <v/>
      </c>
      <c r="X333">
        <f>HYPERLINK("https://klasma.github.io/Logging_0883/tillsyn/A 42811-2024 tillsynsbegäran.docx", "A 42811-2024")</f>
        <v/>
      </c>
      <c r="Y333">
        <f>HYPERLINK("https://klasma.github.io/Logging_0883/tillsynsmail/A 42811-2024 tillsynsbegäran mail.docx", "A 42811-2024")</f>
        <v/>
      </c>
    </row>
    <row r="334" ht="15" customHeight="1">
      <c r="A334" t="inlineStr">
        <is>
          <t>A 44333-2024</t>
        </is>
      </c>
      <c r="B334" s="1" t="n">
        <v>45573</v>
      </c>
      <c r="C334" s="1" t="n">
        <v>45822</v>
      </c>
      <c r="D334" t="inlineStr">
        <is>
          <t>KALMAR LÄN</t>
        </is>
      </c>
      <c r="E334" t="inlineStr">
        <is>
          <t>VÄSTERVIK</t>
        </is>
      </c>
      <c r="F334" t="inlineStr">
        <is>
          <t>Holmen skog AB</t>
        </is>
      </c>
      <c r="G334" t="n">
        <v>4.5</v>
      </c>
      <c r="H334" t="n">
        <v>1</v>
      </c>
      <c r="I334" t="n">
        <v>0</v>
      </c>
      <c r="J334" t="n">
        <v>1</v>
      </c>
      <c r="K334" t="n">
        <v>0</v>
      </c>
      <c r="L334" t="n">
        <v>0</v>
      </c>
      <c r="M334" t="n">
        <v>0</v>
      </c>
      <c r="N334" t="n">
        <v>0</v>
      </c>
      <c r="O334" t="n">
        <v>1</v>
      </c>
      <c r="P334" t="n">
        <v>0</v>
      </c>
      <c r="Q334" t="n">
        <v>1</v>
      </c>
      <c r="R334" s="2" t="inlineStr">
        <is>
          <t>Havsörn</t>
        </is>
      </c>
      <c r="S334">
        <f>HYPERLINK("https://klasma.github.io/Logging_0883/artfynd/A 44333-2024 artfynd.xlsx", "A 44333-2024")</f>
        <v/>
      </c>
      <c r="T334">
        <f>HYPERLINK("https://klasma.github.io/Logging_0883/kartor/A 44333-2024 karta.png", "A 44333-2024")</f>
        <v/>
      </c>
      <c r="V334">
        <f>HYPERLINK("https://klasma.github.io/Logging_0883/klagomål/A 44333-2024 FSC-klagomål.docx", "A 44333-2024")</f>
        <v/>
      </c>
      <c r="W334">
        <f>HYPERLINK("https://klasma.github.io/Logging_0883/klagomålsmail/A 44333-2024 FSC-klagomål mail.docx", "A 44333-2024")</f>
        <v/>
      </c>
      <c r="X334">
        <f>HYPERLINK("https://klasma.github.io/Logging_0883/tillsyn/A 44333-2024 tillsynsbegäran.docx", "A 44333-2024")</f>
        <v/>
      </c>
      <c r="Y334">
        <f>HYPERLINK("https://klasma.github.io/Logging_0883/tillsynsmail/A 44333-2024 tillsynsbegäran mail.docx", "A 44333-2024")</f>
        <v/>
      </c>
      <c r="Z334">
        <f>HYPERLINK("https://klasma.github.io/Logging_0883/fåglar/A 44333-2024 prioriterade fågelarter.docx", "A 44333-2024")</f>
        <v/>
      </c>
    </row>
    <row r="335" ht="15" customHeight="1">
      <c r="A335" t="inlineStr">
        <is>
          <t>A 45462-2024</t>
        </is>
      </c>
      <c r="B335" s="1" t="n">
        <v>45576</v>
      </c>
      <c r="C335" s="1" t="n">
        <v>45822</v>
      </c>
      <c r="D335" t="inlineStr">
        <is>
          <t>KALMAR LÄN</t>
        </is>
      </c>
      <c r="E335" t="inlineStr">
        <is>
          <t>VÄSTERVIK</t>
        </is>
      </c>
      <c r="G335" t="n">
        <v>3.5</v>
      </c>
      <c r="H335" t="n">
        <v>1</v>
      </c>
      <c r="I335" t="n">
        <v>0</v>
      </c>
      <c r="J335" t="n">
        <v>1</v>
      </c>
      <c r="K335" t="n">
        <v>0</v>
      </c>
      <c r="L335" t="n">
        <v>0</v>
      </c>
      <c r="M335" t="n">
        <v>0</v>
      </c>
      <c r="N335" t="n">
        <v>0</v>
      </c>
      <c r="O335" t="n">
        <v>1</v>
      </c>
      <c r="P335" t="n">
        <v>0</v>
      </c>
      <c r="Q335" t="n">
        <v>1</v>
      </c>
      <c r="R335" s="2" t="inlineStr">
        <is>
          <t>Järpe</t>
        </is>
      </c>
      <c r="S335">
        <f>HYPERLINK("https://klasma.github.io/Logging_0883/artfynd/A 45462-2024 artfynd.xlsx", "A 45462-2024")</f>
        <v/>
      </c>
      <c r="T335">
        <f>HYPERLINK("https://klasma.github.io/Logging_0883/kartor/A 45462-2024 karta.png", "A 45462-2024")</f>
        <v/>
      </c>
      <c r="V335">
        <f>HYPERLINK("https://klasma.github.io/Logging_0883/klagomål/A 45462-2024 FSC-klagomål.docx", "A 45462-2024")</f>
        <v/>
      </c>
      <c r="W335">
        <f>HYPERLINK("https://klasma.github.io/Logging_0883/klagomålsmail/A 45462-2024 FSC-klagomål mail.docx", "A 45462-2024")</f>
        <v/>
      </c>
      <c r="X335">
        <f>HYPERLINK("https://klasma.github.io/Logging_0883/tillsyn/A 45462-2024 tillsynsbegäran.docx", "A 45462-2024")</f>
        <v/>
      </c>
      <c r="Y335">
        <f>HYPERLINK("https://klasma.github.io/Logging_0883/tillsynsmail/A 45462-2024 tillsynsbegäran mail.docx", "A 45462-2024")</f>
        <v/>
      </c>
      <c r="Z335">
        <f>HYPERLINK("https://klasma.github.io/Logging_0883/fåglar/A 45462-2024 prioriterade fågelarter.docx", "A 45462-2024")</f>
        <v/>
      </c>
    </row>
    <row r="336" ht="15" customHeight="1">
      <c r="A336" t="inlineStr">
        <is>
          <t>A 45679-2024</t>
        </is>
      </c>
      <c r="B336" s="1" t="n">
        <v>45579</v>
      </c>
      <c r="C336" s="1" t="n">
        <v>45822</v>
      </c>
      <c r="D336" t="inlineStr">
        <is>
          <t>KALMAR LÄN</t>
        </is>
      </c>
      <c r="E336" t="inlineStr">
        <is>
          <t>VÄSTERVIK</t>
        </is>
      </c>
      <c r="F336" t="inlineStr">
        <is>
          <t>Kyrkan</t>
        </is>
      </c>
      <c r="G336" t="n">
        <v>2.8</v>
      </c>
      <c r="H336" t="n">
        <v>1</v>
      </c>
      <c r="I336" t="n">
        <v>0</v>
      </c>
      <c r="J336" t="n">
        <v>0</v>
      </c>
      <c r="K336" t="n">
        <v>1</v>
      </c>
      <c r="L336" t="n">
        <v>0</v>
      </c>
      <c r="M336" t="n">
        <v>0</v>
      </c>
      <c r="N336" t="n">
        <v>0</v>
      </c>
      <c r="O336" t="n">
        <v>1</v>
      </c>
      <c r="P336" t="n">
        <v>1</v>
      </c>
      <c r="Q336" t="n">
        <v>1</v>
      </c>
      <c r="R336" s="2" t="inlineStr">
        <is>
          <t>Knärot</t>
        </is>
      </c>
      <c r="S336">
        <f>HYPERLINK("https://klasma.github.io/Logging_0883/artfynd/A 45679-2024 artfynd.xlsx", "A 45679-2024")</f>
        <v/>
      </c>
      <c r="T336">
        <f>HYPERLINK("https://klasma.github.io/Logging_0883/kartor/A 45679-2024 karta.png", "A 45679-2024")</f>
        <v/>
      </c>
      <c r="U336">
        <f>HYPERLINK("https://klasma.github.io/Logging_0883/knärot/A 45679-2024 karta knärot.png", "A 45679-2024")</f>
        <v/>
      </c>
      <c r="V336">
        <f>HYPERLINK("https://klasma.github.io/Logging_0883/klagomål/A 45679-2024 FSC-klagomål.docx", "A 45679-2024")</f>
        <v/>
      </c>
      <c r="W336">
        <f>HYPERLINK("https://klasma.github.io/Logging_0883/klagomålsmail/A 45679-2024 FSC-klagomål mail.docx", "A 45679-2024")</f>
        <v/>
      </c>
      <c r="X336">
        <f>HYPERLINK("https://klasma.github.io/Logging_0883/tillsyn/A 45679-2024 tillsynsbegäran.docx", "A 45679-2024")</f>
        <v/>
      </c>
      <c r="Y336">
        <f>HYPERLINK("https://klasma.github.io/Logging_0883/tillsynsmail/A 45679-2024 tillsynsbegäran mail.docx", "A 45679-2024")</f>
        <v/>
      </c>
    </row>
    <row r="337" ht="15" customHeight="1">
      <c r="A337" t="inlineStr">
        <is>
          <t>A 51488-2024</t>
        </is>
      </c>
      <c r="B337" s="1" t="n">
        <v>45604</v>
      </c>
      <c r="C337" s="1" t="n">
        <v>45822</v>
      </c>
      <c r="D337" t="inlineStr">
        <is>
          <t>KALMAR LÄN</t>
        </is>
      </c>
      <c r="E337" t="inlineStr">
        <is>
          <t>VÄSTERVIK</t>
        </is>
      </c>
      <c r="F337" t="inlineStr">
        <is>
          <t>Övriga Aktiebolag</t>
        </is>
      </c>
      <c r="G337" t="n">
        <v>2.9</v>
      </c>
      <c r="H337" t="n">
        <v>1</v>
      </c>
      <c r="I337" t="n">
        <v>0</v>
      </c>
      <c r="J337" t="n">
        <v>1</v>
      </c>
      <c r="K337" t="n">
        <v>0</v>
      </c>
      <c r="L337" t="n">
        <v>0</v>
      </c>
      <c r="M337" t="n">
        <v>0</v>
      </c>
      <c r="N337" t="n">
        <v>0</v>
      </c>
      <c r="O337" t="n">
        <v>1</v>
      </c>
      <c r="P337" t="n">
        <v>0</v>
      </c>
      <c r="Q337" t="n">
        <v>1</v>
      </c>
      <c r="R337" s="2" t="inlineStr">
        <is>
          <t>Entita</t>
        </is>
      </c>
      <c r="S337">
        <f>HYPERLINK("https://klasma.github.io/Logging_0883/artfynd/A 51488-2024 artfynd.xlsx", "A 51488-2024")</f>
        <v/>
      </c>
      <c r="T337">
        <f>HYPERLINK("https://klasma.github.io/Logging_0883/kartor/A 51488-2024 karta.png", "A 51488-2024")</f>
        <v/>
      </c>
      <c r="V337">
        <f>HYPERLINK("https://klasma.github.io/Logging_0883/klagomål/A 51488-2024 FSC-klagomål.docx", "A 51488-2024")</f>
        <v/>
      </c>
      <c r="W337">
        <f>HYPERLINK("https://klasma.github.io/Logging_0883/klagomålsmail/A 51488-2024 FSC-klagomål mail.docx", "A 51488-2024")</f>
        <v/>
      </c>
      <c r="X337">
        <f>HYPERLINK("https://klasma.github.io/Logging_0883/tillsyn/A 51488-2024 tillsynsbegäran.docx", "A 51488-2024")</f>
        <v/>
      </c>
      <c r="Y337">
        <f>HYPERLINK("https://klasma.github.io/Logging_0883/tillsynsmail/A 51488-2024 tillsynsbegäran mail.docx", "A 51488-2024")</f>
        <v/>
      </c>
      <c r="Z337">
        <f>HYPERLINK("https://klasma.github.io/Logging_0883/fåglar/A 51488-2024 prioriterade fågelarter.docx", "A 51488-2024")</f>
        <v/>
      </c>
    </row>
    <row r="338" ht="15" customHeight="1">
      <c r="A338" t="inlineStr">
        <is>
          <t>A 51514-2024</t>
        </is>
      </c>
      <c r="B338" s="1" t="n">
        <v>45604</v>
      </c>
      <c r="C338" s="1" t="n">
        <v>45822</v>
      </c>
      <c r="D338" t="inlineStr">
        <is>
          <t>KALMAR LÄN</t>
        </is>
      </c>
      <c r="E338" t="inlineStr">
        <is>
          <t>VÄSTERVIK</t>
        </is>
      </c>
      <c r="F338" t="inlineStr">
        <is>
          <t>Övriga Aktiebolag</t>
        </is>
      </c>
      <c r="G338" t="n">
        <v>2.4</v>
      </c>
      <c r="H338" t="n">
        <v>1</v>
      </c>
      <c r="I338" t="n">
        <v>0</v>
      </c>
      <c r="J338" t="n">
        <v>1</v>
      </c>
      <c r="K338" t="n">
        <v>0</v>
      </c>
      <c r="L338" t="n">
        <v>0</v>
      </c>
      <c r="M338" t="n">
        <v>0</v>
      </c>
      <c r="N338" t="n">
        <v>0</v>
      </c>
      <c r="O338" t="n">
        <v>1</v>
      </c>
      <c r="P338" t="n">
        <v>0</v>
      </c>
      <c r="Q338" t="n">
        <v>1</v>
      </c>
      <c r="R338" s="2" t="inlineStr">
        <is>
          <t>Havsörn</t>
        </is>
      </c>
      <c r="S338">
        <f>HYPERLINK("https://klasma.github.io/Logging_0883/artfynd/A 51514-2024 artfynd.xlsx", "A 51514-2024")</f>
        <v/>
      </c>
      <c r="T338">
        <f>HYPERLINK("https://klasma.github.io/Logging_0883/kartor/A 51514-2024 karta.png", "A 51514-2024")</f>
        <v/>
      </c>
      <c r="V338">
        <f>HYPERLINK("https://klasma.github.io/Logging_0883/klagomål/A 51514-2024 FSC-klagomål.docx", "A 51514-2024")</f>
        <v/>
      </c>
      <c r="W338">
        <f>HYPERLINK("https://klasma.github.io/Logging_0883/klagomålsmail/A 51514-2024 FSC-klagomål mail.docx", "A 51514-2024")</f>
        <v/>
      </c>
      <c r="X338">
        <f>HYPERLINK("https://klasma.github.io/Logging_0883/tillsyn/A 51514-2024 tillsynsbegäran.docx", "A 51514-2024")</f>
        <v/>
      </c>
      <c r="Y338">
        <f>HYPERLINK("https://klasma.github.io/Logging_0883/tillsynsmail/A 51514-2024 tillsynsbegäran mail.docx", "A 51514-2024")</f>
        <v/>
      </c>
      <c r="Z338">
        <f>HYPERLINK("https://klasma.github.io/Logging_0883/fåglar/A 51514-2024 prioriterade fågelarter.docx", "A 51514-2024")</f>
        <v/>
      </c>
    </row>
    <row r="339" ht="15" customHeight="1">
      <c r="A339" t="inlineStr">
        <is>
          <t>A 53075-2024</t>
        </is>
      </c>
      <c r="B339" s="1" t="n">
        <v>45611</v>
      </c>
      <c r="C339" s="1" t="n">
        <v>45822</v>
      </c>
      <c r="D339" t="inlineStr">
        <is>
          <t>KALMAR LÄN</t>
        </is>
      </c>
      <c r="E339" t="inlineStr">
        <is>
          <t>VÄSTERVIK</t>
        </is>
      </c>
      <c r="F339" t="inlineStr">
        <is>
          <t>Holmen skog AB</t>
        </is>
      </c>
      <c r="G339" t="n">
        <v>8.5</v>
      </c>
      <c r="H339" t="n">
        <v>1</v>
      </c>
      <c r="I339" t="n">
        <v>0</v>
      </c>
      <c r="J339" t="n">
        <v>1</v>
      </c>
      <c r="K339" t="n">
        <v>0</v>
      </c>
      <c r="L339" t="n">
        <v>0</v>
      </c>
      <c r="M339" t="n">
        <v>0</v>
      </c>
      <c r="N339" t="n">
        <v>0</v>
      </c>
      <c r="O339" t="n">
        <v>1</v>
      </c>
      <c r="P339" t="n">
        <v>0</v>
      </c>
      <c r="Q339" t="n">
        <v>1</v>
      </c>
      <c r="R339" s="2" t="inlineStr">
        <is>
          <t>Talltita</t>
        </is>
      </c>
      <c r="S339">
        <f>HYPERLINK("https://klasma.github.io/Logging_0883/artfynd/A 53075-2024 artfynd.xlsx", "A 53075-2024")</f>
        <v/>
      </c>
      <c r="T339">
        <f>HYPERLINK("https://klasma.github.io/Logging_0883/kartor/A 53075-2024 karta.png", "A 53075-2024")</f>
        <v/>
      </c>
      <c r="V339">
        <f>HYPERLINK("https://klasma.github.io/Logging_0883/klagomål/A 53075-2024 FSC-klagomål.docx", "A 53075-2024")</f>
        <v/>
      </c>
      <c r="W339">
        <f>HYPERLINK("https://klasma.github.io/Logging_0883/klagomålsmail/A 53075-2024 FSC-klagomål mail.docx", "A 53075-2024")</f>
        <v/>
      </c>
      <c r="X339">
        <f>HYPERLINK("https://klasma.github.io/Logging_0883/tillsyn/A 53075-2024 tillsynsbegäran.docx", "A 53075-2024")</f>
        <v/>
      </c>
      <c r="Y339">
        <f>HYPERLINK("https://klasma.github.io/Logging_0883/tillsynsmail/A 53075-2024 tillsynsbegäran mail.docx", "A 53075-2024")</f>
        <v/>
      </c>
      <c r="Z339">
        <f>HYPERLINK("https://klasma.github.io/Logging_0883/fåglar/A 53075-2024 prioriterade fågelarter.docx", "A 53075-2024")</f>
        <v/>
      </c>
    </row>
    <row r="340" ht="15" customHeight="1">
      <c r="A340" t="inlineStr">
        <is>
          <t>A 55360-2024</t>
        </is>
      </c>
      <c r="B340" s="1" t="n">
        <v>45621</v>
      </c>
      <c r="C340" s="1" t="n">
        <v>45822</v>
      </c>
      <c r="D340" t="inlineStr">
        <is>
          <t>KALMAR LÄN</t>
        </is>
      </c>
      <c r="E340" t="inlineStr">
        <is>
          <t>VÄSTERVIK</t>
        </is>
      </c>
      <c r="F340" t="inlineStr">
        <is>
          <t>Sveaskog</t>
        </is>
      </c>
      <c r="G340" t="n">
        <v>11.1</v>
      </c>
      <c r="H340" t="n">
        <v>0</v>
      </c>
      <c r="I340" t="n">
        <v>0</v>
      </c>
      <c r="J340" t="n">
        <v>1</v>
      </c>
      <c r="K340" t="n">
        <v>0</v>
      </c>
      <c r="L340" t="n">
        <v>0</v>
      </c>
      <c r="M340" t="n">
        <v>0</v>
      </c>
      <c r="N340" t="n">
        <v>0</v>
      </c>
      <c r="O340" t="n">
        <v>1</v>
      </c>
      <c r="P340" t="n">
        <v>0</v>
      </c>
      <c r="Q340" t="n">
        <v>1</v>
      </c>
      <c r="R340" s="2" t="inlineStr">
        <is>
          <t>Vårstarr</t>
        </is>
      </c>
      <c r="S340">
        <f>HYPERLINK("https://klasma.github.io/Logging_0883/artfynd/A 55360-2024 artfynd.xlsx", "A 55360-2024")</f>
        <v/>
      </c>
      <c r="T340">
        <f>HYPERLINK("https://klasma.github.io/Logging_0883/kartor/A 55360-2024 karta.png", "A 55360-2024")</f>
        <v/>
      </c>
      <c r="V340">
        <f>HYPERLINK("https://klasma.github.io/Logging_0883/klagomål/A 55360-2024 FSC-klagomål.docx", "A 55360-2024")</f>
        <v/>
      </c>
      <c r="W340">
        <f>HYPERLINK("https://klasma.github.io/Logging_0883/klagomålsmail/A 55360-2024 FSC-klagomål mail.docx", "A 55360-2024")</f>
        <v/>
      </c>
      <c r="X340">
        <f>HYPERLINK("https://klasma.github.io/Logging_0883/tillsyn/A 55360-2024 tillsynsbegäran.docx", "A 55360-2024")</f>
        <v/>
      </c>
      <c r="Y340">
        <f>HYPERLINK("https://klasma.github.io/Logging_0883/tillsynsmail/A 55360-2024 tillsynsbegäran mail.docx", "A 55360-2024")</f>
        <v/>
      </c>
    </row>
    <row r="341" ht="15" customHeight="1">
      <c r="A341" t="inlineStr">
        <is>
          <t>A 55616-2024</t>
        </is>
      </c>
      <c r="B341" s="1" t="n">
        <v>45622</v>
      </c>
      <c r="C341" s="1" t="n">
        <v>45822</v>
      </c>
      <c r="D341" t="inlineStr">
        <is>
          <t>KALMAR LÄN</t>
        </is>
      </c>
      <c r="E341" t="inlineStr">
        <is>
          <t>VÄSTERVIK</t>
        </is>
      </c>
      <c r="G341" t="n">
        <v>0.5</v>
      </c>
      <c r="H341" t="n">
        <v>1</v>
      </c>
      <c r="I341" t="n">
        <v>0</v>
      </c>
      <c r="J341" t="n">
        <v>1</v>
      </c>
      <c r="K341" t="n">
        <v>0</v>
      </c>
      <c r="L341" t="n">
        <v>0</v>
      </c>
      <c r="M341" t="n">
        <v>0</v>
      </c>
      <c r="N341" t="n">
        <v>0</v>
      </c>
      <c r="O341" t="n">
        <v>1</v>
      </c>
      <c r="P341" t="n">
        <v>0</v>
      </c>
      <c r="Q341" t="n">
        <v>1</v>
      </c>
      <c r="R341" s="2" t="inlineStr">
        <is>
          <t>Entita</t>
        </is>
      </c>
      <c r="S341">
        <f>HYPERLINK("https://klasma.github.io/Logging_0883/artfynd/A 55616-2024 artfynd.xlsx", "A 55616-2024")</f>
        <v/>
      </c>
      <c r="T341">
        <f>HYPERLINK("https://klasma.github.io/Logging_0883/kartor/A 55616-2024 karta.png", "A 55616-2024")</f>
        <v/>
      </c>
      <c r="V341">
        <f>HYPERLINK("https://klasma.github.io/Logging_0883/klagomål/A 55616-2024 FSC-klagomål.docx", "A 55616-2024")</f>
        <v/>
      </c>
      <c r="W341">
        <f>HYPERLINK("https://klasma.github.io/Logging_0883/klagomålsmail/A 55616-2024 FSC-klagomål mail.docx", "A 55616-2024")</f>
        <v/>
      </c>
      <c r="X341">
        <f>HYPERLINK("https://klasma.github.io/Logging_0883/tillsyn/A 55616-2024 tillsynsbegäran.docx", "A 55616-2024")</f>
        <v/>
      </c>
      <c r="Y341">
        <f>HYPERLINK("https://klasma.github.io/Logging_0883/tillsynsmail/A 55616-2024 tillsynsbegäran mail.docx", "A 55616-2024")</f>
        <v/>
      </c>
      <c r="Z341">
        <f>HYPERLINK("https://klasma.github.io/Logging_0883/fåglar/A 55616-2024 prioriterade fågelarter.docx", "A 55616-2024")</f>
        <v/>
      </c>
    </row>
    <row r="342" ht="15" customHeight="1">
      <c r="A342" t="inlineStr">
        <is>
          <t>A 56439-2024</t>
        </is>
      </c>
      <c r="B342" s="1" t="n">
        <v>45625</v>
      </c>
      <c r="C342" s="1" t="n">
        <v>45822</v>
      </c>
      <c r="D342" t="inlineStr">
        <is>
          <t>KALMAR LÄN</t>
        </is>
      </c>
      <c r="E342" t="inlineStr">
        <is>
          <t>VÄSTERVIK</t>
        </is>
      </c>
      <c r="F342" t="inlineStr">
        <is>
          <t>Övriga Aktiebolag</t>
        </is>
      </c>
      <c r="G342" t="n">
        <v>3.3</v>
      </c>
      <c r="H342" t="n">
        <v>0</v>
      </c>
      <c r="I342" t="n">
        <v>1</v>
      </c>
      <c r="J342" t="n">
        <v>0</v>
      </c>
      <c r="K342" t="n">
        <v>0</v>
      </c>
      <c r="L342" t="n">
        <v>0</v>
      </c>
      <c r="M342" t="n">
        <v>0</v>
      </c>
      <c r="N342" t="n">
        <v>0</v>
      </c>
      <c r="O342" t="n">
        <v>0</v>
      </c>
      <c r="P342" t="n">
        <v>0</v>
      </c>
      <c r="Q342" t="n">
        <v>1</v>
      </c>
      <c r="R342" s="2" t="inlineStr">
        <is>
          <t>Hasselticka</t>
        </is>
      </c>
      <c r="S342">
        <f>HYPERLINK("https://klasma.github.io/Logging_0883/artfynd/A 56439-2024 artfynd.xlsx", "A 56439-2024")</f>
        <v/>
      </c>
      <c r="T342">
        <f>HYPERLINK("https://klasma.github.io/Logging_0883/kartor/A 56439-2024 karta.png", "A 56439-2024")</f>
        <v/>
      </c>
      <c r="V342">
        <f>HYPERLINK("https://klasma.github.io/Logging_0883/klagomål/A 56439-2024 FSC-klagomål.docx", "A 56439-2024")</f>
        <v/>
      </c>
      <c r="W342">
        <f>HYPERLINK("https://klasma.github.io/Logging_0883/klagomålsmail/A 56439-2024 FSC-klagomål mail.docx", "A 56439-2024")</f>
        <v/>
      </c>
      <c r="X342">
        <f>HYPERLINK("https://klasma.github.io/Logging_0883/tillsyn/A 56439-2024 tillsynsbegäran.docx", "A 56439-2024")</f>
        <v/>
      </c>
      <c r="Y342">
        <f>HYPERLINK("https://klasma.github.io/Logging_0883/tillsynsmail/A 56439-2024 tillsynsbegäran mail.docx", "A 56439-2024")</f>
        <v/>
      </c>
    </row>
    <row r="343" ht="15" customHeight="1">
      <c r="A343" t="inlineStr">
        <is>
          <t>A 59616-2024</t>
        </is>
      </c>
      <c r="B343" s="1" t="n">
        <v>45638</v>
      </c>
      <c r="C343" s="1" t="n">
        <v>45822</v>
      </c>
      <c r="D343" t="inlineStr">
        <is>
          <t>KALMAR LÄN</t>
        </is>
      </c>
      <c r="E343" t="inlineStr">
        <is>
          <t>VÄSTERVIK</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HYPERLINK("https://klasma.github.io/Logging_0883/artfynd/A 59616-2024 artfynd.xlsx", "A 59616-2024")</f>
        <v/>
      </c>
      <c r="T343">
        <f>HYPERLINK("https://klasma.github.io/Logging_0883/kartor/A 59616-2024 karta.png", "A 59616-2024")</f>
        <v/>
      </c>
      <c r="U343">
        <f>HYPERLINK("https://klasma.github.io/Logging_0883/knärot/A 59616-2024 karta knärot.png", "A 59616-2024")</f>
        <v/>
      </c>
      <c r="V343">
        <f>HYPERLINK("https://klasma.github.io/Logging_0883/klagomål/A 59616-2024 FSC-klagomål.docx", "A 59616-2024")</f>
        <v/>
      </c>
      <c r="W343">
        <f>HYPERLINK("https://klasma.github.io/Logging_0883/klagomålsmail/A 59616-2024 FSC-klagomål mail.docx", "A 59616-2024")</f>
        <v/>
      </c>
      <c r="X343">
        <f>HYPERLINK("https://klasma.github.io/Logging_0883/tillsyn/A 59616-2024 tillsynsbegäran.docx", "A 59616-2024")</f>
        <v/>
      </c>
      <c r="Y343">
        <f>HYPERLINK("https://klasma.github.io/Logging_0883/tillsynsmail/A 59616-2024 tillsynsbegäran mail.docx", "A 59616-2024")</f>
        <v/>
      </c>
    </row>
    <row r="344" ht="15" customHeight="1">
      <c r="A344" t="inlineStr">
        <is>
          <t>A 59351-2024</t>
        </is>
      </c>
      <c r="B344" s="1" t="n">
        <v>45638</v>
      </c>
      <c r="C344" s="1" t="n">
        <v>45822</v>
      </c>
      <c r="D344" t="inlineStr">
        <is>
          <t>KALMAR LÄN</t>
        </is>
      </c>
      <c r="E344" t="inlineStr">
        <is>
          <t>VÄSTERVIK</t>
        </is>
      </c>
      <c r="G344" t="n">
        <v>4</v>
      </c>
      <c r="H344" t="n">
        <v>0</v>
      </c>
      <c r="I344" t="n">
        <v>0</v>
      </c>
      <c r="J344" t="n">
        <v>1</v>
      </c>
      <c r="K344" t="n">
        <v>0</v>
      </c>
      <c r="L344" t="n">
        <v>0</v>
      </c>
      <c r="M344" t="n">
        <v>0</v>
      </c>
      <c r="N344" t="n">
        <v>0</v>
      </c>
      <c r="O344" t="n">
        <v>1</v>
      </c>
      <c r="P344" t="n">
        <v>0</v>
      </c>
      <c r="Q344" t="n">
        <v>1</v>
      </c>
      <c r="R344" s="2" t="inlineStr">
        <is>
          <t>Nubbfibbla</t>
        </is>
      </c>
      <c r="S344">
        <f>HYPERLINK("https://klasma.github.io/Logging_0883/artfynd/A 59351-2024 artfynd.xlsx", "A 59351-2024")</f>
        <v/>
      </c>
      <c r="T344">
        <f>HYPERLINK("https://klasma.github.io/Logging_0883/kartor/A 59351-2024 karta.png", "A 59351-2024")</f>
        <v/>
      </c>
      <c r="V344">
        <f>HYPERLINK("https://klasma.github.io/Logging_0883/klagomål/A 59351-2024 FSC-klagomål.docx", "A 59351-2024")</f>
        <v/>
      </c>
      <c r="W344">
        <f>HYPERLINK("https://klasma.github.io/Logging_0883/klagomålsmail/A 59351-2024 FSC-klagomål mail.docx", "A 59351-2024")</f>
        <v/>
      </c>
      <c r="X344">
        <f>HYPERLINK("https://klasma.github.io/Logging_0883/tillsyn/A 59351-2024 tillsynsbegäran.docx", "A 59351-2024")</f>
        <v/>
      </c>
      <c r="Y344">
        <f>HYPERLINK("https://klasma.github.io/Logging_0883/tillsynsmail/A 59351-2024 tillsynsbegäran mail.docx", "A 59351-2024")</f>
        <v/>
      </c>
    </row>
    <row r="345" ht="15" customHeight="1">
      <c r="A345" t="inlineStr">
        <is>
          <t>A 961-2025</t>
        </is>
      </c>
      <c r="B345" s="1" t="n">
        <v>45666</v>
      </c>
      <c r="C345" s="1" t="n">
        <v>45822</v>
      </c>
      <c r="D345" t="inlineStr">
        <is>
          <t>KALMAR LÄN</t>
        </is>
      </c>
      <c r="E345" t="inlineStr">
        <is>
          <t>VÄSTERVIK</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HYPERLINK("https://klasma.github.io/Logging_0883/artfynd/A 961-2025 artfynd.xlsx", "A 961-2025")</f>
        <v/>
      </c>
      <c r="T345">
        <f>HYPERLINK("https://klasma.github.io/Logging_0883/kartor/A 961-2025 karta.png", "A 961-2025")</f>
        <v/>
      </c>
      <c r="U345">
        <f>HYPERLINK("https://klasma.github.io/Logging_0883/knärot/A 961-2025 karta knärot.png", "A 961-2025")</f>
        <v/>
      </c>
      <c r="V345">
        <f>HYPERLINK("https://klasma.github.io/Logging_0883/klagomål/A 961-2025 FSC-klagomål.docx", "A 961-2025")</f>
        <v/>
      </c>
      <c r="W345">
        <f>HYPERLINK("https://klasma.github.io/Logging_0883/klagomålsmail/A 961-2025 FSC-klagomål mail.docx", "A 961-2025")</f>
        <v/>
      </c>
      <c r="X345">
        <f>HYPERLINK("https://klasma.github.io/Logging_0883/tillsyn/A 961-2025 tillsynsbegäran.docx", "A 961-2025")</f>
        <v/>
      </c>
      <c r="Y345">
        <f>HYPERLINK("https://klasma.github.io/Logging_0883/tillsynsmail/A 961-2025 tillsynsbegäran mail.docx", "A 961-2025")</f>
        <v/>
      </c>
    </row>
    <row r="346" ht="15" customHeight="1">
      <c r="A346" t="inlineStr">
        <is>
          <t>A 1775-2025</t>
        </is>
      </c>
      <c r="B346" s="1" t="n">
        <v>45671</v>
      </c>
      <c r="C346" s="1" t="n">
        <v>45822</v>
      </c>
      <c r="D346" t="inlineStr">
        <is>
          <t>KALMAR LÄN</t>
        </is>
      </c>
      <c r="E346" t="inlineStr">
        <is>
          <t>VÄSTERVIK</t>
        </is>
      </c>
      <c r="G346" t="n">
        <v>0.9</v>
      </c>
      <c r="H346" t="n">
        <v>1</v>
      </c>
      <c r="I346" t="n">
        <v>0</v>
      </c>
      <c r="J346" t="n">
        <v>0</v>
      </c>
      <c r="K346" t="n">
        <v>0</v>
      </c>
      <c r="L346" t="n">
        <v>0</v>
      </c>
      <c r="M346" t="n">
        <v>0</v>
      </c>
      <c r="N346" t="n">
        <v>0</v>
      </c>
      <c r="O346" t="n">
        <v>0</v>
      </c>
      <c r="P346" t="n">
        <v>0</v>
      </c>
      <c r="Q346" t="n">
        <v>1</v>
      </c>
      <c r="R346" s="2" t="inlineStr">
        <is>
          <t>Kungsfågel</t>
        </is>
      </c>
      <c r="S346">
        <f>HYPERLINK("https://klasma.github.io/Logging_0883/artfynd/A 1775-2025 artfynd.xlsx", "A 1775-2025")</f>
        <v/>
      </c>
      <c r="T346">
        <f>HYPERLINK("https://klasma.github.io/Logging_0883/kartor/A 1775-2025 karta.png", "A 1775-2025")</f>
        <v/>
      </c>
      <c r="V346">
        <f>HYPERLINK("https://klasma.github.io/Logging_0883/klagomål/A 1775-2025 FSC-klagomål.docx", "A 1775-2025")</f>
        <v/>
      </c>
      <c r="W346">
        <f>HYPERLINK("https://klasma.github.io/Logging_0883/klagomålsmail/A 1775-2025 FSC-klagomål mail.docx", "A 1775-2025")</f>
        <v/>
      </c>
      <c r="X346">
        <f>HYPERLINK("https://klasma.github.io/Logging_0883/tillsyn/A 1775-2025 tillsynsbegäran.docx", "A 1775-2025")</f>
        <v/>
      </c>
      <c r="Y346">
        <f>HYPERLINK("https://klasma.github.io/Logging_0883/tillsynsmail/A 1775-2025 tillsynsbegäran mail.docx", "A 1775-2025")</f>
        <v/>
      </c>
      <c r="Z346">
        <f>HYPERLINK("https://klasma.github.io/Logging_0883/fåglar/A 1775-2025 prioriterade fågelarter.docx", "A 1775-2025")</f>
        <v/>
      </c>
    </row>
    <row r="347" ht="15" customHeight="1">
      <c r="A347" t="inlineStr">
        <is>
          <t>A 2328-2025</t>
        </is>
      </c>
      <c r="B347" s="1" t="n">
        <v>45673</v>
      </c>
      <c r="C347" s="1" t="n">
        <v>45822</v>
      </c>
      <c r="D347" t="inlineStr">
        <is>
          <t>KALMAR LÄN</t>
        </is>
      </c>
      <c r="E347" t="inlineStr">
        <is>
          <t>VÄSTERVIK</t>
        </is>
      </c>
      <c r="F347" t="inlineStr">
        <is>
          <t>Sveaskog</t>
        </is>
      </c>
      <c r="G347" t="n">
        <v>1.4</v>
      </c>
      <c r="H347" t="n">
        <v>1</v>
      </c>
      <c r="I347" t="n">
        <v>0</v>
      </c>
      <c r="J347" t="n">
        <v>0</v>
      </c>
      <c r="K347" t="n">
        <v>0</v>
      </c>
      <c r="L347" t="n">
        <v>0</v>
      </c>
      <c r="M347" t="n">
        <v>0</v>
      </c>
      <c r="N347" t="n">
        <v>0</v>
      </c>
      <c r="O347" t="n">
        <v>0</v>
      </c>
      <c r="P347" t="n">
        <v>0</v>
      </c>
      <c r="Q347" t="n">
        <v>1</v>
      </c>
      <c r="R347" s="2" t="inlineStr">
        <is>
          <t>Mattlummer</t>
        </is>
      </c>
      <c r="S347">
        <f>HYPERLINK("https://klasma.github.io/Logging_0883/artfynd/A 2328-2025 artfynd.xlsx", "A 2328-2025")</f>
        <v/>
      </c>
      <c r="T347">
        <f>HYPERLINK("https://klasma.github.io/Logging_0883/kartor/A 2328-2025 karta.png", "A 2328-2025")</f>
        <v/>
      </c>
      <c r="V347">
        <f>HYPERLINK("https://klasma.github.io/Logging_0883/klagomål/A 2328-2025 FSC-klagomål.docx", "A 2328-2025")</f>
        <v/>
      </c>
      <c r="W347">
        <f>HYPERLINK("https://klasma.github.io/Logging_0883/klagomålsmail/A 2328-2025 FSC-klagomål mail.docx", "A 2328-2025")</f>
        <v/>
      </c>
      <c r="X347">
        <f>HYPERLINK("https://klasma.github.io/Logging_0883/tillsyn/A 2328-2025 tillsynsbegäran.docx", "A 2328-2025")</f>
        <v/>
      </c>
      <c r="Y347">
        <f>HYPERLINK("https://klasma.github.io/Logging_0883/tillsynsmail/A 2328-2025 tillsynsbegäran mail.docx", "A 2328-2025")</f>
        <v/>
      </c>
    </row>
    <row r="348" ht="15" customHeight="1">
      <c r="A348" t="inlineStr">
        <is>
          <t>A 3112-2025</t>
        </is>
      </c>
      <c r="B348" s="1" t="n">
        <v>45678</v>
      </c>
      <c r="C348" s="1" t="n">
        <v>45822</v>
      </c>
      <c r="D348" t="inlineStr">
        <is>
          <t>KALMAR LÄN</t>
        </is>
      </c>
      <c r="E348" t="inlineStr">
        <is>
          <t>VÄSTERVIK</t>
        </is>
      </c>
      <c r="G348" t="n">
        <v>1.5</v>
      </c>
      <c r="H348" t="n">
        <v>1</v>
      </c>
      <c r="I348" t="n">
        <v>0</v>
      </c>
      <c r="J348" t="n">
        <v>0</v>
      </c>
      <c r="K348" t="n">
        <v>0</v>
      </c>
      <c r="L348" t="n">
        <v>0</v>
      </c>
      <c r="M348" t="n">
        <v>0</v>
      </c>
      <c r="N348" t="n">
        <v>0</v>
      </c>
      <c r="O348" t="n">
        <v>0</v>
      </c>
      <c r="P348" t="n">
        <v>0</v>
      </c>
      <c r="Q348" t="n">
        <v>1</v>
      </c>
      <c r="R348" s="2" t="inlineStr">
        <is>
          <t>Mattlummer</t>
        </is>
      </c>
      <c r="S348">
        <f>HYPERLINK("https://klasma.github.io/Logging_0883/artfynd/A 3112-2025 artfynd.xlsx", "A 3112-2025")</f>
        <v/>
      </c>
      <c r="T348">
        <f>HYPERLINK("https://klasma.github.io/Logging_0883/kartor/A 3112-2025 karta.png", "A 3112-2025")</f>
        <v/>
      </c>
      <c r="V348">
        <f>HYPERLINK("https://klasma.github.io/Logging_0883/klagomål/A 3112-2025 FSC-klagomål.docx", "A 3112-2025")</f>
        <v/>
      </c>
      <c r="W348">
        <f>HYPERLINK("https://klasma.github.io/Logging_0883/klagomålsmail/A 3112-2025 FSC-klagomål mail.docx", "A 3112-2025")</f>
        <v/>
      </c>
      <c r="X348">
        <f>HYPERLINK("https://klasma.github.io/Logging_0883/tillsyn/A 3112-2025 tillsynsbegäran.docx", "A 3112-2025")</f>
        <v/>
      </c>
      <c r="Y348">
        <f>HYPERLINK("https://klasma.github.io/Logging_0883/tillsynsmail/A 3112-2025 tillsynsbegäran mail.docx", "A 3112-2025")</f>
        <v/>
      </c>
    </row>
    <row r="349" ht="15" customHeight="1">
      <c r="A349" t="inlineStr">
        <is>
          <t>A 3057-2025</t>
        </is>
      </c>
      <c r="B349" s="1" t="n">
        <v>45678</v>
      </c>
      <c r="C349" s="1" t="n">
        <v>45822</v>
      </c>
      <c r="D349" t="inlineStr">
        <is>
          <t>KALMAR LÄN</t>
        </is>
      </c>
      <c r="E349" t="inlineStr">
        <is>
          <t>VÄSTERVIK</t>
        </is>
      </c>
      <c r="G349" t="n">
        <v>1</v>
      </c>
      <c r="H349" t="n">
        <v>1</v>
      </c>
      <c r="I349" t="n">
        <v>0</v>
      </c>
      <c r="J349" t="n">
        <v>0</v>
      </c>
      <c r="K349" t="n">
        <v>1</v>
      </c>
      <c r="L349" t="n">
        <v>0</v>
      </c>
      <c r="M349" t="n">
        <v>0</v>
      </c>
      <c r="N349" t="n">
        <v>0</v>
      </c>
      <c r="O349" t="n">
        <v>1</v>
      </c>
      <c r="P349" t="n">
        <v>1</v>
      </c>
      <c r="Q349" t="n">
        <v>1</v>
      </c>
      <c r="R349" s="2" t="inlineStr">
        <is>
          <t>Knärot</t>
        </is>
      </c>
      <c r="S349">
        <f>HYPERLINK("https://klasma.github.io/Logging_0883/artfynd/A 3057-2025 artfynd.xlsx", "A 3057-2025")</f>
        <v/>
      </c>
      <c r="T349">
        <f>HYPERLINK("https://klasma.github.io/Logging_0883/kartor/A 3057-2025 karta.png", "A 3057-2025")</f>
        <v/>
      </c>
      <c r="U349">
        <f>HYPERLINK("https://klasma.github.io/Logging_0883/knärot/A 3057-2025 karta knärot.png", "A 3057-2025")</f>
        <v/>
      </c>
      <c r="V349">
        <f>HYPERLINK("https://klasma.github.io/Logging_0883/klagomål/A 3057-2025 FSC-klagomål.docx", "A 3057-2025")</f>
        <v/>
      </c>
      <c r="W349">
        <f>HYPERLINK("https://klasma.github.io/Logging_0883/klagomålsmail/A 3057-2025 FSC-klagomål mail.docx", "A 3057-2025")</f>
        <v/>
      </c>
      <c r="X349">
        <f>HYPERLINK("https://klasma.github.io/Logging_0883/tillsyn/A 3057-2025 tillsynsbegäran.docx", "A 3057-2025")</f>
        <v/>
      </c>
      <c r="Y349">
        <f>HYPERLINK("https://klasma.github.io/Logging_0883/tillsynsmail/A 3057-2025 tillsynsbegäran mail.docx", "A 3057-2025")</f>
        <v/>
      </c>
    </row>
    <row r="350" ht="15" customHeight="1">
      <c r="A350" t="inlineStr">
        <is>
          <t>A 3673-2025</t>
        </is>
      </c>
      <c r="B350" s="1" t="n">
        <v>45681</v>
      </c>
      <c r="C350" s="1" t="n">
        <v>45822</v>
      </c>
      <c r="D350" t="inlineStr">
        <is>
          <t>KALMAR LÄN</t>
        </is>
      </c>
      <c r="E350" t="inlineStr">
        <is>
          <t>VÄSTERVIK</t>
        </is>
      </c>
      <c r="G350" t="n">
        <v>1.1</v>
      </c>
      <c r="H350" t="n">
        <v>0</v>
      </c>
      <c r="I350" t="n">
        <v>1</v>
      </c>
      <c r="J350" t="n">
        <v>0</v>
      </c>
      <c r="K350" t="n">
        <v>0</v>
      </c>
      <c r="L350" t="n">
        <v>0</v>
      </c>
      <c r="M350" t="n">
        <v>0</v>
      </c>
      <c r="N350" t="n">
        <v>0</v>
      </c>
      <c r="O350" t="n">
        <v>0</v>
      </c>
      <c r="P350" t="n">
        <v>0</v>
      </c>
      <c r="Q350" t="n">
        <v>1</v>
      </c>
      <c r="R350" s="2" t="inlineStr">
        <is>
          <t>Blodticka</t>
        </is>
      </c>
      <c r="S350">
        <f>HYPERLINK("https://klasma.github.io/Logging_0883/artfynd/A 3673-2025 artfynd.xlsx", "A 3673-2025")</f>
        <v/>
      </c>
      <c r="T350">
        <f>HYPERLINK("https://klasma.github.io/Logging_0883/kartor/A 3673-2025 karta.png", "A 3673-2025")</f>
        <v/>
      </c>
      <c r="V350">
        <f>HYPERLINK("https://klasma.github.io/Logging_0883/klagomål/A 3673-2025 FSC-klagomål.docx", "A 3673-2025")</f>
        <v/>
      </c>
      <c r="W350">
        <f>HYPERLINK("https://klasma.github.io/Logging_0883/klagomålsmail/A 3673-2025 FSC-klagomål mail.docx", "A 3673-2025")</f>
        <v/>
      </c>
      <c r="X350">
        <f>HYPERLINK("https://klasma.github.io/Logging_0883/tillsyn/A 3673-2025 tillsynsbegäran.docx", "A 3673-2025")</f>
        <v/>
      </c>
      <c r="Y350">
        <f>HYPERLINK("https://klasma.github.io/Logging_0883/tillsynsmail/A 3673-2025 tillsynsbegäran mail.docx", "A 3673-2025")</f>
        <v/>
      </c>
    </row>
    <row r="351" ht="15" customHeight="1">
      <c r="A351" t="inlineStr">
        <is>
          <t>A 3600-2025</t>
        </is>
      </c>
      <c r="B351" s="1" t="n">
        <v>45681</v>
      </c>
      <c r="C351" s="1" t="n">
        <v>45822</v>
      </c>
      <c r="D351" t="inlineStr">
        <is>
          <t>KALMAR LÄN</t>
        </is>
      </c>
      <c r="E351" t="inlineStr">
        <is>
          <t>VÄSTERVIK</t>
        </is>
      </c>
      <c r="G351" t="n">
        <v>1</v>
      </c>
      <c r="H351" t="n">
        <v>1</v>
      </c>
      <c r="I351" t="n">
        <v>0</v>
      </c>
      <c r="J351" t="n">
        <v>1</v>
      </c>
      <c r="K351" t="n">
        <v>0</v>
      </c>
      <c r="L351" t="n">
        <v>0</v>
      </c>
      <c r="M351" t="n">
        <v>0</v>
      </c>
      <c r="N351" t="n">
        <v>0</v>
      </c>
      <c r="O351" t="n">
        <v>1</v>
      </c>
      <c r="P351" t="n">
        <v>0</v>
      </c>
      <c r="Q351" t="n">
        <v>1</v>
      </c>
      <c r="R351" s="2" t="inlineStr">
        <is>
          <t>Spillkråka</t>
        </is>
      </c>
      <c r="S351">
        <f>HYPERLINK("https://klasma.github.io/Logging_0883/artfynd/A 3600-2025 artfynd.xlsx", "A 3600-2025")</f>
        <v/>
      </c>
      <c r="T351">
        <f>HYPERLINK("https://klasma.github.io/Logging_0883/kartor/A 3600-2025 karta.png", "A 3600-2025")</f>
        <v/>
      </c>
      <c r="V351">
        <f>HYPERLINK("https://klasma.github.io/Logging_0883/klagomål/A 3600-2025 FSC-klagomål.docx", "A 3600-2025")</f>
        <v/>
      </c>
      <c r="W351">
        <f>HYPERLINK("https://klasma.github.io/Logging_0883/klagomålsmail/A 3600-2025 FSC-klagomål mail.docx", "A 3600-2025")</f>
        <v/>
      </c>
      <c r="X351">
        <f>HYPERLINK("https://klasma.github.io/Logging_0883/tillsyn/A 3600-2025 tillsynsbegäran.docx", "A 3600-2025")</f>
        <v/>
      </c>
      <c r="Y351">
        <f>HYPERLINK("https://klasma.github.io/Logging_0883/tillsynsmail/A 3600-2025 tillsynsbegäran mail.docx", "A 3600-2025")</f>
        <v/>
      </c>
      <c r="Z351">
        <f>HYPERLINK("https://klasma.github.io/Logging_0883/fåglar/A 3600-2025 prioriterade fågelarter.docx", "A 3600-2025")</f>
        <v/>
      </c>
    </row>
    <row r="352" ht="15" customHeight="1">
      <c r="A352" t="inlineStr">
        <is>
          <t>A 4778-2025</t>
        </is>
      </c>
      <c r="B352" s="1" t="n">
        <v>45688</v>
      </c>
      <c r="C352" s="1" t="n">
        <v>45822</v>
      </c>
      <c r="D352" t="inlineStr">
        <is>
          <t>KALMAR LÄN</t>
        </is>
      </c>
      <c r="E352" t="inlineStr">
        <is>
          <t>VÄSTERVIK</t>
        </is>
      </c>
      <c r="F352" t="inlineStr">
        <is>
          <t>Holmen skog AB</t>
        </is>
      </c>
      <c r="G352" t="n">
        <v>3.8</v>
      </c>
      <c r="H352" t="n">
        <v>1</v>
      </c>
      <c r="I352" t="n">
        <v>0</v>
      </c>
      <c r="J352" t="n">
        <v>0</v>
      </c>
      <c r="K352" t="n">
        <v>1</v>
      </c>
      <c r="L352" t="n">
        <v>0</v>
      </c>
      <c r="M352" t="n">
        <v>0</v>
      </c>
      <c r="N352" t="n">
        <v>0</v>
      </c>
      <c r="O352" t="n">
        <v>1</v>
      </c>
      <c r="P352" t="n">
        <v>1</v>
      </c>
      <c r="Q352" t="n">
        <v>1</v>
      </c>
      <c r="R352" s="2" t="inlineStr">
        <is>
          <t>Knärot</t>
        </is>
      </c>
      <c r="S352">
        <f>HYPERLINK("https://klasma.github.io/Logging_0883/artfynd/A 4778-2025 artfynd.xlsx", "A 4778-2025")</f>
        <v/>
      </c>
      <c r="T352">
        <f>HYPERLINK("https://klasma.github.io/Logging_0883/kartor/A 4778-2025 karta.png", "A 4778-2025")</f>
        <v/>
      </c>
      <c r="U352">
        <f>HYPERLINK("https://klasma.github.io/Logging_0883/knärot/A 4778-2025 karta knärot.png", "A 4778-2025")</f>
        <v/>
      </c>
      <c r="V352">
        <f>HYPERLINK("https://klasma.github.io/Logging_0883/klagomål/A 4778-2025 FSC-klagomål.docx", "A 4778-2025")</f>
        <v/>
      </c>
      <c r="W352">
        <f>HYPERLINK("https://klasma.github.io/Logging_0883/klagomålsmail/A 4778-2025 FSC-klagomål mail.docx", "A 4778-2025")</f>
        <v/>
      </c>
      <c r="X352">
        <f>HYPERLINK("https://klasma.github.io/Logging_0883/tillsyn/A 4778-2025 tillsynsbegäran.docx", "A 4778-2025")</f>
        <v/>
      </c>
      <c r="Y352">
        <f>HYPERLINK("https://klasma.github.io/Logging_0883/tillsynsmail/A 4778-2025 tillsynsbegäran mail.docx", "A 4778-2025")</f>
        <v/>
      </c>
    </row>
    <row r="353" ht="15" customHeight="1">
      <c r="A353" t="inlineStr">
        <is>
          <t>A 4750-2025</t>
        </is>
      </c>
      <c r="B353" s="1" t="n">
        <v>45688</v>
      </c>
      <c r="C353" s="1" t="n">
        <v>45822</v>
      </c>
      <c r="D353" t="inlineStr">
        <is>
          <t>KALMAR LÄN</t>
        </is>
      </c>
      <c r="E353" t="inlineStr">
        <is>
          <t>VÄSTERVIK</t>
        </is>
      </c>
      <c r="F353" t="inlineStr">
        <is>
          <t>Holmen skog AB</t>
        </is>
      </c>
      <c r="G353" t="n">
        <v>0.9</v>
      </c>
      <c r="H353" t="n">
        <v>1</v>
      </c>
      <c r="I353" t="n">
        <v>0</v>
      </c>
      <c r="J353" t="n">
        <v>1</v>
      </c>
      <c r="K353" t="n">
        <v>0</v>
      </c>
      <c r="L353" t="n">
        <v>0</v>
      </c>
      <c r="M353" t="n">
        <v>0</v>
      </c>
      <c r="N353" t="n">
        <v>0</v>
      </c>
      <c r="O353" t="n">
        <v>1</v>
      </c>
      <c r="P353" t="n">
        <v>0</v>
      </c>
      <c r="Q353" t="n">
        <v>1</v>
      </c>
      <c r="R353" s="2" t="inlineStr">
        <is>
          <t>Talltita</t>
        </is>
      </c>
      <c r="S353">
        <f>HYPERLINK("https://klasma.github.io/Logging_0883/artfynd/A 4750-2025 artfynd.xlsx", "A 4750-2025")</f>
        <v/>
      </c>
      <c r="T353">
        <f>HYPERLINK("https://klasma.github.io/Logging_0883/kartor/A 4750-2025 karta.png", "A 4750-2025")</f>
        <v/>
      </c>
      <c r="V353">
        <f>HYPERLINK("https://klasma.github.io/Logging_0883/klagomål/A 4750-2025 FSC-klagomål.docx", "A 4750-2025")</f>
        <v/>
      </c>
      <c r="W353">
        <f>HYPERLINK("https://klasma.github.io/Logging_0883/klagomålsmail/A 4750-2025 FSC-klagomål mail.docx", "A 4750-2025")</f>
        <v/>
      </c>
      <c r="X353">
        <f>HYPERLINK("https://klasma.github.io/Logging_0883/tillsyn/A 4750-2025 tillsynsbegäran.docx", "A 4750-2025")</f>
        <v/>
      </c>
      <c r="Y353">
        <f>HYPERLINK("https://klasma.github.io/Logging_0883/tillsynsmail/A 4750-2025 tillsynsbegäran mail.docx", "A 4750-2025")</f>
        <v/>
      </c>
      <c r="Z353">
        <f>HYPERLINK("https://klasma.github.io/Logging_0883/fåglar/A 4750-2025 prioriterade fågelarter.docx", "A 4750-2025")</f>
        <v/>
      </c>
    </row>
    <row r="354" ht="15" customHeight="1">
      <c r="A354" t="inlineStr">
        <is>
          <t>A 4719-2025</t>
        </is>
      </c>
      <c r="B354" s="1" t="n">
        <v>45688</v>
      </c>
      <c r="C354" s="1" t="n">
        <v>45822</v>
      </c>
      <c r="D354" t="inlineStr">
        <is>
          <t>KALMAR LÄN</t>
        </is>
      </c>
      <c r="E354" t="inlineStr">
        <is>
          <t>VÄSTERVIK</t>
        </is>
      </c>
      <c r="G354" t="n">
        <v>10.4</v>
      </c>
      <c r="H354" t="n">
        <v>0</v>
      </c>
      <c r="I354" t="n">
        <v>1</v>
      </c>
      <c r="J354" t="n">
        <v>0</v>
      </c>
      <c r="K354" t="n">
        <v>0</v>
      </c>
      <c r="L354" t="n">
        <v>0</v>
      </c>
      <c r="M354" t="n">
        <v>0</v>
      </c>
      <c r="N354" t="n">
        <v>0</v>
      </c>
      <c r="O354" t="n">
        <v>0</v>
      </c>
      <c r="P354" t="n">
        <v>0</v>
      </c>
      <c r="Q354" t="n">
        <v>1</v>
      </c>
      <c r="R354" s="2" t="inlineStr">
        <is>
          <t>Dropptaggsvamp</t>
        </is>
      </c>
      <c r="S354">
        <f>HYPERLINK("https://klasma.github.io/Logging_0883/artfynd/A 4719-2025 artfynd.xlsx", "A 4719-2025")</f>
        <v/>
      </c>
      <c r="T354">
        <f>HYPERLINK("https://klasma.github.io/Logging_0883/kartor/A 4719-2025 karta.png", "A 4719-2025")</f>
        <v/>
      </c>
      <c r="V354">
        <f>HYPERLINK("https://klasma.github.io/Logging_0883/klagomål/A 4719-2025 FSC-klagomål.docx", "A 4719-2025")</f>
        <v/>
      </c>
      <c r="W354">
        <f>HYPERLINK("https://klasma.github.io/Logging_0883/klagomålsmail/A 4719-2025 FSC-klagomål mail.docx", "A 4719-2025")</f>
        <v/>
      </c>
      <c r="X354">
        <f>HYPERLINK("https://klasma.github.io/Logging_0883/tillsyn/A 4719-2025 tillsynsbegäran.docx", "A 4719-2025")</f>
        <v/>
      </c>
      <c r="Y354">
        <f>HYPERLINK("https://klasma.github.io/Logging_0883/tillsynsmail/A 4719-2025 tillsynsbegäran mail.docx", "A 4719-2025")</f>
        <v/>
      </c>
    </row>
    <row r="355" ht="15" customHeight="1">
      <c r="A355" t="inlineStr">
        <is>
          <t>A 5840-2025</t>
        </is>
      </c>
      <c r="B355" s="1" t="n">
        <v>45695</v>
      </c>
      <c r="C355" s="1" t="n">
        <v>45822</v>
      </c>
      <c r="D355" t="inlineStr">
        <is>
          <t>KALMAR LÄN</t>
        </is>
      </c>
      <c r="E355" t="inlineStr">
        <is>
          <t>VÄSTERVIK</t>
        </is>
      </c>
      <c r="F355" t="inlineStr">
        <is>
          <t>Holmen skog AB</t>
        </is>
      </c>
      <c r="G355" t="n">
        <v>2.7</v>
      </c>
      <c r="H355" t="n">
        <v>0</v>
      </c>
      <c r="I355" t="n">
        <v>0</v>
      </c>
      <c r="J355" t="n">
        <v>1</v>
      </c>
      <c r="K355" t="n">
        <v>0</v>
      </c>
      <c r="L355" t="n">
        <v>0</v>
      </c>
      <c r="M355" t="n">
        <v>0</v>
      </c>
      <c r="N355" t="n">
        <v>0</v>
      </c>
      <c r="O355" t="n">
        <v>1</v>
      </c>
      <c r="P355" t="n">
        <v>0</v>
      </c>
      <c r="Q355" t="n">
        <v>1</v>
      </c>
      <c r="R355" s="2" t="inlineStr">
        <is>
          <t>Krusfrö</t>
        </is>
      </c>
      <c r="S355">
        <f>HYPERLINK("https://klasma.github.io/Logging_0883/artfynd/A 5840-2025 artfynd.xlsx", "A 5840-2025")</f>
        <v/>
      </c>
      <c r="T355">
        <f>HYPERLINK("https://klasma.github.io/Logging_0883/kartor/A 5840-2025 karta.png", "A 5840-2025")</f>
        <v/>
      </c>
      <c r="V355">
        <f>HYPERLINK("https://klasma.github.io/Logging_0883/klagomål/A 5840-2025 FSC-klagomål.docx", "A 5840-2025")</f>
        <v/>
      </c>
      <c r="W355">
        <f>HYPERLINK("https://klasma.github.io/Logging_0883/klagomålsmail/A 5840-2025 FSC-klagomål mail.docx", "A 5840-2025")</f>
        <v/>
      </c>
      <c r="X355">
        <f>HYPERLINK("https://klasma.github.io/Logging_0883/tillsyn/A 5840-2025 tillsynsbegäran.docx", "A 5840-2025")</f>
        <v/>
      </c>
      <c r="Y355">
        <f>HYPERLINK("https://klasma.github.io/Logging_0883/tillsynsmail/A 5840-2025 tillsynsbegäran mail.docx", "A 5840-2025")</f>
        <v/>
      </c>
    </row>
    <row r="356" ht="15" customHeight="1">
      <c r="A356" t="inlineStr">
        <is>
          <t>A 6657-2025</t>
        </is>
      </c>
      <c r="B356" s="1" t="n">
        <v>45700</v>
      </c>
      <c r="C356" s="1" t="n">
        <v>45822</v>
      </c>
      <c r="D356" t="inlineStr">
        <is>
          <t>KALMAR LÄN</t>
        </is>
      </c>
      <c r="E356" t="inlineStr">
        <is>
          <t>VÄSTERVIK</t>
        </is>
      </c>
      <c r="F356" t="inlineStr">
        <is>
          <t>Holmen skog AB</t>
        </is>
      </c>
      <c r="G356" t="n">
        <v>3</v>
      </c>
      <c r="H356" t="n">
        <v>1</v>
      </c>
      <c r="I356" t="n">
        <v>0</v>
      </c>
      <c r="J356" t="n">
        <v>0</v>
      </c>
      <c r="K356" t="n">
        <v>1</v>
      </c>
      <c r="L356" t="n">
        <v>0</v>
      </c>
      <c r="M356" t="n">
        <v>0</v>
      </c>
      <c r="N356" t="n">
        <v>0</v>
      </c>
      <c r="O356" t="n">
        <v>1</v>
      </c>
      <c r="P356" t="n">
        <v>1</v>
      </c>
      <c r="Q356" t="n">
        <v>1</v>
      </c>
      <c r="R356" s="2" t="inlineStr">
        <is>
          <t>Knärot</t>
        </is>
      </c>
      <c r="S356">
        <f>HYPERLINK("https://klasma.github.io/Logging_0883/artfynd/A 6657-2025 artfynd.xlsx", "A 6657-2025")</f>
        <v/>
      </c>
      <c r="T356">
        <f>HYPERLINK("https://klasma.github.io/Logging_0883/kartor/A 6657-2025 karta.png", "A 6657-2025")</f>
        <v/>
      </c>
      <c r="U356">
        <f>HYPERLINK("https://klasma.github.io/Logging_0883/knärot/A 6657-2025 karta knärot.png", "A 6657-2025")</f>
        <v/>
      </c>
      <c r="V356">
        <f>HYPERLINK("https://klasma.github.io/Logging_0883/klagomål/A 6657-2025 FSC-klagomål.docx", "A 6657-2025")</f>
        <v/>
      </c>
      <c r="W356">
        <f>HYPERLINK("https://klasma.github.io/Logging_0883/klagomålsmail/A 6657-2025 FSC-klagomål mail.docx", "A 6657-2025")</f>
        <v/>
      </c>
      <c r="X356">
        <f>HYPERLINK("https://klasma.github.io/Logging_0883/tillsyn/A 6657-2025 tillsynsbegäran.docx", "A 6657-2025")</f>
        <v/>
      </c>
      <c r="Y356">
        <f>HYPERLINK("https://klasma.github.io/Logging_0883/tillsynsmail/A 6657-2025 tillsynsbegäran mail.docx", "A 6657-2025")</f>
        <v/>
      </c>
    </row>
    <row r="357" ht="15" customHeight="1">
      <c r="A357" t="inlineStr">
        <is>
          <t>A 6634-2025</t>
        </is>
      </c>
      <c r="B357" s="1" t="n">
        <v>45700</v>
      </c>
      <c r="C357" s="1" t="n">
        <v>45822</v>
      </c>
      <c r="D357" t="inlineStr">
        <is>
          <t>KALMAR LÄN</t>
        </is>
      </c>
      <c r="E357" t="inlineStr">
        <is>
          <t>VÄSTERVIK</t>
        </is>
      </c>
      <c r="G357" t="n">
        <v>2.2</v>
      </c>
      <c r="H357" t="n">
        <v>0</v>
      </c>
      <c r="I357" t="n">
        <v>1</v>
      </c>
      <c r="J357" t="n">
        <v>0</v>
      </c>
      <c r="K357" t="n">
        <v>0</v>
      </c>
      <c r="L357" t="n">
        <v>0</v>
      </c>
      <c r="M357" t="n">
        <v>0</v>
      </c>
      <c r="N357" t="n">
        <v>0</v>
      </c>
      <c r="O357" t="n">
        <v>0</v>
      </c>
      <c r="P357" t="n">
        <v>0</v>
      </c>
      <c r="Q357" t="n">
        <v>1</v>
      </c>
      <c r="R357" s="2" t="inlineStr">
        <is>
          <t>Ögonpyrola</t>
        </is>
      </c>
      <c r="S357">
        <f>HYPERLINK("https://klasma.github.io/Logging_0883/artfynd/A 6634-2025 artfynd.xlsx", "A 6634-2025")</f>
        <v/>
      </c>
      <c r="T357">
        <f>HYPERLINK("https://klasma.github.io/Logging_0883/kartor/A 6634-2025 karta.png", "A 6634-2025")</f>
        <v/>
      </c>
      <c r="V357">
        <f>HYPERLINK("https://klasma.github.io/Logging_0883/klagomål/A 6634-2025 FSC-klagomål.docx", "A 6634-2025")</f>
        <v/>
      </c>
      <c r="W357">
        <f>HYPERLINK("https://klasma.github.io/Logging_0883/klagomålsmail/A 6634-2025 FSC-klagomål mail.docx", "A 6634-2025")</f>
        <v/>
      </c>
      <c r="X357">
        <f>HYPERLINK("https://klasma.github.io/Logging_0883/tillsyn/A 6634-2025 tillsynsbegäran.docx", "A 6634-2025")</f>
        <v/>
      </c>
      <c r="Y357">
        <f>HYPERLINK("https://klasma.github.io/Logging_0883/tillsynsmail/A 6634-2025 tillsynsbegäran mail.docx", "A 6634-2025")</f>
        <v/>
      </c>
    </row>
    <row r="358" ht="15" customHeight="1">
      <c r="A358" t="inlineStr">
        <is>
          <t>A 6605-2025</t>
        </is>
      </c>
      <c r="B358" s="1" t="n">
        <v>45700</v>
      </c>
      <c r="C358" s="1" t="n">
        <v>45822</v>
      </c>
      <c r="D358" t="inlineStr">
        <is>
          <t>KALMAR LÄN</t>
        </is>
      </c>
      <c r="E358" t="inlineStr">
        <is>
          <t>VÄSTERVIK</t>
        </is>
      </c>
      <c r="G358" t="n">
        <v>4.5</v>
      </c>
      <c r="H358" t="n">
        <v>0</v>
      </c>
      <c r="I358" t="n">
        <v>1</v>
      </c>
      <c r="J358" t="n">
        <v>0</v>
      </c>
      <c r="K358" t="n">
        <v>0</v>
      </c>
      <c r="L358" t="n">
        <v>0</v>
      </c>
      <c r="M358" t="n">
        <v>0</v>
      </c>
      <c r="N358" t="n">
        <v>0</v>
      </c>
      <c r="O358" t="n">
        <v>0</v>
      </c>
      <c r="P358" t="n">
        <v>0</v>
      </c>
      <c r="Q358" t="n">
        <v>1</v>
      </c>
      <c r="R358" s="2" t="inlineStr">
        <is>
          <t>Dropptaggsvamp</t>
        </is>
      </c>
      <c r="S358">
        <f>HYPERLINK("https://klasma.github.io/Logging_0883/artfynd/A 6605-2025 artfynd.xlsx", "A 6605-2025")</f>
        <v/>
      </c>
      <c r="T358">
        <f>HYPERLINK("https://klasma.github.io/Logging_0883/kartor/A 6605-2025 karta.png", "A 6605-2025")</f>
        <v/>
      </c>
      <c r="V358">
        <f>HYPERLINK("https://klasma.github.io/Logging_0883/klagomål/A 6605-2025 FSC-klagomål.docx", "A 6605-2025")</f>
        <v/>
      </c>
      <c r="W358">
        <f>HYPERLINK("https://klasma.github.io/Logging_0883/klagomålsmail/A 6605-2025 FSC-klagomål mail.docx", "A 6605-2025")</f>
        <v/>
      </c>
      <c r="X358">
        <f>HYPERLINK("https://klasma.github.io/Logging_0883/tillsyn/A 6605-2025 tillsynsbegäran.docx", "A 6605-2025")</f>
        <v/>
      </c>
      <c r="Y358">
        <f>HYPERLINK("https://klasma.github.io/Logging_0883/tillsynsmail/A 6605-2025 tillsynsbegäran mail.docx", "A 6605-2025")</f>
        <v/>
      </c>
    </row>
    <row r="359" ht="15" customHeight="1">
      <c r="A359" t="inlineStr">
        <is>
          <t>A 9261-2025</t>
        </is>
      </c>
      <c r="B359" s="1" t="n">
        <v>45714</v>
      </c>
      <c r="C359" s="1" t="n">
        <v>45822</v>
      </c>
      <c r="D359" t="inlineStr">
        <is>
          <t>KALMAR LÄN</t>
        </is>
      </c>
      <c r="E359" t="inlineStr">
        <is>
          <t>VÄSTERVIK</t>
        </is>
      </c>
      <c r="F359" t="inlineStr">
        <is>
          <t>Sveaskog</t>
        </is>
      </c>
      <c r="G359" t="n">
        <v>4.9</v>
      </c>
      <c r="H359" t="n">
        <v>1</v>
      </c>
      <c r="I359" t="n">
        <v>0</v>
      </c>
      <c r="J359" t="n">
        <v>1</v>
      </c>
      <c r="K359" t="n">
        <v>0</v>
      </c>
      <c r="L359" t="n">
        <v>0</v>
      </c>
      <c r="M359" t="n">
        <v>0</v>
      </c>
      <c r="N359" t="n">
        <v>0</v>
      </c>
      <c r="O359" t="n">
        <v>1</v>
      </c>
      <c r="P359" t="n">
        <v>0</v>
      </c>
      <c r="Q359" t="n">
        <v>1</v>
      </c>
      <c r="R359" s="2" t="inlineStr">
        <is>
          <t>Havsörn</t>
        </is>
      </c>
      <c r="S359">
        <f>HYPERLINK("https://klasma.github.io/Logging_0883/artfynd/A 9261-2025 artfynd.xlsx", "A 9261-2025")</f>
        <v/>
      </c>
      <c r="T359">
        <f>HYPERLINK("https://klasma.github.io/Logging_0883/kartor/A 9261-2025 karta.png", "A 9261-2025")</f>
        <v/>
      </c>
      <c r="V359">
        <f>HYPERLINK("https://klasma.github.io/Logging_0883/klagomål/A 9261-2025 FSC-klagomål.docx", "A 9261-2025")</f>
        <v/>
      </c>
      <c r="W359">
        <f>HYPERLINK("https://klasma.github.io/Logging_0883/klagomålsmail/A 9261-2025 FSC-klagomål mail.docx", "A 9261-2025")</f>
        <v/>
      </c>
      <c r="X359">
        <f>HYPERLINK("https://klasma.github.io/Logging_0883/tillsyn/A 9261-2025 tillsynsbegäran.docx", "A 9261-2025")</f>
        <v/>
      </c>
      <c r="Y359">
        <f>HYPERLINK("https://klasma.github.io/Logging_0883/tillsynsmail/A 9261-2025 tillsynsbegäran mail.docx", "A 9261-2025")</f>
        <v/>
      </c>
      <c r="Z359">
        <f>HYPERLINK("https://klasma.github.io/Logging_0883/fåglar/A 9261-2025 prioriterade fågelarter.docx", "A 9261-2025")</f>
        <v/>
      </c>
    </row>
    <row r="360" ht="15" customHeight="1">
      <c r="A360" t="inlineStr">
        <is>
          <t>A 9265-2025</t>
        </is>
      </c>
      <c r="B360" s="1" t="n">
        <v>45714</v>
      </c>
      <c r="C360" s="1" t="n">
        <v>45822</v>
      </c>
      <c r="D360" t="inlineStr">
        <is>
          <t>KALMAR LÄN</t>
        </is>
      </c>
      <c r="E360" t="inlineStr">
        <is>
          <t>VÄSTERVIK</t>
        </is>
      </c>
      <c r="F360" t="inlineStr">
        <is>
          <t>Sveaskog</t>
        </is>
      </c>
      <c r="G360" t="n">
        <v>2.2</v>
      </c>
      <c r="H360" t="n">
        <v>1</v>
      </c>
      <c r="I360" t="n">
        <v>0</v>
      </c>
      <c r="J360" t="n">
        <v>1</v>
      </c>
      <c r="K360" t="n">
        <v>0</v>
      </c>
      <c r="L360" t="n">
        <v>0</v>
      </c>
      <c r="M360" t="n">
        <v>0</v>
      </c>
      <c r="N360" t="n">
        <v>0</v>
      </c>
      <c r="O360" t="n">
        <v>1</v>
      </c>
      <c r="P360" t="n">
        <v>0</v>
      </c>
      <c r="Q360" t="n">
        <v>1</v>
      </c>
      <c r="R360" s="2" t="inlineStr">
        <is>
          <t>Havsörn</t>
        </is>
      </c>
      <c r="S360">
        <f>HYPERLINK("https://klasma.github.io/Logging_0883/artfynd/A 9265-2025 artfynd.xlsx", "A 9265-2025")</f>
        <v/>
      </c>
      <c r="T360">
        <f>HYPERLINK("https://klasma.github.io/Logging_0883/kartor/A 9265-2025 karta.png", "A 9265-2025")</f>
        <v/>
      </c>
      <c r="V360">
        <f>HYPERLINK("https://klasma.github.io/Logging_0883/klagomål/A 9265-2025 FSC-klagomål.docx", "A 9265-2025")</f>
        <v/>
      </c>
      <c r="W360">
        <f>HYPERLINK("https://klasma.github.io/Logging_0883/klagomålsmail/A 9265-2025 FSC-klagomål mail.docx", "A 9265-2025")</f>
        <v/>
      </c>
      <c r="X360">
        <f>HYPERLINK("https://klasma.github.io/Logging_0883/tillsyn/A 9265-2025 tillsynsbegäran.docx", "A 9265-2025")</f>
        <v/>
      </c>
      <c r="Y360">
        <f>HYPERLINK("https://klasma.github.io/Logging_0883/tillsynsmail/A 9265-2025 tillsynsbegäran mail.docx", "A 9265-2025")</f>
        <v/>
      </c>
      <c r="Z360">
        <f>HYPERLINK("https://klasma.github.io/Logging_0883/fåglar/A 9265-2025 prioriterade fågelarter.docx", "A 9265-2025")</f>
        <v/>
      </c>
    </row>
    <row r="361" ht="15" customHeight="1">
      <c r="A361" t="inlineStr">
        <is>
          <t>A 9571-2025</t>
        </is>
      </c>
      <c r="B361" s="1" t="n">
        <v>45715</v>
      </c>
      <c r="C361" s="1" t="n">
        <v>45822</v>
      </c>
      <c r="D361" t="inlineStr">
        <is>
          <t>KALMAR LÄN</t>
        </is>
      </c>
      <c r="E361" t="inlineStr">
        <is>
          <t>VÄSTERVIK</t>
        </is>
      </c>
      <c r="G361" t="n">
        <v>12</v>
      </c>
      <c r="H361" t="n">
        <v>1</v>
      </c>
      <c r="I361" t="n">
        <v>0</v>
      </c>
      <c r="J361" t="n">
        <v>0</v>
      </c>
      <c r="K361" t="n">
        <v>0</v>
      </c>
      <c r="L361" t="n">
        <v>0</v>
      </c>
      <c r="M361" t="n">
        <v>0</v>
      </c>
      <c r="N361" t="n">
        <v>0</v>
      </c>
      <c r="O361" t="n">
        <v>0</v>
      </c>
      <c r="P361" t="n">
        <v>0</v>
      </c>
      <c r="Q361" t="n">
        <v>1</v>
      </c>
      <c r="R361" s="2" t="inlineStr">
        <is>
          <t>Revlummer</t>
        </is>
      </c>
      <c r="S361">
        <f>HYPERLINK("https://klasma.github.io/Logging_080883/artfynd/A 9571-2025 artfynd.xlsx", "A 9571-2025")</f>
        <v/>
      </c>
      <c r="T361">
        <f>HYPERLINK("https://klasma.github.io/Logging_080883/kartor/A 9571-2025 karta.png", "A 9571-2025")</f>
        <v/>
      </c>
      <c r="V361">
        <f>HYPERLINK("https://klasma.github.io/Logging_080883/klagomål/A 9571-2025 FSC-klagomål.docx", "A 9571-2025")</f>
        <v/>
      </c>
      <c r="W361">
        <f>HYPERLINK("https://klasma.github.io/Logging_080883/klagomålsmail/A 9571-2025 FSC-klagomål mail.docx", "A 9571-2025")</f>
        <v/>
      </c>
      <c r="X361">
        <f>HYPERLINK("https://klasma.github.io/Logging_080883/tillsyn/A 9571-2025 tillsynsbegäran.docx", "A 9571-2025")</f>
        <v/>
      </c>
      <c r="Y361">
        <f>HYPERLINK("https://klasma.github.io/Logging_080883/tillsynsmail/A 9571-2025 tillsynsbegäran mail.docx", "A 9571-2025")</f>
        <v/>
      </c>
    </row>
    <row r="362" ht="15" customHeight="1">
      <c r="A362" t="inlineStr">
        <is>
          <t>A 10768-2025</t>
        </is>
      </c>
      <c r="B362" s="1" t="n">
        <v>45722</v>
      </c>
      <c r="C362" s="1" t="n">
        <v>45822</v>
      </c>
      <c r="D362" t="inlineStr">
        <is>
          <t>KALMAR LÄN</t>
        </is>
      </c>
      <c r="E362" t="inlineStr">
        <is>
          <t>VÄSTERVIK</t>
        </is>
      </c>
      <c r="G362" t="n">
        <v>0.9</v>
      </c>
      <c r="H362" t="n">
        <v>1</v>
      </c>
      <c r="I362" t="n">
        <v>0</v>
      </c>
      <c r="J362" t="n">
        <v>1</v>
      </c>
      <c r="K362" t="n">
        <v>0</v>
      </c>
      <c r="L362" t="n">
        <v>0</v>
      </c>
      <c r="M362" t="n">
        <v>0</v>
      </c>
      <c r="N362" t="n">
        <v>0</v>
      </c>
      <c r="O362" t="n">
        <v>1</v>
      </c>
      <c r="P362" t="n">
        <v>0</v>
      </c>
      <c r="Q362" t="n">
        <v>1</v>
      </c>
      <c r="R362" s="2" t="inlineStr">
        <is>
          <t>Talltita</t>
        </is>
      </c>
      <c r="S362">
        <f>HYPERLINK("https://klasma.github.io/Logging_080883/artfynd/A 10768-2025 artfynd.xlsx", "A 10768-2025")</f>
        <v/>
      </c>
      <c r="T362">
        <f>HYPERLINK("https://klasma.github.io/Logging_080883/kartor/A 10768-2025 karta.png", "A 10768-2025")</f>
        <v/>
      </c>
      <c r="V362">
        <f>HYPERLINK("https://klasma.github.io/Logging_080883/klagomål/A 10768-2025 FSC-klagomål.docx", "A 10768-2025")</f>
        <v/>
      </c>
      <c r="W362">
        <f>HYPERLINK("https://klasma.github.io/Logging_080883/klagomålsmail/A 10768-2025 FSC-klagomål mail.docx", "A 10768-2025")</f>
        <v/>
      </c>
      <c r="X362">
        <f>HYPERLINK("https://klasma.github.io/Logging_080883/tillsyn/A 10768-2025 tillsynsbegäran.docx", "A 10768-2025")</f>
        <v/>
      </c>
      <c r="Y362">
        <f>HYPERLINK("https://klasma.github.io/Logging_080883/tillsynsmail/A 10768-2025 tillsynsbegäran mail.docx", "A 10768-2025")</f>
        <v/>
      </c>
      <c r="Z362">
        <f>HYPERLINK("https://klasma.github.io/Logging_080883/fåglar/A 10768-2025 prioriterade fågelarter.docx", "A 10768-2025")</f>
        <v/>
      </c>
    </row>
    <row r="363" ht="15" customHeight="1">
      <c r="A363" t="inlineStr">
        <is>
          <t>A 12292-2025</t>
        </is>
      </c>
      <c r="B363" s="1" t="n">
        <v>45729</v>
      </c>
      <c r="C363" s="1" t="n">
        <v>45822</v>
      </c>
      <c r="D363" t="inlineStr">
        <is>
          <t>KALMAR LÄN</t>
        </is>
      </c>
      <c r="E363" t="inlineStr">
        <is>
          <t>VÄSTERVIK</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HYPERLINK("https://klasma.github.io/Logging_080883/artfynd/A 12292-2025 artfynd.xlsx", "A 12292-2025")</f>
        <v/>
      </c>
      <c r="T363">
        <f>HYPERLINK("https://klasma.github.io/Logging_080883/kartor/A 12292-2025 karta.png", "A 12292-2025")</f>
        <v/>
      </c>
      <c r="U363">
        <f>HYPERLINK("https://klasma.github.io/Logging_080883/knärot/A 12292-2025 karta knärot.png", "A 12292-2025")</f>
        <v/>
      </c>
      <c r="V363">
        <f>HYPERLINK("https://klasma.github.io/Logging_080883/klagomål/A 12292-2025 FSC-klagomål.docx", "A 12292-2025")</f>
        <v/>
      </c>
      <c r="W363">
        <f>HYPERLINK("https://klasma.github.io/Logging_080883/klagomålsmail/A 12292-2025 FSC-klagomål mail.docx", "A 12292-2025")</f>
        <v/>
      </c>
      <c r="X363">
        <f>HYPERLINK("https://klasma.github.io/Logging_080883/tillsyn/A 12292-2025 tillsynsbegäran.docx", "A 12292-2025")</f>
        <v/>
      </c>
      <c r="Y363">
        <f>HYPERLINK("https://klasma.github.io/Logging_080883/tillsynsmail/A 12292-2025 tillsynsbegäran mail.docx", "A 12292-2025")</f>
        <v/>
      </c>
    </row>
    <row r="364" ht="15" customHeight="1">
      <c r="A364" t="inlineStr">
        <is>
          <t>A 13107-2025</t>
        </is>
      </c>
      <c r="B364" s="1" t="n">
        <v>45734</v>
      </c>
      <c r="C364" s="1" t="n">
        <v>45822</v>
      </c>
      <c r="D364" t="inlineStr">
        <is>
          <t>KALMAR LÄN</t>
        </is>
      </c>
      <c r="E364" t="inlineStr">
        <is>
          <t>VÄSTERVIK</t>
        </is>
      </c>
      <c r="G364" t="n">
        <v>1</v>
      </c>
      <c r="H364" t="n">
        <v>1</v>
      </c>
      <c r="I364" t="n">
        <v>0</v>
      </c>
      <c r="J364" t="n">
        <v>0</v>
      </c>
      <c r="K364" t="n">
        <v>0</v>
      </c>
      <c r="L364" t="n">
        <v>0</v>
      </c>
      <c r="M364" t="n">
        <v>0</v>
      </c>
      <c r="N364" t="n">
        <v>0</v>
      </c>
      <c r="O364" t="n">
        <v>0</v>
      </c>
      <c r="P364" t="n">
        <v>0</v>
      </c>
      <c r="Q364" t="n">
        <v>1</v>
      </c>
      <c r="R364" s="2" t="inlineStr">
        <is>
          <t>Vanlig groda</t>
        </is>
      </c>
      <c r="S364">
        <f>HYPERLINK("https://klasma.github.io/Logging_080883/artfynd/A 13107-2025 artfynd.xlsx", "A 13107-2025")</f>
        <v/>
      </c>
      <c r="T364">
        <f>HYPERLINK("https://klasma.github.io/Logging_080883/kartor/A 13107-2025 karta.png", "A 13107-2025")</f>
        <v/>
      </c>
      <c r="V364">
        <f>HYPERLINK("https://klasma.github.io/Logging_080883/klagomål/A 13107-2025 FSC-klagomål.docx", "A 13107-2025")</f>
        <v/>
      </c>
      <c r="W364">
        <f>HYPERLINK("https://klasma.github.io/Logging_080883/klagomålsmail/A 13107-2025 FSC-klagomål mail.docx", "A 13107-2025")</f>
        <v/>
      </c>
      <c r="X364">
        <f>HYPERLINK("https://klasma.github.io/Logging_080883/tillsyn/A 13107-2025 tillsynsbegäran.docx", "A 13107-2025")</f>
        <v/>
      </c>
      <c r="Y364">
        <f>HYPERLINK("https://klasma.github.io/Logging_080883/tillsynsmail/A 13107-2025 tillsynsbegäran mail.docx", "A 13107-2025")</f>
        <v/>
      </c>
    </row>
    <row r="365" ht="15" customHeight="1">
      <c r="A365" t="inlineStr">
        <is>
          <t>A 13352-2025</t>
        </is>
      </c>
      <c r="B365" s="1" t="n">
        <v>45735</v>
      </c>
      <c r="C365" s="1" t="n">
        <v>45822</v>
      </c>
      <c r="D365" t="inlineStr">
        <is>
          <t>KALMAR LÄN</t>
        </is>
      </c>
      <c r="E365" t="inlineStr">
        <is>
          <t>VÄSTERVIK</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HYPERLINK("https://klasma.github.io/Logging_080883/artfynd/A 13352-2025 artfynd.xlsx", "A 13352-2025")</f>
        <v/>
      </c>
      <c r="T365">
        <f>HYPERLINK("https://klasma.github.io/Logging_080883/kartor/A 13352-2025 karta.png", "A 13352-2025")</f>
        <v/>
      </c>
      <c r="U365">
        <f>HYPERLINK("https://klasma.github.io/Logging_080883/knärot/A 13352-2025 karta knärot.png", "A 13352-2025")</f>
        <v/>
      </c>
      <c r="V365">
        <f>HYPERLINK("https://klasma.github.io/Logging_080883/klagomål/A 13352-2025 FSC-klagomål.docx", "A 13352-2025")</f>
        <v/>
      </c>
      <c r="W365">
        <f>HYPERLINK("https://klasma.github.io/Logging_080883/klagomålsmail/A 13352-2025 FSC-klagomål mail.docx", "A 13352-2025")</f>
        <v/>
      </c>
      <c r="X365">
        <f>HYPERLINK("https://klasma.github.io/Logging_080883/tillsyn/A 13352-2025 tillsynsbegäran.docx", "A 13352-2025")</f>
        <v/>
      </c>
      <c r="Y365">
        <f>HYPERLINK("https://klasma.github.io/Logging_080883/tillsynsmail/A 13352-2025 tillsynsbegäran mail.docx", "A 13352-2025")</f>
        <v/>
      </c>
    </row>
    <row r="366" ht="15" customHeight="1">
      <c r="A366" t="inlineStr">
        <is>
          <t>A 14082-2025</t>
        </is>
      </c>
      <c r="B366" s="1" t="n">
        <v>45740</v>
      </c>
      <c r="C366" s="1" t="n">
        <v>45822</v>
      </c>
      <c r="D366" t="inlineStr">
        <is>
          <t>KALMAR LÄN</t>
        </is>
      </c>
      <c r="E366" t="inlineStr">
        <is>
          <t>VÄSTERVIK</t>
        </is>
      </c>
      <c r="F366" t="inlineStr">
        <is>
          <t>Sveaskog</t>
        </is>
      </c>
      <c r="G366" t="n">
        <v>1.2</v>
      </c>
      <c r="H366" t="n">
        <v>0</v>
      </c>
      <c r="I366" t="n">
        <v>0</v>
      </c>
      <c r="J366" t="n">
        <v>1</v>
      </c>
      <c r="K366" t="n">
        <v>0</v>
      </c>
      <c r="L366" t="n">
        <v>0</v>
      </c>
      <c r="M366" t="n">
        <v>0</v>
      </c>
      <c r="N366" t="n">
        <v>0</v>
      </c>
      <c r="O366" t="n">
        <v>1</v>
      </c>
      <c r="P366" t="n">
        <v>0</v>
      </c>
      <c r="Q366" t="n">
        <v>1</v>
      </c>
      <c r="R366" s="2" t="inlineStr">
        <is>
          <t>Bredbrämad bastardsvärmare</t>
        </is>
      </c>
      <c r="S366">
        <f>HYPERLINK("https://klasma.github.io/Logging_080883/artfynd/A 14082-2025 artfynd.xlsx", "A 14082-2025")</f>
        <v/>
      </c>
      <c r="T366">
        <f>HYPERLINK("https://klasma.github.io/Logging_080883/kartor/A 14082-2025 karta.png", "A 14082-2025")</f>
        <v/>
      </c>
      <c r="V366">
        <f>HYPERLINK("https://klasma.github.io/Logging_080883/klagomål/A 14082-2025 FSC-klagomål.docx", "A 14082-2025")</f>
        <v/>
      </c>
      <c r="W366">
        <f>HYPERLINK("https://klasma.github.io/Logging_080883/klagomålsmail/A 14082-2025 FSC-klagomål mail.docx", "A 14082-2025")</f>
        <v/>
      </c>
      <c r="X366">
        <f>HYPERLINK("https://klasma.github.io/Logging_080883/tillsyn/A 14082-2025 tillsynsbegäran.docx", "A 14082-2025")</f>
        <v/>
      </c>
      <c r="Y366">
        <f>HYPERLINK("https://klasma.github.io/Logging_080883/tillsynsmail/A 14082-2025 tillsynsbegäran mail.docx", "A 14082-2025")</f>
        <v/>
      </c>
    </row>
    <row r="367" ht="15" customHeight="1">
      <c r="A367" t="inlineStr">
        <is>
          <t>A 14131-2025</t>
        </is>
      </c>
      <c r="B367" s="1" t="n">
        <v>45740</v>
      </c>
      <c r="C367" s="1" t="n">
        <v>45822</v>
      </c>
      <c r="D367" t="inlineStr">
        <is>
          <t>KALMAR LÄN</t>
        </is>
      </c>
      <c r="E367" t="inlineStr">
        <is>
          <t>VÄSTERVIK</t>
        </is>
      </c>
      <c r="F367" t="inlineStr">
        <is>
          <t>Sveaskog</t>
        </is>
      </c>
      <c r="G367" t="n">
        <v>0.7</v>
      </c>
      <c r="H367" t="n">
        <v>1</v>
      </c>
      <c r="I367" t="n">
        <v>0</v>
      </c>
      <c r="J367" t="n">
        <v>0</v>
      </c>
      <c r="K367" t="n">
        <v>0</v>
      </c>
      <c r="L367" t="n">
        <v>0</v>
      </c>
      <c r="M367" t="n">
        <v>0</v>
      </c>
      <c r="N367" t="n">
        <v>0</v>
      </c>
      <c r="O367" t="n">
        <v>0</v>
      </c>
      <c r="P367" t="n">
        <v>0</v>
      </c>
      <c r="Q367" t="n">
        <v>1</v>
      </c>
      <c r="R367" s="2" t="inlineStr">
        <is>
          <t>Blåsippa</t>
        </is>
      </c>
      <c r="S367">
        <f>HYPERLINK("https://klasma.github.io/Logging_080883/artfynd/A 14131-2025 artfynd.xlsx", "A 14131-2025")</f>
        <v/>
      </c>
      <c r="T367">
        <f>HYPERLINK("https://klasma.github.io/Logging_080883/kartor/A 14131-2025 karta.png", "A 14131-2025")</f>
        <v/>
      </c>
      <c r="V367">
        <f>HYPERLINK("https://klasma.github.io/Logging_080883/klagomål/A 14131-2025 FSC-klagomål.docx", "A 14131-2025")</f>
        <v/>
      </c>
      <c r="W367">
        <f>HYPERLINK("https://klasma.github.io/Logging_080883/klagomålsmail/A 14131-2025 FSC-klagomål mail.docx", "A 14131-2025")</f>
        <v/>
      </c>
      <c r="X367">
        <f>HYPERLINK("https://klasma.github.io/Logging_080883/tillsyn/A 14131-2025 tillsynsbegäran.docx", "A 14131-2025")</f>
        <v/>
      </c>
      <c r="Y367">
        <f>HYPERLINK("https://klasma.github.io/Logging_080883/tillsynsmail/A 14131-2025 tillsynsbegäran mail.docx", "A 14131-2025")</f>
        <v/>
      </c>
    </row>
    <row r="368" ht="15" customHeight="1">
      <c r="A368" t="inlineStr">
        <is>
          <t>A 14089-2025</t>
        </is>
      </c>
      <c r="B368" s="1" t="n">
        <v>45740</v>
      </c>
      <c r="C368" s="1" t="n">
        <v>45822</v>
      </c>
      <c r="D368" t="inlineStr">
        <is>
          <t>KALMAR LÄN</t>
        </is>
      </c>
      <c r="E368" t="inlineStr">
        <is>
          <t>VÄSTERVIK</t>
        </is>
      </c>
      <c r="F368" t="inlineStr">
        <is>
          <t>Sveaskog</t>
        </is>
      </c>
      <c r="G368" t="n">
        <v>1.3</v>
      </c>
      <c r="H368" t="n">
        <v>1</v>
      </c>
      <c r="I368" t="n">
        <v>0</v>
      </c>
      <c r="J368" t="n">
        <v>1</v>
      </c>
      <c r="K368" t="n">
        <v>0</v>
      </c>
      <c r="L368" t="n">
        <v>0</v>
      </c>
      <c r="M368" t="n">
        <v>0</v>
      </c>
      <c r="N368" t="n">
        <v>0</v>
      </c>
      <c r="O368" t="n">
        <v>1</v>
      </c>
      <c r="P368" t="n">
        <v>0</v>
      </c>
      <c r="Q368" t="n">
        <v>1</v>
      </c>
      <c r="R368" s="2" t="inlineStr">
        <is>
          <t>Spillkråka</t>
        </is>
      </c>
      <c r="S368">
        <f>HYPERLINK("https://klasma.github.io/Logging_080883/artfynd/A 14089-2025 artfynd.xlsx", "A 14089-2025")</f>
        <v/>
      </c>
      <c r="T368">
        <f>HYPERLINK("https://klasma.github.io/Logging_080883/kartor/A 14089-2025 karta.png", "A 14089-2025")</f>
        <v/>
      </c>
      <c r="V368">
        <f>HYPERLINK("https://klasma.github.io/Logging_080883/klagomål/A 14089-2025 FSC-klagomål.docx", "A 14089-2025")</f>
        <v/>
      </c>
      <c r="W368">
        <f>HYPERLINK("https://klasma.github.io/Logging_080883/klagomålsmail/A 14089-2025 FSC-klagomål mail.docx", "A 14089-2025")</f>
        <v/>
      </c>
      <c r="X368">
        <f>HYPERLINK("https://klasma.github.io/Logging_080883/tillsyn/A 14089-2025 tillsynsbegäran.docx", "A 14089-2025")</f>
        <v/>
      </c>
      <c r="Y368">
        <f>HYPERLINK("https://klasma.github.io/Logging_080883/tillsynsmail/A 14089-2025 tillsynsbegäran mail.docx", "A 14089-2025")</f>
        <v/>
      </c>
      <c r="Z368">
        <f>HYPERLINK("https://klasma.github.io/Logging_080883/fåglar/A 14089-2025 prioriterade fågelarter.docx", "A 14089-2025")</f>
        <v/>
      </c>
    </row>
    <row r="369" ht="15" customHeight="1">
      <c r="A369" t="inlineStr">
        <is>
          <t>A 14103-2025</t>
        </is>
      </c>
      <c r="B369" s="1" t="n">
        <v>45740</v>
      </c>
      <c r="C369" s="1" t="n">
        <v>45822</v>
      </c>
      <c r="D369" t="inlineStr">
        <is>
          <t>KALMAR LÄN</t>
        </is>
      </c>
      <c r="E369" t="inlineStr">
        <is>
          <t>VÄSTERVIK</t>
        </is>
      </c>
      <c r="F369" t="inlineStr">
        <is>
          <t>Sveaskog</t>
        </is>
      </c>
      <c r="G369" t="n">
        <v>0.8</v>
      </c>
      <c r="H369" t="n">
        <v>1</v>
      </c>
      <c r="I369" t="n">
        <v>0</v>
      </c>
      <c r="J369" t="n">
        <v>0</v>
      </c>
      <c r="K369" t="n">
        <v>0</v>
      </c>
      <c r="L369" t="n">
        <v>0</v>
      </c>
      <c r="M369" t="n">
        <v>0</v>
      </c>
      <c r="N369" t="n">
        <v>0</v>
      </c>
      <c r="O369" t="n">
        <v>0</v>
      </c>
      <c r="P369" t="n">
        <v>0</v>
      </c>
      <c r="Q369" t="n">
        <v>1</v>
      </c>
      <c r="R369" s="2" t="inlineStr">
        <is>
          <t>Grönvit nattviol</t>
        </is>
      </c>
      <c r="S369">
        <f>HYPERLINK("https://klasma.github.io/Logging_080883/artfynd/A 14103-2025 artfynd.xlsx", "A 14103-2025")</f>
        <v/>
      </c>
      <c r="T369">
        <f>HYPERLINK("https://klasma.github.io/Logging_080883/kartor/A 14103-2025 karta.png", "A 14103-2025")</f>
        <v/>
      </c>
      <c r="V369">
        <f>HYPERLINK("https://klasma.github.io/Logging_080883/klagomål/A 14103-2025 FSC-klagomål.docx", "A 14103-2025")</f>
        <v/>
      </c>
      <c r="W369">
        <f>HYPERLINK("https://klasma.github.io/Logging_080883/klagomålsmail/A 14103-2025 FSC-klagomål mail.docx", "A 14103-2025")</f>
        <v/>
      </c>
      <c r="X369">
        <f>HYPERLINK("https://klasma.github.io/Logging_080883/tillsyn/A 14103-2025 tillsynsbegäran.docx", "A 14103-2025")</f>
        <v/>
      </c>
      <c r="Y369">
        <f>HYPERLINK("https://klasma.github.io/Logging_080883/tillsynsmail/A 14103-2025 tillsynsbegäran mail.docx", "A 14103-2025")</f>
        <v/>
      </c>
    </row>
    <row r="370" ht="15" customHeight="1">
      <c r="A370" t="inlineStr">
        <is>
          <t>A 14592-2025</t>
        </is>
      </c>
      <c r="B370" s="1" t="n">
        <v>45742</v>
      </c>
      <c r="C370" s="1" t="n">
        <v>45822</v>
      </c>
      <c r="D370" t="inlineStr">
        <is>
          <t>KALMAR LÄN</t>
        </is>
      </c>
      <c r="E370" t="inlineStr">
        <is>
          <t>VÄSTERVIK</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HYPERLINK("https://klasma.github.io/Logging_080883/artfynd/A 14592-2025 artfynd.xlsx", "A 14592-2025")</f>
        <v/>
      </c>
      <c r="T370">
        <f>HYPERLINK("https://klasma.github.io/Logging_080883/kartor/A 14592-2025 karta.png", "A 14592-2025")</f>
        <v/>
      </c>
      <c r="U370">
        <f>HYPERLINK("https://klasma.github.io/Logging_080883/knärot/A 14592-2025 karta knärot.png", "A 14592-2025")</f>
        <v/>
      </c>
      <c r="V370">
        <f>HYPERLINK("https://klasma.github.io/Logging_080883/klagomål/A 14592-2025 FSC-klagomål.docx", "A 14592-2025")</f>
        <v/>
      </c>
      <c r="W370">
        <f>HYPERLINK("https://klasma.github.io/Logging_080883/klagomålsmail/A 14592-2025 FSC-klagomål mail.docx", "A 14592-2025")</f>
        <v/>
      </c>
      <c r="X370">
        <f>HYPERLINK("https://klasma.github.io/Logging_080883/tillsyn/A 14592-2025 tillsynsbegäran.docx", "A 14592-2025")</f>
        <v/>
      </c>
      <c r="Y370">
        <f>HYPERLINK("https://klasma.github.io/Logging_080883/tillsynsmail/A 14592-2025 tillsynsbegäran mail.docx", "A 14592-2025")</f>
        <v/>
      </c>
    </row>
    <row r="371" ht="15" customHeight="1">
      <c r="A371" t="inlineStr">
        <is>
          <t>A 16695-2025</t>
        </is>
      </c>
      <c r="B371" s="1" t="n">
        <v>45754</v>
      </c>
      <c r="C371" s="1" t="n">
        <v>45822</v>
      </c>
      <c r="D371" t="inlineStr">
        <is>
          <t>KALMAR LÄN</t>
        </is>
      </c>
      <c r="E371" t="inlineStr">
        <is>
          <t>VÄSTERVIK</t>
        </is>
      </c>
      <c r="F371" t="inlineStr">
        <is>
          <t>Sveaskog</t>
        </is>
      </c>
      <c r="G371" t="n">
        <v>1.8</v>
      </c>
      <c r="H371" t="n">
        <v>1</v>
      </c>
      <c r="I371" t="n">
        <v>0</v>
      </c>
      <c r="J371" t="n">
        <v>0</v>
      </c>
      <c r="K371" t="n">
        <v>0</v>
      </c>
      <c r="L371" t="n">
        <v>0</v>
      </c>
      <c r="M371" t="n">
        <v>0</v>
      </c>
      <c r="N371" t="n">
        <v>0</v>
      </c>
      <c r="O371" t="n">
        <v>0</v>
      </c>
      <c r="P371" t="n">
        <v>0</v>
      </c>
      <c r="Q371" t="n">
        <v>1</v>
      </c>
      <c r="R371" s="2" t="inlineStr">
        <is>
          <t>Kungsfågel</t>
        </is>
      </c>
      <c r="S371">
        <f>HYPERLINK("https://klasma.github.io/Logging_080883/artfynd/A 16695-2025 artfynd.xlsx", "A 16695-2025")</f>
        <v/>
      </c>
      <c r="T371">
        <f>HYPERLINK("https://klasma.github.io/Logging_080883/kartor/A 16695-2025 karta.png", "A 16695-2025")</f>
        <v/>
      </c>
      <c r="V371">
        <f>HYPERLINK("https://klasma.github.io/Logging_080883/klagomål/A 16695-2025 FSC-klagomål.docx", "A 16695-2025")</f>
        <v/>
      </c>
      <c r="W371">
        <f>HYPERLINK("https://klasma.github.io/Logging_080883/klagomålsmail/A 16695-2025 FSC-klagomål mail.docx", "A 16695-2025")</f>
        <v/>
      </c>
      <c r="X371">
        <f>HYPERLINK("https://klasma.github.io/Logging_080883/tillsyn/A 16695-2025 tillsynsbegäran.docx", "A 16695-2025")</f>
        <v/>
      </c>
      <c r="Y371">
        <f>HYPERLINK("https://klasma.github.io/Logging_080883/tillsynsmail/A 16695-2025 tillsynsbegäran mail.docx", "A 16695-2025")</f>
        <v/>
      </c>
      <c r="Z371">
        <f>HYPERLINK("https://klasma.github.io/Logging_080883/fåglar/A 16695-2025 prioriterade fågelarter.docx", "A 16695-2025")</f>
        <v/>
      </c>
    </row>
    <row r="372" ht="15" customHeight="1">
      <c r="A372" t="inlineStr">
        <is>
          <t>A 16697-2025</t>
        </is>
      </c>
      <c r="B372" s="1" t="n">
        <v>45754</v>
      </c>
      <c r="C372" s="1" t="n">
        <v>45822</v>
      </c>
      <c r="D372" t="inlineStr">
        <is>
          <t>KALMAR LÄN</t>
        </is>
      </c>
      <c r="E372" t="inlineStr">
        <is>
          <t>VÄSTERVIK</t>
        </is>
      </c>
      <c r="F372" t="inlineStr">
        <is>
          <t>Sveaskog</t>
        </is>
      </c>
      <c r="G372" t="n">
        <v>1.3</v>
      </c>
      <c r="H372" t="n">
        <v>1</v>
      </c>
      <c r="I372" t="n">
        <v>0</v>
      </c>
      <c r="J372" t="n">
        <v>1</v>
      </c>
      <c r="K372" t="n">
        <v>0</v>
      </c>
      <c r="L372" t="n">
        <v>0</v>
      </c>
      <c r="M372" t="n">
        <v>0</v>
      </c>
      <c r="N372" t="n">
        <v>0</v>
      </c>
      <c r="O372" t="n">
        <v>1</v>
      </c>
      <c r="P372" t="n">
        <v>0</v>
      </c>
      <c r="Q372" t="n">
        <v>1</v>
      </c>
      <c r="R372" s="2" t="inlineStr">
        <is>
          <t>Spillkråka</t>
        </is>
      </c>
      <c r="S372">
        <f>HYPERLINK("https://klasma.github.io/Logging_080883/artfynd/A 16697-2025 artfynd.xlsx", "A 16697-2025")</f>
        <v/>
      </c>
      <c r="T372">
        <f>HYPERLINK("https://klasma.github.io/Logging_080883/kartor/A 16697-2025 karta.png", "A 16697-2025")</f>
        <v/>
      </c>
      <c r="V372">
        <f>HYPERLINK("https://klasma.github.io/Logging_080883/klagomål/A 16697-2025 FSC-klagomål.docx", "A 16697-2025")</f>
        <v/>
      </c>
      <c r="W372">
        <f>HYPERLINK("https://klasma.github.io/Logging_080883/klagomålsmail/A 16697-2025 FSC-klagomål mail.docx", "A 16697-2025")</f>
        <v/>
      </c>
      <c r="X372">
        <f>HYPERLINK("https://klasma.github.io/Logging_080883/tillsyn/A 16697-2025 tillsynsbegäran.docx", "A 16697-2025")</f>
        <v/>
      </c>
      <c r="Y372">
        <f>HYPERLINK("https://klasma.github.io/Logging_080883/tillsynsmail/A 16697-2025 tillsynsbegäran mail.docx", "A 16697-2025")</f>
        <v/>
      </c>
      <c r="Z372">
        <f>HYPERLINK("https://klasma.github.io/Logging_080883/fåglar/A 16697-2025 prioriterade fågelarter.docx", "A 16697-2025")</f>
        <v/>
      </c>
    </row>
    <row r="373" ht="15" customHeight="1">
      <c r="A373" t="inlineStr">
        <is>
          <t>A 17953-2025</t>
        </is>
      </c>
      <c r="B373" s="1" t="n">
        <v>45760</v>
      </c>
      <c r="C373" s="1" t="n">
        <v>45822</v>
      </c>
      <c r="D373" t="inlineStr">
        <is>
          <t>KALMAR LÄN</t>
        </is>
      </c>
      <c r="E373" t="inlineStr">
        <is>
          <t>VÄSTERVIK</t>
        </is>
      </c>
      <c r="G373" t="n">
        <v>4.1</v>
      </c>
      <c r="H373" t="n">
        <v>1</v>
      </c>
      <c r="I373" t="n">
        <v>0</v>
      </c>
      <c r="J373" t="n">
        <v>1</v>
      </c>
      <c r="K373" t="n">
        <v>0</v>
      </c>
      <c r="L373" t="n">
        <v>0</v>
      </c>
      <c r="M373" t="n">
        <v>0</v>
      </c>
      <c r="N373" t="n">
        <v>0</v>
      </c>
      <c r="O373" t="n">
        <v>1</v>
      </c>
      <c r="P373" t="n">
        <v>0</v>
      </c>
      <c r="Q373" t="n">
        <v>1</v>
      </c>
      <c r="R373" s="2" t="inlineStr">
        <is>
          <t>Talltita</t>
        </is>
      </c>
      <c r="S373">
        <f>HYPERLINK("https://klasma.github.io/Logging_080883/artfynd/A 17953-2025 artfynd.xlsx", "A 17953-2025")</f>
        <v/>
      </c>
      <c r="T373">
        <f>HYPERLINK("https://klasma.github.io/Logging_080883/kartor/A 17953-2025 karta.png", "A 17953-2025")</f>
        <v/>
      </c>
      <c r="V373">
        <f>HYPERLINK("https://klasma.github.io/Logging_080883/klagomål/A 17953-2025 FSC-klagomål.docx", "A 17953-2025")</f>
        <v/>
      </c>
      <c r="W373">
        <f>HYPERLINK("https://klasma.github.io/Logging_080883/klagomålsmail/A 17953-2025 FSC-klagomål mail.docx", "A 17953-2025")</f>
        <v/>
      </c>
      <c r="X373">
        <f>HYPERLINK("https://klasma.github.io/Logging_080883/tillsyn/A 17953-2025 tillsynsbegäran.docx", "A 17953-2025")</f>
        <v/>
      </c>
      <c r="Y373">
        <f>HYPERLINK("https://klasma.github.io/Logging_080883/tillsynsmail/A 17953-2025 tillsynsbegäran mail.docx", "A 17953-2025")</f>
        <v/>
      </c>
      <c r="Z373">
        <f>HYPERLINK("https://klasma.github.io/Logging_080883/fåglar/A 17953-2025 prioriterade fågelarter.docx", "A 17953-2025")</f>
        <v/>
      </c>
    </row>
    <row r="374" ht="15" customHeight="1">
      <c r="A374" t="inlineStr">
        <is>
          <t>A 17952-2025</t>
        </is>
      </c>
      <c r="B374" s="1" t="n">
        <v>45760</v>
      </c>
      <c r="C374" s="1" t="n">
        <v>45822</v>
      </c>
      <c r="D374" t="inlineStr">
        <is>
          <t>KALMAR LÄN</t>
        </is>
      </c>
      <c r="E374" t="inlineStr">
        <is>
          <t>VÄSTERVIK</t>
        </is>
      </c>
      <c r="G374" t="n">
        <v>3.3</v>
      </c>
      <c r="H374" t="n">
        <v>1</v>
      </c>
      <c r="I374" t="n">
        <v>0</v>
      </c>
      <c r="J374" t="n">
        <v>0</v>
      </c>
      <c r="K374" t="n">
        <v>0</v>
      </c>
      <c r="L374" t="n">
        <v>0</v>
      </c>
      <c r="M374" t="n">
        <v>0</v>
      </c>
      <c r="N374" t="n">
        <v>0</v>
      </c>
      <c r="O374" t="n">
        <v>0</v>
      </c>
      <c r="P374" t="n">
        <v>0</v>
      </c>
      <c r="Q374" t="n">
        <v>1</v>
      </c>
      <c r="R374" s="2" t="inlineStr">
        <is>
          <t>Revlummer</t>
        </is>
      </c>
      <c r="S374">
        <f>HYPERLINK("https://klasma.github.io/Logging_080883/artfynd/A 17952-2025 artfynd.xlsx", "A 17952-2025")</f>
        <v/>
      </c>
      <c r="T374">
        <f>HYPERLINK("https://klasma.github.io/Logging_080883/kartor/A 17952-2025 karta.png", "A 17952-2025")</f>
        <v/>
      </c>
      <c r="V374">
        <f>HYPERLINK("https://klasma.github.io/Logging_080883/klagomål/A 17952-2025 FSC-klagomål.docx", "A 17952-2025")</f>
        <v/>
      </c>
      <c r="W374">
        <f>HYPERLINK("https://klasma.github.io/Logging_080883/klagomålsmail/A 17952-2025 FSC-klagomål mail.docx", "A 17952-2025")</f>
        <v/>
      </c>
      <c r="X374">
        <f>HYPERLINK("https://klasma.github.io/Logging_080883/tillsyn/A 17952-2025 tillsynsbegäran.docx", "A 17952-2025")</f>
        <v/>
      </c>
      <c r="Y374">
        <f>HYPERLINK("https://klasma.github.io/Logging_080883/tillsynsmail/A 17952-2025 tillsynsbegäran mail.docx", "A 17952-2025")</f>
        <v/>
      </c>
    </row>
    <row r="375" ht="15" customHeight="1">
      <c r="A375" t="inlineStr">
        <is>
          <t>A 21409-2025</t>
        </is>
      </c>
      <c r="B375" s="1" t="n">
        <v>45782</v>
      </c>
      <c r="C375" s="1" t="n">
        <v>45822</v>
      </c>
      <c r="D375" t="inlineStr">
        <is>
          <t>KALMAR LÄN</t>
        </is>
      </c>
      <c r="E375" t="inlineStr">
        <is>
          <t>VÄSTERVIK</t>
        </is>
      </c>
      <c r="G375" t="n">
        <v>2.5</v>
      </c>
      <c r="H375" t="n">
        <v>1</v>
      </c>
      <c r="I375" t="n">
        <v>0</v>
      </c>
      <c r="J375" t="n">
        <v>0</v>
      </c>
      <c r="K375" t="n">
        <v>0</v>
      </c>
      <c r="L375" t="n">
        <v>0</v>
      </c>
      <c r="M375" t="n">
        <v>0</v>
      </c>
      <c r="N375" t="n">
        <v>0</v>
      </c>
      <c r="O375" t="n">
        <v>0</v>
      </c>
      <c r="P375" t="n">
        <v>0</v>
      </c>
      <c r="Q375" t="n">
        <v>1</v>
      </c>
      <c r="R375" s="2" t="inlineStr">
        <is>
          <t>Grönvit nattviol</t>
        </is>
      </c>
      <c r="S375">
        <f>HYPERLINK("https://klasma.github.io/Logging_080883/artfynd/A 21409-2025 artfynd.xlsx", "A 21409-2025")</f>
        <v/>
      </c>
      <c r="T375">
        <f>HYPERLINK("https://klasma.github.io/Logging_080883/kartor/A 21409-2025 karta.png", "A 21409-2025")</f>
        <v/>
      </c>
      <c r="V375">
        <f>HYPERLINK("https://klasma.github.io/Logging_080883/klagomål/A 21409-2025 FSC-klagomål.docx", "A 21409-2025")</f>
        <v/>
      </c>
      <c r="W375">
        <f>HYPERLINK("https://klasma.github.io/Logging_080883/klagomålsmail/A 21409-2025 FSC-klagomål mail.docx", "A 21409-2025")</f>
        <v/>
      </c>
      <c r="X375">
        <f>HYPERLINK("https://klasma.github.io/Logging_080883/tillsyn/A 21409-2025 tillsynsbegäran.docx", "A 21409-2025")</f>
        <v/>
      </c>
      <c r="Y375">
        <f>HYPERLINK("https://klasma.github.io/Logging_080883/tillsynsmail/A 21409-2025 tillsynsbegäran mail.docx", "A 21409-2025")</f>
        <v/>
      </c>
    </row>
    <row r="376" ht="15" customHeight="1">
      <c r="A376" t="inlineStr">
        <is>
          <t>A 21653-2025</t>
        </is>
      </c>
      <c r="B376" s="1" t="n">
        <v>45783</v>
      </c>
      <c r="C376" s="1" t="n">
        <v>45822</v>
      </c>
      <c r="D376" t="inlineStr">
        <is>
          <t>KALMAR LÄN</t>
        </is>
      </c>
      <c r="E376" t="inlineStr">
        <is>
          <t>VÄSTERVIK</t>
        </is>
      </c>
      <c r="F376" t="inlineStr">
        <is>
          <t>Sveaskog</t>
        </is>
      </c>
      <c r="G376" t="n">
        <v>2.8</v>
      </c>
      <c r="H376" t="n">
        <v>1</v>
      </c>
      <c r="I376" t="n">
        <v>0</v>
      </c>
      <c r="J376" t="n">
        <v>1</v>
      </c>
      <c r="K376" t="n">
        <v>0</v>
      </c>
      <c r="L376" t="n">
        <v>0</v>
      </c>
      <c r="M376" t="n">
        <v>0</v>
      </c>
      <c r="N376" t="n">
        <v>0</v>
      </c>
      <c r="O376" t="n">
        <v>1</v>
      </c>
      <c r="P376" t="n">
        <v>0</v>
      </c>
      <c r="Q376" t="n">
        <v>1</v>
      </c>
      <c r="R376" s="2" t="inlineStr">
        <is>
          <t>Entita</t>
        </is>
      </c>
      <c r="S376">
        <f>HYPERLINK("https://klasma.github.io/Logging_080883/artfynd/A 21653-2025 artfynd.xlsx", "A 21653-2025")</f>
        <v/>
      </c>
      <c r="T376">
        <f>HYPERLINK("https://klasma.github.io/Logging_080883/kartor/A 21653-2025 karta.png", "A 21653-2025")</f>
        <v/>
      </c>
      <c r="V376">
        <f>HYPERLINK("https://klasma.github.io/Logging_080883/klagomål/A 21653-2025 FSC-klagomål.docx", "A 21653-2025")</f>
        <v/>
      </c>
      <c r="W376">
        <f>HYPERLINK("https://klasma.github.io/Logging_080883/klagomålsmail/A 21653-2025 FSC-klagomål mail.docx", "A 21653-2025")</f>
        <v/>
      </c>
      <c r="X376">
        <f>HYPERLINK("https://klasma.github.io/Logging_080883/tillsyn/A 21653-2025 tillsynsbegäran.docx", "A 21653-2025")</f>
        <v/>
      </c>
      <c r="Y376">
        <f>HYPERLINK("https://klasma.github.io/Logging_080883/tillsynsmail/A 21653-2025 tillsynsbegäran mail.docx", "A 21653-2025")</f>
        <v/>
      </c>
      <c r="Z376">
        <f>HYPERLINK("https://klasma.github.io/Logging_080883/fåglar/A 21653-2025 prioriterade fågelarter.docx", "A 21653-2025")</f>
        <v/>
      </c>
    </row>
    <row r="377" ht="15" customHeight="1">
      <c r="A377" t="inlineStr">
        <is>
          <t>A 23192-2025</t>
        </is>
      </c>
      <c r="B377" s="1" t="n">
        <v>45791</v>
      </c>
      <c r="C377" s="1" t="n">
        <v>45822</v>
      </c>
      <c r="D377" t="inlineStr">
        <is>
          <t>KALMAR LÄN</t>
        </is>
      </c>
      <c r="E377" t="inlineStr">
        <is>
          <t>VÄSTERVIK</t>
        </is>
      </c>
      <c r="G377" t="n">
        <v>1.5</v>
      </c>
      <c r="H377" t="n">
        <v>1</v>
      </c>
      <c r="I377" t="n">
        <v>0</v>
      </c>
      <c r="J377" t="n">
        <v>1</v>
      </c>
      <c r="K377" t="n">
        <v>0</v>
      </c>
      <c r="L377" t="n">
        <v>0</v>
      </c>
      <c r="M377" t="n">
        <v>0</v>
      </c>
      <c r="N377" t="n">
        <v>0</v>
      </c>
      <c r="O377" t="n">
        <v>1</v>
      </c>
      <c r="P377" t="n">
        <v>0</v>
      </c>
      <c r="Q377" t="n">
        <v>1</v>
      </c>
      <c r="R377" s="2" t="inlineStr">
        <is>
          <t>Talltita</t>
        </is>
      </c>
      <c r="S377">
        <f>HYPERLINK("https://klasma.github.io/Logging_080883/artfynd/A 23192-2025 artfynd.xlsx", "A 23192-2025")</f>
        <v/>
      </c>
      <c r="T377">
        <f>HYPERLINK("https://klasma.github.io/Logging_080883/kartor/A 23192-2025 karta.png", "A 23192-2025")</f>
        <v/>
      </c>
      <c r="V377">
        <f>HYPERLINK("https://klasma.github.io/Logging_080883/klagomål/A 23192-2025 FSC-klagomål.docx", "A 23192-2025")</f>
        <v/>
      </c>
      <c r="W377">
        <f>HYPERLINK("https://klasma.github.io/Logging_080883/klagomålsmail/A 23192-2025 FSC-klagomål mail.docx", "A 23192-2025")</f>
        <v/>
      </c>
      <c r="X377">
        <f>HYPERLINK("https://klasma.github.io/Logging_080883/tillsyn/A 23192-2025 tillsynsbegäran.docx", "A 23192-2025")</f>
        <v/>
      </c>
      <c r="Y377">
        <f>HYPERLINK("https://klasma.github.io/Logging_080883/tillsynsmail/A 23192-2025 tillsynsbegäran mail.docx", "A 23192-2025")</f>
        <v/>
      </c>
      <c r="Z377">
        <f>HYPERLINK("https://klasma.github.io/Logging_080883/fåglar/A 23192-2025 prioriterade fågelarter.docx", "A 23192-2025")</f>
        <v/>
      </c>
    </row>
    <row r="378" ht="15" customHeight="1">
      <c r="A378" t="inlineStr">
        <is>
          <t>A 23199-2025</t>
        </is>
      </c>
      <c r="B378" s="1" t="n">
        <v>45791</v>
      </c>
      <c r="C378" s="1" t="n">
        <v>45822</v>
      </c>
      <c r="D378" t="inlineStr">
        <is>
          <t>KALMAR LÄN</t>
        </is>
      </c>
      <c r="E378" t="inlineStr">
        <is>
          <t>VÄSTERVIK</t>
        </is>
      </c>
      <c r="G378" t="n">
        <v>2.1</v>
      </c>
      <c r="H378" t="n">
        <v>0</v>
      </c>
      <c r="I378" t="n">
        <v>1</v>
      </c>
      <c r="J378" t="n">
        <v>0</v>
      </c>
      <c r="K378" t="n">
        <v>0</v>
      </c>
      <c r="L378" t="n">
        <v>0</v>
      </c>
      <c r="M378" t="n">
        <v>0</v>
      </c>
      <c r="N378" t="n">
        <v>0</v>
      </c>
      <c r="O378" t="n">
        <v>0</v>
      </c>
      <c r="P378" t="n">
        <v>0</v>
      </c>
      <c r="Q378" t="n">
        <v>1</v>
      </c>
      <c r="R378" s="2" t="inlineStr">
        <is>
          <t>Blåmossa</t>
        </is>
      </c>
      <c r="S378">
        <f>HYPERLINK("https://klasma.github.io/Logging_080883/artfynd/A 23199-2025 artfynd.xlsx", "A 23199-2025")</f>
        <v/>
      </c>
      <c r="T378">
        <f>HYPERLINK("https://klasma.github.io/Logging_080883/kartor/A 23199-2025 karta.png", "A 23199-2025")</f>
        <v/>
      </c>
      <c r="V378">
        <f>HYPERLINK("https://klasma.github.io/Logging_080883/klagomål/A 23199-2025 FSC-klagomål.docx", "A 23199-2025")</f>
        <v/>
      </c>
      <c r="W378">
        <f>HYPERLINK("https://klasma.github.io/Logging_080883/klagomålsmail/A 23199-2025 FSC-klagomål mail.docx", "A 23199-2025")</f>
        <v/>
      </c>
      <c r="X378">
        <f>HYPERLINK("https://klasma.github.io/Logging_080883/tillsyn/A 23199-2025 tillsynsbegäran.docx", "A 23199-2025")</f>
        <v/>
      </c>
      <c r="Y378">
        <f>HYPERLINK("https://klasma.github.io/Logging_080883/tillsynsmail/A 23199-2025 tillsynsbegäran mail.docx", "A 23199-2025")</f>
        <v/>
      </c>
    </row>
    <row r="379" ht="15" customHeight="1">
      <c r="A379" t="inlineStr">
        <is>
          <t>A 23186-2025</t>
        </is>
      </c>
      <c r="B379" s="1" t="n">
        <v>45791</v>
      </c>
      <c r="C379" s="1" t="n">
        <v>45822</v>
      </c>
      <c r="D379" t="inlineStr">
        <is>
          <t>KALMAR LÄN</t>
        </is>
      </c>
      <c r="E379" t="inlineStr">
        <is>
          <t>VÄSTERVIK</t>
        </is>
      </c>
      <c r="G379" t="n">
        <v>1.4</v>
      </c>
      <c r="H379" t="n">
        <v>0</v>
      </c>
      <c r="I379" t="n">
        <v>0</v>
      </c>
      <c r="J379" t="n">
        <v>1</v>
      </c>
      <c r="K379" t="n">
        <v>0</v>
      </c>
      <c r="L379" t="n">
        <v>0</v>
      </c>
      <c r="M379" t="n">
        <v>0</v>
      </c>
      <c r="N379" t="n">
        <v>0</v>
      </c>
      <c r="O379" t="n">
        <v>1</v>
      </c>
      <c r="P379" t="n">
        <v>0</v>
      </c>
      <c r="Q379" t="n">
        <v>1</v>
      </c>
      <c r="R379" s="2" t="inlineStr">
        <is>
          <t>Krusfrö</t>
        </is>
      </c>
      <c r="S379">
        <f>HYPERLINK("https://klasma.github.io/Logging_080883/artfynd/A 23186-2025 artfynd.xlsx", "A 23186-2025")</f>
        <v/>
      </c>
      <c r="T379">
        <f>HYPERLINK("https://klasma.github.io/Logging_080883/kartor/A 23186-2025 karta.png", "A 23186-2025")</f>
        <v/>
      </c>
      <c r="V379">
        <f>HYPERLINK("https://klasma.github.io/Logging_080883/klagomål/A 23186-2025 FSC-klagomål.docx", "A 23186-2025")</f>
        <v/>
      </c>
      <c r="W379">
        <f>HYPERLINK("https://klasma.github.io/Logging_080883/klagomålsmail/A 23186-2025 FSC-klagomål mail.docx", "A 23186-2025")</f>
        <v/>
      </c>
      <c r="X379">
        <f>HYPERLINK("https://klasma.github.io/Logging_080883/tillsyn/A 23186-2025 tillsynsbegäran.docx", "A 23186-2025")</f>
        <v/>
      </c>
      <c r="Y379">
        <f>HYPERLINK("https://klasma.github.io/Logging_080883/tillsynsmail/A 23186-2025 tillsynsbegäran mail.docx", "A 23186-2025")</f>
        <v/>
      </c>
    </row>
    <row r="380" ht="15" customHeight="1">
      <c r="A380" t="inlineStr">
        <is>
          <t>A 24884-2025</t>
        </is>
      </c>
      <c r="B380" s="1" t="n">
        <v>45799</v>
      </c>
      <c r="C380" s="1" t="n">
        <v>45822</v>
      </c>
      <c r="D380" t="inlineStr">
        <is>
          <t>KALMAR LÄN</t>
        </is>
      </c>
      <c r="E380" t="inlineStr">
        <is>
          <t>VÄSTERVIK</t>
        </is>
      </c>
      <c r="F380" t="inlineStr">
        <is>
          <t>Holmen skog AB</t>
        </is>
      </c>
      <c r="G380" t="n">
        <v>5.1</v>
      </c>
      <c r="H380" t="n">
        <v>0</v>
      </c>
      <c r="I380" t="n">
        <v>1</v>
      </c>
      <c r="J380" t="n">
        <v>0</v>
      </c>
      <c r="K380" t="n">
        <v>0</v>
      </c>
      <c r="L380" t="n">
        <v>0</v>
      </c>
      <c r="M380" t="n">
        <v>0</v>
      </c>
      <c r="N380" t="n">
        <v>0</v>
      </c>
      <c r="O380" t="n">
        <v>0</v>
      </c>
      <c r="P380" t="n">
        <v>0</v>
      </c>
      <c r="Q380" t="n">
        <v>1</v>
      </c>
      <c r="R380" s="2" t="inlineStr">
        <is>
          <t>Strävlosta</t>
        </is>
      </c>
      <c r="S380">
        <f>HYPERLINK("https://klasma.github.io/Logging_080883/artfynd/A 24884-2025 artfynd.xlsx", "A 24884-2025")</f>
        <v/>
      </c>
      <c r="T380">
        <f>HYPERLINK("https://klasma.github.io/Logging_080883/kartor/A 24884-2025 karta.png", "A 24884-2025")</f>
        <v/>
      </c>
      <c r="V380">
        <f>HYPERLINK("https://klasma.github.io/Logging_080883/klagomål/A 24884-2025 FSC-klagomål.docx", "A 24884-2025")</f>
        <v/>
      </c>
      <c r="W380">
        <f>HYPERLINK("https://klasma.github.io/Logging_080883/klagomålsmail/A 24884-2025 FSC-klagomål mail.docx", "A 24884-2025")</f>
        <v/>
      </c>
      <c r="X380">
        <f>HYPERLINK("https://klasma.github.io/Logging_080883/tillsyn/A 24884-2025 tillsynsbegäran.docx", "A 24884-2025")</f>
        <v/>
      </c>
      <c r="Y380">
        <f>HYPERLINK("https://klasma.github.io/Logging_080883/tillsynsmail/A 24884-2025 tillsynsbegäran mail.docx", "A 24884-2025")</f>
        <v/>
      </c>
    </row>
    <row r="381" ht="15" customHeight="1">
      <c r="A381" t="inlineStr">
        <is>
          <t>A 25501-2025</t>
        </is>
      </c>
      <c r="B381" s="1" t="n">
        <v>45803</v>
      </c>
      <c r="C381" s="1" t="n">
        <v>45822</v>
      </c>
      <c r="D381" t="inlineStr">
        <is>
          <t>KALMAR LÄN</t>
        </is>
      </c>
      <c r="E381" t="inlineStr">
        <is>
          <t>VÄSTERVIK</t>
        </is>
      </c>
      <c r="G381" t="n">
        <v>1.8</v>
      </c>
      <c r="H381" t="n">
        <v>1</v>
      </c>
      <c r="I381" t="n">
        <v>0</v>
      </c>
      <c r="J381" t="n">
        <v>0</v>
      </c>
      <c r="K381" t="n">
        <v>0</v>
      </c>
      <c r="L381" t="n">
        <v>0</v>
      </c>
      <c r="M381" t="n">
        <v>0</v>
      </c>
      <c r="N381" t="n">
        <v>0</v>
      </c>
      <c r="O381" t="n">
        <v>0</v>
      </c>
      <c r="P381" t="n">
        <v>0</v>
      </c>
      <c r="Q381" t="n">
        <v>1</v>
      </c>
      <c r="R381" s="2" t="inlineStr">
        <is>
          <t>Kungsfågel</t>
        </is>
      </c>
      <c r="S381">
        <f>HYPERLINK("https://klasma.github.io/Logging_080883/artfynd/A 25501-2025 artfynd.xlsx", "A 25501-2025")</f>
        <v/>
      </c>
      <c r="T381">
        <f>HYPERLINK("https://klasma.github.io/Logging_080883/kartor/A 25501-2025 karta.png", "A 25501-2025")</f>
        <v/>
      </c>
      <c r="U381">
        <f>HYPERLINK("https://klasma.github.io/Logging_080883/knärot/A 25501-2025 karta knärot.png", "A 25501-2025")</f>
        <v/>
      </c>
      <c r="V381">
        <f>HYPERLINK("https://klasma.github.io/Logging_080883/klagomål/A 25501-2025 FSC-klagomål.docx", "A 25501-2025")</f>
        <v/>
      </c>
      <c r="W381">
        <f>HYPERLINK("https://klasma.github.io/Logging_080883/klagomålsmail/A 25501-2025 FSC-klagomål mail.docx", "A 25501-2025")</f>
        <v/>
      </c>
      <c r="X381">
        <f>HYPERLINK("https://klasma.github.io/Logging_080883/tillsyn/A 25501-2025 tillsynsbegäran.docx", "A 25501-2025")</f>
        <v/>
      </c>
      <c r="Y381">
        <f>HYPERLINK("https://klasma.github.io/Logging_080883/tillsynsmail/A 25501-2025 tillsynsbegäran mail.docx", "A 25501-2025")</f>
        <v/>
      </c>
      <c r="Z381">
        <f>HYPERLINK("https://klasma.github.io/Logging_080883/fåglar/A 25501-2025 prioriterade fågelarter.docx", "A 25501-2025")</f>
        <v/>
      </c>
    </row>
    <row r="382" ht="15" customHeight="1">
      <c r="A382" t="inlineStr">
        <is>
          <t>A 26516-2025</t>
        </is>
      </c>
      <c r="B382" s="1" t="n">
        <v>45807</v>
      </c>
      <c r="C382" s="1" t="n">
        <v>45822</v>
      </c>
      <c r="D382" t="inlineStr">
        <is>
          <t>KALMAR LÄN</t>
        </is>
      </c>
      <c r="E382" t="inlineStr">
        <is>
          <t>VÄSTERVIK</t>
        </is>
      </c>
      <c r="G382" t="n">
        <v>1.3</v>
      </c>
      <c r="H382" t="n">
        <v>1</v>
      </c>
      <c r="I382" t="n">
        <v>0</v>
      </c>
      <c r="J382" t="n">
        <v>1</v>
      </c>
      <c r="K382" t="n">
        <v>0</v>
      </c>
      <c r="L382" t="n">
        <v>0</v>
      </c>
      <c r="M382" t="n">
        <v>0</v>
      </c>
      <c r="N382" t="n">
        <v>0</v>
      </c>
      <c r="O382" t="n">
        <v>1</v>
      </c>
      <c r="P382" t="n">
        <v>0</v>
      </c>
      <c r="Q382" t="n">
        <v>1</v>
      </c>
      <c r="R382" s="2" t="inlineStr">
        <is>
          <t>Grönsångare</t>
        </is>
      </c>
      <c r="S382">
        <f>HYPERLINK("https://klasma.github.io/Logging_080883/artfynd/A 26516-2025 artfynd.xlsx", "A 26516-2025")</f>
        <v/>
      </c>
      <c r="T382">
        <f>HYPERLINK("https://klasma.github.io/Logging_080883/kartor/A 26516-2025 karta.png", "A 26516-2025")</f>
        <v/>
      </c>
      <c r="V382">
        <f>HYPERLINK("https://klasma.github.io/Logging_080883/klagomål/A 26516-2025 FSC-klagomål.docx", "A 26516-2025")</f>
        <v/>
      </c>
      <c r="W382">
        <f>HYPERLINK("https://klasma.github.io/Logging_080883/klagomålsmail/A 26516-2025 FSC-klagomål mail.docx", "A 26516-2025")</f>
        <v/>
      </c>
      <c r="X382">
        <f>HYPERLINK("https://klasma.github.io/Logging_080883/tillsyn/A 26516-2025 tillsynsbegäran.docx", "A 26516-2025")</f>
        <v/>
      </c>
      <c r="Y382">
        <f>HYPERLINK("https://klasma.github.io/Logging_080883/tillsynsmail/A 26516-2025 tillsynsbegäran mail.docx", "A 26516-2025")</f>
        <v/>
      </c>
      <c r="Z382">
        <f>HYPERLINK("https://klasma.github.io/Logging_080883/fåglar/A 26516-2025 prioriterade fågelarter.docx", "A 26516-2025")</f>
        <v/>
      </c>
    </row>
    <row r="383" ht="15" customHeight="1">
      <c r="A383" t="inlineStr">
        <is>
          <t>A 27426-2025</t>
        </is>
      </c>
      <c r="B383" s="1" t="n">
        <v>45813</v>
      </c>
      <c r="C383" s="1" t="n">
        <v>45822</v>
      </c>
      <c r="D383" t="inlineStr">
        <is>
          <t>KALMAR LÄN</t>
        </is>
      </c>
      <c r="E383" t="inlineStr">
        <is>
          <t>VÄSTERVIK</t>
        </is>
      </c>
      <c r="G383" t="n">
        <v>2</v>
      </c>
      <c r="H383" t="n">
        <v>0</v>
      </c>
      <c r="I383" t="n">
        <v>1</v>
      </c>
      <c r="J383" t="n">
        <v>0</v>
      </c>
      <c r="K383" t="n">
        <v>0</v>
      </c>
      <c r="L383" t="n">
        <v>0</v>
      </c>
      <c r="M383" t="n">
        <v>0</v>
      </c>
      <c r="N383" t="n">
        <v>0</v>
      </c>
      <c r="O383" t="n">
        <v>0</v>
      </c>
      <c r="P383" t="n">
        <v>0</v>
      </c>
      <c r="Q383" t="n">
        <v>1</v>
      </c>
      <c r="R383" s="2" t="inlineStr">
        <is>
          <t>Vätteros</t>
        </is>
      </c>
      <c r="S383">
        <f>HYPERLINK("https://klasma.github.io/Logging_080883/artfynd/A 27426-2025 artfynd.xlsx", "A 27426-2025")</f>
        <v/>
      </c>
      <c r="T383">
        <f>HYPERLINK("https://klasma.github.io/Logging_080883/kartor/A 27426-2025 karta.png", "A 27426-2025")</f>
        <v/>
      </c>
      <c r="V383">
        <f>HYPERLINK("https://klasma.github.io/Logging_080883/klagomål/A 27426-2025 FSC-klagomål.docx", "A 27426-2025")</f>
        <v/>
      </c>
      <c r="W383">
        <f>HYPERLINK("https://klasma.github.io/Logging_080883/klagomålsmail/A 27426-2025 FSC-klagomål mail.docx", "A 27426-2025")</f>
        <v/>
      </c>
      <c r="X383">
        <f>HYPERLINK("https://klasma.github.io/Logging_080883/tillsyn/A 27426-2025 tillsynsbegäran.docx", "A 27426-2025")</f>
        <v/>
      </c>
      <c r="Y383">
        <f>HYPERLINK("https://klasma.github.io/Logging_080883/tillsynsmail/A 27426-2025 tillsynsbegäran mail.docx", "A 27426-2025")</f>
        <v/>
      </c>
    </row>
    <row r="384" ht="15" customHeight="1">
      <c r="A384" t="inlineStr">
        <is>
          <t>A 17794-2019</t>
        </is>
      </c>
      <c r="B384" s="1" t="n">
        <v>43556</v>
      </c>
      <c r="C384" s="1" t="n">
        <v>45822</v>
      </c>
      <c r="D384" t="inlineStr">
        <is>
          <t>KALMAR LÄN</t>
        </is>
      </c>
      <c r="E384" t="inlineStr">
        <is>
          <t>VÄSTERVIK</t>
        </is>
      </c>
      <c r="G384" t="n">
        <v>3.3</v>
      </c>
      <c r="H384" t="n">
        <v>0</v>
      </c>
      <c r="I384" t="n">
        <v>0</v>
      </c>
      <c r="J384" t="n">
        <v>0</v>
      </c>
      <c r="K384" t="n">
        <v>0</v>
      </c>
      <c r="L384" t="n">
        <v>0</v>
      </c>
      <c r="M384" t="n">
        <v>0</v>
      </c>
      <c r="N384" t="n">
        <v>0</v>
      </c>
      <c r="O384" t="n">
        <v>0</v>
      </c>
      <c r="P384" t="n">
        <v>0</v>
      </c>
      <c r="Q384" t="n">
        <v>0</v>
      </c>
      <c r="R384" s="2" t="inlineStr"/>
    </row>
    <row r="385" ht="15" customHeight="1">
      <c r="A385" t="inlineStr">
        <is>
          <t>A 18417-2019</t>
        </is>
      </c>
      <c r="B385" s="1" t="n">
        <v>43559</v>
      </c>
      <c r="C385" s="1" t="n">
        <v>45822</v>
      </c>
      <c r="D385" t="inlineStr">
        <is>
          <t>KALMAR LÄN</t>
        </is>
      </c>
      <c r="E385" t="inlineStr">
        <is>
          <t>VÄSTERVIK</t>
        </is>
      </c>
      <c r="G385" t="n">
        <v>1</v>
      </c>
      <c r="H385" t="n">
        <v>0</v>
      </c>
      <c r="I385" t="n">
        <v>0</v>
      </c>
      <c r="J385" t="n">
        <v>0</v>
      </c>
      <c r="K385" t="n">
        <v>0</v>
      </c>
      <c r="L385" t="n">
        <v>0</v>
      </c>
      <c r="M385" t="n">
        <v>0</v>
      </c>
      <c r="N385" t="n">
        <v>0</v>
      </c>
      <c r="O385" t="n">
        <v>0</v>
      </c>
      <c r="P385" t="n">
        <v>0</v>
      </c>
      <c r="Q385" t="n">
        <v>0</v>
      </c>
      <c r="R385" s="2" t="inlineStr"/>
    </row>
    <row r="386" ht="15" customHeight="1">
      <c r="A386" t="inlineStr">
        <is>
          <t>A 18552-2019</t>
        </is>
      </c>
      <c r="B386" s="1" t="n">
        <v>43559</v>
      </c>
      <c r="C386" s="1" t="n">
        <v>45822</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18419-2019</t>
        </is>
      </c>
      <c r="B387" s="1" t="n">
        <v>43559</v>
      </c>
      <c r="C387" s="1" t="n">
        <v>45822</v>
      </c>
      <c r="D387" t="inlineStr">
        <is>
          <t>KALMAR LÄN</t>
        </is>
      </c>
      <c r="E387" t="inlineStr">
        <is>
          <t>VÄSTERVIK</t>
        </is>
      </c>
      <c r="G387" t="n">
        <v>1.1</v>
      </c>
      <c r="H387" t="n">
        <v>0</v>
      </c>
      <c r="I387" t="n">
        <v>0</v>
      </c>
      <c r="J387" t="n">
        <v>0</v>
      </c>
      <c r="K387" t="n">
        <v>0</v>
      </c>
      <c r="L387" t="n">
        <v>0</v>
      </c>
      <c r="M387" t="n">
        <v>0</v>
      </c>
      <c r="N387" t="n">
        <v>0</v>
      </c>
      <c r="O387" t="n">
        <v>0</v>
      </c>
      <c r="P387" t="n">
        <v>0</v>
      </c>
      <c r="Q387" t="n">
        <v>0</v>
      </c>
      <c r="R387" s="2" t="inlineStr"/>
    </row>
    <row r="388" ht="15" customHeight="1">
      <c r="A388" t="inlineStr">
        <is>
          <t>A 18768-2019</t>
        </is>
      </c>
      <c r="B388" s="1" t="n">
        <v>43560</v>
      </c>
      <c r="C388" s="1" t="n">
        <v>45822</v>
      </c>
      <c r="D388" t="inlineStr">
        <is>
          <t>KALMAR LÄN</t>
        </is>
      </c>
      <c r="E388" t="inlineStr">
        <is>
          <t>VÄSTERVIK</t>
        </is>
      </c>
      <c r="G388" t="n">
        <v>1.2</v>
      </c>
      <c r="H388" t="n">
        <v>0</v>
      </c>
      <c r="I388" t="n">
        <v>0</v>
      </c>
      <c r="J388" t="n">
        <v>0</v>
      </c>
      <c r="K388" t="n">
        <v>0</v>
      </c>
      <c r="L388" t="n">
        <v>0</v>
      </c>
      <c r="M388" t="n">
        <v>0</v>
      </c>
      <c r="N388" t="n">
        <v>0</v>
      </c>
      <c r="O388" t="n">
        <v>0</v>
      </c>
      <c r="P388" t="n">
        <v>0</v>
      </c>
      <c r="Q388" t="n">
        <v>0</v>
      </c>
      <c r="R388" s="2" t="inlineStr"/>
    </row>
    <row r="389" ht="15" customHeight="1">
      <c r="A389" t="inlineStr">
        <is>
          <t>A 19141-2019</t>
        </is>
      </c>
      <c r="B389" s="1" t="n">
        <v>43564</v>
      </c>
      <c r="C389" s="1" t="n">
        <v>45822</v>
      </c>
      <c r="D389" t="inlineStr">
        <is>
          <t>KALMAR LÄN</t>
        </is>
      </c>
      <c r="E389" t="inlineStr">
        <is>
          <t>VÄSTERVIK</t>
        </is>
      </c>
      <c r="G389" t="n">
        <v>3.3</v>
      </c>
      <c r="H389" t="n">
        <v>0</v>
      </c>
      <c r="I389" t="n">
        <v>0</v>
      </c>
      <c r="J389" t="n">
        <v>0</v>
      </c>
      <c r="K389" t="n">
        <v>0</v>
      </c>
      <c r="L389" t="n">
        <v>0</v>
      </c>
      <c r="M389" t="n">
        <v>0</v>
      </c>
      <c r="N389" t="n">
        <v>0</v>
      </c>
      <c r="O389" t="n">
        <v>0</v>
      </c>
      <c r="P389" t="n">
        <v>0</v>
      </c>
      <c r="Q389" t="n">
        <v>0</v>
      </c>
      <c r="R389" s="2" t="inlineStr"/>
    </row>
    <row r="390" ht="15" customHeight="1">
      <c r="A390" t="inlineStr">
        <is>
          <t>A 19414-2019</t>
        </is>
      </c>
      <c r="B390" s="1" t="n">
        <v>43565</v>
      </c>
      <c r="C390" s="1" t="n">
        <v>45822</v>
      </c>
      <c r="D390" t="inlineStr">
        <is>
          <t>KALMAR LÄN</t>
        </is>
      </c>
      <c r="E390" t="inlineStr">
        <is>
          <t>VÄSTERVIK</t>
        </is>
      </c>
      <c r="F390" t="inlineStr">
        <is>
          <t>Sveaskog</t>
        </is>
      </c>
      <c r="G390" t="n">
        <v>5.4</v>
      </c>
      <c r="H390" t="n">
        <v>0</v>
      </c>
      <c r="I390" t="n">
        <v>0</v>
      </c>
      <c r="J390" t="n">
        <v>0</v>
      </c>
      <c r="K390" t="n">
        <v>0</v>
      </c>
      <c r="L390" t="n">
        <v>0</v>
      </c>
      <c r="M390" t="n">
        <v>0</v>
      </c>
      <c r="N390" t="n">
        <v>0</v>
      </c>
      <c r="O390" t="n">
        <v>0</v>
      </c>
      <c r="P390" t="n">
        <v>0</v>
      </c>
      <c r="Q390" t="n">
        <v>0</v>
      </c>
      <c r="R390" s="2" t="inlineStr"/>
    </row>
    <row r="391" ht="15" customHeight="1">
      <c r="A391" t="inlineStr">
        <is>
          <t>A 19653-2019</t>
        </is>
      </c>
      <c r="B391" s="1" t="n">
        <v>43566</v>
      </c>
      <c r="C391" s="1" t="n">
        <v>45822</v>
      </c>
      <c r="D391" t="inlineStr">
        <is>
          <t>KALMAR LÄN</t>
        </is>
      </c>
      <c r="E391" t="inlineStr">
        <is>
          <t>VÄSTERVIK</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19819-2019</t>
        </is>
      </c>
      <c r="B392" s="1" t="n">
        <v>43567</v>
      </c>
      <c r="C392" s="1" t="n">
        <v>45822</v>
      </c>
      <c r="D392" t="inlineStr">
        <is>
          <t>KALMAR LÄN</t>
        </is>
      </c>
      <c r="E392" t="inlineStr">
        <is>
          <t>VÄSTERVIK</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19825-2019</t>
        </is>
      </c>
      <c r="B393" s="1" t="n">
        <v>43567</v>
      </c>
      <c r="C393" s="1" t="n">
        <v>45822</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20371-2019</t>
        </is>
      </c>
      <c r="B394" s="1" t="n">
        <v>43571</v>
      </c>
      <c r="C394" s="1" t="n">
        <v>45822</v>
      </c>
      <c r="D394" t="inlineStr">
        <is>
          <t>KALMAR LÄN</t>
        </is>
      </c>
      <c r="E394" t="inlineStr">
        <is>
          <t>VÄSTERVIK</t>
        </is>
      </c>
      <c r="G394" t="n">
        <v>1</v>
      </c>
      <c r="H394" t="n">
        <v>0</v>
      </c>
      <c r="I394" t="n">
        <v>0</v>
      </c>
      <c r="J394" t="n">
        <v>0</v>
      </c>
      <c r="K394" t="n">
        <v>0</v>
      </c>
      <c r="L394" t="n">
        <v>0</v>
      </c>
      <c r="M394" t="n">
        <v>0</v>
      </c>
      <c r="N394" t="n">
        <v>0</v>
      </c>
      <c r="O394" t="n">
        <v>0</v>
      </c>
      <c r="P394" t="n">
        <v>0</v>
      </c>
      <c r="Q394" t="n">
        <v>0</v>
      </c>
      <c r="R394" s="2" t="inlineStr"/>
    </row>
    <row r="395" ht="15" customHeight="1">
      <c r="A395" t="inlineStr">
        <is>
          <t>A 24133-2019</t>
        </is>
      </c>
      <c r="B395" s="1" t="n">
        <v>43598</v>
      </c>
      <c r="C395" s="1" t="n">
        <v>45822</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24356-2019</t>
        </is>
      </c>
      <c r="B396" s="1" t="n">
        <v>43599</v>
      </c>
      <c r="C396" s="1" t="n">
        <v>45822</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24358-2019</t>
        </is>
      </c>
      <c r="B397" s="1" t="n">
        <v>43599</v>
      </c>
      <c r="C397" s="1" t="n">
        <v>45822</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24316-2019</t>
        </is>
      </c>
      <c r="B398" s="1" t="n">
        <v>43599</v>
      </c>
      <c r="C398" s="1" t="n">
        <v>45822</v>
      </c>
      <c r="D398" t="inlineStr">
        <is>
          <t>KALMAR LÄN</t>
        </is>
      </c>
      <c r="E398" t="inlineStr">
        <is>
          <t>VÄSTERVIK</t>
        </is>
      </c>
      <c r="G398" t="n">
        <v>14.9</v>
      </c>
      <c r="H398" t="n">
        <v>0</v>
      </c>
      <c r="I398" t="n">
        <v>0</v>
      </c>
      <c r="J398" t="n">
        <v>0</v>
      </c>
      <c r="K398" t="n">
        <v>0</v>
      </c>
      <c r="L398" t="n">
        <v>0</v>
      </c>
      <c r="M398" t="n">
        <v>0</v>
      </c>
      <c r="N398" t="n">
        <v>0</v>
      </c>
      <c r="O398" t="n">
        <v>0</v>
      </c>
      <c r="P398" t="n">
        <v>0</v>
      </c>
      <c r="Q398" t="n">
        <v>0</v>
      </c>
      <c r="R398" s="2" t="inlineStr"/>
    </row>
    <row r="399" ht="15" customHeight="1">
      <c r="A399" t="inlineStr">
        <is>
          <t>A 24318-2019</t>
        </is>
      </c>
      <c r="B399" s="1" t="n">
        <v>43599</v>
      </c>
      <c r="C399" s="1" t="n">
        <v>45822</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24354-2019</t>
        </is>
      </c>
      <c r="B400" s="1" t="n">
        <v>43599</v>
      </c>
      <c r="C400" s="1" t="n">
        <v>45822</v>
      </c>
      <c r="D400" t="inlineStr">
        <is>
          <t>KALMAR LÄN</t>
        </is>
      </c>
      <c r="E400" t="inlineStr">
        <is>
          <t>VÄSTERVIK</t>
        </is>
      </c>
      <c r="G400" t="n">
        <v>3.7</v>
      </c>
      <c r="H400" t="n">
        <v>0</v>
      </c>
      <c r="I400" t="n">
        <v>0</v>
      </c>
      <c r="J400" t="n">
        <v>0</v>
      </c>
      <c r="K400" t="n">
        <v>0</v>
      </c>
      <c r="L400" t="n">
        <v>0</v>
      </c>
      <c r="M400" t="n">
        <v>0</v>
      </c>
      <c r="N400" t="n">
        <v>0</v>
      </c>
      <c r="O400" t="n">
        <v>0</v>
      </c>
      <c r="P400" t="n">
        <v>0</v>
      </c>
      <c r="Q400" t="n">
        <v>0</v>
      </c>
      <c r="R400" s="2" t="inlineStr"/>
    </row>
    <row r="401" ht="15" customHeight="1">
      <c r="A401" t="inlineStr">
        <is>
          <t>A 24550-2019</t>
        </is>
      </c>
      <c r="B401" s="1" t="n">
        <v>43600</v>
      </c>
      <c r="C401" s="1" t="n">
        <v>45822</v>
      </c>
      <c r="D401" t="inlineStr">
        <is>
          <t>KALMAR LÄN</t>
        </is>
      </c>
      <c r="E401" t="inlineStr">
        <is>
          <t>VÄSTERVIK</t>
        </is>
      </c>
      <c r="G401" t="n">
        <v>3.6</v>
      </c>
      <c r="H401" t="n">
        <v>0</v>
      </c>
      <c r="I401" t="n">
        <v>0</v>
      </c>
      <c r="J401" t="n">
        <v>0</v>
      </c>
      <c r="K401" t="n">
        <v>0</v>
      </c>
      <c r="L401" t="n">
        <v>0</v>
      </c>
      <c r="M401" t="n">
        <v>0</v>
      </c>
      <c r="N401" t="n">
        <v>0</v>
      </c>
      <c r="O401" t="n">
        <v>0</v>
      </c>
      <c r="P401" t="n">
        <v>0</v>
      </c>
      <c r="Q401" t="n">
        <v>0</v>
      </c>
      <c r="R401" s="2" t="inlineStr"/>
    </row>
    <row r="402" ht="15" customHeight="1">
      <c r="A402" t="inlineStr">
        <is>
          <t>A 24683-2019</t>
        </is>
      </c>
      <c r="B402" s="1" t="n">
        <v>43601</v>
      </c>
      <c r="C402" s="1" t="n">
        <v>45822</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24944-2019</t>
        </is>
      </c>
      <c r="B403" s="1" t="n">
        <v>43602</v>
      </c>
      <c r="C403" s="1" t="n">
        <v>45822</v>
      </c>
      <c r="D403" t="inlineStr">
        <is>
          <t>KALMAR LÄN</t>
        </is>
      </c>
      <c r="E403" t="inlineStr">
        <is>
          <t>VÄSTERVIK</t>
        </is>
      </c>
      <c r="G403" t="n">
        <v>4.1</v>
      </c>
      <c r="H403" t="n">
        <v>0</v>
      </c>
      <c r="I403" t="n">
        <v>0</v>
      </c>
      <c r="J403" t="n">
        <v>0</v>
      </c>
      <c r="K403" t="n">
        <v>0</v>
      </c>
      <c r="L403" t="n">
        <v>0</v>
      </c>
      <c r="M403" t="n">
        <v>0</v>
      </c>
      <c r="N403" t="n">
        <v>0</v>
      </c>
      <c r="O403" t="n">
        <v>0</v>
      </c>
      <c r="P403" t="n">
        <v>0</v>
      </c>
      <c r="Q403" t="n">
        <v>0</v>
      </c>
      <c r="R403" s="2" t="inlineStr"/>
    </row>
    <row r="404" ht="15" customHeight="1">
      <c r="A404" t="inlineStr">
        <is>
          <t>A 26470-2019</t>
        </is>
      </c>
      <c r="B404" s="1" t="n">
        <v>43606</v>
      </c>
      <c r="C404" s="1" t="n">
        <v>45822</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26834-2019</t>
        </is>
      </c>
      <c r="B405" s="1" t="n">
        <v>43608</v>
      </c>
      <c r="C405" s="1" t="n">
        <v>45822</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26833-2019</t>
        </is>
      </c>
      <c r="B406" s="1" t="n">
        <v>43608</v>
      </c>
      <c r="C406" s="1" t="n">
        <v>45822</v>
      </c>
      <c r="D406" t="inlineStr">
        <is>
          <t>KALMAR LÄN</t>
        </is>
      </c>
      <c r="E406" t="inlineStr">
        <is>
          <t>VÄSTERVIK</t>
        </is>
      </c>
      <c r="G406" t="n">
        <v>2.3</v>
      </c>
      <c r="H406" t="n">
        <v>0</v>
      </c>
      <c r="I406" t="n">
        <v>0</v>
      </c>
      <c r="J406" t="n">
        <v>0</v>
      </c>
      <c r="K406" t="n">
        <v>0</v>
      </c>
      <c r="L406" t="n">
        <v>0</v>
      </c>
      <c r="M406" t="n">
        <v>0</v>
      </c>
      <c r="N406" t="n">
        <v>0</v>
      </c>
      <c r="O406" t="n">
        <v>0</v>
      </c>
      <c r="P406" t="n">
        <v>0</v>
      </c>
      <c r="Q406" t="n">
        <v>0</v>
      </c>
      <c r="R406" s="2" t="inlineStr"/>
    </row>
    <row r="407" ht="15" customHeight="1">
      <c r="A407" t="inlineStr">
        <is>
          <t>A 26567-2019</t>
        </is>
      </c>
      <c r="B407" s="1" t="n">
        <v>43612</v>
      </c>
      <c r="C407" s="1" t="n">
        <v>45822</v>
      </c>
      <c r="D407" t="inlineStr">
        <is>
          <t>KALMAR LÄN</t>
        </is>
      </c>
      <c r="E407" t="inlineStr">
        <is>
          <t>VÄSTERVIK</t>
        </is>
      </c>
      <c r="G407" t="n">
        <v>1.9</v>
      </c>
      <c r="H407" t="n">
        <v>0</v>
      </c>
      <c r="I407" t="n">
        <v>0</v>
      </c>
      <c r="J407" t="n">
        <v>0</v>
      </c>
      <c r="K407" t="n">
        <v>0</v>
      </c>
      <c r="L407" t="n">
        <v>0</v>
      </c>
      <c r="M407" t="n">
        <v>0</v>
      </c>
      <c r="N407" t="n">
        <v>0</v>
      </c>
      <c r="O407" t="n">
        <v>0</v>
      </c>
      <c r="P407" t="n">
        <v>0</v>
      </c>
      <c r="Q407" t="n">
        <v>0</v>
      </c>
      <c r="R407" s="2" t="inlineStr"/>
    </row>
    <row r="408" ht="15" customHeight="1">
      <c r="A408" t="inlineStr">
        <is>
          <t>A 26590-2019</t>
        </is>
      </c>
      <c r="B408" s="1" t="n">
        <v>43612</v>
      </c>
      <c r="C408" s="1" t="n">
        <v>45822</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26585-2019</t>
        </is>
      </c>
      <c r="B409" s="1" t="n">
        <v>43612</v>
      </c>
      <c r="C409" s="1" t="n">
        <v>45822</v>
      </c>
      <c r="D409" t="inlineStr">
        <is>
          <t>KALMAR LÄN</t>
        </is>
      </c>
      <c r="E409" t="inlineStr">
        <is>
          <t>VÄSTERVIK</t>
        </is>
      </c>
      <c r="G409" t="n">
        <v>3</v>
      </c>
      <c r="H409" t="n">
        <v>0</v>
      </c>
      <c r="I409" t="n">
        <v>0</v>
      </c>
      <c r="J409" t="n">
        <v>0</v>
      </c>
      <c r="K409" t="n">
        <v>0</v>
      </c>
      <c r="L409" t="n">
        <v>0</v>
      </c>
      <c r="M409" t="n">
        <v>0</v>
      </c>
      <c r="N409" t="n">
        <v>0</v>
      </c>
      <c r="O409" t="n">
        <v>0</v>
      </c>
      <c r="P409" t="n">
        <v>0</v>
      </c>
      <c r="Q409" t="n">
        <v>0</v>
      </c>
      <c r="R409" s="2" t="inlineStr"/>
    </row>
    <row r="410" ht="15" customHeight="1">
      <c r="A410" t="inlineStr">
        <is>
          <t>A 26578-2019</t>
        </is>
      </c>
      <c r="B410" s="1" t="n">
        <v>43612</v>
      </c>
      <c r="C410" s="1" t="n">
        <v>45822</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27206-2019</t>
        </is>
      </c>
      <c r="B411" s="1" t="n">
        <v>43614</v>
      </c>
      <c r="C411" s="1" t="n">
        <v>45822</v>
      </c>
      <c r="D411" t="inlineStr">
        <is>
          <t>KALMAR LÄN</t>
        </is>
      </c>
      <c r="E411" t="inlineStr">
        <is>
          <t>VÄSTERVIK</t>
        </is>
      </c>
      <c r="F411" t="inlineStr">
        <is>
          <t>Sveaskog</t>
        </is>
      </c>
      <c r="G411" t="n">
        <v>7.9</v>
      </c>
      <c r="H411" t="n">
        <v>0</v>
      </c>
      <c r="I411" t="n">
        <v>0</v>
      </c>
      <c r="J411" t="n">
        <v>0</v>
      </c>
      <c r="K411" t="n">
        <v>0</v>
      </c>
      <c r="L411" t="n">
        <v>0</v>
      </c>
      <c r="M411" t="n">
        <v>0</v>
      </c>
      <c r="N411" t="n">
        <v>0</v>
      </c>
      <c r="O411" t="n">
        <v>0</v>
      </c>
      <c r="P411" t="n">
        <v>0</v>
      </c>
      <c r="Q411" t="n">
        <v>0</v>
      </c>
      <c r="R411" s="2" t="inlineStr"/>
    </row>
    <row r="412" ht="15" customHeight="1">
      <c r="A412" t="inlineStr">
        <is>
          <t>A 28970-2019</t>
        </is>
      </c>
      <c r="B412" s="1" t="n">
        <v>43619</v>
      </c>
      <c r="C412" s="1" t="n">
        <v>45822</v>
      </c>
      <c r="D412" t="inlineStr">
        <is>
          <t>KALMAR LÄN</t>
        </is>
      </c>
      <c r="E412" t="inlineStr">
        <is>
          <t>VÄSTERVIK</t>
        </is>
      </c>
      <c r="G412" t="n">
        <v>1.1</v>
      </c>
      <c r="H412" t="n">
        <v>0</v>
      </c>
      <c r="I412" t="n">
        <v>0</v>
      </c>
      <c r="J412" t="n">
        <v>0</v>
      </c>
      <c r="K412" t="n">
        <v>0</v>
      </c>
      <c r="L412" t="n">
        <v>0</v>
      </c>
      <c r="M412" t="n">
        <v>0</v>
      </c>
      <c r="N412" t="n">
        <v>0</v>
      </c>
      <c r="O412" t="n">
        <v>0</v>
      </c>
      <c r="P412" t="n">
        <v>0</v>
      </c>
      <c r="Q412" t="n">
        <v>0</v>
      </c>
      <c r="R412" s="2" t="inlineStr"/>
    </row>
    <row r="413" ht="15" customHeight="1">
      <c r="A413" t="inlineStr">
        <is>
          <t>A 27654-2019</t>
        </is>
      </c>
      <c r="B413" s="1" t="n">
        <v>43619</v>
      </c>
      <c r="C413" s="1" t="n">
        <v>45822</v>
      </c>
      <c r="D413" t="inlineStr">
        <is>
          <t>KALMAR LÄN</t>
        </is>
      </c>
      <c r="E413" t="inlineStr">
        <is>
          <t>VÄSTERVIK</t>
        </is>
      </c>
      <c r="G413" t="n">
        <v>1.2</v>
      </c>
      <c r="H413" t="n">
        <v>0</v>
      </c>
      <c r="I413" t="n">
        <v>0</v>
      </c>
      <c r="J413" t="n">
        <v>0</v>
      </c>
      <c r="K413" t="n">
        <v>0</v>
      </c>
      <c r="L413" t="n">
        <v>0</v>
      </c>
      <c r="M413" t="n">
        <v>0</v>
      </c>
      <c r="N413" t="n">
        <v>0</v>
      </c>
      <c r="O413" t="n">
        <v>0</v>
      </c>
      <c r="P413" t="n">
        <v>0</v>
      </c>
      <c r="Q413" t="n">
        <v>0</v>
      </c>
      <c r="R413" s="2" t="inlineStr"/>
    </row>
    <row r="414" ht="15" customHeight="1">
      <c r="A414" t="inlineStr">
        <is>
          <t>A 28347-2019</t>
        </is>
      </c>
      <c r="B414" s="1" t="n">
        <v>43624</v>
      </c>
      <c r="C414" s="1" t="n">
        <v>45822</v>
      </c>
      <c r="D414" t="inlineStr">
        <is>
          <t>KALMAR LÄN</t>
        </is>
      </c>
      <c r="E414" t="inlineStr">
        <is>
          <t>VÄSTERVIK</t>
        </is>
      </c>
      <c r="G414" t="n">
        <v>5.1</v>
      </c>
      <c r="H414" t="n">
        <v>0</v>
      </c>
      <c r="I414" t="n">
        <v>0</v>
      </c>
      <c r="J414" t="n">
        <v>0</v>
      </c>
      <c r="K414" t="n">
        <v>0</v>
      </c>
      <c r="L414" t="n">
        <v>0</v>
      </c>
      <c r="M414" t="n">
        <v>0</v>
      </c>
      <c r="N414" t="n">
        <v>0</v>
      </c>
      <c r="O414" t="n">
        <v>0</v>
      </c>
      <c r="P414" t="n">
        <v>0</v>
      </c>
      <c r="Q414" t="n">
        <v>0</v>
      </c>
      <c r="R414" s="2" t="inlineStr"/>
    </row>
    <row r="415" ht="15" customHeight="1">
      <c r="A415" t="inlineStr">
        <is>
          <t>A 28594-2019</t>
        </is>
      </c>
      <c r="B415" s="1" t="n">
        <v>43626</v>
      </c>
      <c r="C415" s="1" t="n">
        <v>45822</v>
      </c>
      <c r="D415" t="inlineStr">
        <is>
          <t>KALMAR LÄN</t>
        </is>
      </c>
      <c r="E415" t="inlineStr">
        <is>
          <t>VÄSTERVIK</t>
        </is>
      </c>
      <c r="G415" t="n">
        <v>1.2</v>
      </c>
      <c r="H415" t="n">
        <v>0</v>
      </c>
      <c r="I415" t="n">
        <v>0</v>
      </c>
      <c r="J415" t="n">
        <v>0</v>
      </c>
      <c r="K415" t="n">
        <v>0</v>
      </c>
      <c r="L415" t="n">
        <v>0</v>
      </c>
      <c r="M415" t="n">
        <v>0</v>
      </c>
      <c r="N415" t="n">
        <v>0</v>
      </c>
      <c r="O415" t="n">
        <v>0</v>
      </c>
      <c r="P415" t="n">
        <v>0</v>
      </c>
      <c r="Q415" t="n">
        <v>0</v>
      </c>
      <c r="R415" s="2" t="inlineStr"/>
    </row>
    <row r="416" ht="15" customHeight="1">
      <c r="A416" t="inlineStr">
        <is>
          <t>A 28590-2019</t>
        </is>
      </c>
      <c r="B416" s="1" t="n">
        <v>43626</v>
      </c>
      <c r="C416" s="1" t="n">
        <v>45822</v>
      </c>
      <c r="D416" t="inlineStr">
        <is>
          <t>KALMAR LÄN</t>
        </is>
      </c>
      <c r="E416" t="inlineStr">
        <is>
          <t>VÄSTERVIK</t>
        </is>
      </c>
      <c r="G416" t="n">
        <v>2.9</v>
      </c>
      <c r="H416" t="n">
        <v>0</v>
      </c>
      <c r="I416" t="n">
        <v>0</v>
      </c>
      <c r="J416" t="n">
        <v>0</v>
      </c>
      <c r="K416" t="n">
        <v>0</v>
      </c>
      <c r="L416" t="n">
        <v>0</v>
      </c>
      <c r="M416" t="n">
        <v>0</v>
      </c>
      <c r="N416" t="n">
        <v>0</v>
      </c>
      <c r="O416" t="n">
        <v>0</v>
      </c>
      <c r="P416" t="n">
        <v>0</v>
      </c>
      <c r="Q416" t="n">
        <v>0</v>
      </c>
      <c r="R416" s="2" t="inlineStr"/>
    </row>
    <row r="417" ht="15" customHeight="1">
      <c r="A417" t="inlineStr">
        <is>
          <t>A 29519-2019</t>
        </is>
      </c>
      <c r="B417" s="1" t="n">
        <v>43627</v>
      </c>
      <c r="C417" s="1" t="n">
        <v>45822</v>
      </c>
      <c r="D417" t="inlineStr">
        <is>
          <t>KALMAR LÄN</t>
        </is>
      </c>
      <c r="E417" t="inlineStr">
        <is>
          <t>VÄSTERVIK</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30058-2019</t>
        </is>
      </c>
      <c r="B418" s="1" t="n">
        <v>43633</v>
      </c>
      <c r="C418" s="1" t="n">
        <v>45822</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30057-2019</t>
        </is>
      </c>
      <c r="B419" s="1" t="n">
        <v>43633</v>
      </c>
      <c r="C419" s="1" t="n">
        <v>45822</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29922-2019</t>
        </is>
      </c>
      <c r="B420" s="1" t="n">
        <v>43633</v>
      </c>
      <c r="C420" s="1" t="n">
        <v>45822</v>
      </c>
      <c r="D420" t="inlineStr">
        <is>
          <t>KALMAR LÄN</t>
        </is>
      </c>
      <c r="E420" t="inlineStr">
        <is>
          <t>VÄSTERVIK</t>
        </is>
      </c>
      <c r="G420" t="n">
        <v>3.8</v>
      </c>
      <c r="H420" t="n">
        <v>0</v>
      </c>
      <c r="I420" t="n">
        <v>0</v>
      </c>
      <c r="J420" t="n">
        <v>0</v>
      </c>
      <c r="K420" t="n">
        <v>0</v>
      </c>
      <c r="L420" t="n">
        <v>0</v>
      </c>
      <c r="M420" t="n">
        <v>0</v>
      </c>
      <c r="N420" t="n">
        <v>0</v>
      </c>
      <c r="O420" t="n">
        <v>0</v>
      </c>
      <c r="P420" t="n">
        <v>0</v>
      </c>
      <c r="Q420" t="n">
        <v>0</v>
      </c>
      <c r="R420" s="2" t="inlineStr"/>
    </row>
    <row r="421" ht="15" customHeight="1">
      <c r="A421" t="inlineStr">
        <is>
          <t>A 31072-2019</t>
        </is>
      </c>
      <c r="B421" s="1" t="n">
        <v>43640</v>
      </c>
      <c r="C421" s="1" t="n">
        <v>45822</v>
      </c>
      <c r="D421" t="inlineStr">
        <is>
          <t>KALMAR LÄN</t>
        </is>
      </c>
      <c r="E421" t="inlineStr">
        <is>
          <t>VÄSTERVIK</t>
        </is>
      </c>
      <c r="G421" t="n">
        <v>2.6</v>
      </c>
      <c r="H421" t="n">
        <v>0</v>
      </c>
      <c r="I421" t="n">
        <v>0</v>
      </c>
      <c r="J421" t="n">
        <v>0</v>
      </c>
      <c r="K421" t="n">
        <v>0</v>
      </c>
      <c r="L421" t="n">
        <v>0</v>
      </c>
      <c r="M421" t="n">
        <v>0</v>
      </c>
      <c r="N421" t="n">
        <v>0</v>
      </c>
      <c r="O421" t="n">
        <v>0</v>
      </c>
      <c r="P421" t="n">
        <v>0</v>
      </c>
      <c r="Q421" t="n">
        <v>0</v>
      </c>
      <c r="R421" s="2" t="inlineStr"/>
    </row>
    <row r="422" ht="15" customHeight="1">
      <c r="A422" t="inlineStr">
        <is>
          <t>A 32045-2019</t>
        </is>
      </c>
      <c r="B422" s="1" t="n">
        <v>43643</v>
      </c>
      <c r="C422" s="1" t="n">
        <v>45822</v>
      </c>
      <c r="D422" t="inlineStr">
        <is>
          <t>KALMAR LÄN</t>
        </is>
      </c>
      <c r="E422" t="inlineStr">
        <is>
          <t>VÄSTERVIK</t>
        </is>
      </c>
      <c r="G422" t="n">
        <v>6.5</v>
      </c>
      <c r="H422" t="n">
        <v>0</v>
      </c>
      <c r="I422" t="n">
        <v>0</v>
      </c>
      <c r="J422" t="n">
        <v>0</v>
      </c>
      <c r="K422" t="n">
        <v>0</v>
      </c>
      <c r="L422" t="n">
        <v>0</v>
      </c>
      <c r="M422" t="n">
        <v>0</v>
      </c>
      <c r="N422" t="n">
        <v>0</v>
      </c>
      <c r="O422" t="n">
        <v>0</v>
      </c>
      <c r="P422" t="n">
        <v>0</v>
      </c>
      <c r="Q422" t="n">
        <v>0</v>
      </c>
      <c r="R422" s="2" t="inlineStr"/>
    </row>
    <row r="423" ht="15" customHeight="1">
      <c r="A423" t="inlineStr">
        <is>
          <t>A 32052-2019</t>
        </is>
      </c>
      <c r="B423" s="1" t="n">
        <v>43643</v>
      </c>
      <c r="C423" s="1" t="n">
        <v>45822</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32048-2019</t>
        </is>
      </c>
      <c r="B424" s="1" t="n">
        <v>43643</v>
      </c>
      <c r="C424" s="1" t="n">
        <v>45822</v>
      </c>
      <c r="D424" t="inlineStr">
        <is>
          <t>KALMAR LÄN</t>
        </is>
      </c>
      <c r="E424" t="inlineStr">
        <is>
          <t>VÄSTERVIK</t>
        </is>
      </c>
      <c r="G424" t="n">
        <v>1.9</v>
      </c>
      <c r="H424" t="n">
        <v>0</v>
      </c>
      <c r="I424" t="n">
        <v>0</v>
      </c>
      <c r="J424" t="n">
        <v>0</v>
      </c>
      <c r="K424" t="n">
        <v>0</v>
      </c>
      <c r="L424" t="n">
        <v>0</v>
      </c>
      <c r="M424" t="n">
        <v>0</v>
      </c>
      <c r="N424" t="n">
        <v>0</v>
      </c>
      <c r="O424" t="n">
        <v>0</v>
      </c>
      <c r="P424" t="n">
        <v>0</v>
      </c>
      <c r="Q424" t="n">
        <v>0</v>
      </c>
      <c r="R424" s="2" t="inlineStr"/>
    </row>
    <row r="425" ht="15" customHeight="1">
      <c r="A425" t="inlineStr">
        <is>
          <t>A 32522-2019</t>
        </is>
      </c>
      <c r="B425" s="1" t="n">
        <v>43646</v>
      </c>
      <c r="C425" s="1" t="n">
        <v>45822</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32521-2019</t>
        </is>
      </c>
      <c r="B426" s="1" t="n">
        <v>43646</v>
      </c>
      <c r="C426" s="1" t="n">
        <v>45822</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32524-2019</t>
        </is>
      </c>
      <c r="B427" s="1" t="n">
        <v>43646</v>
      </c>
      <c r="C427" s="1" t="n">
        <v>45822</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32523-2019</t>
        </is>
      </c>
      <c r="B428" s="1" t="n">
        <v>43646</v>
      </c>
      <c r="C428" s="1" t="n">
        <v>45822</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33752-2019</t>
        </is>
      </c>
      <c r="B429" s="1" t="n">
        <v>43651</v>
      </c>
      <c r="C429" s="1" t="n">
        <v>45822</v>
      </c>
      <c r="D429" t="inlineStr">
        <is>
          <t>KALMAR LÄN</t>
        </is>
      </c>
      <c r="E429" t="inlineStr">
        <is>
          <t>VÄSTERVIK</t>
        </is>
      </c>
      <c r="G429" t="n">
        <v>3.1</v>
      </c>
      <c r="H429" t="n">
        <v>0</v>
      </c>
      <c r="I429" t="n">
        <v>0</v>
      </c>
      <c r="J429" t="n">
        <v>0</v>
      </c>
      <c r="K429" t="n">
        <v>0</v>
      </c>
      <c r="L429" t="n">
        <v>0</v>
      </c>
      <c r="M429" t="n">
        <v>0</v>
      </c>
      <c r="N429" t="n">
        <v>0</v>
      </c>
      <c r="O429" t="n">
        <v>0</v>
      </c>
      <c r="P429" t="n">
        <v>0</v>
      </c>
      <c r="Q429" t="n">
        <v>0</v>
      </c>
      <c r="R429" s="2" t="inlineStr"/>
    </row>
    <row r="430" ht="15" customHeight="1">
      <c r="A430" t="inlineStr">
        <is>
          <t>A 33738-2019</t>
        </is>
      </c>
      <c r="B430" s="1" t="n">
        <v>43651</v>
      </c>
      <c r="C430" s="1" t="n">
        <v>45822</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33741-2019</t>
        </is>
      </c>
      <c r="B431" s="1" t="n">
        <v>43651</v>
      </c>
      <c r="C431" s="1" t="n">
        <v>45822</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35283-2019</t>
        </is>
      </c>
      <c r="B432" s="1" t="n">
        <v>43656</v>
      </c>
      <c r="C432" s="1" t="n">
        <v>45822</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35284-2019</t>
        </is>
      </c>
      <c r="B433" s="1" t="n">
        <v>43656</v>
      </c>
      <c r="C433" s="1" t="n">
        <v>45822</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35285-2019</t>
        </is>
      </c>
      <c r="B434" s="1" t="n">
        <v>43656</v>
      </c>
      <c r="C434" s="1" t="n">
        <v>45822</v>
      </c>
      <c r="D434" t="inlineStr">
        <is>
          <t>KALMAR LÄN</t>
        </is>
      </c>
      <c r="E434" t="inlineStr">
        <is>
          <t>VÄSTERVIK</t>
        </is>
      </c>
      <c r="G434" t="n">
        <v>5.7</v>
      </c>
      <c r="H434" t="n">
        <v>0</v>
      </c>
      <c r="I434" t="n">
        <v>0</v>
      </c>
      <c r="J434" t="n">
        <v>0</v>
      </c>
      <c r="K434" t="n">
        <v>0</v>
      </c>
      <c r="L434" t="n">
        <v>0</v>
      </c>
      <c r="M434" t="n">
        <v>0</v>
      </c>
      <c r="N434" t="n">
        <v>0</v>
      </c>
      <c r="O434" t="n">
        <v>0</v>
      </c>
      <c r="P434" t="n">
        <v>0</v>
      </c>
      <c r="Q434" t="n">
        <v>0</v>
      </c>
      <c r="R434" s="2" t="inlineStr"/>
    </row>
    <row r="435" ht="15" customHeight="1">
      <c r="A435" t="inlineStr">
        <is>
          <t>A 37615-2019</t>
        </is>
      </c>
      <c r="B435" s="1" t="n">
        <v>43681</v>
      </c>
      <c r="C435" s="1" t="n">
        <v>45822</v>
      </c>
      <c r="D435" t="inlineStr">
        <is>
          <t>KALMAR LÄN</t>
        </is>
      </c>
      <c r="E435" t="inlineStr">
        <is>
          <t>VÄSTERVIK</t>
        </is>
      </c>
      <c r="G435" t="n">
        <v>3.9</v>
      </c>
      <c r="H435" t="n">
        <v>0</v>
      </c>
      <c r="I435" t="n">
        <v>0</v>
      </c>
      <c r="J435" t="n">
        <v>0</v>
      </c>
      <c r="K435" t="n">
        <v>0</v>
      </c>
      <c r="L435" t="n">
        <v>0</v>
      </c>
      <c r="M435" t="n">
        <v>0</v>
      </c>
      <c r="N435" t="n">
        <v>0</v>
      </c>
      <c r="O435" t="n">
        <v>0</v>
      </c>
      <c r="P435" t="n">
        <v>0</v>
      </c>
      <c r="Q435" t="n">
        <v>0</v>
      </c>
      <c r="R435" s="2" t="inlineStr"/>
    </row>
    <row r="436" ht="15" customHeight="1">
      <c r="A436" t="inlineStr">
        <is>
          <t>A 37983-2019</t>
        </is>
      </c>
      <c r="B436" s="1" t="n">
        <v>43683</v>
      </c>
      <c r="C436" s="1" t="n">
        <v>45822</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37920-2019</t>
        </is>
      </c>
      <c r="B437" s="1" t="n">
        <v>43683</v>
      </c>
      <c r="C437" s="1" t="n">
        <v>45822</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38229-2019</t>
        </is>
      </c>
      <c r="B438" s="1" t="n">
        <v>43684</v>
      </c>
      <c r="C438" s="1" t="n">
        <v>45822</v>
      </c>
      <c r="D438" t="inlineStr">
        <is>
          <t>KALMAR LÄN</t>
        </is>
      </c>
      <c r="E438" t="inlineStr">
        <is>
          <t>VÄSTERVIK</t>
        </is>
      </c>
      <c r="G438" t="n">
        <v>1.1</v>
      </c>
      <c r="H438" t="n">
        <v>0</v>
      </c>
      <c r="I438" t="n">
        <v>0</v>
      </c>
      <c r="J438" t="n">
        <v>0</v>
      </c>
      <c r="K438" t="n">
        <v>0</v>
      </c>
      <c r="L438" t="n">
        <v>0</v>
      </c>
      <c r="M438" t="n">
        <v>0</v>
      </c>
      <c r="N438" t="n">
        <v>0</v>
      </c>
      <c r="O438" t="n">
        <v>0</v>
      </c>
      <c r="P438" t="n">
        <v>0</v>
      </c>
      <c r="Q438" t="n">
        <v>0</v>
      </c>
      <c r="R438" s="2" t="inlineStr"/>
    </row>
    <row r="439" ht="15" customHeight="1">
      <c r="A439" t="inlineStr">
        <is>
          <t>A 38239-2019</t>
        </is>
      </c>
      <c r="B439" s="1" t="n">
        <v>43684</v>
      </c>
      <c r="C439" s="1" t="n">
        <v>45822</v>
      </c>
      <c r="D439" t="inlineStr">
        <is>
          <t>KALMAR LÄN</t>
        </is>
      </c>
      <c r="E439" t="inlineStr">
        <is>
          <t>VÄSTERVIK</t>
        </is>
      </c>
      <c r="G439" t="n">
        <v>1.4</v>
      </c>
      <c r="H439" t="n">
        <v>0</v>
      </c>
      <c r="I439" t="n">
        <v>0</v>
      </c>
      <c r="J439" t="n">
        <v>0</v>
      </c>
      <c r="K439" t="n">
        <v>0</v>
      </c>
      <c r="L439" t="n">
        <v>0</v>
      </c>
      <c r="M439" t="n">
        <v>0</v>
      </c>
      <c r="N439" t="n">
        <v>0</v>
      </c>
      <c r="O439" t="n">
        <v>0</v>
      </c>
      <c r="P439" t="n">
        <v>0</v>
      </c>
      <c r="Q439" t="n">
        <v>0</v>
      </c>
      <c r="R439" s="2" t="inlineStr"/>
    </row>
    <row r="440" ht="15" customHeight="1">
      <c r="A440" t="inlineStr">
        <is>
          <t>A 38904-2019</t>
        </is>
      </c>
      <c r="B440" s="1" t="n">
        <v>43689</v>
      </c>
      <c r="C440" s="1" t="n">
        <v>45822</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39696-2019</t>
        </is>
      </c>
      <c r="B441" s="1" t="n">
        <v>43691</v>
      </c>
      <c r="C441" s="1" t="n">
        <v>45822</v>
      </c>
      <c r="D441" t="inlineStr">
        <is>
          <t>KALMAR LÄN</t>
        </is>
      </c>
      <c r="E441" t="inlineStr">
        <is>
          <t>VÄSTERVIK</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39745-2019</t>
        </is>
      </c>
      <c r="B442" s="1" t="n">
        <v>43691</v>
      </c>
      <c r="C442" s="1" t="n">
        <v>45822</v>
      </c>
      <c r="D442" t="inlineStr">
        <is>
          <t>KALMAR LÄN</t>
        </is>
      </c>
      <c r="E442" t="inlineStr">
        <is>
          <t>VÄSTERVIK</t>
        </is>
      </c>
      <c r="G442" t="n">
        <v>2.1</v>
      </c>
      <c r="H442" t="n">
        <v>0</v>
      </c>
      <c r="I442" t="n">
        <v>0</v>
      </c>
      <c r="J442" t="n">
        <v>0</v>
      </c>
      <c r="K442" t="n">
        <v>0</v>
      </c>
      <c r="L442" t="n">
        <v>0</v>
      </c>
      <c r="M442" t="n">
        <v>0</v>
      </c>
      <c r="N442" t="n">
        <v>0</v>
      </c>
      <c r="O442" t="n">
        <v>0</v>
      </c>
      <c r="P442" t="n">
        <v>0</v>
      </c>
      <c r="Q442" t="n">
        <v>0</v>
      </c>
      <c r="R442" s="2" t="inlineStr"/>
    </row>
    <row r="443" ht="15" customHeight="1">
      <c r="A443" t="inlineStr">
        <is>
          <t>A 41961-2019</t>
        </is>
      </c>
      <c r="B443" s="1" t="n">
        <v>43698</v>
      </c>
      <c r="C443" s="1" t="n">
        <v>45822</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41728-2019</t>
        </is>
      </c>
      <c r="B444" s="1" t="n">
        <v>43699</v>
      </c>
      <c r="C444" s="1" t="n">
        <v>45822</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44467-2019</t>
        </is>
      </c>
      <c r="B445" s="1" t="n">
        <v>43711</v>
      </c>
      <c r="C445" s="1" t="n">
        <v>45822</v>
      </c>
      <c r="D445" t="inlineStr">
        <is>
          <t>KALMAR LÄN</t>
        </is>
      </c>
      <c r="E445" t="inlineStr">
        <is>
          <t>VÄSTERVIK</t>
        </is>
      </c>
      <c r="G445" t="n">
        <v>2.5</v>
      </c>
      <c r="H445" t="n">
        <v>0</v>
      </c>
      <c r="I445" t="n">
        <v>0</v>
      </c>
      <c r="J445" t="n">
        <v>0</v>
      </c>
      <c r="K445" t="n">
        <v>0</v>
      </c>
      <c r="L445" t="n">
        <v>0</v>
      </c>
      <c r="M445" t="n">
        <v>0</v>
      </c>
      <c r="N445" t="n">
        <v>0</v>
      </c>
      <c r="O445" t="n">
        <v>0</v>
      </c>
      <c r="P445" t="n">
        <v>0</v>
      </c>
      <c r="Q445" t="n">
        <v>0</v>
      </c>
      <c r="R445" s="2" t="inlineStr"/>
    </row>
    <row r="446" ht="15" customHeight="1">
      <c r="A446" t="inlineStr">
        <is>
          <t>A 44639-2019</t>
        </is>
      </c>
      <c r="B446" s="1" t="n">
        <v>43712</v>
      </c>
      <c r="C446" s="1" t="n">
        <v>45822</v>
      </c>
      <c r="D446" t="inlineStr">
        <is>
          <t>KALMAR LÄN</t>
        </is>
      </c>
      <c r="E446" t="inlineStr">
        <is>
          <t>VÄSTERVIK</t>
        </is>
      </c>
      <c r="F446" t="inlineStr">
        <is>
          <t>Övriga Aktiebolag</t>
        </is>
      </c>
      <c r="G446" t="n">
        <v>5.9</v>
      </c>
      <c r="H446" t="n">
        <v>0</v>
      </c>
      <c r="I446" t="n">
        <v>0</v>
      </c>
      <c r="J446" t="n">
        <v>0</v>
      </c>
      <c r="K446" t="n">
        <v>0</v>
      </c>
      <c r="L446" t="n">
        <v>0</v>
      </c>
      <c r="M446" t="n">
        <v>0</v>
      </c>
      <c r="N446" t="n">
        <v>0</v>
      </c>
      <c r="O446" t="n">
        <v>0</v>
      </c>
      <c r="P446" t="n">
        <v>0</v>
      </c>
      <c r="Q446" t="n">
        <v>0</v>
      </c>
      <c r="R446" s="2" t="inlineStr"/>
    </row>
    <row r="447" ht="15" customHeight="1">
      <c r="A447" t="inlineStr">
        <is>
          <t>A 46173-2019</t>
        </is>
      </c>
      <c r="B447" s="1" t="n">
        <v>43712</v>
      </c>
      <c r="C447" s="1" t="n">
        <v>45822</v>
      </c>
      <c r="D447" t="inlineStr">
        <is>
          <t>KALMAR LÄN</t>
        </is>
      </c>
      <c r="E447" t="inlineStr">
        <is>
          <t>VÄSTERVIK</t>
        </is>
      </c>
      <c r="G447" t="n">
        <v>4.2</v>
      </c>
      <c r="H447" t="n">
        <v>0</v>
      </c>
      <c r="I447" t="n">
        <v>0</v>
      </c>
      <c r="J447" t="n">
        <v>0</v>
      </c>
      <c r="K447" t="n">
        <v>0</v>
      </c>
      <c r="L447" t="n">
        <v>0</v>
      </c>
      <c r="M447" t="n">
        <v>0</v>
      </c>
      <c r="N447" t="n">
        <v>0</v>
      </c>
      <c r="O447" t="n">
        <v>0</v>
      </c>
      <c r="P447" t="n">
        <v>0</v>
      </c>
      <c r="Q447" t="n">
        <v>0</v>
      </c>
      <c r="R447" s="2" t="inlineStr"/>
    </row>
    <row r="448" ht="15" customHeight="1">
      <c r="A448" t="inlineStr">
        <is>
          <t>A 45162-2019</t>
        </is>
      </c>
      <c r="B448" s="1" t="n">
        <v>43713</v>
      </c>
      <c r="C448" s="1" t="n">
        <v>45822</v>
      </c>
      <c r="D448" t="inlineStr">
        <is>
          <t>KALMAR LÄN</t>
        </is>
      </c>
      <c r="E448" t="inlineStr">
        <is>
          <t>VÄSTERVIK</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45379-2019</t>
        </is>
      </c>
      <c r="B449" s="1" t="n">
        <v>43713</v>
      </c>
      <c r="C449" s="1" t="n">
        <v>45822</v>
      </c>
      <c r="D449" t="inlineStr">
        <is>
          <t>KALMAR LÄN</t>
        </is>
      </c>
      <c r="E449" t="inlineStr">
        <is>
          <t>VÄSTERVIK</t>
        </is>
      </c>
      <c r="G449" t="n">
        <v>6.3</v>
      </c>
      <c r="H449" t="n">
        <v>0</v>
      </c>
      <c r="I449" t="n">
        <v>0</v>
      </c>
      <c r="J449" t="n">
        <v>0</v>
      </c>
      <c r="K449" t="n">
        <v>0</v>
      </c>
      <c r="L449" t="n">
        <v>0</v>
      </c>
      <c r="M449" t="n">
        <v>0</v>
      </c>
      <c r="N449" t="n">
        <v>0</v>
      </c>
      <c r="O449" t="n">
        <v>0</v>
      </c>
      <c r="P449" t="n">
        <v>0</v>
      </c>
      <c r="Q449" t="n">
        <v>0</v>
      </c>
      <c r="R449" s="2" t="inlineStr"/>
    </row>
    <row r="450" ht="15" customHeight="1">
      <c r="A450" t="inlineStr">
        <is>
          <t>A 45386-2019</t>
        </is>
      </c>
      <c r="B450" s="1" t="n">
        <v>43713</v>
      </c>
      <c r="C450" s="1" t="n">
        <v>45822</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45757-2019</t>
        </is>
      </c>
      <c r="B451" s="1" t="n">
        <v>43717</v>
      </c>
      <c r="C451" s="1" t="n">
        <v>45822</v>
      </c>
      <c r="D451" t="inlineStr">
        <is>
          <t>KALMAR LÄN</t>
        </is>
      </c>
      <c r="E451" t="inlineStr">
        <is>
          <t>VÄSTERVIK</t>
        </is>
      </c>
      <c r="G451" t="n">
        <v>2.2</v>
      </c>
      <c r="H451" t="n">
        <v>0</v>
      </c>
      <c r="I451" t="n">
        <v>0</v>
      </c>
      <c r="J451" t="n">
        <v>0</v>
      </c>
      <c r="K451" t="n">
        <v>0</v>
      </c>
      <c r="L451" t="n">
        <v>0</v>
      </c>
      <c r="M451" t="n">
        <v>0</v>
      </c>
      <c r="N451" t="n">
        <v>0</v>
      </c>
      <c r="O451" t="n">
        <v>0</v>
      </c>
      <c r="P451" t="n">
        <v>0</v>
      </c>
      <c r="Q451" t="n">
        <v>0</v>
      </c>
      <c r="R451" s="2" t="inlineStr"/>
    </row>
    <row r="452" ht="15" customHeight="1">
      <c r="A452" t="inlineStr">
        <is>
          <t>A 45772-2019</t>
        </is>
      </c>
      <c r="B452" s="1" t="n">
        <v>43717</v>
      </c>
      <c r="C452" s="1" t="n">
        <v>45822</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45897-2019</t>
        </is>
      </c>
      <c r="B453" s="1" t="n">
        <v>43717</v>
      </c>
      <c r="C453" s="1" t="n">
        <v>45822</v>
      </c>
      <c r="D453" t="inlineStr">
        <is>
          <t>KALMAR LÄN</t>
        </is>
      </c>
      <c r="E453" t="inlineStr">
        <is>
          <t>VÄSTERVIK</t>
        </is>
      </c>
      <c r="G453" t="n">
        <v>1.7</v>
      </c>
      <c r="H453" t="n">
        <v>0</v>
      </c>
      <c r="I453" t="n">
        <v>0</v>
      </c>
      <c r="J453" t="n">
        <v>0</v>
      </c>
      <c r="K453" t="n">
        <v>0</v>
      </c>
      <c r="L453" t="n">
        <v>0</v>
      </c>
      <c r="M453" t="n">
        <v>0</v>
      </c>
      <c r="N453" t="n">
        <v>0</v>
      </c>
      <c r="O453" t="n">
        <v>0</v>
      </c>
      <c r="P453" t="n">
        <v>0</v>
      </c>
      <c r="Q453" t="n">
        <v>0</v>
      </c>
      <c r="R453" s="2" t="inlineStr"/>
    </row>
    <row r="454" ht="15" customHeight="1">
      <c r="A454" t="inlineStr">
        <is>
          <t>A 46333-2019</t>
        </is>
      </c>
      <c r="B454" s="1" t="n">
        <v>43718</v>
      </c>
      <c r="C454" s="1" t="n">
        <v>45822</v>
      </c>
      <c r="D454" t="inlineStr">
        <is>
          <t>KALMAR LÄN</t>
        </is>
      </c>
      <c r="E454" t="inlineStr">
        <is>
          <t>VÄSTERVIK</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46942-2019</t>
        </is>
      </c>
      <c r="B455" s="1" t="n">
        <v>43719</v>
      </c>
      <c r="C455" s="1" t="n">
        <v>45822</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47434-2019</t>
        </is>
      </c>
      <c r="B456" s="1" t="n">
        <v>43723</v>
      </c>
      <c r="C456" s="1" t="n">
        <v>45822</v>
      </c>
      <c r="D456" t="inlineStr">
        <is>
          <t>KALMAR LÄN</t>
        </is>
      </c>
      <c r="E456" t="inlineStr">
        <is>
          <t>VÄSTERVIK</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47435-2019</t>
        </is>
      </c>
      <c r="B457" s="1" t="n">
        <v>43723</v>
      </c>
      <c r="C457" s="1" t="n">
        <v>45822</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47438-2019</t>
        </is>
      </c>
      <c r="B458" s="1" t="n">
        <v>43723</v>
      </c>
      <c r="C458" s="1" t="n">
        <v>45822</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47956-2019</t>
        </is>
      </c>
      <c r="B459" s="1" t="n">
        <v>43725</v>
      </c>
      <c r="C459" s="1" t="n">
        <v>45822</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47954-2019</t>
        </is>
      </c>
      <c r="B460" s="1" t="n">
        <v>43725</v>
      </c>
      <c r="C460" s="1" t="n">
        <v>45822</v>
      </c>
      <c r="D460" t="inlineStr">
        <is>
          <t>KALMAR LÄN</t>
        </is>
      </c>
      <c r="E460" t="inlineStr">
        <is>
          <t>VÄSTERVIK</t>
        </is>
      </c>
      <c r="G460" t="n">
        <v>6.8</v>
      </c>
      <c r="H460" t="n">
        <v>0</v>
      </c>
      <c r="I460" t="n">
        <v>0</v>
      </c>
      <c r="J460" t="n">
        <v>0</v>
      </c>
      <c r="K460" t="n">
        <v>0</v>
      </c>
      <c r="L460" t="n">
        <v>0</v>
      </c>
      <c r="M460" t="n">
        <v>0</v>
      </c>
      <c r="N460" t="n">
        <v>0</v>
      </c>
      <c r="O460" t="n">
        <v>0</v>
      </c>
      <c r="P460" t="n">
        <v>0</v>
      </c>
      <c r="Q460" t="n">
        <v>0</v>
      </c>
      <c r="R460" s="2" t="inlineStr"/>
    </row>
    <row r="461" ht="15" customHeight="1">
      <c r="A461" t="inlineStr">
        <is>
          <t>A 48357-2019</t>
        </is>
      </c>
      <c r="B461" s="1" t="n">
        <v>43726</v>
      </c>
      <c r="C461" s="1" t="n">
        <v>45822</v>
      </c>
      <c r="D461" t="inlineStr">
        <is>
          <t>KALMAR LÄN</t>
        </is>
      </c>
      <c r="E461" t="inlineStr">
        <is>
          <t>VÄSTERVIK</t>
        </is>
      </c>
      <c r="G461" t="n">
        <v>0.6</v>
      </c>
      <c r="H461" t="n">
        <v>0</v>
      </c>
      <c r="I461" t="n">
        <v>0</v>
      </c>
      <c r="J461" t="n">
        <v>0</v>
      </c>
      <c r="K461" t="n">
        <v>0</v>
      </c>
      <c r="L461" t="n">
        <v>0</v>
      </c>
      <c r="M461" t="n">
        <v>0</v>
      </c>
      <c r="N461" t="n">
        <v>0</v>
      </c>
      <c r="O461" t="n">
        <v>0</v>
      </c>
      <c r="P461" t="n">
        <v>0</v>
      </c>
      <c r="Q461" t="n">
        <v>0</v>
      </c>
      <c r="R461" s="2" t="inlineStr"/>
    </row>
    <row r="462" ht="15" customHeight="1">
      <c r="A462" t="inlineStr">
        <is>
          <t>A 48982-2019</t>
        </is>
      </c>
      <c r="B462" s="1" t="n">
        <v>43729</v>
      </c>
      <c r="C462" s="1" t="n">
        <v>45822</v>
      </c>
      <c r="D462" t="inlineStr">
        <is>
          <t>KALMAR LÄN</t>
        </is>
      </c>
      <c r="E462" t="inlineStr">
        <is>
          <t>VÄSTERVIK</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48981-2019</t>
        </is>
      </c>
      <c r="B463" s="1" t="n">
        <v>43729</v>
      </c>
      <c r="C463" s="1" t="n">
        <v>45822</v>
      </c>
      <c r="D463" t="inlineStr">
        <is>
          <t>KALMAR LÄN</t>
        </is>
      </c>
      <c r="E463" t="inlineStr">
        <is>
          <t>VÄSTERVIK</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48983-2019</t>
        </is>
      </c>
      <c r="B464" s="1" t="n">
        <v>43729</v>
      </c>
      <c r="C464" s="1" t="n">
        <v>45822</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50461-2019</t>
        </is>
      </c>
      <c r="B465" s="1" t="n">
        <v>43735</v>
      </c>
      <c r="C465" s="1" t="n">
        <v>45822</v>
      </c>
      <c r="D465" t="inlineStr">
        <is>
          <t>KALMAR LÄN</t>
        </is>
      </c>
      <c r="E465" t="inlineStr">
        <is>
          <t>VÄSTERVIK</t>
        </is>
      </c>
      <c r="G465" t="n">
        <v>5.1</v>
      </c>
      <c r="H465" t="n">
        <v>0</v>
      </c>
      <c r="I465" t="n">
        <v>0</v>
      </c>
      <c r="J465" t="n">
        <v>0</v>
      </c>
      <c r="K465" t="n">
        <v>0</v>
      </c>
      <c r="L465" t="n">
        <v>0</v>
      </c>
      <c r="M465" t="n">
        <v>0</v>
      </c>
      <c r="N465" t="n">
        <v>0</v>
      </c>
      <c r="O465" t="n">
        <v>0</v>
      </c>
      <c r="P465" t="n">
        <v>0</v>
      </c>
      <c r="Q465" t="n">
        <v>0</v>
      </c>
      <c r="R465" s="2" t="inlineStr"/>
    </row>
    <row r="466" ht="15" customHeight="1">
      <c r="A466" t="inlineStr">
        <is>
          <t>A 50627-2019</t>
        </is>
      </c>
      <c r="B466" s="1" t="n">
        <v>43736</v>
      </c>
      <c r="C466" s="1" t="n">
        <v>45822</v>
      </c>
      <c r="D466" t="inlineStr">
        <is>
          <t>KALMAR LÄN</t>
        </is>
      </c>
      <c r="E466" t="inlineStr">
        <is>
          <t>VÄSTERVIK</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50626-2019</t>
        </is>
      </c>
      <c r="B467" s="1" t="n">
        <v>43736</v>
      </c>
      <c r="C467" s="1" t="n">
        <v>45822</v>
      </c>
      <c r="D467" t="inlineStr">
        <is>
          <t>KALMAR LÄN</t>
        </is>
      </c>
      <c r="E467" t="inlineStr">
        <is>
          <t>VÄSTERVIK</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51408-2019</t>
        </is>
      </c>
      <c r="B468" s="1" t="n">
        <v>43740</v>
      </c>
      <c r="C468" s="1" t="n">
        <v>45822</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52292-2019</t>
        </is>
      </c>
      <c r="B469" s="1" t="n">
        <v>43744</v>
      </c>
      <c r="C469" s="1" t="n">
        <v>45822</v>
      </c>
      <c r="D469" t="inlineStr">
        <is>
          <t>KALMAR LÄN</t>
        </is>
      </c>
      <c r="E469" t="inlineStr">
        <is>
          <t>VÄSTERVIK</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52527-2019</t>
        </is>
      </c>
      <c r="B470" s="1" t="n">
        <v>43745</v>
      </c>
      <c r="C470" s="1" t="n">
        <v>45822</v>
      </c>
      <c r="D470" t="inlineStr">
        <is>
          <t>KALMAR LÄN</t>
        </is>
      </c>
      <c r="E470" t="inlineStr">
        <is>
          <t>VÄSTERVIK</t>
        </is>
      </c>
      <c r="G470" t="n">
        <v>0.3</v>
      </c>
      <c r="H470" t="n">
        <v>0</v>
      </c>
      <c r="I470" t="n">
        <v>0</v>
      </c>
      <c r="J470" t="n">
        <v>0</v>
      </c>
      <c r="K470" t="n">
        <v>0</v>
      </c>
      <c r="L470" t="n">
        <v>0</v>
      </c>
      <c r="M470" t="n">
        <v>0</v>
      </c>
      <c r="N470" t="n">
        <v>0</v>
      </c>
      <c r="O470" t="n">
        <v>0</v>
      </c>
      <c r="P470" t="n">
        <v>0</v>
      </c>
      <c r="Q470" t="n">
        <v>0</v>
      </c>
      <c r="R470" s="2" t="inlineStr"/>
    </row>
    <row r="471" ht="15" customHeight="1">
      <c r="A471" t="inlineStr">
        <is>
          <t>A 53714-2019</t>
        </is>
      </c>
      <c r="B471" s="1" t="n">
        <v>43749</v>
      </c>
      <c r="C471" s="1" t="n">
        <v>45822</v>
      </c>
      <c r="D471" t="inlineStr">
        <is>
          <t>KALMAR LÄN</t>
        </is>
      </c>
      <c r="E471" t="inlineStr">
        <is>
          <t>VÄSTERVIK</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53546-2019</t>
        </is>
      </c>
      <c r="B472" s="1" t="n">
        <v>43749</v>
      </c>
      <c r="C472" s="1" t="n">
        <v>45822</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54591-2019</t>
        </is>
      </c>
      <c r="B473" s="1" t="n">
        <v>43754</v>
      </c>
      <c r="C473" s="1" t="n">
        <v>45822</v>
      </c>
      <c r="D473" t="inlineStr">
        <is>
          <t>KALMAR LÄN</t>
        </is>
      </c>
      <c r="E473" t="inlineStr">
        <is>
          <t>VÄSTERVIK</t>
        </is>
      </c>
      <c r="G473" t="n">
        <v>0.5</v>
      </c>
      <c r="H473" t="n">
        <v>0</v>
      </c>
      <c r="I473" t="n">
        <v>0</v>
      </c>
      <c r="J473" t="n">
        <v>0</v>
      </c>
      <c r="K473" t="n">
        <v>0</v>
      </c>
      <c r="L473" t="n">
        <v>0</v>
      </c>
      <c r="M473" t="n">
        <v>0</v>
      </c>
      <c r="N473" t="n">
        <v>0</v>
      </c>
      <c r="O473" t="n">
        <v>0</v>
      </c>
      <c r="P473" t="n">
        <v>0</v>
      </c>
      <c r="Q473" t="n">
        <v>0</v>
      </c>
      <c r="R473" s="2" t="inlineStr"/>
    </row>
    <row r="474" ht="15" customHeight="1">
      <c r="A474" t="inlineStr">
        <is>
          <t>A 54597-2019</t>
        </is>
      </c>
      <c r="B474" s="1" t="n">
        <v>43754</v>
      </c>
      <c r="C474" s="1" t="n">
        <v>45822</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57650-2019</t>
        </is>
      </c>
      <c r="B475" s="1" t="n">
        <v>43761</v>
      </c>
      <c r="C475" s="1" t="n">
        <v>45822</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57654-2019</t>
        </is>
      </c>
      <c r="B476" s="1" t="n">
        <v>43761</v>
      </c>
      <c r="C476" s="1" t="n">
        <v>45822</v>
      </c>
      <c r="D476" t="inlineStr">
        <is>
          <t>KALMAR LÄN</t>
        </is>
      </c>
      <c r="E476" t="inlineStr">
        <is>
          <t>VÄSTERVIK</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56580-2019</t>
        </is>
      </c>
      <c r="B477" s="1" t="n">
        <v>43763</v>
      </c>
      <c r="C477" s="1" t="n">
        <v>45822</v>
      </c>
      <c r="D477" t="inlineStr">
        <is>
          <t>KALMAR LÄN</t>
        </is>
      </c>
      <c r="E477" t="inlineStr">
        <is>
          <t>VÄSTERVIK</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57770-2019</t>
        </is>
      </c>
      <c r="B478" s="1" t="n">
        <v>43768</v>
      </c>
      <c r="C478" s="1" t="n">
        <v>45822</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58323-2019</t>
        </is>
      </c>
      <c r="B479" s="1" t="n">
        <v>43770</v>
      </c>
      <c r="C479" s="1" t="n">
        <v>45822</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58386-2019</t>
        </is>
      </c>
      <c r="B480" s="1" t="n">
        <v>43772</v>
      </c>
      <c r="C480" s="1" t="n">
        <v>45822</v>
      </c>
      <c r="D480" t="inlineStr">
        <is>
          <t>KALMAR LÄN</t>
        </is>
      </c>
      <c r="E480" t="inlineStr">
        <is>
          <t>VÄSTERVIK</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58658-2019</t>
        </is>
      </c>
      <c r="B481" s="1" t="n">
        <v>43773</v>
      </c>
      <c r="C481" s="1" t="n">
        <v>45822</v>
      </c>
      <c r="D481" t="inlineStr">
        <is>
          <t>KALMAR LÄN</t>
        </is>
      </c>
      <c r="E481" t="inlineStr">
        <is>
          <t>VÄSTERVIK</t>
        </is>
      </c>
      <c r="F481" t="inlineStr">
        <is>
          <t>Kyrkan</t>
        </is>
      </c>
      <c r="G481" t="n">
        <v>2.9</v>
      </c>
      <c r="H481" t="n">
        <v>0</v>
      </c>
      <c r="I481" t="n">
        <v>0</v>
      </c>
      <c r="J481" t="n">
        <v>0</v>
      </c>
      <c r="K481" t="n">
        <v>0</v>
      </c>
      <c r="L481" t="n">
        <v>0</v>
      </c>
      <c r="M481" t="n">
        <v>0</v>
      </c>
      <c r="N481" t="n">
        <v>0</v>
      </c>
      <c r="O481" t="n">
        <v>0</v>
      </c>
      <c r="P481" t="n">
        <v>0</v>
      </c>
      <c r="Q481" t="n">
        <v>0</v>
      </c>
      <c r="R481" s="2" t="inlineStr"/>
    </row>
    <row r="482" ht="15" customHeight="1">
      <c r="A482" t="inlineStr">
        <is>
          <t>A 59753-2019</t>
        </is>
      </c>
      <c r="B482" s="1" t="n">
        <v>43776</v>
      </c>
      <c r="C482" s="1" t="n">
        <v>45822</v>
      </c>
      <c r="D482" t="inlineStr">
        <is>
          <t>KALMAR LÄN</t>
        </is>
      </c>
      <c r="E482" t="inlineStr">
        <is>
          <t>VÄSTERVIK</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59898-2019</t>
        </is>
      </c>
      <c r="B483" s="1" t="n">
        <v>43777</v>
      </c>
      <c r="C483" s="1" t="n">
        <v>45822</v>
      </c>
      <c r="D483" t="inlineStr">
        <is>
          <t>KALMAR LÄN</t>
        </is>
      </c>
      <c r="E483" t="inlineStr">
        <is>
          <t>VÄSTERVIK</t>
        </is>
      </c>
      <c r="G483" t="n">
        <v>3.6</v>
      </c>
      <c r="H483" t="n">
        <v>0</v>
      </c>
      <c r="I483" t="n">
        <v>0</v>
      </c>
      <c r="J483" t="n">
        <v>0</v>
      </c>
      <c r="K483" t="n">
        <v>0</v>
      </c>
      <c r="L483" t="n">
        <v>0</v>
      </c>
      <c r="M483" t="n">
        <v>0</v>
      </c>
      <c r="N483" t="n">
        <v>0</v>
      </c>
      <c r="O483" t="n">
        <v>0</v>
      </c>
      <c r="P483" t="n">
        <v>0</v>
      </c>
      <c r="Q483" t="n">
        <v>0</v>
      </c>
      <c r="R483" s="2" t="inlineStr"/>
    </row>
    <row r="484" ht="15" customHeight="1">
      <c r="A484" t="inlineStr">
        <is>
          <t>A 59892-2019</t>
        </is>
      </c>
      <c r="B484" s="1" t="n">
        <v>43777</v>
      </c>
      <c r="C484" s="1" t="n">
        <v>45822</v>
      </c>
      <c r="D484" t="inlineStr">
        <is>
          <t>KALMAR LÄN</t>
        </is>
      </c>
      <c r="E484" t="inlineStr">
        <is>
          <t>VÄSTERVIK</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59937-2019</t>
        </is>
      </c>
      <c r="B485" s="1" t="n">
        <v>43777</v>
      </c>
      <c r="C485" s="1" t="n">
        <v>45822</v>
      </c>
      <c r="D485" t="inlineStr">
        <is>
          <t>KALMAR LÄN</t>
        </is>
      </c>
      <c r="E485" t="inlineStr">
        <is>
          <t>VÄSTERVIK</t>
        </is>
      </c>
      <c r="G485" t="n">
        <v>4.8</v>
      </c>
      <c r="H485" t="n">
        <v>0</v>
      </c>
      <c r="I485" t="n">
        <v>0</v>
      </c>
      <c r="J485" t="n">
        <v>0</v>
      </c>
      <c r="K485" t="n">
        <v>0</v>
      </c>
      <c r="L485" t="n">
        <v>0</v>
      </c>
      <c r="M485" t="n">
        <v>0</v>
      </c>
      <c r="N485" t="n">
        <v>0</v>
      </c>
      <c r="O485" t="n">
        <v>0</v>
      </c>
      <c r="P485" t="n">
        <v>0</v>
      </c>
      <c r="Q485" t="n">
        <v>0</v>
      </c>
      <c r="R485" s="2" t="inlineStr"/>
    </row>
    <row r="486" ht="15" customHeight="1">
      <c r="A486" t="inlineStr">
        <is>
          <t>A 60707-2019</t>
        </is>
      </c>
      <c r="B486" s="1" t="n">
        <v>43781</v>
      </c>
      <c r="C486" s="1" t="n">
        <v>45822</v>
      </c>
      <c r="D486" t="inlineStr">
        <is>
          <t>KALMAR LÄN</t>
        </is>
      </c>
      <c r="E486" t="inlineStr">
        <is>
          <t>VÄSTERVIK</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61055-2019</t>
        </is>
      </c>
      <c r="B487" s="1" t="n">
        <v>43782</v>
      </c>
      <c r="C487" s="1" t="n">
        <v>45822</v>
      </c>
      <c r="D487" t="inlineStr">
        <is>
          <t>KALMAR LÄN</t>
        </is>
      </c>
      <c r="E487" t="inlineStr">
        <is>
          <t>VÄSTERVIK</t>
        </is>
      </c>
      <c r="G487" t="n">
        <v>2.8</v>
      </c>
      <c r="H487" t="n">
        <v>0</v>
      </c>
      <c r="I487" t="n">
        <v>0</v>
      </c>
      <c r="J487" t="n">
        <v>0</v>
      </c>
      <c r="K487" t="n">
        <v>0</v>
      </c>
      <c r="L487" t="n">
        <v>0</v>
      </c>
      <c r="M487" t="n">
        <v>0</v>
      </c>
      <c r="N487" t="n">
        <v>0</v>
      </c>
      <c r="O487" t="n">
        <v>0</v>
      </c>
      <c r="P487" t="n">
        <v>0</v>
      </c>
      <c r="Q487" t="n">
        <v>0</v>
      </c>
      <c r="R487" s="2" t="inlineStr"/>
    </row>
    <row r="488" ht="15" customHeight="1">
      <c r="A488" t="inlineStr">
        <is>
          <t>A 61708-2019</t>
        </is>
      </c>
      <c r="B488" s="1" t="n">
        <v>43784</v>
      </c>
      <c r="C488" s="1" t="n">
        <v>45822</v>
      </c>
      <c r="D488" t="inlineStr">
        <is>
          <t>KALMAR LÄN</t>
        </is>
      </c>
      <c r="E488" t="inlineStr">
        <is>
          <t>VÄSTERVIK</t>
        </is>
      </c>
      <c r="F488" t="inlineStr">
        <is>
          <t>Holmen skog AB</t>
        </is>
      </c>
      <c r="G488" t="n">
        <v>3.4</v>
      </c>
      <c r="H488" t="n">
        <v>0</v>
      </c>
      <c r="I488" t="n">
        <v>0</v>
      </c>
      <c r="J488" t="n">
        <v>0</v>
      </c>
      <c r="K488" t="n">
        <v>0</v>
      </c>
      <c r="L488" t="n">
        <v>0</v>
      </c>
      <c r="M488" t="n">
        <v>0</v>
      </c>
      <c r="N488" t="n">
        <v>0</v>
      </c>
      <c r="O488" t="n">
        <v>0</v>
      </c>
      <c r="P488" t="n">
        <v>0</v>
      </c>
      <c r="Q488" t="n">
        <v>0</v>
      </c>
      <c r="R488" s="2" t="inlineStr"/>
    </row>
    <row r="489" ht="15" customHeight="1">
      <c r="A489" t="inlineStr">
        <is>
          <t>A 62093-2019</t>
        </is>
      </c>
      <c r="B489" s="1" t="n">
        <v>43787</v>
      </c>
      <c r="C489" s="1" t="n">
        <v>45822</v>
      </c>
      <c r="D489" t="inlineStr">
        <is>
          <t>KALMAR LÄN</t>
        </is>
      </c>
      <c r="E489" t="inlineStr">
        <is>
          <t>VÄSTERVIK</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62046-2019</t>
        </is>
      </c>
      <c r="B490" s="1" t="n">
        <v>43787</v>
      </c>
      <c r="C490" s="1" t="n">
        <v>45822</v>
      </c>
      <c r="D490" t="inlineStr">
        <is>
          <t>KALMAR LÄN</t>
        </is>
      </c>
      <c r="E490" t="inlineStr">
        <is>
          <t>VÄSTERVIK</t>
        </is>
      </c>
      <c r="G490" t="n">
        <v>2.7</v>
      </c>
      <c r="H490" t="n">
        <v>0</v>
      </c>
      <c r="I490" t="n">
        <v>0</v>
      </c>
      <c r="J490" t="n">
        <v>0</v>
      </c>
      <c r="K490" t="n">
        <v>0</v>
      </c>
      <c r="L490" t="n">
        <v>0</v>
      </c>
      <c r="M490" t="n">
        <v>0</v>
      </c>
      <c r="N490" t="n">
        <v>0</v>
      </c>
      <c r="O490" t="n">
        <v>0</v>
      </c>
      <c r="P490" t="n">
        <v>0</v>
      </c>
      <c r="Q490" t="n">
        <v>0</v>
      </c>
      <c r="R490" s="2" t="inlineStr"/>
    </row>
    <row r="491" ht="15" customHeight="1">
      <c r="A491" t="inlineStr">
        <is>
          <t>A 62473-2019</t>
        </is>
      </c>
      <c r="B491" s="1" t="n">
        <v>43788</v>
      </c>
      <c r="C491" s="1" t="n">
        <v>45822</v>
      </c>
      <c r="D491" t="inlineStr">
        <is>
          <t>KALMAR LÄN</t>
        </is>
      </c>
      <c r="E491" t="inlineStr">
        <is>
          <t>VÄSTERVIK</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62660-2019</t>
        </is>
      </c>
      <c r="B492" s="1" t="n">
        <v>43789</v>
      </c>
      <c r="C492" s="1" t="n">
        <v>45822</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63090-2019</t>
        </is>
      </c>
      <c r="B493" s="1" t="n">
        <v>43791</v>
      </c>
      <c r="C493" s="1" t="n">
        <v>45822</v>
      </c>
      <c r="D493" t="inlineStr">
        <is>
          <t>KALMAR LÄN</t>
        </is>
      </c>
      <c r="E493" t="inlineStr">
        <is>
          <t>VÄSTERVIK</t>
        </is>
      </c>
      <c r="F493" t="inlineStr">
        <is>
          <t>Övriga Aktiebolag</t>
        </is>
      </c>
      <c r="G493" t="n">
        <v>5.8</v>
      </c>
      <c r="H493" t="n">
        <v>0</v>
      </c>
      <c r="I493" t="n">
        <v>0</v>
      </c>
      <c r="J493" t="n">
        <v>0</v>
      </c>
      <c r="K493" t="n">
        <v>0</v>
      </c>
      <c r="L493" t="n">
        <v>0</v>
      </c>
      <c r="M493" t="n">
        <v>0</v>
      </c>
      <c r="N493" t="n">
        <v>0</v>
      </c>
      <c r="O493" t="n">
        <v>0</v>
      </c>
      <c r="P493" t="n">
        <v>0</v>
      </c>
      <c r="Q493" t="n">
        <v>0</v>
      </c>
      <c r="R493" s="2" t="inlineStr"/>
    </row>
    <row r="494" ht="15" customHeight="1">
      <c r="A494" t="inlineStr">
        <is>
          <t>A 63385-2019</t>
        </is>
      </c>
      <c r="B494" s="1" t="n">
        <v>43794</v>
      </c>
      <c r="C494" s="1" t="n">
        <v>45822</v>
      </c>
      <c r="D494" t="inlineStr">
        <is>
          <t>KALMAR LÄN</t>
        </is>
      </c>
      <c r="E494" t="inlineStr">
        <is>
          <t>VÄSTERVIK</t>
        </is>
      </c>
      <c r="G494" t="n">
        <v>5.1</v>
      </c>
      <c r="H494" t="n">
        <v>0</v>
      </c>
      <c r="I494" t="n">
        <v>0</v>
      </c>
      <c r="J494" t="n">
        <v>0</v>
      </c>
      <c r="K494" t="n">
        <v>0</v>
      </c>
      <c r="L494" t="n">
        <v>0</v>
      </c>
      <c r="M494" t="n">
        <v>0</v>
      </c>
      <c r="N494" t="n">
        <v>0</v>
      </c>
      <c r="O494" t="n">
        <v>0</v>
      </c>
      <c r="P494" t="n">
        <v>0</v>
      </c>
      <c r="Q494" t="n">
        <v>0</v>
      </c>
      <c r="R494" s="2" t="inlineStr"/>
    </row>
    <row r="495" ht="15" customHeight="1">
      <c r="A495" t="inlineStr">
        <is>
          <t>A 64610-2019</t>
        </is>
      </c>
      <c r="B495" s="1" t="n">
        <v>43798</v>
      </c>
      <c r="C495" s="1" t="n">
        <v>45822</v>
      </c>
      <c r="D495" t="inlineStr">
        <is>
          <t>KALMAR LÄN</t>
        </is>
      </c>
      <c r="E495" t="inlineStr">
        <is>
          <t>VÄSTERVIK</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65604-2019</t>
        </is>
      </c>
      <c r="B496" s="1" t="n">
        <v>43804</v>
      </c>
      <c r="C496" s="1" t="n">
        <v>45822</v>
      </c>
      <c r="D496" t="inlineStr">
        <is>
          <t>KALMAR LÄN</t>
        </is>
      </c>
      <c r="E496" t="inlineStr">
        <is>
          <t>VÄSTERVIK</t>
        </is>
      </c>
      <c r="G496" t="n">
        <v>3.8</v>
      </c>
      <c r="H496" t="n">
        <v>0</v>
      </c>
      <c r="I496" t="n">
        <v>0</v>
      </c>
      <c r="J496" t="n">
        <v>0</v>
      </c>
      <c r="K496" t="n">
        <v>0</v>
      </c>
      <c r="L496" t="n">
        <v>0</v>
      </c>
      <c r="M496" t="n">
        <v>0</v>
      </c>
      <c r="N496" t="n">
        <v>0</v>
      </c>
      <c r="O496" t="n">
        <v>0</v>
      </c>
      <c r="P496" t="n">
        <v>0</v>
      </c>
      <c r="Q496" t="n">
        <v>0</v>
      </c>
      <c r="R496" s="2" t="inlineStr"/>
    </row>
    <row r="497" ht="15" customHeight="1">
      <c r="A497" t="inlineStr">
        <is>
          <t>A 66743-2019</t>
        </is>
      </c>
      <c r="B497" s="1" t="n">
        <v>43804</v>
      </c>
      <c r="C497" s="1" t="n">
        <v>45822</v>
      </c>
      <c r="D497" t="inlineStr">
        <is>
          <t>KALMAR LÄN</t>
        </is>
      </c>
      <c r="E497" t="inlineStr">
        <is>
          <t>VÄSTERVIK</t>
        </is>
      </c>
      <c r="G497" t="n">
        <v>1.3</v>
      </c>
      <c r="H497" t="n">
        <v>0</v>
      </c>
      <c r="I497" t="n">
        <v>0</v>
      </c>
      <c r="J497" t="n">
        <v>0</v>
      </c>
      <c r="K497" t="n">
        <v>0</v>
      </c>
      <c r="L497" t="n">
        <v>0</v>
      </c>
      <c r="M497" t="n">
        <v>0</v>
      </c>
      <c r="N497" t="n">
        <v>0</v>
      </c>
      <c r="O497" t="n">
        <v>0</v>
      </c>
      <c r="P497" t="n">
        <v>0</v>
      </c>
      <c r="Q497" t="n">
        <v>0</v>
      </c>
      <c r="R497" s="2" t="inlineStr"/>
      <c r="U497">
        <f>HYPERLINK("https://klasma.github.io/Logging_0883/knärot/A 66743-2019 karta knärot.png", "A 66743-2019")</f>
        <v/>
      </c>
      <c r="V497">
        <f>HYPERLINK("https://klasma.github.io/Logging_0883/klagomål/A 66743-2019 FSC-klagomål.docx", "A 66743-2019")</f>
        <v/>
      </c>
      <c r="W497">
        <f>HYPERLINK("https://klasma.github.io/Logging_0883/klagomålsmail/A 66743-2019 FSC-klagomål mail.docx", "A 66743-2019")</f>
        <v/>
      </c>
      <c r="X497">
        <f>HYPERLINK("https://klasma.github.io/Logging_0883/tillsyn/A 66743-2019 tillsynsbegäran.docx", "A 66743-2019")</f>
        <v/>
      </c>
      <c r="Y497">
        <f>HYPERLINK("https://klasma.github.io/Logging_0883/tillsynsmail/A 66743-2019 tillsynsbegäran mail.docx", "A 66743-2019")</f>
        <v/>
      </c>
    </row>
    <row r="498" ht="15" customHeight="1">
      <c r="A498" t="inlineStr">
        <is>
          <t>A 66279-2019</t>
        </is>
      </c>
      <c r="B498" s="1" t="n">
        <v>43808</v>
      </c>
      <c r="C498" s="1" t="n">
        <v>45822</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66232-2019</t>
        </is>
      </c>
      <c r="B499" s="1" t="n">
        <v>43808</v>
      </c>
      <c r="C499" s="1" t="n">
        <v>45822</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67407-2019</t>
        </is>
      </c>
      <c r="B500" s="1" t="n">
        <v>43812</v>
      </c>
      <c r="C500" s="1" t="n">
        <v>45822</v>
      </c>
      <c r="D500" t="inlineStr">
        <is>
          <t>KALMAR LÄN</t>
        </is>
      </c>
      <c r="E500" t="inlineStr">
        <is>
          <t>VÄSTERVIK</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68494-2019</t>
        </is>
      </c>
      <c r="B501" s="1" t="n">
        <v>43818</v>
      </c>
      <c r="C501" s="1" t="n">
        <v>45822</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68764-2019</t>
        </is>
      </c>
      <c r="B502" s="1" t="n">
        <v>43819</v>
      </c>
      <c r="C502" s="1" t="n">
        <v>45822</v>
      </c>
      <c r="D502" t="inlineStr">
        <is>
          <t>KALMAR LÄN</t>
        </is>
      </c>
      <c r="E502" t="inlineStr">
        <is>
          <t>VÄSTERVIK</t>
        </is>
      </c>
      <c r="F502" t="inlineStr">
        <is>
          <t>Holmen skog AB</t>
        </is>
      </c>
      <c r="G502" t="n">
        <v>0.6</v>
      </c>
      <c r="H502" t="n">
        <v>0</v>
      </c>
      <c r="I502" t="n">
        <v>0</v>
      </c>
      <c r="J502" t="n">
        <v>0</v>
      </c>
      <c r="K502" t="n">
        <v>0</v>
      </c>
      <c r="L502" t="n">
        <v>0</v>
      </c>
      <c r="M502" t="n">
        <v>0</v>
      </c>
      <c r="N502" t="n">
        <v>0</v>
      </c>
      <c r="O502" t="n">
        <v>0</v>
      </c>
      <c r="P502" t="n">
        <v>0</v>
      </c>
      <c r="Q502" t="n">
        <v>0</v>
      </c>
      <c r="R502" s="2" t="inlineStr"/>
    </row>
    <row r="503" ht="15" customHeight="1">
      <c r="A503" t="inlineStr">
        <is>
          <t>A 483-2020</t>
        </is>
      </c>
      <c r="B503" s="1" t="n">
        <v>43837</v>
      </c>
      <c r="C503" s="1" t="n">
        <v>45822</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777-2020</t>
        </is>
      </c>
      <c r="B504" s="1" t="n">
        <v>43838</v>
      </c>
      <c r="C504" s="1" t="n">
        <v>45822</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776-2020</t>
        </is>
      </c>
      <c r="B505" s="1" t="n">
        <v>43838</v>
      </c>
      <c r="C505" s="1" t="n">
        <v>45822</v>
      </c>
      <c r="D505" t="inlineStr">
        <is>
          <t>KALMAR LÄN</t>
        </is>
      </c>
      <c r="E505" t="inlineStr">
        <is>
          <t>VÄSTERVIK</t>
        </is>
      </c>
      <c r="G505" t="n">
        <v>2.2</v>
      </c>
      <c r="H505" t="n">
        <v>0</v>
      </c>
      <c r="I505" t="n">
        <v>0</v>
      </c>
      <c r="J505" t="n">
        <v>0</v>
      </c>
      <c r="K505" t="n">
        <v>0</v>
      </c>
      <c r="L505" t="n">
        <v>0</v>
      </c>
      <c r="M505" t="n">
        <v>0</v>
      </c>
      <c r="N505" t="n">
        <v>0</v>
      </c>
      <c r="O505" t="n">
        <v>0</v>
      </c>
      <c r="P505" t="n">
        <v>0</v>
      </c>
      <c r="Q505" t="n">
        <v>0</v>
      </c>
      <c r="R505" s="2" t="inlineStr"/>
    </row>
    <row r="506" ht="15" customHeight="1">
      <c r="A506" t="inlineStr">
        <is>
          <t>A 1989-2020</t>
        </is>
      </c>
      <c r="B506" s="1" t="n">
        <v>43838</v>
      </c>
      <c r="C506" s="1" t="n">
        <v>45822</v>
      </c>
      <c r="D506" t="inlineStr">
        <is>
          <t>KALMAR LÄN</t>
        </is>
      </c>
      <c r="E506" t="inlineStr">
        <is>
          <t>VÄSTERVIK</t>
        </is>
      </c>
      <c r="G506" t="n">
        <v>3.7</v>
      </c>
      <c r="H506" t="n">
        <v>0</v>
      </c>
      <c r="I506" t="n">
        <v>0</v>
      </c>
      <c r="J506" t="n">
        <v>0</v>
      </c>
      <c r="K506" t="n">
        <v>0</v>
      </c>
      <c r="L506" t="n">
        <v>0</v>
      </c>
      <c r="M506" t="n">
        <v>0</v>
      </c>
      <c r="N506" t="n">
        <v>0</v>
      </c>
      <c r="O506" t="n">
        <v>0</v>
      </c>
      <c r="P506" t="n">
        <v>0</v>
      </c>
      <c r="Q506" t="n">
        <v>0</v>
      </c>
      <c r="R506" s="2" t="inlineStr"/>
    </row>
    <row r="507" ht="15" customHeight="1">
      <c r="A507" t="inlineStr">
        <is>
          <t>A 2494-2020</t>
        </is>
      </c>
      <c r="B507" s="1" t="n">
        <v>43847</v>
      </c>
      <c r="C507" s="1" t="n">
        <v>45822</v>
      </c>
      <c r="D507" t="inlineStr">
        <is>
          <t>KALMAR LÄN</t>
        </is>
      </c>
      <c r="E507" t="inlineStr">
        <is>
          <t>VÄSTERVIK</t>
        </is>
      </c>
      <c r="G507" t="n">
        <v>0.8</v>
      </c>
      <c r="H507" t="n">
        <v>0</v>
      </c>
      <c r="I507" t="n">
        <v>0</v>
      </c>
      <c r="J507" t="n">
        <v>0</v>
      </c>
      <c r="K507" t="n">
        <v>0</v>
      </c>
      <c r="L507" t="n">
        <v>0</v>
      </c>
      <c r="M507" t="n">
        <v>0</v>
      </c>
      <c r="N507" t="n">
        <v>0</v>
      </c>
      <c r="O507" t="n">
        <v>0</v>
      </c>
      <c r="P507" t="n">
        <v>0</v>
      </c>
      <c r="Q507" t="n">
        <v>0</v>
      </c>
      <c r="R507" s="2" t="inlineStr"/>
    </row>
    <row r="508" ht="15" customHeight="1">
      <c r="A508" t="inlineStr">
        <is>
          <t>A 3739-2020</t>
        </is>
      </c>
      <c r="B508" s="1" t="n">
        <v>43853</v>
      </c>
      <c r="C508" s="1" t="n">
        <v>45822</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3934-2020</t>
        </is>
      </c>
      <c r="B509" s="1" t="n">
        <v>43854</v>
      </c>
      <c r="C509" s="1" t="n">
        <v>45822</v>
      </c>
      <c r="D509" t="inlineStr">
        <is>
          <t>KALMAR LÄN</t>
        </is>
      </c>
      <c r="E509" t="inlineStr">
        <is>
          <t>VÄSTERVIK</t>
        </is>
      </c>
      <c r="G509" t="n">
        <v>1.1</v>
      </c>
      <c r="H509" t="n">
        <v>0</v>
      </c>
      <c r="I509" t="n">
        <v>0</v>
      </c>
      <c r="J509" t="n">
        <v>0</v>
      </c>
      <c r="K509" t="n">
        <v>0</v>
      </c>
      <c r="L509" t="n">
        <v>0</v>
      </c>
      <c r="M509" t="n">
        <v>0</v>
      </c>
      <c r="N509" t="n">
        <v>0</v>
      </c>
      <c r="O509" t="n">
        <v>0</v>
      </c>
      <c r="P509" t="n">
        <v>0</v>
      </c>
      <c r="Q509" t="n">
        <v>0</v>
      </c>
      <c r="R509" s="2" t="inlineStr"/>
    </row>
    <row r="510" ht="15" customHeight="1">
      <c r="A510" t="inlineStr">
        <is>
          <t>A 4786-2020</t>
        </is>
      </c>
      <c r="B510" s="1" t="n">
        <v>43859</v>
      </c>
      <c r="C510" s="1" t="n">
        <v>45822</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4954-2020</t>
        </is>
      </c>
      <c r="B511" s="1" t="n">
        <v>43859</v>
      </c>
      <c r="C511" s="1" t="n">
        <v>45822</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4992-2020</t>
        </is>
      </c>
      <c r="B512" s="1" t="n">
        <v>43859</v>
      </c>
      <c r="C512" s="1" t="n">
        <v>45822</v>
      </c>
      <c r="D512" t="inlineStr">
        <is>
          <t>KALMAR LÄN</t>
        </is>
      </c>
      <c r="E512" t="inlineStr">
        <is>
          <t>VÄSTERVIK</t>
        </is>
      </c>
      <c r="G512" t="n">
        <v>1.4</v>
      </c>
      <c r="H512" t="n">
        <v>0</v>
      </c>
      <c r="I512" t="n">
        <v>0</v>
      </c>
      <c r="J512" t="n">
        <v>0</v>
      </c>
      <c r="K512" t="n">
        <v>0</v>
      </c>
      <c r="L512" t="n">
        <v>0</v>
      </c>
      <c r="M512" t="n">
        <v>0</v>
      </c>
      <c r="N512" t="n">
        <v>0</v>
      </c>
      <c r="O512" t="n">
        <v>0</v>
      </c>
      <c r="P512" t="n">
        <v>0</v>
      </c>
      <c r="Q512" t="n">
        <v>0</v>
      </c>
      <c r="R512" s="2" t="inlineStr"/>
    </row>
    <row r="513" ht="15" customHeight="1">
      <c r="A513" t="inlineStr">
        <is>
          <t>A 4939-2020</t>
        </is>
      </c>
      <c r="B513" s="1" t="n">
        <v>43859</v>
      </c>
      <c r="C513" s="1" t="n">
        <v>45822</v>
      </c>
      <c r="D513" t="inlineStr">
        <is>
          <t>KALMAR LÄN</t>
        </is>
      </c>
      <c r="E513" t="inlineStr">
        <is>
          <t>VÄSTERVIK</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5622-2020</t>
        </is>
      </c>
      <c r="B514" s="1" t="n">
        <v>43860</v>
      </c>
      <c r="C514" s="1" t="n">
        <v>45822</v>
      </c>
      <c r="D514" t="inlineStr">
        <is>
          <t>KALMAR LÄN</t>
        </is>
      </c>
      <c r="E514" t="inlineStr">
        <is>
          <t>VÄSTERVIK</t>
        </is>
      </c>
      <c r="G514" t="n">
        <v>1.6</v>
      </c>
      <c r="H514" t="n">
        <v>0</v>
      </c>
      <c r="I514" t="n">
        <v>0</v>
      </c>
      <c r="J514" t="n">
        <v>0</v>
      </c>
      <c r="K514" t="n">
        <v>0</v>
      </c>
      <c r="L514" t="n">
        <v>0</v>
      </c>
      <c r="M514" t="n">
        <v>0</v>
      </c>
      <c r="N514" t="n">
        <v>0</v>
      </c>
      <c r="O514" t="n">
        <v>0</v>
      </c>
      <c r="P514" t="n">
        <v>0</v>
      </c>
      <c r="Q514" t="n">
        <v>0</v>
      </c>
      <c r="R514" s="2" t="inlineStr"/>
    </row>
    <row r="515" ht="15" customHeight="1">
      <c r="A515" t="inlineStr">
        <is>
          <t>A 5637-2020</t>
        </is>
      </c>
      <c r="B515" s="1" t="n">
        <v>43860</v>
      </c>
      <c r="C515" s="1" t="n">
        <v>45822</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5629-2020</t>
        </is>
      </c>
      <c r="B516" s="1" t="n">
        <v>43860</v>
      </c>
      <c r="C516" s="1" t="n">
        <v>45822</v>
      </c>
      <c r="D516" t="inlineStr">
        <is>
          <t>KALMAR LÄN</t>
        </is>
      </c>
      <c r="E516" t="inlineStr">
        <is>
          <t>VÄSTERVIK</t>
        </is>
      </c>
      <c r="G516" t="n">
        <v>3.8</v>
      </c>
      <c r="H516" t="n">
        <v>0</v>
      </c>
      <c r="I516" t="n">
        <v>0</v>
      </c>
      <c r="J516" t="n">
        <v>0</v>
      </c>
      <c r="K516" t="n">
        <v>0</v>
      </c>
      <c r="L516" t="n">
        <v>0</v>
      </c>
      <c r="M516" t="n">
        <v>0</v>
      </c>
      <c r="N516" t="n">
        <v>0</v>
      </c>
      <c r="O516" t="n">
        <v>0</v>
      </c>
      <c r="P516" t="n">
        <v>0</v>
      </c>
      <c r="Q516" t="n">
        <v>0</v>
      </c>
      <c r="R516" s="2" t="inlineStr"/>
    </row>
    <row r="517" ht="15" customHeight="1">
      <c r="A517" t="inlineStr">
        <is>
          <t>A 5583-2020</t>
        </is>
      </c>
      <c r="B517" s="1" t="n">
        <v>43861</v>
      </c>
      <c r="C517" s="1" t="n">
        <v>45822</v>
      </c>
      <c r="D517" t="inlineStr">
        <is>
          <t>KALMAR LÄN</t>
        </is>
      </c>
      <c r="E517" t="inlineStr">
        <is>
          <t>VÄSTERVIK</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5594-2020</t>
        </is>
      </c>
      <c r="B518" s="1" t="n">
        <v>43861</v>
      </c>
      <c r="C518" s="1" t="n">
        <v>45822</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5697-2020</t>
        </is>
      </c>
      <c r="B519" s="1" t="n">
        <v>43861</v>
      </c>
      <c r="C519" s="1" t="n">
        <v>45822</v>
      </c>
      <c r="D519" t="inlineStr">
        <is>
          <t>KALMAR LÄN</t>
        </is>
      </c>
      <c r="E519" t="inlineStr">
        <is>
          <t>VÄSTERVIK</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5822-2020</t>
        </is>
      </c>
      <c r="B520" s="1" t="n">
        <v>43864</v>
      </c>
      <c r="C520" s="1" t="n">
        <v>45822</v>
      </c>
      <c r="D520" t="inlineStr">
        <is>
          <t>KALMAR LÄN</t>
        </is>
      </c>
      <c r="E520" t="inlineStr">
        <is>
          <t>VÄSTERVIK</t>
        </is>
      </c>
      <c r="G520" t="n">
        <v>1.5</v>
      </c>
      <c r="H520" t="n">
        <v>0</v>
      </c>
      <c r="I520" t="n">
        <v>0</v>
      </c>
      <c r="J520" t="n">
        <v>0</v>
      </c>
      <c r="K520" t="n">
        <v>0</v>
      </c>
      <c r="L520" t="n">
        <v>0</v>
      </c>
      <c r="M520" t="n">
        <v>0</v>
      </c>
      <c r="N520" t="n">
        <v>0</v>
      </c>
      <c r="O520" t="n">
        <v>0</v>
      </c>
      <c r="P520" t="n">
        <v>0</v>
      </c>
      <c r="Q520" t="n">
        <v>0</v>
      </c>
      <c r="R520" s="2" t="inlineStr"/>
    </row>
    <row r="521" ht="15" customHeight="1">
      <c r="A521" t="inlineStr">
        <is>
          <t>A 6425-2020</t>
        </is>
      </c>
      <c r="B521" s="1" t="n">
        <v>43865</v>
      </c>
      <c r="C521" s="1" t="n">
        <v>45822</v>
      </c>
      <c r="D521" t="inlineStr">
        <is>
          <t>KALMAR LÄN</t>
        </is>
      </c>
      <c r="E521" t="inlineStr">
        <is>
          <t>VÄSTERVIK</t>
        </is>
      </c>
      <c r="G521" t="n">
        <v>2.1</v>
      </c>
      <c r="H521" t="n">
        <v>0</v>
      </c>
      <c r="I521" t="n">
        <v>0</v>
      </c>
      <c r="J521" t="n">
        <v>0</v>
      </c>
      <c r="K521" t="n">
        <v>0</v>
      </c>
      <c r="L521" t="n">
        <v>0</v>
      </c>
      <c r="M521" t="n">
        <v>0</v>
      </c>
      <c r="N521" t="n">
        <v>0</v>
      </c>
      <c r="O521" t="n">
        <v>0</v>
      </c>
      <c r="P521" t="n">
        <v>0</v>
      </c>
      <c r="Q521" t="n">
        <v>0</v>
      </c>
      <c r="R521" s="2" t="inlineStr"/>
    </row>
    <row r="522" ht="15" customHeight="1">
      <c r="A522" t="inlineStr">
        <is>
          <t>A 6391-2020</t>
        </is>
      </c>
      <c r="B522" s="1" t="n">
        <v>43866</v>
      </c>
      <c r="C522" s="1" t="n">
        <v>45822</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6387-2020</t>
        </is>
      </c>
      <c r="B523" s="1" t="n">
        <v>43866</v>
      </c>
      <c r="C523" s="1" t="n">
        <v>45822</v>
      </c>
      <c r="D523" t="inlineStr">
        <is>
          <t>KALMAR LÄN</t>
        </is>
      </c>
      <c r="E523" t="inlineStr">
        <is>
          <t>VÄSTERVIK</t>
        </is>
      </c>
      <c r="G523" t="n">
        <v>0.6</v>
      </c>
      <c r="H523" t="n">
        <v>0</v>
      </c>
      <c r="I523" t="n">
        <v>0</v>
      </c>
      <c r="J523" t="n">
        <v>0</v>
      </c>
      <c r="K523" t="n">
        <v>0</v>
      </c>
      <c r="L523" t="n">
        <v>0</v>
      </c>
      <c r="M523" t="n">
        <v>0</v>
      </c>
      <c r="N523" t="n">
        <v>0</v>
      </c>
      <c r="O523" t="n">
        <v>0</v>
      </c>
      <c r="P523" t="n">
        <v>0</v>
      </c>
      <c r="Q523" t="n">
        <v>0</v>
      </c>
      <c r="R523" s="2" t="inlineStr"/>
    </row>
    <row r="524" ht="15" customHeight="1">
      <c r="A524" t="inlineStr">
        <is>
          <t>A 7290-2020</t>
        </is>
      </c>
      <c r="B524" s="1" t="n">
        <v>43871</v>
      </c>
      <c r="C524" s="1" t="n">
        <v>45822</v>
      </c>
      <c r="D524" t="inlineStr">
        <is>
          <t>KALMAR LÄN</t>
        </is>
      </c>
      <c r="E524" t="inlineStr">
        <is>
          <t>VÄSTERVIK</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7660-2020</t>
        </is>
      </c>
      <c r="B525" s="1" t="n">
        <v>43872</v>
      </c>
      <c r="C525" s="1" t="n">
        <v>45822</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7652-2020</t>
        </is>
      </c>
      <c r="B526" s="1" t="n">
        <v>43872</v>
      </c>
      <c r="C526" s="1" t="n">
        <v>45822</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7727-2020</t>
        </is>
      </c>
      <c r="B527" s="1" t="n">
        <v>43872</v>
      </c>
      <c r="C527" s="1" t="n">
        <v>45822</v>
      </c>
      <c r="D527" t="inlineStr">
        <is>
          <t>KALMAR LÄN</t>
        </is>
      </c>
      <c r="E527" t="inlineStr">
        <is>
          <t>VÄSTERVIK</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8075-2020</t>
        </is>
      </c>
      <c r="B528" s="1" t="n">
        <v>43874</v>
      </c>
      <c r="C528" s="1" t="n">
        <v>45822</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8072-2020</t>
        </is>
      </c>
      <c r="B529" s="1" t="n">
        <v>43874</v>
      </c>
      <c r="C529" s="1" t="n">
        <v>45822</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9168-2020</t>
        </is>
      </c>
      <c r="B530" s="1" t="n">
        <v>43879</v>
      </c>
      <c r="C530" s="1" t="n">
        <v>45822</v>
      </c>
      <c r="D530" t="inlineStr">
        <is>
          <t>KALMAR LÄN</t>
        </is>
      </c>
      <c r="E530" t="inlineStr">
        <is>
          <t>VÄSTERVIK</t>
        </is>
      </c>
      <c r="G530" t="n">
        <v>1.5</v>
      </c>
      <c r="H530" t="n">
        <v>0</v>
      </c>
      <c r="I530" t="n">
        <v>0</v>
      </c>
      <c r="J530" t="n">
        <v>0</v>
      </c>
      <c r="K530" t="n">
        <v>0</v>
      </c>
      <c r="L530" t="n">
        <v>0</v>
      </c>
      <c r="M530" t="n">
        <v>0</v>
      </c>
      <c r="N530" t="n">
        <v>0</v>
      </c>
      <c r="O530" t="n">
        <v>0</v>
      </c>
      <c r="P530" t="n">
        <v>0</v>
      </c>
      <c r="Q530" t="n">
        <v>0</v>
      </c>
      <c r="R530" s="2" t="inlineStr"/>
    </row>
    <row r="531" ht="15" customHeight="1">
      <c r="A531" t="inlineStr">
        <is>
          <t>A 9166-2020</t>
        </is>
      </c>
      <c r="B531" s="1" t="n">
        <v>43879</v>
      </c>
      <c r="C531" s="1" t="n">
        <v>45822</v>
      </c>
      <c r="D531" t="inlineStr">
        <is>
          <t>KALMAR LÄN</t>
        </is>
      </c>
      <c r="E531" t="inlineStr">
        <is>
          <t>VÄSTERVIK</t>
        </is>
      </c>
      <c r="G531" t="n">
        <v>6.9</v>
      </c>
      <c r="H531" t="n">
        <v>0</v>
      </c>
      <c r="I531" t="n">
        <v>0</v>
      </c>
      <c r="J531" t="n">
        <v>0</v>
      </c>
      <c r="K531" t="n">
        <v>0</v>
      </c>
      <c r="L531" t="n">
        <v>0</v>
      </c>
      <c r="M531" t="n">
        <v>0</v>
      </c>
      <c r="N531" t="n">
        <v>0</v>
      </c>
      <c r="O531" t="n">
        <v>0</v>
      </c>
      <c r="P531" t="n">
        <v>0</v>
      </c>
      <c r="Q531" t="n">
        <v>0</v>
      </c>
      <c r="R531" s="2" t="inlineStr"/>
    </row>
    <row r="532" ht="15" customHeight="1">
      <c r="A532" t="inlineStr">
        <is>
          <t>A 9332-2020</t>
        </is>
      </c>
      <c r="B532" s="1" t="n">
        <v>43880</v>
      </c>
      <c r="C532" s="1" t="n">
        <v>45822</v>
      </c>
      <c r="D532" t="inlineStr">
        <is>
          <t>KALMAR LÄN</t>
        </is>
      </c>
      <c r="E532" t="inlineStr">
        <is>
          <t>VÄSTERVIK</t>
        </is>
      </c>
      <c r="G532" t="n">
        <v>1.4</v>
      </c>
      <c r="H532" t="n">
        <v>0</v>
      </c>
      <c r="I532" t="n">
        <v>0</v>
      </c>
      <c r="J532" t="n">
        <v>0</v>
      </c>
      <c r="K532" t="n">
        <v>0</v>
      </c>
      <c r="L532" t="n">
        <v>0</v>
      </c>
      <c r="M532" t="n">
        <v>0</v>
      </c>
      <c r="N532" t="n">
        <v>0</v>
      </c>
      <c r="O532" t="n">
        <v>0</v>
      </c>
      <c r="P532" t="n">
        <v>0</v>
      </c>
      <c r="Q532" t="n">
        <v>0</v>
      </c>
      <c r="R532" s="2" t="inlineStr"/>
    </row>
    <row r="533" ht="15" customHeight="1">
      <c r="A533" t="inlineStr">
        <is>
          <t>A 10373-2020</t>
        </is>
      </c>
      <c r="B533" s="1" t="n">
        <v>43885</v>
      </c>
      <c r="C533" s="1" t="n">
        <v>45822</v>
      </c>
      <c r="D533" t="inlineStr">
        <is>
          <t>KALMAR LÄN</t>
        </is>
      </c>
      <c r="E533" t="inlineStr">
        <is>
          <t>VÄSTERVIK</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11067-2020</t>
        </is>
      </c>
      <c r="B534" s="1" t="n">
        <v>43885</v>
      </c>
      <c r="C534" s="1" t="n">
        <v>45822</v>
      </c>
      <c r="D534" t="inlineStr">
        <is>
          <t>KALMAR LÄN</t>
        </is>
      </c>
      <c r="E534" t="inlineStr">
        <is>
          <t>VÄSTERVIK</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10482-2020</t>
        </is>
      </c>
      <c r="B535" s="1" t="n">
        <v>43886</v>
      </c>
      <c r="C535" s="1" t="n">
        <v>45822</v>
      </c>
      <c r="D535" t="inlineStr">
        <is>
          <t>KALMAR LÄN</t>
        </is>
      </c>
      <c r="E535" t="inlineStr">
        <is>
          <t>VÄSTERVIK</t>
        </is>
      </c>
      <c r="G535" t="n">
        <v>1.2</v>
      </c>
      <c r="H535" t="n">
        <v>0</v>
      </c>
      <c r="I535" t="n">
        <v>0</v>
      </c>
      <c r="J535" t="n">
        <v>0</v>
      </c>
      <c r="K535" t="n">
        <v>0</v>
      </c>
      <c r="L535" t="n">
        <v>0</v>
      </c>
      <c r="M535" t="n">
        <v>0</v>
      </c>
      <c r="N535" t="n">
        <v>0</v>
      </c>
      <c r="O535" t="n">
        <v>0</v>
      </c>
      <c r="P535" t="n">
        <v>0</v>
      </c>
      <c r="Q535" t="n">
        <v>0</v>
      </c>
      <c r="R535" s="2" t="inlineStr"/>
    </row>
    <row r="536" ht="15" customHeight="1">
      <c r="A536" t="inlineStr">
        <is>
          <t>A 10173-2020</t>
        </is>
      </c>
      <c r="B536" s="1" t="n">
        <v>43886</v>
      </c>
      <c r="C536" s="1" t="n">
        <v>45822</v>
      </c>
      <c r="D536" t="inlineStr">
        <is>
          <t>KALMAR LÄN</t>
        </is>
      </c>
      <c r="E536" t="inlineStr">
        <is>
          <t>VÄSTERVIK</t>
        </is>
      </c>
      <c r="G536" t="n">
        <v>1.7</v>
      </c>
      <c r="H536" t="n">
        <v>0</v>
      </c>
      <c r="I536" t="n">
        <v>0</v>
      </c>
      <c r="J536" t="n">
        <v>0</v>
      </c>
      <c r="K536" t="n">
        <v>0</v>
      </c>
      <c r="L536" t="n">
        <v>0</v>
      </c>
      <c r="M536" t="n">
        <v>0</v>
      </c>
      <c r="N536" t="n">
        <v>0</v>
      </c>
      <c r="O536" t="n">
        <v>0</v>
      </c>
      <c r="P536" t="n">
        <v>0</v>
      </c>
      <c r="Q536" t="n">
        <v>0</v>
      </c>
      <c r="R536" s="2" t="inlineStr"/>
    </row>
    <row r="537" ht="15" customHeight="1">
      <c r="A537" t="inlineStr">
        <is>
          <t>A 11253-2020</t>
        </is>
      </c>
      <c r="B537" s="1" t="n">
        <v>43892</v>
      </c>
      <c r="C537" s="1" t="n">
        <v>45822</v>
      </c>
      <c r="D537" t="inlineStr">
        <is>
          <t>KALMAR LÄN</t>
        </is>
      </c>
      <c r="E537" t="inlineStr">
        <is>
          <t>VÄSTERVIK</t>
        </is>
      </c>
      <c r="F537" t="inlineStr">
        <is>
          <t>Övriga Aktiebolag</t>
        </is>
      </c>
      <c r="G537" t="n">
        <v>4.6</v>
      </c>
      <c r="H537" t="n">
        <v>0</v>
      </c>
      <c r="I537" t="n">
        <v>0</v>
      </c>
      <c r="J537" t="n">
        <v>0</v>
      </c>
      <c r="K537" t="n">
        <v>0</v>
      </c>
      <c r="L537" t="n">
        <v>0</v>
      </c>
      <c r="M537" t="n">
        <v>0</v>
      </c>
      <c r="N537" t="n">
        <v>0</v>
      </c>
      <c r="O537" t="n">
        <v>0</v>
      </c>
      <c r="P537" t="n">
        <v>0</v>
      </c>
      <c r="Q537" t="n">
        <v>0</v>
      </c>
      <c r="R537" s="2" t="inlineStr"/>
    </row>
    <row r="538" ht="15" customHeight="1">
      <c r="A538" t="inlineStr">
        <is>
          <t>A 11248-2020</t>
        </is>
      </c>
      <c r="B538" s="1" t="n">
        <v>43892</v>
      </c>
      <c r="C538" s="1" t="n">
        <v>45822</v>
      </c>
      <c r="D538" t="inlineStr">
        <is>
          <t>KALMAR LÄN</t>
        </is>
      </c>
      <c r="E538" t="inlineStr">
        <is>
          <t>VÄSTERVIK</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11246-2020</t>
        </is>
      </c>
      <c r="B539" s="1" t="n">
        <v>43892</v>
      </c>
      <c r="C539" s="1" t="n">
        <v>45822</v>
      </c>
      <c r="D539" t="inlineStr">
        <is>
          <t>KALMAR LÄN</t>
        </is>
      </c>
      <c r="E539" t="inlineStr">
        <is>
          <t>VÄSTERVIK</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12430-2020</t>
        </is>
      </c>
      <c r="B540" s="1" t="n">
        <v>43896</v>
      </c>
      <c r="C540" s="1" t="n">
        <v>45822</v>
      </c>
      <c r="D540" t="inlineStr">
        <is>
          <t>KALMAR LÄN</t>
        </is>
      </c>
      <c r="E540" t="inlineStr">
        <is>
          <t>VÄSTERVIK</t>
        </is>
      </c>
      <c r="G540" t="n">
        <v>2.1</v>
      </c>
      <c r="H540" t="n">
        <v>0</v>
      </c>
      <c r="I540" t="n">
        <v>0</v>
      </c>
      <c r="J540" t="n">
        <v>0</v>
      </c>
      <c r="K540" t="n">
        <v>0</v>
      </c>
      <c r="L540" t="n">
        <v>0</v>
      </c>
      <c r="M540" t="n">
        <v>0</v>
      </c>
      <c r="N540" t="n">
        <v>0</v>
      </c>
      <c r="O540" t="n">
        <v>0</v>
      </c>
      <c r="P540" t="n">
        <v>0</v>
      </c>
      <c r="Q540" t="n">
        <v>0</v>
      </c>
      <c r="R540" s="2" t="inlineStr"/>
    </row>
    <row r="541" ht="15" customHeight="1">
      <c r="A541" t="inlineStr">
        <is>
          <t>A 12965-2020</t>
        </is>
      </c>
      <c r="B541" s="1" t="n">
        <v>43900</v>
      </c>
      <c r="C541" s="1" t="n">
        <v>45822</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13514-2020</t>
        </is>
      </c>
      <c r="B542" s="1" t="n">
        <v>43902</v>
      </c>
      <c r="C542" s="1" t="n">
        <v>45822</v>
      </c>
      <c r="D542" t="inlineStr">
        <is>
          <t>KALMAR LÄN</t>
        </is>
      </c>
      <c r="E542" t="inlineStr">
        <is>
          <t>VÄSTERVIK</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13526-2020</t>
        </is>
      </c>
      <c r="B543" s="1" t="n">
        <v>43902</v>
      </c>
      <c r="C543" s="1" t="n">
        <v>45822</v>
      </c>
      <c r="D543" t="inlineStr">
        <is>
          <t>KALMAR LÄN</t>
        </is>
      </c>
      <c r="E543" t="inlineStr">
        <is>
          <t>VÄSTERVIK</t>
        </is>
      </c>
      <c r="F543" t="inlineStr">
        <is>
          <t>Holmen skog AB</t>
        </is>
      </c>
      <c r="G543" t="n">
        <v>18.6</v>
      </c>
      <c r="H543" t="n">
        <v>0</v>
      </c>
      <c r="I543" t="n">
        <v>0</v>
      </c>
      <c r="J543" t="n">
        <v>0</v>
      </c>
      <c r="K543" t="n">
        <v>0</v>
      </c>
      <c r="L543" t="n">
        <v>0</v>
      </c>
      <c r="M543" t="n">
        <v>0</v>
      </c>
      <c r="N543" t="n">
        <v>0</v>
      </c>
      <c r="O543" t="n">
        <v>0</v>
      </c>
      <c r="P543" t="n">
        <v>0</v>
      </c>
      <c r="Q543" t="n">
        <v>0</v>
      </c>
      <c r="R543" s="2" t="inlineStr"/>
    </row>
    <row r="544" ht="15" customHeight="1">
      <c r="A544" t="inlineStr">
        <is>
          <t>A 13523-2020</t>
        </is>
      </c>
      <c r="B544" s="1" t="n">
        <v>43902</v>
      </c>
      <c r="C544" s="1" t="n">
        <v>45822</v>
      </c>
      <c r="D544" t="inlineStr">
        <is>
          <t>KALMAR LÄN</t>
        </is>
      </c>
      <c r="E544" t="inlineStr">
        <is>
          <t>VÄSTERVIK</t>
        </is>
      </c>
      <c r="F544" t="inlineStr">
        <is>
          <t>Holmen skog AB</t>
        </is>
      </c>
      <c r="G544" t="n">
        <v>3.8</v>
      </c>
      <c r="H544" t="n">
        <v>0</v>
      </c>
      <c r="I544" t="n">
        <v>0</v>
      </c>
      <c r="J544" t="n">
        <v>0</v>
      </c>
      <c r="K544" t="n">
        <v>0</v>
      </c>
      <c r="L544" t="n">
        <v>0</v>
      </c>
      <c r="M544" t="n">
        <v>0</v>
      </c>
      <c r="N544" t="n">
        <v>0</v>
      </c>
      <c r="O544" t="n">
        <v>0</v>
      </c>
      <c r="P544" t="n">
        <v>0</v>
      </c>
      <c r="Q544" t="n">
        <v>0</v>
      </c>
      <c r="R544" s="2" t="inlineStr"/>
    </row>
    <row r="545" ht="15" customHeight="1">
      <c r="A545" t="inlineStr">
        <is>
          <t>A 14889-2020</t>
        </is>
      </c>
      <c r="B545" s="1" t="n">
        <v>43906</v>
      </c>
      <c r="C545" s="1" t="n">
        <v>45822</v>
      </c>
      <c r="D545" t="inlineStr">
        <is>
          <t>KALMAR LÄN</t>
        </is>
      </c>
      <c r="E545" t="inlineStr">
        <is>
          <t>VÄSTERVIK</t>
        </is>
      </c>
      <c r="G545" t="n">
        <v>2.4</v>
      </c>
      <c r="H545" t="n">
        <v>0</v>
      </c>
      <c r="I545" t="n">
        <v>0</v>
      </c>
      <c r="J545" t="n">
        <v>0</v>
      </c>
      <c r="K545" t="n">
        <v>0</v>
      </c>
      <c r="L545" t="n">
        <v>0</v>
      </c>
      <c r="M545" t="n">
        <v>0</v>
      </c>
      <c r="N545" t="n">
        <v>0</v>
      </c>
      <c r="O545" t="n">
        <v>0</v>
      </c>
      <c r="P545" t="n">
        <v>0</v>
      </c>
      <c r="Q545" t="n">
        <v>0</v>
      </c>
      <c r="R545" s="2" t="inlineStr"/>
    </row>
    <row r="546" ht="15" customHeight="1">
      <c r="A546" t="inlineStr">
        <is>
          <t>A 14887-2020</t>
        </is>
      </c>
      <c r="B546" s="1" t="n">
        <v>43906</v>
      </c>
      <c r="C546" s="1" t="n">
        <v>45822</v>
      </c>
      <c r="D546" t="inlineStr">
        <is>
          <t>KALMAR LÄN</t>
        </is>
      </c>
      <c r="E546" t="inlineStr">
        <is>
          <t>VÄSTERVIK</t>
        </is>
      </c>
      <c r="G546" t="n">
        <v>3.3</v>
      </c>
      <c r="H546" t="n">
        <v>0</v>
      </c>
      <c r="I546" t="n">
        <v>0</v>
      </c>
      <c r="J546" t="n">
        <v>0</v>
      </c>
      <c r="K546" t="n">
        <v>0</v>
      </c>
      <c r="L546" t="n">
        <v>0</v>
      </c>
      <c r="M546" t="n">
        <v>0</v>
      </c>
      <c r="N546" t="n">
        <v>0</v>
      </c>
      <c r="O546" t="n">
        <v>0</v>
      </c>
      <c r="P546" t="n">
        <v>0</v>
      </c>
      <c r="Q546" t="n">
        <v>0</v>
      </c>
      <c r="R546" s="2" t="inlineStr"/>
    </row>
    <row r="547" ht="15" customHeight="1">
      <c r="A547" t="inlineStr">
        <is>
          <t>A 14891-2020</t>
        </is>
      </c>
      <c r="B547" s="1" t="n">
        <v>43906</v>
      </c>
      <c r="C547" s="1" t="n">
        <v>45822</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14456-2020</t>
        </is>
      </c>
      <c r="B548" s="1" t="n">
        <v>43908</v>
      </c>
      <c r="C548" s="1" t="n">
        <v>45822</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16580-2020</t>
        </is>
      </c>
      <c r="B549" s="1" t="n">
        <v>43908</v>
      </c>
      <c r="C549" s="1" t="n">
        <v>45822</v>
      </c>
      <c r="D549" t="inlineStr">
        <is>
          <t>KALMAR LÄN</t>
        </is>
      </c>
      <c r="E549" t="inlineStr">
        <is>
          <t>VÄSTERVIK</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19422-2020</t>
        </is>
      </c>
      <c r="B550" s="1" t="n">
        <v>43938</v>
      </c>
      <c r="C550" s="1" t="n">
        <v>45822</v>
      </c>
      <c r="D550" t="inlineStr">
        <is>
          <t>KALMAR LÄN</t>
        </is>
      </c>
      <c r="E550" t="inlineStr">
        <is>
          <t>VÄSTERVIK</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19437-2020</t>
        </is>
      </c>
      <c r="B551" s="1" t="n">
        <v>43938</v>
      </c>
      <c r="C551" s="1" t="n">
        <v>45822</v>
      </c>
      <c r="D551" t="inlineStr">
        <is>
          <t>KALMAR LÄN</t>
        </is>
      </c>
      <c r="E551" t="inlineStr">
        <is>
          <t>VÄSTERVIK</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19829-2020</t>
        </is>
      </c>
      <c r="B552" s="1" t="n">
        <v>43942</v>
      </c>
      <c r="C552" s="1" t="n">
        <v>45822</v>
      </c>
      <c r="D552" t="inlineStr">
        <is>
          <t>KALMAR LÄN</t>
        </is>
      </c>
      <c r="E552" t="inlineStr">
        <is>
          <t>VÄSTERVIK</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20408-2020</t>
        </is>
      </c>
      <c r="B553" s="1" t="n">
        <v>43945</v>
      </c>
      <c r="C553" s="1" t="n">
        <v>45822</v>
      </c>
      <c r="D553" t="inlineStr">
        <is>
          <t>KALMAR LÄN</t>
        </is>
      </c>
      <c r="E553" t="inlineStr">
        <is>
          <t>VÄSTERVIK</t>
        </is>
      </c>
      <c r="G553" t="n">
        <v>1.6</v>
      </c>
      <c r="H553" t="n">
        <v>0</v>
      </c>
      <c r="I553" t="n">
        <v>0</v>
      </c>
      <c r="J553" t="n">
        <v>0</v>
      </c>
      <c r="K553" t="n">
        <v>0</v>
      </c>
      <c r="L553" t="n">
        <v>0</v>
      </c>
      <c r="M553" t="n">
        <v>0</v>
      </c>
      <c r="N553" t="n">
        <v>0</v>
      </c>
      <c r="O553" t="n">
        <v>0</v>
      </c>
      <c r="P553" t="n">
        <v>0</v>
      </c>
      <c r="Q553" t="n">
        <v>0</v>
      </c>
      <c r="R553" s="2" t="inlineStr"/>
    </row>
    <row r="554" ht="15" customHeight="1">
      <c r="A554" t="inlineStr">
        <is>
          <t>A 20411-2020</t>
        </is>
      </c>
      <c r="B554" s="1" t="n">
        <v>43945</v>
      </c>
      <c r="C554" s="1" t="n">
        <v>45822</v>
      </c>
      <c r="D554" t="inlineStr">
        <is>
          <t>KALMAR LÄN</t>
        </is>
      </c>
      <c r="E554" t="inlineStr">
        <is>
          <t>VÄSTERVIK</t>
        </is>
      </c>
      <c r="G554" t="n">
        <v>2</v>
      </c>
      <c r="H554" t="n">
        <v>0</v>
      </c>
      <c r="I554" t="n">
        <v>0</v>
      </c>
      <c r="J554" t="n">
        <v>0</v>
      </c>
      <c r="K554" t="n">
        <v>0</v>
      </c>
      <c r="L554" t="n">
        <v>0</v>
      </c>
      <c r="M554" t="n">
        <v>0</v>
      </c>
      <c r="N554" t="n">
        <v>0</v>
      </c>
      <c r="O554" t="n">
        <v>0</v>
      </c>
      <c r="P554" t="n">
        <v>0</v>
      </c>
      <c r="Q554" t="n">
        <v>0</v>
      </c>
      <c r="R554" s="2" t="inlineStr"/>
    </row>
    <row r="555" ht="15" customHeight="1">
      <c r="A555" t="inlineStr">
        <is>
          <t>A 20694-2020</t>
        </is>
      </c>
      <c r="B555" s="1" t="n">
        <v>43949</v>
      </c>
      <c r="C555" s="1" t="n">
        <v>45822</v>
      </c>
      <c r="D555" t="inlineStr">
        <is>
          <t>KALMAR LÄN</t>
        </is>
      </c>
      <c r="E555" t="inlineStr">
        <is>
          <t>VÄSTERVIK</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22643-2020</t>
        </is>
      </c>
      <c r="B556" s="1" t="n">
        <v>43963</v>
      </c>
      <c r="C556" s="1" t="n">
        <v>45822</v>
      </c>
      <c r="D556" t="inlineStr">
        <is>
          <t>KALMAR LÄN</t>
        </is>
      </c>
      <c r="E556" t="inlineStr">
        <is>
          <t>VÄSTERVIK</t>
        </is>
      </c>
      <c r="G556" t="n">
        <v>2</v>
      </c>
      <c r="H556" t="n">
        <v>0</v>
      </c>
      <c r="I556" t="n">
        <v>0</v>
      </c>
      <c r="J556" t="n">
        <v>0</v>
      </c>
      <c r="K556" t="n">
        <v>0</v>
      </c>
      <c r="L556" t="n">
        <v>0</v>
      </c>
      <c r="M556" t="n">
        <v>0</v>
      </c>
      <c r="N556" t="n">
        <v>0</v>
      </c>
      <c r="O556" t="n">
        <v>0</v>
      </c>
      <c r="P556" t="n">
        <v>0</v>
      </c>
      <c r="Q556" t="n">
        <v>0</v>
      </c>
      <c r="R556" s="2" t="inlineStr"/>
    </row>
    <row r="557" ht="15" customHeight="1">
      <c r="A557" t="inlineStr">
        <is>
          <t>A 22882-2020</t>
        </is>
      </c>
      <c r="B557" s="1" t="n">
        <v>43964</v>
      </c>
      <c r="C557" s="1" t="n">
        <v>45822</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22880-2020</t>
        </is>
      </c>
      <c r="B558" s="1" t="n">
        <v>43964</v>
      </c>
      <c r="C558" s="1" t="n">
        <v>45822</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22803-2020</t>
        </is>
      </c>
      <c r="B559" s="1" t="n">
        <v>43964</v>
      </c>
      <c r="C559" s="1" t="n">
        <v>45822</v>
      </c>
      <c r="D559" t="inlineStr">
        <is>
          <t>KALMAR LÄN</t>
        </is>
      </c>
      <c r="E559" t="inlineStr">
        <is>
          <t>VÄSTERVIK</t>
        </is>
      </c>
      <c r="G559" t="n">
        <v>1.5</v>
      </c>
      <c r="H559" t="n">
        <v>0</v>
      </c>
      <c r="I559" t="n">
        <v>0</v>
      </c>
      <c r="J559" t="n">
        <v>0</v>
      </c>
      <c r="K559" t="n">
        <v>0</v>
      </c>
      <c r="L559" t="n">
        <v>0</v>
      </c>
      <c r="M559" t="n">
        <v>0</v>
      </c>
      <c r="N559" t="n">
        <v>0</v>
      </c>
      <c r="O559" t="n">
        <v>0</v>
      </c>
      <c r="P559" t="n">
        <v>0</v>
      </c>
      <c r="Q559" t="n">
        <v>0</v>
      </c>
      <c r="R559" s="2" t="inlineStr"/>
    </row>
    <row r="560" ht="15" customHeight="1">
      <c r="A560" t="inlineStr">
        <is>
          <t>A 24366-2020</t>
        </is>
      </c>
      <c r="B560" s="1" t="n">
        <v>43973</v>
      </c>
      <c r="C560" s="1" t="n">
        <v>45822</v>
      </c>
      <c r="D560" t="inlineStr">
        <is>
          <t>KALMAR LÄN</t>
        </is>
      </c>
      <c r="E560" t="inlineStr">
        <is>
          <t>VÄSTERVIK</t>
        </is>
      </c>
      <c r="G560" t="n">
        <v>6.9</v>
      </c>
      <c r="H560" t="n">
        <v>0</v>
      </c>
      <c r="I560" t="n">
        <v>0</v>
      </c>
      <c r="J560" t="n">
        <v>0</v>
      </c>
      <c r="K560" t="n">
        <v>0</v>
      </c>
      <c r="L560" t="n">
        <v>0</v>
      </c>
      <c r="M560" t="n">
        <v>0</v>
      </c>
      <c r="N560" t="n">
        <v>0</v>
      </c>
      <c r="O560" t="n">
        <v>0</v>
      </c>
      <c r="P560" t="n">
        <v>0</v>
      </c>
      <c r="Q560" t="n">
        <v>0</v>
      </c>
      <c r="R560" s="2" t="inlineStr"/>
    </row>
    <row r="561" ht="15" customHeight="1">
      <c r="A561" t="inlineStr">
        <is>
          <t>A 24575-2020</t>
        </is>
      </c>
      <c r="B561" s="1" t="n">
        <v>43977</v>
      </c>
      <c r="C561" s="1" t="n">
        <v>45822</v>
      </c>
      <c r="D561" t="inlineStr">
        <is>
          <t>KALMAR LÄN</t>
        </is>
      </c>
      <c r="E561" t="inlineStr">
        <is>
          <t>VÄSTERVIK</t>
        </is>
      </c>
      <c r="G561" t="n">
        <v>0.5</v>
      </c>
      <c r="H561" t="n">
        <v>0</v>
      </c>
      <c r="I561" t="n">
        <v>0</v>
      </c>
      <c r="J561" t="n">
        <v>0</v>
      </c>
      <c r="K561" t="n">
        <v>0</v>
      </c>
      <c r="L561" t="n">
        <v>0</v>
      </c>
      <c r="M561" t="n">
        <v>0</v>
      </c>
      <c r="N561" t="n">
        <v>0</v>
      </c>
      <c r="O561" t="n">
        <v>0</v>
      </c>
      <c r="P561" t="n">
        <v>0</v>
      </c>
      <c r="Q561" t="n">
        <v>0</v>
      </c>
      <c r="R561" s="2" t="inlineStr"/>
    </row>
    <row r="562" ht="15" customHeight="1">
      <c r="A562" t="inlineStr">
        <is>
          <t>A 24570-2020</t>
        </is>
      </c>
      <c r="B562" s="1" t="n">
        <v>43977</v>
      </c>
      <c r="C562" s="1" t="n">
        <v>45822</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24677-2020</t>
        </is>
      </c>
      <c r="B563" s="1" t="n">
        <v>43978</v>
      </c>
      <c r="C563" s="1" t="n">
        <v>45822</v>
      </c>
      <c r="D563" t="inlineStr">
        <is>
          <t>KALMAR LÄN</t>
        </is>
      </c>
      <c r="E563" t="inlineStr">
        <is>
          <t>VÄSTERVIK</t>
        </is>
      </c>
      <c r="G563" t="n">
        <v>2.7</v>
      </c>
      <c r="H563" t="n">
        <v>0</v>
      </c>
      <c r="I563" t="n">
        <v>0</v>
      </c>
      <c r="J563" t="n">
        <v>0</v>
      </c>
      <c r="K563" t="n">
        <v>0</v>
      </c>
      <c r="L563" t="n">
        <v>0</v>
      </c>
      <c r="M563" t="n">
        <v>0</v>
      </c>
      <c r="N563" t="n">
        <v>0</v>
      </c>
      <c r="O563" t="n">
        <v>0</v>
      </c>
      <c r="P563" t="n">
        <v>0</v>
      </c>
      <c r="Q563" t="n">
        <v>0</v>
      </c>
      <c r="R563" s="2" t="inlineStr"/>
    </row>
    <row r="564" ht="15" customHeight="1">
      <c r="A564" t="inlineStr">
        <is>
          <t>A 25241-2020</t>
        </is>
      </c>
      <c r="B564" s="1" t="n">
        <v>43980</v>
      </c>
      <c r="C564" s="1" t="n">
        <v>45822</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26226-2020</t>
        </is>
      </c>
      <c r="B565" s="1" t="n">
        <v>43985</v>
      </c>
      <c r="C565" s="1" t="n">
        <v>45822</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26129-2020</t>
        </is>
      </c>
      <c r="B566" s="1" t="n">
        <v>43985</v>
      </c>
      <c r="C566" s="1" t="n">
        <v>45822</v>
      </c>
      <c r="D566" t="inlineStr">
        <is>
          <t>KALMAR LÄN</t>
        </is>
      </c>
      <c r="E566" t="inlineStr">
        <is>
          <t>VÄSTERVIK</t>
        </is>
      </c>
      <c r="G566" t="n">
        <v>0.4</v>
      </c>
      <c r="H566" t="n">
        <v>0</v>
      </c>
      <c r="I566" t="n">
        <v>0</v>
      </c>
      <c r="J566" t="n">
        <v>0</v>
      </c>
      <c r="K566" t="n">
        <v>0</v>
      </c>
      <c r="L566" t="n">
        <v>0</v>
      </c>
      <c r="M566" t="n">
        <v>0</v>
      </c>
      <c r="N566" t="n">
        <v>0</v>
      </c>
      <c r="O566" t="n">
        <v>0</v>
      </c>
      <c r="P566" t="n">
        <v>0</v>
      </c>
      <c r="Q566" t="n">
        <v>0</v>
      </c>
      <c r="R566" s="2" t="inlineStr"/>
    </row>
    <row r="567" ht="15" customHeight="1">
      <c r="A567" t="inlineStr">
        <is>
          <t>A 26842-2020</t>
        </is>
      </c>
      <c r="B567" s="1" t="n">
        <v>43987</v>
      </c>
      <c r="C567" s="1" t="n">
        <v>45822</v>
      </c>
      <c r="D567" t="inlineStr">
        <is>
          <t>KALMAR LÄN</t>
        </is>
      </c>
      <c r="E567" t="inlineStr">
        <is>
          <t>VÄSTERVIK</t>
        </is>
      </c>
      <c r="G567" t="n">
        <v>1.8</v>
      </c>
      <c r="H567" t="n">
        <v>0</v>
      </c>
      <c r="I567" t="n">
        <v>0</v>
      </c>
      <c r="J567" t="n">
        <v>0</v>
      </c>
      <c r="K567" t="n">
        <v>0</v>
      </c>
      <c r="L567" t="n">
        <v>0</v>
      </c>
      <c r="M567" t="n">
        <v>0</v>
      </c>
      <c r="N567" t="n">
        <v>0</v>
      </c>
      <c r="O567" t="n">
        <v>0</v>
      </c>
      <c r="P567" t="n">
        <v>0</v>
      </c>
      <c r="Q567" t="n">
        <v>0</v>
      </c>
      <c r="R567" s="2" t="inlineStr"/>
    </row>
    <row r="568" ht="15" customHeight="1">
      <c r="A568" t="inlineStr">
        <is>
          <t>A 29093-2020</t>
        </is>
      </c>
      <c r="B568" s="1" t="n">
        <v>44002</v>
      </c>
      <c r="C568" s="1" t="n">
        <v>45822</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29264-2020</t>
        </is>
      </c>
      <c r="B569" s="1" t="n">
        <v>44004</v>
      </c>
      <c r="C569" s="1" t="n">
        <v>45822</v>
      </c>
      <c r="D569" t="inlineStr">
        <is>
          <t>KALMAR LÄN</t>
        </is>
      </c>
      <c r="E569" t="inlineStr">
        <is>
          <t>VÄSTERVIK</t>
        </is>
      </c>
      <c r="G569" t="n">
        <v>5.5</v>
      </c>
      <c r="H569" t="n">
        <v>0</v>
      </c>
      <c r="I569" t="n">
        <v>0</v>
      </c>
      <c r="J569" t="n">
        <v>0</v>
      </c>
      <c r="K569" t="n">
        <v>0</v>
      </c>
      <c r="L569" t="n">
        <v>0</v>
      </c>
      <c r="M569" t="n">
        <v>0</v>
      </c>
      <c r="N569" t="n">
        <v>0</v>
      </c>
      <c r="O569" t="n">
        <v>0</v>
      </c>
      <c r="P569" t="n">
        <v>0</v>
      </c>
      <c r="Q569" t="n">
        <v>0</v>
      </c>
      <c r="R569" s="2" t="inlineStr"/>
    </row>
    <row r="570" ht="15" customHeight="1">
      <c r="A570" t="inlineStr">
        <is>
          <t>A 30581-2020</t>
        </is>
      </c>
      <c r="B570" s="1" t="n">
        <v>44008</v>
      </c>
      <c r="C570" s="1" t="n">
        <v>45822</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30578-2020</t>
        </is>
      </c>
      <c r="B571" s="1" t="n">
        <v>44008</v>
      </c>
      <c r="C571" s="1" t="n">
        <v>45822</v>
      </c>
      <c r="D571" t="inlineStr">
        <is>
          <t>KALMAR LÄN</t>
        </is>
      </c>
      <c r="E571" t="inlineStr">
        <is>
          <t>VÄSTERVIK</t>
        </is>
      </c>
      <c r="G571" t="n">
        <v>0.4</v>
      </c>
      <c r="H571" t="n">
        <v>0</v>
      </c>
      <c r="I571" t="n">
        <v>0</v>
      </c>
      <c r="J571" t="n">
        <v>0</v>
      </c>
      <c r="K571" t="n">
        <v>0</v>
      </c>
      <c r="L571" t="n">
        <v>0</v>
      </c>
      <c r="M571" t="n">
        <v>0</v>
      </c>
      <c r="N571" t="n">
        <v>0</v>
      </c>
      <c r="O571" t="n">
        <v>0</v>
      </c>
      <c r="P571" t="n">
        <v>0</v>
      </c>
      <c r="Q571" t="n">
        <v>0</v>
      </c>
      <c r="R571" s="2" t="inlineStr"/>
    </row>
    <row r="572" ht="15" customHeight="1">
      <c r="A572" t="inlineStr">
        <is>
          <t>A 31587-2020</t>
        </is>
      </c>
      <c r="B572" s="1" t="n">
        <v>44012</v>
      </c>
      <c r="C572" s="1" t="n">
        <v>45822</v>
      </c>
      <c r="D572" t="inlineStr">
        <is>
          <t>KALMAR LÄN</t>
        </is>
      </c>
      <c r="E572" t="inlineStr">
        <is>
          <t>VÄSTERVIK</t>
        </is>
      </c>
      <c r="G572" t="n">
        <v>2.5</v>
      </c>
      <c r="H572" t="n">
        <v>0</v>
      </c>
      <c r="I572" t="n">
        <v>0</v>
      </c>
      <c r="J572" t="n">
        <v>0</v>
      </c>
      <c r="K572" t="n">
        <v>0</v>
      </c>
      <c r="L572" t="n">
        <v>0</v>
      </c>
      <c r="M572" t="n">
        <v>0</v>
      </c>
      <c r="N572" t="n">
        <v>0</v>
      </c>
      <c r="O572" t="n">
        <v>0</v>
      </c>
      <c r="P572" t="n">
        <v>0</v>
      </c>
      <c r="Q572" t="n">
        <v>0</v>
      </c>
      <c r="R572" s="2" t="inlineStr"/>
    </row>
    <row r="573" ht="15" customHeight="1">
      <c r="A573" t="inlineStr">
        <is>
          <t>A 32807-2020</t>
        </is>
      </c>
      <c r="B573" s="1" t="n">
        <v>44018</v>
      </c>
      <c r="C573" s="1" t="n">
        <v>45822</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33137-2020</t>
        </is>
      </c>
      <c r="B574" s="1" t="n">
        <v>44021</v>
      </c>
      <c r="C574" s="1" t="n">
        <v>45822</v>
      </c>
      <c r="D574" t="inlineStr">
        <is>
          <t>KALMAR LÄN</t>
        </is>
      </c>
      <c r="E574" t="inlineStr">
        <is>
          <t>VÄSTERVIK</t>
        </is>
      </c>
      <c r="G574" t="n">
        <v>0.9</v>
      </c>
      <c r="H574" t="n">
        <v>0</v>
      </c>
      <c r="I574" t="n">
        <v>0</v>
      </c>
      <c r="J574" t="n">
        <v>0</v>
      </c>
      <c r="K574" t="n">
        <v>0</v>
      </c>
      <c r="L574" t="n">
        <v>0</v>
      </c>
      <c r="M574" t="n">
        <v>0</v>
      </c>
      <c r="N574" t="n">
        <v>0</v>
      </c>
      <c r="O574" t="n">
        <v>0</v>
      </c>
      <c r="P574" t="n">
        <v>0</v>
      </c>
      <c r="Q574" t="n">
        <v>0</v>
      </c>
      <c r="R574" s="2" t="inlineStr"/>
    </row>
    <row r="575" ht="15" customHeight="1">
      <c r="A575" t="inlineStr">
        <is>
          <t>A 34775-2020</t>
        </is>
      </c>
      <c r="B575" s="1" t="n">
        <v>44035</v>
      </c>
      <c r="C575" s="1" t="n">
        <v>45822</v>
      </c>
      <c r="D575" t="inlineStr">
        <is>
          <t>KALMAR LÄN</t>
        </is>
      </c>
      <c r="E575" t="inlineStr">
        <is>
          <t>VÄSTERVIK</t>
        </is>
      </c>
      <c r="G575" t="n">
        <v>3.5</v>
      </c>
      <c r="H575" t="n">
        <v>0</v>
      </c>
      <c r="I575" t="n">
        <v>0</v>
      </c>
      <c r="J575" t="n">
        <v>0</v>
      </c>
      <c r="K575" t="n">
        <v>0</v>
      </c>
      <c r="L575" t="n">
        <v>0</v>
      </c>
      <c r="M575" t="n">
        <v>0</v>
      </c>
      <c r="N575" t="n">
        <v>0</v>
      </c>
      <c r="O575" t="n">
        <v>0</v>
      </c>
      <c r="P575" t="n">
        <v>0</v>
      </c>
      <c r="Q575" t="n">
        <v>0</v>
      </c>
      <c r="R575" s="2" t="inlineStr"/>
    </row>
    <row r="576" ht="15" customHeight="1">
      <c r="A576" t="inlineStr">
        <is>
          <t>A 35150-2020</t>
        </is>
      </c>
      <c r="B576" s="1" t="n">
        <v>44040</v>
      </c>
      <c r="C576" s="1" t="n">
        <v>45822</v>
      </c>
      <c r="D576" t="inlineStr">
        <is>
          <t>KALMAR LÄN</t>
        </is>
      </c>
      <c r="E576" t="inlineStr">
        <is>
          <t>VÄSTERVIK</t>
        </is>
      </c>
      <c r="F576" t="inlineStr">
        <is>
          <t>Sveaskog</t>
        </is>
      </c>
      <c r="G576" t="n">
        <v>3.3</v>
      </c>
      <c r="H576" t="n">
        <v>0</v>
      </c>
      <c r="I576" t="n">
        <v>0</v>
      </c>
      <c r="J576" t="n">
        <v>0</v>
      </c>
      <c r="K576" t="n">
        <v>0</v>
      </c>
      <c r="L576" t="n">
        <v>0</v>
      </c>
      <c r="M576" t="n">
        <v>0</v>
      </c>
      <c r="N576" t="n">
        <v>0</v>
      </c>
      <c r="O576" t="n">
        <v>0</v>
      </c>
      <c r="P576" t="n">
        <v>0</v>
      </c>
      <c r="Q576" t="n">
        <v>0</v>
      </c>
      <c r="R576" s="2" t="inlineStr"/>
    </row>
    <row r="577" ht="15" customHeight="1">
      <c r="A577" t="inlineStr">
        <is>
          <t>A 35655-2020</t>
        </is>
      </c>
      <c r="B577" s="1" t="n">
        <v>44046</v>
      </c>
      <c r="C577" s="1" t="n">
        <v>45822</v>
      </c>
      <c r="D577" t="inlineStr">
        <is>
          <t>KALMAR LÄN</t>
        </is>
      </c>
      <c r="E577" t="inlineStr">
        <is>
          <t>VÄSTERVIK</t>
        </is>
      </c>
      <c r="F577" t="inlineStr">
        <is>
          <t>Övriga Aktiebolag</t>
        </is>
      </c>
      <c r="G577" t="n">
        <v>3.2</v>
      </c>
      <c r="H577" t="n">
        <v>0</v>
      </c>
      <c r="I577" t="n">
        <v>0</v>
      </c>
      <c r="J577" t="n">
        <v>0</v>
      </c>
      <c r="K577" t="n">
        <v>0</v>
      </c>
      <c r="L577" t="n">
        <v>0</v>
      </c>
      <c r="M577" t="n">
        <v>0</v>
      </c>
      <c r="N577" t="n">
        <v>0</v>
      </c>
      <c r="O577" t="n">
        <v>0</v>
      </c>
      <c r="P577" t="n">
        <v>0</v>
      </c>
      <c r="Q577" t="n">
        <v>0</v>
      </c>
      <c r="R577" s="2" t="inlineStr"/>
    </row>
    <row r="578" ht="15" customHeight="1">
      <c r="A578" t="inlineStr">
        <is>
          <t>A 35689-2020</t>
        </is>
      </c>
      <c r="B578" s="1" t="n">
        <v>44046</v>
      </c>
      <c r="C578" s="1" t="n">
        <v>45822</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35868-2020</t>
        </is>
      </c>
      <c r="B579" s="1" t="n">
        <v>44047</v>
      </c>
      <c r="C579" s="1" t="n">
        <v>45822</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37146-2020</t>
        </is>
      </c>
      <c r="B580" s="1" t="n">
        <v>44054</v>
      </c>
      <c r="C580" s="1" t="n">
        <v>45822</v>
      </c>
      <c r="D580" t="inlineStr">
        <is>
          <t>KALMAR LÄN</t>
        </is>
      </c>
      <c r="E580" t="inlineStr">
        <is>
          <t>VÄSTERVIK</t>
        </is>
      </c>
      <c r="G580" t="n">
        <v>1.4</v>
      </c>
      <c r="H580" t="n">
        <v>0</v>
      </c>
      <c r="I580" t="n">
        <v>0</v>
      </c>
      <c r="J580" t="n">
        <v>0</v>
      </c>
      <c r="K580" t="n">
        <v>0</v>
      </c>
      <c r="L580" t="n">
        <v>0</v>
      </c>
      <c r="M580" t="n">
        <v>0</v>
      </c>
      <c r="N580" t="n">
        <v>0</v>
      </c>
      <c r="O580" t="n">
        <v>0</v>
      </c>
      <c r="P580" t="n">
        <v>0</v>
      </c>
      <c r="Q580" t="n">
        <v>0</v>
      </c>
      <c r="R580" s="2" t="inlineStr"/>
    </row>
    <row r="581" ht="15" customHeight="1">
      <c r="A581" t="inlineStr">
        <is>
          <t>A 37156-2020</t>
        </is>
      </c>
      <c r="B581" s="1" t="n">
        <v>44054</v>
      </c>
      <c r="C581" s="1" t="n">
        <v>45822</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37163-2020</t>
        </is>
      </c>
      <c r="B582" s="1" t="n">
        <v>44054</v>
      </c>
      <c r="C582" s="1" t="n">
        <v>45822</v>
      </c>
      <c r="D582" t="inlineStr">
        <is>
          <t>KALMAR LÄN</t>
        </is>
      </c>
      <c r="E582" t="inlineStr">
        <is>
          <t>VÄSTERVIK</t>
        </is>
      </c>
      <c r="G582" t="n">
        <v>1.4</v>
      </c>
      <c r="H582" t="n">
        <v>0</v>
      </c>
      <c r="I582" t="n">
        <v>0</v>
      </c>
      <c r="J582" t="n">
        <v>0</v>
      </c>
      <c r="K582" t="n">
        <v>0</v>
      </c>
      <c r="L582" t="n">
        <v>0</v>
      </c>
      <c r="M582" t="n">
        <v>0</v>
      </c>
      <c r="N582" t="n">
        <v>0</v>
      </c>
      <c r="O582" t="n">
        <v>0</v>
      </c>
      <c r="P582" t="n">
        <v>0</v>
      </c>
      <c r="Q582" t="n">
        <v>0</v>
      </c>
      <c r="R582" s="2" t="inlineStr"/>
    </row>
    <row r="583" ht="15" customHeight="1">
      <c r="A583" t="inlineStr">
        <is>
          <t>A 37162-2020</t>
        </is>
      </c>
      <c r="B583" s="1" t="n">
        <v>44054</v>
      </c>
      <c r="C583" s="1" t="n">
        <v>45822</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37113-2020</t>
        </is>
      </c>
      <c r="B584" s="1" t="n">
        <v>44054</v>
      </c>
      <c r="C584" s="1" t="n">
        <v>45822</v>
      </c>
      <c r="D584" t="inlineStr">
        <is>
          <t>KALMAR LÄN</t>
        </is>
      </c>
      <c r="E584" t="inlineStr">
        <is>
          <t>VÄSTERVIK</t>
        </is>
      </c>
      <c r="G584" t="n">
        <v>2.1</v>
      </c>
      <c r="H584" t="n">
        <v>0</v>
      </c>
      <c r="I584" t="n">
        <v>0</v>
      </c>
      <c r="J584" t="n">
        <v>0</v>
      </c>
      <c r="K584" t="n">
        <v>0</v>
      </c>
      <c r="L584" t="n">
        <v>0</v>
      </c>
      <c r="M584" t="n">
        <v>0</v>
      </c>
      <c r="N584" t="n">
        <v>0</v>
      </c>
      <c r="O584" t="n">
        <v>0</v>
      </c>
      <c r="P584" t="n">
        <v>0</v>
      </c>
      <c r="Q584" t="n">
        <v>0</v>
      </c>
      <c r="R584" s="2" t="inlineStr"/>
    </row>
    <row r="585" ht="15" customHeight="1">
      <c r="A585" t="inlineStr">
        <is>
          <t>A 37122-2020</t>
        </is>
      </c>
      <c r="B585" s="1" t="n">
        <v>44054</v>
      </c>
      <c r="C585" s="1" t="n">
        <v>45822</v>
      </c>
      <c r="D585" t="inlineStr">
        <is>
          <t>KALMAR LÄN</t>
        </is>
      </c>
      <c r="E585" t="inlineStr">
        <is>
          <t>VÄSTERVIK</t>
        </is>
      </c>
      <c r="G585" t="n">
        <v>0.4</v>
      </c>
      <c r="H585" t="n">
        <v>0</v>
      </c>
      <c r="I585" t="n">
        <v>0</v>
      </c>
      <c r="J585" t="n">
        <v>0</v>
      </c>
      <c r="K585" t="n">
        <v>0</v>
      </c>
      <c r="L585" t="n">
        <v>0</v>
      </c>
      <c r="M585" t="n">
        <v>0</v>
      </c>
      <c r="N585" t="n">
        <v>0</v>
      </c>
      <c r="O585" t="n">
        <v>0</v>
      </c>
      <c r="P585" t="n">
        <v>0</v>
      </c>
      <c r="Q585" t="n">
        <v>0</v>
      </c>
      <c r="R585" s="2" t="inlineStr"/>
    </row>
    <row r="586" ht="15" customHeight="1">
      <c r="A586" t="inlineStr">
        <is>
          <t>A 37149-2020</t>
        </is>
      </c>
      <c r="B586" s="1" t="n">
        <v>44054</v>
      </c>
      <c r="C586" s="1" t="n">
        <v>45822</v>
      </c>
      <c r="D586" t="inlineStr">
        <is>
          <t>KALMAR LÄN</t>
        </is>
      </c>
      <c r="E586" t="inlineStr">
        <is>
          <t>VÄSTERVIK</t>
        </is>
      </c>
      <c r="G586" t="n">
        <v>4.6</v>
      </c>
      <c r="H586" t="n">
        <v>0</v>
      </c>
      <c r="I586" t="n">
        <v>0</v>
      </c>
      <c r="J586" t="n">
        <v>0</v>
      </c>
      <c r="K586" t="n">
        <v>0</v>
      </c>
      <c r="L586" t="n">
        <v>0</v>
      </c>
      <c r="M586" t="n">
        <v>0</v>
      </c>
      <c r="N586" t="n">
        <v>0</v>
      </c>
      <c r="O586" t="n">
        <v>0</v>
      </c>
      <c r="P586" t="n">
        <v>0</v>
      </c>
      <c r="Q586" t="n">
        <v>0</v>
      </c>
      <c r="R586" s="2" t="inlineStr"/>
    </row>
    <row r="587" ht="15" customHeight="1">
      <c r="A587" t="inlineStr">
        <is>
          <t>A 37166-2020</t>
        </is>
      </c>
      <c r="B587" s="1" t="n">
        <v>44054</v>
      </c>
      <c r="C587" s="1" t="n">
        <v>45822</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37114-2020</t>
        </is>
      </c>
      <c r="B588" s="1" t="n">
        <v>44054</v>
      </c>
      <c r="C588" s="1" t="n">
        <v>45822</v>
      </c>
      <c r="D588" t="inlineStr">
        <is>
          <t>KALMAR LÄN</t>
        </is>
      </c>
      <c r="E588" t="inlineStr">
        <is>
          <t>VÄSTERVIK</t>
        </is>
      </c>
      <c r="G588" t="n">
        <v>2.8</v>
      </c>
      <c r="H588" t="n">
        <v>0</v>
      </c>
      <c r="I588" t="n">
        <v>0</v>
      </c>
      <c r="J588" t="n">
        <v>0</v>
      </c>
      <c r="K588" t="n">
        <v>0</v>
      </c>
      <c r="L588" t="n">
        <v>0</v>
      </c>
      <c r="M588" t="n">
        <v>0</v>
      </c>
      <c r="N588" t="n">
        <v>0</v>
      </c>
      <c r="O588" t="n">
        <v>0</v>
      </c>
      <c r="P588" t="n">
        <v>0</v>
      </c>
      <c r="Q588" t="n">
        <v>0</v>
      </c>
      <c r="R588" s="2" t="inlineStr"/>
    </row>
    <row r="589" ht="15" customHeight="1">
      <c r="A589" t="inlineStr">
        <is>
          <t>A 39153-2020</t>
        </is>
      </c>
      <c r="B589" s="1" t="n">
        <v>44063</v>
      </c>
      <c r="C589" s="1" t="n">
        <v>45822</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39779-2020</t>
        </is>
      </c>
      <c r="B590" s="1" t="n">
        <v>44064</v>
      </c>
      <c r="C590" s="1" t="n">
        <v>45822</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39859-2020</t>
        </is>
      </c>
      <c r="B591" s="1" t="n">
        <v>44064</v>
      </c>
      <c r="C591" s="1" t="n">
        <v>45822</v>
      </c>
      <c r="D591" t="inlineStr">
        <is>
          <t>KALMAR LÄN</t>
        </is>
      </c>
      <c r="E591" t="inlineStr">
        <is>
          <t>VÄSTERVIK</t>
        </is>
      </c>
      <c r="G591" t="n">
        <v>29.6</v>
      </c>
      <c r="H591" t="n">
        <v>0</v>
      </c>
      <c r="I591" t="n">
        <v>0</v>
      </c>
      <c r="J591" t="n">
        <v>0</v>
      </c>
      <c r="K591" t="n">
        <v>0</v>
      </c>
      <c r="L591" t="n">
        <v>0</v>
      </c>
      <c r="M591" t="n">
        <v>0</v>
      </c>
      <c r="N591" t="n">
        <v>0</v>
      </c>
      <c r="O591" t="n">
        <v>0</v>
      </c>
      <c r="P591" t="n">
        <v>0</v>
      </c>
      <c r="Q591" t="n">
        <v>0</v>
      </c>
      <c r="R591" s="2" t="inlineStr"/>
    </row>
    <row r="592" ht="15" customHeight="1">
      <c r="A592" t="inlineStr">
        <is>
          <t>A 39857-2020</t>
        </is>
      </c>
      <c r="B592" s="1" t="n">
        <v>44064</v>
      </c>
      <c r="C592" s="1" t="n">
        <v>45822</v>
      </c>
      <c r="D592" t="inlineStr">
        <is>
          <t>KALMAR LÄN</t>
        </is>
      </c>
      <c r="E592" t="inlineStr">
        <is>
          <t>VÄSTERVIK</t>
        </is>
      </c>
      <c r="G592" t="n">
        <v>7.6</v>
      </c>
      <c r="H592" t="n">
        <v>0</v>
      </c>
      <c r="I592" t="n">
        <v>0</v>
      </c>
      <c r="J592" t="n">
        <v>0</v>
      </c>
      <c r="K592" t="n">
        <v>0</v>
      </c>
      <c r="L592" t="n">
        <v>0</v>
      </c>
      <c r="M592" t="n">
        <v>0</v>
      </c>
      <c r="N592" t="n">
        <v>0</v>
      </c>
      <c r="O592" t="n">
        <v>0</v>
      </c>
      <c r="P592" t="n">
        <v>0</v>
      </c>
      <c r="Q592" t="n">
        <v>0</v>
      </c>
      <c r="R592" s="2" t="inlineStr"/>
    </row>
    <row r="593" ht="15" customHeight="1">
      <c r="A593" t="inlineStr">
        <is>
          <t>A 42113-2020</t>
        </is>
      </c>
      <c r="B593" s="1" t="n">
        <v>44071</v>
      </c>
      <c r="C593" s="1" t="n">
        <v>45822</v>
      </c>
      <c r="D593" t="inlineStr">
        <is>
          <t>KALMAR LÄN</t>
        </is>
      </c>
      <c r="E593" t="inlineStr">
        <is>
          <t>VÄSTERVIK</t>
        </is>
      </c>
      <c r="G593" t="n">
        <v>2.6</v>
      </c>
      <c r="H593" t="n">
        <v>0</v>
      </c>
      <c r="I593" t="n">
        <v>0</v>
      </c>
      <c r="J593" t="n">
        <v>0</v>
      </c>
      <c r="K593" t="n">
        <v>0</v>
      </c>
      <c r="L593" t="n">
        <v>0</v>
      </c>
      <c r="M593" t="n">
        <v>0</v>
      </c>
      <c r="N593" t="n">
        <v>0</v>
      </c>
      <c r="O593" t="n">
        <v>0</v>
      </c>
      <c r="P593" t="n">
        <v>0</v>
      </c>
      <c r="Q593" t="n">
        <v>0</v>
      </c>
      <c r="R593" s="2" t="inlineStr"/>
    </row>
    <row r="594" ht="15" customHeight="1">
      <c r="A594" t="inlineStr">
        <is>
          <t>A 43730-2020</t>
        </is>
      </c>
      <c r="B594" s="1" t="n">
        <v>44082</v>
      </c>
      <c r="C594" s="1" t="n">
        <v>45822</v>
      </c>
      <c r="D594" t="inlineStr">
        <is>
          <t>KALMAR LÄN</t>
        </is>
      </c>
      <c r="E594" t="inlineStr">
        <is>
          <t>VÄSTERVIK</t>
        </is>
      </c>
      <c r="G594" t="n">
        <v>0.1</v>
      </c>
      <c r="H594" t="n">
        <v>0</v>
      </c>
      <c r="I594" t="n">
        <v>0</v>
      </c>
      <c r="J594" t="n">
        <v>0</v>
      </c>
      <c r="K594" t="n">
        <v>0</v>
      </c>
      <c r="L594" t="n">
        <v>0</v>
      </c>
      <c r="M594" t="n">
        <v>0</v>
      </c>
      <c r="N594" t="n">
        <v>0</v>
      </c>
      <c r="O594" t="n">
        <v>0</v>
      </c>
      <c r="P594" t="n">
        <v>0</v>
      </c>
      <c r="Q594" t="n">
        <v>0</v>
      </c>
      <c r="R594" s="2" t="inlineStr"/>
    </row>
    <row r="595" ht="15" customHeight="1">
      <c r="A595" t="inlineStr">
        <is>
          <t>A 44466-2020</t>
        </is>
      </c>
      <c r="B595" s="1" t="n">
        <v>44084</v>
      </c>
      <c r="C595" s="1" t="n">
        <v>45822</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c r="U595">
        <f>HYPERLINK("https://klasma.github.io/Logging_0883/knärot/A 44466-2020 karta knärot.png", "A 44466-2020")</f>
        <v/>
      </c>
      <c r="V595">
        <f>HYPERLINK("https://klasma.github.io/Logging_0883/klagomål/A 44466-2020 FSC-klagomål.docx", "A 44466-2020")</f>
        <v/>
      </c>
      <c r="W595">
        <f>HYPERLINK("https://klasma.github.io/Logging_0883/klagomålsmail/A 44466-2020 FSC-klagomål mail.docx", "A 44466-2020")</f>
        <v/>
      </c>
      <c r="X595">
        <f>HYPERLINK("https://klasma.github.io/Logging_0883/tillsyn/A 44466-2020 tillsynsbegäran.docx", "A 44466-2020")</f>
        <v/>
      </c>
      <c r="Y595">
        <f>HYPERLINK("https://klasma.github.io/Logging_0883/tillsynsmail/A 44466-2020 tillsynsbegäran mail.docx", "A 44466-2020")</f>
        <v/>
      </c>
    </row>
    <row r="596" ht="15" customHeight="1">
      <c r="A596" t="inlineStr">
        <is>
          <t>A 45537-2020</t>
        </is>
      </c>
      <c r="B596" s="1" t="n">
        <v>44089</v>
      </c>
      <c r="C596" s="1" t="n">
        <v>45822</v>
      </c>
      <c r="D596" t="inlineStr">
        <is>
          <t>KALMAR LÄN</t>
        </is>
      </c>
      <c r="E596" t="inlineStr">
        <is>
          <t>VÄSTERVIK</t>
        </is>
      </c>
      <c r="G596" t="n">
        <v>2.1</v>
      </c>
      <c r="H596" t="n">
        <v>0</v>
      </c>
      <c r="I596" t="n">
        <v>0</v>
      </c>
      <c r="J596" t="n">
        <v>0</v>
      </c>
      <c r="K596" t="n">
        <v>0</v>
      </c>
      <c r="L596" t="n">
        <v>0</v>
      </c>
      <c r="M596" t="n">
        <v>0</v>
      </c>
      <c r="N596" t="n">
        <v>0</v>
      </c>
      <c r="O596" t="n">
        <v>0</v>
      </c>
      <c r="P596" t="n">
        <v>0</v>
      </c>
      <c r="Q596" t="n">
        <v>0</v>
      </c>
      <c r="R596" s="2" t="inlineStr"/>
    </row>
    <row r="597" ht="15" customHeight="1">
      <c r="A597" t="inlineStr">
        <is>
          <t>A 45877-2020</t>
        </is>
      </c>
      <c r="B597" s="1" t="n">
        <v>44091</v>
      </c>
      <c r="C597" s="1" t="n">
        <v>45822</v>
      </c>
      <c r="D597" t="inlineStr">
        <is>
          <t>KALMAR LÄN</t>
        </is>
      </c>
      <c r="E597" t="inlineStr">
        <is>
          <t>VÄSTERVIK</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46214-2020</t>
        </is>
      </c>
      <c r="B598" s="1" t="n">
        <v>44092</v>
      </c>
      <c r="C598" s="1" t="n">
        <v>45822</v>
      </c>
      <c r="D598" t="inlineStr">
        <is>
          <t>KALMAR LÄN</t>
        </is>
      </c>
      <c r="E598" t="inlineStr">
        <is>
          <t>VÄSTERVIK</t>
        </is>
      </c>
      <c r="G598" t="n">
        <v>2.7</v>
      </c>
      <c r="H598" t="n">
        <v>0</v>
      </c>
      <c r="I598" t="n">
        <v>0</v>
      </c>
      <c r="J598" t="n">
        <v>0</v>
      </c>
      <c r="K598" t="n">
        <v>0</v>
      </c>
      <c r="L598" t="n">
        <v>0</v>
      </c>
      <c r="M598" t="n">
        <v>0</v>
      </c>
      <c r="N598" t="n">
        <v>0</v>
      </c>
      <c r="O598" t="n">
        <v>0</v>
      </c>
      <c r="P598" t="n">
        <v>0</v>
      </c>
      <c r="Q598" t="n">
        <v>0</v>
      </c>
      <c r="R598" s="2" t="inlineStr"/>
    </row>
    <row r="599" ht="15" customHeight="1">
      <c r="A599" t="inlineStr">
        <is>
          <t>A 46822-2020</t>
        </is>
      </c>
      <c r="B599" s="1" t="n">
        <v>44096</v>
      </c>
      <c r="C599" s="1" t="n">
        <v>45822</v>
      </c>
      <c r="D599" t="inlineStr">
        <is>
          <t>KALMAR LÄN</t>
        </is>
      </c>
      <c r="E599" t="inlineStr">
        <is>
          <t>VÄSTERVIK</t>
        </is>
      </c>
      <c r="G599" t="n">
        <v>0.2</v>
      </c>
      <c r="H599" t="n">
        <v>0</v>
      </c>
      <c r="I599" t="n">
        <v>0</v>
      </c>
      <c r="J599" t="n">
        <v>0</v>
      </c>
      <c r="K599" t="n">
        <v>0</v>
      </c>
      <c r="L599" t="n">
        <v>0</v>
      </c>
      <c r="M599" t="n">
        <v>0</v>
      </c>
      <c r="N599" t="n">
        <v>0</v>
      </c>
      <c r="O599" t="n">
        <v>0</v>
      </c>
      <c r="P599" t="n">
        <v>0</v>
      </c>
      <c r="Q599" t="n">
        <v>0</v>
      </c>
      <c r="R599" s="2" t="inlineStr"/>
    </row>
    <row r="600" ht="15" customHeight="1">
      <c r="A600" t="inlineStr">
        <is>
          <t>A 47907-2020</t>
        </is>
      </c>
      <c r="B600" s="1" t="n">
        <v>44099</v>
      </c>
      <c r="C600" s="1" t="n">
        <v>45822</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row>
    <row r="601" ht="15" customHeight="1">
      <c r="A601" t="inlineStr">
        <is>
          <t>A 48135-2020</t>
        </is>
      </c>
      <c r="B601" s="1" t="n">
        <v>44099</v>
      </c>
      <c r="C601" s="1" t="n">
        <v>45822</v>
      </c>
      <c r="D601" t="inlineStr">
        <is>
          <t>KALMAR LÄN</t>
        </is>
      </c>
      <c r="E601" t="inlineStr">
        <is>
          <t>VÄSTERVIK</t>
        </is>
      </c>
      <c r="G601" t="n">
        <v>3.2</v>
      </c>
      <c r="H601" t="n">
        <v>0</v>
      </c>
      <c r="I601" t="n">
        <v>0</v>
      </c>
      <c r="J601" t="n">
        <v>0</v>
      </c>
      <c r="K601" t="n">
        <v>0</v>
      </c>
      <c r="L601" t="n">
        <v>0</v>
      </c>
      <c r="M601" t="n">
        <v>0</v>
      </c>
      <c r="N601" t="n">
        <v>0</v>
      </c>
      <c r="O601" t="n">
        <v>0</v>
      </c>
      <c r="P601" t="n">
        <v>0</v>
      </c>
      <c r="Q601" t="n">
        <v>0</v>
      </c>
      <c r="R601" s="2" t="inlineStr"/>
    </row>
    <row r="602" ht="15" customHeight="1">
      <c r="A602" t="inlineStr">
        <is>
          <t>A 50821-2020</t>
        </is>
      </c>
      <c r="B602" s="1" t="n">
        <v>44111</v>
      </c>
      <c r="C602" s="1" t="n">
        <v>45822</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50800-2020</t>
        </is>
      </c>
      <c r="B603" s="1" t="n">
        <v>44111</v>
      </c>
      <c r="C603" s="1" t="n">
        <v>45822</v>
      </c>
      <c r="D603" t="inlineStr">
        <is>
          <t>KALMAR LÄN</t>
        </is>
      </c>
      <c r="E603" t="inlineStr">
        <is>
          <t>VÄSTERVIK</t>
        </is>
      </c>
      <c r="G603" t="n">
        <v>0.4</v>
      </c>
      <c r="H603" t="n">
        <v>0</v>
      </c>
      <c r="I603" t="n">
        <v>0</v>
      </c>
      <c r="J603" t="n">
        <v>0</v>
      </c>
      <c r="K603" t="n">
        <v>0</v>
      </c>
      <c r="L603" t="n">
        <v>0</v>
      </c>
      <c r="M603" t="n">
        <v>0</v>
      </c>
      <c r="N603" t="n">
        <v>0</v>
      </c>
      <c r="O603" t="n">
        <v>0</v>
      </c>
      <c r="P603" t="n">
        <v>0</v>
      </c>
      <c r="Q603" t="n">
        <v>0</v>
      </c>
      <c r="R603" s="2" t="inlineStr"/>
    </row>
    <row r="604" ht="15" customHeight="1">
      <c r="A604" t="inlineStr">
        <is>
          <t>A 51264-2020</t>
        </is>
      </c>
      <c r="B604" s="1" t="n">
        <v>44112</v>
      </c>
      <c r="C604" s="1" t="n">
        <v>45822</v>
      </c>
      <c r="D604" t="inlineStr">
        <is>
          <t>KALMAR LÄN</t>
        </is>
      </c>
      <c r="E604" t="inlineStr">
        <is>
          <t>VÄSTERVIK</t>
        </is>
      </c>
      <c r="G604" t="n">
        <v>0.7</v>
      </c>
      <c r="H604" t="n">
        <v>0</v>
      </c>
      <c r="I604" t="n">
        <v>0</v>
      </c>
      <c r="J604" t="n">
        <v>0</v>
      </c>
      <c r="K604" t="n">
        <v>0</v>
      </c>
      <c r="L604" t="n">
        <v>0</v>
      </c>
      <c r="M604" t="n">
        <v>0</v>
      </c>
      <c r="N604" t="n">
        <v>0</v>
      </c>
      <c r="O604" t="n">
        <v>0</v>
      </c>
      <c r="P604" t="n">
        <v>0</v>
      </c>
      <c r="Q604" t="n">
        <v>0</v>
      </c>
      <c r="R604" s="2" t="inlineStr"/>
    </row>
    <row r="605" ht="15" customHeight="1">
      <c r="A605" t="inlineStr">
        <is>
          <t>A 54164-2020</t>
        </is>
      </c>
      <c r="B605" s="1" t="n">
        <v>44125</v>
      </c>
      <c r="C605" s="1" t="n">
        <v>45822</v>
      </c>
      <c r="D605" t="inlineStr">
        <is>
          <t>KALMAR LÄN</t>
        </is>
      </c>
      <c r="E605" t="inlineStr">
        <is>
          <t>VÄSTERVIK</t>
        </is>
      </c>
      <c r="F605" t="inlineStr">
        <is>
          <t>Sveaskog</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55240-2020</t>
        </is>
      </c>
      <c r="B606" s="1" t="n">
        <v>44130</v>
      </c>
      <c r="C606" s="1" t="n">
        <v>45822</v>
      </c>
      <c r="D606" t="inlineStr">
        <is>
          <t>KALMAR LÄN</t>
        </is>
      </c>
      <c r="E606" t="inlineStr">
        <is>
          <t>VÄSTERVIK</t>
        </is>
      </c>
      <c r="G606" t="n">
        <v>1.2</v>
      </c>
      <c r="H606" t="n">
        <v>0</v>
      </c>
      <c r="I606" t="n">
        <v>0</v>
      </c>
      <c r="J606" t="n">
        <v>0</v>
      </c>
      <c r="K606" t="n">
        <v>0</v>
      </c>
      <c r="L606" t="n">
        <v>0</v>
      </c>
      <c r="M606" t="n">
        <v>0</v>
      </c>
      <c r="N606" t="n">
        <v>0</v>
      </c>
      <c r="O606" t="n">
        <v>0</v>
      </c>
      <c r="P606" t="n">
        <v>0</v>
      </c>
      <c r="Q606" t="n">
        <v>0</v>
      </c>
      <c r="R606" s="2" t="inlineStr"/>
    </row>
    <row r="607" ht="15" customHeight="1">
      <c r="A607" t="inlineStr">
        <is>
          <t>A 56127-2020</t>
        </is>
      </c>
      <c r="B607" s="1" t="n">
        <v>44132</v>
      </c>
      <c r="C607" s="1" t="n">
        <v>45822</v>
      </c>
      <c r="D607" t="inlineStr">
        <is>
          <t>KALMAR LÄN</t>
        </is>
      </c>
      <c r="E607" t="inlineStr">
        <is>
          <t>VÄSTERVIK</t>
        </is>
      </c>
      <c r="G607" t="n">
        <v>1.6</v>
      </c>
      <c r="H607" t="n">
        <v>0</v>
      </c>
      <c r="I607" t="n">
        <v>0</v>
      </c>
      <c r="J607" t="n">
        <v>0</v>
      </c>
      <c r="K607" t="n">
        <v>0</v>
      </c>
      <c r="L607" t="n">
        <v>0</v>
      </c>
      <c r="M607" t="n">
        <v>0</v>
      </c>
      <c r="N607" t="n">
        <v>0</v>
      </c>
      <c r="O607" t="n">
        <v>0</v>
      </c>
      <c r="P607" t="n">
        <v>0</v>
      </c>
      <c r="Q607" t="n">
        <v>0</v>
      </c>
      <c r="R607" s="2" t="inlineStr"/>
    </row>
    <row r="608" ht="15" customHeight="1">
      <c r="A608" t="inlineStr">
        <is>
          <t>A 57009-2020</t>
        </is>
      </c>
      <c r="B608" s="1" t="n">
        <v>44138</v>
      </c>
      <c r="C608" s="1" t="n">
        <v>45822</v>
      </c>
      <c r="D608" t="inlineStr">
        <is>
          <t>KALMAR LÄN</t>
        </is>
      </c>
      <c r="E608" t="inlineStr">
        <is>
          <t>VÄSTERVIK</t>
        </is>
      </c>
      <c r="F608" t="inlineStr">
        <is>
          <t>Holmen skog AB</t>
        </is>
      </c>
      <c r="G608" t="n">
        <v>1.7</v>
      </c>
      <c r="H608" t="n">
        <v>0</v>
      </c>
      <c r="I608" t="n">
        <v>0</v>
      </c>
      <c r="J608" t="n">
        <v>0</v>
      </c>
      <c r="K608" t="n">
        <v>0</v>
      </c>
      <c r="L608" t="n">
        <v>0</v>
      </c>
      <c r="M608" t="n">
        <v>0</v>
      </c>
      <c r="N608" t="n">
        <v>0</v>
      </c>
      <c r="O608" t="n">
        <v>0</v>
      </c>
      <c r="P608" t="n">
        <v>0</v>
      </c>
      <c r="Q608" t="n">
        <v>0</v>
      </c>
      <c r="R608" s="2" t="inlineStr"/>
      <c r="U608">
        <f>HYPERLINK("https://klasma.github.io/Logging_0883/knärot/A 57009-2020 karta knärot.png", "A 57009-2020")</f>
        <v/>
      </c>
      <c r="V608">
        <f>HYPERLINK("https://klasma.github.io/Logging_0883/klagomål/A 57009-2020 FSC-klagomål.docx", "A 57009-2020")</f>
        <v/>
      </c>
      <c r="W608">
        <f>HYPERLINK("https://klasma.github.io/Logging_0883/klagomålsmail/A 57009-2020 FSC-klagomål mail.docx", "A 57009-2020")</f>
        <v/>
      </c>
      <c r="X608">
        <f>HYPERLINK("https://klasma.github.io/Logging_0883/tillsyn/A 57009-2020 tillsynsbegäran.docx", "A 57009-2020")</f>
        <v/>
      </c>
      <c r="Y608">
        <f>HYPERLINK("https://klasma.github.io/Logging_0883/tillsynsmail/A 57009-2020 tillsynsbegäran mail.docx", "A 57009-2020")</f>
        <v/>
      </c>
    </row>
    <row r="609" ht="15" customHeight="1">
      <c r="A609" t="inlineStr">
        <is>
          <t>A 57065-2020</t>
        </is>
      </c>
      <c r="B609" s="1" t="n">
        <v>44138</v>
      </c>
      <c r="C609" s="1" t="n">
        <v>45822</v>
      </c>
      <c r="D609" t="inlineStr">
        <is>
          <t>KALMAR LÄN</t>
        </is>
      </c>
      <c r="E609" t="inlineStr">
        <is>
          <t>VÄSTERVIK</t>
        </is>
      </c>
      <c r="G609" t="n">
        <v>3.7</v>
      </c>
      <c r="H609" t="n">
        <v>0</v>
      </c>
      <c r="I609" t="n">
        <v>0</v>
      </c>
      <c r="J609" t="n">
        <v>0</v>
      </c>
      <c r="K609" t="n">
        <v>0</v>
      </c>
      <c r="L609" t="n">
        <v>0</v>
      </c>
      <c r="M609" t="n">
        <v>0</v>
      </c>
      <c r="N609" t="n">
        <v>0</v>
      </c>
      <c r="O609" t="n">
        <v>0</v>
      </c>
      <c r="P609" t="n">
        <v>0</v>
      </c>
      <c r="Q609" t="n">
        <v>0</v>
      </c>
      <c r="R609" s="2" t="inlineStr"/>
    </row>
    <row r="610" ht="15" customHeight="1">
      <c r="A610" t="inlineStr">
        <is>
          <t>A 58041-2020</t>
        </is>
      </c>
      <c r="B610" s="1" t="n">
        <v>44140</v>
      </c>
      <c r="C610" s="1" t="n">
        <v>45822</v>
      </c>
      <c r="D610" t="inlineStr">
        <is>
          <t>KALMAR LÄN</t>
        </is>
      </c>
      <c r="E610" t="inlineStr">
        <is>
          <t>VÄSTERVIK</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57922-2020</t>
        </is>
      </c>
      <c r="B611" s="1" t="n">
        <v>44141</v>
      </c>
      <c r="C611" s="1" t="n">
        <v>45822</v>
      </c>
      <c r="D611" t="inlineStr">
        <is>
          <t>KALMAR LÄN</t>
        </is>
      </c>
      <c r="E611" t="inlineStr">
        <is>
          <t>VÄSTERVIK</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58800-2020</t>
        </is>
      </c>
      <c r="B612" s="1" t="n">
        <v>44146</v>
      </c>
      <c r="C612" s="1" t="n">
        <v>45822</v>
      </c>
      <c r="D612" t="inlineStr">
        <is>
          <t>KALMAR LÄN</t>
        </is>
      </c>
      <c r="E612" t="inlineStr">
        <is>
          <t>VÄSTERVIK</t>
        </is>
      </c>
      <c r="G612" t="n">
        <v>1.9</v>
      </c>
      <c r="H612" t="n">
        <v>0</v>
      </c>
      <c r="I612" t="n">
        <v>0</v>
      </c>
      <c r="J612" t="n">
        <v>0</v>
      </c>
      <c r="K612" t="n">
        <v>0</v>
      </c>
      <c r="L612" t="n">
        <v>0</v>
      </c>
      <c r="M612" t="n">
        <v>0</v>
      </c>
      <c r="N612" t="n">
        <v>0</v>
      </c>
      <c r="O612" t="n">
        <v>0</v>
      </c>
      <c r="P612" t="n">
        <v>0</v>
      </c>
      <c r="Q612" t="n">
        <v>0</v>
      </c>
      <c r="R612" s="2" t="inlineStr"/>
    </row>
    <row r="613" ht="15" customHeight="1">
      <c r="A613" t="inlineStr">
        <is>
          <t>A 59421-2020</t>
        </is>
      </c>
      <c r="B613" s="1" t="n">
        <v>44148</v>
      </c>
      <c r="C613" s="1" t="n">
        <v>45822</v>
      </c>
      <c r="D613" t="inlineStr">
        <is>
          <t>KALMAR LÄN</t>
        </is>
      </c>
      <c r="E613" t="inlineStr">
        <is>
          <t>VÄSTERVIK</t>
        </is>
      </c>
      <c r="G613" t="n">
        <v>1.4</v>
      </c>
      <c r="H613" t="n">
        <v>0</v>
      </c>
      <c r="I613" t="n">
        <v>0</v>
      </c>
      <c r="J613" t="n">
        <v>0</v>
      </c>
      <c r="K613" t="n">
        <v>0</v>
      </c>
      <c r="L613" t="n">
        <v>0</v>
      </c>
      <c r="M613" t="n">
        <v>0</v>
      </c>
      <c r="N613" t="n">
        <v>0</v>
      </c>
      <c r="O613" t="n">
        <v>0</v>
      </c>
      <c r="P613" t="n">
        <v>0</v>
      </c>
      <c r="Q613" t="n">
        <v>0</v>
      </c>
      <c r="R613" s="2" t="inlineStr"/>
    </row>
    <row r="614" ht="15" customHeight="1">
      <c r="A614" t="inlineStr">
        <is>
          <t>A 59634-2020</t>
        </is>
      </c>
      <c r="B614" s="1" t="n">
        <v>44150</v>
      </c>
      <c r="C614" s="1" t="n">
        <v>45822</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61682-2020</t>
        </is>
      </c>
      <c r="B615" s="1" t="n">
        <v>44154</v>
      </c>
      <c r="C615" s="1" t="n">
        <v>45822</v>
      </c>
      <c r="D615" t="inlineStr">
        <is>
          <t>KALMAR LÄN</t>
        </is>
      </c>
      <c r="E615" t="inlineStr">
        <is>
          <t>VÄSTERVIK</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61696-2020</t>
        </is>
      </c>
      <c r="B616" s="1" t="n">
        <v>44158</v>
      </c>
      <c r="C616" s="1" t="n">
        <v>45822</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61799-2020</t>
        </is>
      </c>
      <c r="B617" s="1" t="n">
        <v>44158</v>
      </c>
      <c r="C617" s="1" t="n">
        <v>45822</v>
      </c>
      <c r="D617" t="inlineStr">
        <is>
          <t>KALMAR LÄN</t>
        </is>
      </c>
      <c r="E617" t="inlineStr">
        <is>
          <t>VÄSTERVIK</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63635-2020</t>
        </is>
      </c>
      <c r="B618" s="1" t="n">
        <v>44162</v>
      </c>
      <c r="C618" s="1" t="n">
        <v>45822</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63212-2020</t>
        </is>
      </c>
      <c r="B619" s="1" t="n">
        <v>44163</v>
      </c>
      <c r="C619" s="1" t="n">
        <v>45822</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64399-2020</t>
        </is>
      </c>
      <c r="B620" s="1" t="n">
        <v>44168</v>
      </c>
      <c r="C620" s="1" t="n">
        <v>45822</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66149-2020</t>
        </is>
      </c>
      <c r="B621" s="1" t="n">
        <v>44173</v>
      </c>
      <c r="C621" s="1" t="n">
        <v>45822</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65647-2020</t>
        </is>
      </c>
      <c r="B622" s="1" t="n">
        <v>44174</v>
      </c>
      <c r="C622" s="1" t="n">
        <v>45822</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66748-2020</t>
        </is>
      </c>
      <c r="B623" s="1" t="n">
        <v>44175</v>
      </c>
      <c r="C623" s="1" t="n">
        <v>45822</v>
      </c>
      <c r="D623" t="inlineStr">
        <is>
          <t>KALMAR LÄN</t>
        </is>
      </c>
      <c r="E623" t="inlineStr">
        <is>
          <t>VÄSTERVIK</t>
        </is>
      </c>
      <c r="G623" t="n">
        <v>2.2</v>
      </c>
      <c r="H623" t="n">
        <v>0</v>
      </c>
      <c r="I623" t="n">
        <v>0</v>
      </c>
      <c r="J623" t="n">
        <v>0</v>
      </c>
      <c r="K623" t="n">
        <v>0</v>
      </c>
      <c r="L623" t="n">
        <v>0</v>
      </c>
      <c r="M623" t="n">
        <v>0</v>
      </c>
      <c r="N623" t="n">
        <v>0</v>
      </c>
      <c r="O623" t="n">
        <v>0</v>
      </c>
      <c r="P623" t="n">
        <v>0</v>
      </c>
      <c r="Q623" t="n">
        <v>0</v>
      </c>
      <c r="R623" s="2" t="inlineStr"/>
    </row>
    <row r="624" ht="15" customHeight="1">
      <c r="A624" t="inlineStr">
        <is>
          <t>A 66757-2020</t>
        </is>
      </c>
      <c r="B624" s="1" t="n">
        <v>44175</v>
      </c>
      <c r="C624" s="1" t="n">
        <v>45822</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66328-2020</t>
        </is>
      </c>
      <c r="B625" s="1" t="n">
        <v>44176</v>
      </c>
      <c r="C625" s="1" t="n">
        <v>45822</v>
      </c>
      <c r="D625" t="inlineStr">
        <is>
          <t>KALMAR LÄN</t>
        </is>
      </c>
      <c r="E625" t="inlineStr">
        <is>
          <t>VÄSTERVIK</t>
        </is>
      </c>
      <c r="G625" t="n">
        <v>1.4</v>
      </c>
      <c r="H625" t="n">
        <v>0</v>
      </c>
      <c r="I625" t="n">
        <v>0</v>
      </c>
      <c r="J625" t="n">
        <v>0</v>
      </c>
      <c r="K625" t="n">
        <v>0</v>
      </c>
      <c r="L625" t="n">
        <v>0</v>
      </c>
      <c r="M625" t="n">
        <v>0</v>
      </c>
      <c r="N625" t="n">
        <v>0</v>
      </c>
      <c r="O625" t="n">
        <v>0</v>
      </c>
      <c r="P625" t="n">
        <v>0</v>
      </c>
      <c r="Q625" t="n">
        <v>0</v>
      </c>
      <c r="R625" s="2" t="inlineStr"/>
    </row>
    <row r="626" ht="15" customHeight="1">
      <c r="A626" t="inlineStr">
        <is>
          <t>A 66292-2020</t>
        </is>
      </c>
      <c r="B626" s="1" t="n">
        <v>44176</v>
      </c>
      <c r="C626" s="1" t="n">
        <v>45822</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66888-2020</t>
        </is>
      </c>
      <c r="B627" s="1" t="n">
        <v>44179</v>
      </c>
      <c r="C627" s="1" t="n">
        <v>45822</v>
      </c>
      <c r="D627" t="inlineStr">
        <is>
          <t>KALMAR LÄN</t>
        </is>
      </c>
      <c r="E627" t="inlineStr">
        <is>
          <t>VÄSTERVIK</t>
        </is>
      </c>
      <c r="G627" t="n">
        <v>0.3</v>
      </c>
      <c r="H627" t="n">
        <v>0</v>
      </c>
      <c r="I627" t="n">
        <v>0</v>
      </c>
      <c r="J627" t="n">
        <v>0</v>
      </c>
      <c r="K627" t="n">
        <v>0</v>
      </c>
      <c r="L627" t="n">
        <v>0</v>
      </c>
      <c r="M627" t="n">
        <v>0</v>
      </c>
      <c r="N627" t="n">
        <v>0</v>
      </c>
      <c r="O627" t="n">
        <v>0</v>
      </c>
      <c r="P627" t="n">
        <v>0</v>
      </c>
      <c r="Q627" t="n">
        <v>0</v>
      </c>
      <c r="R627" s="2" t="inlineStr"/>
    </row>
    <row r="628" ht="15" customHeight="1">
      <c r="A628" t="inlineStr">
        <is>
          <t>A 67133-2020</t>
        </is>
      </c>
      <c r="B628" s="1" t="n">
        <v>44180</v>
      </c>
      <c r="C628" s="1" t="n">
        <v>45822</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68811-2020</t>
        </is>
      </c>
      <c r="B629" s="1" t="n">
        <v>44187</v>
      </c>
      <c r="C629" s="1" t="n">
        <v>45822</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69098-2020</t>
        </is>
      </c>
      <c r="B630" s="1" t="n">
        <v>44187</v>
      </c>
      <c r="C630" s="1" t="n">
        <v>45822</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69064-2020</t>
        </is>
      </c>
      <c r="B631" s="1" t="n">
        <v>44188</v>
      </c>
      <c r="C631" s="1" t="n">
        <v>45822</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119-2021</t>
        </is>
      </c>
      <c r="B632" s="1" t="n">
        <v>44200</v>
      </c>
      <c r="C632" s="1" t="n">
        <v>45822</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401-2021</t>
        </is>
      </c>
      <c r="B633" s="1" t="n">
        <v>44201</v>
      </c>
      <c r="C633" s="1" t="n">
        <v>45822</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410-2021</t>
        </is>
      </c>
      <c r="B634" s="1" t="n">
        <v>44201</v>
      </c>
      <c r="C634" s="1" t="n">
        <v>45822</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578-2021</t>
        </is>
      </c>
      <c r="B635" s="1" t="n">
        <v>44203</v>
      </c>
      <c r="C635" s="1" t="n">
        <v>45822</v>
      </c>
      <c r="D635" t="inlineStr">
        <is>
          <t>KALMAR LÄN</t>
        </is>
      </c>
      <c r="E635" t="inlineStr">
        <is>
          <t>VÄSTERVIK</t>
        </is>
      </c>
      <c r="G635" t="n">
        <v>3.5</v>
      </c>
      <c r="H635" t="n">
        <v>0</v>
      </c>
      <c r="I635" t="n">
        <v>0</v>
      </c>
      <c r="J635" t="n">
        <v>0</v>
      </c>
      <c r="K635" t="n">
        <v>0</v>
      </c>
      <c r="L635" t="n">
        <v>0</v>
      </c>
      <c r="M635" t="n">
        <v>0</v>
      </c>
      <c r="N635" t="n">
        <v>0</v>
      </c>
      <c r="O635" t="n">
        <v>0</v>
      </c>
      <c r="P635" t="n">
        <v>0</v>
      </c>
      <c r="Q635" t="n">
        <v>0</v>
      </c>
      <c r="R635" s="2" t="inlineStr"/>
    </row>
    <row r="636" ht="15" customHeight="1">
      <c r="A636" t="inlineStr">
        <is>
          <t>A 809-2021</t>
        </is>
      </c>
      <c r="B636" s="1" t="n">
        <v>44204</v>
      </c>
      <c r="C636" s="1" t="n">
        <v>45822</v>
      </c>
      <c r="D636" t="inlineStr">
        <is>
          <t>KALMAR LÄN</t>
        </is>
      </c>
      <c r="E636" t="inlineStr">
        <is>
          <t>VÄSTERVIK</t>
        </is>
      </c>
      <c r="F636" t="inlineStr">
        <is>
          <t>Övriga Aktiebolag</t>
        </is>
      </c>
      <c r="G636" t="n">
        <v>2.8</v>
      </c>
      <c r="H636" t="n">
        <v>0</v>
      </c>
      <c r="I636" t="n">
        <v>0</v>
      </c>
      <c r="J636" t="n">
        <v>0</v>
      </c>
      <c r="K636" t="n">
        <v>0</v>
      </c>
      <c r="L636" t="n">
        <v>0</v>
      </c>
      <c r="M636" t="n">
        <v>0</v>
      </c>
      <c r="N636" t="n">
        <v>0</v>
      </c>
      <c r="O636" t="n">
        <v>0</v>
      </c>
      <c r="P636" t="n">
        <v>0</v>
      </c>
      <c r="Q636" t="n">
        <v>0</v>
      </c>
      <c r="R636" s="2" t="inlineStr"/>
    </row>
    <row r="637" ht="15" customHeight="1">
      <c r="A637" t="inlineStr">
        <is>
          <t>A 789-2021</t>
        </is>
      </c>
      <c r="B637" s="1" t="n">
        <v>44204</v>
      </c>
      <c r="C637" s="1" t="n">
        <v>45822</v>
      </c>
      <c r="D637" t="inlineStr">
        <is>
          <t>KALMAR LÄN</t>
        </is>
      </c>
      <c r="E637" t="inlineStr">
        <is>
          <t>VÄSTERVIK</t>
        </is>
      </c>
      <c r="G637" t="n">
        <v>1.8</v>
      </c>
      <c r="H637" t="n">
        <v>0</v>
      </c>
      <c r="I637" t="n">
        <v>0</v>
      </c>
      <c r="J637" t="n">
        <v>0</v>
      </c>
      <c r="K637" t="n">
        <v>0</v>
      </c>
      <c r="L637" t="n">
        <v>0</v>
      </c>
      <c r="M637" t="n">
        <v>0</v>
      </c>
      <c r="N637" t="n">
        <v>0</v>
      </c>
      <c r="O637" t="n">
        <v>0</v>
      </c>
      <c r="P637" t="n">
        <v>0</v>
      </c>
      <c r="Q637" t="n">
        <v>0</v>
      </c>
      <c r="R637" s="2" t="inlineStr"/>
    </row>
    <row r="638" ht="15" customHeight="1">
      <c r="A638" t="inlineStr">
        <is>
          <t>A 1959-2021</t>
        </is>
      </c>
      <c r="B638" s="1" t="n">
        <v>44210</v>
      </c>
      <c r="C638" s="1" t="n">
        <v>45822</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2106-2021</t>
        </is>
      </c>
      <c r="B639" s="1" t="n">
        <v>44211</v>
      </c>
      <c r="C639" s="1" t="n">
        <v>45822</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3555-2021</t>
        </is>
      </c>
      <c r="B640" s="1" t="n">
        <v>44218</v>
      </c>
      <c r="C640" s="1" t="n">
        <v>45822</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3553-2021</t>
        </is>
      </c>
      <c r="B641" s="1" t="n">
        <v>44218</v>
      </c>
      <c r="C641" s="1" t="n">
        <v>45822</v>
      </c>
      <c r="D641" t="inlineStr">
        <is>
          <t>KALMAR LÄN</t>
        </is>
      </c>
      <c r="E641" t="inlineStr">
        <is>
          <t>VÄSTERVIK</t>
        </is>
      </c>
      <c r="G641" t="n">
        <v>1.6</v>
      </c>
      <c r="H641" t="n">
        <v>0</v>
      </c>
      <c r="I641" t="n">
        <v>0</v>
      </c>
      <c r="J641" t="n">
        <v>0</v>
      </c>
      <c r="K641" t="n">
        <v>0</v>
      </c>
      <c r="L641" t="n">
        <v>0</v>
      </c>
      <c r="M641" t="n">
        <v>0</v>
      </c>
      <c r="N641" t="n">
        <v>0</v>
      </c>
      <c r="O641" t="n">
        <v>0</v>
      </c>
      <c r="P641" t="n">
        <v>0</v>
      </c>
      <c r="Q641" t="n">
        <v>0</v>
      </c>
      <c r="R641" s="2" t="inlineStr"/>
    </row>
    <row r="642" ht="15" customHeight="1">
      <c r="A642" t="inlineStr">
        <is>
          <t>A 3492-2021</t>
        </is>
      </c>
      <c r="B642" s="1" t="n">
        <v>44218</v>
      </c>
      <c r="C642" s="1" t="n">
        <v>45822</v>
      </c>
      <c r="D642" t="inlineStr">
        <is>
          <t>KALMAR LÄN</t>
        </is>
      </c>
      <c r="E642" t="inlineStr">
        <is>
          <t>VÄSTERVIK</t>
        </is>
      </c>
      <c r="G642" t="n">
        <v>1</v>
      </c>
      <c r="H642" t="n">
        <v>0</v>
      </c>
      <c r="I642" t="n">
        <v>0</v>
      </c>
      <c r="J642" t="n">
        <v>0</v>
      </c>
      <c r="K642" t="n">
        <v>0</v>
      </c>
      <c r="L642" t="n">
        <v>0</v>
      </c>
      <c r="M642" t="n">
        <v>0</v>
      </c>
      <c r="N642" t="n">
        <v>0</v>
      </c>
      <c r="O642" t="n">
        <v>0</v>
      </c>
      <c r="P642" t="n">
        <v>0</v>
      </c>
      <c r="Q642" t="n">
        <v>0</v>
      </c>
      <c r="R642" s="2" t="inlineStr"/>
    </row>
    <row r="643" ht="15" customHeight="1">
      <c r="A643" t="inlineStr">
        <is>
          <t>A 3669-2021</t>
        </is>
      </c>
      <c r="B643" s="1" t="n">
        <v>44221</v>
      </c>
      <c r="C643" s="1" t="n">
        <v>45822</v>
      </c>
      <c r="D643" t="inlineStr">
        <is>
          <t>KALMAR LÄN</t>
        </is>
      </c>
      <c r="E643" t="inlineStr">
        <is>
          <t>VÄSTERVIK</t>
        </is>
      </c>
      <c r="G643" t="n">
        <v>2.7</v>
      </c>
      <c r="H643" t="n">
        <v>0</v>
      </c>
      <c r="I643" t="n">
        <v>0</v>
      </c>
      <c r="J643" t="n">
        <v>0</v>
      </c>
      <c r="K643" t="n">
        <v>0</v>
      </c>
      <c r="L643" t="n">
        <v>0</v>
      </c>
      <c r="M643" t="n">
        <v>0</v>
      </c>
      <c r="N643" t="n">
        <v>0</v>
      </c>
      <c r="O643" t="n">
        <v>0</v>
      </c>
      <c r="P643" t="n">
        <v>0</v>
      </c>
      <c r="Q643" t="n">
        <v>0</v>
      </c>
      <c r="R643" s="2" t="inlineStr"/>
    </row>
    <row r="644" ht="15" customHeight="1">
      <c r="A644" t="inlineStr">
        <is>
          <t>A 5510-2021</t>
        </is>
      </c>
      <c r="B644" s="1" t="n">
        <v>44230</v>
      </c>
      <c r="C644" s="1" t="n">
        <v>45822</v>
      </c>
      <c r="D644" t="inlineStr">
        <is>
          <t>KALMAR LÄN</t>
        </is>
      </c>
      <c r="E644" t="inlineStr">
        <is>
          <t>VÄSTERVIK</t>
        </is>
      </c>
      <c r="G644" t="n">
        <v>3.2</v>
      </c>
      <c r="H644" t="n">
        <v>0</v>
      </c>
      <c r="I644" t="n">
        <v>0</v>
      </c>
      <c r="J644" t="n">
        <v>0</v>
      </c>
      <c r="K644" t="n">
        <v>0</v>
      </c>
      <c r="L644" t="n">
        <v>0</v>
      </c>
      <c r="M644" t="n">
        <v>0</v>
      </c>
      <c r="N644" t="n">
        <v>0</v>
      </c>
      <c r="O644" t="n">
        <v>0</v>
      </c>
      <c r="P644" t="n">
        <v>0</v>
      </c>
      <c r="Q644" t="n">
        <v>0</v>
      </c>
      <c r="R644" s="2" t="inlineStr"/>
    </row>
    <row r="645" ht="15" customHeight="1">
      <c r="A645" t="inlineStr">
        <is>
          <t>A 5575-2021</t>
        </is>
      </c>
      <c r="B645" s="1" t="n">
        <v>44230</v>
      </c>
      <c r="C645" s="1" t="n">
        <v>45822</v>
      </c>
      <c r="D645" t="inlineStr">
        <is>
          <t>KALMAR LÄN</t>
        </is>
      </c>
      <c r="E645" t="inlineStr">
        <is>
          <t>VÄSTERVIK</t>
        </is>
      </c>
      <c r="G645" t="n">
        <v>2.6</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45822</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45822</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45822</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45822</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45822</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45822</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45822</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45822</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45822</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45822</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45822</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45822</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45822</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45822</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45822</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45822</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45822</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45822</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45822</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45822</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45822</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45822</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45822</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45822</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45822</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45822</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45822</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45822</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45822</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45822</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45822</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45822</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45822</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45822</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45822</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45822</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45822</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45822</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45822</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45822</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45822</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45822</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45822</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45822</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45822</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45822</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45822</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45822</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45822</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45822</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45822</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45822</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45822</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45822</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45822</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45822</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45822</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45822</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45822</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45822</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45822</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45822</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45822</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45822</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45822</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45822</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45822</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45822</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45822</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45822</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45822</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45822</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45822</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45822</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45822</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45822</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45822</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45822</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45822</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45822</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45822</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45822</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45822</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45822</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45822</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45822</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45822</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45822</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45822</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45822</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45822</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45822</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45822</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45822</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45822</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45822</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45822</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45822</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45822</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45822</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45822</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45822</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45822</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45822</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45822</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45822</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45822</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45822</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45822</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45822</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45822</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45822</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45822</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45822</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45822</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45822</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45822</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45822</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45822</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45822</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45822</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45822</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45822</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45822</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45822</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45822</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45822</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45822</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45822</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45822</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45822</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45822</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45822</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45822</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45822</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45822</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45822</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45822</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45822</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45822</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45822</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45822</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45822</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45822</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45822</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45822</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45822</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45822</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45822</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45822</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45822</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45822</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45822</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45822</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45822</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45822</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45822</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45822</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45822</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45822</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45822</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45822</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45822</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45822</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45822</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45822</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45822</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45822</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45822</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45822</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45822</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45822</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45822</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45822</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45822</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45822</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45822</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45822</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45822</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45822</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45822</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45822</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45822</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45822</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45822</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45822</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45822</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45822</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45822</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45822</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45822</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45822</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45822</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45822</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45822</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45822</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45822</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45822</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45822</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45822</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45822</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45822</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45822</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45822</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45822</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45822</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45822</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45822</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45822</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45822</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45822</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45822</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45822</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45822</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45822</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45822</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45822</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45822</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45822</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45822</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45822</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45822</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45822</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45822</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45822</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45822</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45822</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45822</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45822</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45822</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45822</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45822</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45822</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45822</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45822</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45822</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45822</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45822</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45822</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45822</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45822</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45822</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45822</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45822</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45822</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45822</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45822</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45822</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45822</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45822</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45822</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45822</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45822</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45822</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45822</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45822</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45822</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45822</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45822</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45822</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45822</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45822</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45822</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45822</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45822</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45822</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45822</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45822</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45822</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45822</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45822</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45822</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45822</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45822</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45822</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45822</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45822</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45822</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45822</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45822</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45822</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45822</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45822</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45822</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45822</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45822</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45822</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45822</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45822</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45822</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45822</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45822</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45822</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45822</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45822</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45822</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45822</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45822</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45822</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45822</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45822</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45822</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45822</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45822</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45822</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45822</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45822</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45822</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45822</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45822</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45822</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45822</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45822</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45822</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45822</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45822</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45822</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45822</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45822</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45822</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45822</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45822</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45822</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45822</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45822</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45822</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45822</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45822</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45822</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45822</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45822</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45822</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45822</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45822</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45822</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45822</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45822</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45822</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45822</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45822</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45822</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45822</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45822</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45822</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45822</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45822</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45822</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45822</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45822</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45822</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45822</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45822</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45822</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45822</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45822</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45822</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45822</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45822</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45822</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45822</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45822</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45822</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45822</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45822</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45822</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45822</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45822</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45822</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45822</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45822</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45822</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45822</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45822</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45822</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45822</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45822</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45822</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45822</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45822</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45822</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45822</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45822</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45822</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45822</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45822</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45822</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45822</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45822</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45822</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45822</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45822</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45822</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45822</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45822</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45822</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45822</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45822</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45822</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45822</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45822</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45822</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45822</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45822</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45822</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45822</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45822</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45822</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45822</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45822</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45822</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45822</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45822</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45822</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45822</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45822</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45822</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45822</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45822</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45822</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45822</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45822</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45822</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45822</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45822</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45822</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45822</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45822</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45822</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45822</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45822</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45822</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45822</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45822</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45822</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45822</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45822</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45822</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45822</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45822</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45822</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45822</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45822</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45822</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45822</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45822</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45822</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45822</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45822</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45822</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45822</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45822</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45822</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45822</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45822</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45822</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45822</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45822</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45822</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45822</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45822</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45822</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45822</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45822</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45822</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45822</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45822</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45822</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45822</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45822</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45822</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45822</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45822</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45822</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45822</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45822</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45822</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45822</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45822</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45822</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45822</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45822</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45822</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45822</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45822</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45822</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45822</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45822</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45822</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45822</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45822</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45822</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45822</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45822</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45822</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45822</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45822</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45822</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45822</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45822</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45822</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45822</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45822</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45822</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45822</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45822</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45822</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45822</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45822</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45822</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45822</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45822</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45822</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45822</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45822</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45822</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45822</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45822</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45822</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45822</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45822</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45822</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45822</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45822</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45822</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45822</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45822</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45822</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45822</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45822</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45822</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45822</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45822</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45822</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45822</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45822</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45822</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45822</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45822</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45822</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45822</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45822</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45822</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45822</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45822</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45822</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45822</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45822</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45822</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45822</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45822</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45822</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45822</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45822</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45822</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45822</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45822</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45822</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45822</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45822</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45822</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45822</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45822</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45822</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45822</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45822</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45822</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45822</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45822</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45822</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45822</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45822</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45822</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45822</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45822</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45822</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45822</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45822</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45822</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45822</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45822</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45822</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45822</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45822</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45822</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45822</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45822</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45822</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45822</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45822</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45822</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45822</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45822</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45822</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45822</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45822</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45822</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45822</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45822</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45822</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45822</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45822</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45822</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45822</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45822</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45822</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45822</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45822</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45822</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45822</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45822</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45822</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45822</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45822</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45822</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45822</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45822</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45822</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45822</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45822</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45822</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45822</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45822</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45822</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45822</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45822</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45822</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45822</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45822</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45822</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45822</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45822</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45822</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45822</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45822</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45822</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45822</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45822</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45822</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45822</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45822</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45822</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45822</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45822</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45822</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45822</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45822</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45822</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45822</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45822</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45822</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45822</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45822</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45822</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45822</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45822</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45822</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45822</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45822</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45822</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45822</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45822</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45822</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45822</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45822</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45822</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45822</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45822</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45822</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45822</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45822</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45822</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45822</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45822</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45822</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45822</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45822</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45822</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45822</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45822</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45822</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45822</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45822</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45822</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45822</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45822</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45822</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45822</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45822</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45822</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45822</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45822</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45822</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45822</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45822</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45822</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45822</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45822</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45822</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45822</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45822</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45822</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45822</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45822</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45822</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45822</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45822</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45822</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45822</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45822</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45822</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45822</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45822</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45822</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45822</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45822</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45822</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45822</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45822</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45822</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45822</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45822</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45822</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45822</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45822</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45822</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45822</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45822</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45822</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45822</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45822</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45822</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45822</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45822</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45822</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45822</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45822</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45822</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45822</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45822</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45822</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45822</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45822</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45822</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45822</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45822</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45822</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45822</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45822</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45822</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45822</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45822</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45822</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45822</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45822</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45822</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45822</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45822</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45822</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45822</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45822</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45822</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45822</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45822</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45822</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45822</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45822</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45822</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45822</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45822</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45822</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45822</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45822</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45822</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45822</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45822</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45822</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45822</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45822</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45822</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45822</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45822</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45822</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45822</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45822</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45822</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45822</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45822</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45822</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45822</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45822</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45822</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45822</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45822</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45822</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45822</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45822</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45822</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45822</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45822</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45822</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45822</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45822</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45822</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45822</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45822</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45822</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45822</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45822</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45822</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45822</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45822</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45822</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45822</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45822</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45822</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45822</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45822</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45822</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45822</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45822</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45822</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45822</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45822</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45822</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45822</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45822</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45822</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45822</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45822</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45822</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45822</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45822</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45822</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45822</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45822</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45822</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45822</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45822</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45822</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45822</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45822</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45822</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45822</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45822</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45822</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45822</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45822</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45822</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45822</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45822</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45822</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45822</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45822</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45822</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45822</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45822</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45822</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45822</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45822</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45822</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45822</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45822</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45822</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45822</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45822</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45822</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45822</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45822</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45822</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45822</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45822</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45822</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45822</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45822</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45822</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45822</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45822</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45822</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45822</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45822</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45822</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45822</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45822</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45822</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45822</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45822</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45822</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45822</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45822</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45822</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45822</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45822</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45822</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45822</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45822</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45822</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45822</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45822</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45822</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45822</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45822</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45822</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45822</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45822</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45822</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45822</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45822</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45822</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45822</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45822</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45822</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45822</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45822</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45822</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45822</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45822</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45822</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45822</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45822</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45822</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45822</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45822</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45822</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45822</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45822</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45822</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45822</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45822</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45822</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45822</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45822</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45822</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45822</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45822</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45822</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45822</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45822</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45822</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45822</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45822</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45822</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45822</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45822</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45822</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45822</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45822</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45822</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45822</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45822</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45822</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45822</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45822</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45822</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45822</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45822</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45822</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45822</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45822</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45822</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45822</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45822</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45822</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45822</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45822</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45822</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45822</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45822</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45822</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45822</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45822</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45822</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45822</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45822</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45822</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45822</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45822</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45822</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45822</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45822</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45822</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45822</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45822</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45822</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45822</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45822</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45822</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45822</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45822</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45822</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45822</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45822</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45822</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45822</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45822</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45822</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45822</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45822</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45822</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45822</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45822</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45822</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45822</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45822</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45822</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45822</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45822</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45822</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45822</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45822</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45822</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45822</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45822</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45822</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45822</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45822</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45822</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45822</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45822</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45822</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45822</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45822</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45822</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45822</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45822</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45822</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45822</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45822</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45822</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45822</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45822</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45822</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45822</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45822</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45822</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45822</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45822</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45822</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45822</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45822</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45822</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45822</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45822</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45822</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45822</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45822</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45822</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45822</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45822</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45822</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45822</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45822</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45822</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45822</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45822</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45822</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45822</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45822</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45822</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45822</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45822</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45822</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45822</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45822</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45822</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45822</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45822</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45822</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45822</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45822</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45822</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45822</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45822</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45822</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45822</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45822</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45822</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45822</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45822</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45822</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45822</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45822</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45822</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45822</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45822</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45822</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45822</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45822</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45822</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45822</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45822</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45822</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45822</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45822</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45822</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45822</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45822</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45822</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45822</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45822</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45822</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45822</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45822</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45822</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45822</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45822</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45822</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45822</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45822</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45822</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45822</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45822</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45822</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45822</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45822</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45822</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45822</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45822</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45822</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45822</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45822</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45822</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45822</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45822</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45822</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45822</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45822</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45822</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45822</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45822</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45822</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45822</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45822</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45822</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45822</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45822</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45822</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45822</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45822</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45822</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45822</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45822</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45822</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45822</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45822</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45822</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45822</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45822</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45822</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45822</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45822</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45822</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45822</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45822</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45822</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45822</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45822</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45822</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45822</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45822</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45822</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45822</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45822</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45822</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45822</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45822</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45822</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45822</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45822</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45822</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45822</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45822</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45822</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45822</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45822</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45822</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45822</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45822</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45822</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45822</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45822</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45822</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45822</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45822</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45822</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45822</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45822</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45822</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45822</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45822</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45822</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45822</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45822</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45822</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45822</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45822</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45822</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45822</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45822</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45822</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45822</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45822</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45822</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45822</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45822</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45822</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45822</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45822</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45822</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45822</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45822</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45822</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45822</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45822</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45822</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45822</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45822</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45822</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45822</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45822</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45822</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45822</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45822</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45822</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45822</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45822</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45822</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45822</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45822</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45822</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45822</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45822</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45822</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45822</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45822</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45822</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45822</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45822</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45822</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45822</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45822</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45822</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45822</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45822</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45822</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45822</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45822</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45822</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45822</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45822</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45822</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45822</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45822</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45822</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45822</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45822</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45822</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45822</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45822</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45822</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45822</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45822</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45822</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45822</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45822</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45822</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45822</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45822</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45822</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45822</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45822</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45822</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45822</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45822</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45822</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45822</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45822</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45822</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45822</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45822</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45822</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45822</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45822</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45822</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45822</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45822</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45822</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45822</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45822</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45822</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45822</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45822</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45822</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45822</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45822</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45822</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45822</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45822</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45822</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45822</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45822</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45822</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45822</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45822</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45822</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45822</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45822</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45822</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45822</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45822</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45822</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45822</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45822</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45822</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45822</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45822</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45822</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45822</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45822</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45822</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25827-2025</t>
        </is>
      </c>
      <c r="B1965" s="1" t="n">
        <v>45804</v>
      </c>
      <c r="C1965" s="1" t="n">
        <v>45822</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25819-2025</t>
        </is>
      </c>
      <c r="B1966" s="1" t="n">
        <v>45804</v>
      </c>
      <c r="C1966" s="1" t="n">
        <v>45822</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45822</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45822</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45822</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45822</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45822</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45822</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45822</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27978-2025</t>
        </is>
      </c>
      <c r="B1974" s="1" t="n">
        <v>45817</v>
      </c>
      <c r="C1974" s="1" t="n">
        <v>45822</v>
      </c>
      <c r="D1974" t="inlineStr">
        <is>
          <t>KALMAR LÄN</t>
        </is>
      </c>
      <c r="E1974" t="inlineStr">
        <is>
          <t>VÄSTERVIK</t>
        </is>
      </c>
      <c r="F1974" t="inlineStr">
        <is>
          <t>Sveaskog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27980-2025</t>
        </is>
      </c>
      <c r="B1975" s="1" t="n">
        <v>45817</v>
      </c>
      <c r="C1975" s="1" t="n">
        <v>45822</v>
      </c>
      <c r="D1975" t="inlineStr">
        <is>
          <t>KALMAR LÄN</t>
        </is>
      </c>
      <c r="E1975" t="inlineStr">
        <is>
          <t>VÄSTERVIK</t>
        </is>
      </c>
      <c r="F1975" t="inlineStr">
        <is>
          <t>Sveaskog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45822</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28096-2025</t>
        </is>
      </c>
      <c r="B1977" s="1" t="n">
        <v>45817</v>
      </c>
      <c r="C1977" s="1" t="n">
        <v>45822</v>
      </c>
      <c r="D1977" t="inlineStr">
        <is>
          <t>KALMAR LÄN</t>
        </is>
      </c>
      <c r="E1977" t="inlineStr">
        <is>
          <t>VÄSTERVIK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28098-2025</t>
        </is>
      </c>
      <c r="B1978" s="1" t="n">
        <v>45817</v>
      </c>
      <c r="C1978" s="1" t="n">
        <v>45822</v>
      </c>
      <c r="D1978" t="inlineStr">
        <is>
          <t>KALMAR LÄN</t>
        </is>
      </c>
      <c r="E1978" t="inlineStr">
        <is>
          <t>VÄSTERVIK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45822</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27991-2025</t>
        </is>
      </c>
      <c r="B1980" s="1" t="n">
        <v>45817</v>
      </c>
      <c r="C1980" s="1" t="n">
        <v>45822</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28260-2025</t>
        </is>
      </c>
      <c r="B1981" s="1" t="n">
        <v>45818</v>
      </c>
      <c r="C1981" s="1" t="n">
        <v>45822</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45822</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c r="A1983" t="inlineStr">
        <is>
          <t>A 28696-2025</t>
        </is>
      </c>
      <c r="B1983" s="1" t="n">
        <v>45819</v>
      </c>
      <c r="C1983" s="1" t="n">
        <v>45822</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2025-06-15T00:12:55Z</dcterms:created>
  <dcterms:modified xmlns:dcterms="http://purl.org/dc/terms/" xmlns:xsi="http://www.w3.org/2001/XMLSchema-instance" xsi:type="dcterms:W3CDTF">2025-06-15T00:12:57Z</dcterms:modified>
</cp:coreProperties>
</file>