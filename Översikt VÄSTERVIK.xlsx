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46050</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46050</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46050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46050</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46050</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46050</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46050</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46050</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46050</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46050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46050</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46050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46050</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46050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46050</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46050</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46050</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56370-2025</t>
        </is>
      </c>
      <c r="B19" s="1" t="n">
        <v>45974</v>
      </c>
      <c r="C19" s="1" t="n">
        <v>46050</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46050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46050</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46050</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1773-2025</t>
        </is>
      </c>
      <c r="B23" s="1" t="n">
        <v>45671</v>
      </c>
      <c r="C23" s="1" t="n">
        <v>46050</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56001-2025</t>
        </is>
      </c>
      <c r="B24" s="1" t="n">
        <v>45973.57685185185</v>
      </c>
      <c r="C24" s="1" t="n">
        <v>46050</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56162-2025</t>
        </is>
      </c>
      <c r="B25" s="1" t="n">
        <v>45974</v>
      </c>
      <c r="C25" s="1" t="n">
        <v>46050</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51234-2025</t>
        </is>
      </c>
      <c r="B26" s="1" t="n">
        <v>45947</v>
      </c>
      <c r="C26" s="1" t="n">
        <v>46050</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14121-2025</t>
        </is>
      </c>
      <c r="B27" s="1" t="n">
        <v>45740.46803240741</v>
      </c>
      <c r="C27" s="1" t="n">
        <v>46050</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46050</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24839-2025</t>
        </is>
      </c>
      <c r="B29" s="1" t="n">
        <v>45799.4640625</v>
      </c>
      <c r="C29" s="1" t="n">
        <v>46050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46050</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51597-2024</t>
        </is>
      </c>
      <c r="B31" s="1" t="n">
        <v>45604</v>
      </c>
      <c r="C31" s="1" t="n">
        <v>46050</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46050</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46050</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46050</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46050</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48739-2025</t>
        </is>
      </c>
      <c r="B36" s="1" t="n">
        <v>45936</v>
      </c>
      <c r="C36" s="1" t="n">
        <v>46050</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46050</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63850-2021</t>
        </is>
      </c>
      <c r="B38" s="1" t="n">
        <v>44505</v>
      </c>
      <c r="C38" s="1" t="n">
        <v>46050</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46050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46050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46050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46050</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46050</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46050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46050</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46050</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46050</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46050</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46050</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46050</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46050</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46050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46050</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58727-2024</t>
        </is>
      </c>
      <c r="B54" s="1" t="n">
        <v>45635</v>
      </c>
      <c r="C54" s="1" t="n">
        <v>46050</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58927-2022</t>
        </is>
      </c>
      <c r="B55" s="1" t="n">
        <v>44896</v>
      </c>
      <c r="C55" s="1" t="n">
        <v>46050</v>
      </c>
      <c r="D55" t="inlineStr">
        <is>
          <t>KALMAR LÄN</t>
        </is>
      </c>
      <c r="E55" t="inlineStr">
        <is>
          <t>VÄSTERVIK</t>
        </is>
      </c>
      <c r="G55" t="n">
        <v>2.5</v>
      </c>
      <c r="H55" t="n">
        <v>0</v>
      </c>
      <c r="I55" t="n">
        <v>3</v>
      </c>
      <c r="J55" t="n">
        <v>2</v>
      </c>
      <c r="K55" t="n">
        <v>0</v>
      </c>
      <c r="L55" t="n">
        <v>0</v>
      </c>
      <c r="M55" t="n">
        <v>0</v>
      </c>
      <c r="N55" t="n">
        <v>0</v>
      </c>
      <c r="O55" t="n">
        <v>2</v>
      </c>
      <c r="P55" t="n">
        <v>0</v>
      </c>
      <c r="Q55" t="n">
        <v>5</v>
      </c>
      <c r="R55" s="2" t="inlineStr">
        <is>
          <t>Ekticka
Grynig filtlav
Fällmossa
Gulpudrad spiklav
Liten baronmossa</t>
        </is>
      </c>
      <c r="S55">
        <f>HYPERLINK("https://klasma.github.io/Logging_0883/artfynd/A 58927-2022 artfynd.xlsx", "A 58927-2022")</f>
        <v/>
      </c>
      <c r="T55">
        <f>HYPERLINK("https://klasma.github.io/Logging_0883/kartor/A 58927-2022 karta.png", "A 58927-2022")</f>
        <v/>
      </c>
      <c r="V55">
        <f>HYPERLINK("https://klasma.github.io/Logging_0883/klagomål/A 58927-2022 FSC-klagomål.docx", "A 58927-2022")</f>
        <v/>
      </c>
      <c r="W55">
        <f>HYPERLINK("https://klasma.github.io/Logging_0883/klagomålsmail/A 58927-2022 FSC-klagomål mail.docx", "A 58927-2022")</f>
        <v/>
      </c>
      <c r="X55">
        <f>HYPERLINK("https://klasma.github.io/Logging_0883/tillsyn/A 58927-2022 tillsynsbegäran.docx", "A 58927-2022")</f>
        <v/>
      </c>
      <c r="Y55">
        <f>HYPERLINK("https://klasma.github.io/Logging_0883/tillsynsmail/A 58927-2022 tillsynsbegäran mail.docx", "A 58927-2022")</f>
        <v/>
      </c>
    </row>
    <row r="56" ht="15" customHeight="1">
      <c r="A56" t="inlineStr">
        <is>
          <t>A 49412-2025</t>
        </is>
      </c>
      <c r="B56" s="1" t="n">
        <v>45938.68405092593</v>
      </c>
      <c r="C56" s="1" t="n">
        <v>46050</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31060-2024</t>
        </is>
      </c>
      <c r="B57" s="1" t="n">
        <v>45502</v>
      </c>
      <c r="C57" s="1" t="n">
        <v>46050</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55518-2025</t>
        </is>
      </c>
      <c r="B58" s="1" t="n">
        <v>45971.60497685185</v>
      </c>
      <c r="C58" s="1" t="n">
        <v>46050</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58378-2025</t>
        </is>
      </c>
      <c r="B59" s="1" t="n">
        <v>45985.53541666667</v>
      </c>
      <c r="C59" s="1" t="n">
        <v>46050</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60491-2025</t>
        </is>
      </c>
      <c r="B60" s="1" t="n">
        <v>45995.6065625</v>
      </c>
      <c r="C60" s="1" t="n">
        <v>46050</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48724-2024</t>
        </is>
      </c>
      <c r="B61" s="1" t="n">
        <v>45593.55731481482</v>
      </c>
      <c r="C61" s="1" t="n">
        <v>46050</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60670-2025</t>
        </is>
      </c>
      <c r="B62" s="1" t="n">
        <v>45996.52921296296</v>
      </c>
      <c r="C62" s="1" t="n">
        <v>46050</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27737-2024</t>
        </is>
      </c>
      <c r="B63" s="1" t="n">
        <v>45475</v>
      </c>
      <c r="C63" s="1" t="n">
        <v>46050</v>
      </c>
      <c r="D63" t="inlineStr">
        <is>
          <t>KALMAR LÄN</t>
        </is>
      </c>
      <c r="E63" t="inlineStr">
        <is>
          <t>VÄSTERVIK</t>
        </is>
      </c>
      <c r="F63" t="inlineStr">
        <is>
          <t>Holmen skog AB</t>
        </is>
      </c>
      <c r="G63" t="n">
        <v>2.7</v>
      </c>
      <c r="H63" t="n">
        <v>2</v>
      </c>
      <c r="I63" t="n">
        <v>0</v>
      </c>
      <c r="J63" t="n">
        <v>4</v>
      </c>
      <c r="K63" t="n">
        <v>0</v>
      </c>
      <c r="L63" t="n">
        <v>0</v>
      </c>
      <c r="M63" t="n">
        <v>0</v>
      </c>
      <c r="N63" t="n">
        <v>0</v>
      </c>
      <c r="O63" t="n">
        <v>4</v>
      </c>
      <c r="P63" t="n">
        <v>0</v>
      </c>
      <c r="Q63" t="n">
        <v>5</v>
      </c>
      <c r="R63" s="2" t="inlineStr">
        <is>
          <t>Ekticka
Oxtungssvamp
Spillkråka
Ullticka
Mattlummer</t>
        </is>
      </c>
      <c r="S63">
        <f>HYPERLINK("https://klasma.github.io/Logging_0883/artfynd/A 27737-2024 artfynd.xlsx", "A 27737-2024")</f>
        <v/>
      </c>
      <c r="T63">
        <f>HYPERLINK("https://klasma.github.io/Logging_0883/kartor/A 27737-2024 karta.png", "A 27737-2024")</f>
        <v/>
      </c>
      <c r="V63">
        <f>HYPERLINK("https://klasma.github.io/Logging_0883/klagomål/A 27737-2024 FSC-klagomål.docx", "A 27737-2024")</f>
        <v/>
      </c>
      <c r="W63">
        <f>HYPERLINK("https://klasma.github.io/Logging_0883/klagomålsmail/A 27737-2024 FSC-klagomål mail.docx", "A 27737-2024")</f>
        <v/>
      </c>
      <c r="X63">
        <f>HYPERLINK("https://klasma.github.io/Logging_0883/tillsyn/A 27737-2024 tillsynsbegäran.docx", "A 27737-2024")</f>
        <v/>
      </c>
      <c r="Y63">
        <f>HYPERLINK("https://klasma.github.io/Logging_0883/tillsynsmail/A 27737-2024 tillsynsbegäran mail.docx", "A 27737-2024")</f>
        <v/>
      </c>
      <c r="Z63">
        <f>HYPERLINK("https://klasma.github.io/Logging_0883/fåglar/A 27737-2024 prioriterade fågelarter.docx", "A 27737-2024")</f>
        <v/>
      </c>
    </row>
    <row r="64" ht="15" customHeight="1">
      <c r="A64" t="inlineStr">
        <is>
          <t>A 27727-2024</t>
        </is>
      </c>
      <c r="B64" s="1" t="n">
        <v>45475</v>
      </c>
      <c r="C64" s="1" t="n">
        <v>46050</v>
      </c>
      <c r="D64" t="inlineStr">
        <is>
          <t>KALMAR LÄN</t>
        </is>
      </c>
      <c r="E64" t="inlineStr">
        <is>
          <t>VÄSTERVIK</t>
        </is>
      </c>
      <c r="F64" t="inlineStr">
        <is>
          <t>Holmen skog AB</t>
        </is>
      </c>
      <c r="G64" t="n">
        <v>9.800000000000001</v>
      </c>
      <c r="H64" t="n">
        <v>3</v>
      </c>
      <c r="I64" t="n">
        <v>1</v>
      </c>
      <c r="J64" t="n">
        <v>4</v>
      </c>
      <c r="K64" t="n">
        <v>0</v>
      </c>
      <c r="L64" t="n">
        <v>0</v>
      </c>
      <c r="M64" t="n">
        <v>0</v>
      </c>
      <c r="N64" t="n">
        <v>0</v>
      </c>
      <c r="O64" t="n">
        <v>4</v>
      </c>
      <c r="P64" t="n">
        <v>0</v>
      </c>
      <c r="Q64" t="n">
        <v>5</v>
      </c>
      <c r="R64" s="2" t="inlineStr">
        <is>
          <t>Mindre hackspett
Spillkråka
Tallticka
Talltita
Blåmossa</t>
        </is>
      </c>
      <c r="S64">
        <f>HYPERLINK("https://klasma.github.io/Logging_0883/artfynd/A 27727-2024 artfynd.xlsx", "A 27727-2024")</f>
        <v/>
      </c>
      <c r="T64">
        <f>HYPERLINK("https://klasma.github.io/Logging_0883/kartor/A 27727-2024 karta.png", "A 27727-2024")</f>
        <v/>
      </c>
      <c r="V64">
        <f>HYPERLINK("https://klasma.github.io/Logging_0883/klagomål/A 27727-2024 FSC-klagomål.docx", "A 27727-2024")</f>
        <v/>
      </c>
      <c r="W64">
        <f>HYPERLINK("https://klasma.github.io/Logging_0883/klagomålsmail/A 27727-2024 FSC-klagomål mail.docx", "A 27727-2024")</f>
        <v/>
      </c>
      <c r="X64">
        <f>HYPERLINK("https://klasma.github.io/Logging_0883/tillsyn/A 27727-2024 tillsynsbegäran.docx", "A 27727-2024")</f>
        <v/>
      </c>
      <c r="Y64">
        <f>HYPERLINK("https://klasma.github.io/Logging_0883/tillsynsmail/A 27727-2024 tillsynsbegäran mail.docx", "A 27727-2024")</f>
        <v/>
      </c>
      <c r="Z64">
        <f>HYPERLINK("https://klasma.github.io/Logging_0883/fåglar/A 27727-2024 prioriterade fågelarter.docx", "A 27727-2024")</f>
        <v/>
      </c>
    </row>
    <row r="65" ht="15" customHeight="1">
      <c r="A65" t="inlineStr">
        <is>
          <t>A 1779-2025</t>
        </is>
      </c>
      <c r="B65" s="1" t="n">
        <v>45671</v>
      </c>
      <c r="C65" s="1" t="n">
        <v>46050</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54334-2024</t>
        </is>
      </c>
      <c r="B66" s="1" t="n">
        <v>45617.38247685185</v>
      </c>
      <c r="C66" s="1" t="n">
        <v>46050</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46050</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46050</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46050</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46050</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46050</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46050</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31914-2025</t>
        </is>
      </c>
      <c r="B73" s="1" t="n">
        <v>45834</v>
      </c>
      <c r="C73" s="1" t="n">
        <v>46050</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46050</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46050</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46050</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9975-2024</t>
        </is>
      </c>
      <c r="B77" s="1" t="n">
        <v>45363</v>
      </c>
      <c r="C77" s="1" t="n">
        <v>46050</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46050</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58955-2022</t>
        </is>
      </c>
      <c r="B79" s="1" t="n">
        <v>44896</v>
      </c>
      <c r="C79" s="1" t="n">
        <v>46050</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10781-2025</t>
        </is>
      </c>
      <c r="B80" s="1" t="n">
        <v>45722</v>
      </c>
      <c r="C80" s="1" t="n">
        <v>46050</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46050</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46050</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46050</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46050</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46050</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46050</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46050</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1107-2026</t>
        </is>
      </c>
      <c r="B88" s="1" t="n">
        <v>46030.67351851852</v>
      </c>
      <c r="C88" s="1" t="n">
        <v>46050</v>
      </c>
      <c r="D88" t="inlineStr">
        <is>
          <t>KALMAR LÄN</t>
        </is>
      </c>
      <c r="E88" t="inlineStr">
        <is>
          <t>VÄSTERVIK</t>
        </is>
      </c>
      <c r="G88" t="n">
        <v>3.1</v>
      </c>
      <c r="H88" t="n">
        <v>2</v>
      </c>
      <c r="I88" t="n">
        <v>1</v>
      </c>
      <c r="J88" t="n">
        <v>2</v>
      </c>
      <c r="K88" t="n">
        <v>1</v>
      </c>
      <c r="L88" t="n">
        <v>0</v>
      </c>
      <c r="M88" t="n">
        <v>0</v>
      </c>
      <c r="N88" t="n">
        <v>0</v>
      </c>
      <c r="O88" t="n">
        <v>3</v>
      </c>
      <c r="P88" t="n">
        <v>1</v>
      </c>
      <c r="Q88" t="n">
        <v>4</v>
      </c>
      <c r="R88" s="2" t="inlineStr">
        <is>
          <t>Knärot
Motaggsvamp
Talltita
Blåmossa</t>
        </is>
      </c>
      <c r="S88">
        <f>HYPERLINK("https://klasma.github.io/Logging_0883/artfynd/A 1107-2026 artfynd.xlsx", "A 1107-2026")</f>
        <v/>
      </c>
      <c r="T88">
        <f>HYPERLINK("https://klasma.github.io/Logging_0883/kartor/A 1107-2026 karta.png", "A 1107-2026")</f>
        <v/>
      </c>
      <c r="U88">
        <f>HYPERLINK("https://klasma.github.io/Logging_0883/knärot/A 1107-2026 karta knärot.png", "A 1107-2026")</f>
        <v/>
      </c>
      <c r="V88">
        <f>HYPERLINK("https://klasma.github.io/Logging_0883/klagomål/A 1107-2026 FSC-klagomål.docx", "A 1107-2026")</f>
        <v/>
      </c>
      <c r="W88">
        <f>HYPERLINK("https://klasma.github.io/Logging_0883/klagomålsmail/A 1107-2026 FSC-klagomål mail.docx", "A 1107-2026")</f>
        <v/>
      </c>
      <c r="X88">
        <f>HYPERLINK("https://klasma.github.io/Logging_0883/tillsyn/A 1107-2026 tillsynsbegäran.docx", "A 1107-2026")</f>
        <v/>
      </c>
      <c r="Y88">
        <f>HYPERLINK("https://klasma.github.io/Logging_0883/tillsynsmail/A 1107-2026 tillsynsbegäran mail.docx", "A 1107-2026")</f>
        <v/>
      </c>
      <c r="Z88">
        <f>HYPERLINK("https://klasma.github.io/Logging_0883/fåglar/A 1107-2026 prioriterade fågelarter.docx", "A 1107-2026")</f>
        <v/>
      </c>
    </row>
    <row r="89" ht="15" customHeight="1">
      <c r="A89" t="inlineStr">
        <is>
          <t>A 56968-2025</t>
        </is>
      </c>
      <c r="B89" s="1" t="n">
        <v>45978</v>
      </c>
      <c r="C89" s="1" t="n">
        <v>46050</v>
      </c>
      <c r="D89" t="inlineStr">
        <is>
          <t>KALMAR LÄN</t>
        </is>
      </c>
      <c r="E89" t="inlineStr">
        <is>
          <t>VÄSTERVIK</t>
        </is>
      </c>
      <c r="F89" t="inlineStr">
        <is>
          <t>Holmen skog AB</t>
        </is>
      </c>
      <c r="G89" t="n">
        <v>4.1</v>
      </c>
      <c r="H89" t="n">
        <v>4</v>
      </c>
      <c r="I89" t="n">
        <v>0</v>
      </c>
      <c r="J89" t="n">
        <v>3</v>
      </c>
      <c r="K89" t="n">
        <v>0</v>
      </c>
      <c r="L89" t="n">
        <v>0</v>
      </c>
      <c r="M89" t="n">
        <v>0</v>
      </c>
      <c r="N89" t="n">
        <v>0</v>
      </c>
      <c r="O89" t="n">
        <v>3</v>
      </c>
      <c r="P89" t="n">
        <v>0</v>
      </c>
      <c r="Q89" t="n">
        <v>4</v>
      </c>
      <c r="R89" s="2" t="inlineStr">
        <is>
          <t>Mindre hackspett
Spillkråka
Talltita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61551-2025</t>
        </is>
      </c>
      <c r="B90" s="1" t="n">
        <v>46001.76877314815</v>
      </c>
      <c r="C90" s="1" t="n">
        <v>46050</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25534-2024</t>
        </is>
      </c>
      <c r="B91" s="1" t="n">
        <v>45463</v>
      </c>
      <c r="C91" s="1" t="n">
        <v>46050</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18397-2024</t>
        </is>
      </c>
      <c r="B92" s="1" t="n">
        <v>45425</v>
      </c>
      <c r="C92" s="1" t="n">
        <v>46050</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56908-2025</t>
        </is>
      </c>
      <c r="B93" s="1" t="n">
        <v>45978</v>
      </c>
      <c r="C93" s="1" t="n">
        <v>46050</v>
      </c>
      <c r="D93" t="inlineStr">
        <is>
          <t>KALMAR LÄN</t>
        </is>
      </c>
      <c r="E93" t="inlineStr">
        <is>
          <t>VÄSTERVIK</t>
        </is>
      </c>
      <c r="F93" t="inlineStr">
        <is>
          <t>Holmen skog AB</t>
        </is>
      </c>
      <c r="G93" t="n">
        <v>1.8</v>
      </c>
      <c r="H93" t="n">
        <v>3</v>
      </c>
      <c r="I93" t="n">
        <v>1</v>
      </c>
      <c r="J93" t="n">
        <v>2</v>
      </c>
      <c r="K93" t="n">
        <v>0</v>
      </c>
      <c r="L93" t="n">
        <v>0</v>
      </c>
      <c r="M93" t="n">
        <v>0</v>
      </c>
      <c r="N93" t="n">
        <v>0</v>
      </c>
      <c r="O93" t="n">
        <v>2</v>
      </c>
      <c r="P93" t="n">
        <v>0</v>
      </c>
      <c r="Q93" t="n">
        <v>4</v>
      </c>
      <c r="R93" s="2" t="inlineStr">
        <is>
          <t>Spillkråka
Talltita
Murgröna
Mattlummer</t>
        </is>
      </c>
      <c r="S93">
        <f>HYPERLINK("https://klasma.github.io/Logging_0883/artfynd/A 56908-2025 artfynd.xlsx", "A 56908-2025")</f>
        <v/>
      </c>
      <c r="T93">
        <f>HYPERLINK("https://klasma.github.io/Logging_0883/kartor/A 56908-2025 karta.png", "A 56908-2025")</f>
        <v/>
      </c>
      <c r="U93">
        <f>HYPERLINK("https://klasma.github.io/Logging_0883/knärot/A 56908-2025 karta knärot.png", "A 56908-2025")</f>
        <v/>
      </c>
      <c r="V93">
        <f>HYPERLINK("https://klasma.github.io/Logging_0883/klagomål/A 56908-2025 FSC-klagomål.docx", "A 56908-2025")</f>
        <v/>
      </c>
      <c r="W93">
        <f>HYPERLINK("https://klasma.github.io/Logging_0883/klagomålsmail/A 56908-2025 FSC-klagomål mail.docx", "A 56908-2025")</f>
        <v/>
      </c>
      <c r="X93">
        <f>HYPERLINK("https://klasma.github.io/Logging_0883/tillsyn/A 56908-2025 tillsynsbegäran.docx", "A 56908-2025")</f>
        <v/>
      </c>
      <c r="Y93">
        <f>HYPERLINK("https://klasma.github.io/Logging_0883/tillsynsmail/A 56908-2025 tillsynsbegäran mail.docx", "A 56908-2025")</f>
        <v/>
      </c>
      <c r="Z93">
        <f>HYPERLINK("https://klasma.github.io/Logging_0883/fåglar/A 56908-2025 prioriterade fågelarter.docx", "A 56908-2025")</f>
        <v/>
      </c>
    </row>
    <row r="94" ht="15" customHeight="1">
      <c r="A94" t="inlineStr">
        <is>
          <t>A 20366-2024</t>
        </is>
      </c>
      <c r="B94" s="1" t="n">
        <v>45435</v>
      </c>
      <c r="C94" s="1" t="n">
        <v>46050</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37524-2025</t>
        </is>
      </c>
      <c r="B95" s="1" t="n">
        <v>45877</v>
      </c>
      <c r="C95" s="1" t="n">
        <v>46050</v>
      </c>
      <c r="D95" t="inlineStr">
        <is>
          <t>KALMAR LÄN</t>
        </is>
      </c>
      <c r="E95" t="inlineStr">
        <is>
          <t>VÄSTERVIK</t>
        </is>
      </c>
      <c r="G95" t="n">
        <v>3.2</v>
      </c>
      <c r="H95" t="n">
        <v>2</v>
      </c>
      <c r="I95" t="n">
        <v>1</v>
      </c>
      <c r="J95" t="n">
        <v>2</v>
      </c>
      <c r="K95" t="n">
        <v>1</v>
      </c>
      <c r="L95" t="n">
        <v>0</v>
      </c>
      <c r="M95" t="n">
        <v>0</v>
      </c>
      <c r="N95" t="n">
        <v>0</v>
      </c>
      <c r="O95" t="n">
        <v>3</v>
      </c>
      <c r="P95" t="n">
        <v>1</v>
      </c>
      <c r="Q95" t="n">
        <v>4</v>
      </c>
      <c r="R95" s="2" t="inlineStr">
        <is>
          <t>Knärot
Svart taggsvamp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44635-2021</t>
        </is>
      </c>
      <c r="B96" s="1" t="n">
        <v>44437</v>
      </c>
      <c r="C96" s="1" t="n">
        <v>46050</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46050</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46050</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46050</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46050</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46050</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46050</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46050</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46050</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46050</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46050</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46050</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27700-2024</t>
        </is>
      </c>
      <c r="B108" s="1" t="n">
        <v>45475.35597222222</v>
      </c>
      <c r="C108" s="1" t="n">
        <v>46050</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21658-2025</t>
        </is>
      </c>
      <c r="B109" s="1" t="n">
        <v>45783.45474537037</v>
      </c>
      <c r="C109" s="1" t="n">
        <v>46050</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35705-2025</t>
        </is>
      </c>
      <c r="B110" s="1" t="n">
        <v>45860.36769675926</v>
      </c>
      <c r="C110" s="1" t="n">
        <v>46050</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49607-2025</t>
        </is>
      </c>
      <c r="B111" s="1" t="n">
        <v>45939.5674074074</v>
      </c>
      <c r="C111" s="1" t="n">
        <v>46050</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48318-2024</t>
        </is>
      </c>
      <c r="B112" s="1" t="n">
        <v>45590.49690972222</v>
      </c>
      <c r="C112" s="1" t="n">
        <v>46050</v>
      </c>
      <c r="D112" t="inlineStr">
        <is>
          <t>KALMAR LÄN</t>
        </is>
      </c>
      <c r="E112" t="inlineStr">
        <is>
          <t>VÄSTERVIK</t>
        </is>
      </c>
      <c r="F112" t="inlineStr">
        <is>
          <t>Holmen skog AB</t>
        </is>
      </c>
      <c r="G112" t="n">
        <v>4</v>
      </c>
      <c r="H112" t="n">
        <v>3</v>
      </c>
      <c r="I112" t="n">
        <v>0</v>
      </c>
      <c r="J112" t="n">
        <v>3</v>
      </c>
      <c r="K112" t="n">
        <v>0</v>
      </c>
      <c r="L112" t="n">
        <v>0</v>
      </c>
      <c r="M112" t="n">
        <v>0</v>
      </c>
      <c r="N112" t="n">
        <v>0</v>
      </c>
      <c r="O112" t="n">
        <v>3</v>
      </c>
      <c r="P112" t="n">
        <v>0</v>
      </c>
      <c r="Q112" t="n">
        <v>3</v>
      </c>
      <c r="R112" s="2" t="inlineStr">
        <is>
          <t>Entita
Spillkråka
Talltita</t>
        </is>
      </c>
      <c r="S112">
        <f>HYPERLINK("https://klasma.github.io/Logging_0883/artfynd/A 48318-2024 artfynd.xlsx", "A 48318-2024")</f>
        <v/>
      </c>
      <c r="T112">
        <f>HYPERLINK("https://klasma.github.io/Logging_0883/kartor/A 48318-2024 karta.png", "A 48318-2024")</f>
        <v/>
      </c>
      <c r="U112">
        <f>HYPERLINK("https://klasma.github.io/Logging_0883/knärot/A 48318-2024 karta knärot.png", "A 48318-2024")</f>
        <v/>
      </c>
      <c r="V112">
        <f>HYPERLINK("https://klasma.github.io/Logging_0883/klagomål/A 48318-2024 FSC-klagomål.docx", "A 48318-2024")</f>
        <v/>
      </c>
      <c r="W112">
        <f>HYPERLINK("https://klasma.github.io/Logging_0883/klagomålsmail/A 48318-2024 FSC-klagomål mail.docx", "A 48318-2024")</f>
        <v/>
      </c>
      <c r="X112">
        <f>HYPERLINK("https://klasma.github.io/Logging_0883/tillsyn/A 48318-2024 tillsynsbegäran.docx", "A 48318-2024")</f>
        <v/>
      </c>
      <c r="Y112">
        <f>HYPERLINK("https://klasma.github.io/Logging_0883/tillsynsmail/A 48318-2024 tillsynsbegäran mail.docx", "A 48318-2024")</f>
        <v/>
      </c>
      <c r="Z112">
        <f>HYPERLINK("https://klasma.github.io/Logging_0883/fåglar/A 48318-2024 prioriterade fågelarter.docx", "A 48318-2024")</f>
        <v/>
      </c>
    </row>
    <row r="113" ht="15" customHeight="1">
      <c r="A113" t="inlineStr">
        <is>
          <t>A 39190-2024</t>
        </is>
      </c>
      <c r="B113" s="1" t="n">
        <v>45548</v>
      </c>
      <c r="C113" s="1" t="n">
        <v>46050</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52992-2024</t>
        </is>
      </c>
      <c r="B114" s="1" t="n">
        <v>45611</v>
      </c>
      <c r="C114" s="1" t="n">
        <v>46050</v>
      </c>
      <c r="D114" t="inlineStr">
        <is>
          <t>KALMAR LÄN</t>
        </is>
      </c>
      <c r="E114" t="inlineStr">
        <is>
          <t>VÄSTERVIK</t>
        </is>
      </c>
      <c r="F114" t="inlineStr">
        <is>
          <t>Holmen skog AB</t>
        </is>
      </c>
      <c r="G114" t="n">
        <v>5.5</v>
      </c>
      <c r="H114" t="n">
        <v>2</v>
      </c>
      <c r="I114" t="n">
        <v>1</v>
      </c>
      <c r="J114" t="n">
        <v>2</v>
      </c>
      <c r="K114" t="n">
        <v>0</v>
      </c>
      <c r="L114" t="n">
        <v>0</v>
      </c>
      <c r="M114" t="n">
        <v>0</v>
      </c>
      <c r="N114" t="n">
        <v>0</v>
      </c>
      <c r="O114" t="n">
        <v>2</v>
      </c>
      <c r="P114" t="n">
        <v>0</v>
      </c>
      <c r="Q114" t="n">
        <v>3</v>
      </c>
      <c r="R114" s="2" t="inlineStr">
        <is>
          <t>Spillkråka
Talltita
Brandticka</t>
        </is>
      </c>
      <c r="S114">
        <f>HYPERLINK("https://klasma.github.io/Logging_0883/artfynd/A 52992-2024 artfynd.xlsx", "A 52992-2024")</f>
        <v/>
      </c>
      <c r="T114">
        <f>HYPERLINK("https://klasma.github.io/Logging_0883/kartor/A 52992-2024 karta.png", "A 52992-2024")</f>
        <v/>
      </c>
      <c r="V114">
        <f>HYPERLINK("https://klasma.github.io/Logging_0883/klagomål/A 52992-2024 FSC-klagomål.docx", "A 52992-2024")</f>
        <v/>
      </c>
      <c r="W114">
        <f>HYPERLINK("https://klasma.github.io/Logging_0883/klagomålsmail/A 52992-2024 FSC-klagomål mail.docx", "A 52992-2024")</f>
        <v/>
      </c>
      <c r="X114">
        <f>HYPERLINK("https://klasma.github.io/Logging_0883/tillsyn/A 52992-2024 tillsynsbegäran.docx", "A 52992-2024")</f>
        <v/>
      </c>
      <c r="Y114">
        <f>HYPERLINK("https://klasma.github.io/Logging_0883/tillsynsmail/A 52992-2024 tillsynsbegäran mail.docx", "A 52992-2024")</f>
        <v/>
      </c>
      <c r="Z114">
        <f>HYPERLINK("https://klasma.github.io/Logging_0883/fåglar/A 52992-2024 prioriterade fågelarter.docx", "A 52992-2024")</f>
        <v/>
      </c>
    </row>
    <row r="115" ht="15" customHeight="1">
      <c r="A115" t="inlineStr">
        <is>
          <t>A 49560-2025</t>
        </is>
      </c>
      <c r="B115" s="1" t="n">
        <v>45939</v>
      </c>
      <c r="C115" s="1" t="n">
        <v>46050</v>
      </c>
      <c r="D115" t="inlineStr">
        <is>
          <t>KALMAR LÄN</t>
        </is>
      </c>
      <c r="E115" t="inlineStr">
        <is>
          <t>VÄSTERVIK</t>
        </is>
      </c>
      <c r="F115" t="inlineStr">
        <is>
          <t>Holmen skog AB</t>
        </is>
      </c>
      <c r="G115" t="n">
        <v>1.9</v>
      </c>
      <c r="H115" t="n">
        <v>2</v>
      </c>
      <c r="I115" t="n">
        <v>1</v>
      </c>
      <c r="J115" t="n">
        <v>1</v>
      </c>
      <c r="K115" t="n">
        <v>1</v>
      </c>
      <c r="L115" t="n">
        <v>0</v>
      </c>
      <c r="M115" t="n">
        <v>0</v>
      </c>
      <c r="N115" t="n">
        <v>0</v>
      </c>
      <c r="O115" t="n">
        <v>2</v>
      </c>
      <c r="P115" t="n">
        <v>1</v>
      </c>
      <c r="Q115" t="n">
        <v>3</v>
      </c>
      <c r="R115" s="2" t="inlineStr">
        <is>
          <t>Knärot
Spillkråka
Dropptaggsvamp</t>
        </is>
      </c>
      <c r="S115">
        <f>HYPERLINK("https://klasma.github.io/Logging_0883/artfynd/A 49560-2025 artfynd.xlsx", "A 49560-2025")</f>
        <v/>
      </c>
      <c r="T115">
        <f>HYPERLINK("https://klasma.github.io/Logging_0883/kartor/A 49560-2025 karta.png", "A 49560-2025")</f>
        <v/>
      </c>
      <c r="U115">
        <f>HYPERLINK("https://klasma.github.io/Logging_0883/knärot/A 49560-2025 karta knärot.png", "A 49560-2025")</f>
        <v/>
      </c>
      <c r="V115">
        <f>HYPERLINK("https://klasma.github.io/Logging_0883/klagomål/A 49560-2025 FSC-klagomål.docx", "A 49560-2025")</f>
        <v/>
      </c>
      <c r="W115">
        <f>HYPERLINK("https://klasma.github.io/Logging_0883/klagomålsmail/A 49560-2025 FSC-klagomål mail.docx", "A 49560-2025")</f>
        <v/>
      </c>
      <c r="X115">
        <f>HYPERLINK("https://klasma.github.io/Logging_0883/tillsyn/A 49560-2025 tillsynsbegäran.docx", "A 49560-2025")</f>
        <v/>
      </c>
      <c r="Y115">
        <f>HYPERLINK("https://klasma.github.io/Logging_0883/tillsynsmail/A 49560-2025 tillsynsbegäran mail.docx", "A 49560-2025")</f>
        <v/>
      </c>
      <c r="Z115">
        <f>HYPERLINK("https://klasma.github.io/Logging_0883/fåglar/A 49560-2025 prioriterade fågelarter.docx", "A 49560-2025")</f>
        <v/>
      </c>
    </row>
    <row r="116" ht="15" customHeight="1">
      <c r="A116" t="inlineStr">
        <is>
          <t>A 2657-2024</t>
        </is>
      </c>
      <c r="B116" s="1" t="n">
        <v>45314</v>
      </c>
      <c r="C116" s="1" t="n">
        <v>46050</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56080-2025</t>
        </is>
      </c>
      <c r="B117" s="1" t="n">
        <v>45973</v>
      </c>
      <c r="C117" s="1" t="n">
        <v>46050</v>
      </c>
      <c r="D117" t="inlineStr">
        <is>
          <t>KALMAR LÄN</t>
        </is>
      </c>
      <c r="E117" t="inlineStr">
        <is>
          <t>VÄSTERVIK</t>
        </is>
      </c>
      <c r="F117" t="inlineStr">
        <is>
          <t>Holmen skog AB</t>
        </is>
      </c>
      <c r="G117" t="n">
        <v>3</v>
      </c>
      <c r="H117" t="n">
        <v>2</v>
      </c>
      <c r="I117" t="n">
        <v>1</v>
      </c>
      <c r="J117" t="n">
        <v>1</v>
      </c>
      <c r="K117" t="n">
        <v>1</v>
      </c>
      <c r="L117" t="n">
        <v>0</v>
      </c>
      <c r="M117" t="n">
        <v>0</v>
      </c>
      <c r="N117" t="n">
        <v>0</v>
      </c>
      <c r="O117" t="n">
        <v>2</v>
      </c>
      <c r="P117" t="n">
        <v>1</v>
      </c>
      <c r="Q117" t="n">
        <v>3</v>
      </c>
      <c r="R117" s="2" t="inlineStr">
        <is>
          <t>Knärot
Talltita
Dropptaggsvamp</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61552-2025</t>
        </is>
      </c>
      <c r="B118" s="1" t="n">
        <v>46001.7772337963</v>
      </c>
      <c r="C118" s="1" t="n">
        <v>46050</v>
      </c>
      <c r="D118" t="inlineStr">
        <is>
          <t>KALMAR LÄN</t>
        </is>
      </c>
      <c r="E118" t="inlineStr">
        <is>
          <t>VÄSTERVIK</t>
        </is>
      </c>
      <c r="F118" t="inlineStr">
        <is>
          <t>Sveaskog</t>
        </is>
      </c>
      <c r="G118" t="n">
        <v>8.1</v>
      </c>
      <c r="H118" t="n">
        <v>2</v>
      </c>
      <c r="I118" t="n">
        <v>0</v>
      </c>
      <c r="J118" t="n">
        <v>3</v>
      </c>
      <c r="K118" t="n">
        <v>0</v>
      </c>
      <c r="L118" t="n">
        <v>0</v>
      </c>
      <c r="M118" t="n">
        <v>0</v>
      </c>
      <c r="N118" t="n">
        <v>0</v>
      </c>
      <c r="O118" t="n">
        <v>3</v>
      </c>
      <c r="P118" t="n">
        <v>0</v>
      </c>
      <c r="Q118" t="n">
        <v>3</v>
      </c>
      <c r="R118" s="2" t="inlineStr">
        <is>
          <t>Motaggsvamp
Spillkråka
Talltita</t>
        </is>
      </c>
      <c r="S118">
        <f>HYPERLINK("https://klasma.github.io/Logging_0883/artfynd/A 61552-2025 artfynd.xlsx", "A 61552-2025")</f>
        <v/>
      </c>
      <c r="T118">
        <f>HYPERLINK("https://klasma.github.io/Logging_0883/kartor/A 61552-2025 karta.png", "A 61552-2025")</f>
        <v/>
      </c>
      <c r="V118">
        <f>HYPERLINK("https://klasma.github.io/Logging_0883/klagomål/A 61552-2025 FSC-klagomål.docx", "A 61552-2025")</f>
        <v/>
      </c>
      <c r="W118">
        <f>HYPERLINK("https://klasma.github.io/Logging_0883/klagomålsmail/A 61552-2025 FSC-klagomål mail.docx", "A 61552-2025")</f>
        <v/>
      </c>
      <c r="X118">
        <f>HYPERLINK("https://klasma.github.io/Logging_0883/tillsyn/A 61552-2025 tillsynsbegäran.docx", "A 61552-2025")</f>
        <v/>
      </c>
      <c r="Y118">
        <f>HYPERLINK("https://klasma.github.io/Logging_0883/tillsynsmail/A 61552-2025 tillsynsbegäran mail.docx", "A 61552-2025")</f>
        <v/>
      </c>
      <c r="Z118">
        <f>HYPERLINK("https://klasma.github.io/Logging_0883/fåglar/A 61552-2025 prioriterade fågelarter.docx", "A 61552-2025")</f>
        <v/>
      </c>
    </row>
    <row r="119" ht="15" customHeight="1">
      <c r="A119" t="inlineStr">
        <is>
          <t>A 60671-2025</t>
        </is>
      </c>
      <c r="B119" s="1" t="n">
        <v>45996.53078703704</v>
      </c>
      <c r="C119" s="1" t="n">
        <v>46050</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56336-2025</t>
        </is>
      </c>
      <c r="B120" s="1" t="n">
        <v>45974</v>
      </c>
      <c r="C120" s="1" t="n">
        <v>46050</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27067-2024</t>
        </is>
      </c>
      <c r="B121" s="1" t="n">
        <v>45471</v>
      </c>
      <c r="C121" s="1" t="n">
        <v>46050</v>
      </c>
      <c r="D121" t="inlineStr">
        <is>
          <t>KALMAR LÄN</t>
        </is>
      </c>
      <c r="E121" t="inlineStr">
        <is>
          <t>VÄSTERVIK</t>
        </is>
      </c>
      <c r="F121" t="inlineStr">
        <is>
          <t>Holmen skog AB</t>
        </is>
      </c>
      <c r="G121" t="n">
        <v>8.4</v>
      </c>
      <c r="H121" t="n">
        <v>2</v>
      </c>
      <c r="I121" t="n">
        <v>0</v>
      </c>
      <c r="J121" t="n">
        <v>3</v>
      </c>
      <c r="K121" t="n">
        <v>0</v>
      </c>
      <c r="L121" t="n">
        <v>0</v>
      </c>
      <c r="M121" t="n">
        <v>0</v>
      </c>
      <c r="N121" t="n">
        <v>0</v>
      </c>
      <c r="O121" t="n">
        <v>3</v>
      </c>
      <c r="P121" t="n">
        <v>0</v>
      </c>
      <c r="Q121" t="n">
        <v>3</v>
      </c>
      <c r="R121" s="2" t="inlineStr">
        <is>
          <t>Ekticka
Spillkråka
Talltita</t>
        </is>
      </c>
      <c r="S121">
        <f>HYPERLINK("https://klasma.github.io/Logging_0883/artfynd/A 27067-2024 artfynd.xlsx", "A 27067-2024")</f>
        <v/>
      </c>
      <c r="T121">
        <f>HYPERLINK("https://klasma.github.io/Logging_0883/kartor/A 27067-2024 karta.png", "A 27067-2024")</f>
        <v/>
      </c>
      <c r="V121">
        <f>HYPERLINK("https://klasma.github.io/Logging_0883/klagomål/A 27067-2024 FSC-klagomål.docx", "A 27067-2024")</f>
        <v/>
      </c>
      <c r="W121">
        <f>HYPERLINK("https://klasma.github.io/Logging_0883/klagomålsmail/A 27067-2024 FSC-klagomål mail.docx", "A 27067-2024")</f>
        <v/>
      </c>
      <c r="X121">
        <f>HYPERLINK("https://klasma.github.io/Logging_0883/tillsyn/A 27067-2024 tillsynsbegäran.docx", "A 27067-2024")</f>
        <v/>
      </c>
      <c r="Y121">
        <f>HYPERLINK("https://klasma.github.io/Logging_0883/tillsynsmail/A 27067-2024 tillsynsbegäran mail.docx", "A 27067-2024")</f>
        <v/>
      </c>
      <c r="Z121">
        <f>HYPERLINK("https://klasma.github.io/Logging_0883/fåglar/A 27067-2024 prioriterade fågelarter.docx", "A 27067-2024")</f>
        <v/>
      </c>
    </row>
    <row r="122" ht="15" customHeight="1">
      <c r="A122" t="inlineStr">
        <is>
          <t>A 31854-2025</t>
        </is>
      </c>
      <c r="B122" s="1" t="n">
        <v>45834</v>
      </c>
      <c r="C122" s="1" t="n">
        <v>46050</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1763-2025</t>
        </is>
      </c>
      <c r="B123" s="1" t="n">
        <v>45671</v>
      </c>
      <c r="C123" s="1" t="n">
        <v>46050</v>
      </c>
      <c r="D123" t="inlineStr">
        <is>
          <t>KALMAR LÄN</t>
        </is>
      </c>
      <c r="E123" t="inlineStr">
        <is>
          <t>VÄSTERVIK</t>
        </is>
      </c>
      <c r="G123" t="n">
        <v>1.1</v>
      </c>
      <c r="H123" t="n">
        <v>2</v>
      </c>
      <c r="I123" t="n">
        <v>1</v>
      </c>
      <c r="J123" t="n">
        <v>2</v>
      </c>
      <c r="K123" t="n">
        <v>0</v>
      </c>
      <c r="L123" t="n">
        <v>0</v>
      </c>
      <c r="M123" t="n">
        <v>0</v>
      </c>
      <c r="N123" t="n">
        <v>0</v>
      </c>
      <c r="O123" t="n">
        <v>2</v>
      </c>
      <c r="P123" t="n">
        <v>0</v>
      </c>
      <c r="Q123" t="n">
        <v>3</v>
      </c>
      <c r="R123" s="2" t="inlineStr">
        <is>
          <t>Spillkråka
Talltita
Blåmossa</t>
        </is>
      </c>
      <c r="S123">
        <f>HYPERLINK("https://klasma.github.io/Logging_0883/artfynd/A 1763-2025 artfynd.xlsx", "A 1763-2025")</f>
        <v/>
      </c>
      <c r="T123">
        <f>HYPERLINK("https://klasma.github.io/Logging_0883/kartor/A 1763-2025 karta.png", "A 1763-2025")</f>
        <v/>
      </c>
      <c r="V123">
        <f>HYPERLINK("https://klasma.github.io/Logging_0883/klagomål/A 1763-2025 FSC-klagomål.docx", "A 1763-2025")</f>
        <v/>
      </c>
      <c r="W123">
        <f>HYPERLINK("https://klasma.github.io/Logging_0883/klagomålsmail/A 1763-2025 FSC-klagomål mail.docx", "A 1763-2025")</f>
        <v/>
      </c>
      <c r="X123">
        <f>HYPERLINK("https://klasma.github.io/Logging_0883/tillsyn/A 1763-2025 tillsynsbegäran.docx", "A 1763-2025")</f>
        <v/>
      </c>
      <c r="Y123">
        <f>HYPERLINK("https://klasma.github.io/Logging_0883/tillsynsmail/A 1763-2025 tillsynsbegäran mail.docx", "A 1763-2025")</f>
        <v/>
      </c>
      <c r="Z123">
        <f>HYPERLINK("https://klasma.github.io/Logging_0883/fåglar/A 1763-2025 prioriterade fågelarter.docx", "A 1763-2025")</f>
        <v/>
      </c>
    </row>
    <row r="124" ht="15" customHeight="1">
      <c r="A124" t="inlineStr">
        <is>
          <t>A 1764-2025</t>
        </is>
      </c>
      <c r="B124" s="1" t="n">
        <v>45671</v>
      </c>
      <c r="C124" s="1" t="n">
        <v>46050</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Ullticka
Grovticka</t>
        </is>
      </c>
      <c r="S124">
        <f>HYPERLINK("https://klasma.github.io/Logging_0883/artfynd/A 1764-2025 artfynd.xlsx", "A 1764-2025")</f>
        <v/>
      </c>
      <c r="T124">
        <f>HYPERLINK("https://klasma.github.io/Logging_0883/kartor/A 1764-2025 karta.png", "A 1764-2025")</f>
        <v/>
      </c>
      <c r="U124">
        <f>HYPERLINK("https://klasma.github.io/Logging_0883/knärot/A 1764-2025 karta knärot.png", "A 1764-2025")</f>
        <v/>
      </c>
      <c r="V124">
        <f>HYPERLINK("https://klasma.github.io/Logging_0883/klagomål/A 1764-2025 FSC-klagomål.docx", "A 1764-2025")</f>
        <v/>
      </c>
      <c r="W124">
        <f>HYPERLINK("https://klasma.github.io/Logging_0883/klagomålsmail/A 1764-2025 FSC-klagomål mail.docx", "A 1764-2025")</f>
        <v/>
      </c>
      <c r="X124">
        <f>HYPERLINK("https://klasma.github.io/Logging_0883/tillsyn/A 1764-2025 tillsynsbegäran.docx", "A 1764-2025")</f>
        <v/>
      </c>
      <c r="Y124">
        <f>HYPERLINK("https://klasma.github.io/Logging_0883/tillsynsmail/A 1764-2025 tillsynsbegäran mail.docx", "A 1764-2025")</f>
        <v/>
      </c>
    </row>
    <row r="125" ht="15" customHeight="1">
      <c r="A125" t="inlineStr">
        <is>
          <t>A 42353-2023</t>
        </is>
      </c>
      <c r="B125" s="1" t="n">
        <v>45180</v>
      </c>
      <c r="C125" s="1" t="n">
        <v>46050</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46050</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46050</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46050</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46050</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46050</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21081-2025</t>
        </is>
      </c>
      <c r="B131" s="1" t="n">
        <v>45777.60479166666</v>
      </c>
      <c r="C131" s="1" t="n">
        <v>46050</v>
      </c>
      <c r="D131" t="inlineStr">
        <is>
          <t>KALMAR LÄN</t>
        </is>
      </c>
      <c r="E131" t="inlineStr">
        <is>
          <t>VÄSTERVIK</t>
        </is>
      </c>
      <c r="G131" t="n">
        <v>1</v>
      </c>
      <c r="H131" t="n">
        <v>1</v>
      </c>
      <c r="I131" t="n">
        <v>0</v>
      </c>
      <c r="J131" t="n">
        <v>1</v>
      </c>
      <c r="K131" t="n">
        <v>1</v>
      </c>
      <c r="L131" t="n">
        <v>0</v>
      </c>
      <c r="M131" t="n">
        <v>0</v>
      </c>
      <c r="N131" t="n">
        <v>0</v>
      </c>
      <c r="O131" t="n">
        <v>2</v>
      </c>
      <c r="P131" t="n">
        <v>1</v>
      </c>
      <c r="Q131" t="n">
        <v>2</v>
      </c>
      <c r="R131" s="2" t="inlineStr">
        <is>
          <t>Knärot
Ullticka</t>
        </is>
      </c>
      <c r="S131">
        <f>HYPERLINK("https://klasma.github.io/Logging_0883/artfynd/A 21081-2025 artfynd.xlsx", "A 21081-2025")</f>
        <v/>
      </c>
      <c r="T131">
        <f>HYPERLINK("https://klasma.github.io/Logging_0883/kartor/A 21081-2025 karta.png", "A 21081-2025")</f>
        <v/>
      </c>
      <c r="U131">
        <f>HYPERLINK("https://klasma.github.io/Logging_0883/knärot/A 21081-2025 karta knärot.png", "A 21081-2025")</f>
        <v/>
      </c>
      <c r="V131">
        <f>HYPERLINK("https://klasma.github.io/Logging_0883/klagomål/A 21081-2025 FSC-klagomål.docx", "A 21081-2025")</f>
        <v/>
      </c>
      <c r="W131">
        <f>HYPERLINK("https://klasma.github.io/Logging_0883/klagomålsmail/A 21081-2025 FSC-klagomål mail.docx", "A 21081-2025")</f>
        <v/>
      </c>
      <c r="X131">
        <f>HYPERLINK("https://klasma.github.io/Logging_0883/tillsyn/A 21081-2025 tillsynsbegäran.docx", "A 21081-2025")</f>
        <v/>
      </c>
      <c r="Y131">
        <f>HYPERLINK("https://klasma.github.io/Logging_0883/tillsynsmail/A 21081-2025 tillsynsbegäran mail.docx", "A 21081-2025")</f>
        <v/>
      </c>
    </row>
    <row r="132" ht="15" customHeight="1">
      <c r="A132" t="inlineStr">
        <is>
          <t>A 33687-2025</t>
        </is>
      </c>
      <c r="B132" s="1" t="n">
        <v>45841.69072916666</v>
      </c>
      <c r="C132" s="1" t="n">
        <v>46050</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25439-2021</t>
        </is>
      </c>
      <c r="B133" s="1" t="n">
        <v>44342</v>
      </c>
      <c r="C133" s="1" t="n">
        <v>46050</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52723-2024</t>
        </is>
      </c>
      <c r="B134" s="1" t="n">
        <v>45610.44008101852</v>
      </c>
      <c r="C134" s="1" t="n">
        <v>46050</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46050</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46552-2022</t>
        </is>
      </c>
      <c r="B136" s="1" t="n">
        <v>44848</v>
      </c>
      <c r="C136" s="1" t="n">
        <v>46050</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17438-2024</t>
        </is>
      </c>
      <c r="B137" s="1" t="n">
        <v>45415</v>
      </c>
      <c r="C137" s="1" t="n">
        <v>46050</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46050</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46050</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34292-2025</t>
        </is>
      </c>
      <c r="B140" s="1" t="n">
        <v>45846.34083333334</v>
      </c>
      <c r="C140" s="1" t="n">
        <v>46050</v>
      </c>
      <c r="D140" t="inlineStr">
        <is>
          <t>KALMAR LÄN</t>
        </is>
      </c>
      <c r="E140" t="inlineStr">
        <is>
          <t>VÄSTERVIK</t>
        </is>
      </c>
      <c r="G140" t="n">
        <v>3.4</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34292-2025 artfynd.xlsx", "A 34292-2025")</f>
        <v/>
      </c>
      <c r="T140">
        <f>HYPERLINK("https://klasma.github.io/Logging_0883/kartor/A 34292-2025 karta.png", "A 34292-2025")</f>
        <v/>
      </c>
      <c r="V140">
        <f>HYPERLINK("https://klasma.github.io/Logging_0883/klagomål/A 34292-2025 FSC-klagomål.docx", "A 34292-2025")</f>
        <v/>
      </c>
      <c r="W140">
        <f>HYPERLINK("https://klasma.github.io/Logging_0883/klagomålsmail/A 34292-2025 FSC-klagomål mail.docx", "A 34292-2025")</f>
        <v/>
      </c>
      <c r="X140">
        <f>HYPERLINK("https://klasma.github.io/Logging_0883/tillsyn/A 34292-2025 tillsynsbegäran.docx", "A 34292-2025")</f>
        <v/>
      </c>
      <c r="Y140">
        <f>HYPERLINK("https://klasma.github.io/Logging_0883/tillsynsmail/A 34292-2025 tillsynsbegäran mail.docx", "A 34292-2025")</f>
        <v/>
      </c>
    </row>
    <row r="141" ht="15" customHeight="1">
      <c r="A141" t="inlineStr">
        <is>
          <t>A 53769-2021</t>
        </is>
      </c>
      <c r="B141" s="1" t="n">
        <v>44467</v>
      </c>
      <c r="C141" s="1" t="n">
        <v>46050</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1373-2024</t>
        </is>
      </c>
      <c r="B142" s="1" t="n">
        <v>45303</v>
      </c>
      <c r="C142" s="1" t="n">
        <v>46050</v>
      </c>
      <c r="D142" t="inlineStr">
        <is>
          <t>KALMAR LÄN</t>
        </is>
      </c>
      <c r="E142" t="inlineStr">
        <is>
          <t>VÄSTERVIK</t>
        </is>
      </c>
      <c r="G142" t="n">
        <v>1.2</v>
      </c>
      <c r="H142" t="n">
        <v>1</v>
      </c>
      <c r="I142" t="n">
        <v>0</v>
      </c>
      <c r="J142" t="n">
        <v>2</v>
      </c>
      <c r="K142" t="n">
        <v>0</v>
      </c>
      <c r="L142" t="n">
        <v>0</v>
      </c>
      <c r="M142" t="n">
        <v>0</v>
      </c>
      <c r="N142" t="n">
        <v>0</v>
      </c>
      <c r="O142" t="n">
        <v>2</v>
      </c>
      <c r="P142" t="n">
        <v>0</v>
      </c>
      <c r="Q142" t="n">
        <v>2</v>
      </c>
      <c r="R142" s="2" t="inlineStr">
        <is>
          <t>Tallticka
Talltita</t>
        </is>
      </c>
      <c r="S142">
        <f>HYPERLINK("https://klasma.github.io/Logging_0883/artfynd/A 1373-2024 artfynd.xlsx", "A 1373-2024")</f>
        <v/>
      </c>
      <c r="T142">
        <f>HYPERLINK("https://klasma.github.io/Logging_0883/kartor/A 1373-2024 karta.png", "A 1373-2024")</f>
        <v/>
      </c>
      <c r="V142">
        <f>HYPERLINK("https://klasma.github.io/Logging_0883/klagomål/A 1373-2024 FSC-klagomål.docx", "A 1373-2024")</f>
        <v/>
      </c>
      <c r="W142">
        <f>HYPERLINK("https://klasma.github.io/Logging_0883/klagomålsmail/A 1373-2024 FSC-klagomål mail.docx", "A 1373-2024")</f>
        <v/>
      </c>
      <c r="X142">
        <f>HYPERLINK("https://klasma.github.io/Logging_0883/tillsyn/A 1373-2024 tillsynsbegäran.docx", "A 1373-2024")</f>
        <v/>
      </c>
      <c r="Y142">
        <f>HYPERLINK("https://klasma.github.io/Logging_0883/tillsynsmail/A 1373-2024 tillsynsbegäran mail.docx", "A 1373-2024")</f>
        <v/>
      </c>
      <c r="Z142">
        <f>HYPERLINK("https://klasma.github.io/Logging_0883/fåglar/A 1373-2024 prioriterade fågelarter.docx", "A 1373-2024")</f>
        <v/>
      </c>
    </row>
    <row r="143" ht="15" customHeight="1">
      <c r="A143" t="inlineStr">
        <is>
          <t>A 49414-2025</t>
        </is>
      </c>
      <c r="B143" s="1" t="n">
        <v>45938.68725694445</v>
      </c>
      <c r="C143" s="1" t="n">
        <v>46050</v>
      </c>
      <c r="D143" t="inlineStr">
        <is>
          <t>KALMAR LÄN</t>
        </is>
      </c>
      <c r="E143" t="inlineStr">
        <is>
          <t>VÄSTERVIK</t>
        </is>
      </c>
      <c r="G143" t="n">
        <v>1.3</v>
      </c>
      <c r="H143" t="n">
        <v>2</v>
      </c>
      <c r="I143" t="n">
        <v>0</v>
      </c>
      <c r="J143" t="n">
        <v>1</v>
      </c>
      <c r="K143" t="n">
        <v>0</v>
      </c>
      <c r="L143" t="n">
        <v>0</v>
      </c>
      <c r="M143" t="n">
        <v>0</v>
      </c>
      <c r="N143" t="n">
        <v>0</v>
      </c>
      <c r="O143" t="n">
        <v>1</v>
      </c>
      <c r="P143" t="n">
        <v>0</v>
      </c>
      <c r="Q143" t="n">
        <v>2</v>
      </c>
      <c r="R143" s="2" t="inlineStr">
        <is>
          <t>Spillkråka
Revlummer</t>
        </is>
      </c>
      <c r="S143">
        <f>HYPERLINK("https://klasma.github.io/Logging_0883/artfynd/A 49414-2025 artfynd.xlsx", "A 49414-2025")</f>
        <v/>
      </c>
      <c r="T143">
        <f>HYPERLINK("https://klasma.github.io/Logging_0883/kartor/A 49414-2025 karta.png", "A 49414-2025")</f>
        <v/>
      </c>
      <c r="V143">
        <f>HYPERLINK("https://klasma.github.io/Logging_0883/klagomål/A 49414-2025 FSC-klagomål.docx", "A 49414-2025")</f>
        <v/>
      </c>
      <c r="W143">
        <f>HYPERLINK("https://klasma.github.io/Logging_0883/klagomålsmail/A 49414-2025 FSC-klagomål mail.docx", "A 49414-2025")</f>
        <v/>
      </c>
      <c r="X143">
        <f>HYPERLINK("https://klasma.github.io/Logging_0883/tillsyn/A 49414-2025 tillsynsbegäran.docx", "A 49414-2025")</f>
        <v/>
      </c>
      <c r="Y143">
        <f>HYPERLINK("https://klasma.github.io/Logging_0883/tillsynsmail/A 49414-2025 tillsynsbegäran mail.docx", "A 49414-2025")</f>
        <v/>
      </c>
      <c r="Z143">
        <f>HYPERLINK("https://klasma.github.io/Logging_0883/fåglar/A 49414-2025 prioriterade fågelarter.docx", "A 49414-2025")</f>
        <v/>
      </c>
    </row>
    <row r="144" ht="15" customHeight="1">
      <c r="A144" t="inlineStr">
        <is>
          <t>A 48892-2025</t>
        </is>
      </c>
      <c r="B144" s="1" t="n">
        <v>45937.47267361111</v>
      </c>
      <c r="C144" s="1" t="n">
        <v>46050</v>
      </c>
      <c r="D144" t="inlineStr">
        <is>
          <t>KALMAR LÄN</t>
        </is>
      </c>
      <c r="E144" t="inlineStr">
        <is>
          <t>VÄSTERVIK</t>
        </is>
      </c>
      <c r="F144" t="inlineStr">
        <is>
          <t>Sveaskog</t>
        </is>
      </c>
      <c r="G144" t="n">
        <v>1.4</v>
      </c>
      <c r="H144" t="n">
        <v>1</v>
      </c>
      <c r="I144" t="n">
        <v>1</v>
      </c>
      <c r="J144" t="n">
        <v>0</v>
      </c>
      <c r="K144" t="n">
        <v>0</v>
      </c>
      <c r="L144" t="n">
        <v>0</v>
      </c>
      <c r="M144" t="n">
        <v>0</v>
      </c>
      <c r="N144" t="n">
        <v>0</v>
      </c>
      <c r="O144" t="n">
        <v>0</v>
      </c>
      <c r="P144" t="n">
        <v>0</v>
      </c>
      <c r="Q144" t="n">
        <v>2</v>
      </c>
      <c r="R144" s="2" t="inlineStr">
        <is>
          <t>Fällmossa
Blåsippa</t>
        </is>
      </c>
      <c r="S144">
        <f>HYPERLINK("https://klasma.github.io/Logging_0883/artfynd/A 48892-2025 artfynd.xlsx", "A 48892-2025")</f>
        <v/>
      </c>
      <c r="T144">
        <f>HYPERLINK("https://klasma.github.io/Logging_0883/kartor/A 48892-2025 karta.png", "A 48892-2025")</f>
        <v/>
      </c>
      <c r="V144">
        <f>HYPERLINK("https://klasma.github.io/Logging_0883/klagomål/A 48892-2025 FSC-klagomål.docx", "A 48892-2025")</f>
        <v/>
      </c>
      <c r="W144">
        <f>HYPERLINK("https://klasma.github.io/Logging_0883/klagomålsmail/A 48892-2025 FSC-klagomål mail.docx", "A 48892-2025")</f>
        <v/>
      </c>
      <c r="X144">
        <f>HYPERLINK("https://klasma.github.io/Logging_0883/tillsyn/A 48892-2025 tillsynsbegäran.docx", "A 48892-2025")</f>
        <v/>
      </c>
      <c r="Y144">
        <f>HYPERLINK("https://klasma.github.io/Logging_0883/tillsynsmail/A 48892-2025 tillsynsbegäran mail.docx", "A 48892-2025")</f>
        <v/>
      </c>
    </row>
    <row r="145" ht="15" customHeight="1">
      <c r="A145" t="inlineStr">
        <is>
          <t>A 48877-2025</t>
        </is>
      </c>
      <c r="B145" s="1" t="n">
        <v>45937.4565162037</v>
      </c>
      <c r="C145" s="1" t="n">
        <v>46050</v>
      </c>
      <c r="D145" t="inlineStr">
        <is>
          <t>KALMAR LÄN</t>
        </is>
      </c>
      <c r="E145" t="inlineStr">
        <is>
          <t>VÄSTERVIK</t>
        </is>
      </c>
      <c r="F145" t="inlineStr">
        <is>
          <t>Sveaskog</t>
        </is>
      </c>
      <c r="G145" t="n">
        <v>1.9</v>
      </c>
      <c r="H145" t="n">
        <v>1</v>
      </c>
      <c r="I145" t="n">
        <v>1</v>
      </c>
      <c r="J145" t="n">
        <v>0</v>
      </c>
      <c r="K145" t="n">
        <v>0</v>
      </c>
      <c r="L145" t="n">
        <v>0</v>
      </c>
      <c r="M145" t="n">
        <v>0</v>
      </c>
      <c r="N145" t="n">
        <v>0</v>
      </c>
      <c r="O145" t="n">
        <v>0</v>
      </c>
      <c r="P145" t="n">
        <v>0</v>
      </c>
      <c r="Q145" t="n">
        <v>2</v>
      </c>
      <c r="R145" s="2" t="inlineStr">
        <is>
          <t>Fällmossa
Blåsippa</t>
        </is>
      </c>
      <c r="S145">
        <f>HYPERLINK("https://klasma.github.io/Logging_0883/artfynd/A 48877-2025 artfynd.xlsx", "A 48877-2025")</f>
        <v/>
      </c>
      <c r="T145">
        <f>HYPERLINK("https://klasma.github.io/Logging_0883/kartor/A 48877-2025 karta.png", "A 48877-2025")</f>
        <v/>
      </c>
      <c r="V145">
        <f>HYPERLINK("https://klasma.github.io/Logging_0883/klagomål/A 48877-2025 FSC-klagomål.docx", "A 48877-2025")</f>
        <v/>
      </c>
      <c r="W145">
        <f>HYPERLINK("https://klasma.github.io/Logging_0883/klagomålsmail/A 48877-2025 FSC-klagomål mail.docx", "A 48877-2025")</f>
        <v/>
      </c>
      <c r="X145">
        <f>HYPERLINK("https://klasma.github.io/Logging_0883/tillsyn/A 48877-2025 tillsynsbegäran.docx", "A 48877-2025")</f>
        <v/>
      </c>
      <c r="Y145">
        <f>HYPERLINK("https://klasma.github.io/Logging_0883/tillsynsmail/A 48877-2025 tillsynsbegäran mail.docx", "A 48877-2025")</f>
        <v/>
      </c>
    </row>
    <row r="146" ht="15" customHeight="1">
      <c r="A146" t="inlineStr">
        <is>
          <t>A 15534-2024</t>
        </is>
      </c>
      <c r="B146" s="1" t="n">
        <v>45401</v>
      </c>
      <c r="C146" s="1" t="n">
        <v>46050</v>
      </c>
      <c r="D146" t="inlineStr">
        <is>
          <t>KALMAR LÄN</t>
        </is>
      </c>
      <c r="E146" t="inlineStr">
        <is>
          <t>VÄSTERVIK</t>
        </is>
      </c>
      <c r="F146" t="inlineStr">
        <is>
          <t>Holmen skog AB</t>
        </is>
      </c>
      <c r="G146" t="n">
        <v>5.1</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15534-2024 artfynd.xlsx", "A 15534-2024")</f>
        <v/>
      </c>
      <c r="T146">
        <f>HYPERLINK("https://klasma.github.io/Logging_0883/kartor/A 15534-2024 karta.png", "A 15534-2024")</f>
        <v/>
      </c>
      <c r="U146">
        <f>HYPERLINK("https://klasma.github.io/Logging_0883/knärot/A 15534-2024 karta knärot.png", "A 15534-2024")</f>
        <v/>
      </c>
      <c r="V146">
        <f>HYPERLINK("https://klasma.github.io/Logging_0883/klagomål/A 15534-2024 FSC-klagomål.docx", "A 15534-2024")</f>
        <v/>
      </c>
      <c r="W146">
        <f>HYPERLINK("https://klasma.github.io/Logging_0883/klagomålsmail/A 15534-2024 FSC-klagomål mail.docx", "A 15534-2024")</f>
        <v/>
      </c>
      <c r="X146">
        <f>HYPERLINK("https://klasma.github.io/Logging_0883/tillsyn/A 15534-2024 tillsynsbegäran.docx", "A 15534-2024")</f>
        <v/>
      </c>
      <c r="Y146">
        <f>HYPERLINK("https://klasma.github.io/Logging_0883/tillsynsmail/A 15534-2024 tillsynsbegäran mail.docx", "A 15534-2024")</f>
        <v/>
      </c>
    </row>
    <row r="147" ht="15" customHeight="1">
      <c r="A147" t="inlineStr">
        <is>
          <t>A 72945-2021</t>
        </is>
      </c>
      <c r="B147" s="1" t="n">
        <v>44547.90868055556</v>
      </c>
      <c r="C147" s="1" t="n">
        <v>46050</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2515-2023</t>
        </is>
      </c>
      <c r="B148" s="1" t="n">
        <v>44943</v>
      </c>
      <c r="C148" s="1" t="n">
        <v>46050</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32649-2023</t>
        </is>
      </c>
      <c r="B149" s="1" t="n">
        <v>45121</v>
      </c>
      <c r="C149" s="1" t="n">
        <v>46050</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32649-2023 artfynd.xlsx", "A 32649-2023")</f>
        <v/>
      </c>
      <c r="T149">
        <f>HYPERLINK("https://klasma.github.io/Logging_0883/kartor/A 32649-2023 karta.png", "A 32649-2023")</f>
        <v/>
      </c>
      <c r="U149">
        <f>HYPERLINK("https://klasma.github.io/Logging_0883/knärot/A 32649-2023 karta knärot.png", "A 32649-2023")</f>
        <v/>
      </c>
      <c r="V149">
        <f>HYPERLINK("https://klasma.github.io/Logging_0883/klagomål/A 32649-2023 FSC-klagomål.docx", "A 32649-2023")</f>
        <v/>
      </c>
      <c r="W149">
        <f>HYPERLINK("https://klasma.github.io/Logging_0883/klagomålsmail/A 32649-2023 FSC-klagomål mail.docx", "A 32649-2023")</f>
        <v/>
      </c>
      <c r="X149">
        <f>HYPERLINK("https://klasma.github.io/Logging_0883/tillsyn/A 32649-2023 tillsynsbegäran.docx", "A 32649-2023")</f>
        <v/>
      </c>
      <c r="Y149">
        <f>HYPERLINK("https://klasma.github.io/Logging_0883/tillsynsmail/A 32649-2023 tillsynsbegäran mail.docx", "A 32649-2023")</f>
        <v/>
      </c>
    </row>
    <row r="150" ht="15" customHeight="1">
      <c r="A150" t="inlineStr">
        <is>
          <t>A 50647-2025</t>
        </is>
      </c>
      <c r="B150" s="1" t="n">
        <v>45945.65792824074</v>
      </c>
      <c r="C150" s="1" t="n">
        <v>46050</v>
      </c>
      <c r="D150" t="inlineStr">
        <is>
          <t>KALMAR LÄN</t>
        </is>
      </c>
      <c r="E150" t="inlineStr">
        <is>
          <t>VÄSTERVIK</t>
        </is>
      </c>
      <c r="G150" t="n">
        <v>1.7</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50647-2025 artfynd.xlsx", "A 50647-2025")</f>
        <v/>
      </c>
      <c r="T150">
        <f>HYPERLINK("https://klasma.github.io/Logging_0883/kartor/A 50647-2025 karta.png", "A 50647-2025")</f>
        <v/>
      </c>
      <c r="U150">
        <f>HYPERLINK("https://klasma.github.io/Logging_0883/knärot/A 50647-2025 karta knärot.png", "A 50647-2025")</f>
        <v/>
      </c>
      <c r="V150">
        <f>HYPERLINK("https://klasma.github.io/Logging_0883/klagomål/A 50647-2025 FSC-klagomål.docx", "A 50647-2025")</f>
        <v/>
      </c>
      <c r="W150">
        <f>HYPERLINK("https://klasma.github.io/Logging_0883/klagomålsmail/A 50647-2025 FSC-klagomål mail.docx", "A 50647-2025")</f>
        <v/>
      </c>
      <c r="X150">
        <f>HYPERLINK("https://klasma.github.io/Logging_0883/tillsyn/A 50647-2025 tillsynsbegäran.docx", "A 50647-2025")</f>
        <v/>
      </c>
      <c r="Y150">
        <f>HYPERLINK("https://klasma.github.io/Logging_0883/tillsynsmail/A 50647-2025 tillsynsbegäran mail.docx", "A 50647-2025")</f>
        <v/>
      </c>
    </row>
    <row r="151" ht="15" customHeight="1">
      <c r="A151" t="inlineStr">
        <is>
          <t>A 46787-2022</t>
        </is>
      </c>
      <c r="B151" s="1" t="n">
        <v>44851</v>
      </c>
      <c r="C151" s="1" t="n">
        <v>46050</v>
      </c>
      <c r="D151" t="inlineStr">
        <is>
          <t>KALMAR LÄN</t>
        </is>
      </c>
      <c r="E151" t="inlineStr">
        <is>
          <t>VÄSTERVIK</t>
        </is>
      </c>
      <c r="G151" t="n">
        <v>4.4</v>
      </c>
      <c r="H151" t="n">
        <v>0</v>
      </c>
      <c r="I151" t="n">
        <v>0</v>
      </c>
      <c r="J151" t="n">
        <v>2</v>
      </c>
      <c r="K151" t="n">
        <v>0</v>
      </c>
      <c r="L151" t="n">
        <v>0</v>
      </c>
      <c r="M151" t="n">
        <v>0</v>
      </c>
      <c r="N151" t="n">
        <v>0</v>
      </c>
      <c r="O151" t="n">
        <v>2</v>
      </c>
      <c r="P151" t="n">
        <v>0</v>
      </c>
      <c r="Q151" t="n">
        <v>2</v>
      </c>
      <c r="R151" s="2" t="inlineStr">
        <is>
          <t>Motaggsvamp
Tallticka</t>
        </is>
      </c>
      <c r="S151">
        <f>HYPERLINK("https://klasma.github.io/Logging_0883/artfynd/A 46787-2022 artfynd.xlsx", "A 46787-2022")</f>
        <v/>
      </c>
      <c r="T151">
        <f>HYPERLINK("https://klasma.github.io/Logging_0883/kartor/A 46787-2022 karta.png", "A 46787-2022")</f>
        <v/>
      </c>
      <c r="V151">
        <f>HYPERLINK("https://klasma.github.io/Logging_0883/klagomål/A 46787-2022 FSC-klagomål.docx", "A 46787-2022")</f>
        <v/>
      </c>
      <c r="W151">
        <f>HYPERLINK("https://klasma.github.io/Logging_0883/klagomålsmail/A 46787-2022 FSC-klagomål mail.docx", "A 46787-2022")</f>
        <v/>
      </c>
      <c r="X151">
        <f>HYPERLINK("https://klasma.github.io/Logging_0883/tillsyn/A 46787-2022 tillsynsbegäran.docx", "A 46787-2022")</f>
        <v/>
      </c>
      <c r="Y151">
        <f>HYPERLINK("https://klasma.github.io/Logging_0883/tillsynsmail/A 46787-2022 tillsynsbegäran mail.docx", "A 46787-2022")</f>
        <v/>
      </c>
    </row>
    <row r="152" ht="15" customHeight="1">
      <c r="A152" t="inlineStr">
        <is>
          <t>A 34119-2023</t>
        </is>
      </c>
      <c r="B152" s="1" t="n">
        <v>45135</v>
      </c>
      <c r="C152" s="1" t="n">
        <v>46050</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52030-2025</t>
        </is>
      </c>
      <c r="B153" s="1" t="n">
        <v>45952.60846064815</v>
      </c>
      <c r="C153" s="1" t="n">
        <v>46050</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3173-2023</t>
        </is>
      </c>
      <c r="B154" s="1" t="n">
        <v>44946</v>
      </c>
      <c r="C154" s="1" t="n">
        <v>46050</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53129-2025</t>
        </is>
      </c>
      <c r="B155" s="1" t="n">
        <v>45958.46118055555</v>
      </c>
      <c r="C155" s="1" t="n">
        <v>46050</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941-2024</t>
        </is>
      </c>
      <c r="B156" s="1" t="n">
        <v>45301</v>
      </c>
      <c r="C156" s="1" t="n">
        <v>46050</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3658-2024</t>
        </is>
      </c>
      <c r="B157" s="1" t="n">
        <v>45321</v>
      </c>
      <c r="C157" s="1" t="n">
        <v>46050</v>
      </c>
      <c r="D157" t="inlineStr">
        <is>
          <t>KALMAR LÄN</t>
        </is>
      </c>
      <c r="E157" t="inlineStr">
        <is>
          <t>VÄSTERVIK</t>
        </is>
      </c>
      <c r="G157" t="n">
        <v>2.6</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3658-2024 artfynd.xlsx", "A 3658-2024")</f>
        <v/>
      </c>
      <c r="T157">
        <f>HYPERLINK("https://klasma.github.io/Logging_0883/kartor/A 3658-2024 karta.png", "A 3658-2024")</f>
        <v/>
      </c>
      <c r="U157">
        <f>HYPERLINK("https://klasma.github.io/Logging_0883/knärot/A 3658-2024 karta knärot.png", "A 3658-2024")</f>
        <v/>
      </c>
      <c r="V157">
        <f>HYPERLINK("https://klasma.github.io/Logging_0883/klagomål/A 3658-2024 FSC-klagomål.docx", "A 3658-2024")</f>
        <v/>
      </c>
      <c r="W157">
        <f>HYPERLINK("https://klasma.github.io/Logging_0883/klagomålsmail/A 3658-2024 FSC-klagomål mail.docx", "A 3658-2024")</f>
        <v/>
      </c>
      <c r="X157">
        <f>HYPERLINK("https://klasma.github.io/Logging_0883/tillsyn/A 3658-2024 tillsynsbegäran.docx", "A 3658-2024")</f>
        <v/>
      </c>
      <c r="Y157">
        <f>HYPERLINK("https://klasma.github.io/Logging_0883/tillsynsmail/A 3658-2024 tillsynsbegäran mail.docx", "A 3658-2024")</f>
        <v/>
      </c>
    </row>
    <row r="158" ht="15" customHeight="1">
      <c r="A158" t="inlineStr">
        <is>
          <t>A 55086-2025</t>
        </is>
      </c>
      <c r="B158" s="1" t="n">
        <v>45968.33027777778</v>
      </c>
      <c r="C158" s="1" t="n">
        <v>46050</v>
      </c>
      <c r="D158" t="inlineStr">
        <is>
          <t>KALMAR LÄN</t>
        </is>
      </c>
      <c r="E158" t="inlineStr">
        <is>
          <t>VÄSTERVIK</t>
        </is>
      </c>
      <c r="G158" t="n">
        <v>0.7</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55086-2025 artfynd.xlsx", "A 55086-2025")</f>
        <v/>
      </c>
      <c r="T158">
        <f>HYPERLINK("https://klasma.github.io/Logging_0883/kartor/A 55086-2025 karta.png", "A 55086-2025")</f>
        <v/>
      </c>
      <c r="V158">
        <f>HYPERLINK("https://klasma.github.io/Logging_0883/klagomål/A 55086-2025 FSC-klagomål.docx", "A 55086-2025")</f>
        <v/>
      </c>
      <c r="W158">
        <f>HYPERLINK("https://klasma.github.io/Logging_0883/klagomålsmail/A 55086-2025 FSC-klagomål mail.docx", "A 55086-2025")</f>
        <v/>
      </c>
      <c r="X158">
        <f>HYPERLINK("https://klasma.github.io/Logging_0883/tillsyn/A 55086-2025 tillsynsbegäran.docx", "A 55086-2025")</f>
        <v/>
      </c>
      <c r="Y158">
        <f>HYPERLINK("https://klasma.github.io/Logging_0883/tillsynsmail/A 55086-2025 tillsynsbegäran mail.docx", "A 55086-2025")</f>
        <v/>
      </c>
      <c r="Z158">
        <f>HYPERLINK("https://klasma.github.io/Logging_0883/fåglar/A 55086-2025 prioriterade fågelarter.docx", "A 55086-2025")</f>
        <v/>
      </c>
    </row>
    <row r="159" ht="15" customHeight="1">
      <c r="A159" t="inlineStr">
        <is>
          <t>A 55142-2025</t>
        </is>
      </c>
      <c r="B159" s="1" t="n">
        <v>45968</v>
      </c>
      <c r="C159" s="1" t="n">
        <v>46050</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16419-2024</t>
        </is>
      </c>
      <c r="B160" s="1" t="n">
        <v>45407</v>
      </c>
      <c r="C160" s="1" t="n">
        <v>46050</v>
      </c>
      <c r="D160" t="inlineStr">
        <is>
          <t>KALMAR LÄN</t>
        </is>
      </c>
      <c r="E160" t="inlineStr">
        <is>
          <t>VÄSTERVIK</t>
        </is>
      </c>
      <c r="F160" t="inlineStr">
        <is>
          <t>Holmen skog AB</t>
        </is>
      </c>
      <c r="G160" t="n">
        <v>1.8</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16419-2024 artfynd.xlsx", "A 16419-2024")</f>
        <v/>
      </c>
      <c r="T160">
        <f>HYPERLINK("https://klasma.github.io/Logging_0883/kartor/A 16419-2024 karta.png", "A 16419-2024")</f>
        <v/>
      </c>
      <c r="U160">
        <f>HYPERLINK("https://klasma.github.io/Logging_0883/knärot/A 16419-2024 karta knärot.png", "A 16419-2024")</f>
        <v/>
      </c>
      <c r="V160">
        <f>HYPERLINK("https://klasma.github.io/Logging_0883/klagomål/A 16419-2024 FSC-klagomål.docx", "A 16419-2024")</f>
        <v/>
      </c>
      <c r="W160">
        <f>HYPERLINK("https://klasma.github.io/Logging_0883/klagomålsmail/A 16419-2024 FSC-klagomål mail.docx", "A 16419-2024")</f>
        <v/>
      </c>
      <c r="X160">
        <f>HYPERLINK("https://klasma.github.io/Logging_0883/tillsyn/A 16419-2024 tillsynsbegäran.docx", "A 16419-2024")</f>
        <v/>
      </c>
      <c r="Y160">
        <f>HYPERLINK("https://klasma.github.io/Logging_0883/tillsynsmail/A 16419-2024 tillsynsbegäran mail.docx", "A 16419-2024")</f>
        <v/>
      </c>
      <c r="Z160">
        <f>HYPERLINK("https://klasma.github.io/Logging_0883/fåglar/A 16419-2024 prioriterade fågelarter.docx", "A 16419-2024")</f>
        <v/>
      </c>
    </row>
    <row r="161" ht="15" customHeight="1">
      <c r="A161" t="inlineStr">
        <is>
          <t>A 63387-2025</t>
        </is>
      </c>
      <c r="B161" s="1" t="n">
        <v>46011.668125</v>
      </c>
      <c r="C161" s="1" t="n">
        <v>46050</v>
      </c>
      <c r="D161" t="inlineStr">
        <is>
          <t>KALMAR LÄN</t>
        </is>
      </c>
      <c r="E161" t="inlineStr">
        <is>
          <t>VÄSTERVIK</t>
        </is>
      </c>
      <c r="G161" t="n">
        <v>1.3</v>
      </c>
      <c r="H161" t="n">
        <v>1</v>
      </c>
      <c r="I161" t="n">
        <v>1</v>
      </c>
      <c r="J161" t="n">
        <v>0</v>
      </c>
      <c r="K161" t="n">
        <v>0</v>
      </c>
      <c r="L161" t="n">
        <v>0</v>
      </c>
      <c r="M161" t="n">
        <v>0</v>
      </c>
      <c r="N161" t="n">
        <v>0</v>
      </c>
      <c r="O161" t="n">
        <v>0</v>
      </c>
      <c r="P161" t="n">
        <v>0</v>
      </c>
      <c r="Q161" t="n">
        <v>2</v>
      </c>
      <c r="R161" s="2" t="inlineStr">
        <is>
          <t>Guldlockmossa
Blåsippa</t>
        </is>
      </c>
      <c r="S161">
        <f>HYPERLINK("https://klasma.github.io/Logging_0883/artfynd/A 63387-2025 artfynd.xlsx", "A 63387-2025")</f>
        <v/>
      </c>
      <c r="T161">
        <f>HYPERLINK("https://klasma.github.io/Logging_0883/kartor/A 63387-2025 karta.png", "A 63387-2025")</f>
        <v/>
      </c>
      <c r="V161">
        <f>HYPERLINK("https://klasma.github.io/Logging_0883/klagomål/A 63387-2025 FSC-klagomål.docx", "A 63387-2025")</f>
        <v/>
      </c>
      <c r="W161">
        <f>HYPERLINK("https://klasma.github.io/Logging_0883/klagomålsmail/A 63387-2025 FSC-klagomål mail.docx", "A 63387-2025")</f>
        <v/>
      </c>
      <c r="X161">
        <f>HYPERLINK("https://klasma.github.io/Logging_0883/tillsyn/A 63387-2025 tillsynsbegäran.docx", "A 63387-2025")</f>
        <v/>
      </c>
      <c r="Y161">
        <f>HYPERLINK("https://klasma.github.io/Logging_0883/tillsynsmail/A 63387-2025 tillsynsbegäran mail.docx", "A 63387-2025")</f>
        <v/>
      </c>
    </row>
    <row r="162" ht="15" customHeight="1">
      <c r="A162" t="inlineStr">
        <is>
          <t>A 12598-2024</t>
        </is>
      </c>
      <c r="B162" s="1" t="n">
        <v>45380</v>
      </c>
      <c r="C162" s="1" t="n">
        <v>46050</v>
      </c>
      <c r="D162" t="inlineStr">
        <is>
          <t>KALMAR LÄN</t>
        </is>
      </c>
      <c r="E162" t="inlineStr">
        <is>
          <t>VÄSTERVIK</t>
        </is>
      </c>
      <c r="F162" t="inlineStr">
        <is>
          <t>Holmen skog AB</t>
        </is>
      </c>
      <c r="G162" t="n">
        <v>5</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12598-2024 artfynd.xlsx", "A 12598-2024")</f>
        <v/>
      </c>
      <c r="T162">
        <f>HYPERLINK("https://klasma.github.io/Logging_0883/kartor/A 12598-2024 karta.png", "A 12598-2024")</f>
        <v/>
      </c>
      <c r="U162">
        <f>HYPERLINK("https://klasma.github.io/Logging_0883/knärot/A 12598-2024 karta knärot.png", "A 12598-2024")</f>
        <v/>
      </c>
      <c r="V162">
        <f>HYPERLINK("https://klasma.github.io/Logging_0883/klagomål/A 12598-2024 FSC-klagomål.docx", "A 12598-2024")</f>
        <v/>
      </c>
      <c r="W162">
        <f>HYPERLINK("https://klasma.github.io/Logging_0883/klagomålsmail/A 12598-2024 FSC-klagomål mail.docx", "A 12598-2024")</f>
        <v/>
      </c>
      <c r="X162">
        <f>HYPERLINK("https://klasma.github.io/Logging_0883/tillsyn/A 12598-2024 tillsynsbegäran.docx", "A 12598-2024")</f>
        <v/>
      </c>
      <c r="Y162">
        <f>HYPERLINK("https://klasma.github.io/Logging_0883/tillsynsmail/A 12598-2024 tillsynsbegäran mail.docx", "A 12598-2024")</f>
        <v/>
      </c>
    </row>
    <row r="163" ht="15" customHeight="1">
      <c r="A163" t="inlineStr">
        <is>
          <t>A 57977-2025</t>
        </is>
      </c>
      <c r="B163" s="1" t="n">
        <v>45982.39497685185</v>
      </c>
      <c r="C163" s="1" t="n">
        <v>46050</v>
      </c>
      <c r="D163" t="inlineStr">
        <is>
          <t>KALMAR LÄN</t>
        </is>
      </c>
      <c r="E163" t="inlineStr">
        <is>
          <t>VÄSTERVIK</t>
        </is>
      </c>
      <c r="F163" t="inlineStr">
        <is>
          <t>Holmen skog AB</t>
        </is>
      </c>
      <c r="G163" t="n">
        <v>6.5</v>
      </c>
      <c r="H163" t="n">
        <v>0</v>
      </c>
      <c r="I163" t="n">
        <v>1</v>
      </c>
      <c r="J163" t="n">
        <v>1</v>
      </c>
      <c r="K163" t="n">
        <v>0</v>
      </c>
      <c r="L163" t="n">
        <v>0</v>
      </c>
      <c r="M163" t="n">
        <v>0</v>
      </c>
      <c r="N163" t="n">
        <v>0</v>
      </c>
      <c r="O163" t="n">
        <v>1</v>
      </c>
      <c r="P163" t="n">
        <v>0</v>
      </c>
      <c r="Q163" t="n">
        <v>2</v>
      </c>
      <c r="R163" s="2" t="inlineStr">
        <is>
          <t>Orange taggsvamp
Blåmossa</t>
        </is>
      </c>
      <c r="S163">
        <f>HYPERLINK("https://klasma.github.io/Logging_0883/artfynd/A 57977-2025 artfynd.xlsx", "A 57977-2025")</f>
        <v/>
      </c>
      <c r="T163">
        <f>HYPERLINK("https://klasma.github.io/Logging_0883/kartor/A 57977-2025 karta.png", "A 57977-2025")</f>
        <v/>
      </c>
      <c r="V163">
        <f>HYPERLINK("https://klasma.github.io/Logging_0883/klagomål/A 57977-2025 FSC-klagomål.docx", "A 57977-2025")</f>
        <v/>
      </c>
      <c r="W163">
        <f>HYPERLINK("https://klasma.github.io/Logging_0883/klagomålsmail/A 57977-2025 FSC-klagomål mail.docx", "A 57977-2025")</f>
        <v/>
      </c>
      <c r="X163">
        <f>HYPERLINK("https://klasma.github.io/Logging_0883/tillsyn/A 57977-2025 tillsynsbegäran.docx", "A 57977-2025")</f>
        <v/>
      </c>
      <c r="Y163">
        <f>HYPERLINK("https://klasma.github.io/Logging_0883/tillsynsmail/A 57977-2025 tillsynsbegäran mail.docx", "A 57977-2025")</f>
        <v/>
      </c>
    </row>
    <row r="164" ht="15" customHeight="1">
      <c r="A164" t="inlineStr">
        <is>
          <t>A 58348-2025</t>
        </is>
      </c>
      <c r="B164" s="1" t="n">
        <v>45985.50482638889</v>
      </c>
      <c r="C164" s="1" t="n">
        <v>46050</v>
      </c>
      <c r="D164" t="inlineStr">
        <is>
          <t>KALMAR LÄN</t>
        </is>
      </c>
      <c r="E164" t="inlineStr">
        <is>
          <t>VÄSTERVIK</t>
        </is>
      </c>
      <c r="G164" t="n">
        <v>2.6</v>
      </c>
      <c r="H164" t="n">
        <v>0</v>
      </c>
      <c r="I164" t="n">
        <v>1</v>
      </c>
      <c r="J164" t="n">
        <v>1</v>
      </c>
      <c r="K164" t="n">
        <v>0</v>
      </c>
      <c r="L164" t="n">
        <v>0</v>
      </c>
      <c r="M164" t="n">
        <v>0</v>
      </c>
      <c r="N164" t="n">
        <v>0</v>
      </c>
      <c r="O164" t="n">
        <v>1</v>
      </c>
      <c r="P164" t="n">
        <v>0</v>
      </c>
      <c r="Q164" t="n">
        <v>2</v>
      </c>
      <c r="R164" s="2" t="inlineStr">
        <is>
          <t>Leptoporus erubescens
Grovticka</t>
        </is>
      </c>
      <c r="S164">
        <f>HYPERLINK("https://klasma.github.io/Logging_0883/artfynd/A 58348-2025 artfynd.xlsx", "A 58348-2025")</f>
        <v/>
      </c>
      <c r="T164">
        <f>HYPERLINK("https://klasma.github.io/Logging_0883/kartor/A 58348-2025 karta.png", "A 58348-2025")</f>
        <v/>
      </c>
      <c r="V164">
        <f>HYPERLINK("https://klasma.github.io/Logging_0883/klagomål/A 58348-2025 FSC-klagomål.docx", "A 58348-2025")</f>
        <v/>
      </c>
      <c r="W164">
        <f>HYPERLINK("https://klasma.github.io/Logging_0883/klagomålsmail/A 58348-2025 FSC-klagomål mail.docx", "A 58348-2025")</f>
        <v/>
      </c>
      <c r="X164">
        <f>HYPERLINK("https://klasma.github.io/Logging_0883/tillsyn/A 58348-2025 tillsynsbegäran.docx", "A 58348-2025")</f>
        <v/>
      </c>
      <c r="Y164">
        <f>HYPERLINK("https://klasma.github.io/Logging_0883/tillsynsmail/A 58348-2025 tillsynsbegäran mail.docx", "A 58348-2025")</f>
        <v/>
      </c>
    </row>
    <row r="165" ht="15" customHeight="1">
      <c r="A165" t="inlineStr">
        <is>
          <t>A 433-2026</t>
        </is>
      </c>
      <c r="B165" s="1" t="n">
        <v>46029.32555555556</v>
      </c>
      <c r="C165" s="1" t="n">
        <v>46050</v>
      </c>
      <c r="D165" t="inlineStr">
        <is>
          <t>KALMAR LÄN</t>
        </is>
      </c>
      <c r="E165" t="inlineStr">
        <is>
          <t>VÄSTERVIK</t>
        </is>
      </c>
      <c r="G165" t="n">
        <v>4.6</v>
      </c>
      <c r="H165" t="n">
        <v>1</v>
      </c>
      <c r="I165" t="n">
        <v>0</v>
      </c>
      <c r="J165" t="n">
        <v>1</v>
      </c>
      <c r="K165" t="n">
        <v>0</v>
      </c>
      <c r="L165" t="n">
        <v>0</v>
      </c>
      <c r="M165" t="n">
        <v>0</v>
      </c>
      <c r="N165" t="n">
        <v>0</v>
      </c>
      <c r="O165" t="n">
        <v>1</v>
      </c>
      <c r="P165" t="n">
        <v>0</v>
      </c>
      <c r="Q165" t="n">
        <v>2</v>
      </c>
      <c r="R165" s="2" t="inlineStr">
        <is>
          <t>Slåtterfibbla
Grönvit nattviol</t>
        </is>
      </c>
      <c r="S165">
        <f>HYPERLINK("https://klasma.github.io/Logging_0883/artfynd/A 433-2026 artfynd.xlsx", "A 433-2026")</f>
        <v/>
      </c>
      <c r="T165">
        <f>HYPERLINK("https://klasma.github.io/Logging_0883/kartor/A 433-2026 karta.png", "A 433-2026")</f>
        <v/>
      </c>
      <c r="V165">
        <f>HYPERLINK("https://klasma.github.io/Logging_0883/klagomål/A 433-2026 FSC-klagomål.docx", "A 433-2026")</f>
        <v/>
      </c>
      <c r="W165">
        <f>HYPERLINK("https://klasma.github.io/Logging_0883/klagomålsmail/A 433-2026 FSC-klagomål mail.docx", "A 433-2026")</f>
        <v/>
      </c>
      <c r="X165">
        <f>HYPERLINK("https://klasma.github.io/Logging_0883/tillsyn/A 433-2026 tillsynsbegäran.docx", "A 433-2026")</f>
        <v/>
      </c>
      <c r="Y165">
        <f>HYPERLINK("https://klasma.github.io/Logging_0883/tillsynsmail/A 433-2026 tillsynsbegäran mail.docx", "A 433-2026")</f>
        <v/>
      </c>
    </row>
    <row r="166" ht="15" customHeight="1">
      <c r="A166" t="inlineStr">
        <is>
          <t>A 62889-2025</t>
        </is>
      </c>
      <c r="B166" s="1" t="n">
        <v>46009.32436342593</v>
      </c>
      <c r="C166" s="1" t="n">
        <v>46050</v>
      </c>
      <c r="D166" t="inlineStr">
        <is>
          <t>KALMAR LÄN</t>
        </is>
      </c>
      <c r="E166" t="inlineStr">
        <is>
          <t>VÄSTERVIK</t>
        </is>
      </c>
      <c r="G166" t="n">
        <v>1.8</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62889-2025 artfynd.xlsx", "A 62889-2025")</f>
        <v/>
      </c>
      <c r="T166">
        <f>HYPERLINK("https://klasma.github.io/Logging_0883/kartor/A 62889-2025 karta.png", "A 62889-2025")</f>
        <v/>
      </c>
      <c r="U166">
        <f>HYPERLINK("https://klasma.github.io/Logging_0883/knärot/A 62889-2025 karta knärot.png", "A 62889-2025")</f>
        <v/>
      </c>
      <c r="V166">
        <f>HYPERLINK("https://klasma.github.io/Logging_0883/klagomål/A 62889-2025 FSC-klagomål.docx", "A 62889-2025")</f>
        <v/>
      </c>
      <c r="W166">
        <f>HYPERLINK("https://klasma.github.io/Logging_0883/klagomålsmail/A 62889-2025 FSC-klagomål mail.docx", "A 62889-2025")</f>
        <v/>
      </c>
      <c r="X166">
        <f>HYPERLINK("https://klasma.github.io/Logging_0883/tillsyn/A 62889-2025 tillsynsbegäran.docx", "A 62889-2025")</f>
        <v/>
      </c>
      <c r="Y166">
        <f>HYPERLINK("https://klasma.github.io/Logging_0883/tillsynsmail/A 62889-2025 tillsynsbegäran mail.docx", "A 62889-2025")</f>
        <v/>
      </c>
    </row>
    <row r="167" ht="15" customHeight="1">
      <c r="A167" t="inlineStr">
        <is>
          <t>A 14086-2025</t>
        </is>
      </c>
      <c r="B167" s="1" t="n">
        <v>45740.44130787037</v>
      </c>
      <c r="C167" s="1" t="n">
        <v>46050</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46050</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46157-2025</t>
        </is>
      </c>
      <c r="B169" s="1" t="n">
        <v>45924.63246527778</v>
      </c>
      <c r="C169" s="1" t="n">
        <v>46050</v>
      </c>
      <c r="D169" t="inlineStr">
        <is>
          <t>KALMAR LÄN</t>
        </is>
      </c>
      <c r="E169" t="inlineStr">
        <is>
          <t>VÄSTERVIK</t>
        </is>
      </c>
      <c r="G169" t="n">
        <v>3.1</v>
      </c>
      <c r="H169" t="n">
        <v>2</v>
      </c>
      <c r="I169" t="n">
        <v>0</v>
      </c>
      <c r="J169" t="n">
        <v>1</v>
      </c>
      <c r="K169" t="n">
        <v>0</v>
      </c>
      <c r="L169" t="n">
        <v>0</v>
      </c>
      <c r="M169" t="n">
        <v>0</v>
      </c>
      <c r="N169" t="n">
        <v>0</v>
      </c>
      <c r="O169" t="n">
        <v>1</v>
      </c>
      <c r="P169" t="n">
        <v>0</v>
      </c>
      <c r="Q169" t="n">
        <v>2</v>
      </c>
      <c r="R169" s="2" t="inlineStr">
        <is>
          <t>Spillkråka
Kungsfågel</t>
        </is>
      </c>
      <c r="S169">
        <f>HYPERLINK("https://klasma.github.io/Logging_0883/artfynd/A 46157-2025 artfynd.xlsx", "A 46157-2025")</f>
        <v/>
      </c>
      <c r="T169">
        <f>HYPERLINK("https://klasma.github.io/Logging_0883/kartor/A 46157-2025 karta.png", "A 46157-2025")</f>
        <v/>
      </c>
      <c r="V169">
        <f>HYPERLINK("https://klasma.github.io/Logging_0883/klagomål/A 46157-2025 FSC-klagomål.docx", "A 46157-2025")</f>
        <v/>
      </c>
      <c r="W169">
        <f>HYPERLINK("https://klasma.github.io/Logging_0883/klagomålsmail/A 46157-2025 FSC-klagomål mail.docx", "A 46157-2025")</f>
        <v/>
      </c>
      <c r="X169">
        <f>HYPERLINK("https://klasma.github.io/Logging_0883/tillsyn/A 46157-2025 tillsynsbegäran.docx", "A 46157-2025")</f>
        <v/>
      </c>
      <c r="Y169">
        <f>HYPERLINK("https://klasma.github.io/Logging_0883/tillsynsmail/A 46157-2025 tillsynsbegäran mail.docx", "A 46157-2025")</f>
        <v/>
      </c>
      <c r="Z169">
        <f>HYPERLINK("https://klasma.github.io/Logging_0883/fåglar/A 46157-2025 prioriterade fågelarter.docx", "A 46157-2025")</f>
        <v/>
      </c>
    </row>
    <row r="170" ht="15" customHeight="1">
      <c r="A170" t="inlineStr">
        <is>
          <t>A 59852-2025</t>
        </is>
      </c>
      <c r="B170" s="1" t="n">
        <v>45992.71744212963</v>
      </c>
      <c r="C170" s="1" t="n">
        <v>46050</v>
      </c>
      <c r="D170" t="inlineStr">
        <is>
          <t>KALMAR LÄN</t>
        </is>
      </c>
      <c r="E170" t="inlineStr">
        <is>
          <t>VÄSTERVIK</t>
        </is>
      </c>
      <c r="F170" t="inlineStr">
        <is>
          <t>Holmen skog AB</t>
        </is>
      </c>
      <c r="G170" t="n">
        <v>3.3</v>
      </c>
      <c r="H170" t="n">
        <v>2</v>
      </c>
      <c r="I170" t="n">
        <v>0</v>
      </c>
      <c r="J170" t="n">
        <v>1</v>
      </c>
      <c r="K170" t="n">
        <v>0</v>
      </c>
      <c r="L170" t="n">
        <v>0</v>
      </c>
      <c r="M170" t="n">
        <v>0</v>
      </c>
      <c r="N170" t="n">
        <v>0</v>
      </c>
      <c r="O170" t="n">
        <v>1</v>
      </c>
      <c r="P170" t="n">
        <v>0</v>
      </c>
      <c r="Q170" t="n">
        <v>2</v>
      </c>
      <c r="R170" s="2" t="inlineStr">
        <is>
          <t>Spillkråka
Gröngöling</t>
        </is>
      </c>
      <c r="S170">
        <f>HYPERLINK("https://klasma.github.io/Logging_0883/artfynd/A 59852-2025 artfynd.xlsx", "A 59852-2025")</f>
        <v/>
      </c>
      <c r="T170">
        <f>HYPERLINK("https://klasma.github.io/Logging_0883/kartor/A 59852-2025 karta.png", "A 59852-2025")</f>
        <v/>
      </c>
      <c r="V170">
        <f>HYPERLINK("https://klasma.github.io/Logging_0883/klagomål/A 59852-2025 FSC-klagomål.docx", "A 59852-2025")</f>
        <v/>
      </c>
      <c r="W170">
        <f>HYPERLINK("https://klasma.github.io/Logging_0883/klagomålsmail/A 59852-2025 FSC-klagomål mail.docx", "A 59852-2025")</f>
        <v/>
      </c>
      <c r="X170">
        <f>HYPERLINK("https://klasma.github.io/Logging_0883/tillsyn/A 59852-2025 tillsynsbegäran.docx", "A 59852-2025")</f>
        <v/>
      </c>
      <c r="Y170">
        <f>HYPERLINK("https://klasma.github.io/Logging_0883/tillsynsmail/A 59852-2025 tillsynsbegäran mail.docx", "A 59852-2025")</f>
        <v/>
      </c>
      <c r="Z170">
        <f>HYPERLINK("https://klasma.github.io/Logging_0883/fåglar/A 59852-2025 prioriterade fågelarter.docx", "A 59852-2025")</f>
        <v/>
      </c>
    </row>
    <row r="171" ht="15" customHeight="1">
      <c r="A171" t="inlineStr">
        <is>
          <t>A 14301-2023</t>
        </is>
      </c>
      <c r="B171" s="1" t="n">
        <v>45011</v>
      </c>
      <c r="C171" s="1" t="n">
        <v>46050</v>
      </c>
      <c r="D171" t="inlineStr">
        <is>
          <t>KALMAR LÄN</t>
        </is>
      </c>
      <c r="E171" t="inlineStr">
        <is>
          <t>VÄSTERVIK</t>
        </is>
      </c>
      <c r="G171" t="n">
        <v>4.4</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14301-2023 artfynd.xlsx", "A 14301-2023")</f>
        <v/>
      </c>
      <c r="T171">
        <f>HYPERLINK("https://klasma.github.io/Logging_0883/kartor/A 14301-2023 karta.png", "A 14301-2023")</f>
        <v/>
      </c>
      <c r="U171">
        <f>HYPERLINK("https://klasma.github.io/Logging_0883/knärot/A 14301-2023 karta knärot.png", "A 14301-2023")</f>
        <v/>
      </c>
      <c r="V171">
        <f>HYPERLINK("https://klasma.github.io/Logging_0883/klagomål/A 14301-2023 FSC-klagomål.docx", "A 14301-2023")</f>
        <v/>
      </c>
      <c r="W171">
        <f>HYPERLINK("https://klasma.github.io/Logging_0883/klagomålsmail/A 14301-2023 FSC-klagomål mail.docx", "A 14301-2023")</f>
        <v/>
      </c>
      <c r="X171">
        <f>HYPERLINK("https://klasma.github.io/Logging_0883/tillsyn/A 14301-2023 tillsynsbegäran.docx", "A 14301-2023")</f>
        <v/>
      </c>
      <c r="Y171">
        <f>HYPERLINK("https://klasma.github.io/Logging_0883/tillsynsmail/A 14301-2023 tillsynsbegäran mail.docx", "A 14301-2023")</f>
        <v/>
      </c>
    </row>
    <row r="172" ht="15" customHeight="1">
      <c r="A172" t="inlineStr">
        <is>
          <t>A 1879-2026</t>
        </is>
      </c>
      <c r="B172" s="1" t="n">
        <v>46035.47266203703</v>
      </c>
      <c r="C172" s="1" t="n">
        <v>46050</v>
      </c>
      <c r="D172" t="inlineStr">
        <is>
          <t>KALMAR LÄN</t>
        </is>
      </c>
      <c r="E172" t="inlineStr">
        <is>
          <t>VÄSTERVIK</t>
        </is>
      </c>
      <c r="G172" t="n">
        <v>1.6</v>
      </c>
      <c r="H172" t="n">
        <v>1</v>
      </c>
      <c r="I172" t="n">
        <v>0</v>
      </c>
      <c r="J172" t="n">
        <v>1</v>
      </c>
      <c r="K172" t="n">
        <v>1</v>
      </c>
      <c r="L172" t="n">
        <v>0</v>
      </c>
      <c r="M172" t="n">
        <v>0</v>
      </c>
      <c r="N172" t="n">
        <v>0</v>
      </c>
      <c r="O172" t="n">
        <v>2</v>
      </c>
      <c r="P172" t="n">
        <v>1</v>
      </c>
      <c r="Q172" t="n">
        <v>2</v>
      </c>
      <c r="R172" s="2" t="inlineStr">
        <is>
          <t>Knärot
Motaggsvamp</t>
        </is>
      </c>
      <c r="S172">
        <f>HYPERLINK("https://klasma.github.io/Logging_0883/artfynd/A 1879-2026 artfynd.xlsx", "A 1879-2026")</f>
        <v/>
      </c>
      <c r="T172">
        <f>HYPERLINK("https://klasma.github.io/Logging_0883/kartor/A 1879-2026 karta.png", "A 1879-2026")</f>
        <v/>
      </c>
      <c r="U172">
        <f>HYPERLINK("https://klasma.github.io/Logging_0883/knärot/A 1879-2026 karta knärot.png", "A 1879-2026")</f>
        <v/>
      </c>
      <c r="V172">
        <f>HYPERLINK("https://klasma.github.io/Logging_0883/klagomål/A 1879-2026 FSC-klagomål.docx", "A 1879-2026")</f>
        <v/>
      </c>
      <c r="W172">
        <f>HYPERLINK("https://klasma.github.io/Logging_0883/klagomålsmail/A 1879-2026 FSC-klagomål mail.docx", "A 1879-2026")</f>
        <v/>
      </c>
      <c r="X172">
        <f>HYPERLINK("https://klasma.github.io/Logging_0883/tillsyn/A 1879-2026 tillsynsbegäran.docx", "A 1879-2026")</f>
        <v/>
      </c>
      <c r="Y172">
        <f>HYPERLINK("https://klasma.github.io/Logging_0883/tillsynsmail/A 1879-2026 tillsynsbegäran mail.docx", "A 1879-2026")</f>
        <v/>
      </c>
    </row>
    <row r="173" ht="15" customHeight="1">
      <c r="A173" t="inlineStr">
        <is>
          <t>A 59654-2025</t>
        </is>
      </c>
      <c r="B173" s="1" t="n">
        <v>45992.43790509259</v>
      </c>
      <c r="C173" s="1" t="n">
        <v>46050</v>
      </c>
      <c r="D173" t="inlineStr">
        <is>
          <t>KALMAR LÄN</t>
        </is>
      </c>
      <c r="E173" t="inlineStr">
        <is>
          <t>VÄSTERVIK</t>
        </is>
      </c>
      <c r="G173" t="n">
        <v>3.3</v>
      </c>
      <c r="H173" t="n">
        <v>1</v>
      </c>
      <c r="I173" t="n">
        <v>0</v>
      </c>
      <c r="J173" t="n">
        <v>2</v>
      </c>
      <c r="K173" t="n">
        <v>0</v>
      </c>
      <c r="L173" t="n">
        <v>0</v>
      </c>
      <c r="M173" t="n">
        <v>0</v>
      </c>
      <c r="N173" t="n">
        <v>0</v>
      </c>
      <c r="O173" t="n">
        <v>2</v>
      </c>
      <c r="P173" t="n">
        <v>0</v>
      </c>
      <c r="Q173" t="n">
        <v>2</v>
      </c>
      <c r="R173" s="2" t="inlineStr">
        <is>
          <t>Rutskinn
Spillkråka</t>
        </is>
      </c>
      <c r="S173">
        <f>HYPERLINK("https://klasma.github.io/Logging_0883/artfynd/A 59654-2025 artfynd.xlsx", "A 59654-2025")</f>
        <v/>
      </c>
      <c r="T173">
        <f>HYPERLINK("https://klasma.github.io/Logging_0883/kartor/A 59654-2025 karta.png", "A 59654-2025")</f>
        <v/>
      </c>
      <c r="V173">
        <f>HYPERLINK("https://klasma.github.io/Logging_0883/klagomål/A 59654-2025 FSC-klagomål.docx", "A 59654-2025")</f>
        <v/>
      </c>
      <c r="W173">
        <f>HYPERLINK("https://klasma.github.io/Logging_0883/klagomålsmail/A 59654-2025 FSC-klagomål mail.docx", "A 59654-2025")</f>
        <v/>
      </c>
      <c r="X173">
        <f>HYPERLINK("https://klasma.github.io/Logging_0883/tillsyn/A 59654-2025 tillsynsbegäran.docx", "A 59654-2025")</f>
        <v/>
      </c>
      <c r="Y173">
        <f>HYPERLINK("https://klasma.github.io/Logging_0883/tillsynsmail/A 59654-2025 tillsynsbegäran mail.docx", "A 59654-2025")</f>
        <v/>
      </c>
      <c r="Z173">
        <f>HYPERLINK("https://klasma.github.io/Logging_0883/fåglar/A 59654-2025 prioriterade fågelarter.docx", "A 59654-2025")</f>
        <v/>
      </c>
    </row>
    <row r="174" ht="15" customHeight="1">
      <c r="A174" t="inlineStr">
        <is>
          <t>A 932-2024</t>
        </is>
      </c>
      <c r="B174" s="1" t="n">
        <v>45301</v>
      </c>
      <c r="C174" s="1" t="n">
        <v>46050</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61229-2025</t>
        </is>
      </c>
      <c r="B175" s="1" t="n">
        <v>46000.63108796296</v>
      </c>
      <c r="C175" s="1" t="n">
        <v>46050</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Spillkråka
Dropptaggsvamp</t>
        </is>
      </c>
      <c r="S175">
        <f>HYPERLINK("https://klasma.github.io/Logging_0883/artfynd/A 61229-2025 artfynd.xlsx", "A 61229-2025")</f>
        <v/>
      </c>
      <c r="T175">
        <f>HYPERLINK("https://klasma.github.io/Logging_0883/kartor/A 61229-2025 karta.png", "A 61229-2025")</f>
        <v/>
      </c>
      <c r="V175">
        <f>HYPERLINK("https://klasma.github.io/Logging_0883/klagomål/A 61229-2025 FSC-klagomål.docx", "A 61229-2025")</f>
        <v/>
      </c>
      <c r="W175">
        <f>HYPERLINK("https://klasma.github.io/Logging_0883/klagomålsmail/A 61229-2025 FSC-klagomål mail.docx", "A 61229-2025")</f>
        <v/>
      </c>
      <c r="X175">
        <f>HYPERLINK("https://klasma.github.io/Logging_0883/tillsyn/A 61229-2025 tillsynsbegäran.docx", "A 61229-2025")</f>
        <v/>
      </c>
      <c r="Y175">
        <f>HYPERLINK("https://klasma.github.io/Logging_0883/tillsynsmail/A 61229-2025 tillsynsbegäran mail.docx", "A 61229-2025")</f>
        <v/>
      </c>
      <c r="Z175">
        <f>HYPERLINK("https://klasma.github.io/Logging_0883/fåglar/A 61229-2025 prioriterade fågelarter.docx", "A 61229-2025")</f>
        <v/>
      </c>
    </row>
    <row r="176" ht="15" customHeight="1">
      <c r="A176" t="inlineStr">
        <is>
          <t>A 1767-2025</t>
        </is>
      </c>
      <c r="B176" s="1" t="n">
        <v>45671</v>
      </c>
      <c r="C176" s="1" t="n">
        <v>46050</v>
      </c>
      <c r="D176" t="inlineStr">
        <is>
          <t>KALMAR LÄN</t>
        </is>
      </c>
      <c r="E176" t="inlineStr">
        <is>
          <t>VÄSTERVIK</t>
        </is>
      </c>
      <c r="G176" t="n">
        <v>1.4</v>
      </c>
      <c r="H176" t="n">
        <v>1</v>
      </c>
      <c r="I176" t="n">
        <v>0</v>
      </c>
      <c r="J176" t="n">
        <v>2</v>
      </c>
      <c r="K176" t="n">
        <v>0</v>
      </c>
      <c r="L176" t="n">
        <v>0</v>
      </c>
      <c r="M176" t="n">
        <v>0</v>
      </c>
      <c r="N176" t="n">
        <v>0</v>
      </c>
      <c r="O176" t="n">
        <v>2</v>
      </c>
      <c r="P176" t="n">
        <v>0</v>
      </c>
      <c r="Q176" t="n">
        <v>2</v>
      </c>
      <c r="R176" s="2" t="inlineStr">
        <is>
          <t>Garnlav
Spillkråka</t>
        </is>
      </c>
      <c r="S176">
        <f>HYPERLINK("https://klasma.github.io/Logging_0883/artfynd/A 1767-2025 artfynd.xlsx", "A 1767-2025")</f>
        <v/>
      </c>
      <c r="T176">
        <f>HYPERLINK("https://klasma.github.io/Logging_0883/kartor/A 1767-2025 karta.png", "A 1767-2025")</f>
        <v/>
      </c>
      <c r="U176">
        <f>HYPERLINK("https://klasma.github.io/Logging_0883/knärot/A 1767-2025 karta knärot.png", "A 1767-2025")</f>
        <v/>
      </c>
      <c r="V176">
        <f>HYPERLINK("https://klasma.github.io/Logging_0883/klagomål/A 1767-2025 FSC-klagomål.docx", "A 1767-2025")</f>
        <v/>
      </c>
      <c r="W176">
        <f>HYPERLINK("https://klasma.github.io/Logging_0883/klagomålsmail/A 1767-2025 FSC-klagomål mail.docx", "A 1767-2025")</f>
        <v/>
      </c>
      <c r="X176">
        <f>HYPERLINK("https://klasma.github.io/Logging_0883/tillsyn/A 1767-2025 tillsynsbegäran.docx", "A 1767-2025")</f>
        <v/>
      </c>
      <c r="Y176">
        <f>HYPERLINK("https://klasma.github.io/Logging_0883/tillsynsmail/A 1767-2025 tillsynsbegäran mail.docx", "A 1767-2025")</f>
        <v/>
      </c>
      <c r="Z176">
        <f>HYPERLINK("https://klasma.github.io/Logging_0883/fåglar/A 1767-2025 prioriterade fågelarter.docx", "A 1767-2025")</f>
        <v/>
      </c>
    </row>
    <row r="177" ht="15" customHeight="1">
      <c r="A177" t="inlineStr">
        <is>
          <t>A 41271-2025</t>
        </is>
      </c>
      <c r="B177" s="1" t="n">
        <v>45898</v>
      </c>
      <c r="C177" s="1" t="n">
        <v>46050</v>
      </c>
      <c r="D177" t="inlineStr">
        <is>
          <t>KALMAR LÄN</t>
        </is>
      </c>
      <c r="E177" t="inlineStr">
        <is>
          <t>VÄSTERVIK</t>
        </is>
      </c>
      <c r="G177" t="n">
        <v>1.1</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41271-2025 artfynd.xlsx", "A 41271-2025")</f>
        <v/>
      </c>
      <c r="T177">
        <f>HYPERLINK("https://klasma.github.io/Logging_0883/kartor/A 41271-2025 karta.png", "A 41271-2025")</f>
        <v/>
      </c>
      <c r="U177">
        <f>HYPERLINK("https://klasma.github.io/Logging_0883/knärot/A 41271-2025 karta knärot.png", "A 41271-2025")</f>
        <v/>
      </c>
      <c r="V177">
        <f>HYPERLINK("https://klasma.github.io/Logging_0883/klagomål/A 41271-2025 FSC-klagomål.docx", "A 41271-2025")</f>
        <v/>
      </c>
      <c r="W177">
        <f>HYPERLINK("https://klasma.github.io/Logging_0883/klagomålsmail/A 41271-2025 FSC-klagomål mail.docx", "A 41271-2025")</f>
        <v/>
      </c>
      <c r="X177">
        <f>HYPERLINK("https://klasma.github.io/Logging_0883/tillsyn/A 41271-2025 tillsynsbegäran.docx", "A 41271-2025")</f>
        <v/>
      </c>
      <c r="Y177">
        <f>HYPERLINK("https://klasma.github.io/Logging_0883/tillsynsmail/A 41271-2025 tillsynsbegäran mail.docx", "A 41271-2025")</f>
        <v/>
      </c>
      <c r="Z177">
        <f>HYPERLINK("https://klasma.github.io/Logging_0883/fåglar/A 41271-2025 prioriterade fågelarter.docx", "A 41271-2025")</f>
        <v/>
      </c>
    </row>
    <row r="178" ht="15" customHeight="1">
      <c r="A178" t="inlineStr">
        <is>
          <t>A 26992-2024</t>
        </is>
      </c>
      <c r="B178" s="1" t="n">
        <v>45471</v>
      </c>
      <c r="C178" s="1" t="n">
        <v>46050</v>
      </c>
      <c r="D178" t="inlineStr">
        <is>
          <t>KALMAR LÄN</t>
        </is>
      </c>
      <c r="E178" t="inlineStr">
        <is>
          <t>VÄSTERVIK</t>
        </is>
      </c>
      <c r="F178" t="inlineStr">
        <is>
          <t>Holmen skog AB</t>
        </is>
      </c>
      <c r="G178" t="n">
        <v>4.6</v>
      </c>
      <c r="H178" t="n">
        <v>2</v>
      </c>
      <c r="I178" t="n">
        <v>0</v>
      </c>
      <c r="J178" t="n">
        <v>2</v>
      </c>
      <c r="K178" t="n">
        <v>0</v>
      </c>
      <c r="L178" t="n">
        <v>0</v>
      </c>
      <c r="M178" t="n">
        <v>0</v>
      </c>
      <c r="N178" t="n">
        <v>0</v>
      </c>
      <c r="O178" t="n">
        <v>2</v>
      </c>
      <c r="P178" t="n">
        <v>0</v>
      </c>
      <c r="Q178" t="n">
        <v>2</v>
      </c>
      <c r="R178" s="2" t="inlineStr">
        <is>
          <t>Mindre hackspett
Talltita</t>
        </is>
      </c>
      <c r="S178">
        <f>HYPERLINK("https://klasma.github.io/Logging_0883/artfynd/A 26992-2024 artfynd.xlsx", "A 26992-2024")</f>
        <v/>
      </c>
      <c r="T178">
        <f>HYPERLINK("https://klasma.github.io/Logging_0883/kartor/A 26992-2024 karta.png", "A 26992-2024")</f>
        <v/>
      </c>
      <c r="V178">
        <f>HYPERLINK("https://klasma.github.io/Logging_0883/klagomål/A 26992-2024 FSC-klagomål.docx", "A 26992-2024")</f>
        <v/>
      </c>
      <c r="W178">
        <f>HYPERLINK("https://klasma.github.io/Logging_0883/klagomålsmail/A 26992-2024 FSC-klagomål mail.docx", "A 26992-2024")</f>
        <v/>
      </c>
      <c r="X178">
        <f>HYPERLINK("https://klasma.github.io/Logging_0883/tillsyn/A 26992-2024 tillsynsbegäran.docx", "A 26992-2024")</f>
        <v/>
      </c>
      <c r="Y178">
        <f>HYPERLINK("https://klasma.github.io/Logging_0883/tillsynsmail/A 26992-2024 tillsynsbegäran mail.docx", "A 26992-2024")</f>
        <v/>
      </c>
      <c r="Z178">
        <f>HYPERLINK("https://klasma.github.io/Logging_0883/fåglar/A 26992-2024 prioriterade fågelarter.docx", "A 26992-2024")</f>
        <v/>
      </c>
    </row>
    <row r="179" ht="15" customHeight="1">
      <c r="A179" t="inlineStr">
        <is>
          <t>A 28401-2024</t>
        </is>
      </c>
      <c r="B179" s="1" t="n">
        <v>45477</v>
      </c>
      <c r="C179" s="1" t="n">
        <v>46050</v>
      </c>
      <c r="D179" t="inlineStr">
        <is>
          <t>KALMAR LÄN</t>
        </is>
      </c>
      <c r="E179" t="inlineStr">
        <is>
          <t>VÄSTERVIK</t>
        </is>
      </c>
      <c r="F179" t="inlineStr">
        <is>
          <t>Holmen skog AB</t>
        </is>
      </c>
      <c r="G179" t="n">
        <v>2.4</v>
      </c>
      <c r="H179" t="n">
        <v>2</v>
      </c>
      <c r="I179" t="n">
        <v>0</v>
      </c>
      <c r="J179" t="n">
        <v>1</v>
      </c>
      <c r="K179" t="n">
        <v>0</v>
      </c>
      <c r="L179" t="n">
        <v>0</v>
      </c>
      <c r="M179" t="n">
        <v>0</v>
      </c>
      <c r="N179" t="n">
        <v>0</v>
      </c>
      <c r="O179" t="n">
        <v>1</v>
      </c>
      <c r="P179" t="n">
        <v>0</v>
      </c>
      <c r="Q179" t="n">
        <v>2</v>
      </c>
      <c r="R179" s="2" t="inlineStr">
        <is>
          <t>Talltita
Revlummer</t>
        </is>
      </c>
      <c r="S179">
        <f>HYPERLINK("https://klasma.github.io/Logging_0883/artfynd/A 28401-2024 artfynd.xlsx", "A 28401-2024")</f>
        <v/>
      </c>
      <c r="T179">
        <f>HYPERLINK("https://klasma.github.io/Logging_0883/kartor/A 28401-2024 karta.png", "A 28401-2024")</f>
        <v/>
      </c>
      <c r="V179">
        <f>HYPERLINK("https://klasma.github.io/Logging_0883/klagomål/A 28401-2024 FSC-klagomål.docx", "A 28401-2024")</f>
        <v/>
      </c>
      <c r="W179">
        <f>HYPERLINK("https://klasma.github.io/Logging_0883/klagomålsmail/A 28401-2024 FSC-klagomål mail.docx", "A 28401-2024")</f>
        <v/>
      </c>
      <c r="X179">
        <f>HYPERLINK("https://klasma.github.io/Logging_0883/tillsyn/A 28401-2024 tillsynsbegäran.docx", "A 28401-2024")</f>
        <v/>
      </c>
      <c r="Y179">
        <f>HYPERLINK("https://klasma.github.io/Logging_0883/tillsynsmail/A 28401-2024 tillsynsbegäran mail.docx", "A 28401-2024")</f>
        <v/>
      </c>
      <c r="Z179">
        <f>HYPERLINK("https://klasma.github.io/Logging_0883/fåglar/A 28401-2024 prioriterade fågelarter.docx", "A 28401-2024")</f>
        <v/>
      </c>
    </row>
    <row r="180" ht="15" customHeight="1">
      <c r="A180" t="inlineStr">
        <is>
          <t>A 9770-2024</t>
        </is>
      </c>
      <c r="B180" s="1" t="n">
        <v>45362.63960648148</v>
      </c>
      <c r="C180" s="1" t="n">
        <v>46050</v>
      </c>
      <c r="D180" t="inlineStr">
        <is>
          <t>KALMAR LÄN</t>
        </is>
      </c>
      <c r="E180" t="inlineStr">
        <is>
          <t>VÄSTERVIK</t>
        </is>
      </c>
      <c r="G180" t="n">
        <v>2.6</v>
      </c>
      <c r="H180" t="n">
        <v>2</v>
      </c>
      <c r="I180" t="n">
        <v>0</v>
      </c>
      <c r="J180" t="n">
        <v>1</v>
      </c>
      <c r="K180" t="n">
        <v>0</v>
      </c>
      <c r="L180" t="n">
        <v>0</v>
      </c>
      <c r="M180" t="n">
        <v>0</v>
      </c>
      <c r="N180" t="n">
        <v>0</v>
      </c>
      <c r="O180" t="n">
        <v>1</v>
      </c>
      <c r="P180" t="n">
        <v>0</v>
      </c>
      <c r="Q180" t="n">
        <v>2</v>
      </c>
      <c r="R180" s="2" t="inlineStr">
        <is>
          <t>Talltita
Tjäder</t>
        </is>
      </c>
      <c r="S180">
        <f>HYPERLINK("https://klasma.github.io/Logging_0883/artfynd/A 9770-2024 artfynd.xlsx", "A 9770-2024")</f>
        <v/>
      </c>
      <c r="T180">
        <f>HYPERLINK("https://klasma.github.io/Logging_0883/kartor/A 9770-2024 karta.png", "A 9770-2024")</f>
        <v/>
      </c>
      <c r="V180">
        <f>HYPERLINK("https://klasma.github.io/Logging_0883/klagomål/A 9770-2024 FSC-klagomål.docx", "A 9770-2024")</f>
        <v/>
      </c>
      <c r="W180">
        <f>HYPERLINK("https://klasma.github.io/Logging_0883/klagomålsmail/A 9770-2024 FSC-klagomål mail.docx", "A 9770-2024")</f>
        <v/>
      </c>
      <c r="X180">
        <f>HYPERLINK("https://klasma.github.io/Logging_0883/tillsyn/A 9770-2024 tillsynsbegäran.docx", "A 9770-2024")</f>
        <v/>
      </c>
      <c r="Y180">
        <f>HYPERLINK("https://klasma.github.io/Logging_0883/tillsynsmail/A 9770-2024 tillsynsbegäran mail.docx", "A 9770-2024")</f>
        <v/>
      </c>
      <c r="Z180">
        <f>HYPERLINK("https://klasma.github.io/Logging_0883/fåglar/A 9770-2024 prioriterade fågelarter.docx", "A 9770-2024")</f>
        <v/>
      </c>
    </row>
    <row r="181" ht="15" customHeight="1">
      <c r="A181" t="inlineStr">
        <is>
          <t>A 9040-2023</t>
        </is>
      </c>
      <c r="B181" s="1" t="n">
        <v>44979</v>
      </c>
      <c r="C181" s="1" t="n">
        <v>46050</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14090-2025</t>
        </is>
      </c>
      <c r="B182" s="1" t="n">
        <v>45740.44487268518</v>
      </c>
      <c r="C182" s="1" t="n">
        <v>46050</v>
      </c>
      <c r="D182" t="inlineStr">
        <is>
          <t>KALMAR LÄN</t>
        </is>
      </c>
      <c r="E182" t="inlineStr">
        <is>
          <t>VÄSTERVIK</t>
        </is>
      </c>
      <c r="F182" t="inlineStr">
        <is>
          <t>Sveaskog</t>
        </is>
      </c>
      <c r="G182" t="n">
        <v>1</v>
      </c>
      <c r="H182" t="n">
        <v>2</v>
      </c>
      <c r="I182" t="n">
        <v>0</v>
      </c>
      <c r="J182" t="n">
        <v>1</v>
      </c>
      <c r="K182" t="n">
        <v>0</v>
      </c>
      <c r="L182" t="n">
        <v>0</v>
      </c>
      <c r="M182" t="n">
        <v>0</v>
      </c>
      <c r="N182" t="n">
        <v>0</v>
      </c>
      <c r="O182" t="n">
        <v>1</v>
      </c>
      <c r="P182" t="n">
        <v>0</v>
      </c>
      <c r="Q182" t="n">
        <v>2</v>
      </c>
      <c r="R182" s="2" t="inlineStr">
        <is>
          <t>Grönsångare
Åkergroda</t>
        </is>
      </c>
      <c r="S182">
        <f>HYPERLINK("https://klasma.github.io/Logging_0883/artfynd/A 14090-2025 artfynd.xlsx", "A 14090-2025")</f>
        <v/>
      </c>
      <c r="T182">
        <f>HYPERLINK("https://klasma.github.io/Logging_0883/kartor/A 14090-2025 karta.png", "A 14090-2025")</f>
        <v/>
      </c>
      <c r="V182">
        <f>HYPERLINK("https://klasma.github.io/Logging_0883/klagomål/A 14090-2025 FSC-klagomål.docx", "A 14090-2025")</f>
        <v/>
      </c>
      <c r="W182">
        <f>HYPERLINK("https://klasma.github.io/Logging_0883/klagomålsmail/A 14090-2025 FSC-klagomål mail.docx", "A 14090-2025")</f>
        <v/>
      </c>
      <c r="X182">
        <f>HYPERLINK("https://klasma.github.io/Logging_0883/tillsyn/A 14090-2025 tillsynsbegäran.docx", "A 14090-2025")</f>
        <v/>
      </c>
      <c r="Y182">
        <f>HYPERLINK("https://klasma.github.io/Logging_0883/tillsynsmail/A 14090-2025 tillsynsbegäran mail.docx", "A 14090-2025")</f>
        <v/>
      </c>
      <c r="Z182">
        <f>HYPERLINK("https://klasma.github.io/Logging_0883/fåglar/A 14090-2025 prioriterade fågelarter.docx", "A 14090-2025")</f>
        <v/>
      </c>
    </row>
    <row r="183" ht="15" customHeight="1">
      <c r="A183" t="inlineStr">
        <is>
          <t>A 11849-2024</t>
        </is>
      </c>
      <c r="B183" s="1" t="n">
        <v>45376.41797453703</v>
      </c>
      <c r="C183" s="1" t="n">
        <v>46050</v>
      </c>
      <c r="D183" t="inlineStr">
        <is>
          <t>KALMAR LÄN</t>
        </is>
      </c>
      <c r="E183" t="inlineStr">
        <is>
          <t>VÄSTERVIK</t>
        </is>
      </c>
      <c r="F183" t="inlineStr">
        <is>
          <t>Sveaskog</t>
        </is>
      </c>
      <c r="G183" t="n">
        <v>5.3</v>
      </c>
      <c r="H183" t="n">
        <v>2</v>
      </c>
      <c r="I183" t="n">
        <v>0</v>
      </c>
      <c r="J183" t="n">
        <v>0</v>
      </c>
      <c r="K183" t="n">
        <v>0</v>
      </c>
      <c r="L183" t="n">
        <v>0</v>
      </c>
      <c r="M183" t="n">
        <v>0</v>
      </c>
      <c r="N183" t="n">
        <v>0</v>
      </c>
      <c r="O183" t="n">
        <v>0</v>
      </c>
      <c r="P183" t="n">
        <v>0</v>
      </c>
      <c r="Q183" t="n">
        <v>2</v>
      </c>
      <c r="R183" s="2" t="inlineStr">
        <is>
          <t>Mattlummer
Revlummer</t>
        </is>
      </c>
      <c r="S183">
        <f>HYPERLINK("https://klasma.github.io/Logging_0883/artfynd/A 11849-2024 artfynd.xlsx", "A 11849-2024")</f>
        <v/>
      </c>
      <c r="T183">
        <f>HYPERLINK("https://klasma.github.io/Logging_0883/kartor/A 11849-2024 karta.png", "A 11849-2024")</f>
        <v/>
      </c>
      <c r="V183">
        <f>HYPERLINK("https://klasma.github.io/Logging_0883/klagomål/A 11849-2024 FSC-klagomål.docx", "A 11849-2024")</f>
        <v/>
      </c>
      <c r="W183">
        <f>HYPERLINK("https://klasma.github.io/Logging_0883/klagomålsmail/A 11849-2024 FSC-klagomål mail.docx", "A 11849-2024")</f>
        <v/>
      </c>
      <c r="X183">
        <f>HYPERLINK("https://klasma.github.io/Logging_0883/tillsyn/A 11849-2024 tillsynsbegäran.docx", "A 11849-2024")</f>
        <v/>
      </c>
      <c r="Y183">
        <f>HYPERLINK("https://klasma.github.io/Logging_0883/tillsynsmail/A 11849-2024 tillsynsbegäran mail.docx", "A 11849-2024")</f>
        <v/>
      </c>
    </row>
    <row r="184" ht="15" customHeight="1">
      <c r="A184" t="inlineStr">
        <is>
          <t>A 948-2024</t>
        </is>
      </c>
      <c r="B184" s="1" t="n">
        <v>45301</v>
      </c>
      <c r="C184" s="1" t="n">
        <v>46050</v>
      </c>
      <c r="D184" t="inlineStr">
        <is>
          <t>KALMAR LÄN</t>
        </is>
      </c>
      <c r="E184" t="inlineStr">
        <is>
          <t>VÄSTERVIK</t>
        </is>
      </c>
      <c r="G184" t="n">
        <v>4.5</v>
      </c>
      <c r="H184" t="n">
        <v>1</v>
      </c>
      <c r="I184" t="n">
        <v>1</v>
      </c>
      <c r="J184" t="n">
        <v>0</v>
      </c>
      <c r="K184" t="n">
        <v>0</v>
      </c>
      <c r="L184" t="n">
        <v>0</v>
      </c>
      <c r="M184" t="n">
        <v>0</v>
      </c>
      <c r="N184" t="n">
        <v>0</v>
      </c>
      <c r="O184" t="n">
        <v>0</v>
      </c>
      <c r="P184" t="n">
        <v>0</v>
      </c>
      <c r="Q184" t="n">
        <v>2</v>
      </c>
      <c r="R184" s="2" t="inlineStr">
        <is>
          <t>Dropptaggsvamp
Tjäder</t>
        </is>
      </c>
      <c r="S184">
        <f>HYPERLINK("https://klasma.github.io/Logging_0883/artfynd/A 948-2024 artfynd.xlsx", "A 948-2024")</f>
        <v/>
      </c>
      <c r="T184">
        <f>HYPERLINK("https://klasma.github.io/Logging_0883/kartor/A 948-2024 karta.png", "A 948-2024")</f>
        <v/>
      </c>
      <c r="V184">
        <f>HYPERLINK("https://klasma.github.io/Logging_0883/klagomål/A 948-2024 FSC-klagomål.docx", "A 948-2024")</f>
        <v/>
      </c>
      <c r="W184">
        <f>HYPERLINK("https://klasma.github.io/Logging_0883/klagomålsmail/A 948-2024 FSC-klagomål mail.docx", "A 948-2024")</f>
        <v/>
      </c>
      <c r="X184">
        <f>HYPERLINK("https://klasma.github.io/Logging_0883/tillsyn/A 948-2024 tillsynsbegäran.docx", "A 948-2024")</f>
        <v/>
      </c>
      <c r="Y184">
        <f>HYPERLINK("https://klasma.github.io/Logging_0883/tillsynsmail/A 948-2024 tillsynsbegäran mail.docx", "A 948-2024")</f>
        <v/>
      </c>
      <c r="Z184">
        <f>HYPERLINK("https://klasma.github.io/Logging_0883/fåglar/A 948-2024 prioriterade fågelarter.docx", "A 948-2024")</f>
        <v/>
      </c>
    </row>
    <row r="185" ht="15" customHeight="1">
      <c r="A185" t="inlineStr">
        <is>
          <t>A 51833-2021</t>
        </is>
      </c>
      <c r="B185" s="1" t="n">
        <v>44462</v>
      </c>
      <c r="C185" s="1" t="n">
        <v>46050</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46050</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46050</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46050</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46050</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911-2024</t>
        </is>
      </c>
      <c r="B190" s="1" t="n">
        <v>45301</v>
      </c>
      <c r="C190" s="1" t="n">
        <v>46050</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46050</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46050</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46050</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46050</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46050</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46050</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46050</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46050</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46050</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46050</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46050</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46050</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46050</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46050</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46050</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46050</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46050</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46050</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24884-2025</t>
        </is>
      </c>
      <c r="B209" s="1" t="n">
        <v>45799.50620370371</v>
      </c>
      <c r="C209" s="1" t="n">
        <v>46050</v>
      </c>
      <c r="D209" t="inlineStr">
        <is>
          <t>KALMAR LÄN</t>
        </is>
      </c>
      <c r="E209" t="inlineStr">
        <is>
          <t>VÄSTERVIK</t>
        </is>
      </c>
      <c r="F209" t="inlineStr">
        <is>
          <t>Holmen skog AB</t>
        </is>
      </c>
      <c r="G209" t="n">
        <v>5.1</v>
      </c>
      <c r="H209" t="n">
        <v>0</v>
      </c>
      <c r="I209" t="n">
        <v>1</v>
      </c>
      <c r="J209" t="n">
        <v>0</v>
      </c>
      <c r="K209" t="n">
        <v>0</v>
      </c>
      <c r="L209" t="n">
        <v>0</v>
      </c>
      <c r="M209" t="n">
        <v>0</v>
      </c>
      <c r="N209" t="n">
        <v>0</v>
      </c>
      <c r="O209" t="n">
        <v>0</v>
      </c>
      <c r="P209" t="n">
        <v>0</v>
      </c>
      <c r="Q209" t="n">
        <v>1</v>
      </c>
      <c r="R209" s="2" t="inlineStr">
        <is>
          <t>Strävlosta</t>
        </is>
      </c>
      <c r="S209">
        <f>HYPERLINK("https://klasma.github.io/Logging_0883/artfynd/A 24884-2025 artfynd.xlsx", "A 24884-2025")</f>
        <v/>
      </c>
      <c r="T209">
        <f>HYPERLINK("https://klasma.github.io/Logging_0883/kartor/A 24884-2025 karta.png", "A 24884-2025")</f>
        <v/>
      </c>
      <c r="V209">
        <f>HYPERLINK("https://klasma.github.io/Logging_0883/klagomål/A 24884-2025 FSC-klagomål.docx", "A 24884-2025")</f>
        <v/>
      </c>
      <c r="W209">
        <f>HYPERLINK("https://klasma.github.io/Logging_0883/klagomålsmail/A 24884-2025 FSC-klagomål mail.docx", "A 24884-2025")</f>
        <v/>
      </c>
      <c r="X209">
        <f>HYPERLINK("https://klasma.github.io/Logging_0883/tillsyn/A 24884-2025 tillsynsbegäran.docx", "A 24884-2025")</f>
        <v/>
      </c>
      <c r="Y209">
        <f>HYPERLINK("https://klasma.github.io/Logging_0883/tillsynsmail/A 24884-2025 tillsynsbegäran mail.docx", "A 24884-2025")</f>
        <v/>
      </c>
    </row>
    <row r="210" ht="15" customHeight="1">
      <c r="A210" t="inlineStr">
        <is>
          <t>A 55360-2024</t>
        </is>
      </c>
      <c r="B210" s="1" t="n">
        <v>45621.8252199074</v>
      </c>
      <c r="C210" s="1" t="n">
        <v>46050</v>
      </c>
      <c r="D210" t="inlineStr">
        <is>
          <t>KALMAR LÄN</t>
        </is>
      </c>
      <c r="E210" t="inlineStr">
        <is>
          <t>VÄSTERVIK</t>
        </is>
      </c>
      <c r="F210" t="inlineStr">
        <is>
          <t>Sveaskog</t>
        </is>
      </c>
      <c r="G210" t="n">
        <v>11.1</v>
      </c>
      <c r="H210" t="n">
        <v>0</v>
      </c>
      <c r="I210" t="n">
        <v>0</v>
      </c>
      <c r="J210" t="n">
        <v>1</v>
      </c>
      <c r="K210" t="n">
        <v>0</v>
      </c>
      <c r="L210" t="n">
        <v>0</v>
      </c>
      <c r="M210" t="n">
        <v>0</v>
      </c>
      <c r="N210" t="n">
        <v>0</v>
      </c>
      <c r="O210" t="n">
        <v>1</v>
      </c>
      <c r="P210" t="n">
        <v>0</v>
      </c>
      <c r="Q210" t="n">
        <v>1</v>
      </c>
      <c r="R210" s="2" t="inlineStr">
        <is>
          <t>Vårstarr</t>
        </is>
      </c>
      <c r="S210">
        <f>HYPERLINK("https://klasma.github.io/Logging_0883/artfynd/A 55360-2024 artfynd.xlsx", "A 55360-2024")</f>
        <v/>
      </c>
      <c r="T210">
        <f>HYPERLINK("https://klasma.github.io/Logging_0883/kartor/A 55360-2024 karta.png", "A 55360-2024")</f>
        <v/>
      </c>
      <c r="V210">
        <f>HYPERLINK("https://klasma.github.io/Logging_0883/klagomål/A 55360-2024 FSC-klagomål.docx", "A 55360-2024")</f>
        <v/>
      </c>
      <c r="W210">
        <f>HYPERLINK("https://klasma.github.io/Logging_0883/klagomålsmail/A 55360-2024 FSC-klagomål mail.docx", "A 55360-2024")</f>
        <v/>
      </c>
      <c r="X210">
        <f>HYPERLINK("https://klasma.github.io/Logging_0883/tillsyn/A 55360-2024 tillsynsbegäran.docx", "A 55360-2024")</f>
        <v/>
      </c>
      <c r="Y210">
        <f>HYPERLINK("https://klasma.github.io/Logging_0883/tillsynsmail/A 55360-2024 tillsynsbegäran mail.docx", "A 55360-2024")</f>
        <v/>
      </c>
    </row>
    <row r="211" ht="15" customHeight="1">
      <c r="A211" t="inlineStr">
        <is>
          <t>A 26516-2025</t>
        </is>
      </c>
      <c r="B211" s="1" t="n">
        <v>45807.55402777778</v>
      </c>
      <c r="C211" s="1" t="n">
        <v>46050</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53075-2024</t>
        </is>
      </c>
      <c r="B212" s="1" t="n">
        <v>45611</v>
      </c>
      <c r="C212" s="1" t="n">
        <v>46050</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46050</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51488-2024</t>
        </is>
      </c>
      <c r="B214" s="1" t="n">
        <v>45604</v>
      </c>
      <c r="C214" s="1" t="n">
        <v>46050</v>
      </c>
      <c r="D214" t="inlineStr">
        <is>
          <t>KALMAR LÄN</t>
        </is>
      </c>
      <c r="E214" t="inlineStr">
        <is>
          <t>VÄSTERVIK</t>
        </is>
      </c>
      <c r="F214" t="inlineStr">
        <is>
          <t>Övriga Aktiebolag</t>
        </is>
      </c>
      <c r="G214" t="n">
        <v>2.9</v>
      </c>
      <c r="H214" t="n">
        <v>1</v>
      </c>
      <c r="I214" t="n">
        <v>0</v>
      </c>
      <c r="J214" t="n">
        <v>1</v>
      </c>
      <c r="K214" t="n">
        <v>0</v>
      </c>
      <c r="L214" t="n">
        <v>0</v>
      </c>
      <c r="M214" t="n">
        <v>0</v>
      </c>
      <c r="N214" t="n">
        <v>0</v>
      </c>
      <c r="O214" t="n">
        <v>1</v>
      </c>
      <c r="P214" t="n">
        <v>0</v>
      </c>
      <c r="Q214" t="n">
        <v>1</v>
      </c>
      <c r="R214" s="2" t="inlineStr">
        <is>
          <t>Entita</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6657-2025</t>
        </is>
      </c>
      <c r="B215" s="1" t="n">
        <v>45700</v>
      </c>
      <c r="C215" s="1" t="n">
        <v>46050</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46050</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27426-2025</t>
        </is>
      </c>
      <c r="B217" s="1" t="n">
        <v>45813</v>
      </c>
      <c r="C217" s="1" t="n">
        <v>46050</v>
      </c>
      <c r="D217" t="inlineStr">
        <is>
          <t>KALMAR LÄN</t>
        </is>
      </c>
      <c r="E217" t="inlineStr">
        <is>
          <t>VÄSTERVIK</t>
        </is>
      </c>
      <c r="G217" t="n">
        <v>2</v>
      </c>
      <c r="H217" t="n">
        <v>0</v>
      </c>
      <c r="I217" t="n">
        <v>1</v>
      </c>
      <c r="J217" t="n">
        <v>0</v>
      </c>
      <c r="K217" t="n">
        <v>0</v>
      </c>
      <c r="L217" t="n">
        <v>0</v>
      </c>
      <c r="M217" t="n">
        <v>0</v>
      </c>
      <c r="N217" t="n">
        <v>0</v>
      </c>
      <c r="O217" t="n">
        <v>0</v>
      </c>
      <c r="P217" t="n">
        <v>0</v>
      </c>
      <c r="Q217" t="n">
        <v>1</v>
      </c>
      <c r="R217" s="2" t="inlineStr">
        <is>
          <t>Vätteros</t>
        </is>
      </c>
      <c r="S217">
        <f>HYPERLINK("https://klasma.github.io/Logging_0883/artfynd/A 27426-2025 artfynd.xlsx", "A 27426-2025")</f>
        <v/>
      </c>
      <c r="T217">
        <f>HYPERLINK("https://klasma.github.io/Logging_0883/kartor/A 27426-2025 karta.png", "A 27426-2025")</f>
        <v/>
      </c>
      <c r="V217">
        <f>HYPERLINK("https://klasma.github.io/Logging_0883/klagomål/A 27426-2025 FSC-klagomål.docx", "A 27426-2025")</f>
        <v/>
      </c>
      <c r="W217">
        <f>HYPERLINK("https://klasma.github.io/Logging_0883/klagomålsmail/A 27426-2025 FSC-klagomål mail.docx", "A 27426-2025")</f>
        <v/>
      </c>
      <c r="X217">
        <f>HYPERLINK("https://klasma.github.io/Logging_0883/tillsyn/A 27426-2025 tillsynsbegäran.docx", "A 27426-2025")</f>
        <v/>
      </c>
      <c r="Y217">
        <f>HYPERLINK("https://klasma.github.io/Logging_0883/tillsynsmail/A 27426-2025 tillsynsbegäran mail.docx", "A 27426-2025")</f>
        <v/>
      </c>
    </row>
    <row r="218" ht="15" customHeight="1">
      <c r="A218" t="inlineStr">
        <is>
          <t>A 30794-2025</t>
        </is>
      </c>
      <c r="B218" s="1" t="n">
        <v>45831.63834490741</v>
      </c>
      <c r="C218" s="1" t="n">
        <v>46050</v>
      </c>
      <c r="D218" t="inlineStr">
        <is>
          <t>KALMAR LÄN</t>
        </is>
      </c>
      <c r="E218" t="inlineStr">
        <is>
          <t>VÄSTERVIK</t>
        </is>
      </c>
      <c r="G218" t="n">
        <v>4.8</v>
      </c>
      <c r="H218" t="n">
        <v>0</v>
      </c>
      <c r="I218" t="n">
        <v>0</v>
      </c>
      <c r="J218" t="n">
        <v>1</v>
      </c>
      <c r="K218" t="n">
        <v>0</v>
      </c>
      <c r="L218" t="n">
        <v>0</v>
      </c>
      <c r="M218" t="n">
        <v>0</v>
      </c>
      <c r="N218" t="n">
        <v>0</v>
      </c>
      <c r="O218" t="n">
        <v>1</v>
      </c>
      <c r="P218" t="n">
        <v>0</v>
      </c>
      <c r="Q218" t="n">
        <v>1</v>
      </c>
      <c r="R218" s="2" t="inlineStr">
        <is>
          <t>Tallticka</t>
        </is>
      </c>
      <c r="S218">
        <f>HYPERLINK("https://klasma.github.io/Logging_0883/artfynd/A 30794-2025 artfynd.xlsx", "A 30794-2025")</f>
        <v/>
      </c>
      <c r="T218">
        <f>HYPERLINK("https://klasma.github.io/Logging_0883/kartor/A 30794-2025 karta.png", "A 30794-2025")</f>
        <v/>
      </c>
      <c r="V218">
        <f>HYPERLINK("https://klasma.github.io/Logging_0883/klagomål/A 30794-2025 FSC-klagomål.docx", "A 30794-2025")</f>
        <v/>
      </c>
      <c r="W218">
        <f>HYPERLINK("https://klasma.github.io/Logging_0883/klagomålsmail/A 30794-2025 FSC-klagomål mail.docx", "A 30794-2025")</f>
        <v/>
      </c>
      <c r="X218">
        <f>HYPERLINK("https://klasma.github.io/Logging_0883/tillsyn/A 30794-2025 tillsynsbegäran.docx", "A 30794-2025")</f>
        <v/>
      </c>
      <c r="Y218">
        <f>HYPERLINK("https://klasma.github.io/Logging_0883/tillsynsmail/A 30794-2025 tillsynsbegäran mail.docx", "A 30794-2025")</f>
        <v/>
      </c>
    </row>
    <row r="219" ht="15" customHeight="1">
      <c r="A219" t="inlineStr">
        <is>
          <t>A 3673-2025</t>
        </is>
      </c>
      <c r="B219" s="1" t="n">
        <v>45681.43706018518</v>
      </c>
      <c r="C219" s="1" t="n">
        <v>46050</v>
      </c>
      <c r="D219" t="inlineStr">
        <is>
          <t>KALMAR LÄN</t>
        </is>
      </c>
      <c r="E219" t="inlineStr">
        <is>
          <t>VÄSTERVIK</t>
        </is>
      </c>
      <c r="G219" t="n">
        <v>1.1</v>
      </c>
      <c r="H219" t="n">
        <v>0</v>
      </c>
      <c r="I219" t="n">
        <v>1</v>
      </c>
      <c r="J219" t="n">
        <v>0</v>
      </c>
      <c r="K219" t="n">
        <v>0</v>
      </c>
      <c r="L219" t="n">
        <v>0</v>
      </c>
      <c r="M219" t="n">
        <v>0</v>
      </c>
      <c r="N219" t="n">
        <v>0</v>
      </c>
      <c r="O219" t="n">
        <v>0</v>
      </c>
      <c r="P219" t="n">
        <v>0</v>
      </c>
      <c r="Q219" t="n">
        <v>1</v>
      </c>
      <c r="R219" s="2" t="inlineStr">
        <is>
          <t>Blodticka</t>
        </is>
      </c>
      <c r="S219">
        <f>HYPERLINK("https://klasma.github.io/Logging_0883/artfynd/A 3673-2025 artfynd.xlsx", "A 3673-2025")</f>
        <v/>
      </c>
      <c r="T219">
        <f>HYPERLINK("https://klasma.github.io/Logging_0883/kartor/A 3673-2025 karta.png", "A 3673-2025")</f>
        <v/>
      </c>
      <c r="V219">
        <f>HYPERLINK("https://klasma.github.io/Logging_0883/klagomål/A 3673-2025 FSC-klagomål.docx", "A 3673-2025")</f>
        <v/>
      </c>
      <c r="W219">
        <f>HYPERLINK("https://klasma.github.io/Logging_0883/klagomålsmail/A 3673-2025 FSC-klagomål mail.docx", "A 3673-2025")</f>
        <v/>
      </c>
      <c r="X219">
        <f>HYPERLINK("https://klasma.github.io/Logging_0883/tillsyn/A 3673-2025 tillsynsbegäran.docx", "A 3673-2025")</f>
        <v/>
      </c>
      <c r="Y219">
        <f>HYPERLINK("https://klasma.github.io/Logging_0883/tillsynsmail/A 3673-2025 tillsynsbegäran mail.docx", "A 3673-2025")</f>
        <v/>
      </c>
    </row>
    <row r="220" ht="15" customHeight="1">
      <c r="A220" t="inlineStr">
        <is>
          <t>A 9261-2025</t>
        </is>
      </c>
      <c r="B220" s="1" t="n">
        <v>45714.60472222222</v>
      </c>
      <c r="C220" s="1" t="n">
        <v>46050</v>
      </c>
      <c r="D220" t="inlineStr">
        <is>
          <t>KALMAR LÄN</t>
        </is>
      </c>
      <c r="E220" t="inlineStr">
        <is>
          <t>VÄSTERVIK</t>
        </is>
      </c>
      <c r="F220" t="inlineStr">
        <is>
          <t>Sveaskog</t>
        </is>
      </c>
      <c r="G220" t="n">
        <v>4.9</v>
      </c>
      <c r="H220" t="n">
        <v>1</v>
      </c>
      <c r="I220" t="n">
        <v>0</v>
      </c>
      <c r="J220" t="n">
        <v>1</v>
      </c>
      <c r="K220" t="n">
        <v>0</v>
      </c>
      <c r="L220" t="n">
        <v>0</v>
      </c>
      <c r="M220" t="n">
        <v>0</v>
      </c>
      <c r="N220" t="n">
        <v>0</v>
      </c>
      <c r="O220" t="n">
        <v>1</v>
      </c>
      <c r="P220" t="n">
        <v>0</v>
      </c>
      <c r="Q220" t="n">
        <v>1</v>
      </c>
      <c r="R220" s="2" t="inlineStr">
        <is>
          <t>Havsörn</t>
        </is>
      </c>
      <c r="S220">
        <f>HYPERLINK("https://klasma.github.io/Logging_0883/artfynd/A 9261-2025 artfynd.xlsx", "A 9261-2025")</f>
        <v/>
      </c>
      <c r="T220">
        <f>HYPERLINK("https://klasma.github.io/Logging_0883/kartor/A 9261-2025 karta.png", "A 9261-2025")</f>
        <v/>
      </c>
      <c r="V220">
        <f>HYPERLINK("https://klasma.github.io/Logging_0883/klagomål/A 9261-2025 FSC-klagomål.docx", "A 9261-2025")</f>
        <v/>
      </c>
      <c r="W220">
        <f>HYPERLINK("https://klasma.github.io/Logging_0883/klagomålsmail/A 9261-2025 FSC-klagomål mail.docx", "A 9261-2025")</f>
        <v/>
      </c>
      <c r="X220">
        <f>HYPERLINK("https://klasma.github.io/Logging_0883/tillsyn/A 9261-2025 tillsynsbegäran.docx", "A 9261-2025")</f>
        <v/>
      </c>
      <c r="Y220">
        <f>HYPERLINK("https://klasma.github.io/Logging_0883/tillsynsmail/A 9261-2025 tillsynsbegäran mail.docx", "A 9261-2025")</f>
        <v/>
      </c>
      <c r="Z220">
        <f>HYPERLINK("https://klasma.github.io/Logging_0883/fåglar/A 9261-2025 prioriterade fågelarter.docx", "A 9261-2025")</f>
        <v/>
      </c>
    </row>
    <row r="221" ht="15" customHeight="1">
      <c r="A221" t="inlineStr">
        <is>
          <t>A 44618-2025</t>
        </is>
      </c>
      <c r="B221" s="1" t="n">
        <v>45917.46385416666</v>
      </c>
      <c r="C221" s="1" t="n">
        <v>46050</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46050</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34166-2025</t>
        </is>
      </c>
      <c r="B223" s="1" t="n">
        <v>45845.5819675926</v>
      </c>
      <c r="C223" s="1" t="n">
        <v>46050</v>
      </c>
      <c r="D223" t="inlineStr">
        <is>
          <t>KALMAR LÄN</t>
        </is>
      </c>
      <c r="E223" t="inlineStr">
        <is>
          <t>VÄSTERVIK</t>
        </is>
      </c>
      <c r="G223" t="n">
        <v>3.5</v>
      </c>
      <c r="H223" t="n">
        <v>0</v>
      </c>
      <c r="I223" t="n">
        <v>0</v>
      </c>
      <c r="J223" t="n">
        <v>0</v>
      </c>
      <c r="K223" t="n">
        <v>0</v>
      </c>
      <c r="L223" t="n">
        <v>0</v>
      </c>
      <c r="M223" t="n">
        <v>1</v>
      </c>
      <c r="N223" t="n">
        <v>0</v>
      </c>
      <c r="O223" t="n">
        <v>1</v>
      </c>
      <c r="P223" t="n">
        <v>1</v>
      </c>
      <c r="Q223" t="n">
        <v>1</v>
      </c>
      <c r="R223" s="2" t="inlineStr">
        <is>
          <t>Skogsalm</t>
        </is>
      </c>
      <c r="S223">
        <f>HYPERLINK("https://klasma.github.io/Logging_0883/artfynd/A 34166-2025 artfynd.xlsx", "A 34166-2025")</f>
        <v/>
      </c>
      <c r="T223">
        <f>HYPERLINK("https://klasma.github.io/Logging_0883/kartor/A 34166-2025 karta.png", "A 34166-2025")</f>
        <v/>
      </c>
      <c r="V223">
        <f>HYPERLINK("https://klasma.github.io/Logging_0883/klagomål/A 34166-2025 FSC-klagomål.docx", "A 34166-2025")</f>
        <v/>
      </c>
      <c r="W223">
        <f>HYPERLINK("https://klasma.github.io/Logging_0883/klagomålsmail/A 34166-2025 FSC-klagomål mail.docx", "A 34166-2025")</f>
        <v/>
      </c>
      <c r="X223">
        <f>HYPERLINK("https://klasma.github.io/Logging_0883/tillsyn/A 34166-2025 tillsynsbegäran.docx", "A 34166-2025")</f>
        <v/>
      </c>
      <c r="Y223">
        <f>HYPERLINK("https://klasma.github.io/Logging_0883/tillsynsmail/A 34166-2025 tillsynsbegäran mail.docx", "A 34166-2025")</f>
        <v/>
      </c>
    </row>
    <row r="224" ht="15" customHeight="1">
      <c r="A224" t="inlineStr">
        <is>
          <t>A 33916-2025</t>
        </is>
      </c>
      <c r="B224" s="1" t="n">
        <v>45842.61306712963</v>
      </c>
      <c r="C224" s="1" t="n">
        <v>46050</v>
      </c>
      <c r="D224" t="inlineStr">
        <is>
          <t>KALMAR LÄN</t>
        </is>
      </c>
      <c r="E224" t="inlineStr">
        <is>
          <t>VÄSTERVIK</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HYPERLINK("https://klasma.github.io/Logging_0883/artfynd/A 33916-2025 artfynd.xlsx", "A 33916-2025")</f>
        <v/>
      </c>
      <c r="T224">
        <f>HYPERLINK("https://klasma.github.io/Logging_0883/kartor/A 33916-2025 karta.png", "A 33916-2025")</f>
        <v/>
      </c>
      <c r="V224">
        <f>HYPERLINK("https://klasma.github.io/Logging_0883/klagomål/A 33916-2025 FSC-klagomål.docx", "A 33916-2025")</f>
        <v/>
      </c>
      <c r="W224">
        <f>HYPERLINK("https://klasma.github.io/Logging_0883/klagomålsmail/A 33916-2025 FSC-klagomål mail.docx", "A 33916-2025")</f>
        <v/>
      </c>
      <c r="X224">
        <f>HYPERLINK("https://klasma.github.io/Logging_0883/tillsyn/A 33916-2025 tillsynsbegäran.docx", "A 33916-2025")</f>
        <v/>
      </c>
      <c r="Y224">
        <f>HYPERLINK("https://klasma.github.io/Logging_0883/tillsynsmail/A 33916-2025 tillsynsbegäran mail.docx", "A 33916-2025")</f>
        <v/>
      </c>
      <c r="Z224">
        <f>HYPERLINK("https://klasma.github.io/Logging_0883/fåglar/A 33916-2025 prioriterade fågelarter.docx", "A 33916-2025")</f>
        <v/>
      </c>
    </row>
    <row r="225" ht="15" customHeight="1">
      <c r="A225" t="inlineStr">
        <is>
          <t>A 34212-2025</t>
        </is>
      </c>
      <c r="B225" s="1" t="n">
        <v>45845.64383101852</v>
      </c>
      <c r="C225" s="1" t="n">
        <v>46050</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34168-2025</t>
        </is>
      </c>
      <c r="B226" s="1" t="n">
        <v>45845.58349537037</v>
      </c>
      <c r="C226" s="1" t="n">
        <v>46050</v>
      </c>
      <c r="D226" t="inlineStr">
        <is>
          <t>KALMAR LÄN</t>
        </is>
      </c>
      <c r="E226" t="inlineStr">
        <is>
          <t>VÄSTERVIK</t>
        </is>
      </c>
      <c r="G226" t="n">
        <v>2.7</v>
      </c>
      <c r="H226" t="n">
        <v>1</v>
      </c>
      <c r="I226" t="n">
        <v>0</v>
      </c>
      <c r="J226" t="n">
        <v>1</v>
      </c>
      <c r="K226" t="n">
        <v>0</v>
      </c>
      <c r="L226" t="n">
        <v>0</v>
      </c>
      <c r="M226" t="n">
        <v>0</v>
      </c>
      <c r="N226" t="n">
        <v>0</v>
      </c>
      <c r="O226" t="n">
        <v>1</v>
      </c>
      <c r="P226" t="n">
        <v>0</v>
      </c>
      <c r="Q226" t="n">
        <v>1</v>
      </c>
      <c r="R226" s="2" t="inlineStr">
        <is>
          <t>Grönsångare</t>
        </is>
      </c>
      <c r="S226">
        <f>HYPERLINK("https://klasma.github.io/Logging_0883/artfynd/A 34168-2025 artfynd.xlsx", "A 34168-2025")</f>
        <v/>
      </c>
      <c r="T226">
        <f>HYPERLINK("https://klasma.github.io/Logging_0883/kartor/A 34168-2025 karta.png", "A 34168-2025")</f>
        <v/>
      </c>
      <c r="V226">
        <f>HYPERLINK("https://klasma.github.io/Logging_0883/klagomål/A 34168-2025 FSC-klagomål.docx", "A 34168-2025")</f>
        <v/>
      </c>
      <c r="W226">
        <f>HYPERLINK("https://klasma.github.io/Logging_0883/klagomålsmail/A 34168-2025 FSC-klagomål mail.docx", "A 34168-2025")</f>
        <v/>
      </c>
      <c r="X226">
        <f>HYPERLINK("https://klasma.github.io/Logging_0883/tillsyn/A 34168-2025 tillsynsbegäran.docx", "A 34168-2025")</f>
        <v/>
      </c>
      <c r="Y226">
        <f>HYPERLINK("https://klasma.github.io/Logging_0883/tillsynsmail/A 34168-2025 tillsynsbegäran mail.docx", "A 34168-2025")</f>
        <v/>
      </c>
      <c r="Z226">
        <f>HYPERLINK("https://klasma.github.io/Logging_0883/fåglar/A 34168-2025 prioriterade fågelarter.docx", "A 34168-2025")</f>
        <v/>
      </c>
    </row>
    <row r="227" ht="15" customHeight="1">
      <c r="A227" t="inlineStr">
        <is>
          <t>A 11195-2024</t>
        </is>
      </c>
      <c r="B227" s="1" t="n">
        <v>45371</v>
      </c>
      <c r="C227" s="1" t="n">
        <v>46050</v>
      </c>
      <c r="D227" t="inlineStr">
        <is>
          <t>KALMAR LÄN</t>
        </is>
      </c>
      <c r="E227" t="inlineStr">
        <is>
          <t>VÄSTERVIK</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HYPERLINK("https://klasma.github.io/Logging_0883/artfynd/A 11195-2024 artfynd.xlsx", "A 11195-2024")</f>
        <v/>
      </c>
      <c r="T227">
        <f>HYPERLINK("https://klasma.github.io/Logging_0883/kartor/A 11195-2024 karta.png", "A 11195-2024")</f>
        <v/>
      </c>
      <c r="U227">
        <f>HYPERLINK("https://klasma.github.io/Logging_0883/knärot/A 11195-2024 karta knärot.png", "A 11195-2024")</f>
        <v/>
      </c>
      <c r="V227">
        <f>HYPERLINK("https://klasma.github.io/Logging_0883/klagomål/A 11195-2024 FSC-klagomål.docx", "A 11195-2024")</f>
        <v/>
      </c>
      <c r="W227">
        <f>HYPERLINK("https://klasma.github.io/Logging_0883/klagomålsmail/A 11195-2024 FSC-klagomål mail.docx", "A 11195-2024")</f>
        <v/>
      </c>
      <c r="X227">
        <f>HYPERLINK("https://klasma.github.io/Logging_0883/tillsyn/A 11195-2024 tillsynsbegäran.docx", "A 11195-2024")</f>
        <v/>
      </c>
      <c r="Y227">
        <f>HYPERLINK("https://klasma.github.io/Logging_0883/tillsynsmail/A 11195-2024 tillsynsbegäran mail.docx", "A 11195-2024")</f>
        <v/>
      </c>
    </row>
    <row r="228" ht="15" customHeight="1">
      <c r="A228" t="inlineStr">
        <is>
          <t>A 1370-2024</t>
        </is>
      </c>
      <c r="B228" s="1" t="n">
        <v>45303</v>
      </c>
      <c r="C228" s="1" t="n">
        <v>46050</v>
      </c>
      <c r="D228" t="inlineStr">
        <is>
          <t>KALMAR LÄN</t>
        </is>
      </c>
      <c r="E228" t="inlineStr">
        <is>
          <t>VÄSTERVIK</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HYPERLINK("https://klasma.github.io/Logging_0883/artfynd/A 1370-2024 artfynd.xlsx", "A 1370-2024")</f>
        <v/>
      </c>
      <c r="T228">
        <f>HYPERLINK("https://klasma.github.io/Logging_0883/kartor/A 1370-2024 karta.png", "A 1370-2024")</f>
        <v/>
      </c>
      <c r="V228">
        <f>HYPERLINK("https://klasma.github.io/Logging_0883/klagomål/A 1370-2024 FSC-klagomål.docx", "A 1370-2024")</f>
        <v/>
      </c>
      <c r="W228">
        <f>HYPERLINK("https://klasma.github.io/Logging_0883/klagomålsmail/A 1370-2024 FSC-klagomål mail.docx", "A 1370-2024")</f>
        <v/>
      </c>
      <c r="X228">
        <f>HYPERLINK("https://klasma.github.io/Logging_0883/tillsyn/A 1370-2024 tillsynsbegäran.docx", "A 1370-2024")</f>
        <v/>
      </c>
      <c r="Y228">
        <f>HYPERLINK("https://klasma.github.io/Logging_0883/tillsynsmail/A 1370-2024 tillsynsbegäran mail.docx", "A 1370-2024")</f>
        <v/>
      </c>
    </row>
    <row r="229" ht="15" customHeight="1">
      <c r="A229" t="inlineStr">
        <is>
          <t>A 1176-2024</t>
        </is>
      </c>
      <c r="B229" s="1" t="n">
        <v>45302</v>
      </c>
      <c r="C229" s="1" t="n">
        <v>46050</v>
      </c>
      <c r="D229" t="inlineStr">
        <is>
          <t>KALMAR LÄN</t>
        </is>
      </c>
      <c r="E229" t="inlineStr">
        <is>
          <t>VÄSTERVIK</t>
        </is>
      </c>
      <c r="G229" t="n">
        <v>2.5</v>
      </c>
      <c r="H229" t="n">
        <v>0</v>
      </c>
      <c r="I229" t="n">
        <v>0</v>
      </c>
      <c r="J229" t="n">
        <v>1</v>
      </c>
      <c r="K229" t="n">
        <v>0</v>
      </c>
      <c r="L229" t="n">
        <v>0</v>
      </c>
      <c r="M229" t="n">
        <v>0</v>
      </c>
      <c r="N229" t="n">
        <v>0</v>
      </c>
      <c r="O229" t="n">
        <v>1</v>
      </c>
      <c r="P229" t="n">
        <v>0</v>
      </c>
      <c r="Q229" t="n">
        <v>1</v>
      </c>
      <c r="R229" s="2" t="inlineStr">
        <is>
          <t>Tallticka</t>
        </is>
      </c>
      <c r="S229">
        <f>HYPERLINK("https://klasma.github.io/Logging_0883/artfynd/A 1176-2024 artfynd.xlsx", "A 1176-2024")</f>
        <v/>
      </c>
      <c r="T229">
        <f>HYPERLINK("https://klasma.github.io/Logging_0883/kartor/A 1176-2024 karta.png", "A 1176-2024")</f>
        <v/>
      </c>
      <c r="V229">
        <f>HYPERLINK("https://klasma.github.io/Logging_0883/klagomål/A 1176-2024 FSC-klagomål.docx", "A 1176-2024")</f>
        <v/>
      </c>
      <c r="W229">
        <f>HYPERLINK("https://klasma.github.io/Logging_0883/klagomålsmail/A 1176-2024 FSC-klagomål mail.docx", "A 1176-2024")</f>
        <v/>
      </c>
      <c r="X229">
        <f>HYPERLINK("https://klasma.github.io/Logging_0883/tillsyn/A 1176-2024 tillsynsbegäran.docx", "A 1176-2024")</f>
        <v/>
      </c>
      <c r="Y229">
        <f>HYPERLINK("https://klasma.github.io/Logging_0883/tillsynsmail/A 1176-2024 tillsynsbegäran mail.docx", "A 1176-2024")</f>
        <v/>
      </c>
    </row>
    <row r="230" ht="15" customHeight="1">
      <c r="A230" t="inlineStr">
        <is>
          <t>A 12292-2025</t>
        </is>
      </c>
      <c r="B230" s="1" t="n">
        <v>45729.68322916667</v>
      </c>
      <c r="C230" s="1" t="n">
        <v>46050</v>
      </c>
      <c r="D230" t="inlineStr">
        <is>
          <t>KALMAR LÄN</t>
        </is>
      </c>
      <c r="E230" t="inlineStr">
        <is>
          <t>VÄSTERVIK</t>
        </is>
      </c>
      <c r="G230" t="n">
        <v>1.7</v>
      </c>
      <c r="H230" t="n">
        <v>1</v>
      </c>
      <c r="I230" t="n">
        <v>0</v>
      </c>
      <c r="J230" t="n">
        <v>0</v>
      </c>
      <c r="K230" t="n">
        <v>1</v>
      </c>
      <c r="L230" t="n">
        <v>0</v>
      </c>
      <c r="M230" t="n">
        <v>0</v>
      </c>
      <c r="N230" t="n">
        <v>0</v>
      </c>
      <c r="O230" t="n">
        <v>1</v>
      </c>
      <c r="P230" t="n">
        <v>1</v>
      </c>
      <c r="Q230" t="n">
        <v>1</v>
      </c>
      <c r="R230" s="2" t="inlineStr">
        <is>
          <t>Knärot</t>
        </is>
      </c>
      <c r="S230">
        <f>HYPERLINK("https://klasma.github.io/Logging_0883/artfynd/A 12292-2025 artfynd.xlsx", "A 12292-2025")</f>
        <v/>
      </c>
      <c r="T230">
        <f>HYPERLINK("https://klasma.github.io/Logging_0883/kartor/A 12292-2025 karta.png", "A 12292-2025")</f>
        <v/>
      </c>
      <c r="U230">
        <f>HYPERLINK("https://klasma.github.io/Logging_0883/knärot/A 12292-2025 karta knärot.png", "A 12292-2025")</f>
        <v/>
      </c>
      <c r="V230">
        <f>HYPERLINK("https://klasma.github.io/Logging_0883/klagomål/A 12292-2025 FSC-klagomål.docx", "A 12292-2025")</f>
        <v/>
      </c>
      <c r="W230">
        <f>HYPERLINK("https://klasma.github.io/Logging_0883/klagomålsmail/A 12292-2025 FSC-klagomål mail.docx", "A 12292-2025")</f>
        <v/>
      </c>
      <c r="X230">
        <f>HYPERLINK("https://klasma.github.io/Logging_0883/tillsyn/A 12292-2025 tillsynsbegäran.docx", "A 12292-2025")</f>
        <v/>
      </c>
      <c r="Y230">
        <f>HYPERLINK("https://klasma.github.io/Logging_0883/tillsynsmail/A 12292-2025 tillsynsbegäran mail.docx", "A 12292-2025")</f>
        <v/>
      </c>
    </row>
    <row r="231" ht="15" customHeight="1">
      <c r="A231" t="inlineStr">
        <is>
          <t>A 1024-2023</t>
        </is>
      </c>
      <c r="B231" s="1" t="n">
        <v>44935</v>
      </c>
      <c r="C231" s="1" t="n">
        <v>46050</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10768-2025</t>
        </is>
      </c>
      <c r="B232" s="1" t="n">
        <v>45722.46649305556</v>
      </c>
      <c r="C232" s="1" t="n">
        <v>46050</v>
      </c>
      <c r="D232" t="inlineStr">
        <is>
          <t>KALMAR LÄN</t>
        </is>
      </c>
      <c r="E232" t="inlineStr">
        <is>
          <t>VÄSTERVIK</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10768-2025 artfynd.xlsx", "A 10768-2025")</f>
        <v/>
      </c>
      <c r="T232">
        <f>HYPERLINK("https://klasma.github.io/Logging_0883/kartor/A 10768-2025 karta.png", "A 10768-2025")</f>
        <v/>
      </c>
      <c r="V232">
        <f>HYPERLINK("https://klasma.github.io/Logging_0883/klagomål/A 10768-2025 FSC-klagomål.docx", "A 10768-2025")</f>
        <v/>
      </c>
      <c r="W232">
        <f>HYPERLINK("https://klasma.github.io/Logging_0883/klagomålsmail/A 10768-2025 FSC-klagomål mail.docx", "A 10768-2025")</f>
        <v/>
      </c>
      <c r="X232">
        <f>HYPERLINK("https://klasma.github.io/Logging_0883/tillsyn/A 10768-2025 tillsynsbegäran.docx", "A 10768-2025")</f>
        <v/>
      </c>
      <c r="Y232">
        <f>HYPERLINK("https://klasma.github.io/Logging_0883/tillsynsmail/A 10768-2025 tillsynsbegäran mail.docx", "A 10768-2025")</f>
        <v/>
      </c>
      <c r="Z232">
        <f>HYPERLINK("https://klasma.github.io/Logging_0883/fåglar/A 10768-2025 prioriterade fågelarter.docx", "A 10768-2025")</f>
        <v/>
      </c>
    </row>
    <row r="233" ht="15" customHeight="1">
      <c r="A233" t="inlineStr">
        <is>
          <t>A 5575-2021</t>
        </is>
      </c>
      <c r="B233" s="1" t="n">
        <v>44230</v>
      </c>
      <c r="C233" s="1" t="n">
        <v>46050</v>
      </c>
      <c r="D233" t="inlineStr">
        <is>
          <t>KALMAR LÄN</t>
        </is>
      </c>
      <c r="E233" t="inlineStr">
        <is>
          <t>VÄSTERVIK</t>
        </is>
      </c>
      <c r="G233" t="n">
        <v>2.6</v>
      </c>
      <c r="H233" t="n">
        <v>1</v>
      </c>
      <c r="I233" t="n">
        <v>1</v>
      </c>
      <c r="J233" t="n">
        <v>0</v>
      </c>
      <c r="K233" t="n">
        <v>0</v>
      </c>
      <c r="L233" t="n">
        <v>0</v>
      </c>
      <c r="M233" t="n">
        <v>0</v>
      </c>
      <c r="N233" t="n">
        <v>0</v>
      </c>
      <c r="O233" t="n">
        <v>0</v>
      </c>
      <c r="P233" t="n">
        <v>0</v>
      </c>
      <c r="Q233" t="n">
        <v>1</v>
      </c>
      <c r="R233" s="2" t="inlineStr">
        <is>
          <t>Ekoxe</t>
        </is>
      </c>
      <c r="S233">
        <f>HYPERLINK("https://klasma.github.io/Logging_0883/artfynd/A 5575-2021 artfynd.xlsx", "A 5575-2021")</f>
        <v/>
      </c>
      <c r="T233">
        <f>HYPERLINK("https://klasma.github.io/Logging_0883/kartor/A 5575-2021 karta.png", "A 5575-2021")</f>
        <v/>
      </c>
      <c r="V233">
        <f>HYPERLINK("https://klasma.github.io/Logging_0883/klagomål/A 5575-2021 FSC-klagomål.docx", "A 5575-2021")</f>
        <v/>
      </c>
      <c r="W233">
        <f>HYPERLINK("https://klasma.github.io/Logging_0883/klagomålsmail/A 5575-2021 FSC-klagomål mail.docx", "A 5575-2021")</f>
        <v/>
      </c>
      <c r="X233">
        <f>HYPERLINK("https://klasma.github.io/Logging_0883/tillsyn/A 5575-2021 tillsynsbegäran.docx", "A 5575-2021")</f>
        <v/>
      </c>
      <c r="Y233">
        <f>HYPERLINK("https://klasma.github.io/Logging_0883/tillsynsmail/A 5575-2021 tillsynsbegäran mail.docx", "A 5575-2021")</f>
        <v/>
      </c>
    </row>
    <row r="234" ht="15" customHeight="1">
      <c r="A234" t="inlineStr">
        <is>
          <t>A 36595-2025</t>
        </is>
      </c>
      <c r="B234" s="1" t="n">
        <v>45870.513125</v>
      </c>
      <c r="C234" s="1" t="n">
        <v>46050</v>
      </c>
      <c r="D234" t="inlineStr">
        <is>
          <t>KALMAR LÄN</t>
        </is>
      </c>
      <c r="E234" t="inlineStr">
        <is>
          <t>VÄSTERVIK</t>
        </is>
      </c>
      <c r="G234" t="n">
        <v>1.5</v>
      </c>
      <c r="H234" t="n">
        <v>1</v>
      </c>
      <c r="I234" t="n">
        <v>0</v>
      </c>
      <c r="J234" t="n">
        <v>1</v>
      </c>
      <c r="K234" t="n">
        <v>0</v>
      </c>
      <c r="L234" t="n">
        <v>0</v>
      </c>
      <c r="M234" t="n">
        <v>0</v>
      </c>
      <c r="N234" t="n">
        <v>0</v>
      </c>
      <c r="O234" t="n">
        <v>1</v>
      </c>
      <c r="P234" t="n">
        <v>0</v>
      </c>
      <c r="Q234" t="n">
        <v>1</v>
      </c>
      <c r="R234" s="2" t="inlineStr">
        <is>
          <t>Talltita</t>
        </is>
      </c>
      <c r="S234">
        <f>HYPERLINK("https://klasma.github.io/Logging_0883/artfynd/A 36595-2025 artfynd.xlsx", "A 36595-2025")</f>
        <v/>
      </c>
      <c r="T234">
        <f>HYPERLINK("https://klasma.github.io/Logging_0883/kartor/A 36595-2025 karta.png", "A 36595-2025")</f>
        <v/>
      </c>
      <c r="V234">
        <f>HYPERLINK("https://klasma.github.io/Logging_0883/klagomål/A 36595-2025 FSC-klagomål.docx", "A 36595-2025")</f>
        <v/>
      </c>
      <c r="W234">
        <f>HYPERLINK("https://klasma.github.io/Logging_0883/klagomålsmail/A 36595-2025 FSC-klagomål mail.docx", "A 36595-2025")</f>
        <v/>
      </c>
      <c r="X234">
        <f>HYPERLINK("https://klasma.github.io/Logging_0883/tillsyn/A 36595-2025 tillsynsbegäran.docx", "A 36595-2025")</f>
        <v/>
      </c>
      <c r="Y234">
        <f>HYPERLINK("https://klasma.github.io/Logging_0883/tillsynsmail/A 36595-2025 tillsynsbegäran mail.docx", "A 36595-2025")</f>
        <v/>
      </c>
      <c r="Z234">
        <f>HYPERLINK("https://klasma.github.io/Logging_0883/fåglar/A 36595-2025 prioriterade fågelarter.docx", "A 36595-2025")</f>
        <v/>
      </c>
    </row>
    <row r="235" ht="15" customHeight="1">
      <c r="A235" t="inlineStr">
        <is>
          <t>A 11165-2024</t>
        </is>
      </c>
      <c r="B235" s="1" t="n">
        <v>45371</v>
      </c>
      <c r="C235" s="1" t="n">
        <v>46050</v>
      </c>
      <c r="D235" t="inlineStr">
        <is>
          <t>KALMAR LÄN</t>
        </is>
      </c>
      <c r="E235" t="inlineStr">
        <is>
          <t>VÄSTERVIK</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HYPERLINK("https://klasma.github.io/Logging_0883/artfynd/A 11165-2024 artfynd.xlsx", "A 11165-2024")</f>
        <v/>
      </c>
      <c r="T235">
        <f>HYPERLINK("https://klasma.github.io/Logging_0883/kartor/A 11165-2024 karta.png", "A 11165-2024")</f>
        <v/>
      </c>
      <c r="V235">
        <f>HYPERLINK("https://klasma.github.io/Logging_0883/klagomål/A 11165-2024 FSC-klagomål.docx", "A 11165-2024")</f>
        <v/>
      </c>
      <c r="W235">
        <f>HYPERLINK("https://klasma.github.io/Logging_0883/klagomålsmail/A 11165-2024 FSC-klagomål mail.docx", "A 11165-2024")</f>
        <v/>
      </c>
      <c r="X235">
        <f>HYPERLINK("https://klasma.github.io/Logging_0883/tillsyn/A 11165-2024 tillsynsbegäran.docx", "A 11165-2024")</f>
        <v/>
      </c>
      <c r="Y235">
        <f>HYPERLINK("https://klasma.github.io/Logging_0883/tillsynsmail/A 11165-2024 tillsynsbegäran mail.docx", "A 11165-2024")</f>
        <v/>
      </c>
      <c r="Z235">
        <f>HYPERLINK("https://klasma.github.io/Logging_0883/fåglar/A 11165-2024 prioriterade fågelarter.docx", "A 11165-2024")</f>
        <v/>
      </c>
    </row>
    <row r="236" ht="15" customHeight="1">
      <c r="A236" t="inlineStr">
        <is>
          <t>A 48897-2025</t>
        </is>
      </c>
      <c r="B236" s="1" t="n">
        <v>45937.47533564815</v>
      </c>
      <c r="C236" s="1" t="n">
        <v>46050</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50172-2025</t>
        </is>
      </c>
      <c r="B237" s="1" t="n">
        <v>45943.60153935185</v>
      </c>
      <c r="C237" s="1" t="n">
        <v>46050</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9571-2025</t>
        </is>
      </c>
      <c r="B238" s="1" t="n">
        <v>45715.61996527778</v>
      </c>
      <c r="C238" s="1" t="n">
        <v>46050</v>
      </c>
      <c r="D238" t="inlineStr">
        <is>
          <t>KALMAR LÄN</t>
        </is>
      </c>
      <c r="E238" t="inlineStr">
        <is>
          <t>VÄSTERVIK</t>
        </is>
      </c>
      <c r="G238" t="n">
        <v>12</v>
      </c>
      <c r="H238" t="n">
        <v>1</v>
      </c>
      <c r="I238" t="n">
        <v>0</v>
      </c>
      <c r="J238" t="n">
        <v>0</v>
      </c>
      <c r="K238" t="n">
        <v>0</v>
      </c>
      <c r="L238" t="n">
        <v>0</v>
      </c>
      <c r="M238" t="n">
        <v>0</v>
      </c>
      <c r="N238" t="n">
        <v>0</v>
      </c>
      <c r="O238" t="n">
        <v>0</v>
      </c>
      <c r="P238" t="n">
        <v>0</v>
      </c>
      <c r="Q238" t="n">
        <v>1</v>
      </c>
      <c r="R238" s="2" t="inlineStr">
        <is>
          <t>Revlummer</t>
        </is>
      </c>
      <c r="S238">
        <f>HYPERLINK("https://klasma.github.io/Logging_0883/artfynd/A 9571-2025 artfynd.xlsx", "A 9571-2025")</f>
        <v/>
      </c>
      <c r="T238">
        <f>HYPERLINK("https://klasma.github.io/Logging_0883/kartor/A 9571-2025 karta.png", "A 9571-2025")</f>
        <v/>
      </c>
      <c r="V238">
        <f>HYPERLINK("https://klasma.github.io/Logging_0883/klagomål/A 9571-2025 FSC-klagomål.docx", "A 9571-2025")</f>
        <v/>
      </c>
      <c r="W238">
        <f>HYPERLINK("https://klasma.github.io/Logging_0883/klagomålsmail/A 9571-2025 FSC-klagomål mail.docx", "A 9571-2025")</f>
        <v/>
      </c>
      <c r="X238">
        <f>HYPERLINK("https://klasma.github.io/Logging_0883/tillsyn/A 9571-2025 tillsynsbegäran.docx", "A 9571-2025")</f>
        <v/>
      </c>
      <c r="Y238">
        <f>HYPERLINK("https://klasma.github.io/Logging_0883/tillsynsmail/A 9571-2025 tillsynsbegäran mail.docx", "A 9571-2025")</f>
        <v/>
      </c>
    </row>
    <row r="239" ht="15" customHeight="1">
      <c r="A239" t="inlineStr">
        <is>
          <t>A 55616-2024</t>
        </is>
      </c>
      <c r="B239" s="1" t="n">
        <v>45622.5916087963</v>
      </c>
      <c r="C239" s="1" t="n">
        <v>46050</v>
      </c>
      <c r="D239" t="inlineStr">
        <is>
          <t>KALMAR LÄN</t>
        </is>
      </c>
      <c r="E239" t="inlineStr">
        <is>
          <t>VÄSTERVIK</t>
        </is>
      </c>
      <c r="G239" t="n">
        <v>0.5</v>
      </c>
      <c r="H239" t="n">
        <v>1</v>
      </c>
      <c r="I239" t="n">
        <v>0</v>
      </c>
      <c r="J239" t="n">
        <v>1</v>
      </c>
      <c r="K239" t="n">
        <v>0</v>
      </c>
      <c r="L239" t="n">
        <v>0</v>
      </c>
      <c r="M239" t="n">
        <v>0</v>
      </c>
      <c r="N239" t="n">
        <v>0</v>
      </c>
      <c r="O239" t="n">
        <v>1</v>
      </c>
      <c r="P239" t="n">
        <v>0</v>
      </c>
      <c r="Q239" t="n">
        <v>1</v>
      </c>
      <c r="R239" s="2" t="inlineStr">
        <is>
          <t>Entita</t>
        </is>
      </c>
      <c r="S239">
        <f>HYPERLINK("https://klasma.github.io/Logging_0883/artfynd/A 55616-2024 artfynd.xlsx", "A 55616-2024")</f>
        <v/>
      </c>
      <c r="T239">
        <f>HYPERLINK("https://klasma.github.io/Logging_0883/kartor/A 55616-2024 karta.png", "A 55616-2024")</f>
        <v/>
      </c>
      <c r="V239">
        <f>HYPERLINK("https://klasma.github.io/Logging_0883/klagomål/A 55616-2024 FSC-klagomål.docx", "A 55616-2024")</f>
        <v/>
      </c>
      <c r="W239">
        <f>HYPERLINK("https://klasma.github.io/Logging_0883/klagomålsmail/A 55616-2024 FSC-klagomål mail.docx", "A 55616-2024")</f>
        <v/>
      </c>
      <c r="X239">
        <f>HYPERLINK("https://klasma.github.io/Logging_0883/tillsyn/A 55616-2024 tillsynsbegäran.docx", "A 55616-2024")</f>
        <v/>
      </c>
      <c r="Y239">
        <f>HYPERLINK("https://klasma.github.io/Logging_0883/tillsynsmail/A 55616-2024 tillsynsbegäran mail.docx", "A 55616-2024")</f>
        <v/>
      </c>
      <c r="Z239">
        <f>HYPERLINK("https://klasma.github.io/Logging_0883/fåglar/A 55616-2024 prioriterade fågelarter.docx", "A 55616-2024")</f>
        <v/>
      </c>
    </row>
    <row r="240" ht="15" customHeight="1">
      <c r="A240" t="inlineStr">
        <is>
          <t>A 52194-2025</t>
        </is>
      </c>
      <c r="B240" s="1" t="n">
        <v>45953.39189814815</v>
      </c>
      <c r="C240" s="1" t="n">
        <v>46050</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52194-2025 artfynd.xlsx", "A 52194-2025")</f>
        <v/>
      </c>
      <c r="T240">
        <f>HYPERLINK("https://klasma.github.io/Logging_0883/kartor/A 52194-2025 karta.png", "A 52194-2025")</f>
        <v/>
      </c>
      <c r="V240">
        <f>HYPERLINK("https://klasma.github.io/Logging_0883/klagomål/A 52194-2025 FSC-klagomål.docx", "A 52194-2025")</f>
        <v/>
      </c>
      <c r="W240">
        <f>HYPERLINK("https://klasma.github.io/Logging_0883/klagomålsmail/A 52194-2025 FSC-klagomål mail.docx", "A 52194-2025")</f>
        <v/>
      </c>
      <c r="X240">
        <f>HYPERLINK("https://klasma.github.io/Logging_0883/tillsyn/A 52194-2025 tillsynsbegäran.docx", "A 52194-2025")</f>
        <v/>
      </c>
      <c r="Y240">
        <f>HYPERLINK("https://klasma.github.io/Logging_0883/tillsynsmail/A 52194-2025 tillsynsbegäran mail.docx", "A 52194-2025")</f>
        <v/>
      </c>
    </row>
    <row r="241" ht="15" customHeight="1">
      <c r="A241" t="inlineStr">
        <is>
          <t>A 53860-2025</t>
        </is>
      </c>
      <c r="B241" s="1" t="n">
        <v>45961.37815972222</v>
      </c>
      <c r="C241" s="1" t="n">
        <v>46050</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53843-2025</t>
        </is>
      </c>
      <c r="B242" s="1" t="n">
        <v>45961.36483796296</v>
      </c>
      <c r="C242" s="1" t="n">
        <v>46050</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53875-2025</t>
        </is>
      </c>
      <c r="B243" s="1" t="n">
        <v>45961.3937962963</v>
      </c>
      <c r="C243" s="1" t="n">
        <v>46050</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53875-2025 artfynd.xlsx", "A 53875-2025")</f>
        <v/>
      </c>
      <c r="T243">
        <f>HYPERLINK("https://klasma.github.io/Logging_0883/kartor/A 53875-2025 karta.png", "A 53875-2025")</f>
        <v/>
      </c>
      <c r="V243">
        <f>HYPERLINK("https://klasma.github.io/Logging_0883/klagomål/A 53875-2025 FSC-klagomål.docx", "A 53875-2025")</f>
        <v/>
      </c>
      <c r="W243">
        <f>HYPERLINK("https://klasma.github.io/Logging_0883/klagomålsmail/A 53875-2025 FSC-klagomål mail.docx", "A 53875-2025")</f>
        <v/>
      </c>
      <c r="X243">
        <f>HYPERLINK("https://klasma.github.io/Logging_0883/tillsyn/A 53875-2025 tillsynsbegäran.docx", "A 53875-2025")</f>
        <v/>
      </c>
      <c r="Y243">
        <f>HYPERLINK("https://klasma.github.io/Logging_0883/tillsynsmail/A 53875-2025 tillsynsbegäran mail.docx", "A 53875-2025")</f>
        <v/>
      </c>
    </row>
    <row r="244" ht="15" customHeight="1">
      <c r="A244" t="inlineStr">
        <is>
          <t>A 53877-2025</t>
        </is>
      </c>
      <c r="B244" s="1" t="n">
        <v>45961.39565972222</v>
      </c>
      <c r="C244" s="1" t="n">
        <v>46050</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59368-2023</t>
        </is>
      </c>
      <c r="B245" s="1" t="n">
        <v>45253</v>
      </c>
      <c r="C245" s="1" t="n">
        <v>46050</v>
      </c>
      <c r="D245" t="inlineStr">
        <is>
          <t>KALMAR LÄN</t>
        </is>
      </c>
      <c r="E245" t="inlineStr">
        <is>
          <t>VÄSTERVIK</t>
        </is>
      </c>
      <c r="G245" t="n">
        <v>2.4</v>
      </c>
      <c r="H245" t="n">
        <v>1</v>
      </c>
      <c r="I245" t="n">
        <v>0</v>
      </c>
      <c r="J245" t="n">
        <v>0</v>
      </c>
      <c r="K245" t="n">
        <v>1</v>
      </c>
      <c r="L245" t="n">
        <v>0</v>
      </c>
      <c r="M245" t="n">
        <v>0</v>
      </c>
      <c r="N245" t="n">
        <v>0</v>
      </c>
      <c r="O245" t="n">
        <v>1</v>
      </c>
      <c r="P245" t="n">
        <v>1</v>
      </c>
      <c r="Q245" t="n">
        <v>1</v>
      </c>
      <c r="R245" s="2" t="inlineStr">
        <is>
          <t>Knärot</t>
        </is>
      </c>
      <c r="S245">
        <f>HYPERLINK("https://klasma.github.io/Logging_0883/artfynd/A 59368-2023 artfynd.xlsx", "A 59368-2023")</f>
        <v/>
      </c>
      <c r="T245">
        <f>HYPERLINK("https://klasma.github.io/Logging_0883/kartor/A 59368-2023 karta.png", "A 59368-2023")</f>
        <v/>
      </c>
      <c r="U245">
        <f>HYPERLINK("https://klasma.github.io/Logging_0883/knärot/A 59368-2023 karta knärot.png", "A 59368-2023")</f>
        <v/>
      </c>
      <c r="V245">
        <f>HYPERLINK("https://klasma.github.io/Logging_0883/klagomål/A 59368-2023 FSC-klagomål.docx", "A 59368-2023")</f>
        <v/>
      </c>
      <c r="W245">
        <f>HYPERLINK("https://klasma.github.io/Logging_0883/klagomålsmail/A 59368-2023 FSC-klagomål mail.docx", "A 59368-2023")</f>
        <v/>
      </c>
      <c r="X245">
        <f>HYPERLINK("https://klasma.github.io/Logging_0883/tillsyn/A 59368-2023 tillsynsbegäran.docx", "A 59368-2023")</f>
        <v/>
      </c>
      <c r="Y245">
        <f>HYPERLINK("https://klasma.github.io/Logging_0883/tillsynsmail/A 59368-2023 tillsynsbegäran mail.docx", "A 59368-2023")</f>
        <v/>
      </c>
    </row>
    <row r="246" ht="15" customHeight="1">
      <c r="A246" t="inlineStr">
        <is>
          <t>A 62888-2025</t>
        </is>
      </c>
      <c r="B246" s="1" t="n">
        <v>46009.3238425926</v>
      </c>
      <c r="C246" s="1" t="n">
        <v>46050</v>
      </c>
      <c r="D246" t="inlineStr">
        <is>
          <t>KALMAR LÄN</t>
        </is>
      </c>
      <c r="E246" t="inlineStr">
        <is>
          <t>VÄSTERVIK</t>
        </is>
      </c>
      <c r="G246" t="n">
        <v>2.5</v>
      </c>
      <c r="H246" t="n">
        <v>1</v>
      </c>
      <c r="I246" t="n">
        <v>0</v>
      </c>
      <c r="J246" t="n">
        <v>1</v>
      </c>
      <c r="K246" t="n">
        <v>0</v>
      </c>
      <c r="L246" t="n">
        <v>0</v>
      </c>
      <c r="M246" t="n">
        <v>0</v>
      </c>
      <c r="N246" t="n">
        <v>0</v>
      </c>
      <c r="O246" t="n">
        <v>1</v>
      </c>
      <c r="P246" t="n">
        <v>0</v>
      </c>
      <c r="Q246" t="n">
        <v>1</v>
      </c>
      <c r="R246" s="2" t="inlineStr">
        <is>
          <t>Spillkråka</t>
        </is>
      </c>
      <c r="S246">
        <f>HYPERLINK("https://klasma.github.io/Logging_0883/artfynd/A 62888-2025 artfynd.xlsx", "A 62888-2025")</f>
        <v/>
      </c>
      <c r="T246">
        <f>HYPERLINK("https://klasma.github.io/Logging_0883/kartor/A 62888-2025 karta.png", "A 62888-2025")</f>
        <v/>
      </c>
      <c r="U246">
        <f>HYPERLINK("https://klasma.github.io/Logging_0883/knärot/A 62888-2025 karta knärot.png", "A 62888-2025")</f>
        <v/>
      </c>
      <c r="V246">
        <f>HYPERLINK("https://klasma.github.io/Logging_0883/klagomål/A 62888-2025 FSC-klagomål.docx", "A 62888-2025")</f>
        <v/>
      </c>
      <c r="W246">
        <f>HYPERLINK("https://klasma.github.io/Logging_0883/klagomålsmail/A 62888-2025 FSC-klagomål mail.docx", "A 62888-2025")</f>
        <v/>
      </c>
      <c r="X246">
        <f>HYPERLINK("https://klasma.github.io/Logging_0883/tillsyn/A 62888-2025 tillsynsbegäran.docx", "A 62888-2025")</f>
        <v/>
      </c>
      <c r="Y246">
        <f>HYPERLINK("https://klasma.github.io/Logging_0883/tillsynsmail/A 62888-2025 tillsynsbegäran mail.docx", "A 62888-2025")</f>
        <v/>
      </c>
      <c r="Z246">
        <f>HYPERLINK("https://klasma.github.io/Logging_0883/fåglar/A 62888-2025 prioriterade fågelarter.docx", "A 62888-2025")</f>
        <v/>
      </c>
    </row>
    <row r="247" ht="15" customHeight="1">
      <c r="A247" t="inlineStr">
        <is>
          <t>A 54859-2025</t>
        </is>
      </c>
      <c r="B247" s="1" t="n">
        <v>45966.75758101852</v>
      </c>
      <c r="C247" s="1" t="n">
        <v>46050</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54859-2025 artfynd.xlsx", "A 54859-2025")</f>
        <v/>
      </c>
      <c r="T247">
        <f>HYPERLINK("https://klasma.github.io/Logging_0883/kartor/A 54859-2025 karta.png", "A 54859-2025")</f>
        <v/>
      </c>
      <c r="V247">
        <f>HYPERLINK("https://klasma.github.io/Logging_0883/klagomål/A 54859-2025 FSC-klagomål.docx", "A 54859-2025")</f>
        <v/>
      </c>
      <c r="W247">
        <f>HYPERLINK("https://klasma.github.io/Logging_0883/klagomålsmail/A 54859-2025 FSC-klagomål mail.docx", "A 54859-2025")</f>
        <v/>
      </c>
      <c r="X247">
        <f>HYPERLINK("https://klasma.github.io/Logging_0883/tillsyn/A 54859-2025 tillsynsbegäran.docx", "A 54859-2025")</f>
        <v/>
      </c>
      <c r="Y247">
        <f>HYPERLINK("https://klasma.github.io/Logging_0883/tillsynsmail/A 54859-2025 tillsynsbegäran mail.docx", "A 54859-2025")</f>
        <v/>
      </c>
    </row>
    <row r="248" ht="15" customHeight="1">
      <c r="A248" t="inlineStr">
        <is>
          <t>A 975-2023</t>
        </is>
      </c>
      <c r="B248" s="1" t="n">
        <v>44935</v>
      </c>
      <c r="C248" s="1" t="n">
        <v>46050</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Läderbagge</t>
        </is>
      </c>
      <c r="S248">
        <f>HYPERLINK("https://klasma.github.io/Logging_0883/artfynd/A 975-2023 artfynd.xlsx", "A 975-2023")</f>
        <v/>
      </c>
      <c r="T248">
        <f>HYPERLINK("https://klasma.github.io/Logging_0883/kartor/A 975-2023 karta.png", "A 975-2023")</f>
        <v/>
      </c>
      <c r="V248">
        <f>HYPERLINK("https://klasma.github.io/Logging_0883/klagomål/A 975-2023 FSC-klagomål.docx", "A 975-2023")</f>
        <v/>
      </c>
      <c r="W248">
        <f>HYPERLINK("https://klasma.github.io/Logging_0883/klagomålsmail/A 975-2023 FSC-klagomål mail.docx", "A 975-2023")</f>
        <v/>
      </c>
      <c r="X248">
        <f>HYPERLINK("https://klasma.github.io/Logging_0883/tillsyn/A 975-2023 tillsynsbegäran.docx", "A 975-2023")</f>
        <v/>
      </c>
      <c r="Y248">
        <f>HYPERLINK("https://klasma.github.io/Logging_0883/tillsynsmail/A 975-2023 tillsynsbegäran mail.docx", "A 975-2023")</f>
        <v/>
      </c>
    </row>
    <row r="249" ht="15" customHeight="1">
      <c r="A249" t="inlineStr">
        <is>
          <t>A 54272-2023</t>
        </is>
      </c>
      <c r="B249" s="1" t="n">
        <v>45232</v>
      </c>
      <c r="C249" s="1" t="n">
        <v>46050</v>
      </c>
      <c r="D249" t="inlineStr">
        <is>
          <t>KALMAR LÄN</t>
        </is>
      </c>
      <c r="E249" t="inlineStr">
        <is>
          <t>VÄSTERVIK</t>
        </is>
      </c>
      <c r="G249" t="n">
        <v>1</v>
      </c>
      <c r="H249" t="n">
        <v>0</v>
      </c>
      <c r="I249" t="n">
        <v>1</v>
      </c>
      <c r="J249" t="n">
        <v>0</v>
      </c>
      <c r="K249" t="n">
        <v>0</v>
      </c>
      <c r="L249" t="n">
        <v>0</v>
      </c>
      <c r="M249" t="n">
        <v>0</v>
      </c>
      <c r="N249" t="n">
        <v>0</v>
      </c>
      <c r="O249" t="n">
        <v>0</v>
      </c>
      <c r="P249" t="n">
        <v>0</v>
      </c>
      <c r="Q249" t="n">
        <v>1</v>
      </c>
      <c r="R249" s="2" t="inlineStr">
        <is>
          <t>Aprikosfingersvamp</t>
        </is>
      </c>
      <c r="S249">
        <f>HYPERLINK("https://klasma.github.io/Logging_0883/artfynd/A 54272-2023 artfynd.xlsx", "A 54272-2023")</f>
        <v/>
      </c>
      <c r="T249">
        <f>HYPERLINK("https://klasma.github.io/Logging_0883/kartor/A 54272-2023 karta.png", "A 54272-2023")</f>
        <v/>
      </c>
      <c r="V249">
        <f>HYPERLINK("https://klasma.github.io/Logging_0883/klagomål/A 54272-2023 FSC-klagomål.docx", "A 54272-2023")</f>
        <v/>
      </c>
      <c r="W249">
        <f>HYPERLINK("https://klasma.github.io/Logging_0883/klagomålsmail/A 54272-2023 FSC-klagomål mail.docx", "A 54272-2023")</f>
        <v/>
      </c>
      <c r="X249">
        <f>HYPERLINK("https://klasma.github.io/Logging_0883/tillsyn/A 54272-2023 tillsynsbegäran.docx", "A 54272-2023")</f>
        <v/>
      </c>
      <c r="Y249">
        <f>HYPERLINK("https://klasma.github.io/Logging_0883/tillsynsmail/A 54272-2023 tillsynsbegäran mail.docx", "A 54272-2023")</f>
        <v/>
      </c>
    </row>
    <row r="250" ht="15" customHeight="1">
      <c r="A250" t="inlineStr">
        <is>
          <t>A 57451-2025</t>
        </is>
      </c>
      <c r="B250" s="1" t="n">
        <v>45980.50101851852</v>
      </c>
      <c r="C250" s="1" t="n">
        <v>46050</v>
      </c>
      <c r="D250" t="inlineStr">
        <is>
          <t>KALMAR LÄN</t>
        </is>
      </c>
      <c r="E250" t="inlineStr">
        <is>
          <t>VÄSTERVIK</t>
        </is>
      </c>
      <c r="G250" t="n">
        <v>2.3</v>
      </c>
      <c r="H250" t="n">
        <v>1</v>
      </c>
      <c r="I250" t="n">
        <v>0</v>
      </c>
      <c r="J250" t="n">
        <v>0</v>
      </c>
      <c r="K250" t="n">
        <v>0</v>
      </c>
      <c r="L250" t="n">
        <v>0</v>
      </c>
      <c r="M250" t="n">
        <v>0</v>
      </c>
      <c r="N250" t="n">
        <v>0</v>
      </c>
      <c r="O250" t="n">
        <v>0</v>
      </c>
      <c r="P250" t="n">
        <v>0</v>
      </c>
      <c r="Q250" t="n">
        <v>1</v>
      </c>
      <c r="R250" s="2" t="inlineStr">
        <is>
          <t>Kungsfågel</t>
        </is>
      </c>
      <c r="S250">
        <f>HYPERLINK("https://klasma.github.io/Logging_0883/artfynd/A 57451-2025 artfynd.xlsx", "A 57451-2025")</f>
        <v/>
      </c>
      <c r="T250">
        <f>HYPERLINK("https://klasma.github.io/Logging_0883/kartor/A 57451-2025 karta.png", "A 57451-2025")</f>
        <v/>
      </c>
      <c r="V250">
        <f>HYPERLINK("https://klasma.github.io/Logging_0883/klagomål/A 57451-2025 FSC-klagomål.docx", "A 57451-2025")</f>
        <v/>
      </c>
      <c r="W250">
        <f>HYPERLINK("https://klasma.github.io/Logging_0883/klagomålsmail/A 57451-2025 FSC-klagomål mail.docx", "A 57451-2025")</f>
        <v/>
      </c>
      <c r="X250">
        <f>HYPERLINK("https://klasma.github.io/Logging_0883/tillsyn/A 57451-2025 tillsynsbegäran.docx", "A 57451-2025")</f>
        <v/>
      </c>
      <c r="Y250">
        <f>HYPERLINK("https://klasma.github.io/Logging_0883/tillsynsmail/A 57451-2025 tillsynsbegäran mail.docx", "A 57451-2025")</f>
        <v/>
      </c>
      <c r="Z250">
        <f>HYPERLINK("https://klasma.github.io/Logging_0883/fåglar/A 57451-2025 prioriterade fågelarter.docx", "A 57451-2025")</f>
        <v/>
      </c>
    </row>
    <row r="251" ht="15" customHeight="1">
      <c r="A251" t="inlineStr">
        <is>
          <t>A 35028-2024</t>
        </is>
      </c>
      <c r="B251" s="1" t="n">
        <v>45527.60524305556</v>
      </c>
      <c r="C251" s="1" t="n">
        <v>46050</v>
      </c>
      <c r="D251" t="inlineStr">
        <is>
          <t>KALMAR LÄN</t>
        </is>
      </c>
      <c r="E251" t="inlineStr">
        <is>
          <t>VÄSTERVIK</t>
        </is>
      </c>
      <c r="G251" t="n">
        <v>1.3</v>
      </c>
      <c r="H251" t="n">
        <v>0</v>
      </c>
      <c r="I251" t="n">
        <v>1</v>
      </c>
      <c r="J251" t="n">
        <v>0</v>
      </c>
      <c r="K251" t="n">
        <v>0</v>
      </c>
      <c r="L251" t="n">
        <v>0</v>
      </c>
      <c r="M251" t="n">
        <v>0</v>
      </c>
      <c r="N251" t="n">
        <v>0</v>
      </c>
      <c r="O251" t="n">
        <v>0</v>
      </c>
      <c r="P251" t="n">
        <v>0</v>
      </c>
      <c r="Q251" t="n">
        <v>1</v>
      </c>
      <c r="R251" s="2" t="inlineStr">
        <is>
          <t>Blomkålssvamp</t>
        </is>
      </c>
      <c r="S251">
        <f>HYPERLINK("https://klasma.github.io/Logging_0883/artfynd/A 35028-2024 artfynd.xlsx", "A 35028-2024")</f>
        <v/>
      </c>
      <c r="T251">
        <f>HYPERLINK("https://klasma.github.io/Logging_0883/kartor/A 35028-2024 karta.png", "A 35028-2024")</f>
        <v/>
      </c>
      <c r="V251">
        <f>HYPERLINK("https://klasma.github.io/Logging_0883/klagomål/A 35028-2024 FSC-klagomål.docx", "A 35028-2024")</f>
        <v/>
      </c>
      <c r="W251">
        <f>HYPERLINK("https://klasma.github.io/Logging_0883/klagomålsmail/A 35028-2024 FSC-klagomål mail.docx", "A 35028-2024")</f>
        <v/>
      </c>
      <c r="X251">
        <f>HYPERLINK("https://klasma.github.io/Logging_0883/tillsyn/A 35028-2024 tillsynsbegäran.docx", "A 35028-2024")</f>
        <v/>
      </c>
      <c r="Y251">
        <f>HYPERLINK("https://klasma.github.io/Logging_0883/tillsynsmail/A 35028-2024 tillsynsbegäran mail.docx", "A 35028-2024")</f>
        <v/>
      </c>
    </row>
    <row r="252" ht="15" customHeight="1">
      <c r="A252" t="inlineStr">
        <is>
          <t>A 58172-2025</t>
        </is>
      </c>
      <c r="B252" s="1" t="n">
        <v>45982</v>
      </c>
      <c r="C252" s="1" t="n">
        <v>46050</v>
      </c>
      <c r="D252" t="inlineStr">
        <is>
          <t>KALMAR LÄN</t>
        </is>
      </c>
      <c r="E252" t="inlineStr">
        <is>
          <t>VÄSTERVIK</t>
        </is>
      </c>
      <c r="G252" t="n">
        <v>4.6</v>
      </c>
      <c r="H252" t="n">
        <v>0</v>
      </c>
      <c r="I252" t="n">
        <v>0</v>
      </c>
      <c r="J252" t="n">
        <v>1</v>
      </c>
      <c r="K252" t="n">
        <v>0</v>
      </c>
      <c r="L252" t="n">
        <v>0</v>
      </c>
      <c r="M252" t="n">
        <v>0</v>
      </c>
      <c r="N252" t="n">
        <v>0</v>
      </c>
      <c r="O252" t="n">
        <v>1</v>
      </c>
      <c r="P252" t="n">
        <v>0</v>
      </c>
      <c r="Q252" t="n">
        <v>1</v>
      </c>
      <c r="R252" s="2" t="inlineStr">
        <is>
          <t>Vippärt</t>
        </is>
      </c>
      <c r="S252">
        <f>HYPERLINK("https://klasma.github.io/Logging_0883/artfynd/A 58172-2025 artfynd.xlsx", "A 58172-2025")</f>
        <v/>
      </c>
      <c r="T252">
        <f>HYPERLINK("https://klasma.github.io/Logging_0883/kartor/A 58172-2025 karta.png", "A 58172-2025")</f>
        <v/>
      </c>
      <c r="V252">
        <f>HYPERLINK("https://klasma.github.io/Logging_0883/klagomål/A 58172-2025 FSC-klagomål.docx", "A 58172-2025")</f>
        <v/>
      </c>
      <c r="W252">
        <f>HYPERLINK("https://klasma.github.io/Logging_0883/klagomålsmail/A 58172-2025 FSC-klagomål mail.docx", "A 58172-2025")</f>
        <v/>
      </c>
      <c r="X252">
        <f>HYPERLINK("https://klasma.github.io/Logging_0883/tillsyn/A 58172-2025 tillsynsbegäran.docx", "A 58172-2025")</f>
        <v/>
      </c>
      <c r="Y252">
        <f>HYPERLINK("https://klasma.github.io/Logging_0883/tillsynsmail/A 58172-2025 tillsynsbegäran mail.docx", "A 58172-2025")</f>
        <v/>
      </c>
    </row>
    <row r="253" ht="15" customHeight="1">
      <c r="A253" t="inlineStr">
        <is>
          <t>A 16695-2025</t>
        </is>
      </c>
      <c r="B253" s="1" t="n">
        <v>45754.46579861111</v>
      </c>
      <c r="C253" s="1" t="n">
        <v>46050</v>
      </c>
      <c r="D253" t="inlineStr">
        <is>
          <t>KALMAR LÄN</t>
        </is>
      </c>
      <c r="E253" t="inlineStr">
        <is>
          <t>VÄSTERVIK</t>
        </is>
      </c>
      <c r="F253" t="inlineStr">
        <is>
          <t>Sveaskog</t>
        </is>
      </c>
      <c r="G253" t="n">
        <v>1.8</v>
      </c>
      <c r="H253" t="n">
        <v>1</v>
      </c>
      <c r="I253" t="n">
        <v>0</v>
      </c>
      <c r="J253" t="n">
        <v>0</v>
      </c>
      <c r="K253" t="n">
        <v>0</v>
      </c>
      <c r="L253" t="n">
        <v>0</v>
      </c>
      <c r="M253" t="n">
        <v>0</v>
      </c>
      <c r="N253" t="n">
        <v>0</v>
      </c>
      <c r="O253" t="n">
        <v>0</v>
      </c>
      <c r="P253" t="n">
        <v>0</v>
      </c>
      <c r="Q253" t="n">
        <v>1</v>
      </c>
      <c r="R253" s="2" t="inlineStr">
        <is>
          <t>Kungsfågel</t>
        </is>
      </c>
      <c r="S253">
        <f>HYPERLINK("https://klasma.github.io/Logging_0883/artfynd/A 16695-2025 artfynd.xlsx", "A 16695-2025")</f>
        <v/>
      </c>
      <c r="T253">
        <f>HYPERLINK("https://klasma.github.io/Logging_0883/kartor/A 16695-2025 karta.png", "A 16695-2025")</f>
        <v/>
      </c>
      <c r="V253">
        <f>HYPERLINK("https://klasma.github.io/Logging_0883/klagomål/A 16695-2025 FSC-klagomål.docx", "A 16695-2025")</f>
        <v/>
      </c>
      <c r="W253">
        <f>HYPERLINK("https://klasma.github.io/Logging_0883/klagomålsmail/A 16695-2025 FSC-klagomål mail.docx", "A 16695-2025")</f>
        <v/>
      </c>
      <c r="X253">
        <f>HYPERLINK("https://klasma.github.io/Logging_0883/tillsyn/A 16695-2025 tillsynsbegäran.docx", "A 16695-2025")</f>
        <v/>
      </c>
      <c r="Y253">
        <f>HYPERLINK("https://klasma.github.io/Logging_0883/tillsynsmail/A 16695-2025 tillsynsbegäran mail.docx", "A 16695-2025")</f>
        <v/>
      </c>
      <c r="Z253">
        <f>HYPERLINK("https://klasma.github.io/Logging_0883/fåglar/A 16695-2025 prioriterade fågelarter.docx", "A 16695-2025")</f>
        <v/>
      </c>
    </row>
    <row r="254" ht="15" customHeight="1">
      <c r="A254" t="inlineStr">
        <is>
          <t>A 16697-2025</t>
        </is>
      </c>
      <c r="B254" s="1" t="n">
        <v>45754.46709490741</v>
      </c>
      <c r="C254" s="1" t="n">
        <v>46050</v>
      </c>
      <c r="D254" t="inlineStr">
        <is>
          <t>KALMAR LÄN</t>
        </is>
      </c>
      <c r="E254" t="inlineStr">
        <is>
          <t>VÄSTERVIK</t>
        </is>
      </c>
      <c r="F254" t="inlineStr">
        <is>
          <t>Sveaskog</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HYPERLINK("https://klasma.github.io/Logging_0883/artfynd/A 16697-2025 artfynd.xlsx", "A 16697-2025")</f>
        <v/>
      </c>
      <c r="T254">
        <f>HYPERLINK("https://klasma.github.io/Logging_0883/kartor/A 16697-2025 karta.png", "A 16697-2025")</f>
        <v/>
      </c>
      <c r="V254">
        <f>HYPERLINK("https://klasma.github.io/Logging_0883/klagomål/A 16697-2025 FSC-klagomål.docx", "A 16697-2025")</f>
        <v/>
      </c>
      <c r="W254">
        <f>HYPERLINK("https://klasma.github.io/Logging_0883/klagomålsmail/A 16697-2025 FSC-klagomål mail.docx", "A 16697-2025")</f>
        <v/>
      </c>
      <c r="X254">
        <f>HYPERLINK("https://klasma.github.io/Logging_0883/tillsyn/A 16697-2025 tillsynsbegäran.docx", "A 16697-2025")</f>
        <v/>
      </c>
      <c r="Y254">
        <f>HYPERLINK("https://klasma.github.io/Logging_0883/tillsynsmail/A 16697-2025 tillsynsbegäran mail.docx", "A 16697-2025")</f>
        <v/>
      </c>
      <c r="Z254">
        <f>HYPERLINK("https://klasma.github.io/Logging_0883/fåglar/A 16697-2025 prioriterade fågelarter.docx", "A 16697-2025")</f>
        <v/>
      </c>
    </row>
    <row r="255" ht="15" customHeight="1">
      <c r="A255" t="inlineStr">
        <is>
          <t>A 1041-2026</t>
        </is>
      </c>
      <c r="B255" s="1" t="n">
        <v>46030.62386574074</v>
      </c>
      <c r="C255" s="1" t="n">
        <v>46050</v>
      </c>
      <c r="D255" t="inlineStr">
        <is>
          <t>KALMAR LÄN</t>
        </is>
      </c>
      <c r="E255" t="inlineStr">
        <is>
          <t>VÄSTERVIK</t>
        </is>
      </c>
      <c r="G255" t="n">
        <v>1.2</v>
      </c>
      <c r="H255" t="n">
        <v>0</v>
      </c>
      <c r="I255" t="n">
        <v>1</v>
      </c>
      <c r="J255" t="n">
        <v>0</v>
      </c>
      <c r="K255" t="n">
        <v>0</v>
      </c>
      <c r="L255" t="n">
        <v>0</v>
      </c>
      <c r="M255" t="n">
        <v>0</v>
      </c>
      <c r="N255" t="n">
        <v>0</v>
      </c>
      <c r="O255" t="n">
        <v>0</v>
      </c>
      <c r="P255" t="n">
        <v>0</v>
      </c>
      <c r="Q255" t="n">
        <v>1</v>
      </c>
      <c r="R255" s="2" t="inlineStr">
        <is>
          <t>Ögonpyrola</t>
        </is>
      </c>
      <c r="S255">
        <f>HYPERLINK("https://klasma.github.io/Logging_0883/artfynd/A 1041-2026 artfynd.xlsx", "A 1041-2026")</f>
        <v/>
      </c>
      <c r="T255">
        <f>HYPERLINK("https://klasma.github.io/Logging_0883/kartor/A 1041-2026 karta.png", "A 1041-2026")</f>
        <v/>
      </c>
      <c r="V255">
        <f>HYPERLINK("https://klasma.github.io/Logging_0883/klagomål/A 1041-2026 FSC-klagomål.docx", "A 1041-2026")</f>
        <v/>
      </c>
      <c r="W255">
        <f>HYPERLINK("https://klasma.github.io/Logging_0883/klagomålsmail/A 1041-2026 FSC-klagomål mail.docx", "A 1041-2026")</f>
        <v/>
      </c>
      <c r="X255">
        <f>HYPERLINK("https://klasma.github.io/Logging_0883/tillsyn/A 1041-2026 tillsynsbegäran.docx", "A 1041-2026")</f>
        <v/>
      </c>
      <c r="Y255">
        <f>HYPERLINK("https://klasma.github.io/Logging_0883/tillsynsmail/A 1041-2026 tillsynsbegäran mail.docx", "A 1041-2026")</f>
        <v/>
      </c>
    </row>
    <row r="256" ht="15" customHeight="1">
      <c r="A256" t="inlineStr">
        <is>
          <t>A 59241-2025</t>
        </is>
      </c>
      <c r="B256" s="1" t="n">
        <v>45988.63915509259</v>
      </c>
      <c r="C256" s="1" t="n">
        <v>46050</v>
      </c>
      <c r="D256" t="inlineStr">
        <is>
          <t>KALMAR LÄN</t>
        </is>
      </c>
      <c r="E256" t="inlineStr">
        <is>
          <t>VÄSTERVIK</t>
        </is>
      </c>
      <c r="F256" t="inlineStr">
        <is>
          <t>Holmen skog AB</t>
        </is>
      </c>
      <c r="G256" t="n">
        <v>1.7</v>
      </c>
      <c r="H256" t="n">
        <v>1</v>
      </c>
      <c r="I256" t="n">
        <v>0</v>
      </c>
      <c r="J256" t="n">
        <v>1</v>
      </c>
      <c r="K256" t="n">
        <v>0</v>
      </c>
      <c r="L256" t="n">
        <v>0</v>
      </c>
      <c r="M256" t="n">
        <v>0</v>
      </c>
      <c r="N256" t="n">
        <v>0</v>
      </c>
      <c r="O256" t="n">
        <v>1</v>
      </c>
      <c r="P256" t="n">
        <v>0</v>
      </c>
      <c r="Q256" t="n">
        <v>1</v>
      </c>
      <c r="R256" s="2" t="inlineStr">
        <is>
          <t>Spillkråka</t>
        </is>
      </c>
      <c r="S256">
        <f>HYPERLINK("https://klasma.github.io/Logging_0883/artfynd/A 59241-2025 artfynd.xlsx", "A 59241-2025")</f>
        <v/>
      </c>
      <c r="T256">
        <f>HYPERLINK("https://klasma.github.io/Logging_0883/kartor/A 59241-2025 karta.png", "A 59241-2025")</f>
        <v/>
      </c>
      <c r="V256">
        <f>HYPERLINK("https://klasma.github.io/Logging_0883/klagomål/A 59241-2025 FSC-klagomål.docx", "A 59241-2025")</f>
        <v/>
      </c>
      <c r="W256">
        <f>HYPERLINK("https://klasma.github.io/Logging_0883/klagomålsmail/A 59241-2025 FSC-klagomål mail.docx", "A 59241-2025")</f>
        <v/>
      </c>
      <c r="X256">
        <f>HYPERLINK("https://klasma.github.io/Logging_0883/tillsyn/A 59241-2025 tillsynsbegäran.docx", "A 59241-2025")</f>
        <v/>
      </c>
      <c r="Y256">
        <f>HYPERLINK("https://klasma.github.io/Logging_0883/tillsynsmail/A 59241-2025 tillsynsbegäran mail.docx", "A 59241-2025")</f>
        <v/>
      </c>
      <c r="Z256">
        <f>HYPERLINK("https://klasma.github.io/Logging_0883/fåglar/A 59241-2025 prioriterade fågelarter.docx", "A 59241-2025")</f>
        <v/>
      </c>
    </row>
    <row r="257" ht="15" customHeight="1">
      <c r="A257" t="inlineStr">
        <is>
          <t>A 12662-2022</t>
        </is>
      </c>
      <c r="B257" s="1" t="n">
        <v>44641</v>
      </c>
      <c r="C257" s="1" t="n">
        <v>46050</v>
      </c>
      <c r="D257" t="inlineStr">
        <is>
          <t>KALMAR LÄN</t>
        </is>
      </c>
      <c r="E257" t="inlineStr">
        <is>
          <t>VÄSTERVIK</t>
        </is>
      </c>
      <c r="G257" t="n">
        <v>2.1</v>
      </c>
      <c r="H257" t="n">
        <v>0</v>
      </c>
      <c r="I257" t="n">
        <v>1</v>
      </c>
      <c r="J257" t="n">
        <v>0</v>
      </c>
      <c r="K257" t="n">
        <v>0</v>
      </c>
      <c r="L257" t="n">
        <v>0</v>
      </c>
      <c r="M257" t="n">
        <v>0</v>
      </c>
      <c r="N257" t="n">
        <v>0</v>
      </c>
      <c r="O257" t="n">
        <v>0</v>
      </c>
      <c r="P257" t="n">
        <v>0</v>
      </c>
      <c r="Q257" t="n">
        <v>1</v>
      </c>
      <c r="R257" s="2" t="inlineStr">
        <is>
          <t>Blåmossa</t>
        </is>
      </c>
      <c r="S257">
        <f>HYPERLINK("https://klasma.github.io/Logging_0883/artfynd/A 12662-2022 artfynd.xlsx", "A 12662-2022")</f>
        <v/>
      </c>
      <c r="T257">
        <f>HYPERLINK("https://klasma.github.io/Logging_0883/kartor/A 12662-2022 karta.png", "A 12662-2022")</f>
        <v/>
      </c>
      <c r="V257">
        <f>HYPERLINK("https://klasma.github.io/Logging_0883/klagomål/A 12662-2022 FSC-klagomål.docx", "A 12662-2022")</f>
        <v/>
      </c>
      <c r="W257">
        <f>HYPERLINK("https://klasma.github.io/Logging_0883/klagomålsmail/A 12662-2022 FSC-klagomål mail.docx", "A 12662-2022")</f>
        <v/>
      </c>
      <c r="X257">
        <f>HYPERLINK("https://klasma.github.io/Logging_0883/tillsyn/A 12662-2022 tillsynsbegäran.docx", "A 12662-2022")</f>
        <v/>
      </c>
      <c r="Y257">
        <f>HYPERLINK("https://klasma.github.io/Logging_0883/tillsynsmail/A 12662-2022 tillsynsbegäran mail.docx", "A 12662-2022")</f>
        <v/>
      </c>
    </row>
    <row r="258" ht="15" customHeight="1">
      <c r="A258" t="inlineStr">
        <is>
          <t>A 46559-2022</t>
        </is>
      </c>
      <c r="B258" s="1" t="n">
        <v>44848</v>
      </c>
      <c r="C258" s="1" t="n">
        <v>46050</v>
      </c>
      <c r="D258" t="inlineStr">
        <is>
          <t>KALMAR LÄN</t>
        </is>
      </c>
      <c r="E258" t="inlineStr">
        <is>
          <t>VÄSTERVIK</t>
        </is>
      </c>
      <c r="F258" t="inlineStr">
        <is>
          <t>Sveaskog</t>
        </is>
      </c>
      <c r="G258" t="n">
        <v>2.2</v>
      </c>
      <c r="H258" t="n">
        <v>1</v>
      </c>
      <c r="I258" t="n">
        <v>0</v>
      </c>
      <c r="J258" t="n">
        <v>0</v>
      </c>
      <c r="K258" t="n">
        <v>0</v>
      </c>
      <c r="L258" t="n">
        <v>0</v>
      </c>
      <c r="M258" t="n">
        <v>0</v>
      </c>
      <c r="N258" t="n">
        <v>0</v>
      </c>
      <c r="O258" t="n">
        <v>0</v>
      </c>
      <c r="P258" t="n">
        <v>0</v>
      </c>
      <c r="Q258" t="n">
        <v>1</v>
      </c>
      <c r="R258" s="2" t="inlineStr">
        <is>
          <t>Blåsippa</t>
        </is>
      </c>
      <c r="S258">
        <f>HYPERLINK("https://klasma.github.io/Logging_0883/artfynd/A 46559-2022 artfynd.xlsx", "A 46559-2022")</f>
        <v/>
      </c>
      <c r="T258">
        <f>HYPERLINK("https://klasma.github.io/Logging_0883/kartor/A 46559-2022 karta.png", "A 46559-2022")</f>
        <v/>
      </c>
      <c r="V258">
        <f>HYPERLINK("https://klasma.github.io/Logging_0883/klagomål/A 46559-2022 FSC-klagomål.docx", "A 46559-2022")</f>
        <v/>
      </c>
      <c r="W258">
        <f>HYPERLINK("https://klasma.github.io/Logging_0883/klagomålsmail/A 46559-2022 FSC-klagomål mail.docx", "A 46559-2022")</f>
        <v/>
      </c>
      <c r="X258">
        <f>HYPERLINK("https://klasma.github.io/Logging_0883/tillsyn/A 46559-2022 tillsynsbegäran.docx", "A 46559-2022")</f>
        <v/>
      </c>
      <c r="Y258">
        <f>HYPERLINK("https://klasma.github.io/Logging_0883/tillsynsmail/A 46559-2022 tillsynsbegäran mail.docx", "A 46559-2022")</f>
        <v/>
      </c>
    </row>
    <row r="259" ht="15" customHeight="1">
      <c r="A259" t="inlineStr">
        <is>
          <t>A 9265-2025</t>
        </is>
      </c>
      <c r="B259" s="1" t="n">
        <v>45714.61153935185</v>
      </c>
      <c r="C259" s="1" t="n">
        <v>46050</v>
      </c>
      <c r="D259" t="inlineStr">
        <is>
          <t>KALMAR LÄN</t>
        </is>
      </c>
      <c r="E259" t="inlineStr">
        <is>
          <t>VÄSTERVIK</t>
        </is>
      </c>
      <c r="F259" t="inlineStr">
        <is>
          <t>Sveaskog</t>
        </is>
      </c>
      <c r="G259" t="n">
        <v>2.2</v>
      </c>
      <c r="H259" t="n">
        <v>1</v>
      </c>
      <c r="I259" t="n">
        <v>0</v>
      </c>
      <c r="J259" t="n">
        <v>1</v>
      </c>
      <c r="K259" t="n">
        <v>0</v>
      </c>
      <c r="L259" t="n">
        <v>0</v>
      </c>
      <c r="M259" t="n">
        <v>0</v>
      </c>
      <c r="N259" t="n">
        <v>0</v>
      </c>
      <c r="O259" t="n">
        <v>1</v>
      </c>
      <c r="P259" t="n">
        <v>0</v>
      </c>
      <c r="Q259" t="n">
        <v>1</v>
      </c>
      <c r="R259" s="2" t="inlineStr">
        <is>
          <t>Havsörn</t>
        </is>
      </c>
      <c r="S259">
        <f>HYPERLINK("https://klasma.github.io/Logging_0883/artfynd/A 9265-2025 artfynd.xlsx", "A 9265-2025")</f>
        <v/>
      </c>
      <c r="T259">
        <f>HYPERLINK("https://klasma.github.io/Logging_0883/kartor/A 9265-2025 karta.png", "A 9265-2025")</f>
        <v/>
      </c>
      <c r="V259">
        <f>HYPERLINK("https://klasma.github.io/Logging_0883/klagomål/A 9265-2025 FSC-klagomål.docx", "A 9265-2025")</f>
        <v/>
      </c>
      <c r="W259">
        <f>HYPERLINK("https://klasma.github.io/Logging_0883/klagomålsmail/A 9265-2025 FSC-klagomål mail.docx", "A 9265-2025")</f>
        <v/>
      </c>
      <c r="X259">
        <f>HYPERLINK("https://klasma.github.io/Logging_0883/tillsyn/A 9265-2025 tillsynsbegäran.docx", "A 9265-2025")</f>
        <v/>
      </c>
      <c r="Y259">
        <f>HYPERLINK("https://klasma.github.io/Logging_0883/tillsynsmail/A 9265-2025 tillsynsbegäran mail.docx", "A 9265-2025")</f>
        <v/>
      </c>
      <c r="Z259">
        <f>HYPERLINK("https://klasma.github.io/Logging_0883/fåglar/A 9265-2025 prioriterade fågelarter.docx", "A 9265-2025")</f>
        <v/>
      </c>
    </row>
    <row r="260" ht="15" customHeight="1">
      <c r="A260" t="inlineStr">
        <is>
          <t>A 17952-2025</t>
        </is>
      </c>
      <c r="B260" s="1" t="n">
        <v>45760.85842592592</v>
      </c>
      <c r="C260" s="1" t="n">
        <v>46050</v>
      </c>
      <c r="D260" t="inlineStr">
        <is>
          <t>KALMAR LÄN</t>
        </is>
      </c>
      <c r="E260" t="inlineStr">
        <is>
          <t>VÄSTERVIK</t>
        </is>
      </c>
      <c r="G260" t="n">
        <v>3.3</v>
      </c>
      <c r="H260" t="n">
        <v>1</v>
      </c>
      <c r="I260" t="n">
        <v>0</v>
      </c>
      <c r="J260" t="n">
        <v>0</v>
      </c>
      <c r="K260" t="n">
        <v>0</v>
      </c>
      <c r="L260" t="n">
        <v>0</v>
      </c>
      <c r="M260" t="n">
        <v>0</v>
      </c>
      <c r="N260" t="n">
        <v>0</v>
      </c>
      <c r="O260" t="n">
        <v>0</v>
      </c>
      <c r="P260" t="n">
        <v>0</v>
      </c>
      <c r="Q260" t="n">
        <v>1</v>
      </c>
      <c r="R260" s="2" t="inlineStr">
        <is>
          <t>Revlummer</t>
        </is>
      </c>
      <c r="S260">
        <f>HYPERLINK("https://klasma.github.io/Logging_0883/artfynd/A 17952-2025 artfynd.xlsx", "A 17952-2025")</f>
        <v/>
      </c>
      <c r="T260">
        <f>HYPERLINK("https://klasma.github.io/Logging_0883/kartor/A 17952-2025 karta.png", "A 17952-2025")</f>
        <v/>
      </c>
      <c r="V260">
        <f>HYPERLINK("https://klasma.github.io/Logging_0883/klagomål/A 17952-2025 FSC-klagomål.docx", "A 17952-2025")</f>
        <v/>
      </c>
      <c r="W260">
        <f>HYPERLINK("https://klasma.github.io/Logging_0883/klagomålsmail/A 17952-2025 FSC-klagomål mail.docx", "A 17952-2025")</f>
        <v/>
      </c>
      <c r="X260">
        <f>HYPERLINK("https://klasma.github.io/Logging_0883/tillsyn/A 17952-2025 tillsynsbegäran.docx", "A 17952-2025")</f>
        <v/>
      </c>
      <c r="Y260">
        <f>HYPERLINK("https://klasma.github.io/Logging_0883/tillsynsmail/A 17952-2025 tillsynsbegäran mail.docx", "A 17952-2025")</f>
        <v/>
      </c>
    </row>
    <row r="261" ht="15" customHeight="1">
      <c r="A261" t="inlineStr">
        <is>
          <t>A 32653-2023</t>
        </is>
      </c>
      <c r="B261" s="1" t="n">
        <v>45121</v>
      </c>
      <c r="C261" s="1" t="n">
        <v>46050</v>
      </c>
      <c r="D261" t="inlineStr">
        <is>
          <t>KALMAR LÄN</t>
        </is>
      </c>
      <c r="E261" t="inlineStr">
        <is>
          <t>VÄSTERVIK</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HYPERLINK("https://klasma.github.io/Logging_0883/artfynd/A 32653-2023 artfynd.xlsx", "A 32653-2023")</f>
        <v/>
      </c>
      <c r="T261">
        <f>HYPERLINK("https://klasma.github.io/Logging_0883/kartor/A 32653-2023 karta.png", "A 32653-2023")</f>
        <v/>
      </c>
      <c r="U261">
        <f>HYPERLINK("https://klasma.github.io/Logging_0883/knärot/A 32653-2023 karta knärot.png", "A 32653-2023")</f>
        <v/>
      </c>
      <c r="V261">
        <f>HYPERLINK("https://klasma.github.io/Logging_0883/klagomål/A 32653-2023 FSC-klagomål.docx", "A 32653-2023")</f>
        <v/>
      </c>
      <c r="W261">
        <f>HYPERLINK("https://klasma.github.io/Logging_0883/klagomålsmail/A 32653-2023 FSC-klagomål mail.docx", "A 32653-2023")</f>
        <v/>
      </c>
      <c r="X261">
        <f>HYPERLINK("https://klasma.github.io/Logging_0883/tillsyn/A 32653-2023 tillsynsbegäran.docx", "A 32653-2023")</f>
        <v/>
      </c>
      <c r="Y261">
        <f>HYPERLINK("https://klasma.github.io/Logging_0883/tillsynsmail/A 32653-2023 tillsynsbegäran mail.docx", "A 32653-2023")</f>
        <v/>
      </c>
    </row>
    <row r="262" ht="15" customHeight="1">
      <c r="A262" t="inlineStr">
        <is>
          <t>A 6634-2025</t>
        </is>
      </c>
      <c r="B262" s="1" t="n">
        <v>45700.38141203704</v>
      </c>
      <c r="C262" s="1" t="n">
        <v>46050</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14082-2025</t>
        </is>
      </c>
      <c r="B263" s="1" t="n">
        <v>45740.43934027778</v>
      </c>
      <c r="C263" s="1" t="n">
        <v>46050</v>
      </c>
      <c r="D263" t="inlineStr">
        <is>
          <t>KALMAR LÄN</t>
        </is>
      </c>
      <c r="E263" t="inlineStr">
        <is>
          <t>VÄSTERVIK</t>
        </is>
      </c>
      <c r="F263" t="inlineStr">
        <is>
          <t>Sveaskog</t>
        </is>
      </c>
      <c r="G263" t="n">
        <v>1.2</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HYPERLINK("https://klasma.github.io/Logging_0883/artfynd/A 14082-2025 artfynd.xlsx", "A 14082-2025")</f>
        <v/>
      </c>
      <c r="T263">
        <f>HYPERLINK("https://klasma.github.io/Logging_0883/kartor/A 14082-2025 karta.png", "A 14082-2025")</f>
        <v/>
      </c>
      <c r="V263">
        <f>HYPERLINK("https://klasma.github.io/Logging_0883/klagomål/A 14082-2025 FSC-klagomål.docx", "A 14082-2025")</f>
        <v/>
      </c>
      <c r="W263">
        <f>HYPERLINK("https://klasma.github.io/Logging_0883/klagomålsmail/A 14082-2025 FSC-klagomål mail.docx", "A 14082-2025")</f>
        <v/>
      </c>
      <c r="X263">
        <f>HYPERLINK("https://klasma.github.io/Logging_0883/tillsyn/A 14082-2025 tillsynsbegäran.docx", "A 14082-2025")</f>
        <v/>
      </c>
      <c r="Y263">
        <f>HYPERLINK("https://klasma.github.io/Logging_0883/tillsynsmail/A 14082-2025 tillsynsbegäran mail.docx", "A 14082-2025")</f>
        <v/>
      </c>
    </row>
    <row r="264" ht="15" customHeight="1">
      <c r="A264" t="inlineStr">
        <is>
          <t>A 59178-2022</t>
        </is>
      </c>
      <c r="B264" s="1" t="n">
        <v>44904</v>
      </c>
      <c r="C264" s="1" t="n">
        <v>46050</v>
      </c>
      <c r="D264" t="inlineStr">
        <is>
          <t>KALMAR LÄN</t>
        </is>
      </c>
      <c r="E264" t="inlineStr">
        <is>
          <t>VÄSTERVIK</t>
        </is>
      </c>
      <c r="G264" t="n">
        <v>3.3</v>
      </c>
      <c r="H264" t="n">
        <v>0</v>
      </c>
      <c r="I264" t="n">
        <v>0</v>
      </c>
      <c r="J264" t="n">
        <v>1</v>
      </c>
      <c r="K264" t="n">
        <v>0</v>
      </c>
      <c r="L264" t="n">
        <v>0</v>
      </c>
      <c r="M264" t="n">
        <v>0</v>
      </c>
      <c r="N264" t="n">
        <v>0</v>
      </c>
      <c r="O264" t="n">
        <v>1</v>
      </c>
      <c r="P264" t="n">
        <v>0</v>
      </c>
      <c r="Q264" t="n">
        <v>1</v>
      </c>
      <c r="R264" s="2" t="inlineStr">
        <is>
          <t>Tallticka</t>
        </is>
      </c>
      <c r="S264">
        <f>HYPERLINK("https://klasma.github.io/Logging_0883/artfynd/A 59178-2022 artfynd.xlsx", "A 59178-2022")</f>
        <v/>
      </c>
      <c r="T264">
        <f>HYPERLINK("https://klasma.github.io/Logging_0883/kartor/A 59178-2022 karta.png", "A 59178-2022")</f>
        <v/>
      </c>
      <c r="V264">
        <f>HYPERLINK("https://klasma.github.io/Logging_0883/klagomål/A 59178-2022 FSC-klagomål.docx", "A 59178-2022")</f>
        <v/>
      </c>
      <c r="W264">
        <f>HYPERLINK("https://klasma.github.io/Logging_0883/klagomålsmail/A 59178-2022 FSC-klagomål mail.docx", "A 59178-2022")</f>
        <v/>
      </c>
      <c r="X264">
        <f>HYPERLINK("https://klasma.github.io/Logging_0883/tillsyn/A 59178-2022 tillsynsbegäran.docx", "A 59178-2022")</f>
        <v/>
      </c>
      <c r="Y264">
        <f>HYPERLINK("https://klasma.github.io/Logging_0883/tillsynsmail/A 59178-2022 tillsynsbegäran mail.docx", "A 59178-2022")</f>
        <v/>
      </c>
    </row>
    <row r="265" ht="15" customHeight="1">
      <c r="A265" t="inlineStr">
        <is>
          <t>A 24048-2021</t>
        </is>
      </c>
      <c r="B265" s="1" t="n">
        <v>44336</v>
      </c>
      <c r="C265" s="1" t="n">
        <v>46050</v>
      </c>
      <c r="D265" t="inlineStr">
        <is>
          <t>KALMAR LÄN</t>
        </is>
      </c>
      <c r="E265" t="inlineStr">
        <is>
          <t>VÄSTERVIK</t>
        </is>
      </c>
      <c r="G265" t="n">
        <v>3.5</v>
      </c>
      <c r="H265" t="n">
        <v>1</v>
      </c>
      <c r="I265" t="n">
        <v>0</v>
      </c>
      <c r="J265" t="n">
        <v>0</v>
      </c>
      <c r="K265" t="n">
        <v>1</v>
      </c>
      <c r="L265" t="n">
        <v>0</v>
      </c>
      <c r="M265" t="n">
        <v>0</v>
      </c>
      <c r="N265" t="n">
        <v>0</v>
      </c>
      <c r="O265" t="n">
        <v>1</v>
      </c>
      <c r="P265" t="n">
        <v>1</v>
      </c>
      <c r="Q265" t="n">
        <v>1</v>
      </c>
      <c r="R265" s="2" t="inlineStr">
        <is>
          <t>Knärot</t>
        </is>
      </c>
      <c r="S265">
        <f>HYPERLINK("https://klasma.github.io/Logging_0883/artfynd/A 24048-2021 artfynd.xlsx", "A 24048-2021")</f>
        <v/>
      </c>
      <c r="T265">
        <f>HYPERLINK("https://klasma.github.io/Logging_0883/kartor/A 24048-2021 karta.png", "A 24048-2021")</f>
        <v/>
      </c>
      <c r="U265">
        <f>HYPERLINK("https://klasma.github.io/Logging_0883/knärot/A 24048-2021 karta knärot.png", "A 24048-2021")</f>
        <v/>
      </c>
      <c r="V265">
        <f>HYPERLINK("https://klasma.github.io/Logging_0883/klagomål/A 24048-2021 FSC-klagomål.docx", "A 24048-2021")</f>
        <v/>
      </c>
      <c r="W265">
        <f>HYPERLINK("https://klasma.github.io/Logging_0883/klagomålsmail/A 24048-2021 FSC-klagomål mail.docx", "A 24048-2021")</f>
        <v/>
      </c>
      <c r="X265">
        <f>HYPERLINK("https://klasma.github.io/Logging_0883/tillsyn/A 24048-2021 tillsynsbegäran.docx", "A 24048-2021")</f>
        <v/>
      </c>
      <c r="Y265">
        <f>HYPERLINK("https://klasma.github.io/Logging_0883/tillsynsmail/A 24048-2021 tillsynsbegäran mail.docx", "A 24048-2021")</f>
        <v/>
      </c>
    </row>
    <row r="266" ht="15" customHeight="1">
      <c r="A266" t="inlineStr">
        <is>
          <t>A 3624-2026</t>
        </is>
      </c>
      <c r="B266" s="1" t="n">
        <v>46043</v>
      </c>
      <c r="C266" s="1" t="n">
        <v>46050</v>
      </c>
      <c r="D266" t="inlineStr">
        <is>
          <t>KALMAR LÄN</t>
        </is>
      </c>
      <c r="E266" t="inlineStr">
        <is>
          <t>VÄSTERVIK</t>
        </is>
      </c>
      <c r="G266" t="n">
        <v>2.2</v>
      </c>
      <c r="H266" t="n">
        <v>1</v>
      </c>
      <c r="I266" t="n">
        <v>1</v>
      </c>
      <c r="J266" t="n">
        <v>0</v>
      </c>
      <c r="K266" t="n">
        <v>0</v>
      </c>
      <c r="L266" t="n">
        <v>0</v>
      </c>
      <c r="M266" t="n">
        <v>0</v>
      </c>
      <c r="N266" t="n">
        <v>0</v>
      </c>
      <c r="O266" t="n">
        <v>0</v>
      </c>
      <c r="P266" t="n">
        <v>0</v>
      </c>
      <c r="Q266" t="n">
        <v>1</v>
      </c>
      <c r="R266" s="2" t="inlineStr">
        <is>
          <t>Purpurknipprot</t>
        </is>
      </c>
      <c r="S266">
        <f>HYPERLINK("https://klasma.github.io/Logging_0883/artfynd/A 3624-2026 artfynd.xlsx", "A 3624-2026")</f>
        <v/>
      </c>
      <c r="T266">
        <f>HYPERLINK("https://klasma.github.io/Logging_0883/kartor/A 3624-2026 karta.png", "A 3624-2026")</f>
        <v/>
      </c>
      <c r="V266">
        <f>HYPERLINK("https://klasma.github.io/Logging_0883/klagomål/A 3624-2026 FSC-klagomål.docx", "A 3624-2026")</f>
        <v/>
      </c>
      <c r="W266">
        <f>HYPERLINK("https://klasma.github.io/Logging_0883/klagomålsmail/A 3624-2026 FSC-klagomål mail.docx", "A 3624-2026")</f>
        <v/>
      </c>
      <c r="X266">
        <f>HYPERLINK("https://klasma.github.io/Logging_0883/tillsyn/A 3624-2026 tillsynsbegäran.docx", "A 3624-2026")</f>
        <v/>
      </c>
      <c r="Y266">
        <f>HYPERLINK("https://klasma.github.io/Logging_0883/tillsynsmail/A 3624-2026 tillsynsbegäran mail.docx", "A 3624-2026")</f>
        <v/>
      </c>
    </row>
    <row r="267" ht="15" customHeight="1">
      <c r="A267" t="inlineStr">
        <is>
          <t>A 19900-2022</t>
        </is>
      </c>
      <c r="B267" s="1" t="n">
        <v>44697</v>
      </c>
      <c r="C267" s="1" t="n">
        <v>46050</v>
      </c>
      <c r="D267" t="inlineStr">
        <is>
          <t>KALMAR LÄN</t>
        </is>
      </c>
      <c r="E267" t="inlineStr">
        <is>
          <t>VÄSTERVIK</t>
        </is>
      </c>
      <c r="G267" t="n">
        <v>2.4</v>
      </c>
      <c r="H267" t="n">
        <v>1</v>
      </c>
      <c r="I267" t="n">
        <v>0</v>
      </c>
      <c r="J267" t="n">
        <v>0</v>
      </c>
      <c r="K267" t="n">
        <v>1</v>
      </c>
      <c r="L267" t="n">
        <v>0</v>
      </c>
      <c r="M267" t="n">
        <v>0</v>
      </c>
      <c r="N267" t="n">
        <v>0</v>
      </c>
      <c r="O267" t="n">
        <v>1</v>
      </c>
      <c r="P267" t="n">
        <v>1</v>
      </c>
      <c r="Q267" t="n">
        <v>1</v>
      </c>
      <c r="R267" s="2" t="inlineStr">
        <is>
          <t>Knärot</t>
        </is>
      </c>
      <c r="S267">
        <f>HYPERLINK("https://klasma.github.io/Logging_0883/artfynd/A 19900-2022 artfynd.xlsx", "A 19900-2022")</f>
        <v/>
      </c>
      <c r="T267">
        <f>HYPERLINK("https://klasma.github.io/Logging_0883/kartor/A 19900-2022 karta.png", "A 19900-2022")</f>
        <v/>
      </c>
      <c r="U267">
        <f>HYPERLINK("https://klasma.github.io/Logging_0883/knärot/A 19900-2022 karta knärot.png", "A 19900-2022")</f>
        <v/>
      </c>
      <c r="V267">
        <f>HYPERLINK("https://klasma.github.io/Logging_0883/klagomål/A 19900-2022 FSC-klagomål.docx", "A 19900-2022")</f>
        <v/>
      </c>
      <c r="W267">
        <f>HYPERLINK("https://klasma.github.io/Logging_0883/klagomålsmail/A 19900-2022 FSC-klagomål mail.docx", "A 19900-2022")</f>
        <v/>
      </c>
      <c r="X267">
        <f>HYPERLINK("https://klasma.github.io/Logging_0883/tillsyn/A 19900-2022 tillsynsbegäran.docx", "A 19900-2022")</f>
        <v/>
      </c>
      <c r="Y267">
        <f>HYPERLINK("https://klasma.github.io/Logging_0883/tillsynsmail/A 19900-2022 tillsynsbegäran mail.docx", "A 19900-2022")</f>
        <v/>
      </c>
    </row>
    <row r="268" ht="15" customHeight="1">
      <c r="A268" t="inlineStr">
        <is>
          <t>A 61319-2021</t>
        </is>
      </c>
      <c r="B268" s="1" t="n">
        <v>44498</v>
      </c>
      <c r="C268" s="1" t="n">
        <v>46050</v>
      </c>
      <c r="D268" t="inlineStr">
        <is>
          <t>KALMAR LÄN</t>
        </is>
      </c>
      <c r="E268" t="inlineStr">
        <is>
          <t>VÄSTERVIK</t>
        </is>
      </c>
      <c r="G268" t="n">
        <v>2.2</v>
      </c>
      <c r="H268" t="n">
        <v>1</v>
      </c>
      <c r="I268" t="n">
        <v>1</v>
      </c>
      <c r="J268" t="n">
        <v>0</v>
      </c>
      <c r="K268" t="n">
        <v>0</v>
      </c>
      <c r="L268" t="n">
        <v>0</v>
      </c>
      <c r="M268" t="n">
        <v>0</v>
      </c>
      <c r="N268" t="n">
        <v>0</v>
      </c>
      <c r="O268" t="n">
        <v>0</v>
      </c>
      <c r="P268" t="n">
        <v>0</v>
      </c>
      <c r="Q268" t="n">
        <v>1</v>
      </c>
      <c r="R268" s="2" t="inlineStr">
        <is>
          <t>Ekoxe</t>
        </is>
      </c>
      <c r="S268">
        <f>HYPERLINK("https://klasma.github.io/Logging_0883/artfynd/A 61319-2021 artfynd.xlsx", "A 61319-2021")</f>
        <v/>
      </c>
      <c r="T268">
        <f>HYPERLINK("https://klasma.github.io/Logging_0883/kartor/A 61319-2021 karta.png", "A 61319-2021")</f>
        <v/>
      </c>
      <c r="V268">
        <f>HYPERLINK("https://klasma.github.io/Logging_0883/klagomål/A 61319-2021 FSC-klagomål.docx", "A 61319-2021")</f>
        <v/>
      </c>
      <c r="W268">
        <f>HYPERLINK("https://klasma.github.io/Logging_0883/klagomålsmail/A 61319-2021 FSC-klagomål mail.docx", "A 61319-2021")</f>
        <v/>
      </c>
      <c r="X268">
        <f>HYPERLINK("https://klasma.github.io/Logging_0883/tillsyn/A 61319-2021 tillsynsbegäran.docx", "A 61319-2021")</f>
        <v/>
      </c>
      <c r="Y268">
        <f>HYPERLINK("https://klasma.github.io/Logging_0883/tillsynsmail/A 61319-2021 tillsynsbegäran mail.docx", "A 61319-2021")</f>
        <v/>
      </c>
    </row>
    <row r="269" ht="15" customHeight="1">
      <c r="A269" t="inlineStr">
        <is>
          <t>A 61806-2023</t>
        </is>
      </c>
      <c r="B269" s="1" t="n">
        <v>45266.27928240741</v>
      </c>
      <c r="C269" s="1" t="n">
        <v>46050</v>
      </c>
      <c r="D269" t="inlineStr">
        <is>
          <t>KALMAR LÄN</t>
        </is>
      </c>
      <c r="E269" t="inlineStr">
        <is>
          <t>VÄSTERVIK</t>
        </is>
      </c>
      <c r="G269" t="n">
        <v>1.1</v>
      </c>
      <c r="H269" t="n">
        <v>0</v>
      </c>
      <c r="I269" t="n">
        <v>0</v>
      </c>
      <c r="J269" t="n">
        <v>1</v>
      </c>
      <c r="K269" t="n">
        <v>0</v>
      </c>
      <c r="L269" t="n">
        <v>0</v>
      </c>
      <c r="M269" t="n">
        <v>0</v>
      </c>
      <c r="N269" t="n">
        <v>0</v>
      </c>
      <c r="O269" t="n">
        <v>1</v>
      </c>
      <c r="P269" t="n">
        <v>0</v>
      </c>
      <c r="Q269" t="n">
        <v>1</v>
      </c>
      <c r="R269" s="2" t="inlineStr">
        <is>
          <t>Veckticka</t>
        </is>
      </c>
      <c r="S269">
        <f>HYPERLINK("https://klasma.github.io/Logging_0883/artfynd/A 61806-2023 artfynd.xlsx", "A 61806-2023")</f>
        <v/>
      </c>
      <c r="T269">
        <f>HYPERLINK("https://klasma.github.io/Logging_0883/kartor/A 61806-2023 karta.png", "A 61806-2023")</f>
        <v/>
      </c>
      <c r="V269">
        <f>HYPERLINK("https://klasma.github.io/Logging_0883/klagomål/A 61806-2023 FSC-klagomål.docx", "A 61806-2023")</f>
        <v/>
      </c>
      <c r="W269">
        <f>HYPERLINK("https://klasma.github.io/Logging_0883/klagomålsmail/A 61806-2023 FSC-klagomål mail.docx", "A 61806-2023")</f>
        <v/>
      </c>
      <c r="X269">
        <f>HYPERLINK("https://klasma.github.io/Logging_0883/tillsyn/A 61806-2023 tillsynsbegäran.docx", "A 61806-2023")</f>
        <v/>
      </c>
      <c r="Y269">
        <f>HYPERLINK("https://klasma.github.io/Logging_0883/tillsynsmail/A 61806-2023 tillsynsbegäran mail.docx", "A 61806-2023")</f>
        <v/>
      </c>
    </row>
    <row r="270" ht="15" customHeight="1">
      <c r="A270" t="inlineStr">
        <is>
          <t>A 27708-2024</t>
        </is>
      </c>
      <c r="B270" s="1" t="n">
        <v>45475</v>
      </c>
      <c r="C270" s="1" t="n">
        <v>46050</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27708-2024 artfynd.xlsx", "A 27708-2024")</f>
        <v/>
      </c>
      <c r="T270">
        <f>HYPERLINK("https://klasma.github.io/Logging_0883/kartor/A 27708-2024 karta.png", "A 27708-2024")</f>
        <v/>
      </c>
      <c r="V270">
        <f>HYPERLINK("https://klasma.github.io/Logging_0883/klagomål/A 27708-2024 FSC-klagomål.docx", "A 27708-2024")</f>
        <v/>
      </c>
      <c r="W270">
        <f>HYPERLINK("https://klasma.github.io/Logging_0883/klagomålsmail/A 27708-2024 FSC-klagomål mail.docx", "A 27708-2024")</f>
        <v/>
      </c>
      <c r="X270">
        <f>HYPERLINK("https://klasma.github.io/Logging_0883/tillsyn/A 27708-2024 tillsynsbegäran.docx", "A 27708-2024")</f>
        <v/>
      </c>
      <c r="Y270">
        <f>HYPERLINK("https://klasma.github.io/Logging_0883/tillsynsmail/A 27708-2024 tillsynsbegäran mail.docx", "A 27708-2024")</f>
        <v/>
      </c>
      <c r="Z270">
        <f>HYPERLINK("https://klasma.github.io/Logging_0883/fåglar/A 27708-2024 prioriterade fågelarter.docx", "A 27708-2024")</f>
        <v/>
      </c>
    </row>
    <row r="271" ht="15" customHeight="1">
      <c r="A271" t="inlineStr">
        <is>
          <t>A 59198-2025</t>
        </is>
      </c>
      <c r="B271" s="1" t="n">
        <v>45988</v>
      </c>
      <c r="C271" s="1" t="n">
        <v>46050</v>
      </c>
      <c r="D271" t="inlineStr">
        <is>
          <t>KALMAR LÄN</t>
        </is>
      </c>
      <c r="E271" t="inlineStr">
        <is>
          <t>VÄSTERVIK</t>
        </is>
      </c>
      <c r="F271" t="inlineStr">
        <is>
          <t>Holmen skog AB</t>
        </is>
      </c>
      <c r="G271" t="n">
        <v>0.8</v>
      </c>
      <c r="H271" t="n">
        <v>1</v>
      </c>
      <c r="I271" t="n">
        <v>0</v>
      </c>
      <c r="J271" t="n">
        <v>0</v>
      </c>
      <c r="K271" t="n">
        <v>1</v>
      </c>
      <c r="L271" t="n">
        <v>0</v>
      </c>
      <c r="M271" t="n">
        <v>0</v>
      </c>
      <c r="N271" t="n">
        <v>0</v>
      </c>
      <c r="O271" t="n">
        <v>1</v>
      </c>
      <c r="P271" t="n">
        <v>1</v>
      </c>
      <c r="Q271" t="n">
        <v>1</v>
      </c>
      <c r="R271" s="2" t="inlineStr">
        <is>
          <t>Knärot</t>
        </is>
      </c>
      <c r="S271">
        <f>HYPERLINK("https://klasma.github.io/Logging_0883/artfynd/A 59198-2025 artfynd.xlsx", "A 59198-2025")</f>
        <v/>
      </c>
      <c r="T271">
        <f>HYPERLINK("https://klasma.github.io/Logging_0883/kartor/A 59198-2025 karta.png", "A 59198-2025")</f>
        <v/>
      </c>
      <c r="U271">
        <f>HYPERLINK("https://klasma.github.io/Logging_0883/knärot/A 59198-2025 karta knärot.png", "A 59198-2025")</f>
        <v/>
      </c>
      <c r="V271">
        <f>HYPERLINK("https://klasma.github.io/Logging_0883/klagomål/A 59198-2025 FSC-klagomål.docx", "A 59198-2025")</f>
        <v/>
      </c>
      <c r="W271">
        <f>HYPERLINK("https://klasma.github.io/Logging_0883/klagomålsmail/A 59198-2025 FSC-klagomål mail.docx", "A 59198-2025")</f>
        <v/>
      </c>
      <c r="X271">
        <f>HYPERLINK("https://klasma.github.io/Logging_0883/tillsyn/A 59198-2025 tillsynsbegäran.docx", "A 59198-2025")</f>
        <v/>
      </c>
      <c r="Y271">
        <f>HYPERLINK("https://klasma.github.io/Logging_0883/tillsynsmail/A 59198-2025 tillsynsbegäran mail.docx", "A 59198-2025")</f>
        <v/>
      </c>
    </row>
    <row r="272" ht="15" customHeight="1">
      <c r="A272" t="inlineStr">
        <is>
          <t>A 14103-2025</t>
        </is>
      </c>
      <c r="B272" s="1" t="n">
        <v>45740.45232638889</v>
      </c>
      <c r="C272" s="1" t="n">
        <v>46050</v>
      </c>
      <c r="D272" t="inlineStr">
        <is>
          <t>KALMAR LÄN</t>
        </is>
      </c>
      <c r="E272" t="inlineStr">
        <is>
          <t>VÄSTERVIK</t>
        </is>
      </c>
      <c r="F272" t="inlineStr">
        <is>
          <t>Sveaskog</t>
        </is>
      </c>
      <c r="G272" t="n">
        <v>0.8</v>
      </c>
      <c r="H272" t="n">
        <v>1</v>
      </c>
      <c r="I272" t="n">
        <v>0</v>
      </c>
      <c r="J272" t="n">
        <v>0</v>
      </c>
      <c r="K272" t="n">
        <v>0</v>
      </c>
      <c r="L272" t="n">
        <v>0</v>
      </c>
      <c r="M272" t="n">
        <v>0</v>
      </c>
      <c r="N272" t="n">
        <v>0</v>
      </c>
      <c r="O272" t="n">
        <v>0</v>
      </c>
      <c r="P272" t="n">
        <v>0</v>
      </c>
      <c r="Q272" t="n">
        <v>1</v>
      </c>
      <c r="R272" s="2" t="inlineStr">
        <is>
          <t>Grönvit nattviol</t>
        </is>
      </c>
      <c r="S272">
        <f>HYPERLINK("https://klasma.github.io/Logging_0883/artfynd/A 14103-2025 artfynd.xlsx", "A 14103-2025")</f>
        <v/>
      </c>
      <c r="T272">
        <f>HYPERLINK("https://klasma.github.io/Logging_0883/kartor/A 14103-2025 karta.png", "A 14103-2025")</f>
        <v/>
      </c>
      <c r="V272">
        <f>HYPERLINK("https://klasma.github.io/Logging_0883/klagomål/A 14103-2025 FSC-klagomål.docx", "A 14103-2025")</f>
        <v/>
      </c>
      <c r="W272">
        <f>HYPERLINK("https://klasma.github.io/Logging_0883/klagomålsmail/A 14103-2025 FSC-klagomål mail.docx", "A 14103-2025")</f>
        <v/>
      </c>
      <c r="X272">
        <f>HYPERLINK("https://klasma.github.io/Logging_0883/tillsyn/A 14103-2025 tillsynsbegäran.docx", "A 14103-2025")</f>
        <v/>
      </c>
      <c r="Y272">
        <f>HYPERLINK("https://klasma.github.io/Logging_0883/tillsynsmail/A 14103-2025 tillsynsbegäran mail.docx", "A 14103-2025")</f>
        <v/>
      </c>
    </row>
    <row r="273" ht="15" customHeight="1">
      <c r="A273" t="inlineStr">
        <is>
          <t>A 33815-2023</t>
        </is>
      </c>
      <c r="B273" s="1" t="n">
        <v>45133.59306712963</v>
      </c>
      <c r="C273" s="1" t="n">
        <v>46050</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46050</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46050</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46050</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46050</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46050</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46050</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46050</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46050</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46050</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46050</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46050</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46050</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46050</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46050</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34563-2023</t>
        </is>
      </c>
      <c r="B288" s="1" t="n">
        <v>45140.52086805556</v>
      </c>
      <c r="C288" s="1" t="n">
        <v>46050</v>
      </c>
      <c r="D288" t="inlineStr">
        <is>
          <t>KALMAR LÄN</t>
        </is>
      </c>
      <c r="E288" t="inlineStr">
        <is>
          <t>VÄSTERVIK</t>
        </is>
      </c>
      <c r="G288" t="n">
        <v>1.4</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34563-2023 artfynd.xlsx", "A 34563-2023")</f>
        <v/>
      </c>
      <c r="T288">
        <f>HYPERLINK("https://klasma.github.io/Logging_0883/kartor/A 34563-2023 karta.png", "A 34563-2023")</f>
        <v/>
      </c>
      <c r="U288">
        <f>HYPERLINK("https://klasma.github.io/Logging_0883/knärot/A 34563-2023 karta knärot.png", "A 34563-2023")</f>
        <v/>
      </c>
      <c r="V288">
        <f>HYPERLINK("https://klasma.github.io/Logging_0883/klagomål/A 34563-2023 FSC-klagomål.docx", "A 34563-2023")</f>
        <v/>
      </c>
      <c r="W288">
        <f>HYPERLINK("https://klasma.github.io/Logging_0883/klagomålsmail/A 34563-2023 FSC-klagomål mail.docx", "A 34563-2023")</f>
        <v/>
      </c>
      <c r="X288">
        <f>HYPERLINK("https://klasma.github.io/Logging_0883/tillsyn/A 34563-2023 tillsynsbegäran.docx", "A 34563-2023")</f>
        <v/>
      </c>
      <c r="Y288">
        <f>HYPERLINK("https://klasma.github.io/Logging_0883/tillsynsmail/A 34563-2023 tillsynsbegäran mail.docx", "A 34563-2023")</f>
        <v/>
      </c>
    </row>
    <row r="289" ht="15" customHeight="1">
      <c r="A289" t="inlineStr">
        <is>
          <t>A 51024-2022</t>
        </is>
      </c>
      <c r="B289" s="1" t="n">
        <v>44867</v>
      </c>
      <c r="C289" s="1" t="n">
        <v>46050</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25436-2023</t>
        </is>
      </c>
      <c r="B290" s="1" t="n">
        <v>45089</v>
      </c>
      <c r="C290" s="1" t="n">
        <v>46050</v>
      </c>
      <c r="D290" t="inlineStr">
        <is>
          <t>KALMAR LÄN</t>
        </is>
      </c>
      <c r="E290" t="inlineStr">
        <is>
          <t>VÄSTERVIK</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HYPERLINK("https://klasma.github.io/Logging_0883/artfynd/A 25436-2023 artfynd.xlsx", "A 25436-2023")</f>
        <v/>
      </c>
      <c r="T290">
        <f>HYPERLINK("https://klasma.github.io/Logging_0883/kartor/A 25436-2023 karta.png", "A 25436-2023")</f>
        <v/>
      </c>
      <c r="U290">
        <f>HYPERLINK("https://klasma.github.io/Logging_0883/knärot/A 25436-2023 karta knärot.png", "A 25436-2023")</f>
        <v/>
      </c>
      <c r="V290">
        <f>HYPERLINK("https://klasma.github.io/Logging_0883/klagomål/A 25436-2023 FSC-klagomål.docx", "A 25436-2023")</f>
        <v/>
      </c>
      <c r="W290">
        <f>HYPERLINK("https://klasma.github.io/Logging_0883/klagomålsmail/A 25436-2023 FSC-klagomål mail.docx", "A 25436-2023")</f>
        <v/>
      </c>
      <c r="X290">
        <f>HYPERLINK("https://klasma.github.io/Logging_0883/tillsyn/A 25436-2023 tillsynsbegäran.docx", "A 25436-2023")</f>
        <v/>
      </c>
      <c r="Y290">
        <f>HYPERLINK("https://klasma.github.io/Logging_0883/tillsynsmail/A 25436-2023 tillsynsbegäran mail.docx", "A 25436-2023")</f>
        <v/>
      </c>
    </row>
    <row r="291" ht="15" customHeight="1">
      <c r="A291" t="inlineStr">
        <is>
          <t>A 21409-2025</t>
        </is>
      </c>
      <c r="B291" s="1" t="n">
        <v>45782</v>
      </c>
      <c r="C291" s="1" t="n">
        <v>46050</v>
      </c>
      <c r="D291" t="inlineStr">
        <is>
          <t>KALMAR LÄN</t>
        </is>
      </c>
      <c r="E291" t="inlineStr">
        <is>
          <t>VÄSTERVIK</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HYPERLINK("https://klasma.github.io/Logging_0883/artfynd/A 21409-2025 artfynd.xlsx", "A 21409-2025")</f>
        <v/>
      </c>
      <c r="T291">
        <f>HYPERLINK("https://klasma.github.io/Logging_0883/kartor/A 21409-2025 karta.png", "A 21409-2025")</f>
        <v/>
      </c>
      <c r="V291">
        <f>HYPERLINK("https://klasma.github.io/Logging_0883/klagomål/A 21409-2025 FSC-klagomål.docx", "A 21409-2025")</f>
        <v/>
      </c>
      <c r="W291">
        <f>HYPERLINK("https://klasma.github.io/Logging_0883/klagomålsmail/A 21409-2025 FSC-klagomål mail.docx", "A 21409-2025")</f>
        <v/>
      </c>
      <c r="X291">
        <f>HYPERLINK("https://klasma.github.io/Logging_0883/tillsyn/A 21409-2025 tillsynsbegäran.docx", "A 21409-2025")</f>
        <v/>
      </c>
      <c r="Y291">
        <f>HYPERLINK("https://klasma.github.io/Logging_0883/tillsynsmail/A 21409-2025 tillsynsbegäran mail.docx", "A 21409-2025")</f>
        <v/>
      </c>
    </row>
    <row r="292" ht="15" customHeight="1">
      <c r="A292" t="inlineStr">
        <is>
          <t>A 21653-2025</t>
        </is>
      </c>
      <c r="B292" s="1" t="n">
        <v>45783.45039351852</v>
      </c>
      <c r="C292" s="1" t="n">
        <v>46050</v>
      </c>
      <c r="D292" t="inlineStr">
        <is>
          <t>KALMAR LÄN</t>
        </is>
      </c>
      <c r="E292" t="inlineStr">
        <is>
          <t>VÄSTERVIK</t>
        </is>
      </c>
      <c r="F292" t="inlineStr">
        <is>
          <t>Sveaskog</t>
        </is>
      </c>
      <c r="G292" t="n">
        <v>2.8</v>
      </c>
      <c r="H292" t="n">
        <v>1</v>
      </c>
      <c r="I292" t="n">
        <v>0</v>
      </c>
      <c r="J292" t="n">
        <v>1</v>
      </c>
      <c r="K292" t="n">
        <v>0</v>
      </c>
      <c r="L292" t="n">
        <v>0</v>
      </c>
      <c r="M292" t="n">
        <v>0</v>
      </c>
      <c r="N292" t="n">
        <v>0</v>
      </c>
      <c r="O292" t="n">
        <v>1</v>
      </c>
      <c r="P292" t="n">
        <v>0</v>
      </c>
      <c r="Q292" t="n">
        <v>1</v>
      </c>
      <c r="R292" s="2" t="inlineStr">
        <is>
          <t>Entita</t>
        </is>
      </c>
      <c r="S292">
        <f>HYPERLINK("https://klasma.github.io/Logging_0883/artfynd/A 21653-2025 artfynd.xlsx", "A 21653-2025")</f>
        <v/>
      </c>
      <c r="T292">
        <f>HYPERLINK("https://klasma.github.io/Logging_0883/kartor/A 21653-2025 karta.png", "A 21653-2025")</f>
        <v/>
      </c>
      <c r="V292">
        <f>HYPERLINK("https://klasma.github.io/Logging_0883/klagomål/A 21653-2025 FSC-klagomål.docx", "A 21653-2025")</f>
        <v/>
      </c>
      <c r="W292">
        <f>HYPERLINK("https://klasma.github.io/Logging_0883/klagomålsmail/A 21653-2025 FSC-klagomål mail.docx", "A 21653-2025")</f>
        <v/>
      </c>
      <c r="X292">
        <f>HYPERLINK("https://klasma.github.io/Logging_0883/tillsyn/A 21653-2025 tillsynsbegäran.docx", "A 21653-2025")</f>
        <v/>
      </c>
      <c r="Y292">
        <f>HYPERLINK("https://klasma.github.io/Logging_0883/tillsynsmail/A 21653-2025 tillsynsbegäran mail.docx", "A 21653-2025")</f>
        <v/>
      </c>
      <c r="Z292">
        <f>HYPERLINK("https://klasma.github.io/Logging_0883/fåglar/A 21653-2025 prioriterade fågelarter.docx", "A 21653-2025")</f>
        <v/>
      </c>
    </row>
    <row r="293" ht="15" customHeight="1">
      <c r="A293" t="inlineStr">
        <is>
          <t>A 11729-2023</t>
        </is>
      </c>
      <c r="B293" s="1" t="n">
        <v>44994</v>
      </c>
      <c r="C293" s="1" t="n">
        <v>46050</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23186-2025</t>
        </is>
      </c>
      <c r="B294" s="1" t="n">
        <v>45791.44415509259</v>
      </c>
      <c r="C294" s="1" t="n">
        <v>46050</v>
      </c>
      <c r="D294" t="inlineStr">
        <is>
          <t>KALMAR LÄN</t>
        </is>
      </c>
      <c r="E294" t="inlineStr">
        <is>
          <t>VÄSTERVIK</t>
        </is>
      </c>
      <c r="G294" t="n">
        <v>1.4</v>
      </c>
      <c r="H294" t="n">
        <v>0</v>
      </c>
      <c r="I294" t="n">
        <v>0</v>
      </c>
      <c r="J294" t="n">
        <v>1</v>
      </c>
      <c r="K294" t="n">
        <v>0</v>
      </c>
      <c r="L294" t="n">
        <v>0</v>
      </c>
      <c r="M294" t="n">
        <v>0</v>
      </c>
      <c r="N294" t="n">
        <v>0</v>
      </c>
      <c r="O294" t="n">
        <v>1</v>
      </c>
      <c r="P294" t="n">
        <v>0</v>
      </c>
      <c r="Q294" t="n">
        <v>1</v>
      </c>
      <c r="R294" s="2" t="inlineStr">
        <is>
          <t>Krusfrö</t>
        </is>
      </c>
      <c r="S294">
        <f>HYPERLINK("https://klasma.github.io/Logging_0883/artfynd/A 23186-2025 artfynd.xlsx", "A 23186-2025")</f>
        <v/>
      </c>
      <c r="T294">
        <f>HYPERLINK("https://klasma.github.io/Logging_0883/kartor/A 23186-2025 karta.png", "A 23186-2025")</f>
        <v/>
      </c>
      <c r="V294">
        <f>HYPERLINK("https://klasma.github.io/Logging_0883/klagomål/A 23186-2025 FSC-klagomål.docx", "A 23186-2025")</f>
        <v/>
      </c>
      <c r="W294">
        <f>HYPERLINK("https://klasma.github.io/Logging_0883/klagomålsmail/A 23186-2025 FSC-klagomål mail.docx", "A 23186-2025")</f>
        <v/>
      </c>
      <c r="X294">
        <f>HYPERLINK("https://klasma.github.io/Logging_0883/tillsyn/A 23186-2025 tillsynsbegäran.docx", "A 23186-2025")</f>
        <v/>
      </c>
      <c r="Y294">
        <f>HYPERLINK("https://klasma.github.io/Logging_0883/tillsynsmail/A 23186-2025 tillsynsbegäran mail.docx", "A 23186-2025")</f>
        <v/>
      </c>
    </row>
    <row r="295" ht="15" customHeight="1">
      <c r="A295" t="inlineStr">
        <is>
          <t>A 23192-2025</t>
        </is>
      </c>
      <c r="B295" s="1" t="n">
        <v>45791.45371527778</v>
      </c>
      <c r="C295" s="1" t="n">
        <v>46050</v>
      </c>
      <c r="D295" t="inlineStr">
        <is>
          <t>KALMAR LÄN</t>
        </is>
      </c>
      <c r="E295" t="inlineStr">
        <is>
          <t>VÄSTERVIK</t>
        </is>
      </c>
      <c r="G295" t="n">
        <v>1.5</v>
      </c>
      <c r="H295" t="n">
        <v>1</v>
      </c>
      <c r="I295" t="n">
        <v>0</v>
      </c>
      <c r="J295" t="n">
        <v>1</v>
      </c>
      <c r="K295" t="n">
        <v>0</v>
      </c>
      <c r="L295" t="n">
        <v>0</v>
      </c>
      <c r="M295" t="n">
        <v>0</v>
      </c>
      <c r="N295" t="n">
        <v>0</v>
      </c>
      <c r="O295" t="n">
        <v>1</v>
      </c>
      <c r="P295" t="n">
        <v>0</v>
      </c>
      <c r="Q295" t="n">
        <v>1</v>
      </c>
      <c r="R295" s="2" t="inlineStr">
        <is>
          <t>Talltita</t>
        </is>
      </c>
      <c r="S295">
        <f>HYPERLINK("https://klasma.github.io/Logging_0883/artfynd/A 23192-2025 artfynd.xlsx", "A 23192-2025")</f>
        <v/>
      </c>
      <c r="T295">
        <f>HYPERLINK("https://klasma.github.io/Logging_0883/kartor/A 23192-2025 karta.png", "A 23192-2025")</f>
        <v/>
      </c>
      <c r="V295">
        <f>HYPERLINK("https://klasma.github.io/Logging_0883/klagomål/A 23192-2025 FSC-klagomål.docx", "A 23192-2025")</f>
        <v/>
      </c>
      <c r="W295">
        <f>HYPERLINK("https://klasma.github.io/Logging_0883/klagomålsmail/A 23192-2025 FSC-klagomål mail.docx", "A 23192-2025")</f>
        <v/>
      </c>
      <c r="X295">
        <f>HYPERLINK("https://klasma.github.io/Logging_0883/tillsyn/A 23192-2025 tillsynsbegäran.docx", "A 23192-2025")</f>
        <v/>
      </c>
      <c r="Y295">
        <f>HYPERLINK("https://klasma.github.io/Logging_0883/tillsynsmail/A 23192-2025 tillsynsbegäran mail.docx", "A 23192-2025")</f>
        <v/>
      </c>
      <c r="Z295">
        <f>HYPERLINK("https://klasma.github.io/Logging_0883/fåglar/A 23192-2025 prioriterade fågelarter.docx", "A 23192-2025")</f>
        <v/>
      </c>
    </row>
    <row r="296" ht="15" customHeight="1">
      <c r="A296" t="inlineStr">
        <is>
          <t>A 23199-2025</t>
        </is>
      </c>
      <c r="B296" s="1" t="n">
        <v>45791.45887731481</v>
      </c>
      <c r="C296" s="1" t="n">
        <v>46050</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23199-2025 artfynd.xlsx", "A 23199-2025")</f>
        <v/>
      </c>
      <c r="T296">
        <f>HYPERLINK("https://klasma.github.io/Logging_0883/kartor/A 23199-2025 karta.png", "A 23199-2025")</f>
        <v/>
      </c>
      <c r="V296">
        <f>HYPERLINK("https://klasma.github.io/Logging_0883/klagomål/A 23199-2025 FSC-klagomål.docx", "A 23199-2025")</f>
        <v/>
      </c>
      <c r="W296">
        <f>HYPERLINK("https://klasma.github.io/Logging_0883/klagomålsmail/A 23199-2025 FSC-klagomål mail.docx", "A 23199-2025")</f>
        <v/>
      </c>
      <c r="X296">
        <f>HYPERLINK("https://klasma.github.io/Logging_0883/tillsyn/A 23199-2025 tillsynsbegäran.docx", "A 23199-2025")</f>
        <v/>
      </c>
      <c r="Y296">
        <f>HYPERLINK("https://klasma.github.io/Logging_0883/tillsynsmail/A 23199-2025 tillsynsbegäran mail.docx", "A 23199-2025")</f>
        <v/>
      </c>
    </row>
    <row r="297" ht="15" customHeight="1">
      <c r="A297" t="inlineStr">
        <is>
          <t>A 8074-2021</t>
        </is>
      </c>
      <c r="B297" s="1" t="n">
        <v>44243.6503125</v>
      </c>
      <c r="C297" s="1" t="n">
        <v>46050</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46050</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46050</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46050</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46050</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46050</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46050</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8196-2021</t>
        </is>
      </c>
      <c r="B304" s="1" t="n">
        <v>44244</v>
      </c>
      <c r="C304" s="1" t="n">
        <v>46050</v>
      </c>
      <c r="D304" t="inlineStr">
        <is>
          <t>KALMAR LÄN</t>
        </is>
      </c>
      <c r="E304" t="inlineStr">
        <is>
          <t>VÄSTERVIK</t>
        </is>
      </c>
      <c r="G304" t="n">
        <v>3.5</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46050</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46050</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46050</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46050</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46050</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46050</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46050</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46050</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46050</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46050</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46050</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46050</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46050</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46050</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46050</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46050</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46050</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46050</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46050</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46050</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46050</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46050</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46050</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46050</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46050</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46050</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46050</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46050</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46050</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46050</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46050</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46050</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46050</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46781-2022</t>
        </is>
      </c>
      <c r="B338" s="1" t="n">
        <v>44851.49836805555</v>
      </c>
      <c r="C338" s="1" t="n">
        <v>46050</v>
      </c>
      <c r="D338" t="inlineStr">
        <is>
          <t>KALMAR LÄN</t>
        </is>
      </c>
      <c r="E338" t="inlineStr">
        <is>
          <t>VÄSTERVIK</t>
        </is>
      </c>
      <c r="G338" t="n">
        <v>13.2</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46050</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46050</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46050</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46050</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46050</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46050</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46050</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46050</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46050</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46050</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46050</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46050</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46050</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46050</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46050</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46050</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46050</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46050</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46050</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46050</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46050</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46050</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46050</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46050</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46050</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46050</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46050</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46050</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46050</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46050</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46050</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46050</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46050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46050</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46050</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46050</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46050</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46050</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46050</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46050</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46050</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46050</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46050</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46050</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46050</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46050</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46050</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46050</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46050</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46050</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46050</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46050</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46050</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46050</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46050</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49398-2021</t>
        </is>
      </c>
      <c r="B394" s="1" t="n">
        <v>44454.63141203704</v>
      </c>
      <c r="C394" s="1" t="n">
        <v>46050</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46050</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46050</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46050</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46050</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46050</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46050</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46050</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46050</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46050</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23996-2021</t>
        </is>
      </c>
      <c r="B404" s="1" t="n">
        <v>44335.88916666667</v>
      </c>
      <c r="C404" s="1" t="n">
        <v>46050</v>
      </c>
      <c r="D404" t="inlineStr">
        <is>
          <t>KALMAR LÄN</t>
        </is>
      </c>
      <c r="E404" t="inlineStr">
        <is>
          <t>VÄSTERVIK</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46050</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46050</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46050</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46050</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46050</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24584-2024</t>
        </is>
      </c>
      <c r="B410" s="1" t="n">
        <v>45460</v>
      </c>
      <c r="C410" s="1" t="n">
        <v>46050</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35456-2024</t>
        </is>
      </c>
      <c r="B411" s="1" t="n">
        <v>45531</v>
      </c>
      <c r="C411" s="1" t="n">
        <v>46050</v>
      </c>
      <c r="D411" t="inlineStr">
        <is>
          <t>KALMAR LÄN</t>
        </is>
      </c>
      <c r="E411" t="inlineStr">
        <is>
          <t>VÄSTERVIK</t>
        </is>
      </c>
      <c r="G411" t="n">
        <v>5.8</v>
      </c>
      <c r="H411" t="n">
        <v>0</v>
      </c>
      <c r="I411" t="n">
        <v>0</v>
      </c>
      <c r="J411" t="n">
        <v>0</v>
      </c>
      <c r="K411" t="n">
        <v>0</v>
      </c>
      <c r="L411" t="n">
        <v>0</v>
      </c>
      <c r="M411" t="n">
        <v>0</v>
      </c>
      <c r="N411" t="n">
        <v>0</v>
      </c>
      <c r="O411" t="n">
        <v>0</v>
      </c>
      <c r="P411" t="n">
        <v>0</v>
      </c>
      <c r="Q411" t="n">
        <v>0</v>
      </c>
      <c r="R411" s="2" t="inlineStr"/>
    </row>
    <row r="412" ht="15" customHeight="1">
      <c r="A412" t="inlineStr">
        <is>
          <t>A 41342-2023</t>
        </is>
      </c>
      <c r="B412" s="1" t="n">
        <v>45174.72416666667</v>
      </c>
      <c r="C412" s="1" t="n">
        <v>46050</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5450-2022</t>
        </is>
      </c>
      <c r="B413" s="1" t="n">
        <v>44595</v>
      </c>
      <c r="C413" s="1" t="n">
        <v>46050</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46121-2023</t>
        </is>
      </c>
      <c r="B414" s="1" t="n">
        <v>45196.55392361111</v>
      </c>
      <c r="C414" s="1" t="n">
        <v>46050</v>
      </c>
      <c r="D414" t="inlineStr">
        <is>
          <t>KALMAR LÄN</t>
        </is>
      </c>
      <c r="E414" t="inlineStr">
        <is>
          <t>VÄSTERVIK</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46050</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46050</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46050</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34420-2024</t>
        </is>
      </c>
      <c r="B418" s="1" t="n">
        <v>45525.49710648148</v>
      </c>
      <c r="C418" s="1" t="n">
        <v>46050</v>
      </c>
      <c r="D418" t="inlineStr">
        <is>
          <t>KALMAR LÄN</t>
        </is>
      </c>
      <c r="E418" t="inlineStr">
        <is>
          <t>VÄSTERVIK</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14385-2023</t>
        </is>
      </c>
      <c r="B419" s="1" t="n">
        <v>45012</v>
      </c>
      <c r="C419" s="1" t="n">
        <v>46050</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46050</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16834-2023</t>
        </is>
      </c>
      <c r="B421" s="1" t="n">
        <v>45033</v>
      </c>
      <c r="C421" s="1" t="n">
        <v>46050</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63890-2023</t>
        </is>
      </c>
      <c r="B422" s="1" t="n">
        <v>45278</v>
      </c>
      <c r="C422" s="1" t="n">
        <v>46050</v>
      </c>
      <c r="D422" t="inlineStr">
        <is>
          <t>KALMAR LÄN</t>
        </is>
      </c>
      <c r="E422" t="inlineStr">
        <is>
          <t>VÄSTERVIK</t>
        </is>
      </c>
      <c r="G422" t="n">
        <v>2.3</v>
      </c>
      <c r="H422" t="n">
        <v>0</v>
      </c>
      <c r="I422" t="n">
        <v>0</v>
      </c>
      <c r="J422" t="n">
        <v>0</v>
      </c>
      <c r="K422" t="n">
        <v>0</v>
      </c>
      <c r="L422" t="n">
        <v>0</v>
      </c>
      <c r="M422" t="n">
        <v>0</v>
      </c>
      <c r="N422" t="n">
        <v>0</v>
      </c>
      <c r="O422" t="n">
        <v>0</v>
      </c>
      <c r="P422" t="n">
        <v>0</v>
      </c>
      <c r="Q422" t="n">
        <v>0</v>
      </c>
      <c r="R422" s="2" t="inlineStr"/>
    </row>
    <row r="423" ht="15" customHeight="1">
      <c r="A423" t="inlineStr">
        <is>
          <t>A 31952-2021</t>
        </is>
      </c>
      <c r="B423" s="1" t="n">
        <v>44370</v>
      </c>
      <c r="C423" s="1" t="n">
        <v>46050</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10774-2025</t>
        </is>
      </c>
      <c r="B424" s="1" t="n">
        <v>45722.47424768518</v>
      </c>
      <c r="C424" s="1" t="n">
        <v>46050</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60634-2023</t>
        </is>
      </c>
      <c r="B425" s="1" t="n">
        <v>45260.40186342593</v>
      </c>
      <c r="C425" s="1" t="n">
        <v>46050</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60147-2024</t>
        </is>
      </c>
      <c r="B426" s="1" t="n">
        <v>45642.61109953704</v>
      </c>
      <c r="C426" s="1" t="n">
        <v>46050</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49452-2023</t>
        </is>
      </c>
      <c r="B427" s="1" t="n">
        <v>45211.49424768519</v>
      </c>
      <c r="C427" s="1" t="n">
        <v>46050</v>
      </c>
      <c r="D427" t="inlineStr">
        <is>
          <t>KALMAR LÄN</t>
        </is>
      </c>
      <c r="E427" t="inlineStr">
        <is>
          <t>VÄSTERVIK</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49507-2023</t>
        </is>
      </c>
      <c r="B428" s="1" t="n">
        <v>45211.5790625</v>
      </c>
      <c r="C428" s="1" t="n">
        <v>46050</v>
      </c>
      <c r="D428" t="inlineStr">
        <is>
          <t>KALMAR LÄN</t>
        </is>
      </c>
      <c r="E428" t="inlineStr">
        <is>
          <t>VÄSTERVIK</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69753-2021</t>
        </is>
      </c>
      <c r="B429" s="1" t="n">
        <v>44532.56175925926</v>
      </c>
      <c r="C429" s="1" t="n">
        <v>46050</v>
      </c>
      <c r="D429" t="inlineStr">
        <is>
          <t>KALMAR LÄN</t>
        </is>
      </c>
      <c r="E429" t="inlineStr">
        <is>
          <t>VÄSTERVIK</t>
        </is>
      </c>
      <c r="G429" t="n">
        <v>3.2</v>
      </c>
      <c r="H429" t="n">
        <v>0</v>
      </c>
      <c r="I429" t="n">
        <v>0</v>
      </c>
      <c r="J429" t="n">
        <v>0</v>
      </c>
      <c r="K429" t="n">
        <v>0</v>
      </c>
      <c r="L429" t="n">
        <v>0</v>
      </c>
      <c r="M429" t="n">
        <v>0</v>
      </c>
      <c r="N429" t="n">
        <v>0</v>
      </c>
      <c r="O429" t="n">
        <v>0</v>
      </c>
      <c r="P429" t="n">
        <v>0</v>
      </c>
      <c r="Q429" t="n">
        <v>0</v>
      </c>
      <c r="R429" s="2" t="inlineStr"/>
    </row>
    <row r="430" ht="15" customHeight="1">
      <c r="A430" t="inlineStr">
        <is>
          <t>A 31592-2021</t>
        </is>
      </c>
      <c r="B430" s="1" t="n">
        <v>44369.56576388889</v>
      </c>
      <c r="C430" s="1" t="n">
        <v>46050</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11741-2023</t>
        </is>
      </c>
      <c r="B431" s="1" t="n">
        <v>44994.58689814815</v>
      </c>
      <c r="C431" s="1" t="n">
        <v>46050</v>
      </c>
      <c r="D431" t="inlineStr">
        <is>
          <t>KALMAR LÄN</t>
        </is>
      </c>
      <c r="E431" t="inlineStr">
        <is>
          <t>VÄSTERVIK</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35662-2023</t>
        </is>
      </c>
      <c r="B432" s="1" t="n">
        <v>45147</v>
      </c>
      <c r="C432" s="1" t="n">
        <v>46050</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3190-2023</t>
        </is>
      </c>
      <c r="B433" s="1" t="n">
        <v>44946.61086805556</v>
      </c>
      <c r="C433" s="1" t="n">
        <v>46050</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18884-2025</t>
        </is>
      </c>
      <c r="B434" s="1" t="n">
        <v>45764.4417824074</v>
      </c>
      <c r="C434" s="1" t="n">
        <v>46050</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55050-2024</t>
        </is>
      </c>
      <c r="B435" s="1" t="n">
        <v>45621.39759259259</v>
      </c>
      <c r="C435" s="1" t="n">
        <v>46050</v>
      </c>
      <c r="D435" t="inlineStr">
        <is>
          <t>KALMAR LÄN</t>
        </is>
      </c>
      <c r="E435" t="inlineStr">
        <is>
          <t>VÄSTERVIK</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14151-2021</t>
        </is>
      </c>
      <c r="B436" s="1" t="n">
        <v>44278.41052083333</v>
      </c>
      <c r="C436" s="1" t="n">
        <v>46050</v>
      </c>
      <c r="D436" t="inlineStr">
        <is>
          <t>KALMAR LÄN</t>
        </is>
      </c>
      <c r="E436" t="inlineStr">
        <is>
          <t>VÄSTERVIK</t>
        </is>
      </c>
      <c r="G436" t="n">
        <v>1.5</v>
      </c>
      <c r="H436" t="n">
        <v>0</v>
      </c>
      <c r="I436" t="n">
        <v>0</v>
      </c>
      <c r="J436" t="n">
        <v>0</v>
      </c>
      <c r="K436" t="n">
        <v>0</v>
      </c>
      <c r="L436" t="n">
        <v>0</v>
      </c>
      <c r="M436" t="n">
        <v>0</v>
      </c>
      <c r="N436" t="n">
        <v>0</v>
      </c>
      <c r="O436" t="n">
        <v>0</v>
      </c>
      <c r="P436" t="n">
        <v>0</v>
      </c>
      <c r="Q436" t="n">
        <v>0</v>
      </c>
      <c r="R436" s="2" t="inlineStr"/>
    </row>
    <row r="437" ht="15" customHeight="1">
      <c r="A437" t="inlineStr">
        <is>
          <t>A 1568-2023</t>
        </is>
      </c>
      <c r="B437" s="1" t="n">
        <v>44937</v>
      </c>
      <c r="C437" s="1" t="n">
        <v>46050</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12643-2024</t>
        </is>
      </c>
      <c r="B438" s="1" t="n">
        <v>45379</v>
      </c>
      <c r="C438" s="1" t="n">
        <v>46050</v>
      </c>
      <c r="D438" t="inlineStr">
        <is>
          <t>KALMAR LÄN</t>
        </is>
      </c>
      <c r="E438" t="inlineStr">
        <is>
          <t>VÄSTERVIK</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45202-2023</t>
        </is>
      </c>
      <c r="B439" s="1" t="n">
        <v>45191</v>
      </c>
      <c r="C439" s="1" t="n">
        <v>46050</v>
      </c>
      <c r="D439" t="inlineStr">
        <is>
          <t>KALMAR LÄN</t>
        </is>
      </c>
      <c r="E439" t="inlineStr">
        <is>
          <t>VÄSTERVIK</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12455-2025</t>
        </is>
      </c>
      <c r="B440" s="1" t="n">
        <v>45730</v>
      </c>
      <c r="C440" s="1" t="n">
        <v>46050</v>
      </c>
      <c r="D440" t="inlineStr">
        <is>
          <t>KALMAR LÄN</t>
        </is>
      </c>
      <c r="E440" t="inlineStr">
        <is>
          <t>VÄSTERVIK</t>
        </is>
      </c>
      <c r="G440" t="n">
        <v>1.1</v>
      </c>
      <c r="H440" t="n">
        <v>0</v>
      </c>
      <c r="I440" t="n">
        <v>0</v>
      </c>
      <c r="J440" t="n">
        <v>0</v>
      </c>
      <c r="K440" t="n">
        <v>0</v>
      </c>
      <c r="L440" t="n">
        <v>0</v>
      </c>
      <c r="M440" t="n">
        <v>0</v>
      </c>
      <c r="N440" t="n">
        <v>0</v>
      </c>
      <c r="O440" t="n">
        <v>0</v>
      </c>
      <c r="P440" t="n">
        <v>0</v>
      </c>
      <c r="Q440" t="n">
        <v>0</v>
      </c>
      <c r="R440" s="2" t="inlineStr"/>
    </row>
    <row r="441" ht="15" customHeight="1">
      <c r="A441" t="inlineStr">
        <is>
          <t>A 26770-2023</t>
        </is>
      </c>
      <c r="B441" s="1" t="n">
        <v>45093</v>
      </c>
      <c r="C441" s="1" t="n">
        <v>46050</v>
      </c>
      <c r="D441" t="inlineStr">
        <is>
          <t>KALMAR LÄN</t>
        </is>
      </c>
      <c r="E441" t="inlineStr">
        <is>
          <t>VÄSTERVIK</t>
        </is>
      </c>
      <c r="G441" t="n">
        <v>2.6</v>
      </c>
      <c r="H441" t="n">
        <v>0</v>
      </c>
      <c r="I441" t="n">
        <v>0</v>
      </c>
      <c r="J441" t="n">
        <v>0</v>
      </c>
      <c r="K441" t="n">
        <v>0</v>
      </c>
      <c r="L441" t="n">
        <v>0</v>
      </c>
      <c r="M441" t="n">
        <v>0</v>
      </c>
      <c r="N441" t="n">
        <v>0</v>
      </c>
      <c r="O441" t="n">
        <v>0</v>
      </c>
      <c r="P441" t="n">
        <v>0</v>
      </c>
      <c r="Q441" t="n">
        <v>0</v>
      </c>
      <c r="R441" s="2" t="inlineStr"/>
    </row>
    <row r="442" ht="15" customHeight="1">
      <c r="A442" t="inlineStr">
        <is>
          <t>A 26772-2023</t>
        </is>
      </c>
      <c r="B442" s="1" t="n">
        <v>45093</v>
      </c>
      <c r="C442" s="1" t="n">
        <v>46050</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26773-2023</t>
        </is>
      </c>
      <c r="B443" s="1" t="n">
        <v>45093</v>
      </c>
      <c r="C443" s="1" t="n">
        <v>46050</v>
      </c>
      <c r="D443" t="inlineStr">
        <is>
          <t>KALMAR LÄN</t>
        </is>
      </c>
      <c r="E443" t="inlineStr">
        <is>
          <t>VÄSTERVIK</t>
        </is>
      </c>
      <c r="G443" t="n">
        <v>2.2</v>
      </c>
      <c r="H443" t="n">
        <v>0</v>
      </c>
      <c r="I443" t="n">
        <v>0</v>
      </c>
      <c r="J443" t="n">
        <v>0</v>
      </c>
      <c r="K443" t="n">
        <v>0</v>
      </c>
      <c r="L443" t="n">
        <v>0</v>
      </c>
      <c r="M443" t="n">
        <v>0</v>
      </c>
      <c r="N443" t="n">
        <v>0</v>
      </c>
      <c r="O443" t="n">
        <v>0</v>
      </c>
      <c r="P443" t="n">
        <v>0</v>
      </c>
      <c r="Q443" t="n">
        <v>0</v>
      </c>
      <c r="R443" s="2" t="inlineStr"/>
    </row>
    <row r="444" ht="15" customHeight="1">
      <c r="A444" t="inlineStr">
        <is>
          <t>A 20204-2021</t>
        </is>
      </c>
      <c r="B444" s="1" t="n">
        <v>44314</v>
      </c>
      <c r="C444" s="1" t="n">
        <v>46050</v>
      </c>
      <c r="D444" t="inlineStr">
        <is>
          <t>KALMAR LÄN</t>
        </is>
      </c>
      <c r="E444" t="inlineStr">
        <is>
          <t>VÄSTERVIK</t>
        </is>
      </c>
      <c r="F444" t="inlineStr">
        <is>
          <t>Holmen skog AB</t>
        </is>
      </c>
      <c r="G444" t="n">
        <v>12.1</v>
      </c>
      <c r="H444" t="n">
        <v>0</v>
      </c>
      <c r="I444" t="n">
        <v>0</v>
      </c>
      <c r="J444" t="n">
        <v>0</v>
      </c>
      <c r="K444" t="n">
        <v>0</v>
      </c>
      <c r="L444" t="n">
        <v>0</v>
      </c>
      <c r="M444" t="n">
        <v>0</v>
      </c>
      <c r="N444" t="n">
        <v>0</v>
      </c>
      <c r="O444" t="n">
        <v>0</v>
      </c>
      <c r="P444" t="n">
        <v>0</v>
      </c>
      <c r="Q444" t="n">
        <v>0</v>
      </c>
      <c r="R444" s="2" t="inlineStr"/>
    </row>
    <row r="445" ht="15" customHeight="1">
      <c r="A445" t="inlineStr">
        <is>
          <t>A 8007-2023</t>
        </is>
      </c>
      <c r="B445" s="1" t="n">
        <v>44973.88759259259</v>
      </c>
      <c r="C445" s="1" t="n">
        <v>46050</v>
      </c>
      <c r="D445" t="inlineStr">
        <is>
          <t>KALMAR LÄN</t>
        </is>
      </c>
      <c r="E445" t="inlineStr">
        <is>
          <t>VÄSTERVIK</t>
        </is>
      </c>
      <c r="G445" t="n">
        <v>4.5</v>
      </c>
      <c r="H445" t="n">
        <v>0</v>
      </c>
      <c r="I445" t="n">
        <v>0</v>
      </c>
      <c r="J445" t="n">
        <v>0</v>
      </c>
      <c r="K445" t="n">
        <v>0</v>
      </c>
      <c r="L445" t="n">
        <v>0</v>
      </c>
      <c r="M445" t="n">
        <v>0</v>
      </c>
      <c r="N445" t="n">
        <v>0</v>
      </c>
      <c r="O445" t="n">
        <v>0</v>
      </c>
      <c r="P445" t="n">
        <v>0</v>
      </c>
      <c r="Q445" t="n">
        <v>0</v>
      </c>
      <c r="R445" s="2" t="inlineStr"/>
    </row>
    <row r="446" ht="15" customHeight="1">
      <c r="A446" t="inlineStr">
        <is>
          <t>A 42130-2022</t>
        </is>
      </c>
      <c r="B446" s="1" t="n">
        <v>44830</v>
      </c>
      <c r="C446" s="1" t="n">
        <v>46050</v>
      </c>
      <c r="D446" t="inlineStr">
        <is>
          <t>KALMAR LÄN</t>
        </is>
      </c>
      <c r="E446" t="inlineStr">
        <is>
          <t>VÄSTERVIK</t>
        </is>
      </c>
      <c r="G446" t="n">
        <v>1.8</v>
      </c>
      <c r="H446" t="n">
        <v>0</v>
      </c>
      <c r="I446" t="n">
        <v>0</v>
      </c>
      <c r="J446" t="n">
        <v>0</v>
      </c>
      <c r="K446" t="n">
        <v>0</v>
      </c>
      <c r="L446" t="n">
        <v>0</v>
      </c>
      <c r="M446" t="n">
        <v>0</v>
      </c>
      <c r="N446" t="n">
        <v>0</v>
      </c>
      <c r="O446" t="n">
        <v>0</v>
      </c>
      <c r="P446" t="n">
        <v>0</v>
      </c>
      <c r="Q446" t="n">
        <v>0</v>
      </c>
      <c r="R446" s="2" t="inlineStr"/>
    </row>
    <row r="447" ht="15" customHeight="1">
      <c r="A447" t="inlineStr">
        <is>
          <t>A 55053-2024</t>
        </is>
      </c>
      <c r="B447" s="1" t="n">
        <v>45621.39938657408</v>
      </c>
      <c r="C447" s="1" t="n">
        <v>46050</v>
      </c>
      <c r="D447" t="inlineStr">
        <is>
          <t>KALMAR LÄN</t>
        </is>
      </c>
      <c r="E447" t="inlineStr">
        <is>
          <t>VÄSTERVIK</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64762-2023</t>
        </is>
      </c>
      <c r="B448" s="1" t="n">
        <v>45282.27841435185</v>
      </c>
      <c r="C448" s="1" t="n">
        <v>46050</v>
      </c>
      <c r="D448" t="inlineStr">
        <is>
          <t>KALMAR LÄN</t>
        </is>
      </c>
      <c r="E448" t="inlineStr">
        <is>
          <t>VÄSTERVIK</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64763-2023</t>
        </is>
      </c>
      <c r="B449" s="1" t="n">
        <v>45282.28041666667</v>
      </c>
      <c r="C449" s="1" t="n">
        <v>46050</v>
      </c>
      <c r="D449" t="inlineStr">
        <is>
          <t>KALMAR LÄN</t>
        </is>
      </c>
      <c r="E449" t="inlineStr">
        <is>
          <t>VÄSTERVIK</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13840-2024</t>
        </is>
      </c>
      <c r="B450" s="1" t="n">
        <v>45391.44885416667</v>
      </c>
      <c r="C450" s="1" t="n">
        <v>46050</v>
      </c>
      <c r="D450" t="inlineStr">
        <is>
          <t>KALMAR LÄN</t>
        </is>
      </c>
      <c r="E450" t="inlineStr">
        <is>
          <t>VÄSTERVIK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33277-2023</t>
        </is>
      </c>
      <c r="B451" s="1" t="n">
        <v>45114</v>
      </c>
      <c r="C451" s="1" t="n">
        <v>46050</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6940-2025</t>
        </is>
      </c>
      <c r="B452" s="1" t="n">
        <v>45701.46581018518</v>
      </c>
      <c r="C452" s="1" t="n">
        <v>46050</v>
      </c>
      <c r="D452" t="inlineStr">
        <is>
          <t>KALMAR LÄN</t>
        </is>
      </c>
      <c r="E452" t="inlineStr">
        <is>
          <t>VÄSTERVIK</t>
        </is>
      </c>
      <c r="G452" t="n">
        <v>1.2</v>
      </c>
      <c r="H452" t="n">
        <v>0</v>
      </c>
      <c r="I452" t="n">
        <v>0</v>
      </c>
      <c r="J452" t="n">
        <v>0</v>
      </c>
      <c r="K452" t="n">
        <v>0</v>
      </c>
      <c r="L452" t="n">
        <v>0</v>
      </c>
      <c r="M452" t="n">
        <v>0</v>
      </c>
      <c r="N452" t="n">
        <v>0</v>
      </c>
      <c r="O452" t="n">
        <v>0</v>
      </c>
      <c r="P452" t="n">
        <v>0</v>
      </c>
      <c r="Q452" t="n">
        <v>0</v>
      </c>
      <c r="R452" s="2" t="inlineStr"/>
    </row>
    <row r="453" ht="15" customHeight="1">
      <c r="A453" t="inlineStr">
        <is>
          <t>A 10406-2022</t>
        </is>
      </c>
      <c r="B453" s="1" t="n">
        <v>44623</v>
      </c>
      <c r="C453" s="1" t="n">
        <v>46050</v>
      </c>
      <c r="D453" t="inlineStr">
        <is>
          <t>KALMAR LÄN</t>
        </is>
      </c>
      <c r="E453" t="inlineStr">
        <is>
          <t>VÄSTERVIK</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55287-2023</t>
        </is>
      </c>
      <c r="B454" s="1" t="n">
        <v>45237.75578703704</v>
      </c>
      <c r="C454" s="1" t="n">
        <v>46050</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59221-2022</t>
        </is>
      </c>
      <c r="B455" s="1" t="n">
        <v>44904.53858796296</v>
      </c>
      <c r="C455" s="1" t="n">
        <v>46050</v>
      </c>
      <c r="D455" t="inlineStr">
        <is>
          <t>KALMAR LÄN</t>
        </is>
      </c>
      <c r="E455" t="inlineStr">
        <is>
          <t>VÄSTERVIK</t>
        </is>
      </c>
      <c r="G455" t="n">
        <v>6.1</v>
      </c>
      <c r="H455" t="n">
        <v>0</v>
      </c>
      <c r="I455" t="n">
        <v>0</v>
      </c>
      <c r="J455" t="n">
        <v>0</v>
      </c>
      <c r="K455" t="n">
        <v>0</v>
      </c>
      <c r="L455" t="n">
        <v>0</v>
      </c>
      <c r="M455" t="n">
        <v>0</v>
      </c>
      <c r="N455" t="n">
        <v>0</v>
      </c>
      <c r="O455" t="n">
        <v>0</v>
      </c>
      <c r="P455" t="n">
        <v>0</v>
      </c>
      <c r="Q455" t="n">
        <v>0</v>
      </c>
      <c r="R455" s="2" t="inlineStr"/>
    </row>
    <row r="456" ht="15" customHeight="1">
      <c r="A456" t="inlineStr">
        <is>
          <t>A 36050-2024</t>
        </is>
      </c>
      <c r="B456" s="1" t="n">
        <v>45533.620625</v>
      </c>
      <c r="C456" s="1" t="n">
        <v>46050</v>
      </c>
      <c r="D456" t="inlineStr">
        <is>
          <t>KALMAR LÄN</t>
        </is>
      </c>
      <c r="E456" t="inlineStr">
        <is>
          <t>VÄSTERVIK</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56042-2023</t>
        </is>
      </c>
      <c r="B457" s="1" t="n">
        <v>45240.44670138889</v>
      </c>
      <c r="C457" s="1" t="n">
        <v>46050</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49706-2024</t>
        </is>
      </c>
      <c r="B458" s="1" t="n">
        <v>45596.69706018519</v>
      </c>
      <c r="C458" s="1" t="n">
        <v>46050</v>
      </c>
      <c r="D458" t="inlineStr">
        <is>
          <t>KALMAR LÄN</t>
        </is>
      </c>
      <c r="E458" t="inlineStr">
        <is>
          <t>VÄSTERVIK</t>
        </is>
      </c>
      <c r="G458" t="n">
        <v>1</v>
      </c>
      <c r="H458" t="n">
        <v>0</v>
      </c>
      <c r="I458" t="n">
        <v>0</v>
      </c>
      <c r="J458" t="n">
        <v>0</v>
      </c>
      <c r="K458" t="n">
        <v>0</v>
      </c>
      <c r="L458" t="n">
        <v>0</v>
      </c>
      <c r="M458" t="n">
        <v>0</v>
      </c>
      <c r="N458" t="n">
        <v>0</v>
      </c>
      <c r="O458" t="n">
        <v>0</v>
      </c>
      <c r="P458" t="n">
        <v>0</v>
      </c>
      <c r="Q458" t="n">
        <v>0</v>
      </c>
      <c r="R458" s="2" t="inlineStr"/>
    </row>
    <row r="459" ht="15" customHeight="1">
      <c r="A459" t="inlineStr">
        <is>
          <t>A 25403-2023</t>
        </is>
      </c>
      <c r="B459" s="1" t="n">
        <v>45079</v>
      </c>
      <c r="C459" s="1" t="n">
        <v>46050</v>
      </c>
      <c r="D459" t="inlineStr">
        <is>
          <t>KALMAR LÄN</t>
        </is>
      </c>
      <c r="E459" t="inlineStr">
        <is>
          <t>VÄSTERVIK</t>
        </is>
      </c>
      <c r="G459" t="n">
        <v>4.3</v>
      </c>
      <c r="H459" t="n">
        <v>0</v>
      </c>
      <c r="I459" t="n">
        <v>0</v>
      </c>
      <c r="J459" t="n">
        <v>0</v>
      </c>
      <c r="K459" t="n">
        <v>0</v>
      </c>
      <c r="L459" t="n">
        <v>0</v>
      </c>
      <c r="M459" t="n">
        <v>0</v>
      </c>
      <c r="N459" t="n">
        <v>0</v>
      </c>
      <c r="O459" t="n">
        <v>0</v>
      </c>
      <c r="P459" t="n">
        <v>0</v>
      </c>
      <c r="Q459" t="n">
        <v>0</v>
      </c>
      <c r="R459" s="2" t="inlineStr"/>
    </row>
    <row r="460" ht="15" customHeight="1">
      <c r="A460" t="inlineStr">
        <is>
          <t>A 58209-2022</t>
        </is>
      </c>
      <c r="B460" s="1" t="n">
        <v>44901</v>
      </c>
      <c r="C460" s="1" t="n">
        <v>46050</v>
      </c>
      <c r="D460" t="inlineStr">
        <is>
          <t>KALMAR LÄN</t>
        </is>
      </c>
      <c r="E460" t="inlineStr">
        <is>
          <t>VÄSTERVIK</t>
        </is>
      </c>
      <c r="G460" t="n">
        <v>1.5</v>
      </c>
      <c r="H460" t="n">
        <v>0</v>
      </c>
      <c r="I460" t="n">
        <v>0</v>
      </c>
      <c r="J460" t="n">
        <v>0</v>
      </c>
      <c r="K460" t="n">
        <v>0</v>
      </c>
      <c r="L460" t="n">
        <v>0</v>
      </c>
      <c r="M460" t="n">
        <v>0</v>
      </c>
      <c r="N460" t="n">
        <v>0</v>
      </c>
      <c r="O460" t="n">
        <v>0</v>
      </c>
      <c r="P460" t="n">
        <v>0</v>
      </c>
      <c r="Q460" t="n">
        <v>0</v>
      </c>
      <c r="R460" s="2" t="inlineStr"/>
    </row>
    <row r="461" ht="15" customHeight="1">
      <c r="A461" t="inlineStr">
        <is>
          <t>A 32763-2022</t>
        </is>
      </c>
      <c r="B461" s="1" t="n">
        <v>44783</v>
      </c>
      <c r="C461" s="1" t="n">
        <v>46050</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5684-2023</t>
        </is>
      </c>
      <c r="B462" s="1" t="n">
        <v>44960.73170138889</v>
      </c>
      <c r="C462" s="1" t="n">
        <v>46050</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row>
    <row r="463" ht="15" customHeight="1">
      <c r="A463" t="inlineStr">
        <is>
          <t>A 6312-2024</t>
        </is>
      </c>
      <c r="B463" s="1" t="n">
        <v>45338</v>
      </c>
      <c r="C463" s="1" t="n">
        <v>46050</v>
      </c>
      <c r="D463" t="inlineStr">
        <is>
          <t>KALMAR LÄN</t>
        </is>
      </c>
      <c r="E463" t="inlineStr">
        <is>
          <t>VÄSTERVIK</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2168-2024</t>
        </is>
      </c>
      <c r="B464" s="1" t="n">
        <v>45309.61756944445</v>
      </c>
      <c r="C464" s="1" t="n">
        <v>46050</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9249-2024</t>
        </is>
      </c>
      <c r="B465" s="1" t="n">
        <v>45358.59056712963</v>
      </c>
      <c r="C465" s="1" t="n">
        <v>46050</v>
      </c>
      <c r="D465" t="inlineStr">
        <is>
          <t>KALMAR LÄN</t>
        </is>
      </c>
      <c r="E465" t="inlineStr">
        <is>
          <t>VÄSTERVIK</t>
        </is>
      </c>
      <c r="G465" t="n">
        <v>0.7</v>
      </c>
      <c r="H465" t="n">
        <v>0</v>
      </c>
      <c r="I465" t="n">
        <v>0</v>
      </c>
      <c r="J465" t="n">
        <v>0</v>
      </c>
      <c r="K465" t="n">
        <v>0</v>
      </c>
      <c r="L465" t="n">
        <v>0</v>
      </c>
      <c r="M465" t="n">
        <v>0</v>
      </c>
      <c r="N465" t="n">
        <v>0</v>
      </c>
      <c r="O465" t="n">
        <v>0</v>
      </c>
      <c r="P465" t="n">
        <v>0</v>
      </c>
      <c r="Q465" t="n">
        <v>0</v>
      </c>
      <c r="R465" s="2" t="inlineStr"/>
    </row>
    <row r="466" ht="15" customHeight="1">
      <c r="A466" t="inlineStr">
        <is>
          <t>A 15106-2023</t>
        </is>
      </c>
      <c r="B466" s="1" t="n">
        <v>45016.41767361111</v>
      </c>
      <c r="C466" s="1" t="n">
        <v>46050</v>
      </c>
      <c r="D466" t="inlineStr">
        <is>
          <t>KALMAR LÄN</t>
        </is>
      </c>
      <c r="E466" t="inlineStr">
        <is>
          <t>VÄSTERVIK</t>
        </is>
      </c>
      <c r="G466" t="n">
        <v>0.4</v>
      </c>
      <c r="H466" t="n">
        <v>0</v>
      </c>
      <c r="I466" t="n">
        <v>0</v>
      </c>
      <c r="J466" t="n">
        <v>0</v>
      </c>
      <c r="K466" t="n">
        <v>0</v>
      </c>
      <c r="L466" t="n">
        <v>0</v>
      </c>
      <c r="M466" t="n">
        <v>0</v>
      </c>
      <c r="N466" t="n">
        <v>0</v>
      </c>
      <c r="O466" t="n">
        <v>0</v>
      </c>
      <c r="P466" t="n">
        <v>0</v>
      </c>
      <c r="Q466" t="n">
        <v>0</v>
      </c>
      <c r="R466" s="2" t="inlineStr"/>
    </row>
    <row r="467" ht="15" customHeight="1">
      <c r="A467" t="inlineStr">
        <is>
          <t>A 34655-2023</t>
        </is>
      </c>
      <c r="B467" s="1" t="n">
        <v>45140</v>
      </c>
      <c r="C467" s="1" t="n">
        <v>46050</v>
      </c>
      <c r="D467" t="inlineStr">
        <is>
          <t>KALMAR LÄN</t>
        </is>
      </c>
      <c r="E467" t="inlineStr">
        <is>
          <t>VÄSTERVIK</t>
        </is>
      </c>
      <c r="G467" t="n">
        <v>3.6</v>
      </c>
      <c r="H467" t="n">
        <v>0</v>
      </c>
      <c r="I467" t="n">
        <v>0</v>
      </c>
      <c r="J467" t="n">
        <v>0</v>
      </c>
      <c r="K467" t="n">
        <v>0</v>
      </c>
      <c r="L467" t="n">
        <v>0</v>
      </c>
      <c r="M467" t="n">
        <v>0</v>
      </c>
      <c r="N467" t="n">
        <v>0</v>
      </c>
      <c r="O467" t="n">
        <v>0</v>
      </c>
      <c r="P467" t="n">
        <v>0</v>
      </c>
      <c r="Q467" t="n">
        <v>0</v>
      </c>
      <c r="R467" s="2" t="inlineStr"/>
    </row>
    <row r="468" ht="15" customHeight="1">
      <c r="A468" t="inlineStr">
        <is>
          <t>A 13957-2025</t>
        </is>
      </c>
      <c r="B468" s="1" t="n">
        <v>45737.85231481482</v>
      </c>
      <c r="C468" s="1" t="n">
        <v>46050</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57019-2023</t>
        </is>
      </c>
      <c r="B469" s="1" t="n">
        <v>45244</v>
      </c>
      <c r="C469" s="1" t="n">
        <v>46050</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39193-2024</t>
        </is>
      </c>
      <c r="B470" s="1" t="n">
        <v>45548.68</v>
      </c>
      <c r="C470" s="1" t="n">
        <v>46050</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57924-2024</t>
        </is>
      </c>
      <c r="B471" s="1" t="n">
        <v>45631.51325231481</v>
      </c>
      <c r="C471" s="1" t="n">
        <v>46050</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22891-2025</t>
        </is>
      </c>
      <c r="B472" s="1" t="n">
        <v>45790.39267361111</v>
      </c>
      <c r="C472" s="1" t="n">
        <v>46050</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32137-2024</t>
        </is>
      </c>
      <c r="B473" s="1" t="n">
        <v>45511</v>
      </c>
      <c r="C473" s="1" t="n">
        <v>46050</v>
      </c>
      <c r="D473" t="inlineStr">
        <is>
          <t>KALMAR LÄN</t>
        </is>
      </c>
      <c r="E473" t="inlineStr">
        <is>
          <t>VÄSTERVIK</t>
        </is>
      </c>
      <c r="F473" t="inlineStr">
        <is>
          <t>Övriga Aktiebolag</t>
        </is>
      </c>
      <c r="G473" t="n">
        <v>1.4</v>
      </c>
      <c r="H473" t="n">
        <v>0</v>
      </c>
      <c r="I473" t="n">
        <v>0</v>
      </c>
      <c r="J473" t="n">
        <v>0</v>
      </c>
      <c r="K473" t="n">
        <v>0</v>
      </c>
      <c r="L473" t="n">
        <v>0</v>
      </c>
      <c r="M473" t="n">
        <v>0</v>
      </c>
      <c r="N473" t="n">
        <v>0</v>
      </c>
      <c r="O473" t="n">
        <v>0</v>
      </c>
      <c r="P473" t="n">
        <v>0</v>
      </c>
      <c r="Q473" t="n">
        <v>0</v>
      </c>
      <c r="R473" s="2" t="inlineStr"/>
    </row>
    <row r="474" ht="15" customHeight="1">
      <c r="A474" t="inlineStr">
        <is>
          <t>A 61529-2022</t>
        </is>
      </c>
      <c r="B474" s="1" t="n">
        <v>44910</v>
      </c>
      <c r="C474" s="1" t="n">
        <v>46050</v>
      </c>
      <c r="D474" t="inlineStr">
        <is>
          <t>KALMAR LÄN</t>
        </is>
      </c>
      <c r="E474" t="inlineStr">
        <is>
          <t>VÄSTERVIK</t>
        </is>
      </c>
      <c r="G474" t="n">
        <v>6.5</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46050</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52645-2021</t>
        </is>
      </c>
      <c r="B476" s="1" t="n">
        <v>44466</v>
      </c>
      <c r="C476" s="1" t="n">
        <v>46050</v>
      </c>
      <c r="D476" t="inlineStr">
        <is>
          <t>KALMAR LÄN</t>
        </is>
      </c>
      <c r="E476" t="inlineStr">
        <is>
          <t>VÄSTERVIK</t>
        </is>
      </c>
      <c r="G476" t="n">
        <v>5</v>
      </c>
      <c r="H476" t="n">
        <v>0</v>
      </c>
      <c r="I476" t="n">
        <v>0</v>
      </c>
      <c r="J476" t="n">
        <v>0</v>
      </c>
      <c r="K476" t="n">
        <v>0</v>
      </c>
      <c r="L476" t="n">
        <v>0</v>
      </c>
      <c r="M476" t="n">
        <v>0</v>
      </c>
      <c r="N476" t="n">
        <v>0</v>
      </c>
      <c r="O476" t="n">
        <v>0</v>
      </c>
      <c r="P476" t="n">
        <v>0</v>
      </c>
      <c r="Q476" t="n">
        <v>0</v>
      </c>
      <c r="R476" s="2" t="inlineStr"/>
    </row>
    <row r="477" ht="15" customHeight="1">
      <c r="A477" t="inlineStr">
        <is>
          <t>A 43199-2024</t>
        </is>
      </c>
      <c r="B477" s="1" t="n">
        <v>45567.68774305555</v>
      </c>
      <c r="C477" s="1" t="n">
        <v>46050</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41926-2024</t>
        </is>
      </c>
      <c r="B478" s="1" t="n">
        <v>45561</v>
      </c>
      <c r="C478" s="1" t="n">
        <v>46050</v>
      </c>
      <c r="D478" t="inlineStr">
        <is>
          <t>KALMAR LÄN</t>
        </is>
      </c>
      <c r="E478" t="inlineStr">
        <is>
          <t>VÄSTERVIK</t>
        </is>
      </c>
      <c r="F478" t="inlineStr">
        <is>
          <t>Kyrkan</t>
        </is>
      </c>
      <c r="G478" t="n">
        <v>10</v>
      </c>
      <c r="H478" t="n">
        <v>0</v>
      </c>
      <c r="I478" t="n">
        <v>0</v>
      </c>
      <c r="J478" t="n">
        <v>0</v>
      </c>
      <c r="K478" t="n">
        <v>0</v>
      </c>
      <c r="L478" t="n">
        <v>0</v>
      </c>
      <c r="M478" t="n">
        <v>0</v>
      </c>
      <c r="N478" t="n">
        <v>0</v>
      </c>
      <c r="O478" t="n">
        <v>0</v>
      </c>
      <c r="P478" t="n">
        <v>0</v>
      </c>
      <c r="Q478" t="n">
        <v>0</v>
      </c>
      <c r="R478" s="2" t="inlineStr"/>
    </row>
    <row r="479" ht="15" customHeight="1">
      <c r="A479" t="inlineStr">
        <is>
          <t>A 24819-2025</t>
        </is>
      </c>
      <c r="B479" s="1" t="n">
        <v>45799.45109953704</v>
      </c>
      <c r="C479" s="1" t="n">
        <v>46050</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2830-2025</t>
        </is>
      </c>
      <c r="B480" s="1" t="n">
        <v>45677.62704861111</v>
      </c>
      <c r="C480" s="1" t="n">
        <v>46050</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59170-2022</t>
        </is>
      </c>
      <c r="B481" s="1" t="n">
        <v>44904.48152777777</v>
      </c>
      <c r="C481" s="1" t="n">
        <v>46050</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26285-2024</t>
        </is>
      </c>
      <c r="B482" s="1" t="n">
        <v>45468.70357638889</v>
      </c>
      <c r="C482" s="1" t="n">
        <v>46050</v>
      </c>
      <c r="D482" t="inlineStr">
        <is>
          <t>KALMAR LÄN</t>
        </is>
      </c>
      <c r="E482" t="inlineStr">
        <is>
          <t>VÄSTERVIK</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7840-2025</t>
        </is>
      </c>
      <c r="B483" s="1" t="n">
        <v>45706.65895833333</v>
      </c>
      <c r="C483" s="1" t="n">
        <v>46050</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14237-2024</t>
        </is>
      </c>
      <c r="B484" s="1" t="n">
        <v>45393.47158564815</v>
      </c>
      <c r="C484" s="1" t="n">
        <v>46050</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65059-2023</t>
        </is>
      </c>
      <c r="B485" s="1" t="n">
        <v>45287</v>
      </c>
      <c r="C485" s="1" t="n">
        <v>46050</v>
      </c>
      <c r="D485" t="inlineStr">
        <is>
          <t>KALMAR LÄN</t>
        </is>
      </c>
      <c r="E485" t="inlineStr">
        <is>
          <t>VÄSTERVIK</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4579-2023</t>
        </is>
      </c>
      <c r="B486" s="1" t="n">
        <v>44956.72383101852</v>
      </c>
      <c r="C486" s="1" t="n">
        <v>46050</v>
      </c>
      <c r="D486" t="inlineStr">
        <is>
          <t>KALMAR LÄN</t>
        </is>
      </c>
      <c r="E486" t="inlineStr">
        <is>
          <t>VÄSTERVIK</t>
        </is>
      </c>
      <c r="G486" t="n">
        <v>2.2</v>
      </c>
      <c r="H486" t="n">
        <v>0</v>
      </c>
      <c r="I486" t="n">
        <v>0</v>
      </c>
      <c r="J486" t="n">
        <v>0</v>
      </c>
      <c r="K486" t="n">
        <v>0</v>
      </c>
      <c r="L486" t="n">
        <v>0</v>
      </c>
      <c r="M486" t="n">
        <v>0</v>
      </c>
      <c r="N486" t="n">
        <v>0</v>
      </c>
      <c r="O486" t="n">
        <v>0</v>
      </c>
      <c r="P486" t="n">
        <v>0</v>
      </c>
      <c r="Q486" t="n">
        <v>0</v>
      </c>
      <c r="R486" s="2" t="inlineStr"/>
    </row>
    <row r="487" ht="15" customHeight="1">
      <c r="A487" t="inlineStr">
        <is>
          <t>A 59696-2023</t>
        </is>
      </c>
      <c r="B487" s="1" t="n">
        <v>45256.85211805555</v>
      </c>
      <c r="C487" s="1" t="n">
        <v>46050</v>
      </c>
      <c r="D487" t="inlineStr">
        <is>
          <t>KALMAR LÄN</t>
        </is>
      </c>
      <c r="E487" t="inlineStr">
        <is>
          <t>VÄSTERVIK</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808-2023</t>
        </is>
      </c>
      <c r="B488" s="1" t="n">
        <v>44931</v>
      </c>
      <c r="C488" s="1" t="n">
        <v>46050</v>
      </c>
      <c r="D488" t="inlineStr">
        <is>
          <t>KALMAR LÄN</t>
        </is>
      </c>
      <c r="E488" t="inlineStr">
        <is>
          <t>VÄSTERVIK</t>
        </is>
      </c>
      <c r="F488" t="inlineStr">
        <is>
          <t>Holmen skog AB</t>
        </is>
      </c>
      <c r="G488" t="n">
        <v>0.3</v>
      </c>
      <c r="H488" t="n">
        <v>0</v>
      </c>
      <c r="I488" t="n">
        <v>0</v>
      </c>
      <c r="J488" t="n">
        <v>0</v>
      </c>
      <c r="K488" t="n">
        <v>0</v>
      </c>
      <c r="L488" t="n">
        <v>0</v>
      </c>
      <c r="M488" t="n">
        <v>0</v>
      </c>
      <c r="N488" t="n">
        <v>0</v>
      </c>
      <c r="O488" t="n">
        <v>0</v>
      </c>
      <c r="P488" t="n">
        <v>0</v>
      </c>
      <c r="Q488" t="n">
        <v>0</v>
      </c>
      <c r="R488" s="2" t="inlineStr"/>
    </row>
    <row r="489" ht="15" customHeight="1">
      <c r="A489" t="inlineStr">
        <is>
          <t>A 25819-2025</t>
        </is>
      </c>
      <c r="B489" s="1" t="n">
        <v>45804.43547453704</v>
      </c>
      <c r="C489" s="1" t="n">
        <v>46050</v>
      </c>
      <c r="D489" t="inlineStr">
        <is>
          <t>KALMAR LÄN</t>
        </is>
      </c>
      <c r="E489" t="inlineStr">
        <is>
          <t>VÄSTERVIK</t>
        </is>
      </c>
      <c r="G489" t="n">
        <v>1.1</v>
      </c>
      <c r="H489" t="n">
        <v>0</v>
      </c>
      <c r="I489" t="n">
        <v>0</v>
      </c>
      <c r="J489" t="n">
        <v>0</v>
      </c>
      <c r="K489" t="n">
        <v>0</v>
      </c>
      <c r="L489" t="n">
        <v>0</v>
      </c>
      <c r="M489" t="n">
        <v>0</v>
      </c>
      <c r="N489" t="n">
        <v>0</v>
      </c>
      <c r="O489" t="n">
        <v>0</v>
      </c>
      <c r="P489" t="n">
        <v>0</v>
      </c>
      <c r="Q489" t="n">
        <v>0</v>
      </c>
      <c r="R489" s="2" t="inlineStr"/>
    </row>
    <row r="490" ht="15" customHeight="1">
      <c r="A490" t="inlineStr">
        <is>
          <t>A 25827-2025</t>
        </is>
      </c>
      <c r="B490" s="1" t="n">
        <v>45804.443125</v>
      </c>
      <c r="C490" s="1" t="n">
        <v>46050</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39442-2025</t>
        </is>
      </c>
      <c r="B491" s="1" t="n">
        <v>45889.6947337963</v>
      </c>
      <c r="C491" s="1" t="n">
        <v>46050</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39428-2025</t>
        </is>
      </c>
      <c r="B492" s="1" t="n">
        <v>45889.67436342593</v>
      </c>
      <c r="C492" s="1" t="n">
        <v>46050</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39430-2025</t>
        </is>
      </c>
      <c r="B493" s="1" t="n">
        <v>45889.67606481481</v>
      </c>
      <c r="C493" s="1" t="n">
        <v>46050</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55361-2024</t>
        </is>
      </c>
      <c r="B494" s="1" t="n">
        <v>45621.83300925926</v>
      </c>
      <c r="C494" s="1" t="n">
        <v>46050</v>
      </c>
      <c r="D494" t="inlineStr">
        <is>
          <t>KALMAR LÄN</t>
        </is>
      </c>
      <c r="E494" t="inlineStr">
        <is>
          <t>VÄSTERVIK</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55362-2024</t>
        </is>
      </c>
      <c r="B495" s="1" t="n">
        <v>45621.83461805555</v>
      </c>
      <c r="C495" s="1" t="n">
        <v>46050</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57367-2023</t>
        </is>
      </c>
      <c r="B496" s="1" t="n">
        <v>45245</v>
      </c>
      <c r="C496" s="1" t="n">
        <v>46050</v>
      </c>
      <c r="D496" t="inlineStr">
        <is>
          <t>KALMAR LÄN</t>
        </is>
      </c>
      <c r="E496" t="inlineStr">
        <is>
          <t>VÄSTERVIK</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51645-2023</t>
        </is>
      </c>
      <c r="B497" s="1" t="n">
        <v>45222.55333333334</v>
      </c>
      <c r="C497" s="1" t="n">
        <v>46050</v>
      </c>
      <c r="D497" t="inlineStr">
        <is>
          <t>KALMAR LÄN</t>
        </is>
      </c>
      <c r="E497" t="inlineStr">
        <is>
          <t>VÄSTERVIK</t>
        </is>
      </c>
      <c r="G497" t="n">
        <v>3.7</v>
      </c>
      <c r="H497" t="n">
        <v>0</v>
      </c>
      <c r="I497" t="n">
        <v>0</v>
      </c>
      <c r="J497" t="n">
        <v>0</v>
      </c>
      <c r="K497" t="n">
        <v>0</v>
      </c>
      <c r="L497" t="n">
        <v>0</v>
      </c>
      <c r="M497" t="n">
        <v>0</v>
      </c>
      <c r="N497" t="n">
        <v>0</v>
      </c>
      <c r="O497" t="n">
        <v>0</v>
      </c>
      <c r="P497" t="n">
        <v>0</v>
      </c>
      <c r="Q497" t="n">
        <v>0</v>
      </c>
      <c r="R497" s="2" t="inlineStr"/>
    </row>
    <row r="498" ht="15" customHeight="1">
      <c r="A498" t="inlineStr">
        <is>
          <t>A 26568-2025</t>
        </is>
      </c>
      <c r="B498" s="1" t="n">
        <v>45807.67447916666</v>
      </c>
      <c r="C498" s="1" t="n">
        <v>46050</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26571-2025</t>
        </is>
      </c>
      <c r="B499" s="1" t="n">
        <v>45807.6794212963</v>
      </c>
      <c r="C499" s="1" t="n">
        <v>46050</v>
      </c>
      <c r="D499" t="inlineStr">
        <is>
          <t>KALMAR LÄN</t>
        </is>
      </c>
      <c r="E499" t="inlineStr">
        <is>
          <t>VÄSTERVIK</t>
        </is>
      </c>
      <c r="G499" t="n">
        <v>2.8</v>
      </c>
      <c r="H499" t="n">
        <v>0</v>
      </c>
      <c r="I499" t="n">
        <v>0</v>
      </c>
      <c r="J499" t="n">
        <v>0</v>
      </c>
      <c r="K499" t="n">
        <v>0</v>
      </c>
      <c r="L499" t="n">
        <v>0</v>
      </c>
      <c r="M499" t="n">
        <v>0</v>
      </c>
      <c r="N499" t="n">
        <v>0</v>
      </c>
      <c r="O499" t="n">
        <v>0</v>
      </c>
      <c r="P499" t="n">
        <v>0</v>
      </c>
      <c r="Q499" t="n">
        <v>0</v>
      </c>
      <c r="R499" s="2" t="inlineStr"/>
    </row>
    <row r="500" ht="15" customHeight="1">
      <c r="A500" t="inlineStr">
        <is>
          <t>A 39425-2025</t>
        </is>
      </c>
      <c r="B500" s="1" t="n">
        <v>45889.67297453704</v>
      </c>
      <c r="C500" s="1" t="n">
        <v>46050</v>
      </c>
      <c r="D500" t="inlineStr">
        <is>
          <t>KALMAR LÄN</t>
        </is>
      </c>
      <c r="E500" t="inlineStr">
        <is>
          <t>VÄSTERVIK</t>
        </is>
      </c>
      <c r="G500" t="n">
        <v>6.7</v>
      </c>
      <c r="H500" t="n">
        <v>0</v>
      </c>
      <c r="I500" t="n">
        <v>0</v>
      </c>
      <c r="J500" t="n">
        <v>0</v>
      </c>
      <c r="K500" t="n">
        <v>0</v>
      </c>
      <c r="L500" t="n">
        <v>0</v>
      </c>
      <c r="M500" t="n">
        <v>0</v>
      </c>
      <c r="N500" t="n">
        <v>0</v>
      </c>
      <c r="O500" t="n">
        <v>0</v>
      </c>
      <c r="P500" t="n">
        <v>0</v>
      </c>
      <c r="Q500" t="n">
        <v>0</v>
      </c>
      <c r="R500" s="2" t="inlineStr"/>
    </row>
    <row r="501" ht="15" customHeight="1">
      <c r="A501" t="inlineStr">
        <is>
          <t>A 26566-2025</t>
        </is>
      </c>
      <c r="B501" s="1" t="n">
        <v>45807.66685185185</v>
      </c>
      <c r="C501" s="1" t="n">
        <v>46050</v>
      </c>
      <c r="D501" t="inlineStr">
        <is>
          <t>KALMAR LÄN</t>
        </is>
      </c>
      <c r="E501" t="inlineStr">
        <is>
          <t>VÄSTERVIK</t>
        </is>
      </c>
      <c r="G501" t="n">
        <v>2.5</v>
      </c>
      <c r="H501" t="n">
        <v>0</v>
      </c>
      <c r="I501" t="n">
        <v>0</v>
      </c>
      <c r="J501" t="n">
        <v>0</v>
      </c>
      <c r="K501" t="n">
        <v>0</v>
      </c>
      <c r="L501" t="n">
        <v>0</v>
      </c>
      <c r="M501" t="n">
        <v>0</v>
      </c>
      <c r="N501" t="n">
        <v>0</v>
      </c>
      <c r="O501" t="n">
        <v>0</v>
      </c>
      <c r="P501" t="n">
        <v>0</v>
      </c>
      <c r="Q501" t="n">
        <v>0</v>
      </c>
      <c r="R501" s="2" t="inlineStr"/>
    </row>
    <row r="502" ht="15" customHeight="1">
      <c r="A502" t="inlineStr">
        <is>
          <t>A 26569-2025</t>
        </is>
      </c>
      <c r="B502" s="1" t="n">
        <v>45807.67638888889</v>
      </c>
      <c r="C502" s="1" t="n">
        <v>46050</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26572-2025</t>
        </is>
      </c>
      <c r="B503" s="1" t="n">
        <v>45807.68232638889</v>
      </c>
      <c r="C503" s="1" t="n">
        <v>46050</v>
      </c>
      <c r="D503" t="inlineStr">
        <is>
          <t>KALMAR LÄN</t>
        </is>
      </c>
      <c r="E503" t="inlineStr">
        <is>
          <t>VÄSTERVIK</t>
        </is>
      </c>
      <c r="G503" t="n">
        <v>2.9</v>
      </c>
      <c r="H503" t="n">
        <v>0</v>
      </c>
      <c r="I503" t="n">
        <v>0</v>
      </c>
      <c r="J503" t="n">
        <v>0</v>
      </c>
      <c r="K503" t="n">
        <v>0</v>
      </c>
      <c r="L503" t="n">
        <v>0</v>
      </c>
      <c r="M503" t="n">
        <v>0</v>
      </c>
      <c r="N503" t="n">
        <v>0</v>
      </c>
      <c r="O503" t="n">
        <v>0</v>
      </c>
      <c r="P503" t="n">
        <v>0</v>
      </c>
      <c r="Q503" t="n">
        <v>0</v>
      </c>
      <c r="R503" s="2" t="inlineStr"/>
    </row>
    <row r="504" ht="15" customHeight="1">
      <c r="A504" t="inlineStr">
        <is>
          <t>A 35655-2023</t>
        </is>
      </c>
      <c r="B504" s="1" t="n">
        <v>45147.59408564815</v>
      </c>
      <c r="C504" s="1" t="n">
        <v>46050</v>
      </c>
      <c r="D504" t="inlineStr">
        <is>
          <t>KALMAR LÄN</t>
        </is>
      </c>
      <c r="E504" t="inlineStr">
        <is>
          <t>VÄSTERVIK</t>
        </is>
      </c>
      <c r="G504" t="n">
        <v>3.3</v>
      </c>
      <c r="H504" t="n">
        <v>0</v>
      </c>
      <c r="I504" t="n">
        <v>0</v>
      </c>
      <c r="J504" t="n">
        <v>0</v>
      </c>
      <c r="K504" t="n">
        <v>0</v>
      </c>
      <c r="L504" t="n">
        <v>0</v>
      </c>
      <c r="M504" t="n">
        <v>0</v>
      </c>
      <c r="N504" t="n">
        <v>0</v>
      </c>
      <c r="O504" t="n">
        <v>0</v>
      </c>
      <c r="P504" t="n">
        <v>0</v>
      </c>
      <c r="Q504" t="n">
        <v>0</v>
      </c>
      <c r="R504" s="2" t="inlineStr"/>
    </row>
    <row r="505" ht="15" customHeight="1">
      <c r="A505" t="inlineStr">
        <is>
          <t>A 8597-2023</t>
        </is>
      </c>
      <c r="B505" s="1" t="n">
        <v>44977</v>
      </c>
      <c r="C505" s="1" t="n">
        <v>46050</v>
      </c>
      <c r="D505" t="inlineStr">
        <is>
          <t>KALMAR LÄN</t>
        </is>
      </c>
      <c r="E505" t="inlineStr">
        <is>
          <t>VÄSTERVIK</t>
        </is>
      </c>
      <c r="G505" t="n">
        <v>0.2</v>
      </c>
      <c r="H505" t="n">
        <v>0</v>
      </c>
      <c r="I505" t="n">
        <v>0</v>
      </c>
      <c r="J505" t="n">
        <v>0</v>
      </c>
      <c r="K505" t="n">
        <v>0</v>
      </c>
      <c r="L505" t="n">
        <v>0</v>
      </c>
      <c r="M505" t="n">
        <v>0</v>
      </c>
      <c r="N505" t="n">
        <v>0</v>
      </c>
      <c r="O505" t="n">
        <v>0</v>
      </c>
      <c r="P505" t="n">
        <v>0</v>
      </c>
      <c r="Q505" t="n">
        <v>0</v>
      </c>
      <c r="R505" s="2" t="inlineStr"/>
    </row>
    <row r="506" ht="15" customHeight="1">
      <c r="A506" t="inlineStr">
        <is>
          <t>A 10725-2023</t>
        </is>
      </c>
      <c r="B506" s="1" t="n">
        <v>44988.66966435185</v>
      </c>
      <c r="C506" s="1" t="n">
        <v>46050</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45463-2024</t>
        </is>
      </c>
      <c r="B507" s="1" t="n">
        <v>45576.69753472223</v>
      </c>
      <c r="C507" s="1" t="n">
        <v>46050</v>
      </c>
      <c r="D507" t="inlineStr">
        <is>
          <t>KALMAR LÄN</t>
        </is>
      </c>
      <c r="E507" t="inlineStr">
        <is>
          <t>VÄSTERVIK</t>
        </is>
      </c>
      <c r="G507" t="n">
        <v>0.8</v>
      </c>
      <c r="H507" t="n">
        <v>0</v>
      </c>
      <c r="I507" t="n">
        <v>0</v>
      </c>
      <c r="J507" t="n">
        <v>0</v>
      </c>
      <c r="K507" t="n">
        <v>0</v>
      </c>
      <c r="L507" t="n">
        <v>0</v>
      </c>
      <c r="M507" t="n">
        <v>0</v>
      </c>
      <c r="N507" t="n">
        <v>0</v>
      </c>
      <c r="O507" t="n">
        <v>0</v>
      </c>
      <c r="P507" t="n">
        <v>0</v>
      </c>
      <c r="Q507" t="n">
        <v>0</v>
      </c>
      <c r="R507" s="2" t="inlineStr"/>
    </row>
    <row r="508" ht="15" customHeight="1">
      <c r="A508" t="inlineStr">
        <is>
          <t>A 40168-2025</t>
        </is>
      </c>
      <c r="B508" s="1" t="n">
        <v>45894.62775462963</v>
      </c>
      <c r="C508" s="1" t="n">
        <v>46050</v>
      </c>
      <c r="D508" t="inlineStr">
        <is>
          <t>KALMAR LÄN</t>
        </is>
      </c>
      <c r="E508" t="inlineStr">
        <is>
          <t>VÄSTERVIK</t>
        </is>
      </c>
      <c r="G508" t="n">
        <v>0.3</v>
      </c>
      <c r="H508" t="n">
        <v>0</v>
      </c>
      <c r="I508" t="n">
        <v>0</v>
      </c>
      <c r="J508" t="n">
        <v>0</v>
      </c>
      <c r="K508" t="n">
        <v>0</v>
      </c>
      <c r="L508" t="n">
        <v>0</v>
      </c>
      <c r="M508" t="n">
        <v>0</v>
      </c>
      <c r="N508" t="n">
        <v>0</v>
      </c>
      <c r="O508" t="n">
        <v>0</v>
      </c>
      <c r="P508" t="n">
        <v>0</v>
      </c>
      <c r="Q508" t="n">
        <v>0</v>
      </c>
      <c r="R508" s="2" t="inlineStr"/>
    </row>
    <row r="509" ht="15" customHeight="1">
      <c r="A509" t="inlineStr">
        <is>
          <t>A 24562-2024</t>
        </is>
      </c>
      <c r="B509" s="1" t="n">
        <v>45460</v>
      </c>
      <c r="C509" s="1" t="n">
        <v>46050</v>
      </c>
      <c r="D509" t="inlineStr">
        <is>
          <t>KALMAR LÄN</t>
        </is>
      </c>
      <c r="E509" t="inlineStr">
        <is>
          <t>VÄSTERVIK</t>
        </is>
      </c>
      <c r="G509" t="n">
        <v>1.5</v>
      </c>
      <c r="H509" t="n">
        <v>0</v>
      </c>
      <c r="I509" t="n">
        <v>0</v>
      </c>
      <c r="J509" t="n">
        <v>0</v>
      </c>
      <c r="K509" t="n">
        <v>0</v>
      </c>
      <c r="L509" t="n">
        <v>0</v>
      </c>
      <c r="M509" t="n">
        <v>0</v>
      </c>
      <c r="N509" t="n">
        <v>0</v>
      </c>
      <c r="O509" t="n">
        <v>0</v>
      </c>
      <c r="P509" t="n">
        <v>0</v>
      </c>
      <c r="Q509" t="n">
        <v>0</v>
      </c>
      <c r="R509" s="2" t="inlineStr"/>
    </row>
    <row r="510" ht="15" customHeight="1">
      <c r="A510" t="inlineStr">
        <is>
          <t>A 24578-2024</t>
        </is>
      </c>
      <c r="B510" s="1" t="n">
        <v>45460</v>
      </c>
      <c r="C510" s="1" t="n">
        <v>46050</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40038-2025</t>
        </is>
      </c>
      <c r="B511" s="1" t="n">
        <v>45894.39395833333</v>
      </c>
      <c r="C511" s="1" t="n">
        <v>46050</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26633-2025</t>
        </is>
      </c>
      <c r="B512" s="1" t="n">
        <v>45810.35262731482</v>
      </c>
      <c r="C512" s="1" t="n">
        <v>46050</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40165-2025</t>
        </is>
      </c>
      <c r="B513" s="1" t="n">
        <v>45894.62219907407</v>
      </c>
      <c r="C513" s="1" t="n">
        <v>46050</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55042-2024</t>
        </is>
      </c>
      <c r="B514" s="1" t="n">
        <v>45621.39081018518</v>
      </c>
      <c r="C514" s="1" t="n">
        <v>46050</v>
      </c>
      <c r="D514" t="inlineStr">
        <is>
          <t>KALMAR LÄN</t>
        </is>
      </c>
      <c r="E514" t="inlineStr">
        <is>
          <t>VÄSTERVIK</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27446-2025</t>
        </is>
      </c>
      <c r="B515" s="1" t="n">
        <v>45813.32667824074</v>
      </c>
      <c r="C515" s="1" t="n">
        <v>46050</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19694-2025</t>
        </is>
      </c>
      <c r="B516" s="1" t="n">
        <v>45771.30550925926</v>
      </c>
      <c r="C516" s="1" t="n">
        <v>46050</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27980-2025</t>
        </is>
      </c>
      <c r="B517" s="1" t="n">
        <v>45817.57395833333</v>
      </c>
      <c r="C517" s="1" t="n">
        <v>46050</v>
      </c>
      <c r="D517" t="inlineStr">
        <is>
          <t>KALMAR LÄN</t>
        </is>
      </c>
      <c r="E517" t="inlineStr">
        <is>
          <t>VÄSTERVIK</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27974-2025</t>
        </is>
      </c>
      <c r="B518" s="1" t="n">
        <v>45817.56891203704</v>
      </c>
      <c r="C518" s="1" t="n">
        <v>46050</v>
      </c>
      <c r="D518" t="inlineStr">
        <is>
          <t>KALMAR LÄN</t>
        </is>
      </c>
      <c r="E518" t="inlineStr">
        <is>
          <t>VÄSTERVIK</t>
        </is>
      </c>
      <c r="F518" t="inlineStr">
        <is>
          <t>Sveaskog</t>
        </is>
      </c>
      <c r="G518" t="n">
        <v>5</v>
      </c>
      <c r="H518" t="n">
        <v>0</v>
      </c>
      <c r="I518" t="n">
        <v>0</v>
      </c>
      <c r="J518" t="n">
        <v>0</v>
      </c>
      <c r="K518" t="n">
        <v>0</v>
      </c>
      <c r="L518" t="n">
        <v>0</v>
      </c>
      <c r="M518" t="n">
        <v>0</v>
      </c>
      <c r="N518" t="n">
        <v>0</v>
      </c>
      <c r="O518" t="n">
        <v>0</v>
      </c>
      <c r="P518" t="n">
        <v>0</v>
      </c>
      <c r="Q518" t="n">
        <v>0</v>
      </c>
      <c r="R518" s="2" t="inlineStr"/>
    </row>
    <row r="519" ht="15" customHeight="1">
      <c r="A519" t="inlineStr">
        <is>
          <t>A 27978-2025</t>
        </is>
      </c>
      <c r="B519" s="1" t="n">
        <v>45817.57153935185</v>
      </c>
      <c r="C519" s="1" t="n">
        <v>46050</v>
      </c>
      <c r="D519" t="inlineStr">
        <is>
          <t>KALMAR LÄN</t>
        </is>
      </c>
      <c r="E519" t="inlineStr">
        <is>
          <t>VÄSTERVIK</t>
        </is>
      </c>
      <c r="F519" t="inlineStr">
        <is>
          <t>Sveaskog</t>
        </is>
      </c>
      <c r="G519" t="n">
        <v>10.8</v>
      </c>
      <c r="H519" t="n">
        <v>0</v>
      </c>
      <c r="I519" t="n">
        <v>0</v>
      </c>
      <c r="J519" t="n">
        <v>0</v>
      </c>
      <c r="K519" t="n">
        <v>0</v>
      </c>
      <c r="L519" t="n">
        <v>0</v>
      </c>
      <c r="M519" t="n">
        <v>0</v>
      </c>
      <c r="N519" t="n">
        <v>0</v>
      </c>
      <c r="O519" t="n">
        <v>0</v>
      </c>
      <c r="P519" t="n">
        <v>0</v>
      </c>
      <c r="Q519" t="n">
        <v>0</v>
      </c>
      <c r="R519" s="2" t="inlineStr"/>
    </row>
    <row r="520" ht="15" customHeight="1">
      <c r="A520" t="inlineStr">
        <is>
          <t>A 58217-2022</t>
        </is>
      </c>
      <c r="B520" s="1" t="n">
        <v>44901.36453703704</v>
      </c>
      <c r="C520" s="1" t="n">
        <v>46050</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28203-2025</t>
        </is>
      </c>
      <c r="B521" s="1" t="n">
        <v>45818.44662037037</v>
      </c>
      <c r="C521" s="1" t="n">
        <v>46050</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28096-2025</t>
        </is>
      </c>
      <c r="B522" s="1" t="n">
        <v>45817.81831018518</v>
      </c>
      <c r="C522" s="1" t="n">
        <v>46050</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28696-2025</t>
        </is>
      </c>
      <c r="B523" s="1" t="n">
        <v>45819.91342592592</v>
      </c>
      <c r="C523" s="1" t="n">
        <v>46050</v>
      </c>
      <c r="D523" t="inlineStr">
        <is>
          <t>KALMAR LÄN</t>
        </is>
      </c>
      <c r="E523" t="inlineStr">
        <is>
          <t>VÄSTERVIK</t>
        </is>
      </c>
      <c r="G523" t="n">
        <v>2.8</v>
      </c>
      <c r="H523" t="n">
        <v>0</v>
      </c>
      <c r="I523" t="n">
        <v>0</v>
      </c>
      <c r="J523" t="n">
        <v>0</v>
      </c>
      <c r="K523" t="n">
        <v>0</v>
      </c>
      <c r="L523" t="n">
        <v>0</v>
      </c>
      <c r="M523" t="n">
        <v>0</v>
      </c>
      <c r="N523" t="n">
        <v>0</v>
      </c>
      <c r="O523" t="n">
        <v>0</v>
      </c>
      <c r="P523" t="n">
        <v>0</v>
      </c>
      <c r="Q523" t="n">
        <v>0</v>
      </c>
      <c r="R523" s="2" t="inlineStr"/>
    </row>
    <row r="524" ht="15" customHeight="1">
      <c r="A524" t="inlineStr">
        <is>
          <t>A 1787-2025</t>
        </is>
      </c>
      <c r="B524" s="1" t="n">
        <v>45671.45357638889</v>
      </c>
      <c r="C524" s="1" t="n">
        <v>46050</v>
      </c>
      <c r="D524" t="inlineStr">
        <is>
          <t>KALMAR LÄN</t>
        </is>
      </c>
      <c r="E524" t="inlineStr">
        <is>
          <t>VÄSTERVIK</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6941-2025</t>
        </is>
      </c>
      <c r="B525" s="1" t="n">
        <v>45701.46835648148</v>
      </c>
      <c r="C525" s="1" t="n">
        <v>46050</v>
      </c>
      <c r="D525" t="inlineStr">
        <is>
          <t>KALMAR LÄN</t>
        </is>
      </c>
      <c r="E525" t="inlineStr">
        <is>
          <t>VÄSTERVIK</t>
        </is>
      </c>
      <c r="G525" t="n">
        <v>1.3</v>
      </c>
      <c r="H525" t="n">
        <v>0</v>
      </c>
      <c r="I525" t="n">
        <v>0</v>
      </c>
      <c r="J525" t="n">
        <v>0</v>
      </c>
      <c r="K525" t="n">
        <v>0</v>
      </c>
      <c r="L525" t="n">
        <v>0</v>
      </c>
      <c r="M525" t="n">
        <v>0</v>
      </c>
      <c r="N525" t="n">
        <v>0</v>
      </c>
      <c r="O525" t="n">
        <v>0</v>
      </c>
      <c r="P525" t="n">
        <v>0</v>
      </c>
      <c r="Q525" t="n">
        <v>0</v>
      </c>
      <c r="R525" s="2" t="inlineStr"/>
    </row>
    <row r="526" ht="15" customHeight="1">
      <c r="A526" t="inlineStr">
        <is>
          <t>A 29784-2024</t>
        </is>
      </c>
      <c r="B526" s="1" t="n">
        <v>45485.46129629629</v>
      </c>
      <c r="C526" s="1" t="n">
        <v>46050</v>
      </c>
      <c r="D526" t="inlineStr">
        <is>
          <t>KALMAR LÄN</t>
        </is>
      </c>
      <c r="E526" t="inlineStr">
        <is>
          <t>VÄSTERVIK</t>
        </is>
      </c>
      <c r="G526" t="n">
        <v>1.8</v>
      </c>
      <c r="H526" t="n">
        <v>0</v>
      </c>
      <c r="I526" t="n">
        <v>0</v>
      </c>
      <c r="J526" t="n">
        <v>0</v>
      </c>
      <c r="K526" t="n">
        <v>0</v>
      </c>
      <c r="L526" t="n">
        <v>0</v>
      </c>
      <c r="M526" t="n">
        <v>0</v>
      </c>
      <c r="N526" t="n">
        <v>0</v>
      </c>
      <c r="O526" t="n">
        <v>0</v>
      </c>
      <c r="P526" t="n">
        <v>0</v>
      </c>
      <c r="Q526" t="n">
        <v>0</v>
      </c>
      <c r="R526" s="2" t="inlineStr"/>
    </row>
    <row r="527" ht="15" customHeight="1">
      <c r="A527" t="inlineStr">
        <is>
          <t>A 54784-2023</t>
        </is>
      </c>
      <c r="B527" s="1" t="n">
        <v>45236.4803587963</v>
      </c>
      <c r="C527" s="1" t="n">
        <v>46050</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33907-2025</t>
        </is>
      </c>
      <c r="B528" s="1" t="n">
        <v>45842.59880787037</v>
      </c>
      <c r="C528" s="1" t="n">
        <v>46050</v>
      </c>
      <c r="D528" t="inlineStr">
        <is>
          <t>KALMAR LÄN</t>
        </is>
      </c>
      <c r="E528" t="inlineStr">
        <is>
          <t>VÄSTERVIK</t>
        </is>
      </c>
      <c r="G528" t="n">
        <v>3.1</v>
      </c>
      <c r="H528" t="n">
        <v>0</v>
      </c>
      <c r="I528" t="n">
        <v>0</v>
      </c>
      <c r="J528" t="n">
        <v>0</v>
      </c>
      <c r="K528" t="n">
        <v>0</v>
      </c>
      <c r="L528" t="n">
        <v>0</v>
      </c>
      <c r="M528" t="n">
        <v>0</v>
      </c>
      <c r="N528" t="n">
        <v>0</v>
      </c>
      <c r="O528" t="n">
        <v>0</v>
      </c>
      <c r="P528" t="n">
        <v>0</v>
      </c>
      <c r="Q528" t="n">
        <v>0</v>
      </c>
      <c r="R528" s="2" t="inlineStr"/>
    </row>
    <row r="529" ht="15" customHeight="1">
      <c r="A529" t="inlineStr">
        <is>
          <t>A 29678-2025</t>
        </is>
      </c>
      <c r="B529" s="1" t="n">
        <v>45825.50804398148</v>
      </c>
      <c r="C529" s="1" t="n">
        <v>46050</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row>
    <row r="530" ht="15" customHeight="1">
      <c r="A530" t="inlineStr">
        <is>
          <t>A 11856-2024</t>
        </is>
      </c>
      <c r="B530" s="1" t="n">
        <v>45376.43302083333</v>
      </c>
      <c r="C530" s="1" t="n">
        <v>46050</v>
      </c>
      <c r="D530" t="inlineStr">
        <is>
          <t>KALMAR LÄN</t>
        </is>
      </c>
      <c r="E530" t="inlineStr">
        <is>
          <t>VÄSTERVIK</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41993-2025</t>
        </is>
      </c>
      <c r="B531" s="1" t="n">
        <v>45903.54821759259</v>
      </c>
      <c r="C531" s="1" t="n">
        <v>46050</v>
      </c>
      <c r="D531" t="inlineStr">
        <is>
          <t>KALMAR LÄN</t>
        </is>
      </c>
      <c r="E531" t="inlineStr">
        <is>
          <t>VÄSTERVIK</t>
        </is>
      </c>
      <c r="G531" t="n">
        <v>1.8</v>
      </c>
      <c r="H531" t="n">
        <v>0</v>
      </c>
      <c r="I531" t="n">
        <v>0</v>
      </c>
      <c r="J531" t="n">
        <v>0</v>
      </c>
      <c r="K531" t="n">
        <v>0</v>
      </c>
      <c r="L531" t="n">
        <v>0</v>
      </c>
      <c r="M531" t="n">
        <v>0</v>
      </c>
      <c r="N531" t="n">
        <v>0</v>
      </c>
      <c r="O531" t="n">
        <v>0</v>
      </c>
      <c r="P531" t="n">
        <v>0</v>
      </c>
      <c r="Q531" t="n">
        <v>0</v>
      </c>
      <c r="R531" s="2" t="inlineStr"/>
    </row>
    <row r="532" ht="15" customHeight="1">
      <c r="A532" t="inlineStr">
        <is>
          <t>A 55866-2023</t>
        </is>
      </c>
      <c r="B532" s="1" t="n">
        <v>45239</v>
      </c>
      <c r="C532" s="1" t="n">
        <v>46050</v>
      </c>
      <c r="D532" t="inlineStr">
        <is>
          <t>KALMAR LÄN</t>
        </is>
      </c>
      <c r="E532" t="inlineStr">
        <is>
          <t>VÄSTERVIK</t>
        </is>
      </c>
      <c r="G532" t="n">
        <v>1.3</v>
      </c>
      <c r="H532" t="n">
        <v>0</v>
      </c>
      <c r="I532" t="n">
        <v>0</v>
      </c>
      <c r="J532" t="n">
        <v>0</v>
      </c>
      <c r="K532" t="n">
        <v>0</v>
      </c>
      <c r="L532" t="n">
        <v>0</v>
      </c>
      <c r="M532" t="n">
        <v>0</v>
      </c>
      <c r="N532" t="n">
        <v>0</v>
      </c>
      <c r="O532" t="n">
        <v>0</v>
      </c>
      <c r="P532" t="n">
        <v>0</v>
      </c>
      <c r="Q532" t="n">
        <v>0</v>
      </c>
      <c r="R532" s="2" t="inlineStr"/>
    </row>
    <row r="533" ht="15" customHeight="1">
      <c r="A533" t="inlineStr">
        <is>
          <t>A 58707-2022</t>
        </is>
      </c>
      <c r="B533" s="1" t="n">
        <v>44902.80462962963</v>
      </c>
      <c r="C533" s="1" t="n">
        <v>46050</v>
      </c>
      <c r="D533" t="inlineStr">
        <is>
          <t>KALMAR LÄN</t>
        </is>
      </c>
      <c r="E533" t="inlineStr">
        <is>
          <t>VÄSTERVIK</t>
        </is>
      </c>
      <c r="G533" t="n">
        <v>2.3</v>
      </c>
      <c r="H533" t="n">
        <v>0</v>
      </c>
      <c r="I533" t="n">
        <v>0</v>
      </c>
      <c r="J533" t="n">
        <v>0</v>
      </c>
      <c r="K533" t="n">
        <v>0</v>
      </c>
      <c r="L533" t="n">
        <v>0</v>
      </c>
      <c r="M533" t="n">
        <v>0</v>
      </c>
      <c r="N533" t="n">
        <v>0</v>
      </c>
      <c r="O533" t="n">
        <v>0</v>
      </c>
      <c r="P533" t="n">
        <v>0</v>
      </c>
      <c r="Q533" t="n">
        <v>0</v>
      </c>
      <c r="R533" s="2" t="inlineStr"/>
    </row>
    <row r="534" ht="15" customHeight="1">
      <c r="A534" t="inlineStr">
        <is>
          <t>A 37858-2023</t>
        </is>
      </c>
      <c r="B534" s="1" t="n">
        <v>45160.40577546296</v>
      </c>
      <c r="C534" s="1" t="n">
        <v>46050</v>
      </c>
      <c r="D534" t="inlineStr">
        <is>
          <t>KALMAR LÄN</t>
        </is>
      </c>
      <c r="E534" t="inlineStr">
        <is>
          <t>VÄSTERVIK</t>
        </is>
      </c>
      <c r="G534" t="n">
        <v>3</v>
      </c>
      <c r="H534" t="n">
        <v>0</v>
      </c>
      <c r="I534" t="n">
        <v>0</v>
      </c>
      <c r="J534" t="n">
        <v>0</v>
      </c>
      <c r="K534" t="n">
        <v>0</v>
      </c>
      <c r="L534" t="n">
        <v>0</v>
      </c>
      <c r="M534" t="n">
        <v>0</v>
      </c>
      <c r="N534" t="n">
        <v>0</v>
      </c>
      <c r="O534" t="n">
        <v>0</v>
      </c>
      <c r="P534" t="n">
        <v>0</v>
      </c>
      <c r="Q534" t="n">
        <v>0</v>
      </c>
      <c r="R534" s="2" t="inlineStr"/>
    </row>
    <row r="535" ht="15" customHeight="1">
      <c r="A535" t="inlineStr">
        <is>
          <t>A 9760-2024</t>
        </is>
      </c>
      <c r="B535" s="1" t="n">
        <v>45362</v>
      </c>
      <c r="C535" s="1" t="n">
        <v>46050</v>
      </c>
      <c r="D535" t="inlineStr">
        <is>
          <t>KALMAR LÄN</t>
        </is>
      </c>
      <c r="E535" t="inlineStr">
        <is>
          <t>VÄSTERVIK</t>
        </is>
      </c>
      <c r="G535" t="n">
        <v>2.1</v>
      </c>
      <c r="H535" t="n">
        <v>0</v>
      </c>
      <c r="I535" t="n">
        <v>0</v>
      </c>
      <c r="J535" t="n">
        <v>0</v>
      </c>
      <c r="K535" t="n">
        <v>0</v>
      </c>
      <c r="L535" t="n">
        <v>0</v>
      </c>
      <c r="M535" t="n">
        <v>0</v>
      </c>
      <c r="N535" t="n">
        <v>0</v>
      </c>
      <c r="O535" t="n">
        <v>0</v>
      </c>
      <c r="P535" t="n">
        <v>0</v>
      </c>
      <c r="Q535" t="n">
        <v>0</v>
      </c>
      <c r="R535" s="2" t="inlineStr"/>
    </row>
    <row r="536" ht="15" customHeight="1">
      <c r="A536" t="inlineStr">
        <is>
          <t>A 35667-2023</t>
        </is>
      </c>
      <c r="B536" s="1" t="n">
        <v>45147.60667824074</v>
      </c>
      <c r="C536" s="1" t="n">
        <v>46050</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3041-2025</t>
        </is>
      </c>
      <c r="B537" s="1" t="n">
        <v>45678.60493055556</v>
      </c>
      <c r="C537" s="1" t="n">
        <v>46050</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c r="U537">
        <f>HYPERLINK("https://klasma.github.io/Logging_0883/knärot/A 3041-2025 karta knärot.png", "A 3041-2025")</f>
        <v/>
      </c>
      <c r="V537">
        <f>HYPERLINK("https://klasma.github.io/Logging_0883/klagomål/A 3041-2025 FSC-klagomål.docx", "A 3041-2025")</f>
        <v/>
      </c>
      <c r="W537">
        <f>HYPERLINK("https://klasma.github.io/Logging_0883/klagomålsmail/A 3041-2025 FSC-klagomål mail.docx", "A 3041-2025")</f>
        <v/>
      </c>
      <c r="X537">
        <f>HYPERLINK("https://klasma.github.io/Logging_0883/tillsyn/A 3041-2025 tillsynsbegäran.docx", "A 3041-2025")</f>
        <v/>
      </c>
      <c r="Y537">
        <f>HYPERLINK("https://klasma.github.io/Logging_0883/tillsynsmail/A 3041-2025 tillsynsbegäran mail.docx", "A 3041-2025")</f>
        <v/>
      </c>
    </row>
    <row r="538" ht="15" customHeight="1">
      <c r="A538" t="inlineStr">
        <is>
          <t>A 19608-2025</t>
        </is>
      </c>
      <c r="B538" s="1" t="n">
        <v>45770.60177083333</v>
      </c>
      <c r="C538" s="1" t="n">
        <v>46050</v>
      </c>
      <c r="D538" t="inlineStr">
        <is>
          <t>KALMAR LÄN</t>
        </is>
      </c>
      <c r="E538" t="inlineStr">
        <is>
          <t>VÄSTERVIK</t>
        </is>
      </c>
      <c r="G538" t="n">
        <v>3.5</v>
      </c>
      <c r="H538" t="n">
        <v>0</v>
      </c>
      <c r="I538" t="n">
        <v>0</v>
      </c>
      <c r="J538" t="n">
        <v>0</v>
      </c>
      <c r="K538" t="n">
        <v>0</v>
      </c>
      <c r="L538" t="n">
        <v>0</v>
      </c>
      <c r="M538" t="n">
        <v>0</v>
      </c>
      <c r="N538" t="n">
        <v>0</v>
      </c>
      <c r="O538" t="n">
        <v>0</v>
      </c>
      <c r="P538" t="n">
        <v>0</v>
      </c>
      <c r="Q538" t="n">
        <v>0</v>
      </c>
      <c r="R538" s="2" t="inlineStr"/>
    </row>
    <row r="539" ht="15" customHeight="1">
      <c r="A539" t="inlineStr">
        <is>
          <t>A 52845-2023</t>
        </is>
      </c>
      <c r="B539" s="1" t="n">
        <v>45226.43667824074</v>
      </c>
      <c r="C539" s="1" t="n">
        <v>46050</v>
      </c>
      <c r="D539" t="inlineStr">
        <is>
          <t>KALMAR LÄN</t>
        </is>
      </c>
      <c r="E539" t="inlineStr">
        <is>
          <t>VÄSTERVIK</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30648-2025</t>
        </is>
      </c>
      <c r="B540" s="1" t="n">
        <v>45831</v>
      </c>
      <c r="C540" s="1" t="n">
        <v>46050</v>
      </c>
      <c r="D540" t="inlineStr">
        <is>
          <t>KALMAR LÄN</t>
        </is>
      </c>
      <c r="E540" t="inlineStr">
        <is>
          <t>VÄSTERVIK</t>
        </is>
      </c>
      <c r="G540" t="n">
        <v>3</v>
      </c>
      <c r="H540" t="n">
        <v>0</v>
      </c>
      <c r="I540" t="n">
        <v>0</v>
      </c>
      <c r="J540" t="n">
        <v>0</v>
      </c>
      <c r="K540" t="n">
        <v>0</v>
      </c>
      <c r="L540" t="n">
        <v>0</v>
      </c>
      <c r="M540" t="n">
        <v>0</v>
      </c>
      <c r="N540" t="n">
        <v>0</v>
      </c>
      <c r="O540" t="n">
        <v>0</v>
      </c>
      <c r="P540" t="n">
        <v>0</v>
      </c>
      <c r="Q540" t="n">
        <v>0</v>
      </c>
      <c r="R540" s="2" t="inlineStr"/>
    </row>
    <row r="541" ht="15" customHeight="1">
      <c r="A541" t="inlineStr">
        <is>
          <t>A 30644-2025</t>
        </is>
      </c>
      <c r="B541" s="1" t="n">
        <v>45831</v>
      </c>
      <c r="C541" s="1" t="n">
        <v>46050</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30800-2025</t>
        </is>
      </c>
      <c r="B542" s="1" t="n">
        <v>45831.65177083333</v>
      </c>
      <c r="C542" s="1" t="n">
        <v>46050</v>
      </c>
      <c r="D542" t="inlineStr">
        <is>
          <t>KALMAR LÄN</t>
        </is>
      </c>
      <c r="E542" t="inlineStr">
        <is>
          <t>VÄSTERVIK</t>
        </is>
      </c>
      <c r="G542" t="n">
        <v>1.6</v>
      </c>
      <c r="H542" t="n">
        <v>0</v>
      </c>
      <c r="I542" t="n">
        <v>0</v>
      </c>
      <c r="J542" t="n">
        <v>0</v>
      </c>
      <c r="K542" t="n">
        <v>0</v>
      </c>
      <c r="L542" t="n">
        <v>0</v>
      </c>
      <c r="M542" t="n">
        <v>0</v>
      </c>
      <c r="N542" t="n">
        <v>0</v>
      </c>
      <c r="O542" t="n">
        <v>0</v>
      </c>
      <c r="P542" t="n">
        <v>0</v>
      </c>
      <c r="Q542" t="n">
        <v>0</v>
      </c>
      <c r="R542" s="2" t="inlineStr"/>
    </row>
    <row r="543" ht="15" customHeight="1">
      <c r="A543" t="inlineStr">
        <is>
          <t>A 30690-2025</t>
        </is>
      </c>
      <c r="B543" s="1" t="n">
        <v>45831.53775462963</v>
      </c>
      <c r="C543" s="1" t="n">
        <v>46050</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30789-2025</t>
        </is>
      </c>
      <c r="B544" s="1" t="n">
        <v>45831.63174768518</v>
      </c>
      <c r="C544" s="1" t="n">
        <v>46050</v>
      </c>
      <c r="D544" t="inlineStr">
        <is>
          <t>KALMAR LÄN</t>
        </is>
      </c>
      <c r="E544" t="inlineStr">
        <is>
          <t>VÄSTERVIK</t>
        </is>
      </c>
      <c r="G544" t="n">
        <v>7</v>
      </c>
      <c r="H544" t="n">
        <v>0</v>
      </c>
      <c r="I544" t="n">
        <v>0</v>
      </c>
      <c r="J544" t="n">
        <v>0</v>
      </c>
      <c r="K544" t="n">
        <v>0</v>
      </c>
      <c r="L544" t="n">
        <v>0</v>
      </c>
      <c r="M544" t="n">
        <v>0</v>
      </c>
      <c r="N544" t="n">
        <v>0</v>
      </c>
      <c r="O544" t="n">
        <v>0</v>
      </c>
      <c r="P544" t="n">
        <v>0</v>
      </c>
      <c r="Q544" t="n">
        <v>0</v>
      </c>
      <c r="R544" s="2" t="inlineStr"/>
    </row>
    <row r="545" ht="15" customHeight="1">
      <c r="A545" t="inlineStr">
        <is>
          <t>A 30811-2025</t>
        </is>
      </c>
      <c r="B545" s="1" t="n">
        <v>45831.65712962963</v>
      </c>
      <c r="C545" s="1" t="n">
        <v>46050</v>
      </c>
      <c r="D545" t="inlineStr">
        <is>
          <t>KALMAR LÄN</t>
        </is>
      </c>
      <c r="E545" t="inlineStr">
        <is>
          <t>VÄSTERVIK</t>
        </is>
      </c>
      <c r="G545" t="n">
        <v>1.5</v>
      </c>
      <c r="H545" t="n">
        <v>0</v>
      </c>
      <c r="I545" t="n">
        <v>0</v>
      </c>
      <c r="J545" t="n">
        <v>0</v>
      </c>
      <c r="K545" t="n">
        <v>0</v>
      </c>
      <c r="L545" t="n">
        <v>0</v>
      </c>
      <c r="M545" t="n">
        <v>0</v>
      </c>
      <c r="N545" t="n">
        <v>0</v>
      </c>
      <c r="O545" t="n">
        <v>0</v>
      </c>
      <c r="P545" t="n">
        <v>0</v>
      </c>
      <c r="Q545" t="n">
        <v>0</v>
      </c>
      <c r="R545" s="2" t="inlineStr"/>
    </row>
    <row r="546" ht="15" customHeight="1">
      <c r="A546" t="inlineStr">
        <is>
          <t>A 2360-2025</t>
        </is>
      </c>
      <c r="B546" s="1" t="n">
        <v>45673.69037037037</v>
      </c>
      <c r="C546" s="1" t="n">
        <v>46050</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46088-2023</t>
        </is>
      </c>
      <c r="B547" s="1" t="n">
        <v>45196.50065972222</v>
      </c>
      <c r="C547" s="1" t="n">
        <v>46050</v>
      </c>
      <c r="D547" t="inlineStr">
        <is>
          <t>KALMAR LÄN</t>
        </is>
      </c>
      <c r="E547" t="inlineStr">
        <is>
          <t>VÄSTERVIK</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31576-2025</t>
        </is>
      </c>
      <c r="B548" s="1" t="n">
        <v>45833.67266203704</v>
      </c>
      <c r="C548" s="1" t="n">
        <v>46050</v>
      </c>
      <c r="D548" t="inlineStr">
        <is>
          <t>KALMAR LÄN</t>
        </is>
      </c>
      <c r="E548" t="inlineStr">
        <is>
          <t>VÄSTERVIK</t>
        </is>
      </c>
      <c r="F548" t="inlineStr">
        <is>
          <t>Holmen skog AB</t>
        </is>
      </c>
      <c r="G548" t="n">
        <v>3.5</v>
      </c>
      <c r="H548" t="n">
        <v>0</v>
      </c>
      <c r="I548" t="n">
        <v>0</v>
      </c>
      <c r="J548" t="n">
        <v>0</v>
      </c>
      <c r="K548" t="n">
        <v>0</v>
      </c>
      <c r="L548" t="n">
        <v>0</v>
      </c>
      <c r="M548" t="n">
        <v>0</v>
      </c>
      <c r="N548" t="n">
        <v>0</v>
      </c>
      <c r="O548" t="n">
        <v>0</v>
      </c>
      <c r="P548" t="n">
        <v>0</v>
      </c>
      <c r="Q548" t="n">
        <v>0</v>
      </c>
      <c r="R548" s="2" t="inlineStr"/>
    </row>
    <row r="549" ht="15" customHeight="1">
      <c r="A549" t="inlineStr">
        <is>
          <t>A 31600-2025</t>
        </is>
      </c>
      <c r="B549" s="1" t="n">
        <v>45833.72505787037</v>
      </c>
      <c r="C549" s="1" t="n">
        <v>46050</v>
      </c>
      <c r="D549" t="inlineStr">
        <is>
          <t>KALMAR LÄN</t>
        </is>
      </c>
      <c r="E549" t="inlineStr">
        <is>
          <t>VÄSTERVIK</t>
        </is>
      </c>
      <c r="F549" t="inlineStr">
        <is>
          <t>Holmen skog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7165-2025</t>
        </is>
      </c>
      <c r="B550" s="1" t="n">
        <v>45702.39491898148</v>
      </c>
      <c r="C550" s="1" t="n">
        <v>46050</v>
      </c>
      <c r="D550" t="inlineStr">
        <is>
          <t>KALMAR LÄN</t>
        </is>
      </c>
      <c r="E550" t="inlineStr">
        <is>
          <t>VÄSTERVIK</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31419-2025</t>
        </is>
      </c>
      <c r="B551" s="1" t="n">
        <v>45833.48370370371</v>
      </c>
      <c r="C551" s="1" t="n">
        <v>46050</v>
      </c>
      <c r="D551" t="inlineStr">
        <is>
          <t>KALMAR LÄN</t>
        </is>
      </c>
      <c r="E551" t="inlineStr">
        <is>
          <t>VÄSTERVIK</t>
        </is>
      </c>
      <c r="F551" t="inlineStr">
        <is>
          <t>Kommuner</t>
        </is>
      </c>
      <c r="G551" t="n">
        <v>1.1</v>
      </c>
      <c r="H551" t="n">
        <v>0</v>
      </c>
      <c r="I551" t="n">
        <v>0</v>
      </c>
      <c r="J551" t="n">
        <v>0</v>
      </c>
      <c r="K551" t="n">
        <v>0</v>
      </c>
      <c r="L551" t="n">
        <v>0</v>
      </c>
      <c r="M551" t="n">
        <v>0</v>
      </c>
      <c r="N551" t="n">
        <v>0</v>
      </c>
      <c r="O551" t="n">
        <v>0</v>
      </c>
      <c r="P551" t="n">
        <v>0</v>
      </c>
      <c r="Q551" t="n">
        <v>0</v>
      </c>
      <c r="R551" s="2" t="inlineStr"/>
    </row>
    <row r="552" ht="15" customHeight="1">
      <c r="A552" t="inlineStr">
        <is>
          <t>A 31886-2025</t>
        </is>
      </c>
      <c r="B552" s="1" t="n">
        <v>45834.65864583333</v>
      </c>
      <c r="C552" s="1" t="n">
        <v>46050</v>
      </c>
      <c r="D552" t="inlineStr">
        <is>
          <t>KALMAR LÄN</t>
        </is>
      </c>
      <c r="E552" t="inlineStr">
        <is>
          <t>VÄSTERVIK</t>
        </is>
      </c>
      <c r="F552" t="inlineStr">
        <is>
          <t>Holmen skog AB</t>
        </is>
      </c>
      <c r="G552" t="n">
        <v>4.1</v>
      </c>
      <c r="H552" t="n">
        <v>0</v>
      </c>
      <c r="I552" t="n">
        <v>0</v>
      </c>
      <c r="J552" t="n">
        <v>0</v>
      </c>
      <c r="K552" t="n">
        <v>0</v>
      </c>
      <c r="L552" t="n">
        <v>0</v>
      </c>
      <c r="M552" t="n">
        <v>0</v>
      </c>
      <c r="N552" t="n">
        <v>0</v>
      </c>
      <c r="O552" t="n">
        <v>0</v>
      </c>
      <c r="P552" t="n">
        <v>0</v>
      </c>
      <c r="Q552" t="n">
        <v>0</v>
      </c>
      <c r="R552" s="2" t="inlineStr"/>
    </row>
    <row r="553" ht="15" customHeight="1">
      <c r="A553" t="inlineStr">
        <is>
          <t>A 23706-2025</t>
        </is>
      </c>
      <c r="B553" s="1" t="n">
        <v>45793.36922453704</v>
      </c>
      <c r="C553" s="1" t="n">
        <v>46050</v>
      </c>
      <c r="D553" t="inlineStr">
        <is>
          <t>KALMAR LÄN</t>
        </is>
      </c>
      <c r="E553" t="inlineStr">
        <is>
          <t>VÄSTERVIK</t>
        </is>
      </c>
      <c r="G553" t="n">
        <v>2.2</v>
      </c>
      <c r="H553" t="n">
        <v>0</v>
      </c>
      <c r="I553" t="n">
        <v>0</v>
      </c>
      <c r="J553" t="n">
        <v>0</v>
      </c>
      <c r="K553" t="n">
        <v>0</v>
      </c>
      <c r="L553" t="n">
        <v>0</v>
      </c>
      <c r="M553" t="n">
        <v>0</v>
      </c>
      <c r="N553" t="n">
        <v>0</v>
      </c>
      <c r="O553" t="n">
        <v>0</v>
      </c>
      <c r="P553" t="n">
        <v>0</v>
      </c>
      <c r="Q553" t="n">
        <v>0</v>
      </c>
      <c r="R553" s="2" t="inlineStr"/>
    </row>
    <row r="554" ht="15" customHeight="1">
      <c r="A554" t="inlineStr">
        <is>
          <t>A 31843-2025</t>
        </is>
      </c>
      <c r="B554" s="1" t="n">
        <v>45834.5984375</v>
      </c>
      <c r="C554" s="1" t="n">
        <v>46050</v>
      </c>
      <c r="D554" t="inlineStr">
        <is>
          <t>KALMAR LÄN</t>
        </is>
      </c>
      <c r="E554" t="inlineStr">
        <is>
          <t>VÄSTERVIK</t>
        </is>
      </c>
      <c r="F554" t="inlineStr">
        <is>
          <t>Holmen skog AB</t>
        </is>
      </c>
      <c r="G554" t="n">
        <v>4.5</v>
      </c>
      <c r="H554" t="n">
        <v>0</v>
      </c>
      <c r="I554" t="n">
        <v>0</v>
      </c>
      <c r="J554" t="n">
        <v>0</v>
      </c>
      <c r="K554" t="n">
        <v>0</v>
      </c>
      <c r="L554" t="n">
        <v>0</v>
      </c>
      <c r="M554" t="n">
        <v>0</v>
      </c>
      <c r="N554" t="n">
        <v>0</v>
      </c>
      <c r="O554" t="n">
        <v>0</v>
      </c>
      <c r="P554" t="n">
        <v>0</v>
      </c>
      <c r="Q554" t="n">
        <v>0</v>
      </c>
      <c r="R554" s="2" t="inlineStr"/>
    </row>
    <row r="555" ht="15" customHeight="1">
      <c r="A555" t="inlineStr">
        <is>
          <t>A 31826-2025</t>
        </is>
      </c>
      <c r="B555" s="1" t="n">
        <v>45834.58306712963</v>
      </c>
      <c r="C555" s="1" t="n">
        <v>46050</v>
      </c>
      <c r="D555" t="inlineStr">
        <is>
          <t>KALMAR LÄN</t>
        </is>
      </c>
      <c r="E555" t="inlineStr">
        <is>
          <t>VÄSTERVIK</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43651-2025</t>
        </is>
      </c>
      <c r="B556" s="1" t="n">
        <v>45912.32259259259</v>
      </c>
      <c r="C556" s="1" t="n">
        <v>46050</v>
      </c>
      <c r="D556" t="inlineStr">
        <is>
          <t>KALMAR LÄN</t>
        </is>
      </c>
      <c r="E556" t="inlineStr">
        <is>
          <t>VÄSTERVIK</t>
        </is>
      </c>
      <c r="G556" t="n">
        <v>1.1</v>
      </c>
      <c r="H556" t="n">
        <v>0</v>
      </c>
      <c r="I556" t="n">
        <v>0</v>
      </c>
      <c r="J556" t="n">
        <v>0</v>
      </c>
      <c r="K556" t="n">
        <v>0</v>
      </c>
      <c r="L556" t="n">
        <v>0</v>
      </c>
      <c r="M556" t="n">
        <v>0</v>
      </c>
      <c r="N556" t="n">
        <v>0</v>
      </c>
      <c r="O556" t="n">
        <v>0</v>
      </c>
      <c r="P556" t="n">
        <v>0</v>
      </c>
      <c r="Q556" t="n">
        <v>0</v>
      </c>
      <c r="R556" s="2" t="inlineStr"/>
    </row>
    <row r="557" ht="15" customHeight="1">
      <c r="A557" t="inlineStr">
        <is>
          <t>A 23080-2023</t>
        </is>
      </c>
      <c r="B557" s="1" t="n">
        <v>45075</v>
      </c>
      <c r="C557" s="1" t="n">
        <v>46050</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31857-2025</t>
        </is>
      </c>
      <c r="B558" s="1" t="n">
        <v>45834.62629629629</v>
      </c>
      <c r="C558" s="1" t="n">
        <v>46050</v>
      </c>
      <c r="D558" t="inlineStr">
        <is>
          <t>KALMAR LÄN</t>
        </is>
      </c>
      <c r="E558" t="inlineStr">
        <is>
          <t>VÄSTERVIK</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26140-2024</t>
        </is>
      </c>
      <c r="B559" s="1" t="n">
        <v>45468</v>
      </c>
      <c r="C559" s="1" t="n">
        <v>46050</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13275-2023</t>
        </is>
      </c>
      <c r="B560" s="1" t="n">
        <v>45003</v>
      </c>
      <c r="C560" s="1" t="n">
        <v>46050</v>
      </c>
      <c r="D560" t="inlineStr">
        <is>
          <t>KALMAR LÄN</t>
        </is>
      </c>
      <c r="E560" t="inlineStr">
        <is>
          <t>VÄSTERVIK</t>
        </is>
      </c>
      <c r="G560" t="n">
        <v>1.6</v>
      </c>
      <c r="H560" t="n">
        <v>0</v>
      </c>
      <c r="I560" t="n">
        <v>0</v>
      </c>
      <c r="J560" t="n">
        <v>0</v>
      </c>
      <c r="K560" t="n">
        <v>0</v>
      </c>
      <c r="L560" t="n">
        <v>0</v>
      </c>
      <c r="M560" t="n">
        <v>0</v>
      </c>
      <c r="N560" t="n">
        <v>0</v>
      </c>
      <c r="O560" t="n">
        <v>0</v>
      </c>
      <c r="P560" t="n">
        <v>0</v>
      </c>
      <c r="Q560" t="n">
        <v>0</v>
      </c>
      <c r="R560" s="2" t="inlineStr"/>
      <c r="U560">
        <f>HYPERLINK("https://klasma.github.io/Logging_0883/knärot/A 13275-2023 karta knärot.png", "A 13275-2023")</f>
        <v/>
      </c>
      <c r="V560">
        <f>HYPERLINK("https://klasma.github.io/Logging_0883/klagomål/A 13275-2023 FSC-klagomål.docx", "A 13275-2023")</f>
        <v/>
      </c>
      <c r="W560">
        <f>HYPERLINK("https://klasma.github.io/Logging_0883/klagomålsmail/A 13275-2023 FSC-klagomål mail.docx", "A 13275-2023")</f>
        <v/>
      </c>
      <c r="X560">
        <f>HYPERLINK("https://klasma.github.io/Logging_0883/tillsyn/A 13275-2023 tillsynsbegäran.docx", "A 13275-2023")</f>
        <v/>
      </c>
      <c r="Y560">
        <f>HYPERLINK("https://klasma.github.io/Logging_0883/tillsynsmail/A 13275-2023 tillsynsbegäran mail.docx", "A 13275-2023")</f>
        <v/>
      </c>
    </row>
    <row r="561" ht="15" customHeight="1">
      <c r="A561" t="inlineStr">
        <is>
          <t>A 18880-2025</t>
        </is>
      </c>
      <c r="B561" s="1" t="n">
        <v>45764.43959490741</v>
      </c>
      <c r="C561" s="1" t="n">
        <v>46050</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32018-2025</t>
        </is>
      </c>
      <c r="B562" s="1" t="n">
        <v>45835.40452546296</v>
      </c>
      <c r="C562" s="1" t="n">
        <v>46050</v>
      </c>
      <c r="D562" t="inlineStr">
        <is>
          <t>KALMAR LÄN</t>
        </is>
      </c>
      <c r="E562" t="inlineStr">
        <is>
          <t>VÄSTERVIK</t>
        </is>
      </c>
      <c r="G562" t="n">
        <v>0.8</v>
      </c>
      <c r="H562" t="n">
        <v>0</v>
      </c>
      <c r="I562" t="n">
        <v>0</v>
      </c>
      <c r="J562" t="n">
        <v>0</v>
      </c>
      <c r="K562" t="n">
        <v>0</v>
      </c>
      <c r="L562" t="n">
        <v>0</v>
      </c>
      <c r="M562" t="n">
        <v>0</v>
      </c>
      <c r="N562" t="n">
        <v>0</v>
      </c>
      <c r="O562" t="n">
        <v>0</v>
      </c>
      <c r="P562" t="n">
        <v>0</v>
      </c>
      <c r="Q562" t="n">
        <v>0</v>
      </c>
      <c r="R562" s="2" t="inlineStr"/>
    </row>
    <row r="563" ht="15" customHeight="1">
      <c r="A563" t="inlineStr">
        <is>
          <t>A 17648-2023</t>
        </is>
      </c>
      <c r="B563" s="1" t="n">
        <v>45036</v>
      </c>
      <c r="C563" s="1" t="n">
        <v>46050</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12595-2023</t>
        </is>
      </c>
      <c r="B564" s="1" t="n">
        <v>45000.43240740741</v>
      </c>
      <c r="C564" s="1" t="n">
        <v>46050</v>
      </c>
      <c r="D564" t="inlineStr">
        <is>
          <t>KALMAR LÄN</t>
        </is>
      </c>
      <c r="E564" t="inlineStr">
        <is>
          <t>VÄSTERVIK</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44461-2025</t>
        </is>
      </c>
      <c r="B565" s="1" t="n">
        <v>45916.62190972222</v>
      </c>
      <c r="C565" s="1" t="n">
        <v>46050</v>
      </c>
      <c r="D565" t="inlineStr">
        <is>
          <t>KALMAR LÄN</t>
        </is>
      </c>
      <c r="E565" t="inlineStr">
        <is>
          <t>VÄSTERVIK</t>
        </is>
      </c>
      <c r="G565" t="n">
        <v>3.4</v>
      </c>
      <c r="H565" t="n">
        <v>0</v>
      </c>
      <c r="I565" t="n">
        <v>0</v>
      </c>
      <c r="J565" t="n">
        <v>0</v>
      </c>
      <c r="K565" t="n">
        <v>0</v>
      </c>
      <c r="L565" t="n">
        <v>0</v>
      </c>
      <c r="M565" t="n">
        <v>0</v>
      </c>
      <c r="N565" t="n">
        <v>0</v>
      </c>
      <c r="O565" t="n">
        <v>0</v>
      </c>
      <c r="P565" t="n">
        <v>0</v>
      </c>
      <c r="Q565" t="n">
        <v>0</v>
      </c>
      <c r="R565" s="2" t="inlineStr"/>
    </row>
    <row r="566" ht="15" customHeight="1">
      <c r="A566" t="inlineStr">
        <is>
          <t>A 32400-2025</t>
        </is>
      </c>
      <c r="B566" s="1" t="n">
        <v>45838.25818287037</v>
      </c>
      <c r="C566" s="1" t="n">
        <v>46050</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37936-2022</t>
        </is>
      </c>
      <c r="B567" s="1" t="n">
        <v>44811.46958333333</v>
      </c>
      <c r="C567" s="1" t="n">
        <v>46050</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32778-2025</t>
        </is>
      </c>
      <c r="B568" s="1" t="n">
        <v>45839.46924768519</v>
      </c>
      <c r="C568" s="1" t="n">
        <v>46050</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57804-2021</t>
        </is>
      </c>
      <c r="B569" s="1" t="n">
        <v>44484</v>
      </c>
      <c r="C569" s="1" t="n">
        <v>46050</v>
      </c>
      <c r="D569" t="inlineStr">
        <is>
          <t>KALMAR LÄN</t>
        </is>
      </c>
      <c r="E569" t="inlineStr">
        <is>
          <t>VÄSTERVIK</t>
        </is>
      </c>
      <c r="G569" t="n">
        <v>1.6</v>
      </c>
      <c r="H569" t="n">
        <v>0</v>
      </c>
      <c r="I569" t="n">
        <v>0</v>
      </c>
      <c r="J569" t="n">
        <v>0</v>
      </c>
      <c r="K569" t="n">
        <v>0</v>
      </c>
      <c r="L569" t="n">
        <v>0</v>
      </c>
      <c r="M569" t="n">
        <v>0</v>
      </c>
      <c r="N569" t="n">
        <v>0</v>
      </c>
      <c r="O569" t="n">
        <v>0</v>
      </c>
      <c r="P569" t="n">
        <v>0</v>
      </c>
      <c r="Q569" t="n">
        <v>0</v>
      </c>
      <c r="R569" s="2" t="inlineStr"/>
    </row>
    <row r="570" ht="15" customHeight="1">
      <c r="A570" t="inlineStr">
        <is>
          <t>A 44848-2025</t>
        </is>
      </c>
      <c r="B570" s="1" t="n">
        <v>45918.44344907408</v>
      </c>
      <c r="C570" s="1" t="n">
        <v>46050</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44853-2025</t>
        </is>
      </c>
      <c r="B571" s="1" t="n">
        <v>45918.44818287037</v>
      </c>
      <c r="C571" s="1" t="n">
        <v>46050</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44861-2025</t>
        </is>
      </c>
      <c r="B572" s="1" t="n">
        <v>45918.45793981481</v>
      </c>
      <c r="C572" s="1" t="n">
        <v>46050</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c r="U572">
        <f>HYPERLINK("https://klasma.github.io/Logging_0883/knärot/A 44861-2025 karta knärot.png", "A 44861-2025")</f>
        <v/>
      </c>
      <c r="V572">
        <f>HYPERLINK("https://klasma.github.io/Logging_0883/klagomål/A 44861-2025 FSC-klagomål.docx", "A 44861-2025")</f>
        <v/>
      </c>
      <c r="W572">
        <f>HYPERLINK("https://klasma.github.io/Logging_0883/klagomålsmail/A 44861-2025 FSC-klagomål mail.docx", "A 44861-2025")</f>
        <v/>
      </c>
      <c r="X572">
        <f>HYPERLINK("https://klasma.github.io/Logging_0883/tillsyn/A 44861-2025 tillsynsbegäran.docx", "A 44861-2025")</f>
        <v/>
      </c>
      <c r="Y572">
        <f>HYPERLINK("https://klasma.github.io/Logging_0883/tillsynsmail/A 44861-2025 tillsynsbegäran mail.docx", "A 44861-2025")</f>
        <v/>
      </c>
    </row>
    <row r="573" ht="15" customHeight="1">
      <c r="A573" t="inlineStr">
        <is>
          <t>A 32495-2025</t>
        </is>
      </c>
      <c r="B573" s="1" t="n">
        <v>45838.4546875</v>
      </c>
      <c r="C573" s="1" t="n">
        <v>46050</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44792-2025</t>
        </is>
      </c>
      <c r="B574" s="1" t="n">
        <v>45918.31287037037</v>
      </c>
      <c r="C574" s="1" t="n">
        <v>46050</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1788-2025</t>
        </is>
      </c>
      <c r="B575" s="1" t="n">
        <v>45671.45521990741</v>
      </c>
      <c r="C575" s="1" t="n">
        <v>46050</v>
      </c>
      <c r="D575" t="inlineStr">
        <is>
          <t>KALMAR LÄN</t>
        </is>
      </c>
      <c r="E575" t="inlineStr">
        <is>
          <t>VÄSTERVIK</t>
        </is>
      </c>
      <c r="F575" t="inlineStr">
        <is>
          <t>Sveaskog</t>
        </is>
      </c>
      <c r="G575" t="n">
        <v>2.7</v>
      </c>
      <c r="H575" t="n">
        <v>0</v>
      </c>
      <c r="I575" t="n">
        <v>0</v>
      </c>
      <c r="J575" t="n">
        <v>0</v>
      </c>
      <c r="K575" t="n">
        <v>0</v>
      </c>
      <c r="L575" t="n">
        <v>0</v>
      </c>
      <c r="M575" t="n">
        <v>0</v>
      </c>
      <c r="N575" t="n">
        <v>0</v>
      </c>
      <c r="O575" t="n">
        <v>0</v>
      </c>
      <c r="P575" t="n">
        <v>0</v>
      </c>
      <c r="Q575" t="n">
        <v>0</v>
      </c>
      <c r="R575" s="2" t="inlineStr"/>
    </row>
    <row r="576" ht="15" customHeight="1">
      <c r="A576" t="inlineStr">
        <is>
          <t>A 44849-2025</t>
        </is>
      </c>
      <c r="B576" s="1" t="n">
        <v>45918.44545138889</v>
      </c>
      <c r="C576" s="1" t="n">
        <v>46050</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44981-2025</t>
        </is>
      </c>
      <c r="B577" s="1" t="n">
        <v>45918.64869212963</v>
      </c>
      <c r="C577" s="1" t="n">
        <v>46050</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6346-2023</t>
        </is>
      </c>
      <c r="B578" s="1" t="n">
        <v>44960</v>
      </c>
      <c r="C578" s="1" t="n">
        <v>46050</v>
      </c>
      <c r="D578" t="inlineStr">
        <is>
          <t>KALMAR LÄN</t>
        </is>
      </c>
      <c r="E578" t="inlineStr">
        <is>
          <t>VÄSTERVIK</t>
        </is>
      </c>
      <c r="G578" t="n">
        <v>4.5</v>
      </c>
      <c r="H578" t="n">
        <v>0</v>
      </c>
      <c r="I578" t="n">
        <v>0</v>
      </c>
      <c r="J578" t="n">
        <v>0</v>
      </c>
      <c r="K578" t="n">
        <v>0</v>
      </c>
      <c r="L578" t="n">
        <v>0</v>
      </c>
      <c r="M578" t="n">
        <v>0</v>
      </c>
      <c r="N578" t="n">
        <v>0</v>
      </c>
      <c r="O578" t="n">
        <v>0</v>
      </c>
      <c r="P578" t="n">
        <v>0</v>
      </c>
      <c r="Q578" t="n">
        <v>0</v>
      </c>
      <c r="R578" s="2" t="inlineStr"/>
    </row>
    <row r="579" ht="15" customHeight="1">
      <c r="A579" t="inlineStr">
        <is>
          <t>A 10778-2025</t>
        </is>
      </c>
      <c r="B579" s="1" t="n">
        <v>45722</v>
      </c>
      <c r="C579" s="1" t="n">
        <v>46050</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7163-2025</t>
        </is>
      </c>
      <c r="B580" s="1" t="n">
        <v>45702.3918287037</v>
      </c>
      <c r="C580" s="1" t="n">
        <v>46050</v>
      </c>
      <c r="D580" t="inlineStr">
        <is>
          <t>KALMAR LÄN</t>
        </is>
      </c>
      <c r="E580" t="inlineStr">
        <is>
          <t>VÄSTERVIK</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45877-2025</t>
        </is>
      </c>
      <c r="B581" s="1" t="n">
        <v>45923.65804398148</v>
      </c>
      <c r="C581" s="1" t="n">
        <v>46050</v>
      </c>
      <c r="D581" t="inlineStr">
        <is>
          <t>KALMAR LÄN</t>
        </is>
      </c>
      <c r="E581" t="inlineStr">
        <is>
          <t>VÄSTERVIK</t>
        </is>
      </c>
      <c r="G581" t="n">
        <v>5.6</v>
      </c>
      <c r="H581" t="n">
        <v>0</v>
      </c>
      <c r="I581" t="n">
        <v>0</v>
      </c>
      <c r="J581" t="n">
        <v>0</v>
      </c>
      <c r="K581" t="n">
        <v>0</v>
      </c>
      <c r="L581" t="n">
        <v>0</v>
      </c>
      <c r="M581" t="n">
        <v>0</v>
      </c>
      <c r="N581" t="n">
        <v>0</v>
      </c>
      <c r="O581" t="n">
        <v>0</v>
      </c>
      <c r="P581" t="n">
        <v>0</v>
      </c>
      <c r="Q581" t="n">
        <v>0</v>
      </c>
      <c r="R581" s="2" t="inlineStr"/>
    </row>
    <row r="582" ht="15" customHeight="1">
      <c r="A582" t="inlineStr">
        <is>
          <t>A 42816-2024</t>
        </is>
      </c>
      <c r="B582" s="1" t="n">
        <v>45566</v>
      </c>
      <c r="C582" s="1" t="n">
        <v>46050</v>
      </c>
      <c r="D582" t="inlineStr">
        <is>
          <t>KALMAR LÄN</t>
        </is>
      </c>
      <c r="E582" t="inlineStr">
        <is>
          <t>VÄSTERVIK</t>
        </is>
      </c>
      <c r="G582" t="n">
        <v>0.1</v>
      </c>
      <c r="H582" t="n">
        <v>0</v>
      </c>
      <c r="I582" t="n">
        <v>0</v>
      </c>
      <c r="J582" t="n">
        <v>0</v>
      </c>
      <c r="K582" t="n">
        <v>0</v>
      </c>
      <c r="L582" t="n">
        <v>0</v>
      </c>
      <c r="M582" t="n">
        <v>0</v>
      </c>
      <c r="N582" t="n">
        <v>0</v>
      </c>
      <c r="O582" t="n">
        <v>0</v>
      </c>
      <c r="P582" t="n">
        <v>0</v>
      </c>
      <c r="Q582" t="n">
        <v>0</v>
      </c>
      <c r="R582" s="2" t="inlineStr"/>
    </row>
    <row r="583" ht="15" customHeight="1">
      <c r="A583" t="inlineStr">
        <is>
          <t>A 33208-2022</t>
        </is>
      </c>
      <c r="B583" s="1" t="n">
        <v>44785</v>
      </c>
      <c r="C583" s="1" t="n">
        <v>46050</v>
      </c>
      <c r="D583" t="inlineStr">
        <is>
          <t>KALMAR LÄN</t>
        </is>
      </c>
      <c r="E583" t="inlineStr">
        <is>
          <t>VÄSTERVIK</t>
        </is>
      </c>
      <c r="G583" t="n">
        <v>2.6</v>
      </c>
      <c r="H583" t="n">
        <v>0</v>
      </c>
      <c r="I583" t="n">
        <v>0</v>
      </c>
      <c r="J583" t="n">
        <v>0</v>
      </c>
      <c r="K583" t="n">
        <v>0</v>
      </c>
      <c r="L583" t="n">
        <v>0</v>
      </c>
      <c r="M583" t="n">
        <v>0</v>
      </c>
      <c r="N583" t="n">
        <v>0</v>
      </c>
      <c r="O583" t="n">
        <v>0</v>
      </c>
      <c r="P583" t="n">
        <v>0</v>
      </c>
      <c r="Q583" t="n">
        <v>0</v>
      </c>
      <c r="R583" s="2" t="inlineStr"/>
    </row>
    <row r="584" ht="15" customHeight="1">
      <c r="A584" t="inlineStr">
        <is>
          <t>A 33924-2025</t>
        </is>
      </c>
      <c r="B584" s="1" t="n">
        <v>45842.62152777778</v>
      </c>
      <c r="C584" s="1" t="n">
        <v>46050</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782-2024</t>
        </is>
      </c>
      <c r="B585" s="1" t="n">
        <v>45300.55188657407</v>
      </c>
      <c r="C585" s="1" t="n">
        <v>46050</v>
      </c>
      <c r="D585" t="inlineStr">
        <is>
          <t>KALMAR LÄN</t>
        </is>
      </c>
      <c r="E585" t="inlineStr">
        <is>
          <t>VÄSTERVIK</t>
        </is>
      </c>
      <c r="G585" t="n">
        <v>2.7</v>
      </c>
      <c r="H585" t="n">
        <v>0</v>
      </c>
      <c r="I585" t="n">
        <v>0</v>
      </c>
      <c r="J585" t="n">
        <v>0</v>
      </c>
      <c r="K585" t="n">
        <v>0</v>
      </c>
      <c r="L585" t="n">
        <v>0</v>
      </c>
      <c r="M585" t="n">
        <v>0</v>
      </c>
      <c r="N585" t="n">
        <v>0</v>
      </c>
      <c r="O585" t="n">
        <v>0</v>
      </c>
      <c r="P585" t="n">
        <v>0</v>
      </c>
      <c r="Q585" t="n">
        <v>0</v>
      </c>
      <c r="R585" s="2" t="inlineStr"/>
    </row>
    <row r="586" ht="15" customHeight="1">
      <c r="A586" t="inlineStr">
        <is>
          <t>A 34171-2025</t>
        </is>
      </c>
      <c r="B586" s="1" t="n">
        <v>45845.58966435185</v>
      </c>
      <c r="C586" s="1" t="n">
        <v>46050</v>
      </c>
      <c r="D586" t="inlineStr">
        <is>
          <t>KALMAR LÄN</t>
        </is>
      </c>
      <c r="E586" t="inlineStr">
        <is>
          <t>VÄSTERVIK</t>
        </is>
      </c>
      <c r="G586" t="n">
        <v>1.6</v>
      </c>
      <c r="H586" t="n">
        <v>0</v>
      </c>
      <c r="I586" t="n">
        <v>0</v>
      </c>
      <c r="J586" t="n">
        <v>0</v>
      </c>
      <c r="K586" t="n">
        <v>0</v>
      </c>
      <c r="L586" t="n">
        <v>0</v>
      </c>
      <c r="M586" t="n">
        <v>0</v>
      </c>
      <c r="N586" t="n">
        <v>0</v>
      </c>
      <c r="O586" t="n">
        <v>0</v>
      </c>
      <c r="P586" t="n">
        <v>0</v>
      </c>
      <c r="Q586" t="n">
        <v>0</v>
      </c>
      <c r="R586" s="2" t="inlineStr"/>
    </row>
    <row r="587" ht="15" customHeight="1">
      <c r="A587" t="inlineStr">
        <is>
          <t>A 23024-2025</t>
        </is>
      </c>
      <c r="B587" s="1" t="n">
        <v>45790.65615740741</v>
      </c>
      <c r="C587" s="1" t="n">
        <v>46050</v>
      </c>
      <c r="D587" t="inlineStr">
        <is>
          <t>KALMAR LÄN</t>
        </is>
      </c>
      <c r="E587" t="inlineStr">
        <is>
          <t>VÄSTERVIK</t>
        </is>
      </c>
      <c r="G587" t="n">
        <v>1.7</v>
      </c>
      <c r="H587" t="n">
        <v>0</v>
      </c>
      <c r="I587" t="n">
        <v>0</v>
      </c>
      <c r="J587" t="n">
        <v>0</v>
      </c>
      <c r="K587" t="n">
        <v>0</v>
      </c>
      <c r="L587" t="n">
        <v>0</v>
      </c>
      <c r="M587" t="n">
        <v>0</v>
      </c>
      <c r="N587" t="n">
        <v>0</v>
      </c>
      <c r="O587" t="n">
        <v>0</v>
      </c>
      <c r="P587" t="n">
        <v>0</v>
      </c>
      <c r="Q587" t="n">
        <v>0</v>
      </c>
      <c r="R587" s="2" t="inlineStr"/>
    </row>
    <row r="588" ht="15" customHeight="1">
      <c r="A588" t="inlineStr">
        <is>
          <t>A 1585-2022</t>
        </is>
      </c>
      <c r="B588" s="1" t="n">
        <v>44573</v>
      </c>
      <c r="C588" s="1" t="n">
        <v>46050</v>
      </c>
      <c r="D588" t="inlineStr">
        <is>
          <t>KALMAR LÄN</t>
        </is>
      </c>
      <c r="E588" t="inlineStr">
        <is>
          <t>VÄSTERVIK</t>
        </is>
      </c>
      <c r="F588" t="inlineStr">
        <is>
          <t>Holmen skog AB</t>
        </is>
      </c>
      <c r="G588" t="n">
        <v>2.4</v>
      </c>
      <c r="H588" t="n">
        <v>0</v>
      </c>
      <c r="I588" t="n">
        <v>0</v>
      </c>
      <c r="J588" t="n">
        <v>0</v>
      </c>
      <c r="K588" t="n">
        <v>0</v>
      </c>
      <c r="L588" t="n">
        <v>0</v>
      </c>
      <c r="M588" t="n">
        <v>0</v>
      </c>
      <c r="N588" t="n">
        <v>0</v>
      </c>
      <c r="O588" t="n">
        <v>0</v>
      </c>
      <c r="P588" t="n">
        <v>0</v>
      </c>
      <c r="Q588" t="n">
        <v>0</v>
      </c>
      <c r="R588" s="2" t="inlineStr"/>
    </row>
    <row r="589" ht="15" customHeight="1">
      <c r="A589" t="inlineStr">
        <is>
          <t>A 33921-2025</t>
        </is>
      </c>
      <c r="B589" s="1" t="n">
        <v>45842.61626157408</v>
      </c>
      <c r="C589" s="1" t="n">
        <v>46050</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row>
    <row r="590" ht="15" customHeight="1">
      <c r="A590" t="inlineStr">
        <is>
          <t>A 33922-2025</t>
        </is>
      </c>
      <c r="B590" s="1" t="n">
        <v>45842.61993055556</v>
      </c>
      <c r="C590" s="1" t="n">
        <v>46050</v>
      </c>
      <c r="D590" t="inlineStr">
        <is>
          <t>KALMAR LÄN</t>
        </is>
      </c>
      <c r="E590" t="inlineStr">
        <is>
          <t>VÄSTERVIK</t>
        </is>
      </c>
      <c r="G590" t="n">
        <v>1.5</v>
      </c>
      <c r="H590" t="n">
        <v>0</v>
      </c>
      <c r="I590" t="n">
        <v>0</v>
      </c>
      <c r="J590" t="n">
        <v>0</v>
      </c>
      <c r="K590" t="n">
        <v>0</v>
      </c>
      <c r="L590" t="n">
        <v>0</v>
      </c>
      <c r="M590" t="n">
        <v>0</v>
      </c>
      <c r="N590" t="n">
        <v>0</v>
      </c>
      <c r="O590" t="n">
        <v>0</v>
      </c>
      <c r="P590" t="n">
        <v>0</v>
      </c>
      <c r="Q590" t="n">
        <v>0</v>
      </c>
      <c r="R590" s="2" t="inlineStr"/>
    </row>
    <row r="591" ht="15" customHeight="1">
      <c r="A591" t="inlineStr">
        <is>
          <t>A 33928-2025</t>
        </is>
      </c>
      <c r="B591" s="1" t="n">
        <v>45842.62488425926</v>
      </c>
      <c r="C591" s="1" t="n">
        <v>46050</v>
      </c>
      <c r="D591" t="inlineStr">
        <is>
          <t>KALMAR LÄN</t>
        </is>
      </c>
      <c r="E591" t="inlineStr">
        <is>
          <t>VÄSTERVIK</t>
        </is>
      </c>
      <c r="G591" t="n">
        <v>2.4</v>
      </c>
      <c r="H591" t="n">
        <v>0</v>
      </c>
      <c r="I591" t="n">
        <v>0</v>
      </c>
      <c r="J591" t="n">
        <v>0</v>
      </c>
      <c r="K591" t="n">
        <v>0</v>
      </c>
      <c r="L591" t="n">
        <v>0</v>
      </c>
      <c r="M591" t="n">
        <v>0</v>
      </c>
      <c r="N591" t="n">
        <v>0</v>
      </c>
      <c r="O591" t="n">
        <v>0</v>
      </c>
      <c r="P591" t="n">
        <v>0</v>
      </c>
      <c r="Q591" t="n">
        <v>0</v>
      </c>
      <c r="R591" s="2" t="inlineStr"/>
    </row>
    <row r="592" ht="15" customHeight="1">
      <c r="A592" t="inlineStr">
        <is>
          <t>A 46158-2025</t>
        </is>
      </c>
      <c r="B592" s="1" t="n">
        <v>45924.63511574074</v>
      </c>
      <c r="C592" s="1" t="n">
        <v>46050</v>
      </c>
      <c r="D592" t="inlineStr">
        <is>
          <t>KALMAR LÄN</t>
        </is>
      </c>
      <c r="E592" t="inlineStr">
        <is>
          <t>VÄSTERVIK</t>
        </is>
      </c>
      <c r="G592" t="n">
        <v>1.8</v>
      </c>
      <c r="H592" t="n">
        <v>0</v>
      </c>
      <c r="I592" t="n">
        <v>0</v>
      </c>
      <c r="J592" t="n">
        <v>0</v>
      </c>
      <c r="K592" t="n">
        <v>0</v>
      </c>
      <c r="L592" t="n">
        <v>0</v>
      </c>
      <c r="M592" t="n">
        <v>0</v>
      </c>
      <c r="N592" t="n">
        <v>0</v>
      </c>
      <c r="O592" t="n">
        <v>0</v>
      </c>
      <c r="P592" t="n">
        <v>0</v>
      </c>
      <c r="Q592" t="n">
        <v>0</v>
      </c>
      <c r="R592" s="2" t="inlineStr"/>
    </row>
    <row r="593" ht="15" customHeight="1">
      <c r="A593" t="inlineStr">
        <is>
          <t>A 46161-2025</t>
        </is>
      </c>
      <c r="B593" s="1" t="n">
        <v>45924.63733796297</v>
      </c>
      <c r="C593" s="1" t="n">
        <v>46050</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58731-2024</t>
        </is>
      </c>
      <c r="B594" s="1" t="n">
        <v>45635.67120370371</v>
      </c>
      <c r="C594" s="1" t="n">
        <v>46050</v>
      </c>
      <c r="D594" t="inlineStr">
        <is>
          <t>KALMAR LÄN</t>
        </is>
      </c>
      <c r="E594" t="inlineStr">
        <is>
          <t>VÄSTERVIK</t>
        </is>
      </c>
      <c r="G594" t="n">
        <v>2.3</v>
      </c>
      <c r="H594" t="n">
        <v>0</v>
      </c>
      <c r="I594" t="n">
        <v>0</v>
      </c>
      <c r="J594" t="n">
        <v>0</v>
      </c>
      <c r="K594" t="n">
        <v>0</v>
      </c>
      <c r="L594" t="n">
        <v>0</v>
      </c>
      <c r="M594" t="n">
        <v>0</v>
      </c>
      <c r="N594" t="n">
        <v>0</v>
      </c>
      <c r="O594" t="n">
        <v>0</v>
      </c>
      <c r="P594" t="n">
        <v>0</v>
      </c>
      <c r="Q594" t="n">
        <v>0</v>
      </c>
      <c r="R594" s="2" t="inlineStr"/>
    </row>
    <row r="595" ht="15" customHeight="1">
      <c r="A595" t="inlineStr">
        <is>
          <t>A 2872-2025</t>
        </is>
      </c>
      <c r="B595" s="1" t="n">
        <v>45677.68357638889</v>
      </c>
      <c r="C595" s="1" t="n">
        <v>46050</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33931-2025</t>
        </is>
      </c>
      <c r="B596" s="1" t="n">
        <v>45842.63288194445</v>
      </c>
      <c r="C596" s="1" t="n">
        <v>46050</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7100-2023</t>
        </is>
      </c>
      <c r="B597" s="1" t="n">
        <v>44970.37244212963</v>
      </c>
      <c r="C597" s="1" t="n">
        <v>46050</v>
      </c>
      <c r="D597" t="inlineStr">
        <is>
          <t>KALMAR LÄN</t>
        </is>
      </c>
      <c r="E597" t="inlineStr">
        <is>
          <t>VÄSTERVIK</t>
        </is>
      </c>
      <c r="G597" t="n">
        <v>1.7</v>
      </c>
      <c r="H597" t="n">
        <v>0</v>
      </c>
      <c r="I597" t="n">
        <v>0</v>
      </c>
      <c r="J597" t="n">
        <v>0</v>
      </c>
      <c r="K597" t="n">
        <v>0</v>
      </c>
      <c r="L597" t="n">
        <v>0</v>
      </c>
      <c r="M597" t="n">
        <v>0</v>
      </c>
      <c r="N597" t="n">
        <v>0</v>
      </c>
      <c r="O597" t="n">
        <v>0</v>
      </c>
      <c r="P597" t="n">
        <v>0</v>
      </c>
      <c r="Q597" t="n">
        <v>0</v>
      </c>
      <c r="R597" s="2" t="inlineStr"/>
    </row>
    <row r="598" ht="15" customHeight="1">
      <c r="A598" t="inlineStr">
        <is>
          <t>A 34162-2025</t>
        </is>
      </c>
      <c r="B598" s="1" t="n">
        <v>45845.57983796296</v>
      </c>
      <c r="C598" s="1" t="n">
        <v>46050</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34160-2025</t>
        </is>
      </c>
      <c r="B599" s="1" t="n">
        <v>45845.57701388889</v>
      </c>
      <c r="C599" s="1" t="n">
        <v>46050</v>
      </c>
      <c r="D599" t="inlineStr">
        <is>
          <t>KALMAR LÄN</t>
        </is>
      </c>
      <c r="E599" t="inlineStr">
        <is>
          <t>VÄSTERVIK</t>
        </is>
      </c>
      <c r="G599" t="n">
        <v>2.4</v>
      </c>
      <c r="H599" t="n">
        <v>0</v>
      </c>
      <c r="I599" t="n">
        <v>0</v>
      </c>
      <c r="J599" t="n">
        <v>0</v>
      </c>
      <c r="K599" t="n">
        <v>0</v>
      </c>
      <c r="L599" t="n">
        <v>0</v>
      </c>
      <c r="M599" t="n">
        <v>0</v>
      </c>
      <c r="N599" t="n">
        <v>0</v>
      </c>
      <c r="O599" t="n">
        <v>0</v>
      </c>
      <c r="P599" t="n">
        <v>0</v>
      </c>
      <c r="Q599" t="n">
        <v>0</v>
      </c>
      <c r="R599" s="2" t="inlineStr"/>
    </row>
    <row r="600" ht="15" customHeight="1">
      <c r="A600" t="inlineStr">
        <is>
          <t>A 31825-2022</t>
        </is>
      </c>
      <c r="B600" s="1" t="n">
        <v>44776.74908564815</v>
      </c>
      <c r="C600" s="1" t="n">
        <v>46050</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34617-2025</t>
        </is>
      </c>
      <c r="B601" s="1" t="n">
        <v>45847</v>
      </c>
      <c r="C601" s="1" t="n">
        <v>46050</v>
      </c>
      <c r="D601" t="inlineStr">
        <is>
          <t>KALMAR LÄN</t>
        </is>
      </c>
      <c r="E601" t="inlineStr">
        <is>
          <t>VÄSTERVIK</t>
        </is>
      </c>
      <c r="G601" t="n">
        <v>1.4</v>
      </c>
      <c r="H601" t="n">
        <v>0</v>
      </c>
      <c r="I601" t="n">
        <v>0</v>
      </c>
      <c r="J601" t="n">
        <v>0</v>
      </c>
      <c r="K601" t="n">
        <v>0</v>
      </c>
      <c r="L601" t="n">
        <v>0</v>
      </c>
      <c r="M601" t="n">
        <v>0</v>
      </c>
      <c r="N601" t="n">
        <v>0</v>
      </c>
      <c r="O601" t="n">
        <v>0</v>
      </c>
      <c r="P601" t="n">
        <v>0</v>
      </c>
      <c r="Q601" t="n">
        <v>0</v>
      </c>
      <c r="R601" s="2" t="inlineStr"/>
    </row>
    <row r="602" ht="15" customHeight="1">
      <c r="A602" t="inlineStr">
        <is>
          <t>A 34618-2025</t>
        </is>
      </c>
      <c r="B602" s="1" t="n">
        <v>45847</v>
      </c>
      <c r="C602" s="1" t="n">
        <v>46050</v>
      </c>
      <c r="D602" t="inlineStr">
        <is>
          <t>KALMAR LÄN</t>
        </is>
      </c>
      <c r="E602" t="inlineStr">
        <is>
          <t>VÄSTERVIK</t>
        </is>
      </c>
      <c r="G602" t="n">
        <v>2.6</v>
      </c>
      <c r="H602" t="n">
        <v>0</v>
      </c>
      <c r="I602" t="n">
        <v>0</v>
      </c>
      <c r="J602" t="n">
        <v>0</v>
      </c>
      <c r="K602" t="n">
        <v>0</v>
      </c>
      <c r="L602" t="n">
        <v>0</v>
      </c>
      <c r="M602" t="n">
        <v>0</v>
      </c>
      <c r="N602" t="n">
        <v>0</v>
      </c>
      <c r="O602" t="n">
        <v>0</v>
      </c>
      <c r="P602" t="n">
        <v>0</v>
      </c>
      <c r="Q602" t="n">
        <v>0</v>
      </c>
      <c r="R602" s="2" t="inlineStr"/>
    </row>
    <row r="603" ht="15" customHeight="1">
      <c r="A603" t="inlineStr">
        <is>
          <t>A 34397-2025</t>
        </is>
      </c>
      <c r="B603" s="1" t="n">
        <v>45846.59813657407</v>
      </c>
      <c r="C603" s="1" t="n">
        <v>46050</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15099-2023</t>
        </is>
      </c>
      <c r="B604" s="1" t="n">
        <v>45016.39048611111</v>
      </c>
      <c r="C604" s="1" t="n">
        <v>46050</v>
      </c>
      <c r="D604" t="inlineStr">
        <is>
          <t>KALMAR LÄN</t>
        </is>
      </c>
      <c r="E604" t="inlineStr">
        <is>
          <t>VÄSTERVIK</t>
        </is>
      </c>
      <c r="G604" t="n">
        <v>3</v>
      </c>
      <c r="H604" t="n">
        <v>0</v>
      </c>
      <c r="I604" t="n">
        <v>0</v>
      </c>
      <c r="J604" t="n">
        <v>0</v>
      </c>
      <c r="K604" t="n">
        <v>0</v>
      </c>
      <c r="L604" t="n">
        <v>0</v>
      </c>
      <c r="M604" t="n">
        <v>0</v>
      </c>
      <c r="N604" t="n">
        <v>0</v>
      </c>
      <c r="O604" t="n">
        <v>0</v>
      </c>
      <c r="P604" t="n">
        <v>0</v>
      </c>
      <c r="Q604" t="n">
        <v>0</v>
      </c>
      <c r="R604" s="2" t="inlineStr"/>
    </row>
    <row r="605" ht="15" customHeight="1">
      <c r="A605" t="inlineStr">
        <is>
          <t>A 47120-2023</t>
        </is>
      </c>
      <c r="B605" s="1" t="n">
        <v>45201</v>
      </c>
      <c r="C605" s="1" t="n">
        <v>46050</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47123-2023</t>
        </is>
      </c>
      <c r="B606" s="1" t="n">
        <v>45201.68075231482</v>
      </c>
      <c r="C606" s="1" t="n">
        <v>46050</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48121-2021</t>
        </is>
      </c>
      <c r="B607" s="1" t="n">
        <v>44449.46614583334</v>
      </c>
      <c r="C607" s="1" t="n">
        <v>46050</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34619-2025</t>
        </is>
      </c>
      <c r="B608" s="1" t="n">
        <v>45847</v>
      </c>
      <c r="C608" s="1" t="n">
        <v>46050</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34531-2025</t>
        </is>
      </c>
      <c r="B609" s="1" t="n">
        <v>45847.50152777778</v>
      </c>
      <c r="C609" s="1" t="n">
        <v>46050</v>
      </c>
      <c r="D609" t="inlineStr">
        <is>
          <t>KALMAR LÄN</t>
        </is>
      </c>
      <c r="E609" t="inlineStr">
        <is>
          <t>VÄSTERVIK</t>
        </is>
      </c>
      <c r="G609" t="n">
        <v>1.3</v>
      </c>
      <c r="H609" t="n">
        <v>0</v>
      </c>
      <c r="I609" t="n">
        <v>0</v>
      </c>
      <c r="J609" t="n">
        <v>0</v>
      </c>
      <c r="K609" t="n">
        <v>0</v>
      </c>
      <c r="L609" t="n">
        <v>0</v>
      </c>
      <c r="M609" t="n">
        <v>0</v>
      </c>
      <c r="N609" t="n">
        <v>0</v>
      </c>
      <c r="O609" t="n">
        <v>0</v>
      </c>
      <c r="P609" t="n">
        <v>0</v>
      </c>
      <c r="Q609" t="n">
        <v>0</v>
      </c>
      <c r="R609" s="2" t="inlineStr"/>
    </row>
    <row r="610" ht="15" customHeight="1">
      <c r="A610" t="inlineStr">
        <is>
          <t>A 57802-2024</t>
        </is>
      </c>
      <c r="B610" s="1" t="n">
        <v>45631.34590277778</v>
      </c>
      <c r="C610" s="1" t="n">
        <v>46050</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34289-2025</t>
        </is>
      </c>
      <c r="B611" s="1" t="n">
        <v>45846.334375</v>
      </c>
      <c r="C611" s="1" t="n">
        <v>46050</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34639-2025</t>
        </is>
      </c>
      <c r="B612" s="1" t="n">
        <v>45848</v>
      </c>
      <c r="C612" s="1" t="n">
        <v>46050</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1115-2025</t>
        </is>
      </c>
      <c r="B613" s="1" t="n">
        <v>45666.65664351852</v>
      </c>
      <c r="C613" s="1" t="n">
        <v>46050</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34643-2025</t>
        </is>
      </c>
      <c r="B614" s="1" t="n">
        <v>45848.32959490741</v>
      </c>
      <c r="C614" s="1" t="n">
        <v>46050</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29405-2024</t>
        </is>
      </c>
      <c r="B615" s="1" t="n">
        <v>45483</v>
      </c>
      <c r="C615" s="1" t="n">
        <v>46050</v>
      </c>
      <c r="D615" t="inlineStr">
        <is>
          <t>KALMAR LÄN</t>
        </is>
      </c>
      <c r="E615" t="inlineStr">
        <is>
          <t>VÄSTERVIK</t>
        </is>
      </c>
      <c r="G615" t="n">
        <v>1.8</v>
      </c>
      <c r="H615" t="n">
        <v>0</v>
      </c>
      <c r="I615" t="n">
        <v>0</v>
      </c>
      <c r="J615" t="n">
        <v>0</v>
      </c>
      <c r="K615" t="n">
        <v>0</v>
      </c>
      <c r="L615" t="n">
        <v>0</v>
      </c>
      <c r="M615" t="n">
        <v>0</v>
      </c>
      <c r="N615" t="n">
        <v>0</v>
      </c>
      <c r="O615" t="n">
        <v>0</v>
      </c>
      <c r="P615" t="n">
        <v>0</v>
      </c>
      <c r="Q615" t="n">
        <v>0</v>
      </c>
      <c r="R615" s="2" t="inlineStr"/>
    </row>
    <row r="616" ht="15" customHeight="1">
      <c r="A616" t="inlineStr">
        <is>
          <t>A 34916-2025</t>
        </is>
      </c>
      <c r="B616" s="1" t="n">
        <v>45849.54420138889</v>
      </c>
      <c r="C616" s="1" t="n">
        <v>46050</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1867-2025</t>
        </is>
      </c>
      <c r="B617" s="1" t="n">
        <v>45671.61569444444</v>
      </c>
      <c r="C617" s="1" t="n">
        <v>46050</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27982-2025</t>
        </is>
      </c>
      <c r="B618" s="1" t="n">
        <v>45817.57549768518</v>
      </c>
      <c r="C618" s="1" t="n">
        <v>46050</v>
      </c>
      <c r="D618" t="inlineStr">
        <is>
          <t>KALMAR LÄN</t>
        </is>
      </c>
      <c r="E618" t="inlineStr">
        <is>
          <t>VÄSTERVIK</t>
        </is>
      </c>
      <c r="G618" t="n">
        <v>2.5</v>
      </c>
      <c r="H618" t="n">
        <v>0</v>
      </c>
      <c r="I618" t="n">
        <v>0</v>
      </c>
      <c r="J618" t="n">
        <v>0</v>
      </c>
      <c r="K618" t="n">
        <v>0</v>
      </c>
      <c r="L618" t="n">
        <v>0</v>
      </c>
      <c r="M618" t="n">
        <v>0</v>
      </c>
      <c r="N618" t="n">
        <v>0</v>
      </c>
      <c r="O618" t="n">
        <v>0</v>
      </c>
      <c r="P618" t="n">
        <v>0</v>
      </c>
      <c r="Q618" t="n">
        <v>0</v>
      </c>
      <c r="R618" s="2" t="inlineStr"/>
    </row>
    <row r="619" ht="15" customHeight="1">
      <c r="A619" t="inlineStr">
        <is>
          <t>A 9549-2024</t>
        </is>
      </c>
      <c r="B619" s="1" t="n">
        <v>45359.87989583334</v>
      </c>
      <c r="C619" s="1" t="n">
        <v>46050</v>
      </c>
      <c r="D619" t="inlineStr">
        <is>
          <t>KALMAR LÄN</t>
        </is>
      </c>
      <c r="E619" t="inlineStr">
        <is>
          <t>VÄSTERVIK</t>
        </is>
      </c>
      <c r="F619" t="inlineStr">
        <is>
          <t>Holmen skog AB</t>
        </is>
      </c>
      <c r="G619" t="n">
        <v>2.6</v>
      </c>
      <c r="H619" t="n">
        <v>0</v>
      </c>
      <c r="I619" t="n">
        <v>0</v>
      </c>
      <c r="J619" t="n">
        <v>0</v>
      </c>
      <c r="K619" t="n">
        <v>0</v>
      </c>
      <c r="L619" t="n">
        <v>0</v>
      </c>
      <c r="M619" t="n">
        <v>0</v>
      </c>
      <c r="N619" t="n">
        <v>0</v>
      </c>
      <c r="O619" t="n">
        <v>0</v>
      </c>
      <c r="P619" t="n">
        <v>0</v>
      </c>
      <c r="Q619" t="n">
        <v>0</v>
      </c>
      <c r="R619" s="2" t="inlineStr"/>
    </row>
    <row r="620" ht="15" customHeight="1">
      <c r="A620" t="inlineStr">
        <is>
          <t>A 10012-2025</t>
        </is>
      </c>
      <c r="B620" s="1" t="n">
        <v>45719.46681712963</v>
      </c>
      <c r="C620" s="1" t="n">
        <v>46050</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9025-2022</t>
        </is>
      </c>
      <c r="B621" s="1" t="n">
        <v>44615</v>
      </c>
      <c r="C621" s="1" t="n">
        <v>46050</v>
      </c>
      <c r="D621" t="inlineStr">
        <is>
          <t>KALMAR LÄN</t>
        </is>
      </c>
      <c r="E621" t="inlineStr">
        <is>
          <t>VÄSTERVIK</t>
        </is>
      </c>
      <c r="G621" t="n">
        <v>0.6</v>
      </c>
      <c r="H621" t="n">
        <v>0</v>
      </c>
      <c r="I621" t="n">
        <v>0</v>
      </c>
      <c r="J621" t="n">
        <v>0</v>
      </c>
      <c r="K621" t="n">
        <v>0</v>
      </c>
      <c r="L621" t="n">
        <v>0</v>
      </c>
      <c r="M621" t="n">
        <v>0</v>
      </c>
      <c r="N621" t="n">
        <v>0</v>
      </c>
      <c r="O621" t="n">
        <v>0</v>
      </c>
      <c r="P621" t="n">
        <v>0</v>
      </c>
      <c r="Q621" t="n">
        <v>0</v>
      </c>
      <c r="R621" s="2" t="inlineStr"/>
    </row>
    <row r="622" ht="15" customHeight="1">
      <c r="A622" t="inlineStr">
        <is>
          <t>A 35187-2025</t>
        </is>
      </c>
      <c r="B622" s="1" t="n">
        <v>45853.31940972222</v>
      </c>
      <c r="C622" s="1" t="n">
        <v>46050</v>
      </c>
      <c r="D622" t="inlineStr">
        <is>
          <t>KALMAR LÄN</t>
        </is>
      </c>
      <c r="E622" t="inlineStr">
        <is>
          <t>VÄSTERVIK</t>
        </is>
      </c>
      <c r="G622" t="n">
        <v>1.6</v>
      </c>
      <c r="H622" t="n">
        <v>0</v>
      </c>
      <c r="I622" t="n">
        <v>0</v>
      </c>
      <c r="J622" t="n">
        <v>0</v>
      </c>
      <c r="K622" t="n">
        <v>0</v>
      </c>
      <c r="L622" t="n">
        <v>0</v>
      </c>
      <c r="M622" t="n">
        <v>0</v>
      </c>
      <c r="N622" t="n">
        <v>0</v>
      </c>
      <c r="O622" t="n">
        <v>0</v>
      </c>
      <c r="P622" t="n">
        <v>0</v>
      </c>
      <c r="Q622" t="n">
        <v>0</v>
      </c>
      <c r="R622" s="2" t="inlineStr"/>
    </row>
    <row r="623" ht="15" customHeight="1">
      <c r="A623" t="inlineStr">
        <is>
          <t>A 35207-2025</t>
        </is>
      </c>
      <c r="B623" s="1" t="n">
        <v>45853.43320601852</v>
      </c>
      <c r="C623" s="1" t="n">
        <v>46050</v>
      </c>
      <c r="D623" t="inlineStr">
        <is>
          <t>KALMAR LÄN</t>
        </is>
      </c>
      <c r="E623" t="inlineStr">
        <is>
          <t>VÄSTERVIK</t>
        </is>
      </c>
      <c r="G623" t="n">
        <v>7</v>
      </c>
      <c r="H623" t="n">
        <v>0</v>
      </c>
      <c r="I623" t="n">
        <v>0</v>
      </c>
      <c r="J623" t="n">
        <v>0</v>
      </c>
      <c r="K623" t="n">
        <v>0</v>
      </c>
      <c r="L623" t="n">
        <v>0</v>
      </c>
      <c r="M623" t="n">
        <v>0</v>
      </c>
      <c r="N623" t="n">
        <v>0</v>
      </c>
      <c r="O623" t="n">
        <v>0</v>
      </c>
      <c r="P623" t="n">
        <v>0</v>
      </c>
      <c r="Q623" t="n">
        <v>0</v>
      </c>
      <c r="R623" s="2" t="inlineStr"/>
    </row>
    <row r="624" ht="15" customHeight="1">
      <c r="A624" t="inlineStr">
        <is>
          <t>A 2738-2023</t>
        </is>
      </c>
      <c r="B624" s="1" t="n">
        <v>44944</v>
      </c>
      <c r="C624" s="1" t="n">
        <v>46050</v>
      </c>
      <c r="D624" t="inlineStr">
        <is>
          <t>KALMAR LÄN</t>
        </is>
      </c>
      <c r="E624" t="inlineStr">
        <is>
          <t>VÄSTERVIK</t>
        </is>
      </c>
      <c r="G624" t="n">
        <v>3</v>
      </c>
      <c r="H624" t="n">
        <v>0</v>
      </c>
      <c r="I624" t="n">
        <v>0</v>
      </c>
      <c r="J624" t="n">
        <v>0</v>
      </c>
      <c r="K624" t="n">
        <v>0</v>
      </c>
      <c r="L624" t="n">
        <v>0</v>
      </c>
      <c r="M624" t="n">
        <v>0</v>
      </c>
      <c r="N624" t="n">
        <v>0</v>
      </c>
      <c r="O624" t="n">
        <v>0</v>
      </c>
      <c r="P624" t="n">
        <v>0</v>
      </c>
      <c r="Q624" t="n">
        <v>0</v>
      </c>
      <c r="R624" s="2" t="inlineStr"/>
    </row>
    <row r="625" ht="15" customHeight="1">
      <c r="A625" t="inlineStr">
        <is>
          <t>A 6021-2024</t>
        </is>
      </c>
      <c r="B625" s="1" t="n">
        <v>45336.62131944444</v>
      </c>
      <c r="C625" s="1" t="n">
        <v>46050</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33207-2022</t>
        </is>
      </c>
      <c r="B626" s="1" t="n">
        <v>44785.72373842593</v>
      </c>
      <c r="C626" s="1" t="n">
        <v>46050</v>
      </c>
      <c r="D626" t="inlineStr">
        <is>
          <t>KALMAR LÄN</t>
        </is>
      </c>
      <c r="E626" t="inlineStr">
        <is>
          <t>VÄSTERVIK</t>
        </is>
      </c>
      <c r="G626" t="n">
        <v>0.9</v>
      </c>
      <c r="H626" t="n">
        <v>0</v>
      </c>
      <c r="I626" t="n">
        <v>0</v>
      </c>
      <c r="J626" t="n">
        <v>0</v>
      </c>
      <c r="K626" t="n">
        <v>0</v>
      </c>
      <c r="L626" t="n">
        <v>0</v>
      </c>
      <c r="M626" t="n">
        <v>0</v>
      </c>
      <c r="N626" t="n">
        <v>0</v>
      </c>
      <c r="O626" t="n">
        <v>0</v>
      </c>
      <c r="P626" t="n">
        <v>0</v>
      </c>
      <c r="Q626" t="n">
        <v>0</v>
      </c>
      <c r="R626" s="2" t="inlineStr"/>
    </row>
    <row r="627" ht="15" customHeight="1">
      <c r="A627" t="inlineStr">
        <is>
          <t>A 47775-2025</t>
        </is>
      </c>
      <c r="B627" s="1" t="n">
        <v>45931.72548611111</v>
      </c>
      <c r="C627" s="1" t="n">
        <v>46050</v>
      </c>
      <c r="D627" t="inlineStr">
        <is>
          <t>KALMAR LÄN</t>
        </is>
      </c>
      <c r="E627" t="inlineStr">
        <is>
          <t>VÄSTERVIK</t>
        </is>
      </c>
      <c r="G627" t="n">
        <v>4.2</v>
      </c>
      <c r="H627" t="n">
        <v>0</v>
      </c>
      <c r="I627" t="n">
        <v>0</v>
      </c>
      <c r="J627" t="n">
        <v>0</v>
      </c>
      <c r="K627" t="n">
        <v>0</v>
      </c>
      <c r="L627" t="n">
        <v>0</v>
      </c>
      <c r="M627" t="n">
        <v>0</v>
      </c>
      <c r="N627" t="n">
        <v>0</v>
      </c>
      <c r="O627" t="n">
        <v>0</v>
      </c>
      <c r="P627" t="n">
        <v>0</v>
      </c>
      <c r="Q627" t="n">
        <v>0</v>
      </c>
      <c r="R627" s="2" t="inlineStr"/>
    </row>
    <row r="628" ht="15" customHeight="1">
      <c r="A628" t="inlineStr">
        <is>
          <t>A 47776-2025</t>
        </is>
      </c>
      <c r="B628" s="1" t="n">
        <v>45931.7262962963</v>
      </c>
      <c r="C628" s="1" t="n">
        <v>46050</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56188-2023</t>
        </is>
      </c>
      <c r="B629" s="1" t="n">
        <v>45240.65173611111</v>
      </c>
      <c r="C629" s="1" t="n">
        <v>46050</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35108-2024</t>
        </is>
      </c>
      <c r="B630" s="1" t="n">
        <v>45529.64638888889</v>
      </c>
      <c r="C630" s="1" t="n">
        <v>46050</v>
      </c>
      <c r="D630" t="inlineStr">
        <is>
          <t>KALMAR LÄN</t>
        </is>
      </c>
      <c r="E630" t="inlineStr">
        <is>
          <t>VÄSTERVIK</t>
        </is>
      </c>
      <c r="G630" t="n">
        <v>10.5</v>
      </c>
      <c r="H630" t="n">
        <v>0</v>
      </c>
      <c r="I630" t="n">
        <v>0</v>
      </c>
      <c r="J630" t="n">
        <v>0</v>
      </c>
      <c r="K630" t="n">
        <v>0</v>
      </c>
      <c r="L630" t="n">
        <v>0</v>
      </c>
      <c r="M630" t="n">
        <v>0</v>
      </c>
      <c r="N630" t="n">
        <v>0</v>
      </c>
      <c r="O630" t="n">
        <v>0</v>
      </c>
      <c r="P630" t="n">
        <v>0</v>
      </c>
      <c r="Q630" t="n">
        <v>0</v>
      </c>
      <c r="R630" s="2" t="inlineStr"/>
    </row>
    <row r="631" ht="15" customHeight="1">
      <c r="A631" t="inlineStr">
        <is>
          <t>A 47777-2025</t>
        </is>
      </c>
      <c r="B631" s="1" t="n">
        <v>45931.72782407407</v>
      </c>
      <c r="C631" s="1" t="n">
        <v>46050</v>
      </c>
      <c r="D631" t="inlineStr">
        <is>
          <t>KALMAR LÄN</t>
        </is>
      </c>
      <c r="E631" t="inlineStr">
        <is>
          <t>VÄSTERVIK</t>
        </is>
      </c>
      <c r="G631" t="n">
        <v>1.4</v>
      </c>
      <c r="H631" t="n">
        <v>0</v>
      </c>
      <c r="I631" t="n">
        <v>0</v>
      </c>
      <c r="J631" t="n">
        <v>0</v>
      </c>
      <c r="K631" t="n">
        <v>0</v>
      </c>
      <c r="L631" t="n">
        <v>0</v>
      </c>
      <c r="M631" t="n">
        <v>0</v>
      </c>
      <c r="N631" t="n">
        <v>0</v>
      </c>
      <c r="O631" t="n">
        <v>0</v>
      </c>
      <c r="P631" t="n">
        <v>0</v>
      </c>
      <c r="Q631" t="n">
        <v>0</v>
      </c>
      <c r="R631" s="2" t="inlineStr"/>
    </row>
    <row r="632" ht="15" customHeight="1">
      <c r="A632" t="inlineStr">
        <is>
          <t>A 9267-2025</t>
        </is>
      </c>
      <c r="B632" s="1" t="n">
        <v>45714.61418981481</v>
      </c>
      <c r="C632" s="1" t="n">
        <v>46050</v>
      </c>
      <c r="D632" t="inlineStr">
        <is>
          <t>KALMAR LÄN</t>
        </is>
      </c>
      <c r="E632" t="inlineStr">
        <is>
          <t>VÄSTERVIK</t>
        </is>
      </c>
      <c r="F632" t="inlineStr">
        <is>
          <t>Sveaskog</t>
        </is>
      </c>
      <c r="G632" t="n">
        <v>6.8</v>
      </c>
      <c r="H632" t="n">
        <v>0</v>
      </c>
      <c r="I632" t="n">
        <v>0</v>
      </c>
      <c r="J632" t="n">
        <v>0</v>
      </c>
      <c r="K632" t="n">
        <v>0</v>
      </c>
      <c r="L632" t="n">
        <v>0</v>
      </c>
      <c r="M632" t="n">
        <v>0</v>
      </c>
      <c r="N632" t="n">
        <v>0</v>
      </c>
      <c r="O632" t="n">
        <v>0</v>
      </c>
      <c r="P632" t="n">
        <v>0</v>
      </c>
      <c r="Q632" t="n">
        <v>0</v>
      </c>
      <c r="R632" s="2" t="inlineStr"/>
    </row>
    <row r="633" ht="15" customHeight="1">
      <c r="A633" t="inlineStr">
        <is>
          <t>A 17306-2023</t>
        </is>
      </c>
      <c r="B633" s="1" t="n">
        <v>45035</v>
      </c>
      <c r="C633" s="1" t="n">
        <v>46050</v>
      </c>
      <c r="D633" t="inlineStr">
        <is>
          <t>KALMAR LÄN</t>
        </is>
      </c>
      <c r="E633" t="inlineStr">
        <is>
          <t>VÄSTERVIK</t>
        </is>
      </c>
      <c r="G633" t="n">
        <v>4.3</v>
      </c>
      <c r="H633" t="n">
        <v>0</v>
      </c>
      <c r="I633" t="n">
        <v>0</v>
      </c>
      <c r="J633" t="n">
        <v>0</v>
      </c>
      <c r="K633" t="n">
        <v>0</v>
      </c>
      <c r="L633" t="n">
        <v>0</v>
      </c>
      <c r="M633" t="n">
        <v>0</v>
      </c>
      <c r="N633" t="n">
        <v>0</v>
      </c>
      <c r="O633" t="n">
        <v>0</v>
      </c>
      <c r="P633" t="n">
        <v>0</v>
      </c>
      <c r="Q633" t="n">
        <v>0</v>
      </c>
      <c r="R633" s="2" t="inlineStr"/>
    </row>
    <row r="634" ht="15" customHeight="1">
      <c r="A634" t="inlineStr">
        <is>
          <t>A 10020-2021</t>
        </is>
      </c>
      <c r="B634" s="1" t="n">
        <v>44256</v>
      </c>
      <c r="C634" s="1" t="n">
        <v>46050</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48039-2025</t>
        </is>
      </c>
      <c r="B635" s="1" t="n">
        <v>45932</v>
      </c>
      <c r="C635" s="1" t="n">
        <v>46050</v>
      </c>
      <c r="D635" t="inlineStr">
        <is>
          <t>KALMAR LÄN</t>
        </is>
      </c>
      <c r="E635" t="inlineStr">
        <is>
          <t>VÄSTERVIK</t>
        </is>
      </c>
      <c r="G635" t="n">
        <v>1.2</v>
      </c>
      <c r="H635" t="n">
        <v>0</v>
      </c>
      <c r="I635" t="n">
        <v>0</v>
      </c>
      <c r="J635" t="n">
        <v>0</v>
      </c>
      <c r="K635" t="n">
        <v>0</v>
      </c>
      <c r="L635" t="n">
        <v>0</v>
      </c>
      <c r="M635" t="n">
        <v>0</v>
      </c>
      <c r="N635" t="n">
        <v>0</v>
      </c>
      <c r="O635" t="n">
        <v>0</v>
      </c>
      <c r="P635" t="n">
        <v>0</v>
      </c>
      <c r="Q635" t="n">
        <v>0</v>
      </c>
      <c r="R635" s="2" t="inlineStr"/>
    </row>
    <row r="636" ht="15" customHeight="1">
      <c r="A636" t="inlineStr">
        <is>
          <t>A 21660-2025</t>
        </is>
      </c>
      <c r="B636" s="1" t="n">
        <v>45783.45542824074</v>
      </c>
      <c r="C636" s="1" t="n">
        <v>46050</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69702-2021</t>
        </is>
      </c>
      <c r="B637" s="1" t="n">
        <v>44532.48237268518</v>
      </c>
      <c r="C637" s="1" t="n">
        <v>46050</v>
      </c>
      <c r="D637" t="inlineStr">
        <is>
          <t>KALMAR LÄN</t>
        </is>
      </c>
      <c r="E637" t="inlineStr">
        <is>
          <t>VÄSTERVIK</t>
        </is>
      </c>
      <c r="G637" t="n">
        <v>4.4</v>
      </c>
      <c r="H637" t="n">
        <v>0</v>
      </c>
      <c r="I637" t="n">
        <v>0</v>
      </c>
      <c r="J637" t="n">
        <v>0</v>
      </c>
      <c r="K637" t="n">
        <v>0</v>
      </c>
      <c r="L637" t="n">
        <v>0</v>
      </c>
      <c r="M637" t="n">
        <v>0</v>
      </c>
      <c r="N637" t="n">
        <v>0</v>
      </c>
      <c r="O637" t="n">
        <v>0</v>
      </c>
      <c r="P637" t="n">
        <v>0</v>
      </c>
      <c r="Q637" t="n">
        <v>0</v>
      </c>
      <c r="R637" s="2" t="inlineStr"/>
    </row>
    <row r="638" ht="15" customHeight="1">
      <c r="A638" t="inlineStr">
        <is>
          <t>A 48024-2025</t>
        </is>
      </c>
      <c r="B638" s="1" t="n">
        <v>45932.65021990741</v>
      </c>
      <c r="C638" s="1" t="n">
        <v>46050</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8593-2023</t>
        </is>
      </c>
      <c r="B639" s="1" t="n">
        <v>44977</v>
      </c>
      <c r="C639" s="1" t="n">
        <v>46050</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29722-2025</t>
        </is>
      </c>
      <c r="B640" s="1" t="n">
        <v>45825.57524305556</v>
      </c>
      <c r="C640" s="1" t="n">
        <v>46050</v>
      </c>
      <c r="D640" t="inlineStr">
        <is>
          <t>KALMAR LÄN</t>
        </is>
      </c>
      <c r="E640" t="inlineStr">
        <is>
          <t>VÄSTERVIK</t>
        </is>
      </c>
      <c r="G640" t="n">
        <v>2.9</v>
      </c>
      <c r="H640" t="n">
        <v>0</v>
      </c>
      <c r="I640" t="n">
        <v>0</v>
      </c>
      <c r="J640" t="n">
        <v>0</v>
      </c>
      <c r="K640" t="n">
        <v>0</v>
      </c>
      <c r="L640" t="n">
        <v>0</v>
      </c>
      <c r="M640" t="n">
        <v>0</v>
      </c>
      <c r="N640" t="n">
        <v>0</v>
      </c>
      <c r="O640" t="n">
        <v>0</v>
      </c>
      <c r="P640" t="n">
        <v>0</v>
      </c>
      <c r="Q640" t="n">
        <v>0</v>
      </c>
      <c r="R640" s="2" t="inlineStr"/>
    </row>
    <row r="641" ht="15" customHeight="1">
      <c r="A641" t="inlineStr">
        <is>
          <t>A 48738-2025</t>
        </is>
      </c>
      <c r="B641" s="1" t="n">
        <v>45936.67061342593</v>
      </c>
      <c r="C641" s="1" t="n">
        <v>46050</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23148-2025</t>
        </is>
      </c>
      <c r="B642" s="1" t="n">
        <v>45791.40225694444</v>
      </c>
      <c r="C642" s="1" t="n">
        <v>46050</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47363-2023</t>
        </is>
      </c>
      <c r="B643" s="1" t="n">
        <v>45202.59584490741</v>
      </c>
      <c r="C643" s="1" t="n">
        <v>46050</v>
      </c>
      <c r="D643" t="inlineStr">
        <is>
          <t>KALMAR LÄN</t>
        </is>
      </c>
      <c r="E643" t="inlineStr">
        <is>
          <t>VÄSTERVIK</t>
        </is>
      </c>
      <c r="G643" t="n">
        <v>2.5</v>
      </c>
      <c r="H643" t="n">
        <v>0</v>
      </c>
      <c r="I643" t="n">
        <v>0</v>
      </c>
      <c r="J643" t="n">
        <v>0</v>
      </c>
      <c r="K643" t="n">
        <v>0</v>
      </c>
      <c r="L643" t="n">
        <v>0</v>
      </c>
      <c r="M643" t="n">
        <v>0</v>
      </c>
      <c r="N643" t="n">
        <v>0</v>
      </c>
      <c r="O643" t="n">
        <v>0</v>
      </c>
      <c r="P643" t="n">
        <v>0</v>
      </c>
      <c r="Q643" t="n">
        <v>0</v>
      </c>
      <c r="R643" s="2" t="inlineStr"/>
    </row>
    <row r="644" ht="15" customHeight="1">
      <c r="A644" t="inlineStr">
        <is>
          <t>A 37716-2023</t>
        </is>
      </c>
      <c r="B644" s="1" t="n">
        <v>45159</v>
      </c>
      <c r="C644" s="1" t="n">
        <v>46050</v>
      </c>
      <c r="D644" t="inlineStr">
        <is>
          <t>KALMAR LÄN</t>
        </is>
      </c>
      <c r="E644" t="inlineStr">
        <is>
          <t>VÄSTERVIK</t>
        </is>
      </c>
      <c r="G644" t="n">
        <v>1.7</v>
      </c>
      <c r="H644" t="n">
        <v>0</v>
      </c>
      <c r="I644" t="n">
        <v>0</v>
      </c>
      <c r="J644" t="n">
        <v>0</v>
      </c>
      <c r="K644" t="n">
        <v>0</v>
      </c>
      <c r="L644" t="n">
        <v>0</v>
      </c>
      <c r="M644" t="n">
        <v>0</v>
      </c>
      <c r="N644" t="n">
        <v>0</v>
      </c>
      <c r="O644" t="n">
        <v>0</v>
      </c>
      <c r="P644" t="n">
        <v>0</v>
      </c>
      <c r="Q644" t="n">
        <v>0</v>
      </c>
      <c r="R644" s="2" t="inlineStr"/>
    </row>
    <row r="645" ht="15" customHeight="1">
      <c r="A645" t="inlineStr">
        <is>
          <t>A 5691-2025</t>
        </is>
      </c>
      <c r="B645" s="1" t="n">
        <v>45694.37447916667</v>
      </c>
      <c r="C645" s="1" t="n">
        <v>46050</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5355-2024</t>
        </is>
      </c>
      <c r="B646" s="1" t="n">
        <v>45331</v>
      </c>
      <c r="C646" s="1" t="n">
        <v>46050</v>
      </c>
      <c r="D646" t="inlineStr">
        <is>
          <t>KALMAR LÄN</t>
        </is>
      </c>
      <c r="E646" t="inlineStr">
        <is>
          <t>VÄSTERVIK</t>
        </is>
      </c>
      <c r="F646" t="inlineStr">
        <is>
          <t>Övriga Aktiebolag</t>
        </is>
      </c>
      <c r="G646" t="n">
        <v>1.8</v>
      </c>
      <c r="H646" t="n">
        <v>0</v>
      </c>
      <c r="I646" t="n">
        <v>0</v>
      </c>
      <c r="J646" t="n">
        <v>0</v>
      </c>
      <c r="K646" t="n">
        <v>0</v>
      </c>
      <c r="L646" t="n">
        <v>0</v>
      </c>
      <c r="M646" t="n">
        <v>0</v>
      </c>
      <c r="N646" t="n">
        <v>0</v>
      </c>
      <c r="O646" t="n">
        <v>0</v>
      </c>
      <c r="P646" t="n">
        <v>0</v>
      </c>
      <c r="Q646" t="n">
        <v>0</v>
      </c>
      <c r="R646" s="2" t="inlineStr"/>
    </row>
    <row r="647" ht="15" customHeight="1">
      <c r="A647" t="inlineStr">
        <is>
          <t>A 54190-2022</t>
        </is>
      </c>
      <c r="B647" s="1" t="n">
        <v>44881.68282407407</v>
      </c>
      <c r="C647" s="1" t="n">
        <v>46050</v>
      </c>
      <c r="D647" t="inlineStr">
        <is>
          <t>KALMAR LÄN</t>
        </is>
      </c>
      <c r="E647" t="inlineStr">
        <is>
          <t>VÄSTERVIK</t>
        </is>
      </c>
      <c r="G647" t="n">
        <v>7.4</v>
      </c>
      <c r="H647" t="n">
        <v>0</v>
      </c>
      <c r="I647" t="n">
        <v>0</v>
      </c>
      <c r="J647" t="n">
        <v>0</v>
      </c>
      <c r="K647" t="n">
        <v>0</v>
      </c>
      <c r="L647" t="n">
        <v>0</v>
      </c>
      <c r="M647" t="n">
        <v>0</v>
      </c>
      <c r="N647" t="n">
        <v>0</v>
      </c>
      <c r="O647" t="n">
        <v>0</v>
      </c>
      <c r="P647" t="n">
        <v>0</v>
      </c>
      <c r="Q647" t="n">
        <v>0</v>
      </c>
      <c r="R647" s="2" t="inlineStr"/>
    </row>
    <row r="648" ht="15" customHeight="1">
      <c r="A648" t="inlineStr">
        <is>
          <t>A 10766-2025</t>
        </is>
      </c>
      <c r="B648" s="1" t="n">
        <v>45722.4630787037</v>
      </c>
      <c r="C648" s="1" t="n">
        <v>46050</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48887-2025</t>
        </is>
      </c>
      <c r="B649" s="1" t="n">
        <v>45937.46826388889</v>
      </c>
      <c r="C649" s="1" t="n">
        <v>46050</v>
      </c>
      <c r="D649" t="inlineStr">
        <is>
          <t>KALMAR LÄN</t>
        </is>
      </c>
      <c r="E649" t="inlineStr">
        <is>
          <t>VÄSTERVIK</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49004-2025</t>
        </is>
      </c>
      <c r="B650" s="1" t="n">
        <v>45937.59958333334</v>
      </c>
      <c r="C650" s="1" t="n">
        <v>46050</v>
      </c>
      <c r="D650" t="inlineStr">
        <is>
          <t>KALMAR LÄN</t>
        </is>
      </c>
      <c r="E650" t="inlineStr">
        <is>
          <t>VÄSTERVIK</t>
        </is>
      </c>
      <c r="F650" t="inlineStr">
        <is>
          <t>Holmen skog AB</t>
        </is>
      </c>
      <c r="G650" t="n">
        <v>4.8</v>
      </c>
      <c r="H650" t="n">
        <v>0</v>
      </c>
      <c r="I650" t="n">
        <v>0</v>
      </c>
      <c r="J650" t="n">
        <v>0</v>
      </c>
      <c r="K650" t="n">
        <v>0</v>
      </c>
      <c r="L650" t="n">
        <v>0</v>
      </c>
      <c r="M650" t="n">
        <v>0</v>
      </c>
      <c r="N650" t="n">
        <v>0</v>
      </c>
      <c r="O650" t="n">
        <v>0</v>
      </c>
      <c r="P650" t="n">
        <v>0</v>
      </c>
      <c r="Q650" t="n">
        <v>0</v>
      </c>
      <c r="R650" s="2" t="inlineStr"/>
    </row>
    <row r="651" ht="15" customHeight="1">
      <c r="A651" t="inlineStr">
        <is>
          <t>A 36757-2025</t>
        </is>
      </c>
      <c r="B651" s="1" t="n">
        <v>45873.56483796296</v>
      </c>
      <c r="C651" s="1" t="n">
        <v>46050</v>
      </c>
      <c r="D651" t="inlineStr">
        <is>
          <t>KALMAR LÄN</t>
        </is>
      </c>
      <c r="E651" t="inlineStr">
        <is>
          <t>VÄSTERVIK</t>
        </is>
      </c>
      <c r="G651" t="n">
        <v>2.3</v>
      </c>
      <c r="H651" t="n">
        <v>0</v>
      </c>
      <c r="I651" t="n">
        <v>0</v>
      </c>
      <c r="J651" t="n">
        <v>0</v>
      </c>
      <c r="K651" t="n">
        <v>0</v>
      </c>
      <c r="L651" t="n">
        <v>0</v>
      </c>
      <c r="M651" t="n">
        <v>0</v>
      </c>
      <c r="N651" t="n">
        <v>0</v>
      </c>
      <c r="O651" t="n">
        <v>0</v>
      </c>
      <c r="P651" t="n">
        <v>0</v>
      </c>
      <c r="Q651" t="n">
        <v>0</v>
      </c>
      <c r="R651" s="2" t="inlineStr"/>
    </row>
    <row r="652" ht="15" customHeight="1">
      <c r="A652" t="inlineStr">
        <is>
          <t>A 35770-2023</t>
        </is>
      </c>
      <c r="B652" s="1" t="n">
        <v>45147</v>
      </c>
      <c r="C652" s="1" t="n">
        <v>46050</v>
      </c>
      <c r="D652" t="inlineStr">
        <is>
          <t>KALMAR LÄN</t>
        </is>
      </c>
      <c r="E652" t="inlineStr">
        <is>
          <t>VÄSTERVIK</t>
        </is>
      </c>
      <c r="F652" t="inlineStr">
        <is>
          <t>Holmen skog AB</t>
        </is>
      </c>
      <c r="G652" t="n">
        <v>2</v>
      </c>
      <c r="H652" t="n">
        <v>0</v>
      </c>
      <c r="I652" t="n">
        <v>0</v>
      </c>
      <c r="J652" t="n">
        <v>0</v>
      </c>
      <c r="K652" t="n">
        <v>0</v>
      </c>
      <c r="L652" t="n">
        <v>0</v>
      </c>
      <c r="M652" t="n">
        <v>0</v>
      </c>
      <c r="N652" t="n">
        <v>0</v>
      </c>
      <c r="O652" t="n">
        <v>0</v>
      </c>
      <c r="P652" t="n">
        <v>0</v>
      </c>
      <c r="Q652" t="n">
        <v>0</v>
      </c>
      <c r="R652" s="2" t="inlineStr"/>
    </row>
    <row r="653" ht="15" customHeight="1">
      <c r="A653" t="inlineStr">
        <is>
          <t>A 48873-2025</t>
        </is>
      </c>
      <c r="B653" s="1" t="n">
        <v>45937.45417824074</v>
      </c>
      <c r="C653" s="1" t="n">
        <v>46050</v>
      </c>
      <c r="D653" t="inlineStr">
        <is>
          <t>KALMAR LÄN</t>
        </is>
      </c>
      <c r="E653" t="inlineStr">
        <is>
          <t>VÄSTERVIK</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49409-2025</t>
        </is>
      </c>
      <c r="B654" s="1" t="n">
        <v>45938.678125</v>
      </c>
      <c r="C654" s="1" t="n">
        <v>46050</v>
      </c>
      <c r="D654" t="inlineStr">
        <is>
          <t>KALMAR LÄN</t>
        </is>
      </c>
      <c r="E654" t="inlineStr">
        <is>
          <t>VÄSTERVIK</t>
        </is>
      </c>
      <c r="G654" t="n">
        <v>2.6</v>
      </c>
      <c r="H654" t="n">
        <v>0</v>
      </c>
      <c r="I654" t="n">
        <v>0</v>
      </c>
      <c r="J654" t="n">
        <v>0</v>
      </c>
      <c r="K654" t="n">
        <v>0</v>
      </c>
      <c r="L654" t="n">
        <v>0</v>
      </c>
      <c r="M654" t="n">
        <v>0</v>
      </c>
      <c r="N654" t="n">
        <v>0</v>
      </c>
      <c r="O654" t="n">
        <v>0</v>
      </c>
      <c r="P654" t="n">
        <v>0</v>
      </c>
      <c r="Q654" t="n">
        <v>0</v>
      </c>
      <c r="R654" s="2" t="inlineStr"/>
    </row>
    <row r="655" ht="15" customHeight="1">
      <c r="A655" t="inlineStr">
        <is>
          <t>A 49411-2025</t>
        </is>
      </c>
      <c r="B655" s="1" t="n">
        <v>45938.68115740741</v>
      </c>
      <c r="C655" s="1" t="n">
        <v>46050</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38040-2023</t>
        </is>
      </c>
      <c r="B656" s="1" t="n">
        <v>45160.66336805555</v>
      </c>
      <c r="C656" s="1" t="n">
        <v>46050</v>
      </c>
      <c r="D656" t="inlineStr">
        <is>
          <t>KALMAR LÄN</t>
        </is>
      </c>
      <c r="E656" t="inlineStr">
        <is>
          <t>VÄSTERVIK</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63606-2023</t>
        </is>
      </c>
      <c r="B657" s="1" t="n">
        <v>45275</v>
      </c>
      <c r="C657" s="1" t="n">
        <v>46050</v>
      </c>
      <c r="D657" t="inlineStr">
        <is>
          <t>KALMAR LÄN</t>
        </is>
      </c>
      <c r="E657" t="inlineStr">
        <is>
          <t>VÄSTERVIK</t>
        </is>
      </c>
      <c r="G657" t="n">
        <v>2.9</v>
      </c>
      <c r="H657" t="n">
        <v>0</v>
      </c>
      <c r="I657" t="n">
        <v>0</v>
      </c>
      <c r="J657" t="n">
        <v>0</v>
      </c>
      <c r="K657" t="n">
        <v>0</v>
      </c>
      <c r="L657" t="n">
        <v>0</v>
      </c>
      <c r="M657" t="n">
        <v>0</v>
      </c>
      <c r="N657" t="n">
        <v>0</v>
      </c>
      <c r="O657" t="n">
        <v>0</v>
      </c>
      <c r="P657" t="n">
        <v>0</v>
      </c>
      <c r="Q657" t="n">
        <v>0</v>
      </c>
      <c r="R657" s="2" t="inlineStr"/>
    </row>
    <row r="658" ht="15" customHeight="1">
      <c r="A658" t="inlineStr">
        <is>
          <t>A 49616-2025</t>
        </is>
      </c>
      <c r="B658" s="1" t="n">
        <v>45939.58503472222</v>
      </c>
      <c r="C658" s="1" t="n">
        <v>46050</v>
      </c>
      <c r="D658" t="inlineStr">
        <is>
          <t>KALMAR LÄN</t>
        </is>
      </c>
      <c r="E658" t="inlineStr">
        <is>
          <t>VÄSTERVIK</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20483-2025</t>
        </is>
      </c>
      <c r="B659" s="1" t="n">
        <v>45775.55954861111</v>
      </c>
      <c r="C659" s="1" t="n">
        <v>46050</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49525-2025</t>
        </is>
      </c>
      <c r="B660" s="1" t="n">
        <v>45939.4015625</v>
      </c>
      <c r="C660" s="1" t="n">
        <v>46050</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11198-2024</t>
        </is>
      </c>
      <c r="B661" s="1" t="n">
        <v>45371</v>
      </c>
      <c r="C661" s="1" t="n">
        <v>46050</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row>
    <row r="662" ht="15" customHeight="1">
      <c r="A662" t="inlineStr">
        <is>
          <t>A 2746-2023</t>
        </is>
      </c>
      <c r="B662" s="1" t="n">
        <v>44944</v>
      </c>
      <c r="C662" s="1" t="n">
        <v>46050</v>
      </c>
      <c r="D662" t="inlineStr">
        <is>
          <t>KALMAR LÄN</t>
        </is>
      </c>
      <c r="E662" t="inlineStr">
        <is>
          <t>VÄSTERVIK</t>
        </is>
      </c>
      <c r="G662" t="n">
        <v>5.5</v>
      </c>
      <c r="H662" t="n">
        <v>0</v>
      </c>
      <c r="I662" t="n">
        <v>0</v>
      </c>
      <c r="J662" t="n">
        <v>0</v>
      </c>
      <c r="K662" t="n">
        <v>0</v>
      </c>
      <c r="L662" t="n">
        <v>0</v>
      </c>
      <c r="M662" t="n">
        <v>0</v>
      </c>
      <c r="N662" t="n">
        <v>0</v>
      </c>
      <c r="O662" t="n">
        <v>0</v>
      </c>
      <c r="P662" t="n">
        <v>0</v>
      </c>
      <c r="Q662" t="n">
        <v>0</v>
      </c>
      <c r="R662" s="2" t="inlineStr"/>
    </row>
    <row r="663" ht="15" customHeight="1">
      <c r="A663" t="inlineStr">
        <is>
          <t>A 36754-2025</t>
        </is>
      </c>
      <c r="B663" s="1" t="n">
        <v>45873.5591087963</v>
      </c>
      <c r="C663" s="1" t="n">
        <v>46050</v>
      </c>
      <c r="D663" t="inlineStr">
        <is>
          <t>KALMAR LÄN</t>
        </is>
      </c>
      <c r="E663" t="inlineStr">
        <is>
          <t>VÄSTERVIK</t>
        </is>
      </c>
      <c r="G663" t="n">
        <v>1.1</v>
      </c>
      <c r="H663" t="n">
        <v>0</v>
      </c>
      <c r="I663" t="n">
        <v>0</v>
      </c>
      <c r="J663" t="n">
        <v>0</v>
      </c>
      <c r="K663" t="n">
        <v>0</v>
      </c>
      <c r="L663" t="n">
        <v>0</v>
      </c>
      <c r="M663" t="n">
        <v>0</v>
      </c>
      <c r="N663" t="n">
        <v>0</v>
      </c>
      <c r="O663" t="n">
        <v>0</v>
      </c>
      <c r="P663" t="n">
        <v>0</v>
      </c>
      <c r="Q663" t="n">
        <v>0</v>
      </c>
      <c r="R663" s="2" t="inlineStr"/>
    </row>
    <row r="664" ht="15" customHeight="1">
      <c r="A664" t="inlineStr">
        <is>
          <t>A 31686-2023</t>
        </is>
      </c>
      <c r="B664" s="1" t="n">
        <v>45117</v>
      </c>
      <c r="C664" s="1" t="n">
        <v>46050</v>
      </c>
      <c r="D664" t="inlineStr">
        <is>
          <t>KALMAR LÄN</t>
        </is>
      </c>
      <c r="E664" t="inlineStr">
        <is>
          <t>VÄSTERVIK</t>
        </is>
      </c>
      <c r="G664" t="n">
        <v>1.7</v>
      </c>
      <c r="H664" t="n">
        <v>0</v>
      </c>
      <c r="I664" t="n">
        <v>0</v>
      </c>
      <c r="J664" t="n">
        <v>0</v>
      </c>
      <c r="K664" t="n">
        <v>0</v>
      </c>
      <c r="L664" t="n">
        <v>0</v>
      </c>
      <c r="M664" t="n">
        <v>0</v>
      </c>
      <c r="N664" t="n">
        <v>0</v>
      </c>
      <c r="O664" t="n">
        <v>0</v>
      </c>
      <c r="P664" t="n">
        <v>0</v>
      </c>
      <c r="Q664" t="n">
        <v>0</v>
      </c>
      <c r="R664" s="2" t="inlineStr"/>
    </row>
    <row r="665" ht="15" customHeight="1">
      <c r="A665" t="inlineStr">
        <is>
          <t>A 49648-2025</t>
        </is>
      </c>
      <c r="B665" s="1" t="n">
        <v>45939.62111111111</v>
      </c>
      <c r="C665" s="1" t="n">
        <v>46050</v>
      </c>
      <c r="D665" t="inlineStr">
        <is>
          <t>KALMAR LÄN</t>
        </is>
      </c>
      <c r="E665" t="inlineStr">
        <is>
          <t>VÄSTERVIK</t>
        </is>
      </c>
      <c r="F665" t="inlineStr">
        <is>
          <t>Holmen skog AB</t>
        </is>
      </c>
      <c r="G665" t="n">
        <v>7.2</v>
      </c>
      <c r="H665" t="n">
        <v>0</v>
      </c>
      <c r="I665" t="n">
        <v>0</v>
      </c>
      <c r="J665" t="n">
        <v>0</v>
      </c>
      <c r="K665" t="n">
        <v>0</v>
      </c>
      <c r="L665" t="n">
        <v>0</v>
      </c>
      <c r="M665" t="n">
        <v>0</v>
      </c>
      <c r="N665" t="n">
        <v>0</v>
      </c>
      <c r="O665" t="n">
        <v>0</v>
      </c>
      <c r="P665" t="n">
        <v>0</v>
      </c>
      <c r="Q665" t="n">
        <v>0</v>
      </c>
      <c r="R665" s="2" t="inlineStr"/>
    </row>
    <row r="666" ht="15" customHeight="1">
      <c r="A666" t="inlineStr">
        <is>
          <t>A 10688-2024</t>
        </is>
      </c>
      <c r="B666" s="1" t="n">
        <v>45369.39894675926</v>
      </c>
      <c r="C666" s="1" t="n">
        <v>46050</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49539-2025</t>
        </is>
      </c>
      <c r="B667" s="1" t="n">
        <v>45939.42453703703</v>
      </c>
      <c r="C667" s="1" t="n">
        <v>46050</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49542-2025</t>
        </is>
      </c>
      <c r="B668" s="1" t="n">
        <v>45939.4284837963</v>
      </c>
      <c r="C668" s="1" t="n">
        <v>46050</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48881-2025</t>
        </is>
      </c>
      <c r="B669" s="1" t="n">
        <v>45937.46157407408</v>
      </c>
      <c r="C669" s="1" t="n">
        <v>46050</v>
      </c>
      <c r="D669" t="inlineStr">
        <is>
          <t>KALMAR LÄN</t>
        </is>
      </c>
      <c r="E669" t="inlineStr">
        <is>
          <t>VÄSTERVIK</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37523-2025</t>
        </is>
      </c>
      <c r="B670" s="1" t="n">
        <v>45877</v>
      </c>
      <c r="C670" s="1" t="n">
        <v>46050</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37526-2025</t>
        </is>
      </c>
      <c r="B671" s="1" t="n">
        <v>45877</v>
      </c>
      <c r="C671" s="1" t="n">
        <v>46050</v>
      </c>
      <c r="D671" t="inlineStr">
        <is>
          <t>KALMAR LÄN</t>
        </is>
      </c>
      <c r="E671" t="inlineStr">
        <is>
          <t>VÄSTERVIK</t>
        </is>
      </c>
      <c r="G671" t="n">
        <v>1.4</v>
      </c>
      <c r="H671" t="n">
        <v>0</v>
      </c>
      <c r="I671" t="n">
        <v>0</v>
      </c>
      <c r="J671" t="n">
        <v>0</v>
      </c>
      <c r="K671" t="n">
        <v>0</v>
      </c>
      <c r="L671" t="n">
        <v>0</v>
      </c>
      <c r="M671" t="n">
        <v>0</v>
      </c>
      <c r="N671" t="n">
        <v>0</v>
      </c>
      <c r="O671" t="n">
        <v>0</v>
      </c>
      <c r="P671" t="n">
        <v>0</v>
      </c>
      <c r="Q671" t="n">
        <v>0</v>
      </c>
      <c r="R671" s="2" t="inlineStr"/>
    </row>
    <row r="672" ht="15" customHeight="1">
      <c r="A672" t="inlineStr">
        <is>
          <t>A 37642-2023</t>
        </is>
      </c>
      <c r="B672" s="1" t="n">
        <v>45159.47940972223</v>
      </c>
      <c r="C672" s="1" t="n">
        <v>46050</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59871-2022</t>
        </is>
      </c>
      <c r="B673" s="1" t="n">
        <v>44908</v>
      </c>
      <c r="C673" s="1" t="n">
        <v>46050</v>
      </c>
      <c r="D673" t="inlineStr">
        <is>
          <t>KALMAR LÄN</t>
        </is>
      </c>
      <c r="E673" t="inlineStr">
        <is>
          <t>VÄSTERVIK</t>
        </is>
      </c>
      <c r="F673" t="inlineStr">
        <is>
          <t>Övriga Aktiebolag</t>
        </is>
      </c>
      <c r="G673" t="n">
        <v>0.4</v>
      </c>
      <c r="H673" t="n">
        <v>0</v>
      </c>
      <c r="I673" t="n">
        <v>0</v>
      </c>
      <c r="J673" t="n">
        <v>0</v>
      </c>
      <c r="K673" t="n">
        <v>0</v>
      </c>
      <c r="L673" t="n">
        <v>0</v>
      </c>
      <c r="M673" t="n">
        <v>0</v>
      </c>
      <c r="N673" t="n">
        <v>0</v>
      </c>
      <c r="O673" t="n">
        <v>0</v>
      </c>
      <c r="P673" t="n">
        <v>0</v>
      </c>
      <c r="Q673" t="n">
        <v>0</v>
      </c>
      <c r="R673" s="2" t="inlineStr"/>
    </row>
    <row r="674" ht="15" customHeight="1">
      <c r="A674" t="inlineStr">
        <is>
          <t>A 73640-2021</t>
        </is>
      </c>
      <c r="B674" s="1" t="n">
        <v>44552.43644675926</v>
      </c>
      <c r="C674" s="1" t="n">
        <v>46050</v>
      </c>
      <c r="D674" t="inlineStr">
        <is>
          <t>KALMAR LÄN</t>
        </is>
      </c>
      <c r="E674" t="inlineStr">
        <is>
          <t>VÄSTERVIK</t>
        </is>
      </c>
      <c r="G674" t="n">
        <v>1.9</v>
      </c>
      <c r="H674" t="n">
        <v>0</v>
      </c>
      <c r="I674" t="n">
        <v>0</v>
      </c>
      <c r="J674" t="n">
        <v>0</v>
      </c>
      <c r="K674" t="n">
        <v>0</v>
      </c>
      <c r="L674" t="n">
        <v>0</v>
      </c>
      <c r="M674" t="n">
        <v>0</v>
      </c>
      <c r="N674" t="n">
        <v>0</v>
      </c>
      <c r="O674" t="n">
        <v>0</v>
      </c>
      <c r="P674" t="n">
        <v>0</v>
      </c>
      <c r="Q674" t="n">
        <v>0</v>
      </c>
      <c r="R674" s="2" t="inlineStr"/>
    </row>
    <row r="675" ht="15" customHeight="1">
      <c r="A675" t="inlineStr">
        <is>
          <t>A 28404-2024</t>
        </is>
      </c>
      <c r="B675" s="1" t="n">
        <v>45477.61552083334</v>
      </c>
      <c r="C675" s="1" t="n">
        <v>46050</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28415-2024</t>
        </is>
      </c>
      <c r="B676" s="1" t="n">
        <v>45477.62924768519</v>
      </c>
      <c r="C676" s="1" t="n">
        <v>46050</v>
      </c>
      <c r="D676" t="inlineStr">
        <is>
          <t>KALMAR LÄN</t>
        </is>
      </c>
      <c r="E676" t="inlineStr">
        <is>
          <t>VÄSTERVIK</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50651-2025</t>
        </is>
      </c>
      <c r="B677" s="1" t="n">
        <v>45945.66497685185</v>
      </c>
      <c r="C677" s="1" t="n">
        <v>46050</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37774-2025</t>
        </is>
      </c>
      <c r="B678" s="1" t="n">
        <v>45880</v>
      </c>
      <c r="C678" s="1" t="n">
        <v>46050</v>
      </c>
      <c r="D678" t="inlineStr">
        <is>
          <t>KALMAR LÄN</t>
        </is>
      </c>
      <c r="E678" t="inlineStr">
        <is>
          <t>VÄSTERVIK</t>
        </is>
      </c>
      <c r="G678" t="n">
        <v>1.3</v>
      </c>
      <c r="H678" t="n">
        <v>0</v>
      </c>
      <c r="I678" t="n">
        <v>0</v>
      </c>
      <c r="J678" t="n">
        <v>0</v>
      </c>
      <c r="K678" t="n">
        <v>0</v>
      </c>
      <c r="L678" t="n">
        <v>0</v>
      </c>
      <c r="M678" t="n">
        <v>0</v>
      </c>
      <c r="N678" t="n">
        <v>0</v>
      </c>
      <c r="O678" t="n">
        <v>0</v>
      </c>
      <c r="P678" t="n">
        <v>0</v>
      </c>
      <c r="Q678" t="n">
        <v>0</v>
      </c>
      <c r="R678" s="2" t="inlineStr"/>
    </row>
    <row r="679" ht="15" customHeight="1">
      <c r="A679" t="inlineStr">
        <is>
          <t>A 47124-2023</t>
        </is>
      </c>
      <c r="B679" s="1" t="n">
        <v>45201</v>
      </c>
      <c r="C679" s="1" t="n">
        <v>46050</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35162-2024</t>
        </is>
      </c>
      <c r="B680" s="1" t="n">
        <v>45530.40025462963</v>
      </c>
      <c r="C680" s="1" t="n">
        <v>46050</v>
      </c>
      <c r="D680" t="inlineStr">
        <is>
          <t>KALMAR LÄN</t>
        </is>
      </c>
      <c r="E680" t="inlineStr">
        <is>
          <t>VÄSTERVIK</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11988-2022</t>
        </is>
      </c>
      <c r="B681" s="1" t="n">
        <v>44635.68771990741</v>
      </c>
      <c r="C681" s="1" t="n">
        <v>46050</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50539-2025</t>
        </is>
      </c>
      <c r="B682" s="1" t="n">
        <v>45945.49340277778</v>
      </c>
      <c r="C682" s="1" t="n">
        <v>46050</v>
      </c>
      <c r="D682" t="inlineStr">
        <is>
          <t>KALMAR LÄN</t>
        </is>
      </c>
      <c r="E682" t="inlineStr">
        <is>
          <t>VÄSTERVIK</t>
        </is>
      </c>
      <c r="G682" t="n">
        <v>2.4</v>
      </c>
      <c r="H682" t="n">
        <v>0</v>
      </c>
      <c r="I682" t="n">
        <v>0</v>
      </c>
      <c r="J682" t="n">
        <v>0</v>
      </c>
      <c r="K682" t="n">
        <v>0</v>
      </c>
      <c r="L682" t="n">
        <v>0</v>
      </c>
      <c r="M682" t="n">
        <v>0</v>
      </c>
      <c r="N682" t="n">
        <v>0</v>
      </c>
      <c r="O682" t="n">
        <v>0</v>
      </c>
      <c r="P682" t="n">
        <v>0</v>
      </c>
      <c r="Q682" t="n">
        <v>0</v>
      </c>
      <c r="R682" s="2" t="inlineStr"/>
    </row>
    <row r="683" ht="15" customHeight="1">
      <c r="A683" t="inlineStr">
        <is>
          <t>A 40969-2025</t>
        </is>
      </c>
      <c r="B683" s="1" t="n">
        <v>45897</v>
      </c>
      <c r="C683" s="1" t="n">
        <v>46050</v>
      </c>
      <c r="D683" t="inlineStr">
        <is>
          <t>KALMAR LÄN</t>
        </is>
      </c>
      <c r="E683" t="inlineStr">
        <is>
          <t>VÄSTERVIK</t>
        </is>
      </c>
      <c r="G683" t="n">
        <v>2.5</v>
      </c>
      <c r="H683" t="n">
        <v>0</v>
      </c>
      <c r="I683" t="n">
        <v>0</v>
      </c>
      <c r="J683" t="n">
        <v>0</v>
      </c>
      <c r="K683" t="n">
        <v>0</v>
      </c>
      <c r="L683" t="n">
        <v>0</v>
      </c>
      <c r="M683" t="n">
        <v>0</v>
      </c>
      <c r="N683" t="n">
        <v>0</v>
      </c>
      <c r="O683" t="n">
        <v>0</v>
      </c>
      <c r="P683" t="n">
        <v>0</v>
      </c>
      <c r="Q683" t="n">
        <v>0</v>
      </c>
      <c r="R683" s="2" t="inlineStr"/>
    </row>
    <row r="684" ht="15" customHeight="1">
      <c r="A684" t="inlineStr">
        <is>
          <t>A 38442-2025</t>
        </is>
      </c>
      <c r="B684" s="1" t="n">
        <v>45883</v>
      </c>
      <c r="C684" s="1" t="n">
        <v>46050</v>
      </c>
      <c r="D684" t="inlineStr">
        <is>
          <t>KALMAR LÄN</t>
        </is>
      </c>
      <c r="E684" t="inlineStr">
        <is>
          <t>VÄSTERVIK</t>
        </is>
      </c>
      <c r="G684" t="n">
        <v>3.5</v>
      </c>
      <c r="H684" t="n">
        <v>0</v>
      </c>
      <c r="I684" t="n">
        <v>0</v>
      </c>
      <c r="J684" t="n">
        <v>0</v>
      </c>
      <c r="K684" t="n">
        <v>0</v>
      </c>
      <c r="L684" t="n">
        <v>0</v>
      </c>
      <c r="M684" t="n">
        <v>0</v>
      </c>
      <c r="N684" t="n">
        <v>0</v>
      </c>
      <c r="O684" t="n">
        <v>0</v>
      </c>
      <c r="P684" t="n">
        <v>0</v>
      </c>
      <c r="Q684" t="n">
        <v>0</v>
      </c>
      <c r="R684" s="2" t="inlineStr"/>
    </row>
    <row r="685" ht="15" customHeight="1">
      <c r="A685" t="inlineStr">
        <is>
          <t>A 50290-2025</t>
        </is>
      </c>
      <c r="B685" s="1" t="n">
        <v>45944.40484953704</v>
      </c>
      <c r="C685" s="1" t="n">
        <v>46050</v>
      </c>
      <c r="D685" t="inlineStr">
        <is>
          <t>KALMAR LÄN</t>
        </is>
      </c>
      <c r="E685" t="inlineStr">
        <is>
          <t>VÄSTERVIK</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1785-2025</t>
        </is>
      </c>
      <c r="B686" s="1" t="n">
        <v>45671.45061342593</v>
      </c>
      <c r="C686" s="1" t="n">
        <v>46050</v>
      </c>
      <c r="D686" t="inlineStr">
        <is>
          <t>KALMAR LÄN</t>
        </is>
      </c>
      <c r="E686" t="inlineStr">
        <is>
          <t>VÄSTERVIK</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50692-2025</t>
        </is>
      </c>
      <c r="B687" s="1" t="n">
        <v>45945.8494212963</v>
      </c>
      <c r="C687" s="1" t="n">
        <v>46050</v>
      </c>
      <c r="D687" t="inlineStr">
        <is>
          <t>KALMAR LÄN</t>
        </is>
      </c>
      <c r="E687" t="inlineStr">
        <is>
          <t>VÄSTERVIK</t>
        </is>
      </c>
      <c r="F687" t="inlineStr">
        <is>
          <t>Övriga Aktiebolag</t>
        </is>
      </c>
      <c r="G687" t="n">
        <v>5</v>
      </c>
      <c r="H687" t="n">
        <v>0</v>
      </c>
      <c r="I687" t="n">
        <v>0</v>
      </c>
      <c r="J687" t="n">
        <v>0</v>
      </c>
      <c r="K687" t="n">
        <v>0</v>
      </c>
      <c r="L687" t="n">
        <v>0</v>
      </c>
      <c r="M687" t="n">
        <v>0</v>
      </c>
      <c r="N687" t="n">
        <v>0</v>
      </c>
      <c r="O687" t="n">
        <v>0</v>
      </c>
      <c r="P687" t="n">
        <v>0</v>
      </c>
      <c r="Q687" t="n">
        <v>0</v>
      </c>
      <c r="R687" s="2" t="inlineStr"/>
    </row>
    <row r="688" ht="15" customHeight="1">
      <c r="A688" t="inlineStr">
        <is>
          <t>A 5510-2021</t>
        </is>
      </c>
      <c r="B688" s="1" t="n">
        <v>44230</v>
      </c>
      <c r="C688" s="1" t="n">
        <v>46050</v>
      </c>
      <c r="D688" t="inlineStr">
        <is>
          <t>KALMAR LÄN</t>
        </is>
      </c>
      <c r="E688" t="inlineStr">
        <is>
          <t>VÄSTERVIK</t>
        </is>
      </c>
      <c r="G688" t="n">
        <v>3.2</v>
      </c>
      <c r="H688" t="n">
        <v>0</v>
      </c>
      <c r="I688" t="n">
        <v>0</v>
      </c>
      <c r="J688" t="n">
        <v>0</v>
      </c>
      <c r="K688" t="n">
        <v>0</v>
      </c>
      <c r="L688" t="n">
        <v>0</v>
      </c>
      <c r="M688" t="n">
        <v>0</v>
      </c>
      <c r="N688" t="n">
        <v>0</v>
      </c>
      <c r="O688" t="n">
        <v>0</v>
      </c>
      <c r="P688" t="n">
        <v>0</v>
      </c>
      <c r="Q688" t="n">
        <v>0</v>
      </c>
      <c r="R688" s="2" t="inlineStr"/>
    </row>
    <row r="689" ht="15" customHeight="1">
      <c r="A689" t="inlineStr">
        <is>
          <t>A 50679-2025</t>
        </is>
      </c>
      <c r="B689" s="1" t="n">
        <v>45945.7796875</v>
      </c>
      <c r="C689" s="1" t="n">
        <v>46050</v>
      </c>
      <c r="D689" t="inlineStr">
        <is>
          <t>KALMAR LÄN</t>
        </is>
      </c>
      <c r="E689" t="inlineStr">
        <is>
          <t>VÄSTERVIK</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46050</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51181-2025</t>
        </is>
      </c>
      <c r="B691" s="1" t="n">
        <v>45947.61859953704</v>
      </c>
      <c r="C691" s="1" t="n">
        <v>46050</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51182-2025</t>
        </is>
      </c>
      <c r="B692" s="1" t="n">
        <v>45947.6204050926</v>
      </c>
      <c r="C692" s="1" t="n">
        <v>46050</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35417-2022</t>
        </is>
      </c>
      <c r="B693" s="1" t="n">
        <v>44798</v>
      </c>
      <c r="C693" s="1" t="n">
        <v>46050</v>
      </c>
      <c r="D693" t="inlineStr">
        <is>
          <t>KALMAR LÄN</t>
        </is>
      </c>
      <c r="E693" t="inlineStr">
        <is>
          <t>VÄSTERVIK</t>
        </is>
      </c>
      <c r="G693" t="n">
        <v>5.2</v>
      </c>
      <c r="H693" t="n">
        <v>0</v>
      </c>
      <c r="I693" t="n">
        <v>0</v>
      </c>
      <c r="J693" t="n">
        <v>0</v>
      </c>
      <c r="K693" t="n">
        <v>0</v>
      </c>
      <c r="L693" t="n">
        <v>0</v>
      </c>
      <c r="M693" t="n">
        <v>0</v>
      </c>
      <c r="N693" t="n">
        <v>0</v>
      </c>
      <c r="O693" t="n">
        <v>0</v>
      </c>
      <c r="P693" t="n">
        <v>0</v>
      </c>
      <c r="Q693" t="n">
        <v>0</v>
      </c>
      <c r="R693" s="2" t="inlineStr"/>
    </row>
    <row r="694" ht="15" customHeight="1">
      <c r="A694" t="inlineStr">
        <is>
          <t>A 16207-2022</t>
        </is>
      </c>
      <c r="B694" s="1" t="n">
        <v>44669</v>
      </c>
      <c r="C694" s="1" t="n">
        <v>46050</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23626-2024</t>
        </is>
      </c>
      <c r="B695" s="1" t="n">
        <v>45454</v>
      </c>
      <c r="C695" s="1" t="n">
        <v>46050</v>
      </c>
      <c r="D695" t="inlineStr">
        <is>
          <t>KALMAR LÄN</t>
        </is>
      </c>
      <c r="E695" t="inlineStr">
        <is>
          <t>VÄSTERVIK</t>
        </is>
      </c>
      <c r="G695" t="n">
        <v>2.1</v>
      </c>
      <c r="H695" t="n">
        <v>0</v>
      </c>
      <c r="I695" t="n">
        <v>0</v>
      </c>
      <c r="J695" t="n">
        <v>0</v>
      </c>
      <c r="K695" t="n">
        <v>0</v>
      </c>
      <c r="L695" t="n">
        <v>0</v>
      </c>
      <c r="M695" t="n">
        <v>0</v>
      </c>
      <c r="N695" t="n">
        <v>0</v>
      </c>
      <c r="O695" t="n">
        <v>0</v>
      </c>
      <c r="P695" t="n">
        <v>0</v>
      </c>
      <c r="Q695" t="n">
        <v>0</v>
      </c>
      <c r="R695" s="2" t="inlineStr"/>
    </row>
    <row r="696" ht="15" customHeight="1">
      <c r="A696" t="inlineStr">
        <is>
          <t>A 46267-2022</t>
        </is>
      </c>
      <c r="B696" s="1" t="n">
        <v>44847</v>
      </c>
      <c r="C696" s="1" t="n">
        <v>46050</v>
      </c>
      <c r="D696" t="inlineStr">
        <is>
          <t>KALMAR LÄN</t>
        </is>
      </c>
      <c r="E696" t="inlineStr">
        <is>
          <t>VÄSTERVIK</t>
        </is>
      </c>
      <c r="G696" t="n">
        <v>1.7</v>
      </c>
      <c r="H696" t="n">
        <v>0</v>
      </c>
      <c r="I696" t="n">
        <v>0</v>
      </c>
      <c r="J696" t="n">
        <v>0</v>
      </c>
      <c r="K696" t="n">
        <v>0</v>
      </c>
      <c r="L696" t="n">
        <v>0</v>
      </c>
      <c r="M696" t="n">
        <v>0</v>
      </c>
      <c r="N696" t="n">
        <v>0</v>
      </c>
      <c r="O696" t="n">
        <v>0</v>
      </c>
      <c r="P696" t="n">
        <v>0</v>
      </c>
      <c r="Q696" t="n">
        <v>0</v>
      </c>
      <c r="R696" s="2" t="inlineStr"/>
    </row>
    <row r="697" ht="15" customHeight="1">
      <c r="A697" t="inlineStr">
        <is>
          <t>A 55609-2024</t>
        </is>
      </c>
      <c r="B697" s="1" t="n">
        <v>45622.58350694444</v>
      </c>
      <c r="C697" s="1" t="n">
        <v>46050</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50690-2025</t>
        </is>
      </c>
      <c r="B698" s="1" t="n">
        <v>45945.84136574074</v>
      </c>
      <c r="C698" s="1" t="n">
        <v>46050</v>
      </c>
      <c r="D698" t="inlineStr">
        <is>
          <t>KALMAR LÄN</t>
        </is>
      </c>
      <c r="E698" t="inlineStr">
        <is>
          <t>VÄSTERVIK</t>
        </is>
      </c>
      <c r="F698" t="inlineStr">
        <is>
          <t>Övriga Aktiebolag</t>
        </is>
      </c>
      <c r="G698" t="n">
        <v>2.4</v>
      </c>
      <c r="H698" t="n">
        <v>0</v>
      </c>
      <c r="I698" t="n">
        <v>0</v>
      </c>
      <c r="J698" t="n">
        <v>0</v>
      </c>
      <c r="K698" t="n">
        <v>0</v>
      </c>
      <c r="L698" t="n">
        <v>0</v>
      </c>
      <c r="M698" t="n">
        <v>0</v>
      </c>
      <c r="N698" t="n">
        <v>0</v>
      </c>
      <c r="O698" t="n">
        <v>0</v>
      </c>
      <c r="P698" t="n">
        <v>0</v>
      </c>
      <c r="Q698" t="n">
        <v>0</v>
      </c>
      <c r="R698" s="2" t="inlineStr"/>
    </row>
    <row r="699" ht="15" customHeight="1">
      <c r="A699" t="inlineStr">
        <is>
          <t>A 51050-2025</t>
        </is>
      </c>
      <c r="B699" s="1" t="n">
        <v>45947.43621527778</v>
      </c>
      <c r="C699" s="1" t="n">
        <v>46050</v>
      </c>
      <c r="D699" t="inlineStr">
        <is>
          <t>KALMAR LÄN</t>
        </is>
      </c>
      <c r="E699" t="inlineStr">
        <is>
          <t>VÄSTERVIK</t>
        </is>
      </c>
      <c r="G699" t="n">
        <v>2.8</v>
      </c>
      <c r="H699" t="n">
        <v>0</v>
      </c>
      <c r="I699" t="n">
        <v>0</v>
      </c>
      <c r="J699" t="n">
        <v>0</v>
      </c>
      <c r="K699" t="n">
        <v>0</v>
      </c>
      <c r="L699" t="n">
        <v>0</v>
      </c>
      <c r="M699" t="n">
        <v>0</v>
      </c>
      <c r="N699" t="n">
        <v>0</v>
      </c>
      <c r="O699" t="n">
        <v>0</v>
      </c>
      <c r="P699" t="n">
        <v>0</v>
      </c>
      <c r="Q699" t="n">
        <v>0</v>
      </c>
      <c r="R699" s="2" t="inlineStr"/>
    </row>
    <row r="700" ht="15" customHeight="1">
      <c r="A700" t="inlineStr">
        <is>
          <t>A 33842-2025</t>
        </is>
      </c>
      <c r="B700" s="1" t="n">
        <v>45842.48217592593</v>
      </c>
      <c r="C700" s="1" t="n">
        <v>46050</v>
      </c>
      <c r="D700" t="inlineStr">
        <is>
          <t>KALMAR LÄN</t>
        </is>
      </c>
      <c r="E700" t="inlineStr">
        <is>
          <t>VÄSTERVIK</t>
        </is>
      </c>
      <c r="G700" t="n">
        <v>2</v>
      </c>
      <c r="H700" t="n">
        <v>0</v>
      </c>
      <c r="I700" t="n">
        <v>0</v>
      </c>
      <c r="J700" t="n">
        <v>0</v>
      </c>
      <c r="K700" t="n">
        <v>0</v>
      </c>
      <c r="L700" t="n">
        <v>0</v>
      </c>
      <c r="M700" t="n">
        <v>0</v>
      </c>
      <c r="N700" t="n">
        <v>0</v>
      </c>
      <c r="O700" t="n">
        <v>0</v>
      </c>
      <c r="P700" t="n">
        <v>0</v>
      </c>
      <c r="Q700" t="n">
        <v>0</v>
      </c>
      <c r="R700" s="2" t="inlineStr"/>
    </row>
    <row r="701" ht="15" customHeight="1">
      <c r="A701" t="inlineStr">
        <is>
          <t>A 51769-2025</t>
        </is>
      </c>
      <c r="B701" s="1" t="n">
        <v>45951.64155092592</v>
      </c>
      <c r="C701" s="1" t="n">
        <v>46050</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38048-2023</t>
        </is>
      </c>
      <c r="B702" s="1" t="n">
        <v>45160.67677083334</v>
      </c>
      <c r="C702" s="1" t="n">
        <v>46050</v>
      </c>
      <c r="D702" t="inlineStr">
        <is>
          <t>KALMAR LÄN</t>
        </is>
      </c>
      <c r="E702" t="inlineStr">
        <is>
          <t>VÄSTERVIK</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51520-2025</t>
        </is>
      </c>
      <c r="B703" s="1" t="n">
        <v>45950.65695601852</v>
      </c>
      <c r="C703" s="1" t="n">
        <v>46050</v>
      </c>
      <c r="D703" t="inlineStr">
        <is>
          <t>KALMAR LÄN</t>
        </is>
      </c>
      <c r="E703" t="inlineStr">
        <is>
          <t>VÄSTERVIK</t>
        </is>
      </c>
      <c r="G703" t="n">
        <v>3.6</v>
      </c>
      <c r="H703" t="n">
        <v>0</v>
      </c>
      <c r="I703" t="n">
        <v>0</v>
      </c>
      <c r="J703" t="n">
        <v>0</v>
      </c>
      <c r="K703" t="n">
        <v>0</v>
      </c>
      <c r="L703" t="n">
        <v>0</v>
      </c>
      <c r="M703" t="n">
        <v>0</v>
      </c>
      <c r="N703" t="n">
        <v>0</v>
      </c>
      <c r="O703" t="n">
        <v>0</v>
      </c>
      <c r="P703" t="n">
        <v>0</v>
      </c>
      <c r="Q703" t="n">
        <v>0</v>
      </c>
      <c r="R703" s="2" t="inlineStr"/>
    </row>
    <row r="704" ht="15" customHeight="1">
      <c r="A704" t="inlineStr">
        <is>
          <t>A 11584-2023</t>
        </is>
      </c>
      <c r="B704" s="1" t="n">
        <v>44994.35707175926</v>
      </c>
      <c r="C704" s="1" t="n">
        <v>46050</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51437-2025</t>
        </is>
      </c>
      <c r="B705" s="1" t="n">
        <v>45950.56834490741</v>
      </c>
      <c r="C705" s="1" t="n">
        <v>46050</v>
      </c>
      <c r="D705" t="inlineStr">
        <is>
          <t>KALMAR LÄN</t>
        </is>
      </c>
      <c r="E705" t="inlineStr">
        <is>
          <t>VÄSTERVIK</t>
        </is>
      </c>
      <c r="G705" t="n">
        <v>3.1</v>
      </c>
      <c r="H705" t="n">
        <v>0</v>
      </c>
      <c r="I705" t="n">
        <v>0</v>
      </c>
      <c r="J705" t="n">
        <v>0</v>
      </c>
      <c r="K705" t="n">
        <v>0</v>
      </c>
      <c r="L705" t="n">
        <v>0</v>
      </c>
      <c r="M705" t="n">
        <v>0</v>
      </c>
      <c r="N705" t="n">
        <v>0</v>
      </c>
      <c r="O705" t="n">
        <v>0</v>
      </c>
      <c r="P705" t="n">
        <v>0</v>
      </c>
      <c r="Q705" t="n">
        <v>0</v>
      </c>
      <c r="R705" s="2" t="inlineStr"/>
    </row>
    <row r="706" ht="15" customHeight="1">
      <c r="A706" t="inlineStr">
        <is>
          <t>A 51441-2025</t>
        </is>
      </c>
      <c r="B706" s="1" t="n">
        <v>45950.57375</v>
      </c>
      <c r="C706" s="1" t="n">
        <v>46050</v>
      </c>
      <c r="D706" t="inlineStr">
        <is>
          <t>KALMAR LÄN</t>
        </is>
      </c>
      <c r="E706" t="inlineStr">
        <is>
          <t>VÄSTERVIK</t>
        </is>
      </c>
      <c r="G706" t="n">
        <v>0.6</v>
      </c>
      <c r="H706" t="n">
        <v>0</v>
      </c>
      <c r="I706" t="n">
        <v>0</v>
      </c>
      <c r="J706" t="n">
        <v>0</v>
      </c>
      <c r="K706" t="n">
        <v>0</v>
      </c>
      <c r="L706" t="n">
        <v>0</v>
      </c>
      <c r="M706" t="n">
        <v>0</v>
      </c>
      <c r="N706" t="n">
        <v>0</v>
      </c>
      <c r="O706" t="n">
        <v>0</v>
      </c>
      <c r="P706" t="n">
        <v>0</v>
      </c>
      <c r="Q706" t="n">
        <v>0</v>
      </c>
      <c r="R706" s="2" t="inlineStr"/>
    </row>
    <row r="707" ht="15" customHeight="1">
      <c r="A707" t="inlineStr">
        <is>
          <t>A 51566-2025</t>
        </is>
      </c>
      <c r="B707" s="1" t="n">
        <v>45951.30868055556</v>
      </c>
      <c r="C707" s="1" t="n">
        <v>46050</v>
      </c>
      <c r="D707" t="inlineStr">
        <is>
          <t>KALMAR LÄN</t>
        </is>
      </c>
      <c r="E707" t="inlineStr">
        <is>
          <t>VÄSTERVIK</t>
        </is>
      </c>
      <c r="G707" t="n">
        <v>3.4</v>
      </c>
      <c r="H707" t="n">
        <v>0</v>
      </c>
      <c r="I707" t="n">
        <v>0</v>
      </c>
      <c r="J707" t="n">
        <v>0</v>
      </c>
      <c r="K707" t="n">
        <v>0</v>
      </c>
      <c r="L707" t="n">
        <v>0</v>
      </c>
      <c r="M707" t="n">
        <v>0</v>
      </c>
      <c r="N707" t="n">
        <v>0</v>
      </c>
      <c r="O707" t="n">
        <v>0</v>
      </c>
      <c r="P707" t="n">
        <v>0</v>
      </c>
      <c r="Q707" t="n">
        <v>0</v>
      </c>
      <c r="R707" s="2" t="inlineStr"/>
    </row>
    <row r="708" ht="15" customHeight="1">
      <c r="A708" t="inlineStr">
        <is>
          <t>A 51513-2025</t>
        </is>
      </c>
      <c r="B708" s="1" t="n">
        <v>45950.65234953703</v>
      </c>
      <c r="C708" s="1" t="n">
        <v>46050</v>
      </c>
      <c r="D708" t="inlineStr">
        <is>
          <t>KALMAR LÄN</t>
        </is>
      </c>
      <c r="E708" t="inlineStr">
        <is>
          <t>VÄSTERVIK</t>
        </is>
      </c>
      <c r="G708" t="n">
        <v>2.4</v>
      </c>
      <c r="H708" t="n">
        <v>0</v>
      </c>
      <c r="I708" t="n">
        <v>0</v>
      </c>
      <c r="J708" t="n">
        <v>0</v>
      </c>
      <c r="K708" t="n">
        <v>0</v>
      </c>
      <c r="L708" t="n">
        <v>0</v>
      </c>
      <c r="M708" t="n">
        <v>0</v>
      </c>
      <c r="N708" t="n">
        <v>0</v>
      </c>
      <c r="O708" t="n">
        <v>0</v>
      </c>
      <c r="P708" t="n">
        <v>0</v>
      </c>
      <c r="Q708" t="n">
        <v>0</v>
      </c>
      <c r="R708" s="2" t="inlineStr"/>
    </row>
    <row r="709" ht="15" customHeight="1">
      <c r="A709" t="inlineStr">
        <is>
          <t>A 51515-2025</t>
        </is>
      </c>
      <c r="B709" s="1" t="n">
        <v>45950.65560185185</v>
      </c>
      <c r="C709" s="1" t="n">
        <v>46050</v>
      </c>
      <c r="D709" t="inlineStr">
        <is>
          <t>KALMAR LÄN</t>
        </is>
      </c>
      <c r="E709" t="inlineStr">
        <is>
          <t>VÄSTERVIK</t>
        </is>
      </c>
      <c r="G709" t="n">
        <v>1.4</v>
      </c>
      <c r="H709" t="n">
        <v>0</v>
      </c>
      <c r="I709" t="n">
        <v>0</v>
      </c>
      <c r="J709" t="n">
        <v>0</v>
      </c>
      <c r="K709" t="n">
        <v>0</v>
      </c>
      <c r="L709" t="n">
        <v>0</v>
      </c>
      <c r="M709" t="n">
        <v>0</v>
      </c>
      <c r="N709" t="n">
        <v>0</v>
      </c>
      <c r="O709" t="n">
        <v>0</v>
      </c>
      <c r="P709" t="n">
        <v>0</v>
      </c>
      <c r="Q709" t="n">
        <v>0</v>
      </c>
      <c r="R709" s="2" t="inlineStr"/>
    </row>
    <row r="710" ht="15" customHeight="1">
      <c r="A710" t="inlineStr">
        <is>
          <t>A 51439-2025</t>
        </is>
      </c>
      <c r="B710" s="1" t="n">
        <v>45950.57254629629</v>
      </c>
      <c r="C710" s="1" t="n">
        <v>46050</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51426-2025</t>
        </is>
      </c>
      <c r="B711" s="1" t="n">
        <v>45950.53288194445</v>
      </c>
      <c r="C711" s="1" t="n">
        <v>46050</v>
      </c>
      <c r="D711" t="inlineStr">
        <is>
          <t>KALMAR LÄN</t>
        </is>
      </c>
      <c r="E711" t="inlineStr">
        <is>
          <t>VÄSTERVIK</t>
        </is>
      </c>
      <c r="G711" t="n">
        <v>3.8</v>
      </c>
      <c r="H711" t="n">
        <v>0</v>
      </c>
      <c r="I711" t="n">
        <v>0</v>
      </c>
      <c r="J711" t="n">
        <v>0</v>
      </c>
      <c r="K711" t="n">
        <v>0</v>
      </c>
      <c r="L711" t="n">
        <v>0</v>
      </c>
      <c r="M711" t="n">
        <v>0</v>
      </c>
      <c r="N711" t="n">
        <v>0</v>
      </c>
      <c r="O711" t="n">
        <v>0</v>
      </c>
      <c r="P711" t="n">
        <v>0</v>
      </c>
      <c r="Q711" t="n">
        <v>0</v>
      </c>
      <c r="R711" s="2" t="inlineStr"/>
    </row>
    <row r="712" ht="15" customHeight="1">
      <c r="A712" t="inlineStr">
        <is>
          <t>A 34958-2021</t>
        </is>
      </c>
      <c r="B712" s="1" t="n">
        <v>44383</v>
      </c>
      <c r="C712" s="1" t="n">
        <v>46050</v>
      </c>
      <c r="D712" t="inlineStr">
        <is>
          <t>KALMAR LÄN</t>
        </is>
      </c>
      <c r="E712" t="inlineStr">
        <is>
          <t>VÄSTERVIK</t>
        </is>
      </c>
      <c r="G712" t="n">
        <v>2.7</v>
      </c>
      <c r="H712" t="n">
        <v>0</v>
      </c>
      <c r="I712" t="n">
        <v>0</v>
      </c>
      <c r="J712" t="n">
        <v>0</v>
      </c>
      <c r="K712" t="n">
        <v>0</v>
      </c>
      <c r="L712" t="n">
        <v>0</v>
      </c>
      <c r="M712" t="n">
        <v>0</v>
      </c>
      <c r="N712" t="n">
        <v>0</v>
      </c>
      <c r="O712" t="n">
        <v>0</v>
      </c>
      <c r="P712" t="n">
        <v>0</v>
      </c>
      <c r="Q712" t="n">
        <v>0</v>
      </c>
      <c r="R712" s="2" t="inlineStr"/>
    </row>
    <row r="713" ht="15" customHeight="1">
      <c r="A713" t="inlineStr">
        <is>
          <t>A 52190-2025</t>
        </is>
      </c>
      <c r="B713" s="1" t="n">
        <v>45953.38814814815</v>
      </c>
      <c r="C713" s="1" t="n">
        <v>46050</v>
      </c>
      <c r="D713" t="inlineStr">
        <is>
          <t>KALMAR LÄN</t>
        </is>
      </c>
      <c r="E713" t="inlineStr">
        <is>
          <t>VÄSTERVIK</t>
        </is>
      </c>
      <c r="G713" t="n">
        <v>1.8</v>
      </c>
      <c r="H713" t="n">
        <v>0</v>
      </c>
      <c r="I713" t="n">
        <v>0</v>
      </c>
      <c r="J713" t="n">
        <v>0</v>
      </c>
      <c r="K713" t="n">
        <v>0</v>
      </c>
      <c r="L713" t="n">
        <v>0</v>
      </c>
      <c r="M713" t="n">
        <v>0</v>
      </c>
      <c r="N713" t="n">
        <v>0</v>
      </c>
      <c r="O713" t="n">
        <v>0</v>
      </c>
      <c r="P713" t="n">
        <v>0</v>
      </c>
      <c r="Q713" t="n">
        <v>0</v>
      </c>
      <c r="R713" s="2" t="inlineStr"/>
    </row>
    <row r="714" ht="15" customHeight="1">
      <c r="A714" t="inlineStr">
        <is>
          <t>A 18081-2023</t>
        </is>
      </c>
      <c r="B714" s="1" t="n">
        <v>45040</v>
      </c>
      <c r="C714" s="1" t="n">
        <v>46050</v>
      </c>
      <c r="D714" t="inlineStr">
        <is>
          <t>KALMAR LÄN</t>
        </is>
      </c>
      <c r="E714" t="inlineStr">
        <is>
          <t>VÄSTERVIK</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26776-2023</t>
        </is>
      </c>
      <c r="B715" s="1" t="n">
        <v>45093</v>
      </c>
      <c r="C715" s="1" t="n">
        <v>46050</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62304-2022</t>
        </is>
      </c>
      <c r="B716" s="1" t="n">
        <v>44923.46215277778</v>
      </c>
      <c r="C716" s="1" t="n">
        <v>46050</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62306-2022</t>
        </is>
      </c>
      <c r="B717" s="1" t="n">
        <v>44923</v>
      </c>
      <c r="C717" s="1" t="n">
        <v>46050</v>
      </c>
      <c r="D717" t="inlineStr">
        <is>
          <t>KALMAR LÄN</t>
        </is>
      </c>
      <c r="E717" t="inlineStr">
        <is>
          <t>VÄSTERVIK</t>
        </is>
      </c>
      <c r="G717" t="n">
        <v>1.5</v>
      </c>
      <c r="H717" t="n">
        <v>0</v>
      </c>
      <c r="I717" t="n">
        <v>0</v>
      </c>
      <c r="J717" t="n">
        <v>0</v>
      </c>
      <c r="K717" t="n">
        <v>0</v>
      </c>
      <c r="L717" t="n">
        <v>0</v>
      </c>
      <c r="M717" t="n">
        <v>0</v>
      </c>
      <c r="N717" t="n">
        <v>0</v>
      </c>
      <c r="O717" t="n">
        <v>0</v>
      </c>
      <c r="P717" t="n">
        <v>0</v>
      </c>
      <c r="Q717" t="n">
        <v>0</v>
      </c>
      <c r="R717" s="2" t="inlineStr"/>
    </row>
    <row r="718" ht="15" customHeight="1">
      <c r="A718" t="inlineStr">
        <is>
          <t>A 52492-2025</t>
        </is>
      </c>
      <c r="B718" s="1" t="n">
        <v>45953</v>
      </c>
      <c r="C718" s="1" t="n">
        <v>46050</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52495-2025</t>
        </is>
      </c>
      <c r="B719" s="1" t="n">
        <v>45953</v>
      </c>
      <c r="C719" s="1" t="n">
        <v>46050</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52170-2025</t>
        </is>
      </c>
      <c r="B720" s="1" t="n">
        <v>45953.36766203704</v>
      </c>
      <c r="C720" s="1" t="n">
        <v>46050</v>
      </c>
      <c r="D720" t="inlineStr">
        <is>
          <t>KALMAR LÄN</t>
        </is>
      </c>
      <c r="E720" t="inlineStr">
        <is>
          <t>VÄSTERVIK</t>
        </is>
      </c>
      <c r="G720" t="n">
        <v>4.6</v>
      </c>
      <c r="H720" t="n">
        <v>0</v>
      </c>
      <c r="I720" t="n">
        <v>0</v>
      </c>
      <c r="J720" t="n">
        <v>0</v>
      </c>
      <c r="K720" t="n">
        <v>0</v>
      </c>
      <c r="L720" t="n">
        <v>0</v>
      </c>
      <c r="M720" t="n">
        <v>0</v>
      </c>
      <c r="N720" t="n">
        <v>0</v>
      </c>
      <c r="O720" t="n">
        <v>0</v>
      </c>
      <c r="P720" t="n">
        <v>0</v>
      </c>
      <c r="Q720" t="n">
        <v>0</v>
      </c>
      <c r="R720" s="2" t="inlineStr"/>
    </row>
    <row r="721" ht="15" customHeight="1">
      <c r="A721" t="inlineStr">
        <is>
          <t>A 17307-2023</t>
        </is>
      </c>
      <c r="B721" s="1" t="n">
        <v>45035.53497685185</v>
      </c>
      <c r="C721" s="1" t="n">
        <v>46050</v>
      </c>
      <c r="D721" t="inlineStr">
        <is>
          <t>KALMAR LÄN</t>
        </is>
      </c>
      <c r="E721" t="inlineStr">
        <is>
          <t>VÄSTERVIK</t>
        </is>
      </c>
      <c r="G721" t="n">
        <v>0</v>
      </c>
      <c r="H721" t="n">
        <v>0</v>
      </c>
      <c r="I721" t="n">
        <v>0</v>
      </c>
      <c r="J721" t="n">
        <v>0</v>
      </c>
      <c r="K721" t="n">
        <v>0</v>
      </c>
      <c r="L721" t="n">
        <v>0</v>
      </c>
      <c r="M721" t="n">
        <v>0</v>
      </c>
      <c r="N721" t="n">
        <v>0</v>
      </c>
      <c r="O721" t="n">
        <v>0</v>
      </c>
      <c r="P721" t="n">
        <v>0</v>
      </c>
      <c r="Q721" t="n">
        <v>0</v>
      </c>
      <c r="R721" s="2" t="inlineStr"/>
    </row>
    <row r="722" ht="15" customHeight="1">
      <c r="A722" t="inlineStr">
        <is>
          <t>A 51983-2025</t>
        </is>
      </c>
      <c r="B722" s="1" t="n">
        <v>45952.57481481481</v>
      </c>
      <c r="C722" s="1" t="n">
        <v>46050</v>
      </c>
      <c r="D722" t="inlineStr">
        <is>
          <t>KALMAR LÄN</t>
        </is>
      </c>
      <c r="E722" t="inlineStr">
        <is>
          <t>VÄSTERVIK</t>
        </is>
      </c>
      <c r="G722" t="n">
        <v>2.6</v>
      </c>
      <c r="H722" t="n">
        <v>0</v>
      </c>
      <c r="I722" t="n">
        <v>0</v>
      </c>
      <c r="J722" t="n">
        <v>0</v>
      </c>
      <c r="K722" t="n">
        <v>0</v>
      </c>
      <c r="L722" t="n">
        <v>0</v>
      </c>
      <c r="M722" t="n">
        <v>0</v>
      </c>
      <c r="N722" t="n">
        <v>0</v>
      </c>
      <c r="O722" t="n">
        <v>0</v>
      </c>
      <c r="P722" t="n">
        <v>0</v>
      </c>
      <c r="Q722" t="n">
        <v>0</v>
      </c>
      <c r="R722" s="2" t="inlineStr"/>
    </row>
    <row r="723" ht="15" customHeight="1">
      <c r="A723" t="inlineStr">
        <is>
          <t>A 52488-2025</t>
        </is>
      </c>
      <c r="B723" s="1" t="n">
        <v>45953</v>
      </c>
      <c r="C723" s="1" t="n">
        <v>46050</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13489-2022</t>
        </is>
      </c>
      <c r="B724" s="1" t="n">
        <v>44646</v>
      </c>
      <c r="C724" s="1" t="n">
        <v>46050</v>
      </c>
      <c r="D724" t="inlineStr">
        <is>
          <t>KALMAR LÄN</t>
        </is>
      </c>
      <c r="E724" t="inlineStr">
        <is>
          <t>VÄSTERVIK</t>
        </is>
      </c>
      <c r="G724" t="n">
        <v>2.5</v>
      </c>
      <c r="H724" t="n">
        <v>0</v>
      </c>
      <c r="I724" t="n">
        <v>0</v>
      </c>
      <c r="J724" t="n">
        <v>0</v>
      </c>
      <c r="K724" t="n">
        <v>0</v>
      </c>
      <c r="L724" t="n">
        <v>0</v>
      </c>
      <c r="M724" t="n">
        <v>0</v>
      </c>
      <c r="N724" t="n">
        <v>0</v>
      </c>
      <c r="O724" t="n">
        <v>0</v>
      </c>
      <c r="P724" t="n">
        <v>0</v>
      </c>
      <c r="Q724" t="n">
        <v>0</v>
      </c>
      <c r="R724" s="2" t="inlineStr"/>
    </row>
    <row r="725" ht="15" customHeight="1">
      <c r="A725" t="inlineStr">
        <is>
          <t>A 60713-2022</t>
        </is>
      </c>
      <c r="B725" s="1" t="n">
        <v>44912</v>
      </c>
      <c r="C725" s="1" t="n">
        <v>46050</v>
      </c>
      <c r="D725" t="inlineStr">
        <is>
          <t>KALMAR LÄN</t>
        </is>
      </c>
      <c r="E725" t="inlineStr">
        <is>
          <t>VÄSTERVIK</t>
        </is>
      </c>
      <c r="F725" t="inlineStr">
        <is>
          <t>Övriga Aktiebolag</t>
        </is>
      </c>
      <c r="G725" t="n">
        <v>2.6</v>
      </c>
      <c r="H725" t="n">
        <v>0</v>
      </c>
      <c r="I725" t="n">
        <v>0</v>
      </c>
      <c r="J725" t="n">
        <v>0</v>
      </c>
      <c r="K725" t="n">
        <v>0</v>
      </c>
      <c r="L725" t="n">
        <v>0</v>
      </c>
      <c r="M725" t="n">
        <v>0</v>
      </c>
      <c r="N725" t="n">
        <v>0</v>
      </c>
      <c r="O725" t="n">
        <v>0</v>
      </c>
      <c r="P725" t="n">
        <v>0</v>
      </c>
      <c r="Q725" t="n">
        <v>0</v>
      </c>
      <c r="R725" s="2" t="inlineStr"/>
    </row>
    <row r="726" ht="15" customHeight="1">
      <c r="A726" t="inlineStr">
        <is>
          <t>A 53145-2025</t>
        </is>
      </c>
      <c r="B726" s="1" t="n">
        <v>45958</v>
      </c>
      <c r="C726" s="1" t="n">
        <v>46050</v>
      </c>
      <c r="D726" t="inlineStr">
        <is>
          <t>KALMAR LÄN</t>
        </is>
      </c>
      <c r="E726" t="inlineStr">
        <is>
          <t>VÄSTERVIK</t>
        </is>
      </c>
      <c r="G726" t="n">
        <v>2.7</v>
      </c>
      <c r="H726" t="n">
        <v>0</v>
      </c>
      <c r="I726" t="n">
        <v>0</v>
      </c>
      <c r="J726" t="n">
        <v>0</v>
      </c>
      <c r="K726" t="n">
        <v>0</v>
      </c>
      <c r="L726" t="n">
        <v>0</v>
      </c>
      <c r="M726" t="n">
        <v>0</v>
      </c>
      <c r="N726" t="n">
        <v>0</v>
      </c>
      <c r="O726" t="n">
        <v>0</v>
      </c>
      <c r="P726" t="n">
        <v>0</v>
      </c>
      <c r="Q726" t="n">
        <v>0</v>
      </c>
      <c r="R726" s="2" t="inlineStr"/>
    </row>
    <row r="727" ht="15" customHeight="1">
      <c r="A727" t="inlineStr">
        <is>
          <t>A 53394-2025</t>
        </is>
      </c>
      <c r="B727" s="1" t="n">
        <v>45959.5534837963</v>
      </c>
      <c r="C727" s="1" t="n">
        <v>46050</v>
      </c>
      <c r="D727" t="inlineStr">
        <is>
          <t>KALMAR LÄN</t>
        </is>
      </c>
      <c r="E727" t="inlineStr">
        <is>
          <t>VÄSTERVIK</t>
        </is>
      </c>
      <c r="G727" t="n">
        <v>0.8</v>
      </c>
      <c r="H727" t="n">
        <v>0</v>
      </c>
      <c r="I727" t="n">
        <v>0</v>
      </c>
      <c r="J727" t="n">
        <v>0</v>
      </c>
      <c r="K727" t="n">
        <v>0</v>
      </c>
      <c r="L727" t="n">
        <v>0</v>
      </c>
      <c r="M727" t="n">
        <v>0</v>
      </c>
      <c r="N727" t="n">
        <v>0</v>
      </c>
      <c r="O727" t="n">
        <v>0</v>
      </c>
      <c r="P727" t="n">
        <v>0</v>
      </c>
      <c r="Q727" t="n">
        <v>0</v>
      </c>
      <c r="R727" s="2" t="inlineStr"/>
    </row>
    <row r="728" ht="15" customHeight="1">
      <c r="A728" t="inlineStr">
        <is>
          <t>A 16617-2023</t>
        </is>
      </c>
      <c r="B728" s="1" t="n">
        <v>45030</v>
      </c>
      <c r="C728" s="1" t="n">
        <v>46050</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55032-2024</t>
        </is>
      </c>
      <c r="B729" s="1" t="n">
        <v>45621.38190972222</v>
      </c>
      <c r="C729" s="1" t="n">
        <v>46050</v>
      </c>
      <c r="D729" t="inlineStr">
        <is>
          <t>KALMAR LÄN</t>
        </is>
      </c>
      <c r="E729" t="inlineStr">
        <is>
          <t>VÄSTERVIK</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55037-2024</t>
        </is>
      </c>
      <c r="B730" s="1" t="n">
        <v>45621.38459490741</v>
      </c>
      <c r="C730" s="1" t="n">
        <v>46050</v>
      </c>
      <c r="D730" t="inlineStr">
        <is>
          <t>KALMAR LÄN</t>
        </is>
      </c>
      <c r="E730" t="inlineStr">
        <is>
          <t>VÄSTERVIK</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53334-2025</t>
        </is>
      </c>
      <c r="B731" s="1" t="n">
        <v>45959.38063657407</v>
      </c>
      <c r="C731" s="1" t="n">
        <v>46050</v>
      </c>
      <c r="D731" t="inlineStr">
        <is>
          <t>KALMAR LÄN</t>
        </is>
      </c>
      <c r="E731" t="inlineStr">
        <is>
          <t>VÄSTERVIK</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928-2024</t>
        </is>
      </c>
      <c r="B732" s="1" t="n">
        <v>45301</v>
      </c>
      <c r="C732" s="1" t="n">
        <v>46050</v>
      </c>
      <c r="D732" t="inlineStr">
        <is>
          <t>KALMAR LÄN</t>
        </is>
      </c>
      <c r="E732" t="inlineStr">
        <is>
          <t>VÄSTERVIK</t>
        </is>
      </c>
      <c r="G732" t="n">
        <v>4.8</v>
      </c>
      <c r="H732" t="n">
        <v>0</v>
      </c>
      <c r="I732" t="n">
        <v>0</v>
      </c>
      <c r="J732" t="n">
        <v>0</v>
      </c>
      <c r="K732" t="n">
        <v>0</v>
      </c>
      <c r="L732" t="n">
        <v>0</v>
      </c>
      <c r="M732" t="n">
        <v>0</v>
      </c>
      <c r="N732" t="n">
        <v>0</v>
      </c>
      <c r="O732" t="n">
        <v>0</v>
      </c>
      <c r="P732" t="n">
        <v>0</v>
      </c>
      <c r="Q732" t="n">
        <v>0</v>
      </c>
      <c r="R732" s="2" t="inlineStr"/>
    </row>
    <row r="733" ht="15" customHeight="1">
      <c r="A733" t="inlineStr">
        <is>
          <t>A 53333-2025</t>
        </is>
      </c>
      <c r="B733" s="1" t="n">
        <v>45959.37754629629</v>
      </c>
      <c r="C733" s="1" t="n">
        <v>46050</v>
      </c>
      <c r="D733" t="inlineStr">
        <is>
          <t>KALMAR LÄN</t>
        </is>
      </c>
      <c r="E733" t="inlineStr">
        <is>
          <t>VÄSTERVIK</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53364-2025</t>
        </is>
      </c>
      <c r="B734" s="1" t="n">
        <v>45959.48401620371</v>
      </c>
      <c r="C734" s="1" t="n">
        <v>46050</v>
      </c>
      <c r="D734" t="inlineStr">
        <is>
          <t>KALMAR LÄN</t>
        </is>
      </c>
      <c r="E734" t="inlineStr">
        <is>
          <t>VÄSTERVIK</t>
        </is>
      </c>
      <c r="G734" t="n">
        <v>3.2</v>
      </c>
      <c r="H734" t="n">
        <v>0</v>
      </c>
      <c r="I734" t="n">
        <v>0</v>
      </c>
      <c r="J734" t="n">
        <v>0</v>
      </c>
      <c r="K734" t="n">
        <v>0</v>
      </c>
      <c r="L734" t="n">
        <v>0</v>
      </c>
      <c r="M734" t="n">
        <v>0</v>
      </c>
      <c r="N734" t="n">
        <v>0</v>
      </c>
      <c r="O734" t="n">
        <v>0</v>
      </c>
      <c r="P734" t="n">
        <v>0</v>
      </c>
      <c r="Q734" t="n">
        <v>0</v>
      </c>
      <c r="R734" s="2" t="inlineStr"/>
    </row>
    <row r="735" ht="15" customHeight="1">
      <c r="A735" t="inlineStr">
        <is>
          <t>A 53366-2025</t>
        </is>
      </c>
      <c r="B735" s="1" t="n">
        <v>45959.48521990741</v>
      </c>
      <c r="C735" s="1" t="n">
        <v>46050</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63018-2023</t>
        </is>
      </c>
      <c r="B736" s="1" t="n">
        <v>45272</v>
      </c>
      <c r="C736" s="1" t="n">
        <v>46050</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16395-2024</t>
        </is>
      </c>
      <c r="B737" s="1" t="n">
        <v>45407.62733796296</v>
      </c>
      <c r="C737" s="1" t="n">
        <v>46050</v>
      </c>
      <c r="D737" t="inlineStr">
        <is>
          <t>KALMAR LÄN</t>
        </is>
      </c>
      <c r="E737" t="inlineStr">
        <is>
          <t>VÄSTERVIK</t>
        </is>
      </c>
      <c r="G737" t="n">
        <v>1.3</v>
      </c>
      <c r="H737" t="n">
        <v>0</v>
      </c>
      <c r="I737" t="n">
        <v>0</v>
      </c>
      <c r="J737" t="n">
        <v>0</v>
      </c>
      <c r="K737" t="n">
        <v>0</v>
      </c>
      <c r="L737" t="n">
        <v>0</v>
      </c>
      <c r="M737" t="n">
        <v>0</v>
      </c>
      <c r="N737" t="n">
        <v>0</v>
      </c>
      <c r="O737" t="n">
        <v>0</v>
      </c>
      <c r="P737" t="n">
        <v>0</v>
      </c>
      <c r="Q737" t="n">
        <v>0</v>
      </c>
      <c r="R737" s="2" t="inlineStr"/>
      <c r="U737">
        <f>HYPERLINK("https://klasma.github.io/Logging_0883/knärot/A 16395-2024 karta knärot.png", "A 16395-2024")</f>
        <v/>
      </c>
      <c r="V737">
        <f>HYPERLINK("https://klasma.github.io/Logging_0883/klagomål/A 16395-2024 FSC-klagomål.docx", "A 16395-2024")</f>
        <v/>
      </c>
      <c r="W737">
        <f>HYPERLINK("https://klasma.github.io/Logging_0883/klagomålsmail/A 16395-2024 FSC-klagomål mail.docx", "A 16395-2024")</f>
        <v/>
      </c>
      <c r="X737">
        <f>HYPERLINK("https://klasma.github.io/Logging_0883/tillsyn/A 16395-2024 tillsynsbegäran.docx", "A 16395-2024")</f>
        <v/>
      </c>
      <c r="Y737">
        <f>HYPERLINK("https://klasma.github.io/Logging_0883/tillsynsmail/A 16395-2024 tillsynsbegäran mail.docx", "A 16395-2024")</f>
        <v/>
      </c>
    </row>
    <row r="738" ht="15" customHeight="1">
      <c r="A738" t="inlineStr">
        <is>
          <t>A 6126-2023</t>
        </is>
      </c>
      <c r="B738" s="1" t="n">
        <v>44964.61592592593</v>
      </c>
      <c r="C738" s="1" t="n">
        <v>46050</v>
      </c>
      <c r="D738" t="inlineStr">
        <is>
          <t>KALMAR LÄN</t>
        </is>
      </c>
      <c r="E738" t="inlineStr">
        <is>
          <t>VÄSTERVIK</t>
        </is>
      </c>
      <c r="F738" t="inlineStr">
        <is>
          <t>Övriga Aktiebolag</t>
        </is>
      </c>
      <c r="G738" t="n">
        <v>0.9</v>
      </c>
      <c r="H738" t="n">
        <v>0</v>
      </c>
      <c r="I738" t="n">
        <v>0</v>
      </c>
      <c r="J738" t="n">
        <v>0</v>
      </c>
      <c r="K738" t="n">
        <v>0</v>
      </c>
      <c r="L738" t="n">
        <v>0</v>
      </c>
      <c r="M738" t="n">
        <v>0</v>
      </c>
      <c r="N738" t="n">
        <v>0</v>
      </c>
      <c r="O738" t="n">
        <v>0</v>
      </c>
      <c r="P738" t="n">
        <v>0</v>
      </c>
      <c r="Q738" t="n">
        <v>0</v>
      </c>
      <c r="R738" s="2" t="inlineStr"/>
    </row>
    <row r="739" ht="15" customHeight="1">
      <c r="A739" t="inlineStr">
        <is>
          <t>A 28894-2023</t>
        </is>
      </c>
      <c r="B739" s="1" t="n">
        <v>45104.49659722222</v>
      </c>
      <c r="C739" s="1" t="n">
        <v>46050</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12333-2025</t>
        </is>
      </c>
      <c r="B740" s="1" t="n">
        <v>45730</v>
      </c>
      <c r="C740" s="1" t="n">
        <v>46050</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23317-2023</t>
        </is>
      </c>
      <c r="B741" s="1" t="n">
        <v>45076</v>
      </c>
      <c r="C741" s="1" t="n">
        <v>46050</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3679-2025</t>
        </is>
      </c>
      <c r="B742" s="1" t="n">
        <v>45681.44637731482</v>
      </c>
      <c r="C742" s="1" t="n">
        <v>46050</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53885-2025</t>
        </is>
      </c>
      <c r="B743" s="1" t="n">
        <v>45961.40505787037</v>
      </c>
      <c r="C743" s="1" t="n">
        <v>46050</v>
      </c>
      <c r="D743" t="inlineStr">
        <is>
          <t>KALMAR LÄN</t>
        </is>
      </c>
      <c r="E743" t="inlineStr">
        <is>
          <t>VÄSTERVIK</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53077-2024</t>
        </is>
      </c>
      <c r="B744" s="1" t="n">
        <v>45611.49178240741</v>
      </c>
      <c r="C744" s="1" t="n">
        <v>46050</v>
      </c>
      <c r="D744" t="inlineStr">
        <is>
          <t>KALMAR LÄN</t>
        </is>
      </c>
      <c r="E744" t="inlineStr">
        <is>
          <t>VÄSTERVIK</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53854-2025</t>
        </is>
      </c>
      <c r="B745" s="1" t="n">
        <v>45961.37491898148</v>
      </c>
      <c r="C745" s="1" t="n">
        <v>46050</v>
      </c>
      <c r="D745" t="inlineStr">
        <is>
          <t>KALMAR LÄN</t>
        </is>
      </c>
      <c r="E745" t="inlineStr">
        <is>
          <t>VÄSTERVIK</t>
        </is>
      </c>
      <c r="F745" t="inlineStr">
        <is>
          <t>Sveaskog</t>
        </is>
      </c>
      <c r="G745" t="n">
        <v>3.9</v>
      </c>
      <c r="H745" t="n">
        <v>0</v>
      </c>
      <c r="I745" t="n">
        <v>0</v>
      </c>
      <c r="J745" t="n">
        <v>0</v>
      </c>
      <c r="K745" t="n">
        <v>0</v>
      </c>
      <c r="L745" t="n">
        <v>0</v>
      </c>
      <c r="M745" t="n">
        <v>0</v>
      </c>
      <c r="N745" t="n">
        <v>0</v>
      </c>
      <c r="O745" t="n">
        <v>0</v>
      </c>
      <c r="P745" t="n">
        <v>0</v>
      </c>
      <c r="Q745" t="n">
        <v>0</v>
      </c>
      <c r="R745" s="2" t="inlineStr"/>
    </row>
    <row r="746" ht="15" customHeight="1">
      <c r="A746" t="inlineStr">
        <is>
          <t>A 53872-2025</t>
        </is>
      </c>
      <c r="B746" s="1" t="n">
        <v>45961.39266203704</v>
      </c>
      <c r="C746" s="1" t="n">
        <v>46050</v>
      </c>
      <c r="D746" t="inlineStr">
        <is>
          <t>KALMAR LÄN</t>
        </is>
      </c>
      <c r="E746" t="inlineStr">
        <is>
          <t>VÄSTERVIK</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53884-2025</t>
        </is>
      </c>
      <c r="B747" s="1" t="n">
        <v>45961.4030787037</v>
      </c>
      <c r="C747" s="1" t="n">
        <v>46050</v>
      </c>
      <c r="D747" t="inlineStr">
        <is>
          <t>KALMAR LÄN</t>
        </is>
      </c>
      <c r="E747" t="inlineStr">
        <is>
          <t>VÄSTERVIK</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25434-2023</t>
        </is>
      </c>
      <c r="B748" s="1" t="n">
        <v>45089.41912037037</v>
      </c>
      <c r="C748" s="1" t="n">
        <v>46050</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54567-2025</t>
        </is>
      </c>
      <c r="B749" s="1" t="n">
        <v>45965.67274305555</v>
      </c>
      <c r="C749" s="1" t="n">
        <v>46050</v>
      </c>
      <c r="D749" t="inlineStr">
        <is>
          <t>KALMAR LÄN</t>
        </is>
      </c>
      <c r="E749" t="inlineStr">
        <is>
          <t>VÄSTERVIK</t>
        </is>
      </c>
      <c r="G749" t="n">
        <v>5.7</v>
      </c>
      <c r="H749" t="n">
        <v>0</v>
      </c>
      <c r="I749" t="n">
        <v>0</v>
      </c>
      <c r="J749" t="n">
        <v>0</v>
      </c>
      <c r="K749" t="n">
        <v>0</v>
      </c>
      <c r="L749" t="n">
        <v>0</v>
      </c>
      <c r="M749" t="n">
        <v>0</v>
      </c>
      <c r="N749" t="n">
        <v>0</v>
      </c>
      <c r="O749" t="n">
        <v>0</v>
      </c>
      <c r="P749" t="n">
        <v>0</v>
      </c>
      <c r="Q749" t="n">
        <v>0</v>
      </c>
      <c r="R749" s="2" t="inlineStr"/>
    </row>
    <row r="750" ht="15" customHeight="1">
      <c r="A750" t="inlineStr">
        <is>
          <t>A 54286-2025</t>
        </is>
      </c>
      <c r="B750" s="1" t="n">
        <v>45964.79894675926</v>
      </c>
      <c r="C750" s="1" t="n">
        <v>46050</v>
      </c>
      <c r="D750" t="inlineStr">
        <is>
          <t>KALMAR LÄN</t>
        </is>
      </c>
      <c r="E750" t="inlineStr">
        <is>
          <t>VÄSTERVIK</t>
        </is>
      </c>
      <c r="F750" t="inlineStr">
        <is>
          <t>Holmen skog AB</t>
        </is>
      </c>
      <c r="G750" t="n">
        <v>5.9</v>
      </c>
      <c r="H750" t="n">
        <v>0</v>
      </c>
      <c r="I750" t="n">
        <v>0</v>
      </c>
      <c r="J750" t="n">
        <v>0</v>
      </c>
      <c r="K750" t="n">
        <v>0</v>
      </c>
      <c r="L750" t="n">
        <v>0</v>
      </c>
      <c r="M750" t="n">
        <v>0</v>
      </c>
      <c r="N750" t="n">
        <v>0</v>
      </c>
      <c r="O750" t="n">
        <v>0</v>
      </c>
      <c r="P750" t="n">
        <v>0</v>
      </c>
      <c r="Q750" t="n">
        <v>0</v>
      </c>
      <c r="R750" s="2" t="inlineStr"/>
    </row>
    <row r="751" ht="15" customHeight="1">
      <c r="A751" t="inlineStr">
        <is>
          <t>A 54292-2025</t>
        </is>
      </c>
      <c r="B751" s="1" t="n">
        <v>45964.82712962963</v>
      </c>
      <c r="C751" s="1" t="n">
        <v>46050</v>
      </c>
      <c r="D751" t="inlineStr">
        <is>
          <t>KALMAR LÄN</t>
        </is>
      </c>
      <c r="E751" t="inlineStr">
        <is>
          <t>VÄSTERVIK</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54290-2025</t>
        </is>
      </c>
      <c r="B752" s="1" t="n">
        <v>45964.81896990741</v>
      </c>
      <c r="C752" s="1" t="n">
        <v>46050</v>
      </c>
      <c r="D752" t="inlineStr">
        <is>
          <t>KALMAR LÄN</t>
        </is>
      </c>
      <c r="E752" t="inlineStr">
        <is>
          <t>VÄSTERVIK</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30148-2024</t>
        </is>
      </c>
      <c r="B753" s="1" t="n">
        <v>45489.60528935185</v>
      </c>
      <c r="C753" s="1" t="n">
        <v>46050</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54577-2025</t>
        </is>
      </c>
      <c r="B754" s="1" t="n">
        <v>45965.6815162037</v>
      </c>
      <c r="C754" s="1" t="n">
        <v>46050</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62765-2025</t>
        </is>
      </c>
      <c r="B755" s="1" t="n">
        <v>46008.59494212963</v>
      </c>
      <c r="C755" s="1" t="n">
        <v>46050</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62743-2025</t>
        </is>
      </c>
      <c r="B756" s="1" t="n">
        <v>46008.5749074074</v>
      </c>
      <c r="C756" s="1" t="n">
        <v>46050</v>
      </c>
      <c r="D756" t="inlineStr">
        <is>
          <t>KALMAR LÄN</t>
        </is>
      </c>
      <c r="E756" t="inlineStr">
        <is>
          <t>VÄSTERVIK</t>
        </is>
      </c>
      <c r="G756" t="n">
        <v>7.5</v>
      </c>
      <c r="H756" t="n">
        <v>0</v>
      </c>
      <c r="I756" t="n">
        <v>0</v>
      </c>
      <c r="J756" t="n">
        <v>0</v>
      </c>
      <c r="K756" t="n">
        <v>0</v>
      </c>
      <c r="L756" t="n">
        <v>0</v>
      </c>
      <c r="M756" t="n">
        <v>0</v>
      </c>
      <c r="N756" t="n">
        <v>0</v>
      </c>
      <c r="O756" t="n">
        <v>0</v>
      </c>
      <c r="P756" t="n">
        <v>0</v>
      </c>
      <c r="Q756" t="n">
        <v>0</v>
      </c>
      <c r="R756" s="2" t="inlineStr"/>
    </row>
    <row r="757" ht="15" customHeight="1">
      <c r="A757" t="inlineStr">
        <is>
          <t>A 62750-2025</t>
        </is>
      </c>
      <c r="B757" s="1" t="n">
        <v>46008.57989583333</v>
      </c>
      <c r="C757" s="1" t="n">
        <v>46050</v>
      </c>
      <c r="D757" t="inlineStr">
        <is>
          <t>KALMAR LÄN</t>
        </is>
      </c>
      <c r="E757" t="inlineStr">
        <is>
          <t>VÄSTERVIK</t>
        </is>
      </c>
      <c r="G757" t="n">
        <v>2.6</v>
      </c>
      <c r="H757" t="n">
        <v>0</v>
      </c>
      <c r="I757" t="n">
        <v>0</v>
      </c>
      <c r="J757" t="n">
        <v>0</v>
      </c>
      <c r="K757" t="n">
        <v>0</v>
      </c>
      <c r="L757" t="n">
        <v>0</v>
      </c>
      <c r="M757" t="n">
        <v>0</v>
      </c>
      <c r="N757" t="n">
        <v>0</v>
      </c>
      <c r="O757" t="n">
        <v>0</v>
      </c>
      <c r="P757" t="n">
        <v>0</v>
      </c>
      <c r="Q757" t="n">
        <v>0</v>
      </c>
      <c r="R757" s="2" t="inlineStr"/>
    </row>
    <row r="758" ht="15" customHeight="1">
      <c r="A758" t="inlineStr">
        <is>
          <t>A 62752-2025</t>
        </is>
      </c>
      <c r="B758" s="1" t="n">
        <v>46008.58653935185</v>
      </c>
      <c r="C758" s="1" t="n">
        <v>46050</v>
      </c>
      <c r="D758" t="inlineStr">
        <is>
          <t>KALMAR LÄN</t>
        </is>
      </c>
      <c r="E758" t="inlineStr">
        <is>
          <t>VÄSTERVIK</t>
        </is>
      </c>
      <c r="G758" t="n">
        <v>9.4</v>
      </c>
      <c r="H758" t="n">
        <v>0</v>
      </c>
      <c r="I758" t="n">
        <v>0</v>
      </c>
      <c r="J758" t="n">
        <v>0</v>
      </c>
      <c r="K758" t="n">
        <v>0</v>
      </c>
      <c r="L758" t="n">
        <v>0</v>
      </c>
      <c r="M758" t="n">
        <v>0</v>
      </c>
      <c r="N758" t="n">
        <v>0</v>
      </c>
      <c r="O758" t="n">
        <v>0</v>
      </c>
      <c r="P758" t="n">
        <v>0</v>
      </c>
      <c r="Q758" t="n">
        <v>0</v>
      </c>
      <c r="R758" s="2" t="inlineStr"/>
    </row>
    <row r="759" ht="15" customHeight="1">
      <c r="A759" t="inlineStr">
        <is>
          <t>A 62815-2025</t>
        </is>
      </c>
      <c r="B759" s="1" t="n">
        <v>46008.654375</v>
      </c>
      <c r="C759" s="1" t="n">
        <v>46050</v>
      </c>
      <c r="D759" t="inlineStr">
        <is>
          <t>KALMAR LÄN</t>
        </is>
      </c>
      <c r="E759" t="inlineStr">
        <is>
          <t>VÄSTERVIK</t>
        </is>
      </c>
      <c r="G759" t="n">
        <v>2.3</v>
      </c>
      <c r="H759" t="n">
        <v>0</v>
      </c>
      <c r="I759" t="n">
        <v>0</v>
      </c>
      <c r="J759" t="n">
        <v>0</v>
      </c>
      <c r="K759" t="n">
        <v>0</v>
      </c>
      <c r="L759" t="n">
        <v>0</v>
      </c>
      <c r="M759" t="n">
        <v>0</v>
      </c>
      <c r="N759" t="n">
        <v>0</v>
      </c>
      <c r="O759" t="n">
        <v>0</v>
      </c>
      <c r="P759" t="n">
        <v>0</v>
      </c>
      <c r="Q759" t="n">
        <v>0</v>
      </c>
      <c r="R759" s="2" t="inlineStr"/>
    </row>
    <row r="760" ht="15" customHeight="1">
      <c r="A760" t="inlineStr">
        <is>
          <t>A 62756-2025</t>
        </is>
      </c>
      <c r="B760" s="1" t="n">
        <v>46008.59005787037</v>
      </c>
      <c r="C760" s="1" t="n">
        <v>46050</v>
      </c>
      <c r="D760" t="inlineStr">
        <is>
          <t>KALMAR LÄN</t>
        </is>
      </c>
      <c r="E760" t="inlineStr">
        <is>
          <t>VÄSTERVIK</t>
        </is>
      </c>
      <c r="G760" t="n">
        <v>3.1</v>
      </c>
      <c r="H760" t="n">
        <v>0</v>
      </c>
      <c r="I760" t="n">
        <v>0</v>
      </c>
      <c r="J760" t="n">
        <v>0</v>
      </c>
      <c r="K760" t="n">
        <v>0</v>
      </c>
      <c r="L760" t="n">
        <v>0</v>
      </c>
      <c r="M760" t="n">
        <v>0</v>
      </c>
      <c r="N760" t="n">
        <v>0</v>
      </c>
      <c r="O760" t="n">
        <v>0</v>
      </c>
      <c r="P760" t="n">
        <v>0</v>
      </c>
      <c r="Q760" t="n">
        <v>0</v>
      </c>
      <c r="R760" s="2" t="inlineStr"/>
    </row>
    <row r="761" ht="15" customHeight="1">
      <c r="A761" t="inlineStr">
        <is>
          <t>A 62789-2025</t>
        </is>
      </c>
      <c r="B761" s="1" t="n">
        <v>46008</v>
      </c>
      <c r="C761" s="1" t="n">
        <v>46050</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62817-2025</t>
        </is>
      </c>
      <c r="B762" s="1" t="n">
        <v>46008.6546875</v>
      </c>
      <c r="C762" s="1" t="n">
        <v>46050</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14114-2025</t>
        </is>
      </c>
      <c r="B763" s="1" t="n">
        <v>45740.45964120371</v>
      </c>
      <c r="C763" s="1" t="n">
        <v>46050</v>
      </c>
      <c r="D763" t="inlineStr">
        <is>
          <t>KALMAR LÄN</t>
        </is>
      </c>
      <c r="E763" t="inlineStr">
        <is>
          <t>VÄSTERVIK</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62770-2025</t>
        </is>
      </c>
      <c r="B764" s="1" t="n">
        <v>46008.60042824074</v>
      </c>
      <c r="C764" s="1" t="n">
        <v>46050</v>
      </c>
      <c r="D764" t="inlineStr">
        <is>
          <t>KALMAR LÄN</t>
        </is>
      </c>
      <c r="E764" t="inlineStr">
        <is>
          <t>VÄSTERVIK</t>
        </is>
      </c>
      <c r="G764" t="n">
        <v>3.2</v>
      </c>
      <c r="H764" t="n">
        <v>0</v>
      </c>
      <c r="I764" t="n">
        <v>0</v>
      </c>
      <c r="J764" t="n">
        <v>0</v>
      </c>
      <c r="K764" t="n">
        <v>0</v>
      </c>
      <c r="L764" t="n">
        <v>0</v>
      </c>
      <c r="M764" t="n">
        <v>0</v>
      </c>
      <c r="N764" t="n">
        <v>0</v>
      </c>
      <c r="O764" t="n">
        <v>0</v>
      </c>
      <c r="P764" t="n">
        <v>0</v>
      </c>
      <c r="Q764" t="n">
        <v>0</v>
      </c>
      <c r="R764" s="2" t="inlineStr"/>
    </row>
    <row r="765" ht="15" customHeight="1">
      <c r="A765" t="inlineStr">
        <is>
          <t>A 62782-2025</t>
        </is>
      </c>
      <c r="B765" s="1" t="n">
        <v>46008</v>
      </c>
      <c r="C765" s="1" t="n">
        <v>46050</v>
      </c>
      <c r="D765" t="inlineStr">
        <is>
          <t>KALMAR LÄN</t>
        </is>
      </c>
      <c r="E765" t="inlineStr">
        <is>
          <t>VÄSTERVIK</t>
        </is>
      </c>
      <c r="G765" t="n">
        <v>0.6</v>
      </c>
      <c r="H765" t="n">
        <v>0</v>
      </c>
      <c r="I765" t="n">
        <v>0</v>
      </c>
      <c r="J765" t="n">
        <v>0</v>
      </c>
      <c r="K765" t="n">
        <v>0</v>
      </c>
      <c r="L765" t="n">
        <v>0</v>
      </c>
      <c r="M765" t="n">
        <v>0</v>
      </c>
      <c r="N765" t="n">
        <v>0</v>
      </c>
      <c r="O765" t="n">
        <v>0</v>
      </c>
      <c r="P765" t="n">
        <v>0</v>
      </c>
      <c r="Q765" t="n">
        <v>0</v>
      </c>
      <c r="R765" s="2" t="inlineStr"/>
    </row>
    <row r="766" ht="15" customHeight="1">
      <c r="A766" t="inlineStr">
        <is>
          <t>A 17314-2023</t>
        </is>
      </c>
      <c r="B766" s="1" t="n">
        <v>45035</v>
      </c>
      <c r="C766" s="1" t="n">
        <v>46050</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61649-2022</t>
        </is>
      </c>
      <c r="B767" s="1" t="n">
        <v>44916.90010416666</v>
      </c>
      <c r="C767" s="1" t="n">
        <v>46050</v>
      </c>
      <c r="D767" t="inlineStr">
        <is>
          <t>KALMAR LÄN</t>
        </is>
      </c>
      <c r="E767" t="inlineStr">
        <is>
          <t>VÄSTERVIK</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55489-2025</t>
        </is>
      </c>
      <c r="B768" s="1" t="n">
        <v>45971</v>
      </c>
      <c r="C768" s="1" t="n">
        <v>46050</v>
      </c>
      <c r="D768" t="inlineStr">
        <is>
          <t>KALMAR LÄN</t>
        </is>
      </c>
      <c r="E768" t="inlineStr">
        <is>
          <t>VÄSTERVIK</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7360-2023</t>
        </is>
      </c>
      <c r="B769" s="1" t="n">
        <v>44971</v>
      </c>
      <c r="C769" s="1" t="n">
        <v>46050</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5079-2025</t>
        </is>
      </c>
      <c r="B770" s="1" t="n">
        <v>45691.50069444445</v>
      </c>
      <c r="C770" s="1" t="n">
        <v>46050</v>
      </c>
      <c r="D770" t="inlineStr">
        <is>
          <t>KALMAR LÄN</t>
        </is>
      </c>
      <c r="E770" t="inlineStr">
        <is>
          <t>VÄSTERVIK</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63588-2025</t>
        </is>
      </c>
      <c r="B771" s="1" t="n">
        <v>46013.80505787037</v>
      </c>
      <c r="C771" s="1" t="n">
        <v>46050</v>
      </c>
      <c r="D771" t="inlineStr">
        <is>
          <t>KALMAR LÄN</t>
        </is>
      </c>
      <c r="E771" t="inlineStr">
        <is>
          <t>VÄSTERVIK</t>
        </is>
      </c>
      <c r="F771" t="inlineStr">
        <is>
          <t>Sveaskog</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63591-2025</t>
        </is>
      </c>
      <c r="B772" s="1" t="n">
        <v>46013.80930555556</v>
      </c>
      <c r="C772" s="1" t="n">
        <v>46050</v>
      </c>
      <c r="D772" t="inlineStr">
        <is>
          <t>KALMAR LÄN</t>
        </is>
      </c>
      <c r="E772" t="inlineStr">
        <is>
          <t>VÄSTERVIK</t>
        </is>
      </c>
      <c r="F772" t="inlineStr">
        <is>
          <t>Sveaskog</t>
        </is>
      </c>
      <c r="G772" t="n">
        <v>13.7</v>
      </c>
      <c r="H772" t="n">
        <v>0</v>
      </c>
      <c r="I772" t="n">
        <v>0</v>
      </c>
      <c r="J772" t="n">
        <v>0</v>
      </c>
      <c r="K772" t="n">
        <v>0</v>
      </c>
      <c r="L772" t="n">
        <v>0</v>
      </c>
      <c r="M772" t="n">
        <v>0</v>
      </c>
      <c r="N772" t="n">
        <v>0</v>
      </c>
      <c r="O772" t="n">
        <v>0</v>
      </c>
      <c r="P772" t="n">
        <v>0</v>
      </c>
      <c r="Q772" t="n">
        <v>0</v>
      </c>
      <c r="R772" s="2" t="inlineStr"/>
    </row>
    <row r="773" ht="15" customHeight="1">
      <c r="A773" t="inlineStr">
        <is>
          <t>A 63587-2025</t>
        </is>
      </c>
      <c r="B773" s="1" t="n">
        <v>46013.80384259259</v>
      </c>
      <c r="C773" s="1" t="n">
        <v>46050</v>
      </c>
      <c r="D773" t="inlineStr">
        <is>
          <t>KALMAR LÄN</t>
        </is>
      </c>
      <c r="E773" t="inlineStr">
        <is>
          <t>VÄSTERVIK</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63590-2025</t>
        </is>
      </c>
      <c r="B774" s="1" t="n">
        <v>46013.8079050926</v>
      </c>
      <c r="C774" s="1" t="n">
        <v>46050</v>
      </c>
      <c r="D774" t="inlineStr">
        <is>
          <t>KALMAR LÄN</t>
        </is>
      </c>
      <c r="E774" t="inlineStr">
        <is>
          <t>VÄSTERVIK</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55152-2025</t>
        </is>
      </c>
      <c r="B775" s="1" t="n">
        <v>45968.4571412037</v>
      </c>
      <c r="C775" s="1" t="n">
        <v>46050</v>
      </c>
      <c r="D775" t="inlineStr">
        <is>
          <t>KALMAR LÄN</t>
        </is>
      </c>
      <c r="E775" t="inlineStr">
        <is>
          <t>VÄSTERVIK</t>
        </is>
      </c>
      <c r="F775" t="inlineStr">
        <is>
          <t>Holmen skog AB</t>
        </is>
      </c>
      <c r="G775" t="n">
        <v>0.6</v>
      </c>
      <c r="H775" t="n">
        <v>0</v>
      </c>
      <c r="I775" t="n">
        <v>0</v>
      </c>
      <c r="J775" t="n">
        <v>0</v>
      </c>
      <c r="K775" t="n">
        <v>0</v>
      </c>
      <c r="L775" t="n">
        <v>0</v>
      </c>
      <c r="M775" t="n">
        <v>0</v>
      </c>
      <c r="N775" t="n">
        <v>0</v>
      </c>
      <c r="O775" t="n">
        <v>0</v>
      </c>
      <c r="P775" t="n">
        <v>0</v>
      </c>
      <c r="Q775" t="n">
        <v>0</v>
      </c>
      <c r="R775" s="2" t="inlineStr"/>
    </row>
    <row r="776" ht="15" customHeight="1">
      <c r="A776" t="inlineStr">
        <is>
          <t>A 55184-2025</t>
        </is>
      </c>
      <c r="B776" s="1" t="n">
        <v>45968.53612268518</v>
      </c>
      <c r="C776" s="1" t="n">
        <v>46050</v>
      </c>
      <c r="D776" t="inlineStr">
        <is>
          <t>KALMAR LÄN</t>
        </is>
      </c>
      <c r="E776" t="inlineStr">
        <is>
          <t>VÄSTERVIK</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63589-2025</t>
        </is>
      </c>
      <c r="B777" s="1" t="n">
        <v>46013.80627314815</v>
      </c>
      <c r="C777" s="1" t="n">
        <v>46050</v>
      </c>
      <c r="D777" t="inlineStr">
        <is>
          <t>KALMAR LÄN</t>
        </is>
      </c>
      <c r="E777" t="inlineStr">
        <is>
          <t>VÄSTERVIK</t>
        </is>
      </c>
      <c r="F777" t="inlineStr">
        <is>
          <t>Sveaskog</t>
        </is>
      </c>
      <c r="G777" t="n">
        <v>13.2</v>
      </c>
      <c r="H777" t="n">
        <v>0</v>
      </c>
      <c r="I777" t="n">
        <v>0</v>
      </c>
      <c r="J777" t="n">
        <v>0</v>
      </c>
      <c r="K777" t="n">
        <v>0</v>
      </c>
      <c r="L777" t="n">
        <v>0</v>
      </c>
      <c r="M777" t="n">
        <v>0</v>
      </c>
      <c r="N777" t="n">
        <v>0</v>
      </c>
      <c r="O777" t="n">
        <v>0</v>
      </c>
      <c r="P777" t="n">
        <v>0</v>
      </c>
      <c r="Q777" t="n">
        <v>0</v>
      </c>
      <c r="R777" s="2" t="inlineStr"/>
    </row>
    <row r="778" ht="15" customHeight="1">
      <c r="A778" t="inlineStr">
        <is>
          <t>A 55557-2025</t>
        </is>
      </c>
      <c r="B778" s="1" t="n">
        <v>45971.6475</v>
      </c>
      <c r="C778" s="1" t="n">
        <v>46050</v>
      </c>
      <c r="D778" t="inlineStr">
        <is>
          <t>KALMAR LÄN</t>
        </is>
      </c>
      <c r="E778" t="inlineStr">
        <is>
          <t>VÄSTERVIK</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59331-2023</t>
        </is>
      </c>
      <c r="B779" s="1" t="n">
        <v>45253</v>
      </c>
      <c r="C779" s="1" t="n">
        <v>46050</v>
      </c>
      <c r="D779" t="inlineStr">
        <is>
          <t>KALMAR LÄN</t>
        </is>
      </c>
      <c r="E779" t="inlineStr">
        <is>
          <t>VÄSTERVIK</t>
        </is>
      </c>
      <c r="G779" t="n">
        <v>3.9</v>
      </c>
      <c r="H779" t="n">
        <v>0</v>
      </c>
      <c r="I779" t="n">
        <v>0</v>
      </c>
      <c r="J779" t="n">
        <v>0</v>
      </c>
      <c r="K779" t="n">
        <v>0</v>
      </c>
      <c r="L779" t="n">
        <v>0</v>
      </c>
      <c r="M779" t="n">
        <v>0</v>
      </c>
      <c r="N779" t="n">
        <v>0</v>
      </c>
      <c r="O779" t="n">
        <v>0</v>
      </c>
      <c r="P779" t="n">
        <v>0</v>
      </c>
      <c r="Q779" t="n">
        <v>0</v>
      </c>
      <c r="R779" s="2" t="inlineStr"/>
    </row>
    <row r="780" ht="15" customHeight="1">
      <c r="A780" t="inlineStr">
        <is>
          <t>A 33969-2024</t>
        </is>
      </c>
      <c r="B780" s="1" t="n">
        <v>45523.49450231482</v>
      </c>
      <c r="C780" s="1" t="n">
        <v>46050</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13490-2022</t>
        </is>
      </c>
      <c r="B781" s="1" t="n">
        <v>44646</v>
      </c>
      <c r="C781" s="1" t="n">
        <v>46050</v>
      </c>
      <c r="D781" t="inlineStr">
        <is>
          <t>KALMAR LÄN</t>
        </is>
      </c>
      <c r="E781" t="inlineStr">
        <is>
          <t>VÄSTERVIK</t>
        </is>
      </c>
      <c r="G781" t="n">
        <v>2.4</v>
      </c>
      <c r="H781" t="n">
        <v>0</v>
      </c>
      <c r="I781" t="n">
        <v>0</v>
      </c>
      <c r="J781" t="n">
        <v>0</v>
      </c>
      <c r="K781" t="n">
        <v>0</v>
      </c>
      <c r="L781" t="n">
        <v>0</v>
      </c>
      <c r="M781" t="n">
        <v>0</v>
      </c>
      <c r="N781" t="n">
        <v>0</v>
      </c>
      <c r="O781" t="n">
        <v>0</v>
      </c>
      <c r="P781" t="n">
        <v>0</v>
      </c>
      <c r="Q781" t="n">
        <v>0</v>
      </c>
      <c r="R781" s="2" t="inlineStr"/>
    </row>
    <row r="782" ht="15" customHeight="1">
      <c r="A782" t="inlineStr">
        <is>
          <t>A 60478-2024</t>
        </is>
      </c>
      <c r="B782" s="1" t="n">
        <v>45643</v>
      </c>
      <c r="C782" s="1" t="n">
        <v>46050</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55737-2025</t>
        </is>
      </c>
      <c r="B783" s="1" t="n">
        <v>45972.56077546296</v>
      </c>
      <c r="C783" s="1" t="n">
        <v>46050</v>
      </c>
      <c r="D783" t="inlineStr">
        <is>
          <t>KALMAR LÄN</t>
        </is>
      </c>
      <c r="E783" t="inlineStr">
        <is>
          <t>VÄSTERVIK</t>
        </is>
      </c>
      <c r="G783" t="n">
        <v>3.7</v>
      </c>
      <c r="H783" t="n">
        <v>0</v>
      </c>
      <c r="I783" t="n">
        <v>0</v>
      </c>
      <c r="J783" t="n">
        <v>0</v>
      </c>
      <c r="K783" t="n">
        <v>0</v>
      </c>
      <c r="L783" t="n">
        <v>0</v>
      </c>
      <c r="M783" t="n">
        <v>0</v>
      </c>
      <c r="N783" t="n">
        <v>0</v>
      </c>
      <c r="O783" t="n">
        <v>0</v>
      </c>
      <c r="P783" t="n">
        <v>0</v>
      </c>
      <c r="Q783" t="n">
        <v>0</v>
      </c>
      <c r="R783" s="2" t="inlineStr"/>
    </row>
    <row r="784" ht="15" customHeight="1">
      <c r="A784" t="inlineStr">
        <is>
          <t>A 46562-2022</t>
        </is>
      </c>
      <c r="B784" s="1" t="n">
        <v>44848</v>
      </c>
      <c r="C784" s="1" t="n">
        <v>46050</v>
      </c>
      <c r="D784" t="inlineStr">
        <is>
          <t>KALMAR LÄN</t>
        </is>
      </c>
      <c r="E784" t="inlineStr">
        <is>
          <t>VÄSTERVIK</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46596-2022</t>
        </is>
      </c>
      <c r="B785" s="1" t="n">
        <v>44848.8315625</v>
      </c>
      <c r="C785" s="1" t="n">
        <v>46050</v>
      </c>
      <c r="D785" t="inlineStr">
        <is>
          <t>KALMAR LÄN</t>
        </is>
      </c>
      <c r="E785" t="inlineStr">
        <is>
          <t>VÄSTERVIK</t>
        </is>
      </c>
      <c r="G785" t="n">
        <v>3.9</v>
      </c>
      <c r="H785" t="n">
        <v>0</v>
      </c>
      <c r="I785" t="n">
        <v>0</v>
      </c>
      <c r="J785" t="n">
        <v>0</v>
      </c>
      <c r="K785" t="n">
        <v>0</v>
      </c>
      <c r="L785" t="n">
        <v>0</v>
      </c>
      <c r="M785" t="n">
        <v>0</v>
      </c>
      <c r="N785" t="n">
        <v>0</v>
      </c>
      <c r="O785" t="n">
        <v>0</v>
      </c>
      <c r="P785" t="n">
        <v>0</v>
      </c>
      <c r="Q785" t="n">
        <v>0</v>
      </c>
      <c r="R785" s="2" t="inlineStr"/>
    </row>
    <row r="786" ht="15" customHeight="1">
      <c r="A786" t="inlineStr">
        <is>
          <t>A 56046-2023</t>
        </is>
      </c>
      <c r="B786" s="1" t="n">
        <v>45240.45217592592</v>
      </c>
      <c r="C786" s="1" t="n">
        <v>46050</v>
      </c>
      <c r="D786" t="inlineStr">
        <is>
          <t>KALMAR LÄN</t>
        </is>
      </c>
      <c r="E786" t="inlineStr">
        <is>
          <t>VÄSTERVIK</t>
        </is>
      </c>
      <c r="G786" t="n">
        <v>0.9</v>
      </c>
      <c r="H786" t="n">
        <v>0</v>
      </c>
      <c r="I786" t="n">
        <v>0</v>
      </c>
      <c r="J786" t="n">
        <v>0</v>
      </c>
      <c r="K786" t="n">
        <v>0</v>
      </c>
      <c r="L786" t="n">
        <v>0</v>
      </c>
      <c r="M786" t="n">
        <v>0</v>
      </c>
      <c r="N786" t="n">
        <v>0</v>
      </c>
      <c r="O786" t="n">
        <v>0</v>
      </c>
      <c r="P786" t="n">
        <v>0</v>
      </c>
      <c r="Q786" t="n">
        <v>0</v>
      </c>
      <c r="R786" s="2" t="inlineStr"/>
    </row>
    <row r="787" ht="15" customHeight="1">
      <c r="A787" t="inlineStr">
        <is>
          <t>A 17200-2021</t>
        </is>
      </c>
      <c r="B787" s="1" t="n">
        <v>44298.47847222222</v>
      </c>
      <c r="C787" s="1" t="n">
        <v>46050</v>
      </c>
      <c r="D787" t="inlineStr">
        <is>
          <t>KALMAR LÄN</t>
        </is>
      </c>
      <c r="E787" t="inlineStr">
        <is>
          <t>VÄSTERVIK</t>
        </is>
      </c>
      <c r="G787" t="n">
        <v>3.4</v>
      </c>
      <c r="H787" t="n">
        <v>0</v>
      </c>
      <c r="I787" t="n">
        <v>0</v>
      </c>
      <c r="J787" t="n">
        <v>0</v>
      </c>
      <c r="K787" t="n">
        <v>0</v>
      </c>
      <c r="L787" t="n">
        <v>0</v>
      </c>
      <c r="M787" t="n">
        <v>0</v>
      </c>
      <c r="N787" t="n">
        <v>0</v>
      </c>
      <c r="O787" t="n">
        <v>0</v>
      </c>
      <c r="P787" t="n">
        <v>0</v>
      </c>
      <c r="Q787" t="n">
        <v>0</v>
      </c>
      <c r="R787" s="2" t="inlineStr"/>
    </row>
    <row r="788" ht="15" customHeight="1">
      <c r="A788" t="inlineStr">
        <is>
          <t>A 1096-2024</t>
        </is>
      </c>
      <c r="B788" s="1" t="n">
        <v>45302</v>
      </c>
      <c r="C788" s="1" t="n">
        <v>46050</v>
      </c>
      <c r="D788" t="inlineStr">
        <is>
          <t>KALMAR LÄN</t>
        </is>
      </c>
      <c r="E788" t="inlineStr">
        <is>
          <t>VÄSTERVIK</t>
        </is>
      </c>
      <c r="G788" t="n">
        <v>2.6</v>
      </c>
      <c r="H788" t="n">
        <v>0</v>
      </c>
      <c r="I788" t="n">
        <v>0</v>
      </c>
      <c r="J788" t="n">
        <v>0</v>
      </c>
      <c r="K788" t="n">
        <v>0</v>
      </c>
      <c r="L788" t="n">
        <v>0</v>
      </c>
      <c r="M788" t="n">
        <v>0</v>
      </c>
      <c r="N788" t="n">
        <v>0</v>
      </c>
      <c r="O788" t="n">
        <v>0</v>
      </c>
      <c r="P788" t="n">
        <v>0</v>
      </c>
      <c r="Q788" t="n">
        <v>0</v>
      </c>
      <c r="R788" s="2" t="inlineStr"/>
    </row>
    <row r="789" ht="15" customHeight="1">
      <c r="A789" t="inlineStr">
        <is>
          <t>A 61450-2023</t>
        </is>
      </c>
      <c r="B789" s="1" t="n">
        <v>45264.8162037037</v>
      </c>
      <c r="C789" s="1" t="n">
        <v>46050</v>
      </c>
      <c r="D789" t="inlineStr">
        <is>
          <t>KALMAR LÄN</t>
        </is>
      </c>
      <c r="E789" t="inlineStr">
        <is>
          <t>VÄSTERVIK</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36906-2024</t>
        </is>
      </c>
      <c r="B790" s="1" t="n">
        <v>45538</v>
      </c>
      <c r="C790" s="1" t="n">
        <v>46050</v>
      </c>
      <c r="D790" t="inlineStr">
        <is>
          <t>KALMAR LÄN</t>
        </is>
      </c>
      <c r="E790" t="inlineStr">
        <is>
          <t>VÄSTERVIK</t>
        </is>
      </c>
      <c r="G790" t="n">
        <v>2</v>
      </c>
      <c r="H790" t="n">
        <v>0</v>
      </c>
      <c r="I790" t="n">
        <v>0</v>
      </c>
      <c r="J790" t="n">
        <v>0</v>
      </c>
      <c r="K790" t="n">
        <v>0</v>
      </c>
      <c r="L790" t="n">
        <v>0</v>
      </c>
      <c r="M790" t="n">
        <v>0</v>
      </c>
      <c r="N790" t="n">
        <v>0</v>
      </c>
      <c r="O790" t="n">
        <v>0</v>
      </c>
      <c r="P790" t="n">
        <v>0</v>
      </c>
      <c r="Q790" t="n">
        <v>0</v>
      </c>
      <c r="R790" s="2" t="inlineStr"/>
    </row>
    <row r="791" ht="15" customHeight="1">
      <c r="A791" t="inlineStr">
        <is>
          <t>A 8513-2023</t>
        </is>
      </c>
      <c r="B791" s="1" t="n">
        <v>44977.56759259259</v>
      </c>
      <c r="C791" s="1" t="n">
        <v>46050</v>
      </c>
      <c r="D791" t="inlineStr">
        <is>
          <t>KALMAR LÄN</t>
        </is>
      </c>
      <c r="E791" t="inlineStr">
        <is>
          <t>VÄSTERVIK</t>
        </is>
      </c>
      <c r="G791" t="n">
        <v>2</v>
      </c>
      <c r="H791" t="n">
        <v>0</v>
      </c>
      <c r="I791" t="n">
        <v>0</v>
      </c>
      <c r="J791" t="n">
        <v>0</v>
      </c>
      <c r="K791" t="n">
        <v>0</v>
      </c>
      <c r="L791" t="n">
        <v>0</v>
      </c>
      <c r="M791" t="n">
        <v>0</v>
      </c>
      <c r="N791" t="n">
        <v>0</v>
      </c>
      <c r="O791" t="n">
        <v>0</v>
      </c>
      <c r="P791" t="n">
        <v>0</v>
      </c>
      <c r="Q791" t="n">
        <v>0</v>
      </c>
      <c r="R791" s="2" t="inlineStr"/>
    </row>
    <row r="792" ht="15" customHeight="1">
      <c r="A792" t="inlineStr">
        <is>
          <t>A 19551-2023</t>
        </is>
      </c>
      <c r="B792" s="1" t="n">
        <v>45049</v>
      </c>
      <c r="C792" s="1" t="n">
        <v>46050</v>
      </c>
      <c r="D792" t="inlineStr">
        <is>
          <t>KALMAR LÄN</t>
        </is>
      </c>
      <c r="E792" t="inlineStr">
        <is>
          <t>VÄSTERVIK</t>
        </is>
      </c>
      <c r="G792" t="n">
        <v>3.2</v>
      </c>
      <c r="H792" t="n">
        <v>0</v>
      </c>
      <c r="I792" t="n">
        <v>0</v>
      </c>
      <c r="J792" t="n">
        <v>0</v>
      </c>
      <c r="K792" t="n">
        <v>0</v>
      </c>
      <c r="L792" t="n">
        <v>0</v>
      </c>
      <c r="M792" t="n">
        <v>0</v>
      </c>
      <c r="N792" t="n">
        <v>0</v>
      </c>
      <c r="O792" t="n">
        <v>0</v>
      </c>
      <c r="P792" t="n">
        <v>0</v>
      </c>
      <c r="Q792" t="n">
        <v>0</v>
      </c>
      <c r="R792" s="2" t="inlineStr"/>
    </row>
    <row r="793" ht="15" customHeight="1">
      <c r="A793" t="inlineStr">
        <is>
          <t>A 9042-2023</t>
        </is>
      </c>
      <c r="B793" s="1" t="n">
        <v>44979</v>
      </c>
      <c r="C793" s="1" t="n">
        <v>46050</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51883-2021</t>
        </is>
      </c>
      <c r="B794" s="1" t="n">
        <v>44462.80449074074</v>
      </c>
      <c r="C794" s="1" t="n">
        <v>46050</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51884-2021</t>
        </is>
      </c>
      <c r="B795" s="1" t="n">
        <v>44462.806875</v>
      </c>
      <c r="C795" s="1" t="n">
        <v>46050</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63835-2025</t>
        </is>
      </c>
      <c r="B796" s="1" t="n">
        <v>46020.40302083334</v>
      </c>
      <c r="C796" s="1" t="n">
        <v>46050</v>
      </c>
      <c r="D796" t="inlineStr">
        <is>
          <t>KALMAR LÄN</t>
        </is>
      </c>
      <c r="E796" t="inlineStr">
        <is>
          <t>VÄSTERVIK</t>
        </is>
      </c>
      <c r="G796" t="n">
        <v>2.8</v>
      </c>
      <c r="H796" t="n">
        <v>0</v>
      </c>
      <c r="I796" t="n">
        <v>0</v>
      </c>
      <c r="J796" t="n">
        <v>0</v>
      </c>
      <c r="K796" t="n">
        <v>0</v>
      </c>
      <c r="L796" t="n">
        <v>0</v>
      </c>
      <c r="M796" t="n">
        <v>0</v>
      </c>
      <c r="N796" t="n">
        <v>0</v>
      </c>
      <c r="O796" t="n">
        <v>0</v>
      </c>
      <c r="P796" t="n">
        <v>0</v>
      </c>
      <c r="Q796" t="n">
        <v>0</v>
      </c>
      <c r="R796" s="2" t="inlineStr"/>
    </row>
    <row r="797" ht="15" customHeight="1">
      <c r="A797" t="inlineStr">
        <is>
          <t>A 57171-2025</t>
        </is>
      </c>
      <c r="B797" s="1" t="n">
        <v>45979.54754629629</v>
      </c>
      <c r="C797" s="1" t="n">
        <v>46050</v>
      </c>
      <c r="D797" t="inlineStr">
        <is>
          <t>KALMAR LÄN</t>
        </is>
      </c>
      <c r="E797" t="inlineStr">
        <is>
          <t>VÄSTERVIK</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56857-2025</t>
        </is>
      </c>
      <c r="B798" s="1" t="n">
        <v>45978.49924768518</v>
      </c>
      <c r="C798" s="1" t="n">
        <v>46050</v>
      </c>
      <c r="D798" t="inlineStr">
        <is>
          <t>KALMAR LÄN</t>
        </is>
      </c>
      <c r="E798" t="inlineStr">
        <is>
          <t>VÄSTERVIK</t>
        </is>
      </c>
      <c r="F798" t="inlineStr">
        <is>
          <t>Holmen skog AB</t>
        </is>
      </c>
      <c r="G798" t="n">
        <v>5.5</v>
      </c>
      <c r="H798" t="n">
        <v>0</v>
      </c>
      <c r="I798" t="n">
        <v>0</v>
      </c>
      <c r="J798" t="n">
        <v>0</v>
      </c>
      <c r="K798" t="n">
        <v>0</v>
      </c>
      <c r="L798" t="n">
        <v>0</v>
      </c>
      <c r="M798" t="n">
        <v>0</v>
      </c>
      <c r="N798" t="n">
        <v>0</v>
      </c>
      <c r="O798" t="n">
        <v>0</v>
      </c>
      <c r="P798" t="n">
        <v>0</v>
      </c>
      <c r="Q798" t="n">
        <v>0</v>
      </c>
      <c r="R798" s="2" t="inlineStr"/>
    </row>
    <row r="799" ht="15" customHeight="1">
      <c r="A799" t="inlineStr">
        <is>
          <t>A 59202-2022</t>
        </is>
      </c>
      <c r="B799" s="1" t="n">
        <v>44904</v>
      </c>
      <c r="C799" s="1" t="n">
        <v>46050</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56967-2025</t>
        </is>
      </c>
      <c r="B800" s="1" t="n">
        <v>45978.67582175926</v>
      </c>
      <c r="C800" s="1" t="n">
        <v>46050</v>
      </c>
      <c r="D800" t="inlineStr">
        <is>
          <t>KALMAR LÄN</t>
        </is>
      </c>
      <c r="E800" t="inlineStr">
        <is>
          <t>VÄSTERVIK</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56972-2025</t>
        </is>
      </c>
      <c r="B801" s="1" t="n">
        <v>45978.68155092592</v>
      </c>
      <c r="C801" s="1" t="n">
        <v>46050</v>
      </c>
      <c r="D801" t="inlineStr">
        <is>
          <t>KALMAR LÄN</t>
        </is>
      </c>
      <c r="E801" t="inlineStr">
        <is>
          <t>VÄSTERVIK</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14105-2025</t>
        </is>
      </c>
      <c r="B802" s="1" t="n">
        <v>45740.45425925926</v>
      </c>
      <c r="C802" s="1" t="n">
        <v>46050</v>
      </c>
      <c r="D802" t="inlineStr">
        <is>
          <t>KALMAR LÄN</t>
        </is>
      </c>
      <c r="E802" t="inlineStr">
        <is>
          <t>VÄSTERVIK</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14109-2025</t>
        </is>
      </c>
      <c r="B803" s="1" t="n">
        <v>45740.45748842593</v>
      </c>
      <c r="C803" s="1" t="n">
        <v>46050</v>
      </c>
      <c r="D803" t="inlineStr">
        <is>
          <t>KALMAR LÄN</t>
        </is>
      </c>
      <c r="E803" t="inlineStr">
        <is>
          <t>VÄSTERVIK</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56979-2025</t>
        </is>
      </c>
      <c r="B804" s="1" t="n">
        <v>45978.69274305556</v>
      </c>
      <c r="C804" s="1" t="n">
        <v>46050</v>
      </c>
      <c r="D804" t="inlineStr">
        <is>
          <t>KALMAR LÄN</t>
        </is>
      </c>
      <c r="E804" t="inlineStr">
        <is>
          <t>VÄSTERVIK</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36400-2024</t>
        </is>
      </c>
      <c r="B805" s="1" t="n">
        <v>45535.67180555555</v>
      </c>
      <c r="C805" s="1" t="n">
        <v>46050</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2866-2025</t>
        </is>
      </c>
      <c r="B806" s="1" t="n">
        <v>45677.67711805556</v>
      </c>
      <c r="C806" s="1" t="n">
        <v>46050</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12386-2025</t>
        </is>
      </c>
      <c r="B807" s="1" t="n">
        <v>45730</v>
      </c>
      <c r="C807" s="1" t="n">
        <v>46050</v>
      </c>
      <c r="D807" t="inlineStr">
        <is>
          <t>KALMAR LÄN</t>
        </is>
      </c>
      <c r="E807" t="inlineStr">
        <is>
          <t>VÄSTERVIK</t>
        </is>
      </c>
      <c r="G807" t="n">
        <v>4.4</v>
      </c>
      <c r="H807" t="n">
        <v>0</v>
      </c>
      <c r="I807" t="n">
        <v>0</v>
      </c>
      <c r="J807" t="n">
        <v>0</v>
      </c>
      <c r="K807" t="n">
        <v>0</v>
      </c>
      <c r="L807" t="n">
        <v>0</v>
      </c>
      <c r="M807" t="n">
        <v>0</v>
      </c>
      <c r="N807" t="n">
        <v>0</v>
      </c>
      <c r="O807" t="n">
        <v>0</v>
      </c>
      <c r="P807" t="n">
        <v>0</v>
      </c>
      <c r="Q807" t="n">
        <v>0</v>
      </c>
      <c r="R807" s="2" t="inlineStr"/>
    </row>
    <row r="808" ht="15" customHeight="1">
      <c r="A808" t="inlineStr">
        <is>
          <t>A 5234-2024</t>
        </is>
      </c>
      <c r="B808" s="1" t="n">
        <v>45330.80729166666</v>
      </c>
      <c r="C808" s="1" t="n">
        <v>46050</v>
      </c>
      <c r="D808" t="inlineStr">
        <is>
          <t>KALMAR LÄN</t>
        </is>
      </c>
      <c r="E808" t="inlineStr">
        <is>
          <t>VÄSTERVIK</t>
        </is>
      </c>
      <c r="G808" t="n">
        <v>1.3</v>
      </c>
      <c r="H808" t="n">
        <v>0</v>
      </c>
      <c r="I808" t="n">
        <v>0</v>
      </c>
      <c r="J808" t="n">
        <v>0</v>
      </c>
      <c r="K808" t="n">
        <v>0</v>
      </c>
      <c r="L808" t="n">
        <v>0</v>
      </c>
      <c r="M808" t="n">
        <v>0</v>
      </c>
      <c r="N808" t="n">
        <v>0</v>
      </c>
      <c r="O808" t="n">
        <v>0</v>
      </c>
      <c r="P808" t="n">
        <v>0</v>
      </c>
      <c r="Q808" t="n">
        <v>0</v>
      </c>
      <c r="R808" s="2" t="inlineStr"/>
    </row>
    <row r="809" ht="15" customHeight="1">
      <c r="A809" t="inlineStr">
        <is>
          <t>A 48446-2024</t>
        </is>
      </c>
      <c r="B809" s="1" t="n">
        <v>45590.69163194444</v>
      </c>
      <c r="C809" s="1" t="n">
        <v>46050</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38174-2023</t>
        </is>
      </c>
      <c r="B810" s="1" t="n">
        <v>45161</v>
      </c>
      <c r="C810" s="1" t="n">
        <v>46050</v>
      </c>
      <c r="D810" t="inlineStr">
        <is>
          <t>KALMAR LÄN</t>
        </is>
      </c>
      <c r="E810" t="inlineStr">
        <is>
          <t>VÄSTERVIK</t>
        </is>
      </c>
      <c r="G810" t="n">
        <v>3.4</v>
      </c>
      <c r="H810" t="n">
        <v>0</v>
      </c>
      <c r="I810" t="n">
        <v>0</v>
      </c>
      <c r="J810" t="n">
        <v>0</v>
      </c>
      <c r="K810" t="n">
        <v>0</v>
      </c>
      <c r="L810" t="n">
        <v>0</v>
      </c>
      <c r="M810" t="n">
        <v>0</v>
      </c>
      <c r="N810" t="n">
        <v>0</v>
      </c>
      <c r="O810" t="n">
        <v>0</v>
      </c>
      <c r="P810" t="n">
        <v>0</v>
      </c>
      <c r="Q810" t="n">
        <v>0</v>
      </c>
      <c r="R810" s="2" t="inlineStr"/>
    </row>
    <row r="811" ht="15" customHeight="1">
      <c r="A811" t="inlineStr">
        <is>
          <t>A 57452-2025</t>
        </is>
      </c>
      <c r="B811" s="1" t="n">
        <v>45980.50665509259</v>
      </c>
      <c r="C811" s="1" t="n">
        <v>46050</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17214-2024</t>
        </is>
      </c>
      <c r="B812" s="1" t="n">
        <v>45414</v>
      </c>
      <c r="C812" s="1" t="n">
        <v>46050</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58170-2025</t>
        </is>
      </c>
      <c r="B813" s="1" t="n">
        <v>45982</v>
      </c>
      <c r="C813" s="1" t="n">
        <v>46050</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2543-2024</t>
        </is>
      </c>
      <c r="B814" s="1" t="n">
        <v>45313</v>
      </c>
      <c r="C814" s="1" t="n">
        <v>46050</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58221-2025</t>
        </is>
      </c>
      <c r="B815" s="1" t="n">
        <v>45985.36417824074</v>
      </c>
      <c r="C815" s="1" t="n">
        <v>46050</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58360-2025</t>
        </is>
      </c>
      <c r="B816" s="1" t="n">
        <v>45985.51743055556</v>
      </c>
      <c r="C816" s="1" t="n">
        <v>46050</v>
      </c>
      <c r="D816" t="inlineStr">
        <is>
          <t>KALMAR LÄN</t>
        </is>
      </c>
      <c r="E816" t="inlineStr">
        <is>
          <t>VÄSTERVIK</t>
        </is>
      </c>
      <c r="G816" t="n">
        <v>0.5</v>
      </c>
      <c r="H816" t="n">
        <v>0</v>
      </c>
      <c r="I816" t="n">
        <v>0</v>
      </c>
      <c r="J816" t="n">
        <v>0</v>
      </c>
      <c r="K816" t="n">
        <v>0</v>
      </c>
      <c r="L816" t="n">
        <v>0</v>
      </c>
      <c r="M816" t="n">
        <v>0</v>
      </c>
      <c r="N816" t="n">
        <v>0</v>
      </c>
      <c r="O816" t="n">
        <v>0</v>
      </c>
      <c r="P816" t="n">
        <v>0</v>
      </c>
      <c r="Q816" t="n">
        <v>0</v>
      </c>
      <c r="R816" s="2" t="inlineStr"/>
    </row>
    <row r="817" ht="15" customHeight="1">
      <c r="A817" t="inlineStr">
        <is>
          <t>A 60685-2024</t>
        </is>
      </c>
      <c r="B817" s="1" t="n">
        <v>45644.46804398148</v>
      </c>
      <c r="C817" s="1" t="n">
        <v>46050</v>
      </c>
      <c r="D817" t="inlineStr">
        <is>
          <t>KALMAR LÄN</t>
        </is>
      </c>
      <c r="E817" t="inlineStr">
        <is>
          <t>VÄSTERVIK</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58370-2025</t>
        </is>
      </c>
      <c r="B818" s="1" t="n">
        <v>45985.53002314815</v>
      </c>
      <c r="C818" s="1" t="n">
        <v>46050</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9220-2023</t>
        </is>
      </c>
      <c r="B819" s="1" t="n">
        <v>44980.52182870371</v>
      </c>
      <c r="C819" s="1" t="n">
        <v>46050</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58096-2025</t>
        </is>
      </c>
      <c r="B820" s="1" t="n">
        <v>45982.5784375</v>
      </c>
      <c r="C820" s="1" t="n">
        <v>46050</v>
      </c>
      <c r="D820" t="inlineStr">
        <is>
          <t>KALMAR LÄN</t>
        </is>
      </c>
      <c r="E820" t="inlineStr">
        <is>
          <t>VÄSTERVIK</t>
        </is>
      </c>
      <c r="F820" t="inlineStr">
        <is>
          <t>Holmen skog AB</t>
        </is>
      </c>
      <c r="G820" t="n">
        <v>2.8</v>
      </c>
      <c r="H820" t="n">
        <v>0</v>
      </c>
      <c r="I820" t="n">
        <v>0</v>
      </c>
      <c r="J820" t="n">
        <v>0</v>
      </c>
      <c r="K820" t="n">
        <v>0</v>
      </c>
      <c r="L820" t="n">
        <v>0</v>
      </c>
      <c r="M820" t="n">
        <v>0</v>
      </c>
      <c r="N820" t="n">
        <v>0</v>
      </c>
      <c r="O820" t="n">
        <v>0</v>
      </c>
      <c r="P820" t="n">
        <v>0</v>
      </c>
      <c r="Q820" t="n">
        <v>0</v>
      </c>
      <c r="R820" s="2" t="inlineStr"/>
    </row>
    <row r="821" ht="15" customHeight="1">
      <c r="A821" t="inlineStr">
        <is>
          <t>A 58118-2025</t>
        </is>
      </c>
      <c r="B821" s="1" t="n">
        <v>45982.60695601852</v>
      </c>
      <c r="C821" s="1" t="n">
        <v>46050</v>
      </c>
      <c r="D821" t="inlineStr">
        <is>
          <t>KALMAR LÄN</t>
        </is>
      </c>
      <c r="E821" t="inlineStr">
        <is>
          <t>VÄSTERVIK</t>
        </is>
      </c>
      <c r="F821" t="inlineStr">
        <is>
          <t>Holmen skog AB</t>
        </is>
      </c>
      <c r="G821" t="n">
        <v>6.7</v>
      </c>
      <c r="H821" t="n">
        <v>0</v>
      </c>
      <c r="I821" t="n">
        <v>0</v>
      </c>
      <c r="J821" t="n">
        <v>0</v>
      </c>
      <c r="K821" t="n">
        <v>0</v>
      </c>
      <c r="L821" t="n">
        <v>0</v>
      </c>
      <c r="M821" t="n">
        <v>0</v>
      </c>
      <c r="N821" t="n">
        <v>0</v>
      </c>
      <c r="O821" t="n">
        <v>0</v>
      </c>
      <c r="P821" t="n">
        <v>0</v>
      </c>
      <c r="Q821" t="n">
        <v>0</v>
      </c>
      <c r="R821" s="2" t="inlineStr"/>
    </row>
    <row r="822" ht="15" customHeight="1">
      <c r="A822" t="inlineStr">
        <is>
          <t>A 52155-2021</t>
        </is>
      </c>
      <c r="B822" s="1" t="n">
        <v>44463</v>
      </c>
      <c r="C822" s="1" t="n">
        <v>46050</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39983-2024</t>
        </is>
      </c>
      <c r="B823" s="1" t="n">
        <v>45553.61674768518</v>
      </c>
      <c r="C823" s="1" t="n">
        <v>46050</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58349-2025</t>
        </is>
      </c>
      <c r="B824" s="1" t="n">
        <v>45985.50574074074</v>
      </c>
      <c r="C824" s="1" t="n">
        <v>46050</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58367-2025</t>
        </is>
      </c>
      <c r="B825" s="1" t="n">
        <v>45985.52637731482</v>
      </c>
      <c r="C825" s="1" t="n">
        <v>46050</v>
      </c>
      <c r="D825" t="inlineStr">
        <is>
          <t>KALMAR LÄN</t>
        </is>
      </c>
      <c r="E825" t="inlineStr">
        <is>
          <t>VÄSTERVIK</t>
        </is>
      </c>
      <c r="G825" t="n">
        <v>2.2</v>
      </c>
      <c r="H825" t="n">
        <v>0</v>
      </c>
      <c r="I825" t="n">
        <v>0</v>
      </c>
      <c r="J825" t="n">
        <v>0</v>
      </c>
      <c r="K825" t="n">
        <v>0</v>
      </c>
      <c r="L825" t="n">
        <v>0</v>
      </c>
      <c r="M825" t="n">
        <v>0</v>
      </c>
      <c r="N825" t="n">
        <v>0</v>
      </c>
      <c r="O825" t="n">
        <v>0</v>
      </c>
      <c r="P825" t="n">
        <v>0</v>
      </c>
      <c r="Q825" t="n">
        <v>0</v>
      </c>
      <c r="R825" s="2" t="inlineStr"/>
    </row>
    <row r="826" ht="15" customHeight="1">
      <c r="A826" t="inlineStr">
        <is>
          <t>A 58377-2025</t>
        </is>
      </c>
      <c r="B826" s="1" t="n">
        <v>45985.53223379629</v>
      </c>
      <c r="C826" s="1" t="n">
        <v>46050</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58338-2025</t>
        </is>
      </c>
      <c r="B827" s="1" t="n">
        <v>45985.48965277777</v>
      </c>
      <c r="C827" s="1" t="n">
        <v>46050</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742-2026</t>
        </is>
      </c>
      <c r="B828" s="1" t="n">
        <v>46029.6646875</v>
      </c>
      <c r="C828" s="1" t="n">
        <v>46050</v>
      </c>
      <c r="D828" t="inlineStr">
        <is>
          <t>KALMAR LÄN</t>
        </is>
      </c>
      <c r="E828" t="inlineStr">
        <is>
          <t>VÄSTERVIK</t>
        </is>
      </c>
      <c r="G828" t="n">
        <v>2.6</v>
      </c>
      <c r="H828" t="n">
        <v>0</v>
      </c>
      <c r="I828" t="n">
        <v>0</v>
      </c>
      <c r="J828" t="n">
        <v>0</v>
      </c>
      <c r="K828" t="n">
        <v>0</v>
      </c>
      <c r="L828" t="n">
        <v>0</v>
      </c>
      <c r="M828" t="n">
        <v>0</v>
      </c>
      <c r="N828" t="n">
        <v>0</v>
      </c>
      <c r="O828" t="n">
        <v>0</v>
      </c>
      <c r="P828" t="n">
        <v>0</v>
      </c>
      <c r="Q828" t="n">
        <v>0</v>
      </c>
      <c r="R828" s="2" t="inlineStr"/>
    </row>
    <row r="829" ht="15" customHeight="1">
      <c r="A829" t="inlineStr">
        <is>
          <t>A 5060-2025</t>
        </is>
      </c>
      <c r="B829" s="1" t="n">
        <v>45691.47354166667</v>
      </c>
      <c r="C829" s="1" t="n">
        <v>46050</v>
      </c>
      <c r="D829" t="inlineStr">
        <is>
          <t>KALMAR LÄN</t>
        </is>
      </c>
      <c r="E829" t="inlineStr">
        <is>
          <t>VÄSTERVIK</t>
        </is>
      </c>
      <c r="F829" t="inlineStr">
        <is>
          <t>Holmen skog AB</t>
        </is>
      </c>
      <c r="G829" t="n">
        <v>2.9</v>
      </c>
      <c r="H829" t="n">
        <v>0</v>
      </c>
      <c r="I829" t="n">
        <v>0</v>
      </c>
      <c r="J829" t="n">
        <v>0</v>
      </c>
      <c r="K829" t="n">
        <v>0</v>
      </c>
      <c r="L829" t="n">
        <v>0</v>
      </c>
      <c r="M829" t="n">
        <v>0</v>
      </c>
      <c r="N829" t="n">
        <v>0</v>
      </c>
      <c r="O829" t="n">
        <v>0</v>
      </c>
      <c r="P829" t="n">
        <v>0</v>
      </c>
      <c r="Q829" t="n">
        <v>0</v>
      </c>
      <c r="R829" s="2" t="inlineStr"/>
    </row>
    <row r="830" ht="15" customHeight="1">
      <c r="A830" t="inlineStr">
        <is>
          <t>A 407-2026</t>
        </is>
      </c>
      <c r="B830" s="1" t="n">
        <v>46028.68821759259</v>
      </c>
      <c r="C830" s="1" t="n">
        <v>46050</v>
      </c>
      <c r="D830" t="inlineStr">
        <is>
          <t>KALMAR LÄN</t>
        </is>
      </c>
      <c r="E830" t="inlineStr">
        <is>
          <t>VÄSTERVIK</t>
        </is>
      </c>
      <c r="G830" t="n">
        <v>4.6</v>
      </c>
      <c r="H830" t="n">
        <v>0</v>
      </c>
      <c r="I830" t="n">
        <v>0</v>
      </c>
      <c r="J830" t="n">
        <v>0</v>
      </c>
      <c r="K830" t="n">
        <v>0</v>
      </c>
      <c r="L830" t="n">
        <v>0</v>
      </c>
      <c r="M830" t="n">
        <v>0</v>
      </c>
      <c r="N830" t="n">
        <v>0</v>
      </c>
      <c r="O830" t="n">
        <v>0</v>
      </c>
      <c r="P830" t="n">
        <v>0</v>
      </c>
      <c r="Q830" t="n">
        <v>0</v>
      </c>
      <c r="R830" s="2" t="inlineStr"/>
    </row>
    <row r="831" ht="15" customHeight="1">
      <c r="A831" t="inlineStr">
        <is>
          <t>A 408-2026</t>
        </is>
      </c>
      <c r="B831" s="1" t="n">
        <v>46028.6896412037</v>
      </c>
      <c r="C831" s="1" t="n">
        <v>46050</v>
      </c>
      <c r="D831" t="inlineStr">
        <is>
          <t>KALMAR LÄN</t>
        </is>
      </c>
      <c r="E831" t="inlineStr">
        <is>
          <t>VÄSTERVIK</t>
        </is>
      </c>
      <c r="G831" t="n">
        <v>4.7</v>
      </c>
      <c r="H831" t="n">
        <v>0</v>
      </c>
      <c r="I831" t="n">
        <v>0</v>
      </c>
      <c r="J831" t="n">
        <v>0</v>
      </c>
      <c r="K831" t="n">
        <v>0</v>
      </c>
      <c r="L831" t="n">
        <v>0</v>
      </c>
      <c r="M831" t="n">
        <v>0</v>
      </c>
      <c r="N831" t="n">
        <v>0</v>
      </c>
      <c r="O831" t="n">
        <v>0</v>
      </c>
      <c r="P831" t="n">
        <v>0</v>
      </c>
      <c r="Q831" t="n">
        <v>0</v>
      </c>
      <c r="R831" s="2" t="inlineStr"/>
    </row>
    <row r="832" ht="15" customHeight="1">
      <c r="A832" t="inlineStr">
        <is>
          <t>A 58700-2025</t>
        </is>
      </c>
      <c r="B832" s="1" t="n">
        <v>45986.59064814815</v>
      </c>
      <c r="C832" s="1" t="n">
        <v>46050</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50086-2023</t>
        </is>
      </c>
      <c r="B833" s="1" t="n">
        <v>45215.59601851852</v>
      </c>
      <c r="C833" s="1" t="n">
        <v>46050</v>
      </c>
      <c r="D833" t="inlineStr">
        <is>
          <t>KALMAR LÄN</t>
        </is>
      </c>
      <c r="E833" t="inlineStr">
        <is>
          <t>VÄSTERVIK</t>
        </is>
      </c>
      <c r="G833" t="n">
        <v>1.4</v>
      </c>
      <c r="H833" t="n">
        <v>0</v>
      </c>
      <c r="I833" t="n">
        <v>0</v>
      </c>
      <c r="J833" t="n">
        <v>0</v>
      </c>
      <c r="K833" t="n">
        <v>0</v>
      </c>
      <c r="L833" t="n">
        <v>0</v>
      </c>
      <c r="M833" t="n">
        <v>0</v>
      </c>
      <c r="N833" t="n">
        <v>0</v>
      </c>
      <c r="O833" t="n">
        <v>0</v>
      </c>
      <c r="P833" t="n">
        <v>0</v>
      </c>
      <c r="Q833" t="n">
        <v>0</v>
      </c>
      <c r="R833" s="2" t="inlineStr"/>
    </row>
    <row r="834" ht="15" customHeight="1">
      <c r="A834" t="inlineStr">
        <is>
          <t>A 440-2026</t>
        </is>
      </c>
      <c r="B834" s="1" t="n">
        <v>46029.34443287037</v>
      </c>
      <c r="C834" s="1" t="n">
        <v>46050</v>
      </c>
      <c r="D834" t="inlineStr">
        <is>
          <t>KALMAR LÄN</t>
        </is>
      </c>
      <c r="E834" t="inlineStr">
        <is>
          <t>VÄSTERVIK</t>
        </is>
      </c>
      <c r="G834" t="n">
        <v>3.9</v>
      </c>
      <c r="H834" t="n">
        <v>0</v>
      </c>
      <c r="I834" t="n">
        <v>0</v>
      </c>
      <c r="J834" t="n">
        <v>0</v>
      </c>
      <c r="K834" t="n">
        <v>0</v>
      </c>
      <c r="L834" t="n">
        <v>0</v>
      </c>
      <c r="M834" t="n">
        <v>0</v>
      </c>
      <c r="N834" t="n">
        <v>0</v>
      </c>
      <c r="O834" t="n">
        <v>0</v>
      </c>
      <c r="P834" t="n">
        <v>0</v>
      </c>
      <c r="Q834" t="n">
        <v>0</v>
      </c>
      <c r="R834" s="2" t="inlineStr"/>
    </row>
    <row r="835" ht="15" customHeight="1">
      <c r="A835" t="inlineStr">
        <is>
          <t>A 445-2026</t>
        </is>
      </c>
      <c r="B835" s="1" t="n">
        <v>46029.34517361111</v>
      </c>
      <c r="C835" s="1" t="n">
        <v>46050</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447-2026</t>
        </is>
      </c>
      <c r="B836" s="1" t="n">
        <v>46029.345625</v>
      </c>
      <c r="C836" s="1" t="n">
        <v>46050</v>
      </c>
      <c r="D836" t="inlineStr">
        <is>
          <t>KALMAR LÄN</t>
        </is>
      </c>
      <c r="E836" t="inlineStr">
        <is>
          <t>VÄSTERVIK</t>
        </is>
      </c>
      <c r="G836" t="n">
        <v>2.4</v>
      </c>
      <c r="H836" t="n">
        <v>0</v>
      </c>
      <c r="I836" t="n">
        <v>0</v>
      </c>
      <c r="J836" t="n">
        <v>0</v>
      </c>
      <c r="K836" t="n">
        <v>0</v>
      </c>
      <c r="L836" t="n">
        <v>0</v>
      </c>
      <c r="M836" t="n">
        <v>0</v>
      </c>
      <c r="N836" t="n">
        <v>0</v>
      </c>
      <c r="O836" t="n">
        <v>0</v>
      </c>
      <c r="P836" t="n">
        <v>0</v>
      </c>
      <c r="Q836" t="n">
        <v>0</v>
      </c>
      <c r="R836" s="2" t="inlineStr"/>
    </row>
    <row r="837" ht="15" customHeight="1">
      <c r="A837" t="inlineStr">
        <is>
          <t>A 2357-2025</t>
        </is>
      </c>
      <c r="B837" s="1" t="n">
        <v>45673.68859953704</v>
      </c>
      <c r="C837" s="1" t="n">
        <v>46050</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740-2026</t>
        </is>
      </c>
      <c r="B838" s="1" t="n">
        <v>46029.66045138889</v>
      </c>
      <c r="C838" s="1" t="n">
        <v>46050</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4583-2023</t>
        </is>
      </c>
      <c r="B839" s="1" t="n">
        <v>44956</v>
      </c>
      <c r="C839" s="1" t="n">
        <v>46050</v>
      </c>
      <c r="D839" t="inlineStr">
        <is>
          <t>KALMAR LÄN</t>
        </is>
      </c>
      <c r="E839" t="inlineStr">
        <is>
          <t>VÄSTERVIK</t>
        </is>
      </c>
      <c r="G839" t="n">
        <v>2.2</v>
      </c>
      <c r="H839" t="n">
        <v>0</v>
      </c>
      <c r="I839" t="n">
        <v>0</v>
      </c>
      <c r="J839" t="n">
        <v>0</v>
      </c>
      <c r="K839" t="n">
        <v>0</v>
      </c>
      <c r="L839" t="n">
        <v>0</v>
      </c>
      <c r="M839" t="n">
        <v>0</v>
      </c>
      <c r="N839" t="n">
        <v>0</v>
      </c>
      <c r="O839" t="n">
        <v>0</v>
      </c>
      <c r="P839" t="n">
        <v>0</v>
      </c>
      <c r="Q839" t="n">
        <v>0</v>
      </c>
      <c r="R839" s="2" t="inlineStr"/>
    </row>
    <row r="840" ht="15" customHeight="1">
      <c r="A840" t="inlineStr">
        <is>
          <t>A 58771-2025</t>
        </is>
      </c>
      <c r="B840" s="1" t="n">
        <v>45986.68908564815</v>
      </c>
      <c r="C840" s="1" t="n">
        <v>46050</v>
      </c>
      <c r="D840" t="inlineStr">
        <is>
          <t>KALMAR LÄN</t>
        </is>
      </c>
      <c r="E840" t="inlineStr">
        <is>
          <t>VÄSTERVIK</t>
        </is>
      </c>
      <c r="F840" t="inlineStr">
        <is>
          <t>Holmen skog AB</t>
        </is>
      </c>
      <c r="G840" t="n">
        <v>0.5</v>
      </c>
      <c r="H840" t="n">
        <v>0</v>
      </c>
      <c r="I840" t="n">
        <v>0</v>
      </c>
      <c r="J840" t="n">
        <v>0</v>
      </c>
      <c r="K840" t="n">
        <v>0</v>
      </c>
      <c r="L840" t="n">
        <v>0</v>
      </c>
      <c r="M840" t="n">
        <v>0</v>
      </c>
      <c r="N840" t="n">
        <v>0</v>
      </c>
      <c r="O840" t="n">
        <v>0</v>
      </c>
      <c r="P840" t="n">
        <v>0</v>
      </c>
      <c r="Q840" t="n">
        <v>0</v>
      </c>
      <c r="R840" s="2" t="inlineStr"/>
    </row>
    <row r="841" ht="15" customHeight="1">
      <c r="A841" t="inlineStr">
        <is>
          <t>A 58778-2025</t>
        </is>
      </c>
      <c r="B841" s="1" t="n">
        <v>45986.70459490741</v>
      </c>
      <c r="C841" s="1" t="n">
        <v>46050</v>
      </c>
      <c r="D841" t="inlineStr">
        <is>
          <t>KALMAR LÄN</t>
        </is>
      </c>
      <c r="E841" t="inlineStr">
        <is>
          <t>VÄSTERVIK</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58677-2025</t>
        </is>
      </c>
      <c r="B842" s="1" t="n">
        <v>45986.56268518518</v>
      </c>
      <c r="C842" s="1" t="n">
        <v>46050</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719-2026</t>
        </is>
      </c>
      <c r="B843" s="1" t="n">
        <v>46029.6319212963</v>
      </c>
      <c r="C843" s="1" t="n">
        <v>46050</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16692-2025</t>
        </is>
      </c>
      <c r="B844" s="1" t="n">
        <v>45754.4621412037</v>
      </c>
      <c r="C844" s="1" t="n">
        <v>46050</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59093-2025</t>
        </is>
      </c>
      <c r="B845" s="1" t="n">
        <v>45988.44945601852</v>
      </c>
      <c r="C845" s="1" t="n">
        <v>46050</v>
      </c>
      <c r="D845" t="inlineStr">
        <is>
          <t>KALMAR LÄN</t>
        </is>
      </c>
      <c r="E845" t="inlineStr">
        <is>
          <t>VÄSTERVIK</t>
        </is>
      </c>
      <c r="F845" t="inlineStr">
        <is>
          <t>Kyrkan</t>
        </is>
      </c>
      <c r="G845" t="n">
        <v>1.4</v>
      </c>
      <c r="H845" t="n">
        <v>0</v>
      </c>
      <c r="I845" t="n">
        <v>0</v>
      </c>
      <c r="J845" t="n">
        <v>0</v>
      </c>
      <c r="K845" t="n">
        <v>0</v>
      </c>
      <c r="L845" t="n">
        <v>0</v>
      </c>
      <c r="M845" t="n">
        <v>0</v>
      </c>
      <c r="N845" t="n">
        <v>0</v>
      </c>
      <c r="O845" t="n">
        <v>0</v>
      </c>
      <c r="P845" t="n">
        <v>0</v>
      </c>
      <c r="Q845" t="n">
        <v>0</v>
      </c>
      <c r="R845" s="2" t="inlineStr"/>
    </row>
    <row r="846" ht="15" customHeight="1">
      <c r="A846" t="inlineStr">
        <is>
          <t>A 57688-2024</t>
        </is>
      </c>
      <c r="B846" s="1" t="n">
        <v>45630.65180555556</v>
      </c>
      <c r="C846" s="1" t="n">
        <v>46050</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51510-2024</t>
        </is>
      </c>
      <c r="B847" s="1" t="n">
        <v>45604.55837962963</v>
      </c>
      <c r="C847" s="1" t="n">
        <v>46050</v>
      </c>
      <c r="D847" t="inlineStr">
        <is>
          <t>KALMAR LÄN</t>
        </is>
      </c>
      <c r="E847" t="inlineStr">
        <is>
          <t>VÄSTERVIK</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59216-2025</t>
        </is>
      </c>
      <c r="B848" s="1" t="n">
        <v>45988.61649305555</v>
      </c>
      <c r="C848" s="1" t="n">
        <v>46050</v>
      </c>
      <c r="D848" t="inlineStr">
        <is>
          <t>KALMAR LÄN</t>
        </is>
      </c>
      <c r="E848" t="inlineStr">
        <is>
          <t>VÄSTERVIK</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8440-2023</t>
        </is>
      </c>
      <c r="B849" s="1" t="n">
        <v>44977.46979166667</v>
      </c>
      <c r="C849" s="1" t="n">
        <v>46050</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row>
    <row r="850" ht="15" customHeight="1">
      <c r="A850" t="inlineStr">
        <is>
          <t>A 59189-2025</t>
        </is>
      </c>
      <c r="B850" s="1" t="n">
        <v>45988.5893287037</v>
      </c>
      <c r="C850" s="1" t="n">
        <v>46050</v>
      </c>
      <c r="D850" t="inlineStr">
        <is>
          <t>KALMAR LÄN</t>
        </is>
      </c>
      <c r="E850" t="inlineStr">
        <is>
          <t>VÄSTERVIK</t>
        </is>
      </c>
      <c r="F850" t="inlineStr">
        <is>
          <t>Holmen skog AB</t>
        </is>
      </c>
      <c r="G850" t="n">
        <v>3.6</v>
      </c>
      <c r="H850" t="n">
        <v>0</v>
      </c>
      <c r="I850" t="n">
        <v>0</v>
      </c>
      <c r="J850" t="n">
        <v>0</v>
      </c>
      <c r="K850" t="n">
        <v>0</v>
      </c>
      <c r="L850" t="n">
        <v>0</v>
      </c>
      <c r="M850" t="n">
        <v>0</v>
      </c>
      <c r="N850" t="n">
        <v>0</v>
      </c>
      <c r="O850" t="n">
        <v>0</v>
      </c>
      <c r="P850" t="n">
        <v>0</v>
      </c>
      <c r="Q850" t="n">
        <v>0</v>
      </c>
      <c r="R850" s="2" t="inlineStr"/>
    </row>
    <row r="851" ht="15" customHeight="1">
      <c r="A851" t="inlineStr">
        <is>
          <t>A 59187-2025</t>
        </is>
      </c>
      <c r="B851" s="1" t="n">
        <v>45988.58630787037</v>
      </c>
      <c r="C851" s="1" t="n">
        <v>46050</v>
      </c>
      <c r="D851" t="inlineStr">
        <is>
          <t>KALMAR LÄN</t>
        </is>
      </c>
      <c r="E851" t="inlineStr">
        <is>
          <t>VÄSTERVIK</t>
        </is>
      </c>
      <c r="G851" t="n">
        <v>1.6</v>
      </c>
      <c r="H851" t="n">
        <v>0</v>
      </c>
      <c r="I851" t="n">
        <v>0</v>
      </c>
      <c r="J851" t="n">
        <v>0</v>
      </c>
      <c r="K851" t="n">
        <v>0</v>
      </c>
      <c r="L851" t="n">
        <v>0</v>
      </c>
      <c r="M851" t="n">
        <v>0</v>
      </c>
      <c r="N851" t="n">
        <v>0</v>
      </c>
      <c r="O851" t="n">
        <v>0</v>
      </c>
      <c r="P851" t="n">
        <v>0</v>
      </c>
      <c r="Q851" t="n">
        <v>0</v>
      </c>
      <c r="R851" s="2" t="inlineStr"/>
    </row>
    <row r="852" ht="15" customHeight="1">
      <c r="A852" t="inlineStr">
        <is>
          <t>A 59045-2025</t>
        </is>
      </c>
      <c r="B852" s="1" t="n">
        <v>45988.37289351852</v>
      </c>
      <c r="C852" s="1" t="n">
        <v>46050</v>
      </c>
      <c r="D852" t="inlineStr">
        <is>
          <t>KALMAR LÄN</t>
        </is>
      </c>
      <c r="E852" t="inlineStr">
        <is>
          <t>VÄSTERVIK</t>
        </is>
      </c>
      <c r="F852" t="inlineStr">
        <is>
          <t>Kyrkan</t>
        </is>
      </c>
      <c r="G852" t="n">
        <v>6.9</v>
      </c>
      <c r="H852" t="n">
        <v>0</v>
      </c>
      <c r="I852" t="n">
        <v>0</v>
      </c>
      <c r="J852" t="n">
        <v>0</v>
      </c>
      <c r="K852" t="n">
        <v>0</v>
      </c>
      <c r="L852" t="n">
        <v>0</v>
      </c>
      <c r="M852" t="n">
        <v>0</v>
      </c>
      <c r="N852" t="n">
        <v>0</v>
      </c>
      <c r="O852" t="n">
        <v>0</v>
      </c>
      <c r="P852" t="n">
        <v>0</v>
      </c>
      <c r="Q852" t="n">
        <v>0</v>
      </c>
      <c r="R852" s="2" t="inlineStr"/>
    </row>
    <row r="853" ht="15" customHeight="1">
      <c r="A853" t="inlineStr">
        <is>
          <t>A 50127-2023</t>
        </is>
      </c>
      <c r="B853" s="1" t="n">
        <v>45215.65043981482</v>
      </c>
      <c r="C853" s="1" t="n">
        <v>46050</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10808-2025</t>
        </is>
      </c>
      <c r="B854" s="1" t="n">
        <v>45722.53427083333</v>
      </c>
      <c r="C854" s="1" t="n">
        <v>46050</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895-2026</t>
        </is>
      </c>
      <c r="B855" s="1" t="n">
        <v>46030.45925925926</v>
      </c>
      <c r="C855" s="1" t="n">
        <v>46050</v>
      </c>
      <c r="D855" t="inlineStr">
        <is>
          <t>KALMAR LÄN</t>
        </is>
      </c>
      <c r="E855" t="inlineStr">
        <is>
          <t>VÄSTERVIK</t>
        </is>
      </c>
      <c r="F855" t="inlineStr">
        <is>
          <t>Kyrkan</t>
        </is>
      </c>
      <c r="G855" t="n">
        <v>3.2</v>
      </c>
      <c r="H855" t="n">
        <v>0</v>
      </c>
      <c r="I855" t="n">
        <v>0</v>
      </c>
      <c r="J855" t="n">
        <v>0</v>
      </c>
      <c r="K855" t="n">
        <v>0</v>
      </c>
      <c r="L855" t="n">
        <v>0</v>
      </c>
      <c r="M855" t="n">
        <v>0</v>
      </c>
      <c r="N855" t="n">
        <v>0</v>
      </c>
      <c r="O855" t="n">
        <v>0</v>
      </c>
      <c r="P855" t="n">
        <v>0</v>
      </c>
      <c r="Q855" t="n">
        <v>0</v>
      </c>
      <c r="R855" s="2" t="inlineStr"/>
    </row>
    <row r="856" ht="15" customHeight="1">
      <c r="A856" t="inlineStr">
        <is>
          <t>A 12652-2022</t>
        </is>
      </c>
      <c r="B856" s="1" t="n">
        <v>44641</v>
      </c>
      <c r="C856" s="1" t="n">
        <v>46050</v>
      </c>
      <c r="D856" t="inlineStr">
        <is>
          <t>KALMAR LÄN</t>
        </is>
      </c>
      <c r="E856" t="inlineStr">
        <is>
          <t>VÄSTERVIK</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55289-2023</t>
        </is>
      </c>
      <c r="B857" s="1" t="n">
        <v>45237.76106481482</v>
      </c>
      <c r="C857" s="1" t="n">
        <v>46050</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40050-2022</t>
        </is>
      </c>
      <c r="B858" s="1" t="n">
        <v>44820.44106481481</v>
      </c>
      <c r="C858" s="1" t="n">
        <v>46050</v>
      </c>
      <c r="D858" t="inlineStr">
        <is>
          <t>KALMAR LÄN</t>
        </is>
      </c>
      <c r="E858" t="inlineStr">
        <is>
          <t>VÄSTERVIK</t>
        </is>
      </c>
      <c r="G858" t="n">
        <v>1.8</v>
      </c>
      <c r="H858" t="n">
        <v>0</v>
      </c>
      <c r="I858" t="n">
        <v>0</v>
      </c>
      <c r="J858" t="n">
        <v>0</v>
      </c>
      <c r="K858" t="n">
        <v>0</v>
      </c>
      <c r="L858" t="n">
        <v>0</v>
      </c>
      <c r="M858" t="n">
        <v>0</v>
      </c>
      <c r="N858" t="n">
        <v>0</v>
      </c>
      <c r="O858" t="n">
        <v>0</v>
      </c>
      <c r="P858" t="n">
        <v>0</v>
      </c>
      <c r="Q858" t="n">
        <v>0</v>
      </c>
      <c r="R858" s="2" t="inlineStr"/>
    </row>
    <row r="859" ht="15" customHeight="1">
      <c r="A859" t="inlineStr">
        <is>
          <t>A 34672-2022</t>
        </is>
      </c>
      <c r="B859" s="1" t="n">
        <v>44795.48444444445</v>
      </c>
      <c r="C859" s="1" t="n">
        <v>46050</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46561-2022</t>
        </is>
      </c>
      <c r="B860" s="1" t="n">
        <v>44848</v>
      </c>
      <c r="C860" s="1" t="n">
        <v>46050</v>
      </c>
      <c r="D860" t="inlineStr">
        <is>
          <t>KALMAR LÄN</t>
        </is>
      </c>
      <c r="E860" t="inlineStr">
        <is>
          <t>VÄSTERVIK</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4520-2024</t>
        </is>
      </c>
      <c r="B861" s="1" t="n">
        <v>45327</v>
      </c>
      <c r="C861" s="1" t="n">
        <v>46050</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1488-2026</t>
        </is>
      </c>
      <c r="B862" s="1" t="n">
        <v>46034.26685185185</v>
      </c>
      <c r="C862" s="1" t="n">
        <v>46050</v>
      </c>
      <c r="D862" t="inlineStr">
        <is>
          <t>KALMAR LÄN</t>
        </is>
      </c>
      <c r="E862" t="inlineStr">
        <is>
          <t>VÄSTERVIK</t>
        </is>
      </c>
      <c r="G862" t="n">
        <v>2</v>
      </c>
      <c r="H862" t="n">
        <v>0</v>
      </c>
      <c r="I862" t="n">
        <v>0</v>
      </c>
      <c r="J862" t="n">
        <v>0</v>
      </c>
      <c r="K862" t="n">
        <v>0</v>
      </c>
      <c r="L862" t="n">
        <v>0</v>
      </c>
      <c r="M862" t="n">
        <v>0</v>
      </c>
      <c r="N862" t="n">
        <v>0</v>
      </c>
      <c r="O862" t="n">
        <v>0</v>
      </c>
      <c r="P862" t="n">
        <v>0</v>
      </c>
      <c r="Q862" t="n">
        <v>0</v>
      </c>
      <c r="R862" s="2" t="inlineStr"/>
    </row>
    <row r="863" ht="15" customHeight="1">
      <c r="A863" t="inlineStr">
        <is>
          <t>A 1489-2026</t>
        </is>
      </c>
      <c r="B863" s="1" t="n">
        <v>46034.26715277778</v>
      </c>
      <c r="C863" s="1" t="n">
        <v>46050</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35960-2023</t>
        </is>
      </c>
      <c r="B864" s="1" t="n">
        <v>45148.84990740741</v>
      </c>
      <c r="C864" s="1" t="n">
        <v>46050</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1873-2026</t>
        </is>
      </c>
      <c r="B865" s="1" t="n">
        <v>46035.46318287037</v>
      </c>
      <c r="C865" s="1" t="n">
        <v>46050</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1872-2026</t>
        </is>
      </c>
      <c r="B866" s="1" t="n">
        <v>46035.46219907407</v>
      </c>
      <c r="C866" s="1" t="n">
        <v>46050</v>
      </c>
      <c r="D866" t="inlineStr">
        <is>
          <t>KALMAR LÄN</t>
        </is>
      </c>
      <c r="E866" t="inlineStr">
        <is>
          <t>VÄSTERVIK</t>
        </is>
      </c>
      <c r="G866" t="n">
        <v>3</v>
      </c>
      <c r="H866" t="n">
        <v>0</v>
      </c>
      <c r="I866" t="n">
        <v>0</v>
      </c>
      <c r="J866" t="n">
        <v>0</v>
      </c>
      <c r="K866" t="n">
        <v>0</v>
      </c>
      <c r="L866" t="n">
        <v>0</v>
      </c>
      <c r="M866" t="n">
        <v>0</v>
      </c>
      <c r="N866" t="n">
        <v>0</v>
      </c>
      <c r="O866" t="n">
        <v>0</v>
      </c>
      <c r="P866" t="n">
        <v>0</v>
      </c>
      <c r="Q866" t="n">
        <v>0</v>
      </c>
      <c r="R866" s="2" t="inlineStr"/>
    </row>
    <row r="867" ht="15" customHeight="1">
      <c r="A867" t="inlineStr">
        <is>
          <t>A 1487-2026</t>
        </is>
      </c>
      <c r="B867" s="1" t="n">
        <v>46034.26645833333</v>
      </c>
      <c r="C867" s="1" t="n">
        <v>46050</v>
      </c>
      <c r="D867" t="inlineStr">
        <is>
          <t>KALMAR LÄN</t>
        </is>
      </c>
      <c r="E867" t="inlineStr">
        <is>
          <t>VÄSTERVIK</t>
        </is>
      </c>
      <c r="G867" t="n">
        <v>2.4</v>
      </c>
      <c r="H867" t="n">
        <v>0</v>
      </c>
      <c r="I867" t="n">
        <v>0</v>
      </c>
      <c r="J867" t="n">
        <v>0</v>
      </c>
      <c r="K867" t="n">
        <v>0</v>
      </c>
      <c r="L867" t="n">
        <v>0</v>
      </c>
      <c r="M867" t="n">
        <v>0</v>
      </c>
      <c r="N867" t="n">
        <v>0</v>
      </c>
      <c r="O867" t="n">
        <v>0</v>
      </c>
      <c r="P867" t="n">
        <v>0</v>
      </c>
      <c r="Q867" t="n">
        <v>0</v>
      </c>
      <c r="R867" s="2" t="inlineStr"/>
    </row>
    <row r="868" ht="15" customHeight="1">
      <c r="A868" t="inlineStr">
        <is>
          <t>A 1486-2026</t>
        </is>
      </c>
      <c r="B868" s="1" t="n">
        <v>46034.26603009259</v>
      </c>
      <c r="C868" s="1" t="n">
        <v>46050</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7090-2024</t>
        </is>
      </c>
      <c r="B869" s="1" t="n">
        <v>45343.80621527778</v>
      </c>
      <c r="C869" s="1" t="n">
        <v>46050</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40977-2023</t>
        </is>
      </c>
      <c r="B870" s="1" t="n">
        <v>45173</v>
      </c>
      <c r="C870" s="1" t="n">
        <v>46050</v>
      </c>
      <c r="D870" t="inlineStr">
        <is>
          <t>KALMAR LÄN</t>
        </is>
      </c>
      <c r="E870" t="inlineStr">
        <is>
          <t>VÄSTERVIK</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1874-2026</t>
        </is>
      </c>
      <c r="B871" s="1" t="n">
        <v>46035.46372685185</v>
      </c>
      <c r="C871" s="1" t="n">
        <v>46050</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42868-2025</t>
        </is>
      </c>
      <c r="B872" s="1" t="n">
        <v>45908</v>
      </c>
      <c r="C872" s="1" t="n">
        <v>46050</v>
      </c>
      <c r="D872" t="inlineStr">
        <is>
          <t>KALMAR LÄN</t>
        </is>
      </c>
      <c r="E872" t="inlineStr">
        <is>
          <t>VÄSTERVIK</t>
        </is>
      </c>
      <c r="F872" t="inlineStr">
        <is>
          <t>Holmen skog AB</t>
        </is>
      </c>
      <c r="G872" t="n">
        <v>3.7</v>
      </c>
      <c r="H872" t="n">
        <v>0</v>
      </c>
      <c r="I872" t="n">
        <v>0</v>
      </c>
      <c r="J872" t="n">
        <v>0</v>
      </c>
      <c r="K872" t="n">
        <v>0</v>
      </c>
      <c r="L872" t="n">
        <v>0</v>
      </c>
      <c r="M872" t="n">
        <v>0</v>
      </c>
      <c r="N872" t="n">
        <v>0</v>
      </c>
      <c r="O872" t="n">
        <v>0</v>
      </c>
      <c r="P872" t="n">
        <v>0</v>
      </c>
      <c r="Q872" t="n">
        <v>0</v>
      </c>
      <c r="R872" s="2" t="inlineStr"/>
      <c r="U872">
        <f>HYPERLINK("https://klasma.github.io/Logging_0883/knärot/A 42868-2025 karta knärot.png", "A 42868-2025")</f>
        <v/>
      </c>
      <c r="V872">
        <f>HYPERLINK("https://klasma.github.io/Logging_0883/klagomål/A 42868-2025 FSC-klagomål.docx", "A 42868-2025")</f>
        <v/>
      </c>
      <c r="W872">
        <f>HYPERLINK("https://klasma.github.io/Logging_0883/klagomålsmail/A 42868-2025 FSC-klagomål mail.docx", "A 42868-2025")</f>
        <v/>
      </c>
      <c r="X872">
        <f>HYPERLINK("https://klasma.github.io/Logging_0883/tillsyn/A 42868-2025 tillsynsbegäran.docx", "A 42868-2025")</f>
        <v/>
      </c>
      <c r="Y872">
        <f>HYPERLINK("https://klasma.github.io/Logging_0883/tillsynsmail/A 42868-2025 tillsynsbegäran mail.docx", "A 42868-2025")</f>
        <v/>
      </c>
    </row>
    <row r="873" ht="15" customHeight="1">
      <c r="A873" t="inlineStr">
        <is>
          <t>A 61448-2023</t>
        </is>
      </c>
      <c r="B873" s="1" t="n">
        <v>45264.81439814815</v>
      </c>
      <c r="C873" s="1" t="n">
        <v>46050</v>
      </c>
      <c r="D873" t="inlineStr">
        <is>
          <t>KALMAR LÄN</t>
        </is>
      </c>
      <c r="E873" t="inlineStr">
        <is>
          <t>VÄSTERVIK</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61449-2023</t>
        </is>
      </c>
      <c r="B874" s="1" t="n">
        <v>45264.81490740741</v>
      </c>
      <c r="C874" s="1" t="n">
        <v>46050</v>
      </c>
      <c r="D874" t="inlineStr">
        <is>
          <t>KALMAR LÄN</t>
        </is>
      </c>
      <c r="E874" t="inlineStr">
        <is>
          <t>VÄSTERVIK</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55358-2024</t>
        </is>
      </c>
      <c r="B875" s="1" t="n">
        <v>45621.82039351852</v>
      </c>
      <c r="C875" s="1" t="n">
        <v>46050</v>
      </c>
      <c r="D875" t="inlineStr">
        <is>
          <t>KALMAR LÄN</t>
        </is>
      </c>
      <c r="E875" t="inlineStr">
        <is>
          <t>VÄSTERVIK</t>
        </is>
      </c>
      <c r="F875" t="inlineStr">
        <is>
          <t>Sveaskog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11167-2024</t>
        </is>
      </c>
      <c r="B876" s="1" t="n">
        <v>45371.4966087963</v>
      </c>
      <c r="C876" s="1" t="n">
        <v>46050</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1699-2023</t>
        </is>
      </c>
      <c r="B877" s="1" t="n">
        <v>44935</v>
      </c>
      <c r="C877" s="1" t="n">
        <v>46050</v>
      </c>
      <c r="D877" t="inlineStr">
        <is>
          <t>KALMAR LÄN</t>
        </is>
      </c>
      <c r="E877" t="inlineStr">
        <is>
          <t>VÄSTERVIK</t>
        </is>
      </c>
      <c r="G877" t="n">
        <v>1.1</v>
      </c>
      <c r="H877" t="n">
        <v>0</v>
      </c>
      <c r="I877" t="n">
        <v>0</v>
      </c>
      <c r="J877" t="n">
        <v>0</v>
      </c>
      <c r="K877" t="n">
        <v>0</v>
      </c>
      <c r="L877" t="n">
        <v>0</v>
      </c>
      <c r="M877" t="n">
        <v>0</v>
      </c>
      <c r="N877" t="n">
        <v>0</v>
      </c>
      <c r="O877" t="n">
        <v>0</v>
      </c>
      <c r="P877" t="n">
        <v>0</v>
      </c>
      <c r="Q877" t="n">
        <v>0</v>
      </c>
      <c r="R877" s="2" t="inlineStr"/>
    </row>
    <row r="878" ht="15" customHeight="1">
      <c r="A878" t="inlineStr">
        <is>
          <t>A 7883-2025</t>
        </is>
      </c>
      <c r="B878" s="1" t="n">
        <v>45706.8156712963</v>
      </c>
      <c r="C878" s="1" t="n">
        <v>46050</v>
      </c>
      <c r="D878" t="inlineStr">
        <is>
          <t>KALMAR LÄN</t>
        </is>
      </c>
      <c r="E878" t="inlineStr">
        <is>
          <t>VÄSTERVIK</t>
        </is>
      </c>
      <c r="G878" t="n">
        <v>0.2</v>
      </c>
      <c r="H878" t="n">
        <v>0</v>
      </c>
      <c r="I878" t="n">
        <v>0</v>
      </c>
      <c r="J878" t="n">
        <v>0</v>
      </c>
      <c r="K878" t="n">
        <v>0</v>
      </c>
      <c r="L878" t="n">
        <v>0</v>
      </c>
      <c r="M878" t="n">
        <v>0</v>
      </c>
      <c r="N878" t="n">
        <v>0</v>
      </c>
      <c r="O878" t="n">
        <v>0</v>
      </c>
      <c r="P878" t="n">
        <v>0</v>
      </c>
      <c r="Q878" t="n">
        <v>0</v>
      </c>
      <c r="R878" s="2" t="inlineStr"/>
    </row>
    <row r="879" ht="15" customHeight="1">
      <c r="A879" t="inlineStr">
        <is>
          <t>A 934-2024</t>
        </is>
      </c>
      <c r="B879" s="1" t="n">
        <v>45301.51439814815</v>
      </c>
      <c r="C879" s="1" t="n">
        <v>46050</v>
      </c>
      <c r="D879" t="inlineStr">
        <is>
          <t>KALMAR LÄN</t>
        </is>
      </c>
      <c r="E879" t="inlineStr">
        <is>
          <t>VÄSTERVIK</t>
        </is>
      </c>
      <c r="G879" t="n">
        <v>2.3</v>
      </c>
      <c r="H879" t="n">
        <v>0</v>
      </c>
      <c r="I879" t="n">
        <v>0</v>
      </c>
      <c r="J879" t="n">
        <v>0</v>
      </c>
      <c r="K879" t="n">
        <v>0</v>
      </c>
      <c r="L879" t="n">
        <v>0</v>
      </c>
      <c r="M879" t="n">
        <v>0</v>
      </c>
      <c r="N879" t="n">
        <v>0</v>
      </c>
      <c r="O879" t="n">
        <v>0</v>
      </c>
      <c r="P879" t="n">
        <v>0</v>
      </c>
      <c r="Q879" t="n">
        <v>0</v>
      </c>
      <c r="R879" s="2" t="inlineStr"/>
    </row>
    <row r="880" ht="15" customHeight="1">
      <c r="A880" t="inlineStr">
        <is>
          <t>A 936-2024</t>
        </is>
      </c>
      <c r="B880" s="1" t="n">
        <v>45301.51950231481</v>
      </c>
      <c r="C880" s="1" t="n">
        <v>46050</v>
      </c>
      <c r="D880" t="inlineStr">
        <is>
          <t>KALMAR LÄN</t>
        </is>
      </c>
      <c r="E880" t="inlineStr">
        <is>
          <t>VÄSTERVIK</t>
        </is>
      </c>
      <c r="G880" t="n">
        <v>1.4</v>
      </c>
      <c r="H880" t="n">
        <v>0</v>
      </c>
      <c r="I880" t="n">
        <v>0</v>
      </c>
      <c r="J880" t="n">
        <v>0</v>
      </c>
      <c r="K880" t="n">
        <v>0</v>
      </c>
      <c r="L880" t="n">
        <v>0</v>
      </c>
      <c r="M880" t="n">
        <v>0</v>
      </c>
      <c r="N880" t="n">
        <v>0</v>
      </c>
      <c r="O880" t="n">
        <v>0</v>
      </c>
      <c r="P880" t="n">
        <v>0</v>
      </c>
      <c r="Q880" t="n">
        <v>0</v>
      </c>
      <c r="R880" s="2" t="inlineStr"/>
    </row>
    <row r="881" ht="15" customHeight="1">
      <c r="A881" t="inlineStr">
        <is>
          <t>A 8619-2024</t>
        </is>
      </c>
      <c r="B881" s="1" t="n">
        <v>45355.73599537037</v>
      </c>
      <c r="C881" s="1" t="n">
        <v>46050</v>
      </c>
      <c r="D881" t="inlineStr">
        <is>
          <t>KALMAR LÄN</t>
        </is>
      </c>
      <c r="E881" t="inlineStr">
        <is>
          <t>VÄSTERVIK</t>
        </is>
      </c>
      <c r="G881" t="n">
        <v>1.6</v>
      </c>
      <c r="H881" t="n">
        <v>0</v>
      </c>
      <c r="I881" t="n">
        <v>0</v>
      </c>
      <c r="J881" t="n">
        <v>0</v>
      </c>
      <c r="K881" t="n">
        <v>0</v>
      </c>
      <c r="L881" t="n">
        <v>0</v>
      </c>
      <c r="M881" t="n">
        <v>0</v>
      </c>
      <c r="N881" t="n">
        <v>0</v>
      </c>
      <c r="O881" t="n">
        <v>0</v>
      </c>
      <c r="P881" t="n">
        <v>0</v>
      </c>
      <c r="Q881" t="n">
        <v>0</v>
      </c>
      <c r="R881" s="2" t="inlineStr"/>
    </row>
    <row r="882" ht="15" customHeight="1">
      <c r="A882" t="inlineStr">
        <is>
          <t>A 4624-2023</t>
        </is>
      </c>
      <c r="B882" s="1" t="n">
        <v>44956</v>
      </c>
      <c r="C882" s="1" t="n">
        <v>46050</v>
      </c>
      <c r="D882" t="inlineStr">
        <is>
          <t>KALMAR LÄN</t>
        </is>
      </c>
      <c r="E882" t="inlineStr">
        <is>
          <t>VÄSTERVIK</t>
        </is>
      </c>
      <c r="F882" t="inlineStr">
        <is>
          <t>Holmen skog AB</t>
        </is>
      </c>
      <c r="G882" t="n">
        <v>7.1</v>
      </c>
      <c r="H882" t="n">
        <v>0</v>
      </c>
      <c r="I882" t="n">
        <v>0</v>
      </c>
      <c r="J882" t="n">
        <v>0</v>
      </c>
      <c r="K882" t="n">
        <v>0</v>
      </c>
      <c r="L882" t="n">
        <v>0</v>
      </c>
      <c r="M882" t="n">
        <v>0</v>
      </c>
      <c r="N882" t="n">
        <v>0</v>
      </c>
      <c r="O882" t="n">
        <v>0</v>
      </c>
      <c r="P882" t="n">
        <v>0</v>
      </c>
      <c r="Q882" t="n">
        <v>0</v>
      </c>
      <c r="R882" s="2" t="inlineStr"/>
    </row>
    <row r="883" ht="15" customHeight="1">
      <c r="A883" t="inlineStr">
        <is>
          <t>A 21824-2023</t>
        </is>
      </c>
      <c r="B883" s="1" t="n">
        <v>45068</v>
      </c>
      <c r="C883" s="1" t="n">
        <v>46050</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16691-2025</t>
        </is>
      </c>
      <c r="B884" s="1" t="n">
        <v>45754.46086805555</v>
      </c>
      <c r="C884" s="1" t="n">
        <v>46050</v>
      </c>
      <c r="D884" t="inlineStr">
        <is>
          <t>KALMAR LÄN</t>
        </is>
      </c>
      <c r="E884" t="inlineStr">
        <is>
          <t>VÄSTERVIK</t>
        </is>
      </c>
      <c r="F884" t="inlineStr">
        <is>
          <t>Sveaskog</t>
        </is>
      </c>
      <c r="G884" t="n">
        <v>2.8</v>
      </c>
      <c r="H884" t="n">
        <v>0</v>
      </c>
      <c r="I884" t="n">
        <v>0</v>
      </c>
      <c r="J884" t="n">
        <v>0</v>
      </c>
      <c r="K884" t="n">
        <v>0</v>
      </c>
      <c r="L884" t="n">
        <v>0</v>
      </c>
      <c r="M884" t="n">
        <v>0</v>
      </c>
      <c r="N884" t="n">
        <v>0</v>
      </c>
      <c r="O884" t="n">
        <v>0</v>
      </c>
      <c r="P884" t="n">
        <v>0</v>
      </c>
      <c r="Q884" t="n">
        <v>0</v>
      </c>
      <c r="R884" s="2" t="inlineStr"/>
    </row>
    <row r="885" ht="15" customHeight="1">
      <c r="A885" t="inlineStr">
        <is>
          <t>A 37986-2023</t>
        </is>
      </c>
      <c r="B885" s="1" t="n">
        <v>45160.60331018519</v>
      </c>
      <c r="C885" s="1" t="n">
        <v>46050</v>
      </c>
      <c r="D885" t="inlineStr">
        <is>
          <t>KALMAR LÄN</t>
        </is>
      </c>
      <c r="E885" t="inlineStr">
        <is>
          <t>VÄSTERVIK</t>
        </is>
      </c>
      <c r="F885" t="inlineStr">
        <is>
          <t>Sveaskog</t>
        </is>
      </c>
      <c r="G885" t="n">
        <v>4</v>
      </c>
      <c r="H885" t="n">
        <v>0</v>
      </c>
      <c r="I885" t="n">
        <v>0</v>
      </c>
      <c r="J885" t="n">
        <v>0</v>
      </c>
      <c r="K885" t="n">
        <v>0</v>
      </c>
      <c r="L885" t="n">
        <v>0</v>
      </c>
      <c r="M885" t="n">
        <v>0</v>
      </c>
      <c r="N885" t="n">
        <v>0</v>
      </c>
      <c r="O885" t="n">
        <v>0</v>
      </c>
      <c r="P885" t="n">
        <v>0</v>
      </c>
      <c r="Q885" t="n">
        <v>0</v>
      </c>
      <c r="R885" s="2" t="inlineStr"/>
    </row>
    <row r="886" ht="15" customHeight="1">
      <c r="A886" t="inlineStr">
        <is>
          <t>A 28657-2024</t>
        </is>
      </c>
      <c r="B886" s="1" t="n">
        <v>45478</v>
      </c>
      <c r="C886" s="1" t="n">
        <v>46050</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34650-2023</t>
        </is>
      </c>
      <c r="B887" s="1" t="n">
        <v>45140</v>
      </c>
      <c r="C887" s="1" t="n">
        <v>46050</v>
      </c>
      <c r="D887" t="inlineStr">
        <is>
          <t>KALMAR LÄN</t>
        </is>
      </c>
      <c r="E887" t="inlineStr">
        <is>
          <t>VÄSTERVIK</t>
        </is>
      </c>
      <c r="G887" t="n">
        <v>1.4</v>
      </c>
      <c r="H887" t="n">
        <v>0</v>
      </c>
      <c r="I887" t="n">
        <v>0</v>
      </c>
      <c r="J887" t="n">
        <v>0</v>
      </c>
      <c r="K887" t="n">
        <v>0</v>
      </c>
      <c r="L887" t="n">
        <v>0</v>
      </c>
      <c r="M887" t="n">
        <v>0</v>
      </c>
      <c r="N887" t="n">
        <v>0</v>
      </c>
      <c r="O887" t="n">
        <v>0</v>
      </c>
      <c r="P887" t="n">
        <v>0</v>
      </c>
      <c r="Q887" t="n">
        <v>0</v>
      </c>
      <c r="R887" s="2" t="inlineStr"/>
    </row>
    <row r="888" ht="15" customHeight="1">
      <c r="A888" t="inlineStr">
        <is>
          <t>A 53259-2021</t>
        </is>
      </c>
      <c r="B888" s="1" t="n">
        <v>44468.47153935185</v>
      </c>
      <c r="C888" s="1" t="n">
        <v>46050</v>
      </c>
      <c r="D888" t="inlineStr">
        <is>
          <t>KALMAR LÄN</t>
        </is>
      </c>
      <c r="E888" t="inlineStr">
        <is>
          <t>VÄSTERVIK</t>
        </is>
      </c>
      <c r="G888" t="n">
        <v>2.8</v>
      </c>
      <c r="H888" t="n">
        <v>0</v>
      </c>
      <c r="I888" t="n">
        <v>0</v>
      </c>
      <c r="J888" t="n">
        <v>0</v>
      </c>
      <c r="K888" t="n">
        <v>0</v>
      </c>
      <c r="L888" t="n">
        <v>0</v>
      </c>
      <c r="M888" t="n">
        <v>0</v>
      </c>
      <c r="N888" t="n">
        <v>0</v>
      </c>
      <c r="O888" t="n">
        <v>0</v>
      </c>
      <c r="P888" t="n">
        <v>0</v>
      </c>
      <c r="Q888" t="n">
        <v>0</v>
      </c>
      <c r="R888" s="2" t="inlineStr"/>
    </row>
    <row r="889" ht="15" customHeight="1">
      <c r="A889" t="inlineStr">
        <is>
          <t>A 53266-2021</t>
        </is>
      </c>
      <c r="B889" s="1" t="n">
        <v>44468.48255787037</v>
      </c>
      <c r="C889" s="1" t="n">
        <v>46050</v>
      </c>
      <c r="D889" t="inlineStr">
        <is>
          <t>KALMAR LÄN</t>
        </is>
      </c>
      <c r="E889" t="inlineStr">
        <is>
          <t>VÄSTERVIK</t>
        </is>
      </c>
      <c r="G889" t="n">
        <v>1.9</v>
      </c>
      <c r="H889" t="n">
        <v>0</v>
      </c>
      <c r="I889" t="n">
        <v>0</v>
      </c>
      <c r="J889" t="n">
        <v>0</v>
      </c>
      <c r="K889" t="n">
        <v>0</v>
      </c>
      <c r="L889" t="n">
        <v>0</v>
      </c>
      <c r="M889" t="n">
        <v>0</v>
      </c>
      <c r="N889" t="n">
        <v>0</v>
      </c>
      <c r="O889" t="n">
        <v>0</v>
      </c>
      <c r="P889" t="n">
        <v>0</v>
      </c>
      <c r="Q889" t="n">
        <v>0</v>
      </c>
      <c r="R889" s="2" t="inlineStr"/>
    </row>
    <row r="890" ht="15" customHeight="1">
      <c r="A890" t="inlineStr">
        <is>
          <t>A 60178-2025</t>
        </is>
      </c>
      <c r="B890" s="1" t="n">
        <v>45994.45673611111</v>
      </c>
      <c r="C890" s="1" t="n">
        <v>46050</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2631-2026</t>
        </is>
      </c>
      <c r="B891" s="1" t="n">
        <v>46037.60875</v>
      </c>
      <c r="C891" s="1" t="n">
        <v>46050</v>
      </c>
      <c r="D891" t="inlineStr">
        <is>
          <t>KALMAR LÄN</t>
        </is>
      </c>
      <c r="E891" t="inlineStr">
        <is>
          <t>VÄSTERVIK</t>
        </is>
      </c>
      <c r="G891" t="n">
        <v>2</v>
      </c>
      <c r="H891" t="n">
        <v>0</v>
      </c>
      <c r="I891" t="n">
        <v>0</v>
      </c>
      <c r="J891" t="n">
        <v>0</v>
      </c>
      <c r="K891" t="n">
        <v>0</v>
      </c>
      <c r="L891" t="n">
        <v>0</v>
      </c>
      <c r="M891" t="n">
        <v>0</v>
      </c>
      <c r="N891" t="n">
        <v>0</v>
      </c>
      <c r="O891" t="n">
        <v>0</v>
      </c>
      <c r="P891" t="n">
        <v>0</v>
      </c>
      <c r="Q891" t="n">
        <v>0</v>
      </c>
      <c r="R891" s="2" t="inlineStr"/>
    </row>
    <row r="892" ht="15" customHeight="1">
      <c r="A892" t="inlineStr">
        <is>
          <t>A 60785-2025</t>
        </is>
      </c>
      <c r="B892" s="1" t="n">
        <v>45999.40421296296</v>
      </c>
      <c r="C892" s="1" t="n">
        <v>46050</v>
      </c>
      <c r="D892" t="inlineStr">
        <is>
          <t>KALMAR LÄN</t>
        </is>
      </c>
      <c r="E892" t="inlineStr">
        <is>
          <t>VÄSTERVIK</t>
        </is>
      </c>
      <c r="G892" t="n">
        <v>2.1</v>
      </c>
      <c r="H892" t="n">
        <v>0</v>
      </c>
      <c r="I892" t="n">
        <v>0</v>
      </c>
      <c r="J892" t="n">
        <v>0</v>
      </c>
      <c r="K892" t="n">
        <v>0</v>
      </c>
      <c r="L892" t="n">
        <v>0</v>
      </c>
      <c r="M892" t="n">
        <v>0</v>
      </c>
      <c r="N892" t="n">
        <v>0</v>
      </c>
      <c r="O892" t="n">
        <v>0</v>
      </c>
      <c r="P892" t="n">
        <v>0</v>
      </c>
      <c r="Q892" t="n">
        <v>0</v>
      </c>
      <c r="R892" s="2" t="inlineStr"/>
    </row>
    <row r="893" ht="15" customHeight="1">
      <c r="A893" t="inlineStr">
        <is>
          <t>A 36888-2024</t>
        </is>
      </c>
      <c r="B893" s="1" t="n">
        <v>45538</v>
      </c>
      <c r="C893" s="1" t="n">
        <v>46050</v>
      </c>
      <c r="D893" t="inlineStr">
        <is>
          <t>KALMAR LÄN</t>
        </is>
      </c>
      <c r="E893" t="inlineStr">
        <is>
          <t>VÄSTERVIK</t>
        </is>
      </c>
      <c r="G893" t="n">
        <v>1.5</v>
      </c>
      <c r="H893" t="n">
        <v>0</v>
      </c>
      <c r="I893" t="n">
        <v>0</v>
      </c>
      <c r="J893" t="n">
        <v>0</v>
      </c>
      <c r="K893" t="n">
        <v>0</v>
      </c>
      <c r="L893" t="n">
        <v>0</v>
      </c>
      <c r="M893" t="n">
        <v>0</v>
      </c>
      <c r="N893" t="n">
        <v>0</v>
      </c>
      <c r="O893" t="n">
        <v>0</v>
      </c>
      <c r="P893" t="n">
        <v>0</v>
      </c>
      <c r="Q893" t="n">
        <v>0</v>
      </c>
      <c r="R893" s="2" t="inlineStr"/>
    </row>
    <row r="894" ht="15" customHeight="1">
      <c r="A894" t="inlineStr">
        <is>
          <t>A 65-2023</t>
        </is>
      </c>
      <c r="B894" s="1" t="n">
        <v>44928.44431712963</v>
      </c>
      <c r="C894" s="1" t="n">
        <v>46050</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23873-2024</t>
        </is>
      </c>
      <c r="B895" s="1" t="n">
        <v>45455</v>
      </c>
      <c r="C895" s="1" t="n">
        <v>46050</v>
      </c>
      <c r="D895" t="inlineStr">
        <is>
          <t>KALMAR LÄN</t>
        </is>
      </c>
      <c r="E895" t="inlineStr">
        <is>
          <t>VÄSTERVIK</t>
        </is>
      </c>
      <c r="F895" t="inlineStr">
        <is>
          <t>Övriga Aktiebolag</t>
        </is>
      </c>
      <c r="G895" t="n">
        <v>0.7</v>
      </c>
      <c r="H895" t="n">
        <v>0</v>
      </c>
      <c r="I895" t="n">
        <v>0</v>
      </c>
      <c r="J895" t="n">
        <v>0</v>
      </c>
      <c r="K895" t="n">
        <v>0</v>
      </c>
      <c r="L895" t="n">
        <v>0</v>
      </c>
      <c r="M895" t="n">
        <v>0</v>
      </c>
      <c r="N895" t="n">
        <v>0</v>
      </c>
      <c r="O895" t="n">
        <v>0</v>
      </c>
      <c r="P895" t="n">
        <v>0</v>
      </c>
      <c r="Q895" t="n">
        <v>0</v>
      </c>
      <c r="R895" s="2" t="inlineStr"/>
    </row>
    <row r="896" ht="15" customHeight="1">
      <c r="A896" t="inlineStr">
        <is>
          <t>A 14068-2025</t>
        </is>
      </c>
      <c r="B896" s="1" t="n">
        <v>45740.42127314815</v>
      </c>
      <c r="C896" s="1" t="n">
        <v>46050</v>
      </c>
      <c r="D896" t="inlineStr">
        <is>
          <t>KALMAR LÄN</t>
        </is>
      </c>
      <c r="E896" t="inlineStr">
        <is>
          <t>VÄSTERVIK</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14071-2025</t>
        </is>
      </c>
      <c r="B897" s="1" t="n">
        <v>45740.42738425926</v>
      </c>
      <c r="C897" s="1" t="n">
        <v>46050</v>
      </c>
      <c r="D897" t="inlineStr">
        <is>
          <t>KALMAR LÄN</t>
        </is>
      </c>
      <c r="E897" t="inlineStr">
        <is>
          <t>VÄSTERVIK</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14092-2025</t>
        </is>
      </c>
      <c r="B898" s="1" t="n">
        <v>45740.44686342592</v>
      </c>
      <c r="C898" s="1" t="n">
        <v>46050</v>
      </c>
      <c r="D898" t="inlineStr">
        <is>
          <t>KALMAR LÄN</t>
        </is>
      </c>
      <c r="E898" t="inlineStr">
        <is>
          <t>VÄSTERVIK</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61728-2023</t>
        </is>
      </c>
      <c r="B899" s="1" t="n">
        <v>45265</v>
      </c>
      <c r="C899" s="1" t="n">
        <v>46050</v>
      </c>
      <c r="D899" t="inlineStr">
        <is>
          <t>KALMAR LÄN</t>
        </is>
      </c>
      <c r="E899" t="inlineStr">
        <is>
          <t>VÄSTERVIK</t>
        </is>
      </c>
      <c r="G899" t="n">
        <v>1.9</v>
      </c>
      <c r="H899" t="n">
        <v>0</v>
      </c>
      <c r="I899" t="n">
        <v>0</v>
      </c>
      <c r="J899" t="n">
        <v>0</v>
      </c>
      <c r="K899" t="n">
        <v>0</v>
      </c>
      <c r="L899" t="n">
        <v>0</v>
      </c>
      <c r="M899" t="n">
        <v>0</v>
      </c>
      <c r="N899" t="n">
        <v>0</v>
      </c>
      <c r="O899" t="n">
        <v>0</v>
      </c>
      <c r="P899" t="n">
        <v>0</v>
      </c>
      <c r="Q899" t="n">
        <v>0</v>
      </c>
      <c r="R899" s="2" t="inlineStr"/>
    </row>
    <row r="900" ht="15" customHeight="1">
      <c r="A900" t="inlineStr">
        <is>
          <t>A 36725-2024</t>
        </is>
      </c>
      <c r="B900" s="1" t="n">
        <v>45537.90300925926</v>
      </c>
      <c r="C900" s="1" t="n">
        <v>46050</v>
      </c>
      <c r="D900" t="inlineStr">
        <is>
          <t>KALMAR LÄN</t>
        </is>
      </c>
      <c r="E900" t="inlineStr">
        <is>
          <t>VÄSTERVIK</t>
        </is>
      </c>
      <c r="G900" t="n">
        <v>10.1</v>
      </c>
      <c r="H900" t="n">
        <v>0</v>
      </c>
      <c r="I900" t="n">
        <v>0</v>
      </c>
      <c r="J900" t="n">
        <v>0</v>
      </c>
      <c r="K900" t="n">
        <v>0</v>
      </c>
      <c r="L900" t="n">
        <v>0</v>
      </c>
      <c r="M900" t="n">
        <v>0</v>
      </c>
      <c r="N900" t="n">
        <v>0</v>
      </c>
      <c r="O900" t="n">
        <v>0</v>
      </c>
      <c r="P900" t="n">
        <v>0</v>
      </c>
      <c r="Q900" t="n">
        <v>0</v>
      </c>
      <c r="R900" s="2" t="inlineStr"/>
    </row>
    <row r="901" ht="15" customHeight="1">
      <c r="A901" t="inlineStr">
        <is>
          <t>A 55023-2021</t>
        </is>
      </c>
      <c r="B901" s="1" t="n">
        <v>44474</v>
      </c>
      <c r="C901" s="1" t="n">
        <v>46050</v>
      </c>
      <c r="D901" t="inlineStr">
        <is>
          <t>KALMAR LÄN</t>
        </is>
      </c>
      <c r="E901" t="inlineStr">
        <is>
          <t>VÄSTERVIK</t>
        </is>
      </c>
      <c r="G901" t="n">
        <v>1.2</v>
      </c>
      <c r="H901" t="n">
        <v>0</v>
      </c>
      <c r="I901" t="n">
        <v>0</v>
      </c>
      <c r="J901" t="n">
        <v>0</v>
      </c>
      <c r="K901" t="n">
        <v>0</v>
      </c>
      <c r="L901" t="n">
        <v>0</v>
      </c>
      <c r="M901" t="n">
        <v>0</v>
      </c>
      <c r="N901" t="n">
        <v>0</v>
      </c>
      <c r="O901" t="n">
        <v>0</v>
      </c>
      <c r="P901" t="n">
        <v>0</v>
      </c>
      <c r="Q901" t="n">
        <v>0</v>
      </c>
      <c r="R901" s="2" t="inlineStr"/>
    </row>
    <row r="902" ht="15" customHeight="1">
      <c r="A902" t="inlineStr">
        <is>
          <t>A 19950-2025</t>
        </is>
      </c>
      <c r="B902" s="1" t="n">
        <v>45771.65724537037</v>
      </c>
      <c r="C902" s="1" t="n">
        <v>46050</v>
      </c>
      <c r="D902" t="inlineStr">
        <is>
          <t>KALMAR LÄN</t>
        </is>
      </c>
      <c r="E902" t="inlineStr">
        <is>
          <t>VÄSTERVIK</t>
        </is>
      </c>
      <c r="G902" t="n">
        <v>2.4</v>
      </c>
      <c r="H902" t="n">
        <v>0</v>
      </c>
      <c r="I902" t="n">
        <v>0</v>
      </c>
      <c r="J902" t="n">
        <v>0</v>
      </c>
      <c r="K902" t="n">
        <v>0</v>
      </c>
      <c r="L902" t="n">
        <v>0</v>
      </c>
      <c r="M902" t="n">
        <v>0</v>
      </c>
      <c r="N902" t="n">
        <v>0</v>
      </c>
      <c r="O902" t="n">
        <v>0</v>
      </c>
      <c r="P902" t="n">
        <v>0</v>
      </c>
      <c r="Q902" t="n">
        <v>0</v>
      </c>
      <c r="R902" s="2" t="inlineStr"/>
    </row>
    <row r="903" ht="15" customHeight="1">
      <c r="A903" t="inlineStr">
        <is>
          <t>A 56617-2021</t>
        </is>
      </c>
      <c r="B903" s="1" t="n">
        <v>44480</v>
      </c>
      <c r="C903" s="1" t="n">
        <v>46050</v>
      </c>
      <c r="D903" t="inlineStr">
        <is>
          <t>KALMAR LÄN</t>
        </is>
      </c>
      <c r="E903" t="inlineStr">
        <is>
          <t>VÄSTERVIK</t>
        </is>
      </c>
      <c r="G903" t="n">
        <v>1.2</v>
      </c>
      <c r="H903" t="n">
        <v>0</v>
      </c>
      <c r="I903" t="n">
        <v>0</v>
      </c>
      <c r="J903" t="n">
        <v>0</v>
      </c>
      <c r="K903" t="n">
        <v>0</v>
      </c>
      <c r="L903" t="n">
        <v>0</v>
      </c>
      <c r="M903" t="n">
        <v>0</v>
      </c>
      <c r="N903" t="n">
        <v>0</v>
      </c>
      <c r="O903" t="n">
        <v>0</v>
      </c>
      <c r="P903" t="n">
        <v>0</v>
      </c>
      <c r="Q903" t="n">
        <v>0</v>
      </c>
      <c r="R903" s="2" t="inlineStr"/>
    </row>
    <row r="904" ht="15" customHeight="1">
      <c r="A904" t="inlineStr">
        <is>
          <t>A 7255-2023</t>
        </is>
      </c>
      <c r="B904" s="1" t="n">
        <v>44970</v>
      </c>
      <c r="C904" s="1" t="n">
        <v>46050</v>
      </c>
      <c r="D904" t="inlineStr">
        <is>
          <t>KALMAR LÄN</t>
        </is>
      </c>
      <c r="E904" t="inlineStr">
        <is>
          <t>VÄSTERVIK</t>
        </is>
      </c>
      <c r="F904" t="inlineStr">
        <is>
          <t>Naturvårdsverket</t>
        </is>
      </c>
      <c r="G904" t="n">
        <v>0.6</v>
      </c>
      <c r="H904" t="n">
        <v>0</v>
      </c>
      <c r="I904" t="n">
        <v>0</v>
      </c>
      <c r="J904" t="n">
        <v>0</v>
      </c>
      <c r="K904" t="n">
        <v>0</v>
      </c>
      <c r="L904" t="n">
        <v>0</v>
      </c>
      <c r="M904" t="n">
        <v>0</v>
      </c>
      <c r="N904" t="n">
        <v>0</v>
      </c>
      <c r="O904" t="n">
        <v>0</v>
      </c>
      <c r="P904" t="n">
        <v>0</v>
      </c>
      <c r="Q904" t="n">
        <v>0</v>
      </c>
      <c r="R904" s="2" t="inlineStr"/>
      <c r="U904">
        <f>HYPERLINK("https://klasma.github.io/Logging_0883/knärot/A 7255-2023 karta knärot.png", "A 7255-2023")</f>
        <v/>
      </c>
      <c r="V904">
        <f>HYPERLINK("https://klasma.github.io/Logging_0883/klagomål/A 7255-2023 FSC-klagomål.docx", "A 7255-2023")</f>
        <v/>
      </c>
      <c r="W904">
        <f>HYPERLINK("https://klasma.github.io/Logging_0883/klagomålsmail/A 7255-2023 FSC-klagomål mail.docx", "A 7255-2023")</f>
        <v/>
      </c>
      <c r="X904">
        <f>HYPERLINK("https://klasma.github.io/Logging_0883/tillsyn/A 7255-2023 tillsynsbegäran.docx", "A 7255-2023")</f>
        <v/>
      </c>
      <c r="Y904">
        <f>HYPERLINK("https://klasma.github.io/Logging_0883/tillsynsmail/A 7255-2023 tillsynsbegäran mail.docx", "A 7255-2023")</f>
        <v/>
      </c>
    </row>
    <row r="905" ht="15" customHeight="1">
      <c r="A905" t="inlineStr">
        <is>
          <t>A 42746-2024</t>
        </is>
      </c>
      <c r="B905" s="1" t="n">
        <v>45566.48361111111</v>
      </c>
      <c r="C905" s="1" t="n">
        <v>46050</v>
      </c>
      <c r="D905" t="inlineStr">
        <is>
          <t>KALMAR LÄN</t>
        </is>
      </c>
      <c r="E905" t="inlineStr">
        <is>
          <t>VÄSTERVIK</t>
        </is>
      </c>
      <c r="G905" t="n">
        <v>2</v>
      </c>
      <c r="H905" t="n">
        <v>0</v>
      </c>
      <c r="I905" t="n">
        <v>0</v>
      </c>
      <c r="J905" t="n">
        <v>0</v>
      </c>
      <c r="K905" t="n">
        <v>0</v>
      </c>
      <c r="L905" t="n">
        <v>0</v>
      </c>
      <c r="M905" t="n">
        <v>0</v>
      </c>
      <c r="N905" t="n">
        <v>0</v>
      </c>
      <c r="O905" t="n">
        <v>0</v>
      </c>
      <c r="P905" t="n">
        <v>0</v>
      </c>
      <c r="Q905" t="n">
        <v>0</v>
      </c>
      <c r="R905" s="2" t="inlineStr"/>
    </row>
    <row r="906" ht="15" customHeight="1">
      <c r="A906" t="inlineStr">
        <is>
          <t>A 24829-2022</t>
        </is>
      </c>
      <c r="B906" s="1" t="n">
        <v>44728.45674768519</v>
      </c>
      <c r="C906" s="1" t="n">
        <v>46050</v>
      </c>
      <c r="D906" t="inlineStr">
        <is>
          <t>KALMAR LÄN</t>
        </is>
      </c>
      <c r="E906" t="inlineStr">
        <is>
          <t>VÄSTERVIK</t>
        </is>
      </c>
      <c r="G906" t="n">
        <v>2.2</v>
      </c>
      <c r="H906" t="n">
        <v>0</v>
      </c>
      <c r="I906" t="n">
        <v>0</v>
      </c>
      <c r="J906" t="n">
        <v>0</v>
      </c>
      <c r="K906" t="n">
        <v>0</v>
      </c>
      <c r="L906" t="n">
        <v>0</v>
      </c>
      <c r="M906" t="n">
        <v>0</v>
      </c>
      <c r="N906" t="n">
        <v>0</v>
      </c>
      <c r="O906" t="n">
        <v>0</v>
      </c>
      <c r="P906" t="n">
        <v>0</v>
      </c>
      <c r="Q906" t="n">
        <v>0</v>
      </c>
      <c r="R906" s="2" t="inlineStr"/>
    </row>
    <row r="907" ht="15" customHeight="1">
      <c r="A907" t="inlineStr">
        <is>
          <t>A 3623-2026</t>
        </is>
      </c>
      <c r="B907" s="1" t="n">
        <v>46043</v>
      </c>
      <c r="C907" s="1" t="n">
        <v>46050</v>
      </c>
      <c r="D907" t="inlineStr">
        <is>
          <t>KALMAR LÄN</t>
        </is>
      </c>
      <c r="E907" t="inlineStr">
        <is>
          <t>VÄSTERVIK</t>
        </is>
      </c>
      <c r="G907" t="n">
        <v>3.2</v>
      </c>
      <c r="H907" t="n">
        <v>0</v>
      </c>
      <c r="I907" t="n">
        <v>0</v>
      </c>
      <c r="J907" t="n">
        <v>0</v>
      </c>
      <c r="K907" t="n">
        <v>0</v>
      </c>
      <c r="L907" t="n">
        <v>0</v>
      </c>
      <c r="M907" t="n">
        <v>0</v>
      </c>
      <c r="N907" t="n">
        <v>0</v>
      </c>
      <c r="O907" t="n">
        <v>0</v>
      </c>
      <c r="P907" t="n">
        <v>0</v>
      </c>
      <c r="Q907" t="n">
        <v>0</v>
      </c>
      <c r="R907" s="2" t="inlineStr"/>
    </row>
    <row r="908" ht="15" customHeight="1">
      <c r="A908" t="inlineStr">
        <is>
          <t>A 2098-2023</t>
        </is>
      </c>
      <c r="B908" s="1" t="n">
        <v>44939</v>
      </c>
      <c r="C908" s="1" t="n">
        <v>46050</v>
      </c>
      <c r="D908" t="inlineStr">
        <is>
          <t>KALMAR LÄN</t>
        </is>
      </c>
      <c r="E908" t="inlineStr">
        <is>
          <t>VÄSTERVIK</t>
        </is>
      </c>
      <c r="G908" t="n">
        <v>1.9</v>
      </c>
      <c r="H908" t="n">
        <v>0</v>
      </c>
      <c r="I908" t="n">
        <v>0</v>
      </c>
      <c r="J908" t="n">
        <v>0</v>
      </c>
      <c r="K908" t="n">
        <v>0</v>
      </c>
      <c r="L908" t="n">
        <v>0</v>
      </c>
      <c r="M908" t="n">
        <v>0</v>
      </c>
      <c r="N908" t="n">
        <v>0</v>
      </c>
      <c r="O908" t="n">
        <v>0</v>
      </c>
      <c r="P908" t="n">
        <v>0</v>
      </c>
      <c r="Q908" t="n">
        <v>0</v>
      </c>
      <c r="R908" s="2" t="inlineStr"/>
    </row>
    <row r="909" ht="15" customHeight="1">
      <c r="A909" t="inlineStr">
        <is>
          <t>A 3610-2026</t>
        </is>
      </c>
      <c r="B909" s="1" t="n">
        <v>46042.89953703704</v>
      </c>
      <c r="C909" s="1" t="n">
        <v>46050</v>
      </c>
      <c r="D909" t="inlineStr">
        <is>
          <t>KALMAR LÄN</t>
        </is>
      </c>
      <c r="E909" t="inlineStr">
        <is>
          <t>VÄSTERVIK</t>
        </is>
      </c>
      <c r="G909" t="n">
        <v>9.9</v>
      </c>
      <c r="H909" t="n">
        <v>0</v>
      </c>
      <c r="I909" t="n">
        <v>0</v>
      </c>
      <c r="J909" t="n">
        <v>0</v>
      </c>
      <c r="K909" t="n">
        <v>0</v>
      </c>
      <c r="L909" t="n">
        <v>0</v>
      </c>
      <c r="M909" t="n">
        <v>0</v>
      </c>
      <c r="N909" t="n">
        <v>0</v>
      </c>
      <c r="O909" t="n">
        <v>0</v>
      </c>
      <c r="P909" t="n">
        <v>0</v>
      </c>
      <c r="Q909" t="n">
        <v>0</v>
      </c>
      <c r="R909" s="2" t="inlineStr"/>
    </row>
    <row r="910" ht="15" customHeight="1">
      <c r="A910" t="inlineStr">
        <is>
          <t>A 61542-2025</t>
        </is>
      </c>
      <c r="B910" s="1" t="n">
        <v>46001.76293981481</v>
      </c>
      <c r="C910" s="1" t="n">
        <v>46050</v>
      </c>
      <c r="D910" t="inlineStr">
        <is>
          <t>KALMAR LÄN</t>
        </is>
      </c>
      <c r="E910" t="inlineStr">
        <is>
          <t>VÄSTERVIK</t>
        </is>
      </c>
      <c r="F910" t="inlineStr">
        <is>
          <t>Sveaskog</t>
        </is>
      </c>
      <c r="G910" t="n">
        <v>5.9</v>
      </c>
      <c r="H910" t="n">
        <v>0</v>
      </c>
      <c r="I910" t="n">
        <v>0</v>
      </c>
      <c r="J910" t="n">
        <v>0</v>
      </c>
      <c r="K910" t="n">
        <v>0</v>
      </c>
      <c r="L910" t="n">
        <v>0</v>
      </c>
      <c r="M910" t="n">
        <v>0</v>
      </c>
      <c r="N910" t="n">
        <v>0</v>
      </c>
      <c r="O910" t="n">
        <v>0</v>
      </c>
      <c r="P910" t="n">
        <v>0</v>
      </c>
      <c r="Q910" t="n">
        <v>0</v>
      </c>
      <c r="R910" s="2" t="inlineStr"/>
    </row>
    <row r="911" ht="15" customHeight="1">
      <c r="A911" t="inlineStr">
        <is>
          <t>A 4191-2026</t>
        </is>
      </c>
      <c r="B911" s="1" t="n">
        <v>46044.69344907408</v>
      </c>
      <c r="C911" s="1" t="n">
        <v>46050</v>
      </c>
      <c r="D911" t="inlineStr">
        <is>
          <t>KALMAR LÄN</t>
        </is>
      </c>
      <c r="E911" t="inlineStr">
        <is>
          <t>VÄSTERVIK</t>
        </is>
      </c>
      <c r="G911" t="n">
        <v>10.9</v>
      </c>
      <c r="H911" t="n">
        <v>0</v>
      </c>
      <c r="I911" t="n">
        <v>0</v>
      </c>
      <c r="J911" t="n">
        <v>0</v>
      </c>
      <c r="K911" t="n">
        <v>0</v>
      </c>
      <c r="L911" t="n">
        <v>0</v>
      </c>
      <c r="M911" t="n">
        <v>0</v>
      </c>
      <c r="N911" t="n">
        <v>0</v>
      </c>
      <c r="O911" t="n">
        <v>0</v>
      </c>
      <c r="P911" t="n">
        <v>0</v>
      </c>
      <c r="Q911" t="n">
        <v>0</v>
      </c>
      <c r="R911" s="2" t="inlineStr"/>
    </row>
    <row r="912" ht="15" customHeight="1">
      <c r="A912" t="inlineStr">
        <is>
          <t>A 4192-2026</t>
        </is>
      </c>
      <c r="B912" s="1" t="n">
        <v>46044.69368055555</v>
      </c>
      <c r="C912" s="1" t="n">
        <v>46050</v>
      </c>
      <c r="D912" t="inlineStr">
        <is>
          <t>KALMAR LÄN</t>
        </is>
      </c>
      <c r="E912" t="inlineStr">
        <is>
          <t>VÄSTERVIK</t>
        </is>
      </c>
      <c r="G912" t="n">
        <v>16.6</v>
      </c>
      <c r="H912" t="n">
        <v>0</v>
      </c>
      <c r="I912" t="n">
        <v>0</v>
      </c>
      <c r="J912" t="n">
        <v>0</v>
      </c>
      <c r="K912" t="n">
        <v>0</v>
      </c>
      <c r="L912" t="n">
        <v>0</v>
      </c>
      <c r="M912" t="n">
        <v>0</v>
      </c>
      <c r="N912" t="n">
        <v>0</v>
      </c>
      <c r="O912" t="n">
        <v>0</v>
      </c>
      <c r="P912" t="n">
        <v>0</v>
      </c>
      <c r="Q912" t="n">
        <v>0</v>
      </c>
      <c r="R912" s="2" t="inlineStr"/>
    </row>
    <row r="913" ht="15" customHeight="1">
      <c r="A913" t="inlineStr">
        <is>
          <t>A 7381-2025</t>
        </is>
      </c>
      <c r="B913" s="1" t="n">
        <v>45705.32234953704</v>
      </c>
      <c r="C913" s="1" t="n">
        <v>46050</v>
      </c>
      <c r="D913" t="inlineStr">
        <is>
          <t>KALMAR LÄN</t>
        </is>
      </c>
      <c r="E913" t="inlineStr">
        <is>
          <t>VÄSTERVIK</t>
        </is>
      </c>
      <c r="F913" t="inlineStr">
        <is>
          <t>Kyrkan</t>
        </is>
      </c>
      <c r="G913" t="n">
        <v>4.1</v>
      </c>
      <c r="H913" t="n">
        <v>0</v>
      </c>
      <c r="I913" t="n">
        <v>0</v>
      </c>
      <c r="J913" t="n">
        <v>0</v>
      </c>
      <c r="K913" t="n">
        <v>0</v>
      </c>
      <c r="L913" t="n">
        <v>0</v>
      </c>
      <c r="M913" t="n">
        <v>0</v>
      </c>
      <c r="N913" t="n">
        <v>0</v>
      </c>
      <c r="O913" t="n">
        <v>0</v>
      </c>
      <c r="P913" t="n">
        <v>0</v>
      </c>
      <c r="Q913" t="n">
        <v>0</v>
      </c>
      <c r="R913" s="2" t="inlineStr"/>
    </row>
    <row r="914" ht="15" customHeight="1">
      <c r="A914" t="inlineStr">
        <is>
          <t>A 4185-2026</t>
        </is>
      </c>
      <c r="B914" s="1" t="n">
        <v>46044.6917824074</v>
      </c>
      <c r="C914" s="1" t="n">
        <v>46050</v>
      </c>
      <c r="D914" t="inlineStr">
        <is>
          <t>KALMAR LÄN</t>
        </is>
      </c>
      <c r="E914" t="inlineStr">
        <is>
          <t>VÄSTERVIK</t>
        </is>
      </c>
      <c r="G914" t="n">
        <v>2</v>
      </c>
      <c r="H914" t="n">
        <v>0</v>
      </c>
      <c r="I914" t="n">
        <v>0</v>
      </c>
      <c r="J914" t="n">
        <v>0</v>
      </c>
      <c r="K914" t="n">
        <v>0</v>
      </c>
      <c r="L914" t="n">
        <v>0</v>
      </c>
      <c r="M914" t="n">
        <v>0</v>
      </c>
      <c r="N914" t="n">
        <v>0</v>
      </c>
      <c r="O914" t="n">
        <v>0</v>
      </c>
      <c r="P914" t="n">
        <v>0</v>
      </c>
      <c r="Q914" t="n">
        <v>0</v>
      </c>
      <c r="R914" s="2" t="inlineStr"/>
    </row>
    <row r="915" ht="15" customHeight="1">
      <c r="A915" t="inlineStr">
        <is>
          <t>A 4188-2026</t>
        </is>
      </c>
      <c r="B915" s="1" t="n">
        <v>46044.69266203704</v>
      </c>
      <c r="C915" s="1" t="n">
        <v>46050</v>
      </c>
      <c r="D915" t="inlineStr">
        <is>
          <t>KALMAR LÄN</t>
        </is>
      </c>
      <c r="E915" t="inlineStr">
        <is>
          <t>VÄSTERVIK</t>
        </is>
      </c>
      <c r="G915" t="n">
        <v>3.1</v>
      </c>
      <c r="H915" t="n">
        <v>0</v>
      </c>
      <c r="I915" t="n">
        <v>0</v>
      </c>
      <c r="J915" t="n">
        <v>0</v>
      </c>
      <c r="K915" t="n">
        <v>0</v>
      </c>
      <c r="L915" t="n">
        <v>0</v>
      </c>
      <c r="M915" t="n">
        <v>0</v>
      </c>
      <c r="N915" t="n">
        <v>0</v>
      </c>
      <c r="O915" t="n">
        <v>0</v>
      </c>
      <c r="P915" t="n">
        <v>0</v>
      </c>
      <c r="Q915" t="n">
        <v>0</v>
      </c>
      <c r="R915" s="2" t="inlineStr"/>
    </row>
    <row r="916" ht="15" customHeight="1">
      <c r="A916" t="inlineStr">
        <is>
          <t>A 4120-2026</t>
        </is>
      </c>
      <c r="B916" s="1" t="n">
        <v>46044.6109375</v>
      </c>
      <c r="C916" s="1" t="n">
        <v>46050</v>
      </c>
      <c r="D916" t="inlineStr">
        <is>
          <t>KALMAR LÄN</t>
        </is>
      </c>
      <c r="E916" t="inlineStr">
        <is>
          <t>VÄSTERVIK</t>
        </is>
      </c>
      <c r="G916" t="n">
        <v>4</v>
      </c>
      <c r="H916" t="n">
        <v>0</v>
      </c>
      <c r="I916" t="n">
        <v>0</v>
      </c>
      <c r="J916" t="n">
        <v>0</v>
      </c>
      <c r="K916" t="n">
        <v>0</v>
      </c>
      <c r="L916" t="n">
        <v>0</v>
      </c>
      <c r="M916" t="n">
        <v>0</v>
      </c>
      <c r="N916" t="n">
        <v>0</v>
      </c>
      <c r="O916" t="n">
        <v>0</v>
      </c>
      <c r="P916" t="n">
        <v>0</v>
      </c>
      <c r="Q916" t="n">
        <v>0</v>
      </c>
      <c r="R916" s="2" t="inlineStr"/>
    </row>
    <row r="917" ht="15" customHeight="1">
      <c r="A917" t="inlineStr">
        <is>
          <t>A 562-2023</t>
        </is>
      </c>
      <c r="B917" s="1" t="n">
        <v>44930</v>
      </c>
      <c r="C917" s="1" t="n">
        <v>46050</v>
      </c>
      <c r="D917" t="inlineStr">
        <is>
          <t>KALMAR LÄN</t>
        </is>
      </c>
      <c r="E917" t="inlineStr">
        <is>
          <t>VÄSTERVIK</t>
        </is>
      </c>
      <c r="G917" t="n">
        <v>0.4</v>
      </c>
      <c r="H917" t="n">
        <v>0</v>
      </c>
      <c r="I917" t="n">
        <v>0</v>
      </c>
      <c r="J917" t="n">
        <v>0</v>
      </c>
      <c r="K917" t="n">
        <v>0</v>
      </c>
      <c r="L917" t="n">
        <v>0</v>
      </c>
      <c r="M917" t="n">
        <v>0</v>
      </c>
      <c r="N917" t="n">
        <v>0</v>
      </c>
      <c r="O917" t="n">
        <v>0</v>
      </c>
      <c r="P917" t="n">
        <v>0</v>
      </c>
      <c r="Q917" t="n">
        <v>0</v>
      </c>
      <c r="R917" s="2" t="inlineStr"/>
    </row>
    <row r="918" ht="15" customHeight="1">
      <c r="A918" t="inlineStr">
        <is>
          <t>A 4298-2026</t>
        </is>
      </c>
      <c r="B918" s="1" t="n">
        <v>46045.42090277778</v>
      </c>
      <c r="C918" s="1" t="n">
        <v>46050</v>
      </c>
      <c r="D918" t="inlineStr">
        <is>
          <t>KALMAR LÄN</t>
        </is>
      </c>
      <c r="E918" t="inlineStr">
        <is>
          <t>VÄSTERVIK</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44705-2023</t>
        </is>
      </c>
      <c r="B919" s="1" t="n">
        <v>45190</v>
      </c>
      <c r="C919" s="1" t="n">
        <v>46050</v>
      </c>
      <c r="D919" t="inlineStr">
        <is>
          <t>KALMAR LÄN</t>
        </is>
      </c>
      <c r="E919" t="inlineStr">
        <is>
          <t>VÄSTERVIK</t>
        </is>
      </c>
      <c r="G919" t="n">
        <v>1.4</v>
      </c>
      <c r="H919" t="n">
        <v>0</v>
      </c>
      <c r="I919" t="n">
        <v>0</v>
      </c>
      <c r="J919" t="n">
        <v>0</v>
      </c>
      <c r="K919" t="n">
        <v>0</v>
      </c>
      <c r="L919" t="n">
        <v>0</v>
      </c>
      <c r="M919" t="n">
        <v>0</v>
      </c>
      <c r="N919" t="n">
        <v>0</v>
      </c>
      <c r="O919" t="n">
        <v>0</v>
      </c>
      <c r="P919" t="n">
        <v>0</v>
      </c>
      <c r="Q919" t="n">
        <v>0</v>
      </c>
      <c r="R919" s="2" t="inlineStr"/>
    </row>
    <row r="920" ht="15" customHeight="1">
      <c r="A920" t="inlineStr">
        <is>
          <t>A 48035-2024</t>
        </is>
      </c>
      <c r="B920" s="1" t="n">
        <v>45589.49168981481</v>
      </c>
      <c r="C920" s="1" t="n">
        <v>46050</v>
      </c>
      <c r="D920" t="inlineStr">
        <is>
          <t>KALMAR LÄN</t>
        </is>
      </c>
      <c r="E920" t="inlineStr">
        <is>
          <t>VÄSTERVIK</t>
        </is>
      </c>
      <c r="G920" t="n">
        <v>2.1</v>
      </c>
      <c r="H920" t="n">
        <v>0</v>
      </c>
      <c r="I920" t="n">
        <v>0</v>
      </c>
      <c r="J920" t="n">
        <v>0</v>
      </c>
      <c r="K920" t="n">
        <v>0</v>
      </c>
      <c r="L920" t="n">
        <v>0</v>
      </c>
      <c r="M920" t="n">
        <v>0</v>
      </c>
      <c r="N920" t="n">
        <v>0</v>
      </c>
      <c r="O920" t="n">
        <v>0</v>
      </c>
      <c r="P920" t="n">
        <v>0</v>
      </c>
      <c r="Q920" t="n">
        <v>0</v>
      </c>
      <c r="R920" s="2" t="inlineStr"/>
    </row>
    <row r="921" ht="15" customHeight="1">
      <c r="A921" t="inlineStr">
        <is>
          <t>A 61543-2025</t>
        </is>
      </c>
      <c r="B921" s="1" t="n">
        <v>46001.76518518518</v>
      </c>
      <c r="C921" s="1" t="n">
        <v>46050</v>
      </c>
      <c r="D921" t="inlineStr">
        <is>
          <t>KALMAR LÄN</t>
        </is>
      </c>
      <c r="E921" t="inlineStr">
        <is>
          <t>VÄSTERVIK</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61544-2025</t>
        </is>
      </c>
      <c r="B922" s="1" t="n">
        <v>46001.76704861111</v>
      </c>
      <c r="C922" s="1" t="n">
        <v>46050</v>
      </c>
      <c r="D922" t="inlineStr">
        <is>
          <t>KALMAR LÄN</t>
        </is>
      </c>
      <c r="E922" t="inlineStr">
        <is>
          <t>VÄSTERVIK</t>
        </is>
      </c>
      <c r="F922" t="inlineStr">
        <is>
          <t>Sveaskog</t>
        </is>
      </c>
      <c r="G922" t="n">
        <v>17.8</v>
      </c>
      <c r="H922" t="n">
        <v>0</v>
      </c>
      <c r="I922" t="n">
        <v>0</v>
      </c>
      <c r="J922" t="n">
        <v>0</v>
      </c>
      <c r="K922" t="n">
        <v>0</v>
      </c>
      <c r="L922" t="n">
        <v>0</v>
      </c>
      <c r="M922" t="n">
        <v>0</v>
      </c>
      <c r="N922" t="n">
        <v>0</v>
      </c>
      <c r="O922" t="n">
        <v>0</v>
      </c>
      <c r="P922" t="n">
        <v>0</v>
      </c>
      <c r="Q922" t="n">
        <v>0</v>
      </c>
      <c r="R922" s="2" t="inlineStr"/>
    </row>
    <row r="923" ht="15" customHeight="1">
      <c r="A923" t="inlineStr">
        <is>
          <t>A 55359-2024</t>
        </is>
      </c>
      <c r="B923" s="1" t="n">
        <v>45621.82230324074</v>
      </c>
      <c r="C923" s="1" t="n">
        <v>46050</v>
      </c>
      <c r="D923" t="inlineStr">
        <is>
          <t>KALMAR LÄN</t>
        </is>
      </c>
      <c r="E923" t="inlineStr">
        <is>
          <t>VÄSTERVIK</t>
        </is>
      </c>
      <c r="F923" t="inlineStr">
        <is>
          <t>Sveaskog</t>
        </is>
      </c>
      <c r="G923" t="n">
        <v>6.8</v>
      </c>
      <c r="H923" t="n">
        <v>0</v>
      </c>
      <c r="I923" t="n">
        <v>0</v>
      </c>
      <c r="J923" t="n">
        <v>0</v>
      </c>
      <c r="K923" t="n">
        <v>0</v>
      </c>
      <c r="L923" t="n">
        <v>0</v>
      </c>
      <c r="M923" t="n">
        <v>0</v>
      </c>
      <c r="N923" t="n">
        <v>0</v>
      </c>
      <c r="O923" t="n">
        <v>0</v>
      </c>
      <c r="P923" t="n">
        <v>0</v>
      </c>
      <c r="Q923" t="n">
        <v>0</v>
      </c>
      <c r="R923" s="2" t="inlineStr"/>
    </row>
    <row r="924" ht="15" customHeight="1">
      <c r="A924" t="inlineStr">
        <is>
          <t>A 4306-2026</t>
        </is>
      </c>
      <c r="B924" s="1" t="n">
        <v>46045.43553240741</v>
      </c>
      <c r="C924" s="1" t="n">
        <v>46050</v>
      </c>
      <c r="D924" t="inlineStr">
        <is>
          <t>KALMAR LÄN</t>
        </is>
      </c>
      <c r="E924" t="inlineStr">
        <is>
          <t>VÄSTERVIK</t>
        </is>
      </c>
      <c r="F924" t="inlineStr">
        <is>
          <t>Övriga Aktiebolag</t>
        </is>
      </c>
      <c r="G924" t="n">
        <v>2.9</v>
      </c>
      <c r="H924" t="n">
        <v>0</v>
      </c>
      <c r="I924" t="n">
        <v>0</v>
      </c>
      <c r="J924" t="n">
        <v>0</v>
      </c>
      <c r="K924" t="n">
        <v>0</v>
      </c>
      <c r="L924" t="n">
        <v>0</v>
      </c>
      <c r="M924" t="n">
        <v>0</v>
      </c>
      <c r="N924" t="n">
        <v>0</v>
      </c>
      <c r="O924" t="n">
        <v>0</v>
      </c>
      <c r="P924" t="n">
        <v>0</v>
      </c>
      <c r="Q924" t="n">
        <v>0</v>
      </c>
      <c r="R924" s="2" t="inlineStr"/>
    </row>
    <row r="925" ht="15" customHeight="1">
      <c r="A925" t="inlineStr">
        <is>
          <t>A 10116-2022</t>
        </is>
      </c>
      <c r="B925" s="1" t="n">
        <v>44621</v>
      </c>
      <c r="C925" s="1" t="n">
        <v>46050</v>
      </c>
      <c r="D925" t="inlineStr">
        <is>
          <t>KALMAR LÄN</t>
        </is>
      </c>
      <c r="E925" t="inlineStr">
        <is>
          <t>VÄSTERVIK</t>
        </is>
      </c>
      <c r="G925" t="n">
        <v>1.6</v>
      </c>
      <c r="H925" t="n">
        <v>0</v>
      </c>
      <c r="I925" t="n">
        <v>0</v>
      </c>
      <c r="J925" t="n">
        <v>0</v>
      </c>
      <c r="K925" t="n">
        <v>0</v>
      </c>
      <c r="L925" t="n">
        <v>0</v>
      </c>
      <c r="M925" t="n">
        <v>0</v>
      </c>
      <c r="N925" t="n">
        <v>0</v>
      </c>
      <c r="O925" t="n">
        <v>0</v>
      </c>
      <c r="P925" t="n">
        <v>0</v>
      </c>
      <c r="Q925" t="n">
        <v>0</v>
      </c>
      <c r="R925" s="2" t="inlineStr"/>
    </row>
    <row r="926" ht="15" customHeight="1">
      <c r="A926" t="inlineStr">
        <is>
          <t>A 4309-2026</t>
        </is>
      </c>
      <c r="B926" s="1" t="n">
        <v>46045.44006944444</v>
      </c>
      <c r="C926" s="1" t="n">
        <v>46050</v>
      </c>
      <c r="D926" t="inlineStr">
        <is>
          <t>KALMAR LÄN</t>
        </is>
      </c>
      <c r="E926" t="inlineStr">
        <is>
          <t>VÄSTERVIK</t>
        </is>
      </c>
      <c r="F926" t="inlineStr">
        <is>
          <t>Övriga Aktiebolag</t>
        </is>
      </c>
      <c r="G926" t="n">
        <v>0.9</v>
      </c>
      <c r="H926" t="n">
        <v>0</v>
      </c>
      <c r="I926" t="n">
        <v>0</v>
      </c>
      <c r="J926" t="n">
        <v>0</v>
      </c>
      <c r="K926" t="n">
        <v>0</v>
      </c>
      <c r="L926" t="n">
        <v>0</v>
      </c>
      <c r="M926" t="n">
        <v>0</v>
      </c>
      <c r="N926" t="n">
        <v>0</v>
      </c>
      <c r="O926" t="n">
        <v>0</v>
      </c>
      <c r="P926" t="n">
        <v>0</v>
      </c>
      <c r="Q926" t="n">
        <v>0</v>
      </c>
      <c r="R926" s="2" t="inlineStr"/>
    </row>
    <row r="927" ht="15" customHeight="1">
      <c r="A927" t="inlineStr">
        <is>
          <t>A 4189-2026</t>
        </is>
      </c>
      <c r="B927" s="1" t="n">
        <v>46044.69300925926</v>
      </c>
      <c r="C927" s="1" t="n">
        <v>46050</v>
      </c>
      <c r="D927" t="inlineStr">
        <is>
          <t>KALMAR LÄN</t>
        </is>
      </c>
      <c r="E927" t="inlineStr">
        <is>
          <t>VÄSTERVIK</t>
        </is>
      </c>
      <c r="G927" t="n">
        <v>3.4</v>
      </c>
      <c r="H927" t="n">
        <v>0</v>
      </c>
      <c r="I927" t="n">
        <v>0</v>
      </c>
      <c r="J927" t="n">
        <v>0</v>
      </c>
      <c r="K927" t="n">
        <v>0</v>
      </c>
      <c r="L927" t="n">
        <v>0</v>
      </c>
      <c r="M927" t="n">
        <v>0</v>
      </c>
      <c r="N927" t="n">
        <v>0</v>
      </c>
      <c r="O927" t="n">
        <v>0</v>
      </c>
      <c r="P927" t="n">
        <v>0</v>
      </c>
      <c r="Q927" t="n">
        <v>0</v>
      </c>
      <c r="R927" s="2" t="inlineStr"/>
    </row>
    <row r="928" ht="15" customHeight="1">
      <c r="A928" t="inlineStr">
        <is>
          <t>A 4289-2026</t>
        </is>
      </c>
      <c r="B928" s="1" t="n">
        <v>46045.40174768519</v>
      </c>
      <c r="C928" s="1" t="n">
        <v>46050</v>
      </c>
      <c r="D928" t="inlineStr">
        <is>
          <t>KALMAR LÄN</t>
        </is>
      </c>
      <c r="E928" t="inlineStr">
        <is>
          <t>VÄSTERVIK</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17652-2023</t>
        </is>
      </c>
      <c r="B929" s="1" t="n">
        <v>45036.70626157407</v>
      </c>
      <c r="C929" s="1" t="n">
        <v>46050</v>
      </c>
      <c r="D929" t="inlineStr">
        <is>
          <t>KALMAR LÄN</t>
        </is>
      </c>
      <c r="E929" t="inlineStr">
        <is>
          <t>VÄSTERVIK</t>
        </is>
      </c>
      <c r="G929" t="n">
        <v>0.2</v>
      </c>
      <c r="H929" t="n">
        <v>0</v>
      </c>
      <c r="I929" t="n">
        <v>0</v>
      </c>
      <c r="J929" t="n">
        <v>0</v>
      </c>
      <c r="K929" t="n">
        <v>0</v>
      </c>
      <c r="L929" t="n">
        <v>0</v>
      </c>
      <c r="M929" t="n">
        <v>0</v>
      </c>
      <c r="N929" t="n">
        <v>0</v>
      </c>
      <c r="O929" t="n">
        <v>0</v>
      </c>
      <c r="P929" t="n">
        <v>0</v>
      </c>
      <c r="Q929" t="n">
        <v>0</v>
      </c>
      <c r="R929" s="2" t="inlineStr"/>
    </row>
    <row r="930" ht="15" customHeight="1">
      <c r="A930" t="inlineStr">
        <is>
          <t>A 4186-2026</t>
        </is>
      </c>
      <c r="B930" s="1" t="n">
        <v>46044.69216435185</v>
      </c>
      <c r="C930" s="1" t="n">
        <v>46050</v>
      </c>
      <c r="D930" t="inlineStr">
        <is>
          <t>KALMAR LÄN</t>
        </is>
      </c>
      <c r="E930" t="inlineStr">
        <is>
          <t>VÄSTERVIK</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4190-2026</t>
        </is>
      </c>
      <c r="B931" s="1" t="n">
        <v>46044.69321759259</v>
      </c>
      <c r="C931" s="1" t="n">
        <v>46050</v>
      </c>
      <c r="D931" t="inlineStr">
        <is>
          <t>KALMAR LÄN</t>
        </is>
      </c>
      <c r="E931" t="inlineStr">
        <is>
          <t>VÄSTERVIK</t>
        </is>
      </c>
      <c r="G931" t="n">
        <v>10.5</v>
      </c>
      <c r="H931" t="n">
        <v>0</v>
      </c>
      <c r="I931" t="n">
        <v>0</v>
      </c>
      <c r="J931" t="n">
        <v>0</v>
      </c>
      <c r="K931" t="n">
        <v>0</v>
      </c>
      <c r="L931" t="n">
        <v>0</v>
      </c>
      <c r="M931" t="n">
        <v>0</v>
      </c>
      <c r="N931" t="n">
        <v>0</v>
      </c>
      <c r="O931" t="n">
        <v>0</v>
      </c>
      <c r="P931" t="n">
        <v>0</v>
      </c>
      <c r="Q931" t="n">
        <v>0</v>
      </c>
      <c r="R931" s="2" t="inlineStr"/>
    </row>
    <row r="932" ht="15" customHeight="1">
      <c r="A932" t="inlineStr">
        <is>
          <t>A 62921-2023</t>
        </is>
      </c>
      <c r="B932" s="1" t="n">
        <v>45272</v>
      </c>
      <c r="C932" s="1" t="n">
        <v>46050</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48753-2025</t>
        </is>
      </c>
      <c r="B933" s="1" t="n">
        <v>45936</v>
      </c>
      <c r="C933" s="1" t="n">
        <v>46050</v>
      </c>
      <c r="D933" t="inlineStr">
        <is>
          <t>KALMAR LÄN</t>
        </is>
      </c>
      <c r="E933" t="inlineStr">
        <is>
          <t>VÄSTERVIK</t>
        </is>
      </c>
      <c r="G933" t="n">
        <v>0.9</v>
      </c>
      <c r="H933" t="n">
        <v>0</v>
      </c>
      <c r="I933" t="n">
        <v>0</v>
      </c>
      <c r="J933" t="n">
        <v>0</v>
      </c>
      <c r="K933" t="n">
        <v>0</v>
      </c>
      <c r="L933" t="n">
        <v>0</v>
      </c>
      <c r="M933" t="n">
        <v>0</v>
      </c>
      <c r="N933" t="n">
        <v>0</v>
      </c>
      <c r="O933" t="n">
        <v>0</v>
      </c>
      <c r="P933" t="n">
        <v>0</v>
      </c>
      <c r="Q933" t="n">
        <v>0</v>
      </c>
      <c r="R933" s="2" t="inlineStr"/>
      <c r="U933">
        <f>HYPERLINK("https://klasma.github.io/Logging_0883/knärot/A 48753-2025 karta knärot.png", "A 48753-2025")</f>
        <v/>
      </c>
      <c r="V933">
        <f>HYPERLINK("https://klasma.github.io/Logging_0883/klagomål/A 48753-2025 FSC-klagomål.docx", "A 48753-2025")</f>
        <v/>
      </c>
      <c r="W933">
        <f>HYPERLINK("https://klasma.github.io/Logging_0883/klagomålsmail/A 48753-2025 FSC-klagomål mail.docx", "A 48753-2025")</f>
        <v/>
      </c>
      <c r="X933">
        <f>HYPERLINK("https://klasma.github.io/Logging_0883/tillsyn/A 48753-2025 tillsynsbegäran.docx", "A 48753-2025")</f>
        <v/>
      </c>
      <c r="Y933">
        <f>HYPERLINK("https://klasma.github.io/Logging_0883/tillsynsmail/A 48753-2025 tillsynsbegäran mail.docx", "A 48753-2025")</f>
        <v/>
      </c>
    </row>
    <row r="934" ht="15" customHeight="1">
      <c r="A934" t="inlineStr">
        <is>
          <t>A 27094-2024</t>
        </is>
      </c>
      <c r="B934" s="1" t="n">
        <v>45471</v>
      </c>
      <c r="C934" s="1" t="n">
        <v>46050</v>
      </c>
      <c r="D934" t="inlineStr">
        <is>
          <t>KALMAR LÄN</t>
        </is>
      </c>
      <c r="E934" t="inlineStr">
        <is>
          <t>VÄSTERVIK</t>
        </is>
      </c>
      <c r="F934" t="inlineStr">
        <is>
          <t>Holmen skog AB</t>
        </is>
      </c>
      <c r="G934" t="n">
        <v>2.4</v>
      </c>
      <c r="H934" t="n">
        <v>0</v>
      </c>
      <c r="I934" t="n">
        <v>0</v>
      </c>
      <c r="J934" t="n">
        <v>0</v>
      </c>
      <c r="K934" t="n">
        <v>0</v>
      </c>
      <c r="L934" t="n">
        <v>0</v>
      </c>
      <c r="M934" t="n">
        <v>0</v>
      </c>
      <c r="N934" t="n">
        <v>0</v>
      </c>
      <c r="O934" t="n">
        <v>0</v>
      </c>
      <c r="P934" t="n">
        <v>0</v>
      </c>
      <c r="Q934" t="n">
        <v>0</v>
      </c>
      <c r="R934" s="2" t="inlineStr"/>
      <c r="U934">
        <f>HYPERLINK("https://klasma.github.io/Logging_0883/knärot/A 27094-2024 karta knärot.png", "A 27094-2024")</f>
        <v/>
      </c>
      <c r="V934">
        <f>HYPERLINK("https://klasma.github.io/Logging_0883/klagomål/A 27094-2024 FSC-klagomål.docx", "A 27094-2024")</f>
        <v/>
      </c>
      <c r="W934">
        <f>HYPERLINK("https://klasma.github.io/Logging_0883/klagomålsmail/A 27094-2024 FSC-klagomål mail.docx", "A 27094-2024")</f>
        <v/>
      </c>
      <c r="X934">
        <f>HYPERLINK("https://klasma.github.io/Logging_0883/tillsyn/A 27094-2024 tillsynsbegäran.docx", "A 27094-2024")</f>
        <v/>
      </c>
      <c r="Y934">
        <f>HYPERLINK("https://klasma.github.io/Logging_0883/tillsynsmail/A 27094-2024 tillsynsbegäran mail.docx", "A 27094-2024")</f>
        <v/>
      </c>
    </row>
    <row r="935" ht="15" customHeight="1">
      <c r="A935" t="inlineStr">
        <is>
          <t>A 2951-2025</t>
        </is>
      </c>
      <c r="B935" s="1" t="n">
        <v>45678</v>
      </c>
      <c r="C935" s="1" t="n">
        <v>46050</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55958-2023</t>
        </is>
      </c>
      <c r="B936" s="1" t="n">
        <v>45240.34900462963</v>
      </c>
      <c r="C936" s="1" t="n">
        <v>46050</v>
      </c>
      <c r="D936" t="inlineStr">
        <is>
          <t>KALMAR LÄN</t>
        </is>
      </c>
      <c r="E936" t="inlineStr">
        <is>
          <t>VÄSTERVIK</t>
        </is>
      </c>
      <c r="G936" t="n">
        <v>1.6</v>
      </c>
      <c r="H936" t="n">
        <v>0</v>
      </c>
      <c r="I936" t="n">
        <v>0</v>
      </c>
      <c r="J936" t="n">
        <v>0</v>
      </c>
      <c r="K936" t="n">
        <v>0</v>
      </c>
      <c r="L936" t="n">
        <v>0</v>
      </c>
      <c r="M936" t="n">
        <v>0</v>
      </c>
      <c r="N936" t="n">
        <v>0</v>
      </c>
      <c r="O936" t="n">
        <v>0</v>
      </c>
      <c r="P936" t="n">
        <v>0</v>
      </c>
      <c r="Q936" t="n">
        <v>0</v>
      </c>
      <c r="R936" s="2" t="inlineStr"/>
    </row>
    <row r="937" ht="15" customHeight="1">
      <c r="A937" t="inlineStr">
        <is>
          <t>A 28390-2024</t>
        </is>
      </c>
      <c r="B937" s="1" t="n">
        <v>45477</v>
      </c>
      <c r="C937" s="1" t="n">
        <v>46050</v>
      </c>
      <c r="D937" t="inlineStr">
        <is>
          <t>KALMAR LÄN</t>
        </is>
      </c>
      <c r="E937" t="inlineStr">
        <is>
          <t>VÄSTERVIK</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27568-2024</t>
        </is>
      </c>
      <c r="B938" s="1" t="n">
        <v>45474</v>
      </c>
      <c r="C938" s="1" t="n">
        <v>46050</v>
      </c>
      <c r="D938" t="inlineStr">
        <is>
          <t>KALMAR LÄN</t>
        </is>
      </c>
      <c r="E938" t="inlineStr">
        <is>
          <t>VÄSTERVIK</t>
        </is>
      </c>
      <c r="G938" t="n">
        <v>7.7</v>
      </c>
      <c r="H938" t="n">
        <v>0</v>
      </c>
      <c r="I938" t="n">
        <v>0</v>
      </c>
      <c r="J938" t="n">
        <v>0</v>
      </c>
      <c r="K938" t="n">
        <v>0</v>
      </c>
      <c r="L938" t="n">
        <v>0</v>
      </c>
      <c r="M938" t="n">
        <v>0</v>
      </c>
      <c r="N938" t="n">
        <v>0</v>
      </c>
      <c r="O938" t="n">
        <v>0</v>
      </c>
      <c r="P938" t="n">
        <v>0</v>
      </c>
      <c r="Q938" t="n">
        <v>0</v>
      </c>
      <c r="R938" s="2" t="inlineStr"/>
    </row>
    <row r="939" ht="15" customHeight="1">
      <c r="A939" t="inlineStr">
        <is>
          <t>A 4911-2026</t>
        </is>
      </c>
      <c r="B939" s="1" t="n">
        <v>46048.71017361111</v>
      </c>
      <c r="C939" s="1" t="n">
        <v>46050</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47939-2023</t>
        </is>
      </c>
      <c r="B940" s="1" t="n">
        <v>45204.56195601852</v>
      </c>
      <c r="C940" s="1" t="n">
        <v>46050</v>
      </c>
      <c r="D940" t="inlineStr">
        <is>
          <t>KALMAR LÄN</t>
        </is>
      </c>
      <c r="E940" t="inlineStr">
        <is>
          <t>VÄSTERVIK</t>
        </is>
      </c>
      <c r="G940" t="n">
        <v>3.7</v>
      </c>
      <c r="H940" t="n">
        <v>0</v>
      </c>
      <c r="I940" t="n">
        <v>0</v>
      </c>
      <c r="J940" t="n">
        <v>0</v>
      </c>
      <c r="K940" t="n">
        <v>0</v>
      </c>
      <c r="L940" t="n">
        <v>0</v>
      </c>
      <c r="M940" t="n">
        <v>0</v>
      </c>
      <c r="N940" t="n">
        <v>0</v>
      </c>
      <c r="O940" t="n">
        <v>0</v>
      </c>
      <c r="P940" t="n">
        <v>0</v>
      </c>
      <c r="Q940" t="n">
        <v>0</v>
      </c>
      <c r="R940" s="2" t="inlineStr"/>
    </row>
    <row r="941" ht="15" customHeight="1">
      <c r="A941" t="inlineStr">
        <is>
          <t>A 14055-2025</t>
        </is>
      </c>
      <c r="B941" s="1" t="n">
        <v>45740.39541666667</v>
      </c>
      <c r="C941" s="1" t="n">
        <v>46050</v>
      </c>
      <c r="D941" t="inlineStr">
        <is>
          <t>KALMAR LÄN</t>
        </is>
      </c>
      <c r="E941" t="inlineStr">
        <is>
          <t>VÄSTERVIK</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46718-2023</t>
        </is>
      </c>
      <c r="B942" s="1" t="n">
        <v>45198</v>
      </c>
      <c r="C942" s="1" t="n">
        <v>46050</v>
      </c>
      <c r="D942" t="inlineStr">
        <is>
          <t>KALMAR LÄN</t>
        </is>
      </c>
      <c r="E942" t="inlineStr">
        <is>
          <t>VÄSTERVIK</t>
        </is>
      </c>
      <c r="G942" t="n">
        <v>0.4</v>
      </c>
      <c r="H942" t="n">
        <v>0</v>
      </c>
      <c r="I942" t="n">
        <v>0</v>
      </c>
      <c r="J942" t="n">
        <v>0</v>
      </c>
      <c r="K942" t="n">
        <v>0</v>
      </c>
      <c r="L942" t="n">
        <v>0</v>
      </c>
      <c r="M942" t="n">
        <v>0</v>
      </c>
      <c r="N942" t="n">
        <v>0</v>
      </c>
      <c r="O942" t="n">
        <v>0</v>
      </c>
      <c r="P942" t="n">
        <v>0</v>
      </c>
      <c r="Q942" t="n">
        <v>0</v>
      </c>
      <c r="R942" s="2" t="inlineStr"/>
    </row>
    <row r="943" ht="15" customHeight="1">
      <c r="A943" t="inlineStr">
        <is>
          <t>A 13748-2024</t>
        </is>
      </c>
      <c r="B943" s="1" t="n">
        <v>45390</v>
      </c>
      <c r="C943" s="1" t="n">
        <v>46050</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949-2024</t>
        </is>
      </c>
      <c r="B944" s="1" t="n">
        <v>45301</v>
      </c>
      <c r="C944" s="1" t="n">
        <v>46050</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11189-2024</t>
        </is>
      </c>
      <c r="B945" s="1" t="n">
        <v>45371</v>
      </c>
      <c r="C945" s="1" t="n">
        <v>46050</v>
      </c>
      <c r="D945" t="inlineStr">
        <is>
          <t>KALMAR LÄN</t>
        </is>
      </c>
      <c r="E945" t="inlineStr">
        <is>
          <t>VÄSTERVIK</t>
        </is>
      </c>
      <c r="G945" t="n">
        <v>5.2</v>
      </c>
      <c r="H945" t="n">
        <v>0</v>
      </c>
      <c r="I945" t="n">
        <v>0</v>
      </c>
      <c r="J945" t="n">
        <v>0</v>
      </c>
      <c r="K945" t="n">
        <v>0</v>
      </c>
      <c r="L945" t="n">
        <v>0</v>
      </c>
      <c r="M945" t="n">
        <v>0</v>
      </c>
      <c r="N945" t="n">
        <v>0</v>
      </c>
      <c r="O945" t="n">
        <v>0</v>
      </c>
      <c r="P945" t="n">
        <v>0</v>
      </c>
      <c r="Q945" t="n">
        <v>0</v>
      </c>
      <c r="R945" s="2" t="inlineStr"/>
    </row>
    <row r="946" ht="15" customHeight="1">
      <c r="A946" t="inlineStr">
        <is>
          <t>A 1877-2025</t>
        </is>
      </c>
      <c r="B946" s="1" t="n">
        <v>45671.62141203704</v>
      </c>
      <c r="C946" s="1" t="n">
        <v>46050</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35962-2023</t>
        </is>
      </c>
      <c r="B947" s="1" t="n">
        <v>45148</v>
      </c>
      <c r="C947" s="1" t="n">
        <v>46050</v>
      </c>
      <c r="D947" t="inlineStr">
        <is>
          <t>KALMAR LÄN</t>
        </is>
      </c>
      <c r="E947" t="inlineStr">
        <is>
          <t>VÄSTERVIK</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62163-2025</t>
        </is>
      </c>
      <c r="B948" s="1" t="n">
        <v>46006.49480324074</v>
      </c>
      <c r="C948" s="1" t="n">
        <v>46050</v>
      </c>
      <c r="D948" t="inlineStr">
        <is>
          <t>KALMAR LÄN</t>
        </is>
      </c>
      <c r="E948" t="inlineStr">
        <is>
          <t>VÄSTERVIK</t>
        </is>
      </c>
      <c r="G948" t="n">
        <v>3.3</v>
      </c>
      <c r="H948" t="n">
        <v>0</v>
      </c>
      <c r="I948" t="n">
        <v>0</v>
      </c>
      <c r="J948" t="n">
        <v>0</v>
      </c>
      <c r="K948" t="n">
        <v>0</v>
      </c>
      <c r="L948" t="n">
        <v>0</v>
      </c>
      <c r="M948" t="n">
        <v>0</v>
      </c>
      <c r="N948" t="n">
        <v>0</v>
      </c>
      <c r="O948" t="n">
        <v>0</v>
      </c>
      <c r="P948" t="n">
        <v>0</v>
      </c>
      <c r="Q948" t="n">
        <v>0</v>
      </c>
      <c r="R948" s="2" t="inlineStr"/>
    </row>
    <row r="949" ht="15" customHeight="1">
      <c r="A949" t="inlineStr">
        <is>
          <t>A 29557-2024</t>
        </is>
      </c>
      <c r="B949" s="1" t="n">
        <v>45484.52023148148</v>
      </c>
      <c r="C949" s="1" t="n">
        <v>46050</v>
      </c>
      <c r="D949" t="inlineStr">
        <is>
          <t>KALMAR LÄN</t>
        </is>
      </c>
      <c r="E949" t="inlineStr">
        <is>
          <t>VÄSTERVIK</t>
        </is>
      </c>
      <c r="G949" t="n">
        <v>5.9</v>
      </c>
      <c r="H949" t="n">
        <v>0</v>
      </c>
      <c r="I949" t="n">
        <v>0</v>
      </c>
      <c r="J949" t="n">
        <v>0</v>
      </c>
      <c r="K949" t="n">
        <v>0</v>
      </c>
      <c r="L949" t="n">
        <v>0</v>
      </c>
      <c r="M949" t="n">
        <v>0</v>
      </c>
      <c r="N949" t="n">
        <v>0</v>
      </c>
      <c r="O949" t="n">
        <v>0</v>
      </c>
      <c r="P949" t="n">
        <v>0</v>
      </c>
      <c r="Q949" t="n">
        <v>0</v>
      </c>
      <c r="R949" s="2" t="inlineStr"/>
    </row>
    <row r="950" ht="15" customHeight="1">
      <c r="A950" t="inlineStr">
        <is>
          <t>A 13836-2024</t>
        </is>
      </c>
      <c r="B950" s="1" t="n">
        <v>45391.44385416667</v>
      </c>
      <c r="C950" s="1" t="n">
        <v>46050</v>
      </c>
      <c r="D950" t="inlineStr">
        <is>
          <t>KALMAR LÄN</t>
        </is>
      </c>
      <c r="E950" t="inlineStr">
        <is>
          <t>VÄSTERVIK</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4508-2023</t>
        </is>
      </c>
      <c r="B951" s="1" t="n">
        <v>44956</v>
      </c>
      <c r="C951" s="1" t="n">
        <v>46050</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24877-2023</t>
        </is>
      </c>
      <c r="B952" s="1" t="n">
        <v>45085.43271990741</v>
      </c>
      <c r="C952" s="1" t="n">
        <v>46050</v>
      </c>
      <c r="D952" t="inlineStr">
        <is>
          <t>KALMAR LÄN</t>
        </is>
      </c>
      <c r="E952" t="inlineStr">
        <is>
          <t>VÄSTERVIK</t>
        </is>
      </c>
      <c r="G952" t="n">
        <v>3.8</v>
      </c>
      <c r="H952" t="n">
        <v>0</v>
      </c>
      <c r="I952" t="n">
        <v>0</v>
      </c>
      <c r="J952" t="n">
        <v>0</v>
      </c>
      <c r="K952" t="n">
        <v>0</v>
      </c>
      <c r="L952" t="n">
        <v>0</v>
      </c>
      <c r="M952" t="n">
        <v>0</v>
      </c>
      <c r="N952" t="n">
        <v>0</v>
      </c>
      <c r="O952" t="n">
        <v>0</v>
      </c>
      <c r="P952" t="n">
        <v>0</v>
      </c>
      <c r="Q952" t="n">
        <v>0</v>
      </c>
      <c r="R952" s="2" t="inlineStr"/>
    </row>
    <row r="953" ht="15" customHeight="1">
      <c r="A953" t="inlineStr">
        <is>
          <t>A 25180-2023</t>
        </is>
      </c>
      <c r="B953" s="1" t="n">
        <v>45086</v>
      </c>
      <c r="C953" s="1" t="n">
        <v>46050</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5923-2024</t>
        </is>
      </c>
      <c r="B954" s="1" t="n">
        <v>45335</v>
      </c>
      <c r="C954" s="1" t="n">
        <v>46050</v>
      </c>
      <c r="D954" t="inlineStr">
        <is>
          <t>KALMAR LÄN</t>
        </is>
      </c>
      <c r="E954" t="inlineStr">
        <is>
          <t>VÄSTERVIK</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61556-2023</t>
        </is>
      </c>
      <c r="B955" s="1" t="n">
        <v>45261</v>
      </c>
      <c r="C955" s="1" t="n">
        <v>46050</v>
      </c>
      <c r="D955" t="inlineStr">
        <is>
          <t>KALMAR LÄN</t>
        </is>
      </c>
      <c r="E955" t="inlineStr">
        <is>
          <t>VÄSTERVIK</t>
        </is>
      </c>
      <c r="F955" t="inlineStr">
        <is>
          <t>Övriga Aktiebolag</t>
        </is>
      </c>
      <c r="G955" t="n">
        <v>13.9</v>
      </c>
      <c r="H955" t="n">
        <v>0</v>
      </c>
      <c r="I955" t="n">
        <v>0</v>
      </c>
      <c r="J955" t="n">
        <v>0</v>
      </c>
      <c r="K955" t="n">
        <v>0</v>
      </c>
      <c r="L955" t="n">
        <v>0</v>
      </c>
      <c r="M955" t="n">
        <v>0</v>
      </c>
      <c r="N955" t="n">
        <v>0</v>
      </c>
      <c r="O955" t="n">
        <v>0</v>
      </c>
      <c r="P955" t="n">
        <v>0</v>
      </c>
      <c r="Q955" t="n">
        <v>0</v>
      </c>
      <c r="R955" s="2" t="inlineStr"/>
    </row>
    <row r="956" ht="15" customHeight="1">
      <c r="A956" t="inlineStr">
        <is>
          <t>A 29404-2024</t>
        </is>
      </c>
      <c r="B956" s="1" t="n">
        <v>45483</v>
      </c>
      <c r="C956" s="1" t="n">
        <v>46050</v>
      </c>
      <c r="D956" t="inlineStr">
        <is>
          <t>KALMAR LÄN</t>
        </is>
      </c>
      <c r="E956" t="inlineStr">
        <is>
          <t>VÄSTERVIK</t>
        </is>
      </c>
      <c r="G956" t="n">
        <v>2.2</v>
      </c>
      <c r="H956" t="n">
        <v>0</v>
      </c>
      <c r="I956" t="n">
        <v>0</v>
      </c>
      <c r="J956" t="n">
        <v>0</v>
      </c>
      <c r="K956" t="n">
        <v>0</v>
      </c>
      <c r="L956" t="n">
        <v>0</v>
      </c>
      <c r="M956" t="n">
        <v>0</v>
      </c>
      <c r="N956" t="n">
        <v>0</v>
      </c>
      <c r="O956" t="n">
        <v>0</v>
      </c>
      <c r="P956" t="n">
        <v>0</v>
      </c>
      <c r="Q956" t="n">
        <v>0</v>
      </c>
      <c r="R956" s="2" t="inlineStr"/>
    </row>
    <row r="957" ht="15" customHeight="1">
      <c r="A957" t="inlineStr">
        <is>
          <t>A 25561-2024</t>
        </is>
      </c>
      <c r="B957" s="1" t="n">
        <v>45463.58467592593</v>
      </c>
      <c r="C957" s="1" t="n">
        <v>46050</v>
      </c>
      <c r="D957" t="inlineStr">
        <is>
          <t>KALMAR LÄN</t>
        </is>
      </c>
      <c r="E957" t="inlineStr">
        <is>
          <t>VÄSTERVIK</t>
        </is>
      </c>
      <c r="F957" t="inlineStr">
        <is>
          <t>Holmen skog AB</t>
        </is>
      </c>
      <c r="G957" t="n">
        <v>7.2</v>
      </c>
      <c r="H957" t="n">
        <v>0</v>
      </c>
      <c r="I957" t="n">
        <v>0</v>
      </c>
      <c r="J957" t="n">
        <v>0</v>
      </c>
      <c r="K957" t="n">
        <v>0</v>
      </c>
      <c r="L957" t="n">
        <v>0</v>
      </c>
      <c r="M957" t="n">
        <v>0</v>
      </c>
      <c r="N957" t="n">
        <v>0</v>
      </c>
      <c r="O957" t="n">
        <v>0</v>
      </c>
      <c r="P957" t="n">
        <v>0</v>
      </c>
      <c r="Q957" t="n">
        <v>0</v>
      </c>
      <c r="R957" s="2" t="inlineStr"/>
    </row>
    <row r="958" ht="15" customHeight="1">
      <c r="A958" t="inlineStr">
        <is>
          <t>A 40674-2023</t>
        </is>
      </c>
      <c r="B958" s="1" t="n">
        <v>45170.59288194445</v>
      </c>
      <c r="C958" s="1" t="n">
        <v>46050</v>
      </c>
      <c r="D958" t="inlineStr">
        <is>
          <t>KALMAR LÄN</t>
        </is>
      </c>
      <c r="E958" t="inlineStr">
        <is>
          <t>VÄSTERVIK</t>
        </is>
      </c>
      <c r="G958" t="n">
        <v>4.2</v>
      </c>
      <c r="H958" t="n">
        <v>0</v>
      </c>
      <c r="I958" t="n">
        <v>0</v>
      </c>
      <c r="J958" t="n">
        <v>0</v>
      </c>
      <c r="K958" t="n">
        <v>0</v>
      </c>
      <c r="L958" t="n">
        <v>0</v>
      </c>
      <c r="M958" t="n">
        <v>0</v>
      </c>
      <c r="N958" t="n">
        <v>0</v>
      </c>
      <c r="O958" t="n">
        <v>0</v>
      </c>
      <c r="P958" t="n">
        <v>0</v>
      </c>
      <c r="Q958" t="n">
        <v>0</v>
      </c>
      <c r="R958" s="2" t="inlineStr"/>
    </row>
    <row r="959" ht="15" customHeight="1">
      <c r="A959" t="inlineStr">
        <is>
          <t>A 40677-2023</t>
        </is>
      </c>
      <c r="B959" s="1" t="n">
        <v>45170.59443287037</v>
      </c>
      <c r="C959" s="1" t="n">
        <v>46050</v>
      </c>
      <c r="D959" t="inlineStr">
        <is>
          <t>KALMAR LÄN</t>
        </is>
      </c>
      <c r="E959" t="inlineStr">
        <is>
          <t>VÄSTERVIK</t>
        </is>
      </c>
      <c r="G959" t="n">
        <v>1</v>
      </c>
      <c r="H959" t="n">
        <v>0</v>
      </c>
      <c r="I959" t="n">
        <v>0</v>
      </c>
      <c r="J959" t="n">
        <v>0</v>
      </c>
      <c r="K959" t="n">
        <v>0</v>
      </c>
      <c r="L959" t="n">
        <v>0</v>
      </c>
      <c r="M959" t="n">
        <v>0</v>
      </c>
      <c r="N959" t="n">
        <v>0</v>
      </c>
      <c r="O959" t="n">
        <v>0</v>
      </c>
      <c r="P959" t="n">
        <v>0</v>
      </c>
      <c r="Q959" t="n">
        <v>0</v>
      </c>
      <c r="R959" s="2" t="inlineStr"/>
    </row>
    <row r="960" ht="15" customHeight="1">
      <c r="A960" t="inlineStr">
        <is>
          <t>A 32647-2023</t>
        </is>
      </c>
      <c r="B960" s="1" t="n">
        <v>45121</v>
      </c>
      <c r="C960" s="1" t="n">
        <v>46050</v>
      </c>
      <c r="D960" t="inlineStr">
        <is>
          <t>KALMAR LÄN</t>
        </is>
      </c>
      <c r="E960" t="inlineStr">
        <is>
          <t>VÄSTERVIK</t>
        </is>
      </c>
      <c r="G960" t="n">
        <v>0.9</v>
      </c>
      <c r="H960" t="n">
        <v>0</v>
      </c>
      <c r="I960" t="n">
        <v>0</v>
      </c>
      <c r="J960" t="n">
        <v>0</v>
      </c>
      <c r="K960" t="n">
        <v>0</v>
      </c>
      <c r="L960" t="n">
        <v>0</v>
      </c>
      <c r="M960" t="n">
        <v>0</v>
      </c>
      <c r="N960" t="n">
        <v>0</v>
      </c>
      <c r="O960" t="n">
        <v>0</v>
      </c>
      <c r="P960" t="n">
        <v>0</v>
      </c>
      <c r="Q960" t="n">
        <v>0</v>
      </c>
      <c r="R960" s="2" t="inlineStr"/>
    </row>
    <row r="961" ht="15" customHeight="1">
      <c r="A961" t="inlineStr">
        <is>
          <t>A 54629-2024</t>
        </is>
      </c>
      <c r="B961" s="1" t="n">
        <v>45617.85399305556</v>
      </c>
      <c r="C961" s="1" t="n">
        <v>46050</v>
      </c>
      <c r="D961" t="inlineStr">
        <is>
          <t>KALMAR LÄN</t>
        </is>
      </c>
      <c r="E961" t="inlineStr">
        <is>
          <t>VÄSTERVIK</t>
        </is>
      </c>
      <c r="F961" t="inlineStr">
        <is>
          <t>Sveaskog</t>
        </is>
      </c>
      <c r="G961" t="n">
        <v>6.7</v>
      </c>
      <c r="H961" t="n">
        <v>0</v>
      </c>
      <c r="I961" t="n">
        <v>0</v>
      </c>
      <c r="J961" t="n">
        <v>0</v>
      </c>
      <c r="K961" t="n">
        <v>0</v>
      </c>
      <c r="L961" t="n">
        <v>0</v>
      </c>
      <c r="M961" t="n">
        <v>0</v>
      </c>
      <c r="N961" t="n">
        <v>0</v>
      </c>
      <c r="O961" t="n">
        <v>0</v>
      </c>
      <c r="P961" t="n">
        <v>0</v>
      </c>
      <c r="Q961" t="n">
        <v>0</v>
      </c>
      <c r="R961" s="2" t="inlineStr"/>
    </row>
    <row r="962" ht="15" customHeight="1">
      <c r="A962" t="inlineStr">
        <is>
          <t>A 7164-2025</t>
        </is>
      </c>
      <c r="B962" s="1" t="n">
        <v>45702.39331018519</v>
      </c>
      <c r="C962" s="1" t="n">
        <v>46050</v>
      </c>
      <c r="D962" t="inlineStr">
        <is>
          <t>KALMAR LÄN</t>
        </is>
      </c>
      <c r="E962" t="inlineStr">
        <is>
          <t>VÄSTERVIK</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56610-2022</t>
        </is>
      </c>
      <c r="B963" s="1" t="n">
        <v>44893.5862037037</v>
      </c>
      <c r="C963" s="1" t="n">
        <v>46050</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2314-2023</t>
        </is>
      </c>
      <c r="B964" s="1" t="n">
        <v>44942</v>
      </c>
      <c r="C964" s="1" t="n">
        <v>46050</v>
      </c>
      <c r="D964" t="inlineStr">
        <is>
          <t>KALMAR LÄN</t>
        </is>
      </c>
      <c r="E964" t="inlineStr">
        <is>
          <t>VÄSTERVIK</t>
        </is>
      </c>
      <c r="G964" t="n">
        <v>2.3</v>
      </c>
      <c r="H964" t="n">
        <v>0</v>
      </c>
      <c r="I964" t="n">
        <v>0</v>
      </c>
      <c r="J964" t="n">
        <v>0</v>
      </c>
      <c r="K964" t="n">
        <v>0</v>
      </c>
      <c r="L964" t="n">
        <v>0</v>
      </c>
      <c r="M964" t="n">
        <v>0</v>
      </c>
      <c r="N964" t="n">
        <v>0</v>
      </c>
      <c r="O964" t="n">
        <v>0</v>
      </c>
      <c r="P964" t="n">
        <v>0</v>
      </c>
      <c r="Q964" t="n">
        <v>0</v>
      </c>
      <c r="R964" s="2" t="inlineStr"/>
    </row>
    <row r="965" ht="15" customHeight="1">
      <c r="A965" t="inlineStr">
        <is>
          <t>A 13838-2024</t>
        </is>
      </c>
      <c r="B965" s="1" t="n">
        <v>45391.44646990741</v>
      </c>
      <c r="C965" s="1" t="n">
        <v>46050</v>
      </c>
      <c r="D965" t="inlineStr">
        <is>
          <t>KALMAR LÄN</t>
        </is>
      </c>
      <c r="E965" t="inlineStr">
        <is>
          <t>VÄSTERVIK</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47527-2021</t>
        </is>
      </c>
      <c r="B966" s="1" t="n">
        <v>44447</v>
      </c>
      <c r="C966" s="1" t="n">
        <v>46050</v>
      </c>
      <c r="D966" t="inlineStr">
        <is>
          <t>KALMAR LÄN</t>
        </is>
      </c>
      <c r="E966" t="inlineStr">
        <is>
          <t>VÄSTERVIK</t>
        </is>
      </c>
      <c r="F966" t="inlineStr">
        <is>
          <t>Sveaskog</t>
        </is>
      </c>
      <c r="G966" t="n">
        <v>1.8</v>
      </c>
      <c r="H966" t="n">
        <v>0</v>
      </c>
      <c r="I966" t="n">
        <v>0</v>
      </c>
      <c r="J966" t="n">
        <v>0</v>
      </c>
      <c r="K966" t="n">
        <v>0</v>
      </c>
      <c r="L966" t="n">
        <v>0</v>
      </c>
      <c r="M966" t="n">
        <v>0</v>
      </c>
      <c r="N966" t="n">
        <v>0</v>
      </c>
      <c r="O966" t="n">
        <v>0</v>
      </c>
      <c r="P966" t="n">
        <v>0</v>
      </c>
      <c r="Q966" t="n">
        <v>0</v>
      </c>
      <c r="R966" s="2" t="inlineStr"/>
    </row>
    <row r="967" ht="15" customHeight="1">
      <c r="A967" t="inlineStr">
        <is>
          <t>A 36418-2023</t>
        </is>
      </c>
      <c r="B967" s="1" t="n">
        <v>45152</v>
      </c>
      <c r="C967" s="1" t="n">
        <v>46050</v>
      </c>
      <c r="D967" t="inlineStr">
        <is>
          <t>KALMAR LÄN</t>
        </is>
      </c>
      <c r="E967" t="inlineStr">
        <is>
          <t>VÄSTERVIK</t>
        </is>
      </c>
      <c r="G967" t="n">
        <v>1.1</v>
      </c>
      <c r="H967" t="n">
        <v>0</v>
      </c>
      <c r="I967" t="n">
        <v>0</v>
      </c>
      <c r="J967" t="n">
        <v>0</v>
      </c>
      <c r="K967" t="n">
        <v>0</v>
      </c>
      <c r="L967" t="n">
        <v>0</v>
      </c>
      <c r="M967" t="n">
        <v>0</v>
      </c>
      <c r="N967" t="n">
        <v>0</v>
      </c>
      <c r="O967" t="n">
        <v>0</v>
      </c>
      <c r="P967" t="n">
        <v>0</v>
      </c>
      <c r="Q967" t="n">
        <v>0</v>
      </c>
      <c r="R967" s="2" t="inlineStr"/>
      <c r="U967">
        <f>HYPERLINK("https://klasma.github.io/Logging_0883/knärot/A 36418-2023 karta knärot.png", "A 36418-2023")</f>
        <v/>
      </c>
      <c r="V967">
        <f>HYPERLINK("https://klasma.github.io/Logging_0883/klagomål/A 36418-2023 FSC-klagomål.docx", "A 36418-2023")</f>
        <v/>
      </c>
      <c r="W967">
        <f>HYPERLINK("https://klasma.github.io/Logging_0883/klagomålsmail/A 36418-2023 FSC-klagomål mail.docx", "A 36418-2023")</f>
        <v/>
      </c>
      <c r="X967">
        <f>HYPERLINK("https://klasma.github.io/Logging_0883/tillsyn/A 36418-2023 tillsynsbegäran.docx", "A 36418-2023")</f>
        <v/>
      </c>
      <c r="Y967">
        <f>HYPERLINK("https://klasma.github.io/Logging_0883/tillsynsmail/A 36418-2023 tillsynsbegäran mail.docx", "A 36418-2023")</f>
        <v/>
      </c>
    </row>
    <row r="968" ht="15" customHeight="1">
      <c r="A968" t="inlineStr">
        <is>
          <t>A 35959-2023</t>
        </is>
      </c>
      <c r="B968" s="1" t="n">
        <v>45148.84875</v>
      </c>
      <c r="C968" s="1" t="n">
        <v>46050</v>
      </c>
      <c r="D968" t="inlineStr">
        <is>
          <t>KALMAR LÄN</t>
        </is>
      </c>
      <c r="E968" t="inlineStr">
        <is>
          <t>VÄSTERVIK</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7934-2023</t>
        </is>
      </c>
      <c r="B969" s="1" t="n">
        <v>44973.65422453704</v>
      </c>
      <c r="C969" s="1" t="n">
        <v>46050</v>
      </c>
      <c r="D969" t="inlineStr">
        <is>
          <t>KALMAR LÄN</t>
        </is>
      </c>
      <c r="E969" t="inlineStr">
        <is>
          <t>VÄSTERVIK</t>
        </is>
      </c>
      <c r="G969" t="n">
        <v>4.1</v>
      </c>
      <c r="H969" t="n">
        <v>0</v>
      </c>
      <c r="I969" t="n">
        <v>0</v>
      </c>
      <c r="J969" t="n">
        <v>0</v>
      </c>
      <c r="K969" t="n">
        <v>0</v>
      </c>
      <c r="L969" t="n">
        <v>0</v>
      </c>
      <c r="M969" t="n">
        <v>0</v>
      </c>
      <c r="N969" t="n">
        <v>0</v>
      </c>
      <c r="O969" t="n">
        <v>0</v>
      </c>
      <c r="P969" t="n">
        <v>0</v>
      </c>
      <c r="Q969" t="n">
        <v>0</v>
      </c>
      <c r="R969" s="2" t="inlineStr"/>
    </row>
    <row r="970" ht="15" customHeight="1">
      <c r="A970" t="inlineStr">
        <is>
          <t>A 49286-2022</t>
        </is>
      </c>
      <c r="B970" s="1" t="n">
        <v>44861.45876157407</v>
      </c>
      <c r="C970" s="1" t="n">
        <v>46050</v>
      </c>
      <c r="D970" t="inlineStr">
        <is>
          <t>KALMAR LÄN</t>
        </is>
      </c>
      <c r="E970" t="inlineStr">
        <is>
          <t>VÄSTERVIK</t>
        </is>
      </c>
      <c r="G970" t="n">
        <v>2.6</v>
      </c>
      <c r="H970" t="n">
        <v>0</v>
      </c>
      <c r="I970" t="n">
        <v>0</v>
      </c>
      <c r="J970" t="n">
        <v>0</v>
      </c>
      <c r="K970" t="n">
        <v>0</v>
      </c>
      <c r="L970" t="n">
        <v>0</v>
      </c>
      <c r="M970" t="n">
        <v>0</v>
      </c>
      <c r="N970" t="n">
        <v>0</v>
      </c>
      <c r="O970" t="n">
        <v>0</v>
      </c>
      <c r="P970" t="n">
        <v>0</v>
      </c>
      <c r="Q970" t="n">
        <v>0</v>
      </c>
      <c r="R970" s="2" t="inlineStr"/>
    </row>
    <row r="971" ht="15" customHeight="1">
      <c r="A971" t="inlineStr">
        <is>
          <t>A 57366-2023</t>
        </is>
      </c>
      <c r="B971" s="1" t="n">
        <v>45245</v>
      </c>
      <c r="C971" s="1" t="n">
        <v>46050</v>
      </c>
      <c r="D971" t="inlineStr">
        <is>
          <t>KALMAR LÄN</t>
        </is>
      </c>
      <c r="E971" t="inlineStr">
        <is>
          <t>VÄSTERVIK</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8005-2023</t>
        </is>
      </c>
      <c r="B972" s="1" t="n">
        <v>44973.88452546296</v>
      </c>
      <c r="C972" s="1" t="n">
        <v>46050</v>
      </c>
      <c r="D972" t="inlineStr">
        <is>
          <t>KALMAR LÄN</t>
        </is>
      </c>
      <c r="E972" t="inlineStr">
        <is>
          <t>VÄSTERVIK</t>
        </is>
      </c>
      <c r="G972" t="n">
        <v>2</v>
      </c>
      <c r="H972" t="n">
        <v>0</v>
      </c>
      <c r="I972" t="n">
        <v>0</v>
      </c>
      <c r="J972" t="n">
        <v>0</v>
      </c>
      <c r="K972" t="n">
        <v>0</v>
      </c>
      <c r="L972" t="n">
        <v>0</v>
      </c>
      <c r="M972" t="n">
        <v>0</v>
      </c>
      <c r="N972" t="n">
        <v>0</v>
      </c>
      <c r="O972" t="n">
        <v>0</v>
      </c>
      <c r="P972" t="n">
        <v>0</v>
      </c>
      <c r="Q972" t="n">
        <v>0</v>
      </c>
      <c r="R972" s="2" t="inlineStr"/>
    </row>
    <row r="973" ht="15" customHeight="1">
      <c r="A973" t="inlineStr">
        <is>
          <t>A 45721-2022</t>
        </is>
      </c>
      <c r="B973" s="1" t="n">
        <v>44845</v>
      </c>
      <c r="C973" s="1" t="n">
        <v>46050</v>
      </c>
      <c r="D973" t="inlineStr">
        <is>
          <t>KALMAR LÄN</t>
        </is>
      </c>
      <c r="E973" t="inlineStr">
        <is>
          <t>VÄSTERVIK</t>
        </is>
      </c>
      <c r="F973" t="inlineStr">
        <is>
          <t>Holmen skog AB</t>
        </is>
      </c>
      <c r="G973" t="n">
        <v>3.3</v>
      </c>
      <c r="H973" t="n">
        <v>0</v>
      </c>
      <c r="I973" t="n">
        <v>0</v>
      </c>
      <c r="J973" t="n">
        <v>0</v>
      </c>
      <c r="K973" t="n">
        <v>0</v>
      </c>
      <c r="L973" t="n">
        <v>0</v>
      </c>
      <c r="M973" t="n">
        <v>0</v>
      </c>
      <c r="N973" t="n">
        <v>0</v>
      </c>
      <c r="O973" t="n">
        <v>0</v>
      </c>
      <c r="P973" t="n">
        <v>0</v>
      </c>
      <c r="Q973" t="n">
        <v>0</v>
      </c>
      <c r="R973" s="2" t="inlineStr"/>
      <c r="U973">
        <f>HYPERLINK("https://klasma.github.io/Logging_0883/knärot/A 45721-2022 karta knärot.png", "A 45721-2022")</f>
        <v/>
      </c>
      <c r="V973">
        <f>HYPERLINK("https://klasma.github.io/Logging_0883/klagomål/A 45721-2022 FSC-klagomål.docx", "A 45721-2022")</f>
        <v/>
      </c>
      <c r="W973">
        <f>HYPERLINK("https://klasma.github.io/Logging_0883/klagomålsmail/A 45721-2022 FSC-klagomål mail.docx", "A 45721-2022")</f>
        <v/>
      </c>
      <c r="X973">
        <f>HYPERLINK("https://klasma.github.io/Logging_0883/tillsyn/A 45721-2022 tillsynsbegäran.docx", "A 45721-2022")</f>
        <v/>
      </c>
      <c r="Y973">
        <f>HYPERLINK("https://klasma.github.io/Logging_0883/tillsynsmail/A 45721-2022 tillsynsbegäran mail.docx", "A 45721-2022")</f>
        <v/>
      </c>
    </row>
    <row r="974" ht="15" customHeight="1">
      <c r="A974" t="inlineStr">
        <is>
          <t>A 47267-2023</t>
        </is>
      </c>
      <c r="B974" s="1" t="n">
        <v>45202.42667824074</v>
      </c>
      <c r="C974" s="1" t="n">
        <v>46050</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33814-2023</t>
        </is>
      </c>
      <c r="B975" s="1" t="n">
        <v>45133.59230324074</v>
      </c>
      <c r="C975" s="1" t="n">
        <v>46050</v>
      </c>
      <c r="D975" t="inlineStr">
        <is>
          <t>KALMAR LÄN</t>
        </is>
      </c>
      <c r="E975" t="inlineStr">
        <is>
          <t>VÄSTERVIK</t>
        </is>
      </c>
      <c r="G975" t="n">
        <v>3.9</v>
      </c>
      <c r="H975" t="n">
        <v>0</v>
      </c>
      <c r="I975" t="n">
        <v>0</v>
      </c>
      <c r="J975" t="n">
        <v>0</v>
      </c>
      <c r="K975" t="n">
        <v>0</v>
      </c>
      <c r="L975" t="n">
        <v>0</v>
      </c>
      <c r="M975" t="n">
        <v>0</v>
      </c>
      <c r="N975" t="n">
        <v>0</v>
      </c>
      <c r="O975" t="n">
        <v>0</v>
      </c>
      <c r="P975" t="n">
        <v>0</v>
      </c>
      <c r="Q975" t="n">
        <v>0</v>
      </c>
      <c r="R975" s="2" t="inlineStr"/>
    </row>
    <row r="976" ht="15" customHeight="1">
      <c r="A976" t="inlineStr">
        <is>
          <t>A 8382-2023</t>
        </is>
      </c>
      <c r="B976" s="1" t="n">
        <v>44977.40112268519</v>
      </c>
      <c r="C976" s="1" t="n">
        <v>46050</v>
      </c>
      <c r="D976" t="inlineStr">
        <is>
          <t>KALMAR LÄN</t>
        </is>
      </c>
      <c r="E976" t="inlineStr">
        <is>
          <t>VÄSTERVIK</t>
        </is>
      </c>
      <c r="G976" t="n">
        <v>1.1</v>
      </c>
      <c r="H976" t="n">
        <v>0</v>
      </c>
      <c r="I976" t="n">
        <v>0</v>
      </c>
      <c r="J976" t="n">
        <v>0</v>
      </c>
      <c r="K976" t="n">
        <v>0</v>
      </c>
      <c r="L976" t="n">
        <v>0</v>
      </c>
      <c r="M976" t="n">
        <v>0</v>
      </c>
      <c r="N976" t="n">
        <v>0</v>
      </c>
      <c r="O976" t="n">
        <v>0</v>
      </c>
      <c r="P976" t="n">
        <v>0</v>
      </c>
      <c r="Q976" t="n">
        <v>0</v>
      </c>
      <c r="R976" s="2" t="inlineStr"/>
    </row>
    <row r="977" ht="15" customHeight="1">
      <c r="A977" t="inlineStr">
        <is>
          <t>A 55565-2024</t>
        </is>
      </c>
      <c r="B977" s="1" t="n">
        <v>45622.54515046296</v>
      </c>
      <c r="C977" s="1" t="n">
        <v>46050</v>
      </c>
      <c r="D977" t="inlineStr">
        <is>
          <t>KALMAR LÄN</t>
        </is>
      </c>
      <c r="E977" t="inlineStr">
        <is>
          <t>VÄSTERVIK</t>
        </is>
      </c>
      <c r="G977" t="n">
        <v>2.2</v>
      </c>
      <c r="H977" t="n">
        <v>0</v>
      </c>
      <c r="I977" t="n">
        <v>0</v>
      </c>
      <c r="J977" t="n">
        <v>0</v>
      </c>
      <c r="K977" t="n">
        <v>0</v>
      </c>
      <c r="L977" t="n">
        <v>0</v>
      </c>
      <c r="M977" t="n">
        <v>0</v>
      </c>
      <c r="N977" t="n">
        <v>0</v>
      </c>
      <c r="O977" t="n">
        <v>0</v>
      </c>
      <c r="P977" t="n">
        <v>0</v>
      </c>
      <c r="Q977" t="n">
        <v>0</v>
      </c>
      <c r="R977" s="2" t="inlineStr"/>
    </row>
    <row r="978" ht="15" customHeight="1">
      <c r="A978" t="inlineStr">
        <is>
          <t>A 10515-2024</t>
        </is>
      </c>
      <c r="B978" s="1" t="n">
        <v>45366</v>
      </c>
      <c r="C978" s="1" t="n">
        <v>46050</v>
      </c>
      <c r="D978" t="inlineStr">
        <is>
          <t>KALMAR LÄN</t>
        </is>
      </c>
      <c r="E978" t="inlineStr">
        <is>
          <t>VÄSTERVIK</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29786-2024</t>
        </is>
      </c>
      <c r="B979" s="1" t="n">
        <v>45485.46388888889</v>
      </c>
      <c r="C979" s="1" t="n">
        <v>46050</v>
      </c>
      <c r="D979" t="inlineStr">
        <is>
          <t>KALMAR LÄN</t>
        </is>
      </c>
      <c r="E979" t="inlineStr">
        <is>
          <t>VÄSTERVIK</t>
        </is>
      </c>
      <c r="G979" t="n">
        <v>2.1</v>
      </c>
      <c r="H979" t="n">
        <v>0</v>
      </c>
      <c r="I979" t="n">
        <v>0</v>
      </c>
      <c r="J979" t="n">
        <v>0</v>
      </c>
      <c r="K979" t="n">
        <v>0</v>
      </c>
      <c r="L979" t="n">
        <v>0</v>
      </c>
      <c r="M979" t="n">
        <v>0</v>
      </c>
      <c r="N979" t="n">
        <v>0</v>
      </c>
      <c r="O979" t="n">
        <v>0</v>
      </c>
      <c r="P979" t="n">
        <v>0</v>
      </c>
      <c r="Q979" t="n">
        <v>0</v>
      </c>
      <c r="R979" s="2" t="inlineStr"/>
    </row>
    <row r="980" ht="15" customHeight="1">
      <c r="A980" t="inlineStr">
        <is>
          <t>A 2859-2025</t>
        </is>
      </c>
      <c r="B980" s="1" t="n">
        <v>45677.67003472222</v>
      </c>
      <c r="C980" s="1" t="n">
        <v>46050</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2870-2025</t>
        </is>
      </c>
      <c r="B981" s="1" t="n">
        <v>45677.68149305556</v>
      </c>
      <c r="C981" s="1" t="n">
        <v>46050</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60710-2022</t>
        </is>
      </c>
      <c r="B982" s="1" t="n">
        <v>44912</v>
      </c>
      <c r="C982" s="1" t="n">
        <v>46050</v>
      </c>
      <c r="D982" t="inlineStr">
        <is>
          <t>KALMAR LÄN</t>
        </is>
      </c>
      <c r="E982" t="inlineStr">
        <is>
          <t>VÄSTERVIK</t>
        </is>
      </c>
      <c r="F982" t="inlineStr">
        <is>
          <t>Övriga Aktiebolag</t>
        </is>
      </c>
      <c r="G982" t="n">
        <v>0.6</v>
      </c>
      <c r="H982" t="n">
        <v>0</v>
      </c>
      <c r="I982" t="n">
        <v>0</v>
      </c>
      <c r="J982" t="n">
        <v>0</v>
      </c>
      <c r="K982" t="n">
        <v>0</v>
      </c>
      <c r="L982" t="n">
        <v>0</v>
      </c>
      <c r="M982" t="n">
        <v>0</v>
      </c>
      <c r="N982" t="n">
        <v>0</v>
      </c>
      <c r="O982" t="n">
        <v>0</v>
      </c>
      <c r="P982" t="n">
        <v>0</v>
      </c>
      <c r="Q982" t="n">
        <v>0</v>
      </c>
      <c r="R982" s="2" t="inlineStr"/>
    </row>
    <row r="983" ht="15" customHeight="1">
      <c r="A983" t="inlineStr">
        <is>
          <t>A 55047-2024</t>
        </is>
      </c>
      <c r="B983" s="1" t="n">
        <v>45621.39516203704</v>
      </c>
      <c r="C983" s="1" t="n">
        <v>46050</v>
      </c>
      <c r="D983" t="inlineStr">
        <is>
          <t>KALMAR LÄN</t>
        </is>
      </c>
      <c r="E983" t="inlineStr">
        <is>
          <t>VÄSTERVIK</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5769-2023</t>
        </is>
      </c>
      <c r="B984" s="1" t="n">
        <v>44963.37194444444</v>
      </c>
      <c r="C984" s="1" t="n">
        <v>46050</v>
      </c>
      <c r="D984" t="inlineStr">
        <is>
          <t>KALMAR LÄN</t>
        </is>
      </c>
      <c r="E984" t="inlineStr">
        <is>
          <t>VÄSTERVIK</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34471-2024</t>
        </is>
      </c>
      <c r="B985" s="1" t="n">
        <v>45525.59111111111</v>
      </c>
      <c r="C985" s="1" t="n">
        <v>46050</v>
      </c>
      <c r="D985" t="inlineStr">
        <is>
          <t>KALMAR LÄN</t>
        </is>
      </c>
      <c r="E985" t="inlineStr">
        <is>
          <t>VÄSTERVIK</t>
        </is>
      </c>
      <c r="G985" t="n">
        <v>1.1</v>
      </c>
      <c r="H985" t="n">
        <v>0</v>
      </c>
      <c r="I985" t="n">
        <v>0</v>
      </c>
      <c r="J985" t="n">
        <v>0</v>
      </c>
      <c r="K985" t="n">
        <v>0</v>
      </c>
      <c r="L985" t="n">
        <v>0</v>
      </c>
      <c r="M985" t="n">
        <v>0</v>
      </c>
      <c r="N985" t="n">
        <v>0</v>
      </c>
      <c r="O985" t="n">
        <v>0</v>
      </c>
      <c r="P985" t="n">
        <v>0</v>
      </c>
      <c r="Q985" t="n">
        <v>0</v>
      </c>
      <c r="R985" s="2" t="inlineStr"/>
    </row>
    <row r="986" ht="15" customHeight="1">
      <c r="A986" t="inlineStr">
        <is>
          <t>A 60263-2022</t>
        </is>
      </c>
      <c r="B986" s="1" t="n">
        <v>44910.48520833333</v>
      </c>
      <c r="C986" s="1" t="n">
        <v>46050</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31691-2023</t>
        </is>
      </c>
      <c r="B987" s="1" t="n">
        <v>45117.72543981481</v>
      </c>
      <c r="C987" s="1" t="n">
        <v>46050</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5348-2024</t>
        </is>
      </c>
      <c r="B988" s="1" t="n">
        <v>45331</v>
      </c>
      <c r="C988" s="1" t="n">
        <v>46050</v>
      </c>
      <c r="D988" t="inlineStr">
        <is>
          <t>KALMAR LÄN</t>
        </is>
      </c>
      <c r="E988" t="inlineStr">
        <is>
          <t>VÄSTERVIK</t>
        </is>
      </c>
      <c r="F988" t="inlineStr">
        <is>
          <t>Övriga Aktiebolag</t>
        </is>
      </c>
      <c r="G988" t="n">
        <v>0.8</v>
      </c>
      <c r="H988" t="n">
        <v>0</v>
      </c>
      <c r="I988" t="n">
        <v>0</v>
      </c>
      <c r="J988" t="n">
        <v>0</v>
      </c>
      <c r="K988" t="n">
        <v>0</v>
      </c>
      <c r="L988" t="n">
        <v>0</v>
      </c>
      <c r="M988" t="n">
        <v>0</v>
      </c>
      <c r="N988" t="n">
        <v>0</v>
      </c>
      <c r="O988" t="n">
        <v>0</v>
      </c>
      <c r="P988" t="n">
        <v>0</v>
      </c>
      <c r="Q988" t="n">
        <v>0</v>
      </c>
      <c r="R988" s="2" t="inlineStr"/>
    </row>
    <row r="989" ht="15" customHeight="1">
      <c r="A989" t="inlineStr">
        <is>
          <t>A 10807-2023</t>
        </is>
      </c>
      <c r="B989" s="1" t="n">
        <v>44989.64261574074</v>
      </c>
      <c r="C989" s="1" t="n">
        <v>46050</v>
      </c>
      <c r="D989" t="inlineStr">
        <is>
          <t>KALMAR LÄN</t>
        </is>
      </c>
      <c r="E989" t="inlineStr">
        <is>
          <t>VÄSTERVIK</t>
        </is>
      </c>
      <c r="G989" t="n">
        <v>0.4</v>
      </c>
      <c r="H989" t="n">
        <v>0</v>
      </c>
      <c r="I989" t="n">
        <v>0</v>
      </c>
      <c r="J989" t="n">
        <v>0</v>
      </c>
      <c r="K989" t="n">
        <v>0</v>
      </c>
      <c r="L989" t="n">
        <v>0</v>
      </c>
      <c r="M989" t="n">
        <v>0</v>
      </c>
      <c r="N989" t="n">
        <v>0</v>
      </c>
      <c r="O989" t="n">
        <v>0</v>
      </c>
      <c r="P989" t="n">
        <v>0</v>
      </c>
      <c r="Q989" t="n">
        <v>0</v>
      </c>
      <c r="R989" s="2" t="inlineStr"/>
    </row>
    <row r="990" ht="15" customHeight="1">
      <c r="A990" t="inlineStr">
        <is>
          <t>A 30035-2023</t>
        </is>
      </c>
      <c r="B990" s="1" t="n">
        <v>45110</v>
      </c>
      <c r="C990" s="1" t="n">
        <v>46050</v>
      </c>
      <c r="D990" t="inlineStr">
        <is>
          <t>KALMAR LÄN</t>
        </is>
      </c>
      <c r="E990" t="inlineStr">
        <is>
          <t>VÄSTERVIK</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32822-2021</t>
        </is>
      </c>
      <c r="B991" s="1" t="n">
        <v>44375</v>
      </c>
      <c r="C991" s="1" t="n">
        <v>46050</v>
      </c>
      <c r="D991" t="inlineStr">
        <is>
          <t>KALMAR LÄN</t>
        </is>
      </c>
      <c r="E991" t="inlineStr">
        <is>
          <t>VÄSTERVIK</t>
        </is>
      </c>
      <c r="G991" t="n">
        <v>5.1</v>
      </c>
      <c r="H991" t="n">
        <v>0</v>
      </c>
      <c r="I991" t="n">
        <v>0</v>
      </c>
      <c r="J991" t="n">
        <v>0</v>
      </c>
      <c r="K991" t="n">
        <v>0</v>
      </c>
      <c r="L991" t="n">
        <v>0</v>
      </c>
      <c r="M991" t="n">
        <v>0</v>
      </c>
      <c r="N991" t="n">
        <v>0</v>
      </c>
      <c r="O991" t="n">
        <v>0</v>
      </c>
      <c r="P991" t="n">
        <v>0</v>
      </c>
      <c r="Q991" t="n">
        <v>0</v>
      </c>
      <c r="R991" s="2" t="inlineStr"/>
    </row>
    <row r="992" ht="15" customHeight="1">
      <c r="A992" t="inlineStr">
        <is>
          <t>A 61580-2022</t>
        </is>
      </c>
      <c r="B992" s="1" t="n">
        <v>44916.62880787037</v>
      </c>
      <c r="C992" s="1" t="n">
        <v>46050</v>
      </c>
      <c r="D992" t="inlineStr">
        <is>
          <t>KALMAR LÄN</t>
        </is>
      </c>
      <c r="E992" t="inlineStr">
        <is>
          <t>VÄSTERVIK</t>
        </is>
      </c>
      <c r="G992" t="n">
        <v>3.5</v>
      </c>
      <c r="H992" t="n">
        <v>0</v>
      </c>
      <c r="I992" t="n">
        <v>0</v>
      </c>
      <c r="J992" t="n">
        <v>0</v>
      </c>
      <c r="K992" t="n">
        <v>0</v>
      </c>
      <c r="L992" t="n">
        <v>0</v>
      </c>
      <c r="M992" t="n">
        <v>0</v>
      </c>
      <c r="N992" t="n">
        <v>0</v>
      </c>
      <c r="O992" t="n">
        <v>0</v>
      </c>
      <c r="P992" t="n">
        <v>0</v>
      </c>
      <c r="Q992" t="n">
        <v>0</v>
      </c>
      <c r="R992" s="2" t="inlineStr"/>
    </row>
    <row r="993" ht="15" customHeight="1">
      <c r="A993" t="inlineStr">
        <is>
          <t>A 21255-2021</t>
        </is>
      </c>
      <c r="B993" s="1" t="n">
        <v>44320.5672337963</v>
      </c>
      <c r="C993" s="1" t="n">
        <v>46050</v>
      </c>
      <c r="D993" t="inlineStr">
        <is>
          <t>KALMAR LÄN</t>
        </is>
      </c>
      <c r="E993" t="inlineStr">
        <is>
          <t>VÄSTERVIK</t>
        </is>
      </c>
      <c r="G993" t="n">
        <v>0.6</v>
      </c>
      <c r="H993" t="n">
        <v>0</v>
      </c>
      <c r="I993" t="n">
        <v>0</v>
      </c>
      <c r="J993" t="n">
        <v>0</v>
      </c>
      <c r="K993" t="n">
        <v>0</v>
      </c>
      <c r="L993" t="n">
        <v>0</v>
      </c>
      <c r="M993" t="n">
        <v>0</v>
      </c>
      <c r="N993" t="n">
        <v>0</v>
      </c>
      <c r="O993" t="n">
        <v>0</v>
      </c>
      <c r="P993" t="n">
        <v>0</v>
      </c>
      <c r="Q993" t="n">
        <v>0</v>
      </c>
      <c r="R993" s="2" t="inlineStr"/>
    </row>
    <row r="994" ht="15" customHeight="1">
      <c r="A994" t="inlineStr">
        <is>
          <t>A 59695-2023</t>
        </is>
      </c>
      <c r="B994" s="1" t="n">
        <v>45256.85107638889</v>
      </c>
      <c r="C994" s="1" t="n">
        <v>46050</v>
      </c>
      <c r="D994" t="inlineStr">
        <is>
          <t>KALMAR LÄN</t>
        </is>
      </c>
      <c r="E994" t="inlineStr">
        <is>
          <t>VÄSTERVIK</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71114-2021</t>
        </is>
      </c>
      <c r="B995" s="1" t="n">
        <v>44539.37123842593</v>
      </c>
      <c r="C995" s="1" t="n">
        <v>46050</v>
      </c>
      <c r="D995" t="inlineStr">
        <is>
          <t>KALMAR LÄN</t>
        </is>
      </c>
      <c r="E995" t="inlineStr">
        <is>
          <t>VÄSTERVIK</t>
        </is>
      </c>
      <c r="G995" t="n">
        <v>1.9</v>
      </c>
      <c r="H995" t="n">
        <v>0</v>
      </c>
      <c r="I995" t="n">
        <v>0</v>
      </c>
      <c r="J995" t="n">
        <v>0</v>
      </c>
      <c r="K995" t="n">
        <v>0</v>
      </c>
      <c r="L995" t="n">
        <v>0</v>
      </c>
      <c r="M995" t="n">
        <v>0</v>
      </c>
      <c r="N995" t="n">
        <v>0</v>
      </c>
      <c r="O995" t="n">
        <v>0</v>
      </c>
      <c r="P995" t="n">
        <v>0</v>
      </c>
      <c r="Q995" t="n">
        <v>0</v>
      </c>
      <c r="R995" s="2" t="inlineStr"/>
    </row>
    <row r="996" ht="15" customHeight="1">
      <c r="A996" t="inlineStr">
        <is>
          <t>A 59212-2022</t>
        </is>
      </c>
      <c r="B996" s="1" t="n">
        <v>44904.52560185185</v>
      </c>
      <c r="C996" s="1" t="n">
        <v>46050</v>
      </c>
      <c r="D996" t="inlineStr">
        <is>
          <t>KALMAR LÄN</t>
        </is>
      </c>
      <c r="E996" t="inlineStr">
        <is>
          <t>VÄSTERVIK</t>
        </is>
      </c>
      <c r="G996" t="n">
        <v>2.3</v>
      </c>
      <c r="H996" t="n">
        <v>0</v>
      </c>
      <c r="I996" t="n">
        <v>0</v>
      </c>
      <c r="J996" t="n">
        <v>0</v>
      </c>
      <c r="K996" t="n">
        <v>0</v>
      </c>
      <c r="L996" t="n">
        <v>0</v>
      </c>
      <c r="M996" t="n">
        <v>0</v>
      </c>
      <c r="N996" t="n">
        <v>0</v>
      </c>
      <c r="O996" t="n">
        <v>0</v>
      </c>
      <c r="P996" t="n">
        <v>0</v>
      </c>
      <c r="Q996" t="n">
        <v>0</v>
      </c>
      <c r="R996" s="2" t="inlineStr"/>
    </row>
    <row r="997" ht="15" customHeight="1">
      <c r="A997" t="inlineStr">
        <is>
          <t>A 59227-2022</t>
        </is>
      </c>
      <c r="B997" s="1" t="n">
        <v>44904</v>
      </c>
      <c r="C997" s="1" t="n">
        <v>46050</v>
      </c>
      <c r="D997" t="inlineStr">
        <is>
          <t>KALMAR LÄN</t>
        </is>
      </c>
      <c r="E997" t="inlineStr">
        <is>
          <t>VÄSTERVIK</t>
        </is>
      </c>
      <c r="G997" t="n">
        <v>6</v>
      </c>
      <c r="H997" t="n">
        <v>0</v>
      </c>
      <c r="I997" t="n">
        <v>0</v>
      </c>
      <c r="J997" t="n">
        <v>0</v>
      </c>
      <c r="K997" t="n">
        <v>0</v>
      </c>
      <c r="L997" t="n">
        <v>0</v>
      </c>
      <c r="M997" t="n">
        <v>0</v>
      </c>
      <c r="N997" t="n">
        <v>0</v>
      </c>
      <c r="O997" t="n">
        <v>0</v>
      </c>
      <c r="P997" t="n">
        <v>0</v>
      </c>
      <c r="Q997" t="n">
        <v>0</v>
      </c>
      <c r="R997" s="2" t="inlineStr"/>
    </row>
    <row r="998" ht="15" customHeight="1">
      <c r="A998" t="inlineStr">
        <is>
          <t>A 47945-2023</t>
        </is>
      </c>
      <c r="B998" s="1" t="n">
        <v>45204.5684837963</v>
      </c>
      <c r="C998" s="1" t="n">
        <v>46050</v>
      </c>
      <c r="D998" t="inlineStr">
        <is>
          <t>KALMAR LÄN</t>
        </is>
      </c>
      <c r="E998" t="inlineStr">
        <is>
          <t>VÄSTERVIK</t>
        </is>
      </c>
      <c r="G998" t="n">
        <v>2</v>
      </c>
      <c r="H998" t="n">
        <v>0</v>
      </c>
      <c r="I998" t="n">
        <v>0</v>
      </c>
      <c r="J998" t="n">
        <v>0</v>
      </c>
      <c r="K998" t="n">
        <v>0</v>
      </c>
      <c r="L998" t="n">
        <v>0</v>
      </c>
      <c r="M998" t="n">
        <v>0</v>
      </c>
      <c r="N998" t="n">
        <v>0</v>
      </c>
      <c r="O998" t="n">
        <v>0</v>
      </c>
      <c r="P998" t="n">
        <v>0</v>
      </c>
      <c r="Q998" t="n">
        <v>0</v>
      </c>
      <c r="R998" s="2" t="inlineStr"/>
    </row>
    <row r="999" ht="15" customHeight="1">
      <c r="A999" t="inlineStr">
        <is>
          <t>A 12520-2021</t>
        </is>
      </c>
      <c r="B999" s="1" t="n">
        <v>44269</v>
      </c>
      <c r="C999" s="1" t="n">
        <v>46050</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35652-2023</t>
        </is>
      </c>
      <c r="B1000" s="1" t="n">
        <v>45147.59215277778</v>
      </c>
      <c r="C1000" s="1" t="n">
        <v>46050</v>
      </c>
      <c r="D1000" t="inlineStr">
        <is>
          <t>KALMAR LÄN</t>
        </is>
      </c>
      <c r="E1000" t="inlineStr">
        <is>
          <t>VÄSTERVIK</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18068-2023</t>
        </is>
      </c>
      <c r="B1001" s="1" t="n">
        <v>45040</v>
      </c>
      <c r="C1001" s="1" t="n">
        <v>46050</v>
      </c>
      <c r="D1001" t="inlineStr">
        <is>
          <t>KALMAR LÄN</t>
        </is>
      </c>
      <c r="E1001" t="inlineStr">
        <is>
          <t>VÄSTERVIK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18143-2024</t>
        </is>
      </c>
      <c r="B1002" s="1" t="n">
        <v>45420</v>
      </c>
      <c r="C1002" s="1" t="n">
        <v>46050</v>
      </c>
      <c r="D1002" t="inlineStr">
        <is>
          <t>KALMAR LÄN</t>
        </is>
      </c>
      <c r="E1002" t="inlineStr">
        <is>
          <t>VÄSTERVIK</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21942-2023</t>
        </is>
      </c>
      <c r="B1003" s="1" t="n">
        <v>45068</v>
      </c>
      <c r="C1003" s="1" t="n">
        <v>46050</v>
      </c>
      <c r="D1003" t="inlineStr">
        <is>
          <t>KALMAR LÄN</t>
        </is>
      </c>
      <c r="E1003" t="inlineStr">
        <is>
          <t>VÄSTERVIK</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58216-2022</t>
        </is>
      </c>
      <c r="B1004" s="1" t="n">
        <v>44901.36292824074</v>
      </c>
      <c r="C1004" s="1" t="n">
        <v>46050</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15379-2025</t>
        </is>
      </c>
      <c r="B1005" s="1" t="n">
        <v>45747.40813657407</v>
      </c>
      <c r="C1005" s="1" t="n">
        <v>46050</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11791-2024</t>
        </is>
      </c>
      <c r="B1006" s="1" t="n">
        <v>45374.97038194445</v>
      </c>
      <c r="C1006" s="1" t="n">
        <v>46050</v>
      </c>
      <c r="D1006" t="inlineStr">
        <is>
          <t>KALMAR LÄN</t>
        </is>
      </c>
      <c r="E1006" t="inlineStr">
        <is>
          <t>VÄSTERVIK</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6938-2025</t>
        </is>
      </c>
      <c r="B1007" s="1" t="n">
        <v>45701.46288194445</v>
      </c>
      <c r="C1007" s="1" t="n">
        <v>46050</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58764-2024</t>
        </is>
      </c>
      <c r="B1008" s="1" t="n">
        <v>45635.72293981481</v>
      </c>
      <c r="C1008" s="1" t="n">
        <v>46050</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925-2024</t>
        </is>
      </c>
      <c r="B1009" s="1" t="n">
        <v>45301</v>
      </c>
      <c r="C1009" s="1" t="n">
        <v>46050</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24881-2023</t>
        </is>
      </c>
      <c r="B1010" s="1" t="n">
        <v>45085</v>
      </c>
      <c r="C1010" s="1" t="n">
        <v>46050</v>
      </c>
      <c r="D1010" t="inlineStr">
        <is>
          <t>KALMAR LÄN</t>
        </is>
      </c>
      <c r="E1010" t="inlineStr">
        <is>
          <t>VÄSTERVIK</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39982-2024</t>
        </is>
      </c>
      <c r="B1011" s="1" t="n">
        <v>45553.61355324074</v>
      </c>
      <c r="C1011" s="1" t="n">
        <v>46050</v>
      </c>
      <c r="D1011" t="inlineStr">
        <is>
          <t>KALMAR LÄN</t>
        </is>
      </c>
      <c r="E1011" t="inlineStr">
        <is>
          <t>VÄSTERVIK</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28895-2023</t>
        </is>
      </c>
      <c r="B1012" s="1" t="n">
        <v>45104</v>
      </c>
      <c r="C1012" s="1" t="n">
        <v>46050</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25488-2023</t>
        </is>
      </c>
      <c r="B1013" s="1" t="n">
        <v>45089</v>
      </c>
      <c r="C1013" s="1" t="n">
        <v>46050</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15875-2023</t>
        </is>
      </c>
      <c r="B1014" s="1" t="n">
        <v>45022.41916666667</v>
      </c>
      <c r="C1014" s="1" t="n">
        <v>46050</v>
      </c>
      <c r="D1014" t="inlineStr">
        <is>
          <t>KALMAR LÄN</t>
        </is>
      </c>
      <c r="E1014" t="inlineStr">
        <is>
          <t>VÄSTERVIK</t>
        </is>
      </c>
      <c r="F1014" t="inlineStr">
        <is>
          <t>Kyrkan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58090-2021</t>
        </is>
      </c>
      <c r="B1015" s="1" t="n">
        <v>44487.50277777778</v>
      </c>
      <c r="C1015" s="1" t="n">
        <v>46050</v>
      </c>
      <c r="D1015" t="inlineStr">
        <is>
          <t>KALMAR LÄN</t>
        </is>
      </c>
      <c r="E1015" t="inlineStr">
        <is>
          <t>VÄSTERVIK</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17052-2025</t>
        </is>
      </c>
      <c r="B1016" s="1" t="n">
        <v>45755.60236111111</v>
      </c>
      <c r="C1016" s="1" t="n">
        <v>46050</v>
      </c>
      <c r="D1016" t="inlineStr">
        <is>
          <t>KALMAR LÄN</t>
        </is>
      </c>
      <c r="E1016" t="inlineStr">
        <is>
          <t>VÄSTERVIK</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17054-2025</t>
        </is>
      </c>
      <c r="B1017" s="1" t="n">
        <v>45755.60278935185</v>
      </c>
      <c r="C1017" s="1" t="n">
        <v>46050</v>
      </c>
      <c r="D1017" t="inlineStr">
        <is>
          <t>KALMAR LÄN</t>
        </is>
      </c>
      <c r="E1017" t="inlineStr">
        <is>
          <t>VÄSTERVIK</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23743-2022</t>
        </is>
      </c>
      <c r="B1018" s="1" t="n">
        <v>44722.35611111111</v>
      </c>
      <c r="C1018" s="1" t="n">
        <v>46050</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37326-2024</t>
        </is>
      </c>
      <c r="B1019" s="1" t="n">
        <v>45540</v>
      </c>
      <c r="C1019" s="1" t="n">
        <v>46050</v>
      </c>
      <c r="D1019" t="inlineStr">
        <is>
          <t>KALMAR LÄN</t>
        </is>
      </c>
      <c r="E1019" t="inlineStr">
        <is>
          <t>VÄSTERVIK</t>
        </is>
      </c>
      <c r="F1019" t="inlineStr">
        <is>
          <t>Holmen skog AB</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29789-2024</t>
        </is>
      </c>
      <c r="B1020" s="1" t="n">
        <v>45485.46721064814</v>
      </c>
      <c r="C1020" s="1" t="n">
        <v>46050</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59675-2022</t>
        </is>
      </c>
      <c r="B1021" s="1" t="n">
        <v>44908</v>
      </c>
      <c r="C1021" s="1" t="n">
        <v>46050</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50911-2022</t>
        </is>
      </c>
      <c r="B1022" s="1" t="n">
        <v>44867.62262731481</v>
      </c>
      <c r="C1022" s="1" t="n">
        <v>46050</v>
      </c>
      <c r="D1022" t="inlineStr">
        <is>
          <t>KALMAR LÄN</t>
        </is>
      </c>
      <c r="E1022" t="inlineStr">
        <is>
          <t>VÄSTERVIK</t>
        </is>
      </c>
      <c r="F1022" t="inlineStr">
        <is>
          <t>Sveaskog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26061-2024</t>
        </is>
      </c>
      <c r="B1023" s="1" t="n">
        <v>45468.35030092593</v>
      </c>
      <c r="C1023" s="1" t="n">
        <v>46050</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26066-2024</t>
        </is>
      </c>
      <c r="B1024" s="1" t="n">
        <v>45468.35390046296</v>
      </c>
      <c r="C1024" s="1" t="n">
        <v>46050</v>
      </c>
      <c r="D1024" t="inlineStr">
        <is>
          <t>KALMAR LÄN</t>
        </is>
      </c>
      <c r="E1024" t="inlineStr">
        <is>
          <t>VÄSTERVIK</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54951-2023</t>
        </is>
      </c>
      <c r="B1025" s="1" t="n">
        <v>45236.82902777778</v>
      </c>
      <c r="C1025" s="1" t="n">
        <v>46050</v>
      </c>
      <c r="D1025" t="inlineStr">
        <is>
          <t>KALMAR LÄN</t>
        </is>
      </c>
      <c r="E1025" t="inlineStr">
        <is>
          <t>VÄSTERVIK</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23411-2022</t>
        </is>
      </c>
      <c r="B1026" s="1" t="n">
        <v>44720.70361111111</v>
      </c>
      <c r="C1026" s="1" t="n">
        <v>46050</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14080-2025</t>
        </is>
      </c>
      <c r="B1027" s="1" t="n">
        <v>45740.43785879629</v>
      </c>
      <c r="C1027" s="1" t="n">
        <v>46050</v>
      </c>
      <c r="D1027" t="inlineStr">
        <is>
          <t>KALMAR LÄN</t>
        </is>
      </c>
      <c r="E1027" t="inlineStr">
        <is>
          <t>VÄSTERVIK</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4496-2022</t>
        </is>
      </c>
      <c r="B1028" s="1" t="n">
        <v>44589.67060185185</v>
      </c>
      <c r="C1028" s="1" t="n">
        <v>46050</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9037-2023</t>
        </is>
      </c>
      <c r="B1029" s="1" t="n">
        <v>44979.65015046296</v>
      </c>
      <c r="C1029" s="1" t="n">
        <v>46050</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1798-2023</t>
        </is>
      </c>
      <c r="B1030" s="1" t="n">
        <v>44938</v>
      </c>
      <c r="C1030" s="1" t="n">
        <v>46050</v>
      </c>
      <c r="D1030" t="inlineStr">
        <is>
          <t>KALMAR LÄN</t>
        </is>
      </c>
      <c r="E1030" t="inlineStr">
        <is>
          <t>VÄSTERVIK</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28291-2024</t>
        </is>
      </c>
      <c r="B1031" s="1" t="n">
        <v>45477</v>
      </c>
      <c r="C1031" s="1" t="n">
        <v>46050</v>
      </c>
      <c r="D1031" t="inlineStr">
        <is>
          <t>KALMAR LÄN</t>
        </is>
      </c>
      <c r="E1031" t="inlineStr">
        <is>
          <t>VÄSTERVIK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56440-2024</t>
        </is>
      </c>
      <c r="B1032" s="1" t="n">
        <v>45625.41949074074</v>
      </c>
      <c r="C1032" s="1" t="n">
        <v>46050</v>
      </c>
      <c r="D1032" t="inlineStr">
        <is>
          <t>KALMAR LÄN</t>
        </is>
      </c>
      <c r="E1032" t="inlineStr">
        <is>
          <t>VÄSTERVIK</t>
        </is>
      </c>
      <c r="F1032" t="inlineStr">
        <is>
          <t>Övriga Aktiebolag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28344-2024</t>
        </is>
      </c>
      <c r="B1033" s="1" t="n">
        <v>45477.55280092593</v>
      </c>
      <c r="C1033" s="1" t="n">
        <v>46050</v>
      </c>
      <c r="D1033" t="inlineStr">
        <is>
          <t>KALMAR LÄN</t>
        </is>
      </c>
      <c r="E1033" t="inlineStr">
        <is>
          <t>VÄSTERVIK</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9269-2025</t>
        </is>
      </c>
      <c r="B1034" s="1" t="n">
        <v>45714.61543981481</v>
      </c>
      <c r="C1034" s="1" t="n">
        <v>46050</v>
      </c>
      <c r="D1034" t="inlineStr">
        <is>
          <t>KALMAR LÄN</t>
        </is>
      </c>
      <c r="E1034" t="inlineStr">
        <is>
          <t>VÄSTERVIK</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12433-2024</t>
        </is>
      </c>
      <c r="B1035" s="1" t="n">
        <v>45379.44450231481</v>
      </c>
      <c r="C1035" s="1" t="n">
        <v>46050</v>
      </c>
      <c r="D1035" t="inlineStr">
        <is>
          <t>KALMAR LÄN</t>
        </is>
      </c>
      <c r="E1035" t="inlineStr">
        <is>
          <t>VÄSTERVIK</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10441-2022</t>
        </is>
      </c>
      <c r="B1036" s="1" t="n">
        <v>44623</v>
      </c>
      <c r="C1036" s="1" t="n">
        <v>46050</v>
      </c>
      <c r="D1036" t="inlineStr">
        <is>
          <t>KALMAR LÄN</t>
        </is>
      </c>
      <c r="E1036" t="inlineStr">
        <is>
          <t>VÄSTERVIK</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16689-2025</t>
        </is>
      </c>
      <c r="B1037" s="1" t="n">
        <v>45754.45739583333</v>
      </c>
      <c r="C1037" s="1" t="n">
        <v>46050</v>
      </c>
      <c r="D1037" t="inlineStr">
        <is>
          <t>KALMAR LÄN</t>
        </is>
      </c>
      <c r="E1037" t="inlineStr">
        <is>
          <t>VÄSTERVIK</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16693-2025</t>
        </is>
      </c>
      <c r="B1038" s="1" t="n">
        <v>45754.4644675926</v>
      </c>
      <c r="C1038" s="1" t="n">
        <v>46050</v>
      </c>
      <c r="D1038" t="inlineStr">
        <is>
          <t>KALMAR LÄN</t>
        </is>
      </c>
      <c r="E1038" t="inlineStr">
        <is>
          <t>VÄSTERVIK</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46070-2023</t>
        </is>
      </c>
      <c r="B1039" s="1" t="n">
        <v>45196</v>
      </c>
      <c r="C1039" s="1" t="n">
        <v>46050</v>
      </c>
      <c r="D1039" t="inlineStr">
        <is>
          <t>KALMAR LÄN</t>
        </is>
      </c>
      <c r="E1039" t="inlineStr">
        <is>
          <t>VÄSTERVIK</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63361-2023</t>
        </is>
      </c>
      <c r="B1040" s="1" t="n">
        <v>45274.46324074074</v>
      </c>
      <c r="C1040" s="1" t="n">
        <v>46050</v>
      </c>
      <c r="D1040" t="inlineStr">
        <is>
          <t>KALMAR LÄN</t>
        </is>
      </c>
      <c r="E1040" t="inlineStr">
        <is>
          <t>VÄSTERVIK</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35961-2023</t>
        </is>
      </c>
      <c r="B1041" s="1" t="n">
        <v>45148.85041666667</v>
      </c>
      <c r="C1041" s="1" t="n">
        <v>46050</v>
      </c>
      <c r="D1041" t="inlineStr">
        <is>
          <t>KALMAR LÄN</t>
        </is>
      </c>
      <c r="E1041" t="inlineStr">
        <is>
          <t>VÄSTERVIK</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28952-2023</t>
        </is>
      </c>
      <c r="B1042" s="1" t="n">
        <v>45104</v>
      </c>
      <c r="C1042" s="1" t="n">
        <v>46050</v>
      </c>
      <c r="D1042" t="inlineStr">
        <is>
          <t>KALMAR LÄN</t>
        </is>
      </c>
      <c r="E1042" t="inlineStr">
        <is>
          <t>VÄSTERVIK</t>
        </is>
      </c>
      <c r="F1042" t="inlineStr">
        <is>
          <t>Holmen skog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23992-2021</t>
        </is>
      </c>
      <c r="B1043" s="1" t="n">
        <v>44335</v>
      </c>
      <c r="C1043" s="1" t="n">
        <v>46050</v>
      </c>
      <c r="D1043" t="inlineStr">
        <is>
          <t>KALMAR LÄN</t>
        </is>
      </c>
      <c r="E1043" t="inlineStr">
        <is>
          <t>VÄSTERVIK</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7925-2023</t>
        </is>
      </c>
      <c r="B1044" s="1" t="n">
        <v>44973.64606481481</v>
      </c>
      <c r="C1044" s="1" t="n">
        <v>46050</v>
      </c>
      <c r="D1044" t="inlineStr">
        <is>
          <t>KALMAR LÄN</t>
        </is>
      </c>
      <c r="E1044" t="inlineStr">
        <is>
          <t>VÄSTERVIK</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28222-2024</t>
        </is>
      </c>
      <c r="B1045" s="1" t="n">
        <v>45477.36993055556</v>
      </c>
      <c r="C1045" s="1" t="n">
        <v>46050</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15553-2024</t>
        </is>
      </c>
      <c r="B1046" s="1" t="n">
        <v>45401.63736111111</v>
      </c>
      <c r="C1046" s="1" t="n">
        <v>46050</v>
      </c>
      <c r="D1046" t="inlineStr">
        <is>
          <t>KALMAR LÄN</t>
        </is>
      </c>
      <c r="E1046" t="inlineStr">
        <is>
          <t>VÄSTERVIK</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38045-2023</t>
        </is>
      </c>
      <c r="B1047" s="1" t="n">
        <v>45160.67251157408</v>
      </c>
      <c r="C1047" s="1" t="n">
        <v>46050</v>
      </c>
      <c r="D1047" t="inlineStr">
        <is>
          <t>KALMAR LÄN</t>
        </is>
      </c>
      <c r="E1047" t="inlineStr">
        <is>
          <t>VÄSTERVIK</t>
        </is>
      </c>
      <c r="F1047" t="inlineStr">
        <is>
          <t>Sveaskog</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6616-2021</t>
        </is>
      </c>
      <c r="B1048" s="1" t="n">
        <v>44236</v>
      </c>
      <c r="C1048" s="1" t="n">
        <v>46050</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46050</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62422-2022</t>
        </is>
      </c>
      <c r="B1050" s="1" t="n">
        <v>44924</v>
      </c>
      <c r="C1050" s="1" t="n">
        <v>46050</v>
      </c>
      <c r="D1050" t="inlineStr">
        <is>
          <t>KALMAR LÄN</t>
        </is>
      </c>
      <c r="E1050" t="inlineStr">
        <is>
          <t>VÄSTERVIK</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24567-2024</t>
        </is>
      </c>
      <c r="B1051" s="1" t="n">
        <v>45460.44732638889</v>
      </c>
      <c r="C1051" s="1" t="n">
        <v>46050</v>
      </c>
      <c r="D1051" t="inlineStr">
        <is>
          <t>KALMAR LÄN</t>
        </is>
      </c>
      <c r="E1051" t="inlineStr">
        <is>
          <t>VÄSTERVIK</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23316-2023</t>
        </is>
      </c>
      <c r="B1052" s="1" t="n">
        <v>45076.02563657407</v>
      </c>
      <c r="C1052" s="1" t="n">
        <v>46050</v>
      </c>
      <c r="D1052" t="inlineStr">
        <is>
          <t>KALMAR LÄN</t>
        </is>
      </c>
      <c r="E1052" t="inlineStr">
        <is>
          <t>VÄSTERVIK</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16680-2025</t>
        </is>
      </c>
      <c r="B1053" s="1" t="n">
        <v>45754.44952546297</v>
      </c>
      <c r="C1053" s="1" t="n">
        <v>46050</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16683-2025</t>
        </is>
      </c>
      <c r="B1054" s="1" t="n">
        <v>45754.45234953704</v>
      </c>
      <c r="C1054" s="1" t="n">
        <v>46050</v>
      </c>
      <c r="D1054" t="inlineStr">
        <is>
          <t>KALMAR LÄN</t>
        </is>
      </c>
      <c r="E1054" t="inlineStr">
        <is>
          <t>VÄSTERVIK</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16686-2025</t>
        </is>
      </c>
      <c r="B1055" s="1" t="n">
        <v>45754.45355324074</v>
      </c>
      <c r="C1055" s="1" t="n">
        <v>46050</v>
      </c>
      <c r="D1055" t="inlineStr">
        <is>
          <t>KALMAR LÄN</t>
        </is>
      </c>
      <c r="E1055" t="inlineStr">
        <is>
          <t>VÄSTERVIK</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46130-2023</t>
        </is>
      </c>
      <c r="B1056" s="1" t="n">
        <v>45196.55849537037</v>
      </c>
      <c r="C1056" s="1" t="n">
        <v>46050</v>
      </c>
      <c r="D1056" t="inlineStr">
        <is>
          <t>KALMAR LÄN</t>
        </is>
      </c>
      <c r="E1056" t="inlineStr">
        <is>
          <t>VÄSTERVIK</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56033-2023</t>
        </is>
      </c>
      <c r="B1057" s="1" t="n">
        <v>45240.43778935185</v>
      </c>
      <c r="C1057" s="1" t="n">
        <v>46050</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8594-2023</t>
        </is>
      </c>
      <c r="B1058" s="1" t="n">
        <v>44977</v>
      </c>
      <c r="C1058" s="1" t="n">
        <v>46050</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60056-2023</t>
        </is>
      </c>
      <c r="B1059" s="1" t="n">
        <v>45258</v>
      </c>
      <c r="C1059" s="1" t="n">
        <v>46050</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59196-2024</t>
        </is>
      </c>
      <c r="B1060" s="1" t="n">
        <v>45637.54589120371</v>
      </c>
      <c r="C1060" s="1" t="n">
        <v>46050</v>
      </c>
      <c r="D1060" t="inlineStr">
        <is>
          <t>KALMAR LÄN</t>
        </is>
      </c>
      <c r="E1060" t="inlineStr">
        <is>
          <t>VÄSTERVIK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944-2024</t>
        </is>
      </c>
      <c r="B1061" s="1" t="n">
        <v>45301.54230324074</v>
      </c>
      <c r="C1061" s="1" t="n">
        <v>46050</v>
      </c>
      <c r="D1061" t="inlineStr">
        <is>
          <t>KALMAR LÄN</t>
        </is>
      </c>
      <c r="E1061" t="inlineStr">
        <is>
          <t>VÄSTERVIK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946-2024</t>
        </is>
      </c>
      <c r="B1062" s="1" t="n">
        <v>45301.54412037037</v>
      </c>
      <c r="C1062" s="1" t="n">
        <v>46050</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5982-2023</t>
        </is>
      </c>
      <c r="B1063" s="1" t="n">
        <v>44964.35730324074</v>
      </c>
      <c r="C1063" s="1" t="n">
        <v>46050</v>
      </c>
      <c r="D1063" t="inlineStr">
        <is>
          <t>KALMAR LÄN</t>
        </is>
      </c>
      <c r="E1063" t="inlineStr">
        <is>
          <t>VÄSTERVIK</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39980-2024</t>
        </is>
      </c>
      <c r="B1064" s="1" t="n">
        <v>45553.61098379629</v>
      </c>
      <c r="C1064" s="1" t="n">
        <v>46050</v>
      </c>
      <c r="D1064" t="inlineStr">
        <is>
          <t>KALMAR LÄN</t>
        </is>
      </c>
      <c r="E1064" t="inlineStr">
        <is>
          <t>VÄSTERVIK</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3467-2025</t>
        </is>
      </c>
      <c r="B1065" s="1" t="n">
        <v>45680.50885416667</v>
      </c>
      <c r="C1065" s="1" t="n">
        <v>46050</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3776-2024</t>
        </is>
      </c>
      <c r="B1066" s="1" t="n">
        <v>45321.58569444445</v>
      </c>
      <c r="C1066" s="1" t="n">
        <v>46050</v>
      </c>
      <c r="D1066" t="inlineStr">
        <is>
          <t>KALMAR LÄN</t>
        </is>
      </c>
      <c r="E1066" t="inlineStr">
        <is>
          <t>VÄSTERVIK</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3828-2024</t>
        </is>
      </c>
      <c r="B1067" s="1" t="n">
        <v>45321</v>
      </c>
      <c r="C1067" s="1" t="n">
        <v>46050</v>
      </c>
      <c r="D1067" t="inlineStr">
        <is>
          <t>KALMAR LÄN</t>
        </is>
      </c>
      <c r="E1067" t="inlineStr">
        <is>
          <t>VÄSTERVIK</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13837-2024</t>
        </is>
      </c>
      <c r="B1068" s="1" t="n">
        <v>45391.4450462963</v>
      </c>
      <c r="C1068" s="1" t="n">
        <v>46050</v>
      </c>
      <c r="D1068" t="inlineStr">
        <is>
          <t>KALMAR LÄN</t>
        </is>
      </c>
      <c r="E1068" t="inlineStr">
        <is>
          <t>VÄSTERVIK</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13839-2024</t>
        </is>
      </c>
      <c r="B1069" s="1" t="n">
        <v>45391.44789351852</v>
      </c>
      <c r="C1069" s="1" t="n">
        <v>46050</v>
      </c>
      <c r="D1069" t="inlineStr">
        <is>
          <t>KALMAR LÄN</t>
        </is>
      </c>
      <c r="E1069" t="inlineStr">
        <is>
          <t>VÄSTERVIK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13843-2024</t>
        </is>
      </c>
      <c r="B1070" s="1" t="n">
        <v>45391.45087962963</v>
      </c>
      <c r="C1070" s="1" t="n">
        <v>46050</v>
      </c>
      <c r="D1070" t="inlineStr">
        <is>
          <t>KALMAR LÄN</t>
        </is>
      </c>
      <c r="E1070" t="inlineStr">
        <is>
          <t>VÄSTERVIK</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25714-2023</t>
        </is>
      </c>
      <c r="B1071" s="1" t="n">
        <v>45089</v>
      </c>
      <c r="C1071" s="1" t="n">
        <v>46050</v>
      </c>
      <c r="D1071" t="inlineStr">
        <is>
          <t>KALMAR LÄN</t>
        </is>
      </c>
      <c r="E1071" t="inlineStr">
        <is>
          <t>VÄSTERVIK</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52035-2023</t>
        </is>
      </c>
      <c r="B1072" s="1" t="n">
        <v>45216</v>
      </c>
      <c r="C1072" s="1" t="n">
        <v>46050</v>
      </c>
      <c r="D1072" t="inlineStr">
        <is>
          <t>KALMAR LÄN</t>
        </is>
      </c>
      <c r="E1072" t="inlineStr">
        <is>
          <t>VÄSTERVIK</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49708-2024</t>
        </is>
      </c>
      <c r="B1073" s="1" t="n">
        <v>45596.69846064815</v>
      </c>
      <c r="C1073" s="1" t="n">
        <v>46050</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10803-2025</t>
        </is>
      </c>
      <c r="B1074" s="1" t="n">
        <v>45722.52284722222</v>
      </c>
      <c r="C1074" s="1" t="n">
        <v>46050</v>
      </c>
      <c r="D1074" t="inlineStr">
        <is>
          <t>KALMAR LÄN</t>
        </is>
      </c>
      <c r="E1074" t="inlineStr">
        <is>
          <t>VÄSTERVIK</t>
        </is>
      </c>
      <c r="F1074" t="inlineStr">
        <is>
          <t>Övriga Aktiebolag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54569-2023</t>
        </is>
      </c>
      <c r="B1075" s="1" t="n">
        <v>45233.65532407408</v>
      </c>
      <c r="C1075" s="1" t="n">
        <v>46050</v>
      </c>
      <c r="D1075" t="inlineStr">
        <is>
          <t>KALMAR LÄN</t>
        </is>
      </c>
      <c r="E1075" t="inlineStr">
        <is>
          <t>VÄSTERVIK</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12435-2024</t>
        </is>
      </c>
      <c r="B1076" s="1" t="n">
        <v>45379.4459375</v>
      </c>
      <c r="C1076" s="1" t="n">
        <v>46050</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14529-2022</t>
        </is>
      </c>
      <c r="B1077" s="1" t="n">
        <v>44655</v>
      </c>
      <c r="C1077" s="1" t="n">
        <v>46050</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9792-2023</t>
        </is>
      </c>
      <c r="B1078" s="1" t="n">
        <v>44984.64269675926</v>
      </c>
      <c r="C1078" s="1" t="n">
        <v>46050</v>
      </c>
      <c r="D1078" t="inlineStr">
        <is>
          <t>KALMAR LÄN</t>
        </is>
      </c>
      <c r="E1078" t="inlineStr">
        <is>
          <t>VÄSTERVIK</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37033-2021</t>
        </is>
      </c>
      <c r="B1079" s="1" t="n">
        <v>44393</v>
      </c>
      <c r="C1079" s="1" t="n">
        <v>46050</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21831-2023</t>
        </is>
      </c>
      <c r="B1080" s="1" t="n">
        <v>45068</v>
      </c>
      <c r="C1080" s="1" t="n">
        <v>46050</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10419-2023</t>
        </is>
      </c>
      <c r="B1081" s="1" t="n">
        <v>44987</v>
      </c>
      <c r="C1081" s="1" t="n">
        <v>46050</v>
      </c>
      <c r="D1081" t="inlineStr">
        <is>
          <t>KALMAR LÄN</t>
        </is>
      </c>
      <c r="E1081" t="inlineStr">
        <is>
          <t>VÄSTERVIK</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46560-2022</t>
        </is>
      </c>
      <c r="B1082" s="1" t="n">
        <v>44848</v>
      </c>
      <c r="C1082" s="1" t="n">
        <v>46050</v>
      </c>
      <c r="D1082" t="inlineStr">
        <is>
          <t>KALMAR LÄN</t>
        </is>
      </c>
      <c r="E1082" t="inlineStr">
        <is>
          <t>VÄSTERVIK</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170-2022</t>
        </is>
      </c>
      <c r="B1083" s="1" t="n">
        <v>44564.62540509259</v>
      </c>
      <c r="C1083" s="1" t="n">
        <v>46050</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174-2022</t>
        </is>
      </c>
      <c r="B1084" s="1" t="n">
        <v>44564.62763888889</v>
      </c>
      <c r="C1084" s="1" t="n">
        <v>46050</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31318-2021</t>
        </is>
      </c>
      <c r="B1085" s="1" t="n">
        <v>44368</v>
      </c>
      <c r="C1085" s="1" t="n">
        <v>46050</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14685-2025</t>
        </is>
      </c>
      <c r="B1086" s="1" t="n">
        <v>45742.57653935185</v>
      </c>
      <c r="C1086" s="1" t="n">
        <v>46050</v>
      </c>
      <c r="D1086" t="inlineStr">
        <is>
          <t>KALMAR LÄN</t>
        </is>
      </c>
      <c r="E1086" t="inlineStr">
        <is>
          <t>VÄSTERVIK</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19333-2023</t>
        </is>
      </c>
      <c r="B1087" s="1" t="n">
        <v>45049.566875</v>
      </c>
      <c r="C1087" s="1" t="n">
        <v>46050</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32388-2024</t>
        </is>
      </c>
      <c r="B1088" s="1" t="n">
        <v>45512.63465277778</v>
      </c>
      <c r="C1088" s="1" t="n">
        <v>46050</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32389-2024</t>
        </is>
      </c>
      <c r="B1089" s="1" t="n">
        <v>45512.63642361111</v>
      </c>
      <c r="C1089" s="1" t="n">
        <v>46050</v>
      </c>
      <c r="D1089" t="inlineStr">
        <is>
          <t>KALMAR LÄN</t>
        </is>
      </c>
      <c r="E1089" t="inlineStr">
        <is>
          <t>VÄSTERVIK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45035.54475694444</v>
      </c>
      <c r="C1090" s="1" t="n">
        <v>46050</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9110-2023</t>
        </is>
      </c>
      <c r="B1091" s="1" t="n">
        <v>44979</v>
      </c>
      <c r="C1091" s="1" t="n">
        <v>46050</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9112-2023</t>
        </is>
      </c>
      <c r="B1092" s="1" t="n">
        <v>44979</v>
      </c>
      <c r="C1092" s="1" t="n">
        <v>46050</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15021-2025</t>
        </is>
      </c>
      <c r="B1093" s="1" t="n">
        <v>45743.64482638889</v>
      </c>
      <c r="C1093" s="1" t="n">
        <v>46050</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52049-2023</t>
        </is>
      </c>
      <c r="B1094" s="1" t="n">
        <v>45216</v>
      </c>
      <c r="C1094" s="1" t="n">
        <v>46050</v>
      </c>
      <c r="D1094" t="inlineStr">
        <is>
          <t>KALMAR LÄN</t>
        </is>
      </c>
      <c r="E1094" t="inlineStr">
        <is>
          <t>VÄSTERVIK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34646-2023</t>
        </is>
      </c>
      <c r="B1095" s="1" t="n">
        <v>45140</v>
      </c>
      <c r="C1095" s="1" t="n">
        <v>46050</v>
      </c>
      <c r="D1095" t="inlineStr">
        <is>
          <t>KALMAR LÄN</t>
        </is>
      </c>
      <c r="E1095" t="inlineStr">
        <is>
          <t>VÄSTERVIK</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14212-2022</t>
        </is>
      </c>
      <c r="B1096" s="1" t="n">
        <v>44651</v>
      </c>
      <c r="C1096" s="1" t="n">
        <v>46050</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21752-2024</t>
        </is>
      </c>
      <c r="B1097" s="1" t="n">
        <v>45442.58048611111</v>
      </c>
      <c r="C1097" s="1" t="n">
        <v>46050</v>
      </c>
      <c r="D1097" t="inlineStr">
        <is>
          <t>KALMAR LÄN</t>
        </is>
      </c>
      <c r="E1097" t="inlineStr">
        <is>
          <t>VÄSTERVIK</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33204-2022</t>
        </is>
      </c>
      <c r="B1098" s="1" t="n">
        <v>44785</v>
      </c>
      <c r="C1098" s="1" t="n">
        <v>46050</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9263-2025</t>
        </is>
      </c>
      <c r="B1099" s="1" t="n">
        <v>45714.60927083333</v>
      </c>
      <c r="C1099" s="1" t="n">
        <v>46050</v>
      </c>
      <c r="D1099" t="inlineStr">
        <is>
          <t>KALMAR LÄN</t>
        </is>
      </c>
      <c r="E1099" t="inlineStr">
        <is>
          <t>VÄSTERVIK</t>
        </is>
      </c>
      <c r="F1099" t="inlineStr">
        <is>
          <t>Sveaskog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33210-2022</t>
        </is>
      </c>
      <c r="B1100" s="1" t="n">
        <v>44785.74811342593</v>
      </c>
      <c r="C1100" s="1" t="n">
        <v>46050</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352-2023</t>
        </is>
      </c>
      <c r="B1101" s="1" t="n">
        <v>44929.51619212963</v>
      </c>
      <c r="C1101" s="1" t="n">
        <v>46050</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25238-2021</t>
        </is>
      </c>
      <c r="B1102" s="1" t="n">
        <v>44342</v>
      </c>
      <c r="C1102" s="1" t="n">
        <v>46050</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63812-2021</t>
        </is>
      </c>
      <c r="B1103" s="1" t="n">
        <v>44509.56346064815</v>
      </c>
      <c r="C1103" s="1" t="n">
        <v>46050</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10771-2025</t>
        </is>
      </c>
      <c r="B1104" s="1" t="n">
        <v>45722.46953703704</v>
      </c>
      <c r="C1104" s="1" t="n">
        <v>46050</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14072-2025</t>
        </is>
      </c>
      <c r="B1105" s="1" t="n">
        <v>45740.42978009259</v>
      </c>
      <c r="C1105" s="1" t="n">
        <v>46050</v>
      </c>
      <c r="D1105" t="inlineStr">
        <is>
          <t>KALMAR LÄN</t>
        </is>
      </c>
      <c r="E1105" t="inlineStr">
        <is>
          <t>VÄSTERVIK</t>
        </is>
      </c>
      <c r="F1105" t="inlineStr">
        <is>
          <t>Sveaskog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14075-2025</t>
        </is>
      </c>
      <c r="B1106" s="1" t="n">
        <v>45740.43222222223</v>
      </c>
      <c r="C1106" s="1" t="n">
        <v>46050</v>
      </c>
      <c r="D1106" t="inlineStr">
        <is>
          <t>KALMAR LÄN</t>
        </is>
      </c>
      <c r="E1106" t="inlineStr">
        <is>
          <t>VÄSTERVIK</t>
        </is>
      </c>
      <c r="F1106" t="inlineStr">
        <is>
          <t>Sveaskog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15097-2023</t>
        </is>
      </c>
      <c r="B1107" s="1" t="n">
        <v>45016</v>
      </c>
      <c r="C1107" s="1" t="n">
        <v>46050</v>
      </c>
      <c r="D1107" t="inlineStr">
        <is>
          <t>KALMAR LÄN</t>
        </is>
      </c>
      <c r="E1107" t="inlineStr">
        <is>
          <t>VÄSTERVIK</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56077-2024</t>
        </is>
      </c>
      <c r="B1108" s="1" t="n">
        <v>45624.38690972222</v>
      </c>
      <c r="C1108" s="1" t="n">
        <v>46050</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29952-2022</t>
        </is>
      </c>
      <c r="B1109" s="1" t="n">
        <v>44756.62649305556</v>
      </c>
      <c r="C1109" s="1" t="n">
        <v>46050</v>
      </c>
      <c r="D1109" t="inlineStr">
        <is>
          <t>KALMAR LÄN</t>
        </is>
      </c>
      <c r="E1109" t="inlineStr">
        <is>
          <t>VÄSTERVIK</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22740-2024</t>
        </is>
      </c>
      <c r="B1110" s="1" t="n">
        <v>45448.39869212963</v>
      </c>
      <c r="C1110" s="1" t="n">
        <v>46050</v>
      </c>
      <c r="D1110" t="inlineStr">
        <is>
          <t>KALMAR LÄN</t>
        </is>
      </c>
      <c r="E1110" t="inlineStr">
        <is>
          <t>VÄSTERVIK</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1874-2025</t>
        </is>
      </c>
      <c r="B1111" s="1" t="n">
        <v>45671.61953703704</v>
      </c>
      <c r="C1111" s="1" t="n">
        <v>46050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4463-2022</t>
        </is>
      </c>
      <c r="B1112" s="1" t="n">
        <v>44589</v>
      </c>
      <c r="C1112" s="1" t="n">
        <v>46050</v>
      </c>
      <c r="D1112" t="inlineStr">
        <is>
          <t>KALMAR LÄN</t>
        </is>
      </c>
      <c r="E1112" t="inlineStr">
        <is>
          <t>VÄSTERVIK</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46790-2022</t>
        </is>
      </c>
      <c r="B1113" s="1" t="n">
        <v>44851</v>
      </c>
      <c r="C1113" s="1" t="n">
        <v>46050</v>
      </c>
      <c r="D1113" t="inlineStr">
        <is>
          <t>KALMAR LÄN</t>
        </is>
      </c>
      <c r="E1113" t="inlineStr">
        <is>
          <t>VÄSTERVIK</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32764-2022</t>
        </is>
      </c>
      <c r="B1114" s="1" t="n">
        <v>44783</v>
      </c>
      <c r="C1114" s="1" t="n">
        <v>46050</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55828-2022</t>
        </is>
      </c>
      <c r="B1115" s="1" t="n">
        <v>44888</v>
      </c>
      <c r="C1115" s="1" t="n">
        <v>46050</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43759-2023</t>
        </is>
      </c>
      <c r="B1116" s="1" t="n">
        <v>45187</v>
      </c>
      <c r="C1116" s="1" t="n">
        <v>46050</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28588-2022</t>
        </is>
      </c>
      <c r="B1117" s="1" t="n">
        <v>44748</v>
      </c>
      <c r="C1117" s="1" t="n">
        <v>46050</v>
      </c>
      <c r="D1117" t="inlineStr">
        <is>
          <t>KALMAR LÄN</t>
        </is>
      </c>
      <c r="E1117" t="inlineStr">
        <is>
          <t>VÄSTERVIK</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64920-2021</t>
        </is>
      </c>
      <c r="B1118" s="1" t="n">
        <v>44512</v>
      </c>
      <c r="C1118" s="1" t="n">
        <v>46050</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c r="U1118">
        <f>HYPERLINK("https://klasma.github.io/Logging_0883/knärot/A 64920-2021 karta knärot.png", "A 64920-2021")</f>
        <v/>
      </c>
      <c r="V1118">
        <f>HYPERLINK("https://klasma.github.io/Logging_0883/klagomål/A 64920-2021 FSC-klagomål.docx", "A 64920-2021")</f>
        <v/>
      </c>
      <c r="W1118">
        <f>HYPERLINK("https://klasma.github.io/Logging_0883/klagomålsmail/A 64920-2021 FSC-klagomål mail.docx", "A 64920-2021")</f>
        <v/>
      </c>
      <c r="X1118">
        <f>HYPERLINK("https://klasma.github.io/Logging_0883/tillsyn/A 64920-2021 tillsynsbegäran.docx", "A 64920-2021")</f>
        <v/>
      </c>
      <c r="Y1118">
        <f>HYPERLINK("https://klasma.github.io/Logging_0883/tillsynsmail/A 64920-2021 tillsynsbegäran mail.docx", "A 64920-2021")</f>
        <v/>
      </c>
    </row>
    <row r="1119" ht="15" customHeight="1">
      <c r="A1119" t="inlineStr">
        <is>
          <t>A 29420-2024</t>
        </is>
      </c>
      <c r="B1119" s="1" t="n">
        <v>45483</v>
      </c>
      <c r="C1119" s="1" t="n">
        <v>46050</v>
      </c>
      <c r="D1119" t="inlineStr">
        <is>
          <t>KALMAR LÄN</t>
        </is>
      </c>
      <c r="E1119" t="inlineStr">
        <is>
          <t>VÄSTERVIK</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52774-2024</t>
        </is>
      </c>
      <c r="B1120" s="1" t="n">
        <v>45610.53413194444</v>
      </c>
      <c r="C1120" s="1" t="n">
        <v>46050</v>
      </c>
      <c r="D1120" t="inlineStr">
        <is>
          <t>KALMAR LÄN</t>
        </is>
      </c>
      <c r="E1120" t="inlineStr">
        <is>
          <t>VÄSTERVIK</t>
        </is>
      </c>
      <c r="F1120" t="inlineStr">
        <is>
          <t>Holmen skog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11120-2025</t>
        </is>
      </c>
      <c r="B1121" s="1" t="n">
        <v>45723.63655092593</v>
      </c>
      <c r="C1121" s="1" t="n">
        <v>46050</v>
      </c>
      <c r="D1121" t="inlineStr">
        <is>
          <t>KALMAR LÄN</t>
        </is>
      </c>
      <c r="E1121" t="inlineStr">
        <is>
          <t>VÄSTERVIK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11122-2025</t>
        </is>
      </c>
      <c r="B1122" s="1" t="n">
        <v>45723.63827546296</v>
      </c>
      <c r="C1122" s="1" t="n">
        <v>46050</v>
      </c>
      <c r="D1122" t="inlineStr">
        <is>
          <t>KALMAR LÄN</t>
        </is>
      </c>
      <c r="E1122" t="inlineStr">
        <is>
          <t>VÄSTERVIK</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6042-2023</t>
        </is>
      </c>
      <c r="B1123" s="1" t="n">
        <v>44964</v>
      </c>
      <c r="C1123" s="1" t="n">
        <v>46050</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36643-2023</t>
        </is>
      </c>
      <c r="B1124" s="1" t="n">
        <v>45153</v>
      </c>
      <c r="C1124" s="1" t="n">
        <v>46050</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16586-2022</t>
        </is>
      </c>
      <c r="B1125" s="1" t="n">
        <v>44672.47105324074</v>
      </c>
      <c r="C1125" s="1" t="n">
        <v>46050</v>
      </c>
      <c r="D1125" t="inlineStr">
        <is>
          <t>KALMAR LÄN</t>
        </is>
      </c>
      <c r="E1125" t="inlineStr">
        <is>
          <t>VÄSTERVIK</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23580-2023</t>
        </is>
      </c>
      <c r="B1126" s="1" t="n">
        <v>45077</v>
      </c>
      <c r="C1126" s="1" t="n">
        <v>46050</v>
      </c>
      <c r="D1126" t="inlineStr">
        <is>
          <t>KALMAR LÄN</t>
        </is>
      </c>
      <c r="E1126" t="inlineStr">
        <is>
          <t>VÄSTERVIK</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1568-2024</t>
        </is>
      </c>
      <c r="B1127" s="1" t="n">
        <v>45306.53221064815</v>
      </c>
      <c r="C1127" s="1" t="n">
        <v>46050</v>
      </c>
      <c r="D1127" t="inlineStr">
        <is>
          <t>KALMAR LÄN</t>
        </is>
      </c>
      <c r="E1127" t="inlineStr">
        <is>
          <t>VÄSTERVIK</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1572-2024</t>
        </is>
      </c>
      <c r="B1128" s="1" t="n">
        <v>45306</v>
      </c>
      <c r="C1128" s="1" t="n">
        <v>46050</v>
      </c>
      <c r="D1128" t="inlineStr">
        <is>
          <t>KALMAR LÄN</t>
        </is>
      </c>
      <c r="E1128" t="inlineStr">
        <is>
          <t>VÄSTERVIK</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11183-2024</t>
        </is>
      </c>
      <c r="B1129" s="1" t="n">
        <v>45371.53141203704</v>
      </c>
      <c r="C1129" s="1" t="n">
        <v>46050</v>
      </c>
      <c r="D1129" t="inlineStr">
        <is>
          <t>KALMAR LÄN</t>
        </is>
      </c>
      <c r="E1129" t="inlineStr">
        <is>
          <t>VÄSTERVIK</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3185-2023</t>
        </is>
      </c>
      <c r="B1130" s="1" t="n">
        <v>44946.60753472222</v>
      </c>
      <c r="C1130" s="1" t="n">
        <v>46050</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36555-2024</t>
        </is>
      </c>
      <c r="B1131" s="1" t="n">
        <v>45537</v>
      </c>
      <c r="C1131" s="1" t="n">
        <v>46050</v>
      </c>
      <c r="D1131" t="inlineStr">
        <is>
          <t>KALMAR LÄN</t>
        </is>
      </c>
      <c r="E1131" t="inlineStr">
        <is>
          <t>VÄSTERVIK</t>
        </is>
      </c>
      <c r="F1131" t="inlineStr">
        <is>
          <t>Kommuner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32394-2021</t>
        </is>
      </c>
      <c r="B1132" s="1" t="n">
        <v>44371.63414351852</v>
      </c>
      <c r="C1132" s="1" t="n">
        <v>46050</v>
      </c>
      <c r="D1132" t="inlineStr">
        <is>
          <t>KALMAR LÄN</t>
        </is>
      </c>
      <c r="E1132" t="inlineStr">
        <is>
          <t>VÄSTERVIK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942-2024</t>
        </is>
      </c>
      <c r="B1133" s="1" t="n">
        <v>45301.53930555555</v>
      </c>
      <c r="C1133" s="1" t="n">
        <v>46050</v>
      </c>
      <c r="D1133" t="inlineStr">
        <is>
          <t>KALMAR LÄN</t>
        </is>
      </c>
      <c r="E1133" t="inlineStr">
        <is>
          <t>VÄSTERVIK</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43828-2021</t>
        </is>
      </c>
      <c r="B1134" s="1" t="n">
        <v>44433</v>
      </c>
      <c r="C1134" s="1" t="n">
        <v>46050</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17650-2023</t>
        </is>
      </c>
      <c r="B1135" s="1" t="n">
        <v>45036.70215277778</v>
      </c>
      <c r="C1135" s="1" t="n">
        <v>46050</v>
      </c>
      <c r="D1135" t="inlineStr">
        <is>
          <t>KALMAR LÄN</t>
        </is>
      </c>
      <c r="E1135" t="inlineStr">
        <is>
          <t>VÄSTERVIK</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59210-2022</t>
        </is>
      </c>
      <c r="B1136" s="1" t="n">
        <v>44904.51767361111</v>
      </c>
      <c r="C1136" s="1" t="n">
        <v>46050</v>
      </c>
      <c r="D1136" t="inlineStr">
        <is>
          <t>KALMAR LÄN</t>
        </is>
      </c>
      <c r="E1136" t="inlineStr">
        <is>
          <t>VÄSTERVIK</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59220-2022</t>
        </is>
      </c>
      <c r="B1137" s="1" t="n">
        <v>44904.53423611111</v>
      </c>
      <c r="C1137" s="1" t="n">
        <v>46050</v>
      </c>
      <c r="D1137" t="inlineStr">
        <is>
          <t>KALMAR LÄN</t>
        </is>
      </c>
      <c r="E1137" t="inlineStr">
        <is>
          <t>VÄSTERVIK</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45450-2023</t>
        </is>
      </c>
      <c r="B1138" s="1" t="n">
        <v>45194</v>
      </c>
      <c r="C1138" s="1" t="n">
        <v>46050</v>
      </c>
      <c r="D1138" t="inlineStr">
        <is>
          <t>KALMAR LÄN</t>
        </is>
      </c>
      <c r="E1138" t="inlineStr">
        <is>
          <t>VÄSTERVIK</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45474-2023</t>
        </is>
      </c>
      <c r="B1139" s="1" t="n">
        <v>45194</v>
      </c>
      <c r="C1139" s="1" t="n">
        <v>46050</v>
      </c>
      <c r="D1139" t="inlineStr">
        <is>
          <t>KALMAR LÄN</t>
        </is>
      </c>
      <c r="E1139" t="inlineStr">
        <is>
          <t>VÄSTERVIK</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21015-2025</t>
        </is>
      </c>
      <c r="B1140" s="1" t="n">
        <v>45777.50200231482</v>
      </c>
      <c r="C1140" s="1" t="n">
        <v>46050</v>
      </c>
      <c r="D1140" t="inlineStr">
        <is>
          <t>KALMAR LÄN</t>
        </is>
      </c>
      <c r="E1140" t="inlineStr">
        <is>
          <t>VÄSTERVIK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39278-2024</t>
        </is>
      </c>
      <c r="B1141" s="1" t="n">
        <v>45551.35216435185</v>
      </c>
      <c r="C1141" s="1" t="n">
        <v>46050</v>
      </c>
      <c r="D1141" t="inlineStr">
        <is>
          <t>KALMAR LÄN</t>
        </is>
      </c>
      <c r="E1141" t="inlineStr">
        <is>
          <t>VÄSTERVIK</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21503-2025</t>
        </is>
      </c>
      <c r="B1142" s="1" t="n">
        <v>45782.61456018518</v>
      </c>
      <c r="C1142" s="1" t="n">
        <v>46050</v>
      </c>
      <c r="D1142" t="inlineStr">
        <is>
          <t>KALMAR LÄN</t>
        </is>
      </c>
      <c r="E1142" t="inlineStr">
        <is>
          <t>VÄSTERVIK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21657-2025</t>
        </is>
      </c>
      <c r="B1143" s="1" t="n">
        <v>45783.45325231482</v>
      </c>
      <c r="C1143" s="1" t="n">
        <v>46050</v>
      </c>
      <c r="D1143" t="inlineStr">
        <is>
          <t>KALMAR LÄN</t>
        </is>
      </c>
      <c r="E1143" t="inlineStr">
        <is>
          <t>VÄSTERVIK</t>
        </is>
      </c>
      <c r="F1143" t="inlineStr">
        <is>
          <t>Sveaskog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21991-2025</t>
        </is>
      </c>
      <c r="B1144" s="1" t="n">
        <v>45784.6615625</v>
      </c>
      <c r="C1144" s="1" t="n">
        <v>46050</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28037-2024</t>
        </is>
      </c>
      <c r="B1145" s="1" t="n">
        <v>45476</v>
      </c>
      <c r="C1145" s="1" t="n">
        <v>46050</v>
      </c>
      <c r="D1145" t="inlineStr">
        <is>
          <t>KALMAR LÄN</t>
        </is>
      </c>
      <c r="E1145" t="inlineStr">
        <is>
          <t>VÄSTERVIK</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51496-2024</t>
        </is>
      </c>
      <c r="B1146" s="1" t="n">
        <v>45604.54060185186</v>
      </c>
      <c r="C1146" s="1" t="n">
        <v>46050</v>
      </c>
      <c r="D1146" t="inlineStr">
        <is>
          <t>KALMAR LÄN</t>
        </is>
      </c>
      <c r="E1146" t="inlineStr">
        <is>
          <t>VÄSTERVIK</t>
        </is>
      </c>
      <c r="F1146" t="inlineStr">
        <is>
          <t>Övriga Aktiebolag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6406-2024</t>
        </is>
      </c>
      <c r="B1147" s="1" t="n">
        <v>45338</v>
      </c>
      <c r="C1147" s="1" t="n">
        <v>46050</v>
      </c>
      <c r="D1147" t="inlineStr">
        <is>
          <t>KALMAR LÄN</t>
        </is>
      </c>
      <c r="E1147" t="inlineStr">
        <is>
          <t>VÄSTERVIK</t>
        </is>
      </c>
      <c r="G1147" t="n">
        <v>5.5</v>
      </c>
      <c r="H1147" t="n">
        <v>0</v>
      </c>
      <c r="I1147" t="n">
        <v>0</v>
      </c>
      <c r="J1147" t="n">
        <v>0</v>
      </c>
      <c r="K1147" t="n">
        <v>0</v>
      </c>
      <c r="L1147" t="n">
        <v>0</v>
      </c>
      <c r="M1147" t="n">
        <v>0</v>
      </c>
      <c r="N1147" t="n">
        <v>0</v>
      </c>
      <c r="O1147" t="n">
        <v>0</v>
      </c>
      <c r="P1147" t="n">
        <v>0</v>
      </c>
      <c r="Q1147" t="n">
        <v>0</v>
      </c>
      <c r="R1147" s="2" t="inlineStr"/>
      <c r="U1147">
        <f>HYPERLINK("https://klasma.github.io/Logging_0883/knärot/A 6406-2024 karta knärot.png", "A 6406-2024")</f>
        <v/>
      </c>
      <c r="V1147">
        <f>HYPERLINK("https://klasma.github.io/Logging_0883/klagomål/A 6406-2024 FSC-klagomål.docx", "A 6406-2024")</f>
        <v/>
      </c>
      <c r="W1147">
        <f>HYPERLINK("https://klasma.github.io/Logging_0883/klagomålsmail/A 6406-2024 FSC-klagomål mail.docx", "A 6406-2024")</f>
        <v/>
      </c>
      <c r="X1147">
        <f>HYPERLINK("https://klasma.github.io/Logging_0883/tillsyn/A 6406-2024 tillsynsbegäran.docx", "A 6406-2024")</f>
        <v/>
      </c>
      <c r="Y1147">
        <f>HYPERLINK("https://klasma.github.io/Logging_0883/tillsynsmail/A 6406-2024 tillsynsbegäran mail.docx", "A 6406-2024")</f>
        <v/>
      </c>
    </row>
    <row r="1148" ht="15" customHeight="1">
      <c r="A1148" t="inlineStr">
        <is>
          <t>A 6731-2024</t>
        </is>
      </c>
      <c r="B1148" s="1" t="n">
        <v>45342.38787037037</v>
      </c>
      <c r="C1148" s="1" t="n">
        <v>46050</v>
      </c>
      <c r="D1148" t="inlineStr">
        <is>
          <t>KALMAR LÄN</t>
        </is>
      </c>
      <c r="E1148" t="inlineStr">
        <is>
          <t>VÄSTERVIK</t>
        </is>
      </c>
      <c r="F1148" t="inlineStr">
        <is>
          <t>Holmen skog AB</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56377-2024</t>
        </is>
      </c>
      <c r="B1149" s="1" t="n">
        <v>45625.33342592593</v>
      </c>
      <c r="C1149" s="1" t="n">
        <v>46050</v>
      </c>
      <c r="D1149" t="inlineStr">
        <is>
          <t>KALMAR LÄN</t>
        </is>
      </c>
      <c r="E1149" t="inlineStr">
        <is>
          <t>VÄSTERVIK</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8402-2025</t>
        </is>
      </c>
      <c r="B1150" s="1" t="n">
        <v>45709.38065972222</v>
      </c>
      <c r="C1150" s="1" t="n">
        <v>46050</v>
      </c>
      <c r="D1150" t="inlineStr">
        <is>
          <t>KALMAR LÄN</t>
        </is>
      </c>
      <c r="E1150" t="inlineStr">
        <is>
          <t>VÄSTERVIK</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23042-2025</t>
        </is>
      </c>
      <c r="B1151" s="1" t="n">
        <v>45790.67273148148</v>
      </c>
      <c r="C1151" s="1" t="n">
        <v>46050</v>
      </c>
      <c r="D1151" t="inlineStr">
        <is>
          <t>KALMAR LÄN</t>
        </is>
      </c>
      <c r="E1151" t="inlineStr">
        <is>
          <t>VÄSTERVIK</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23745-2025</t>
        </is>
      </c>
      <c r="B1152" s="1" t="n">
        <v>45793.44484953704</v>
      </c>
      <c r="C1152" s="1" t="n">
        <v>46050</v>
      </c>
      <c r="D1152" t="inlineStr">
        <is>
          <t>KALMAR LÄN</t>
        </is>
      </c>
      <c r="E1152" t="inlineStr">
        <is>
          <t>VÄSTERVIK</t>
        </is>
      </c>
      <c r="F1152" t="inlineStr">
        <is>
          <t>Holmen skog AB</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23739-2025</t>
        </is>
      </c>
      <c r="B1153" s="1" t="n">
        <v>45793.42939814815</v>
      </c>
      <c r="C1153" s="1" t="n">
        <v>46050</v>
      </c>
      <c r="D1153" t="inlineStr">
        <is>
          <t>KALMAR LÄN</t>
        </is>
      </c>
      <c r="E1153" t="inlineStr">
        <is>
          <t>VÄSTERVIK</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23859-2025</t>
        </is>
      </c>
      <c r="B1154" s="1" t="n">
        <v>45793.65996527778</v>
      </c>
      <c r="C1154" s="1" t="n">
        <v>46050</v>
      </c>
      <c r="D1154" t="inlineStr">
        <is>
          <t>KALMAR LÄN</t>
        </is>
      </c>
      <c r="E1154" t="inlineStr">
        <is>
          <t>VÄSTERVIK</t>
        </is>
      </c>
      <c r="F1154" t="inlineStr">
        <is>
          <t>Holmen skog AB</t>
        </is>
      </c>
      <c r="G1154" t="n">
        <v>17.7</v>
      </c>
      <c r="H1154" t="n">
        <v>0</v>
      </c>
      <c r="I1154" t="n">
        <v>0</v>
      </c>
      <c r="J1154" t="n">
        <v>0</v>
      </c>
      <c r="K1154" t="n">
        <v>0</v>
      </c>
      <c r="L1154" t="n">
        <v>0</v>
      </c>
      <c r="M1154" t="n">
        <v>0</v>
      </c>
      <c r="N1154" t="n">
        <v>0</v>
      </c>
      <c r="O1154" t="n">
        <v>0</v>
      </c>
      <c r="P1154" t="n">
        <v>0</v>
      </c>
      <c r="Q1154" t="n">
        <v>0</v>
      </c>
      <c r="R1154" s="2" t="inlineStr"/>
    </row>
    <row r="1155">
      <c r="A1155" t="inlineStr">
        <is>
          <t>A 23022-2025</t>
        </is>
      </c>
      <c r="B1155" s="1" t="n">
        <v>45790.65489583334</v>
      </c>
      <c r="C1155" s="1" t="n">
        <v>46050</v>
      </c>
      <c r="D1155" t="inlineStr">
        <is>
          <t>KALMAR LÄN</t>
        </is>
      </c>
      <c r="E1155" t="inlineStr">
        <is>
          <t>VÄSTERVIK</t>
        </is>
      </c>
      <c r="G1155" t="n">
        <v>3.3</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2026-01-28T10:58:03Z</dcterms:created>
  <dcterms:modified xmlns:dcterms="http://purl.org/dc/terms/" xmlns:xsi="http://www.w3.org/2001/XMLSchema-instance" xsi:type="dcterms:W3CDTF">2026-01-28T10:58:04Z</dcterms:modified>
</cp:coreProperties>
</file>