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45991</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45991</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45991</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45991</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45991</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45991</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45991</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45991</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45991</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45991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20094-2024</t>
        </is>
      </c>
      <c r="B16" s="1" t="n">
        <v>45434</v>
      </c>
      <c r="C16" s="1" t="n">
        <v>45991</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34414-2024</t>
        </is>
      </c>
      <c r="B17" s="1" t="n">
        <v>45525</v>
      </c>
      <c r="C17" s="1" t="n">
        <v>45991</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45991</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45991</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45991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45908.65443287037</v>
      </c>
      <c r="C21" s="1" t="n">
        <v>45991</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56162-2025</t>
        </is>
      </c>
      <c r="B22" s="1" t="n">
        <v>45974.37771990741</v>
      </c>
      <c r="C22" s="1" t="n">
        <v>45991</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51234-2025</t>
        </is>
      </c>
      <c r="B23" s="1" t="n">
        <v>45947.6834837963</v>
      </c>
      <c r="C23" s="1" t="n">
        <v>45991</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1773-2025</t>
        </is>
      </c>
      <c r="B24" s="1" t="n">
        <v>45671</v>
      </c>
      <c r="C24" s="1" t="n">
        <v>45991</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14121-2025</t>
        </is>
      </c>
      <c r="B25" s="1" t="n">
        <v>45740.46803240741</v>
      </c>
      <c r="C25" s="1" t="n">
        <v>45991</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34624-2022</t>
        </is>
      </c>
      <c r="B26" s="1" t="n">
        <v>44795</v>
      </c>
      <c r="C26" s="1" t="n">
        <v>45991</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24839-2025</t>
        </is>
      </c>
      <c r="B27" s="1" t="n">
        <v>45799.4640625</v>
      </c>
      <c r="C27" s="1" t="n">
        <v>45991</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45991</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45991</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45991</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45991</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45991</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34638-2025</t>
        </is>
      </c>
      <c r="B33" s="1" t="n">
        <v>45848.30584490741</v>
      </c>
      <c r="C33" s="1" t="n">
        <v>45991</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45991</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56370-2025</t>
        </is>
      </c>
      <c r="B35" s="1" t="n">
        <v>45974.67984953704</v>
      </c>
      <c r="C35" s="1" t="n">
        <v>45991</v>
      </c>
      <c r="D35" t="inlineStr">
        <is>
          <t>KALMAR LÄN</t>
        </is>
      </c>
      <c r="E35" t="inlineStr">
        <is>
          <t>VÄSTERVIK</t>
        </is>
      </c>
      <c r="F35" t="inlineStr">
        <is>
          <t>Holmen skog AB</t>
        </is>
      </c>
      <c r="G35" t="n">
        <v>5.2</v>
      </c>
      <c r="H35" t="n">
        <v>3</v>
      </c>
      <c r="I35" t="n">
        <v>4</v>
      </c>
      <c r="J35" t="n">
        <v>1</v>
      </c>
      <c r="K35" t="n">
        <v>1</v>
      </c>
      <c r="L35" t="n">
        <v>0</v>
      </c>
      <c r="M35" t="n">
        <v>0</v>
      </c>
      <c r="N35" t="n">
        <v>0</v>
      </c>
      <c r="O35" t="n">
        <v>2</v>
      </c>
      <c r="P35" t="n">
        <v>1</v>
      </c>
      <c r="Q35" t="n">
        <v>7</v>
      </c>
      <c r="R35" s="2" t="inlineStr">
        <is>
          <t>Knärot
Talltita
Blomkålssvamp
Dropptaggsvamp
Grönpyrola
Rävticka
Kungsfågel</t>
        </is>
      </c>
      <c r="S35">
        <f>HYPERLINK("https://klasma.github.io/Logging_0883/artfynd/A 56370-2025 artfynd.xlsx", "A 56370-2025")</f>
        <v/>
      </c>
      <c r="T35">
        <f>HYPERLINK("https://klasma.github.io/Logging_0883/kartor/A 56370-2025 karta.png", "A 56370-2025")</f>
        <v/>
      </c>
      <c r="U35">
        <f>HYPERLINK("https://klasma.github.io/Logging_0883/knärot/A 56370-2025 karta knärot.png", "A 56370-2025")</f>
        <v/>
      </c>
      <c r="V35">
        <f>HYPERLINK("https://klasma.github.io/Logging_0883/klagomål/A 56370-2025 FSC-klagomål.docx", "A 56370-2025")</f>
        <v/>
      </c>
      <c r="W35">
        <f>HYPERLINK("https://klasma.github.io/Logging_0883/klagomålsmail/A 56370-2025 FSC-klagomål mail.docx", "A 56370-2025")</f>
        <v/>
      </c>
      <c r="X35">
        <f>HYPERLINK("https://klasma.github.io/Logging_0883/tillsyn/A 56370-2025 tillsynsbegäran.docx", "A 56370-2025")</f>
        <v/>
      </c>
      <c r="Y35">
        <f>HYPERLINK("https://klasma.github.io/Logging_0883/tillsynsmail/A 56370-2025 tillsynsbegäran mail.docx", "A 56370-2025")</f>
        <v/>
      </c>
      <c r="Z35">
        <f>HYPERLINK("https://klasma.github.io/Logging_0883/fåglar/A 56370-2025 prioriterade fågelarter.docx", "A 56370-2025")</f>
        <v/>
      </c>
    </row>
    <row r="36" ht="15" customHeight="1">
      <c r="A36" t="inlineStr">
        <is>
          <t>A 48739-2025</t>
        </is>
      </c>
      <c r="B36" s="1" t="n">
        <v>45936.67719907407</v>
      </c>
      <c r="C36" s="1" t="n">
        <v>45991</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63850-2021</t>
        </is>
      </c>
      <c r="B37" s="1" t="n">
        <v>44505</v>
      </c>
      <c r="C37" s="1" t="n">
        <v>45991</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71188-2021</t>
        </is>
      </c>
      <c r="B38" s="1" t="n">
        <v>44539</v>
      </c>
      <c r="C38" s="1" t="n">
        <v>45991</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45991</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45991</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5922-2024</t>
        </is>
      </c>
      <c r="B41" s="1" t="n">
        <v>45335</v>
      </c>
      <c r="C41" s="1" t="n">
        <v>45991</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52046-2024</t>
        </is>
      </c>
      <c r="B42" s="1" t="n">
        <v>45608</v>
      </c>
      <c r="C42" s="1" t="n">
        <v>45991</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45991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47936-2023</t>
        </is>
      </c>
      <c r="B44" s="1" t="n">
        <v>45204</v>
      </c>
      <c r="C44" s="1" t="n">
        <v>45991</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4456-2025</t>
        </is>
      </c>
      <c r="B45" s="1" t="n">
        <v>45686</v>
      </c>
      <c r="C45" s="1" t="n">
        <v>45991</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34642-2025</t>
        </is>
      </c>
      <c r="B46" s="1" t="n">
        <v>45848.32703703704</v>
      </c>
      <c r="C46" s="1" t="n">
        <v>45991</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974-2023</t>
        </is>
      </c>
      <c r="B47" s="1" t="n">
        <v>44935</v>
      </c>
      <c r="C47" s="1" t="n">
        <v>45991</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47774-2025</t>
        </is>
      </c>
      <c r="B48" s="1" t="n">
        <v>45931.72415509259</v>
      </c>
      <c r="C48" s="1" t="n">
        <v>45991</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2806-2025</t>
        </is>
      </c>
      <c r="B49" s="1" t="n">
        <v>45677</v>
      </c>
      <c r="C49" s="1" t="n">
        <v>45991</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45991</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55286-2023</t>
        </is>
      </c>
      <c r="B51" s="1" t="n">
        <v>45237</v>
      </c>
      <c r="C51" s="1" t="n">
        <v>45991</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12335-2025</t>
        </is>
      </c>
      <c r="B52" s="1" t="n">
        <v>45730</v>
      </c>
      <c r="C52" s="1" t="n">
        <v>45991</v>
      </c>
      <c r="D52" t="inlineStr">
        <is>
          <t>KALMAR LÄN</t>
        </is>
      </c>
      <c r="E52" t="inlineStr">
        <is>
          <t>VÄSTERVIK</t>
        </is>
      </c>
      <c r="G52" t="n">
        <v>3.1</v>
      </c>
      <c r="H52" t="n">
        <v>4</v>
      </c>
      <c r="I52" t="n">
        <v>1</v>
      </c>
      <c r="J52" t="n">
        <v>3</v>
      </c>
      <c r="K52" t="n">
        <v>0</v>
      </c>
      <c r="L52" t="n">
        <v>0</v>
      </c>
      <c r="M52" t="n">
        <v>0</v>
      </c>
      <c r="N52" t="n">
        <v>0</v>
      </c>
      <c r="O52" t="n">
        <v>3</v>
      </c>
      <c r="P52" t="n">
        <v>0</v>
      </c>
      <c r="Q52" t="n">
        <v>5</v>
      </c>
      <c r="R52" s="2" t="inlineStr">
        <is>
          <t>Mindre hackspett
Spillkråka
Talltita
Blåmossa
Grönsiska</t>
        </is>
      </c>
      <c r="S52">
        <f>HYPERLINK("https://klasma.github.io/Logging_0883/artfynd/A 12335-2025 artfynd.xlsx", "A 12335-2025")</f>
        <v/>
      </c>
      <c r="T52">
        <f>HYPERLINK("https://klasma.github.io/Logging_0883/kartor/A 12335-2025 karta.png", "A 12335-2025")</f>
        <v/>
      </c>
      <c r="V52">
        <f>HYPERLINK("https://klasma.github.io/Logging_0883/klagomål/A 12335-2025 FSC-klagomål.docx", "A 12335-2025")</f>
        <v/>
      </c>
      <c r="W52">
        <f>HYPERLINK("https://klasma.github.io/Logging_0883/klagomålsmail/A 12335-2025 FSC-klagomål mail.docx", "A 12335-2025")</f>
        <v/>
      </c>
      <c r="X52">
        <f>HYPERLINK("https://klasma.github.io/Logging_0883/tillsyn/A 12335-2025 tillsynsbegäran.docx", "A 12335-2025")</f>
        <v/>
      </c>
      <c r="Y52">
        <f>HYPERLINK("https://klasma.github.io/Logging_0883/tillsynsmail/A 12335-2025 tillsynsbegäran mail.docx", "A 12335-2025")</f>
        <v/>
      </c>
      <c r="Z52">
        <f>HYPERLINK("https://klasma.github.io/Logging_0883/fåglar/A 12335-2025 prioriterade fågelarter.docx", "A 12335-2025")</f>
        <v/>
      </c>
    </row>
    <row r="53" ht="15" customHeight="1">
      <c r="A53" t="inlineStr">
        <is>
          <t>A 58727-2024</t>
        </is>
      </c>
      <c r="B53" s="1" t="n">
        <v>45635</v>
      </c>
      <c r="C53" s="1" t="n">
        <v>45991</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27737-2024</t>
        </is>
      </c>
      <c r="B54" s="1" t="n">
        <v>45475</v>
      </c>
      <c r="C54" s="1" t="n">
        <v>45991</v>
      </c>
      <c r="D54" t="inlineStr">
        <is>
          <t>KALMAR LÄN</t>
        </is>
      </c>
      <c r="E54" t="inlineStr">
        <is>
          <t>VÄSTERVIK</t>
        </is>
      </c>
      <c r="F54" t="inlineStr">
        <is>
          <t>Holmen skog AB</t>
        </is>
      </c>
      <c r="G54" t="n">
        <v>2.7</v>
      </c>
      <c r="H54" t="n">
        <v>2</v>
      </c>
      <c r="I54" t="n">
        <v>0</v>
      </c>
      <c r="J54" t="n">
        <v>4</v>
      </c>
      <c r="K54" t="n">
        <v>0</v>
      </c>
      <c r="L54" t="n">
        <v>0</v>
      </c>
      <c r="M54" t="n">
        <v>0</v>
      </c>
      <c r="N54" t="n">
        <v>0</v>
      </c>
      <c r="O54" t="n">
        <v>4</v>
      </c>
      <c r="P54" t="n">
        <v>0</v>
      </c>
      <c r="Q54" t="n">
        <v>5</v>
      </c>
      <c r="R54" s="2" t="inlineStr">
        <is>
          <t>Ekticka
Oxtungssvamp
Spillkråka
Ullticka
Mattlummer</t>
        </is>
      </c>
      <c r="S54">
        <f>HYPERLINK("https://klasma.github.io/Logging_0883/artfynd/A 27737-2024 artfynd.xlsx", "A 27737-2024")</f>
        <v/>
      </c>
      <c r="T54">
        <f>HYPERLINK("https://klasma.github.io/Logging_0883/kartor/A 27737-2024 karta.png", "A 27737-2024")</f>
        <v/>
      </c>
      <c r="V54">
        <f>HYPERLINK("https://klasma.github.io/Logging_0883/klagomål/A 27737-2024 FSC-klagomål.docx", "A 27737-2024")</f>
        <v/>
      </c>
      <c r="W54">
        <f>HYPERLINK("https://klasma.github.io/Logging_0883/klagomålsmail/A 27737-2024 FSC-klagomål mail.docx", "A 27737-2024")</f>
        <v/>
      </c>
      <c r="X54">
        <f>HYPERLINK("https://klasma.github.io/Logging_0883/tillsyn/A 27737-2024 tillsynsbegäran.docx", "A 27737-2024")</f>
        <v/>
      </c>
      <c r="Y54">
        <f>HYPERLINK("https://klasma.github.io/Logging_0883/tillsynsmail/A 27737-2024 tillsynsbegäran mail.docx", "A 27737-2024")</f>
        <v/>
      </c>
      <c r="Z54">
        <f>HYPERLINK("https://klasma.github.io/Logging_0883/fåglar/A 27737-2024 prioriterade fågelarter.docx", "A 27737-2024")</f>
        <v/>
      </c>
    </row>
    <row r="55" ht="15" customHeight="1">
      <c r="A55" t="inlineStr">
        <is>
          <t>A 27727-2024</t>
        </is>
      </c>
      <c r="B55" s="1" t="n">
        <v>45475</v>
      </c>
      <c r="C55" s="1" t="n">
        <v>45991</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48724-2024</t>
        </is>
      </c>
      <c r="B56" s="1" t="n">
        <v>45593.55731481482</v>
      </c>
      <c r="C56" s="1" t="n">
        <v>45991</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55518-2025</t>
        </is>
      </c>
      <c r="B57" s="1" t="n">
        <v>45971.60497685185</v>
      </c>
      <c r="C57" s="1" t="n">
        <v>45991</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45991</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49412-2025</t>
        </is>
      </c>
      <c r="B59" s="1" t="n">
        <v>45938.68405092593</v>
      </c>
      <c r="C59" s="1" t="n">
        <v>45991</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1779-2025</t>
        </is>
      </c>
      <c r="B60" s="1" t="n">
        <v>45671</v>
      </c>
      <c r="C60" s="1" t="n">
        <v>45991</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54334-2024</t>
        </is>
      </c>
      <c r="B61" s="1" t="n">
        <v>45617.38247685185</v>
      </c>
      <c r="C61" s="1" t="n">
        <v>45991</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51923-2022</t>
        </is>
      </c>
      <c r="B62" s="1" t="n">
        <v>44868</v>
      </c>
      <c r="C62" s="1" t="n">
        <v>45991</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781-2023</t>
        </is>
      </c>
      <c r="B63" s="1" t="n">
        <v>44931</v>
      </c>
      <c r="C63" s="1" t="n">
        <v>45991</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31431-2024</t>
        </is>
      </c>
      <c r="B64" s="1" t="n">
        <v>45505</v>
      </c>
      <c r="C64" s="1" t="n">
        <v>45991</v>
      </c>
      <c r="D64" t="inlineStr">
        <is>
          <t>KALMAR LÄN</t>
        </is>
      </c>
      <c r="E64" t="inlineStr">
        <is>
          <t>VÄSTERVIK</t>
        </is>
      </c>
      <c r="G64" t="n">
        <v>1.3</v>
      </c>
      <c r="H64" t="n">
        <v>0</v>
      </c>
      <c r="I64" t="n">
        <v>3</v>
      </c>
      <c r="J64" t="n">
        <v>2</v>
      </c>
      <c r="K64" t="n">
        <v>0</v>
      </c>
      <c r="L64" t="n">
        <v>0</v>
      </c>
      <c r="M64" t="n">
        <v>0</v>
      </c>
      <c r="N64" t="n">
        <v>0</v>
      </c>
      <c r="O64" t="n">
        <v>2</v>
      </c>
      <c r="P64" t="n">
        <v>0</v>
      </c>
      <c r="Q64" t="n">
        <v>5</v>
      </c>
      <c r="R64" s="2" t="inlineStr">
        <is>
          <t>Ekticka
Skeppsvarvsfluga
Fällmossa
Myskmadra
Trädporella</t>
        </is>
      </c>
      <c r="S64">
        <f>HYPERLINK("https://klasma.github.io/Logging_0883/artfynd/A 31431-2024 artfynd.xlsx", "A 31431-2024")</f>
        <v/>
      </c>
      <c r="T64">
        <f>HYPERLINK("https://klasma.github.io/Logging_0883/kartor/A 31431-2024 karta.png", "A 31431-2024")</f>
        <v/>
      </c>
      <c r="V64">
        <f>HYPERLINK("https://klasma.github.io/Logging_0883/klagomål/A 31431-2024 FSC-klagomål.docx", "A 31431-2024")</f>
        <v/>
      </c>
      <c r="W64">
        <f>HYPERLINK("https://klasma.github.io/Logging_0883/klagomålsmail/A 31431-2024 FSC-klagomål mail.docx", "A 31431-2024")</f>
        <v/>
      </c>
      <c r="X64">
        <f>HYPERLINK("https://klasma.github.io/Logging_0883/tillsyn/A 31431-2024 tillsynsbegäran.docx", "A 31431-2024")</f>
        <v/>
      </c>
      <c r="Y64">
        <f>HYPERLINK("https://klasma.github.io/Logging_0883/tillsynsmail/A 31431-2024 tillsynsbegäran mail.docx", "A 31431-2024")</f>
        <v/>
      </c>
    </row>
    <row r="65" ht="15" customHeight="1">
      <c r="A65" t="inlineStr">
        <is>
          <t>A 37438-2021</t>
        </is>
      </c>
      <c r="B65" s="1" t="n">
        <v>44398</v>
      </c>
      <c r="C65" s="1" t="n">
        <v>45991</v>
      </c>
      <c r="D65" t="inlineStr">
        <is>
          <t>KALMAR LÄN</t>
        </is>
      </c>
      <c r="E65" t="inlineStr">
        <is>
          <t>VÄSTERVIK</t>
        </is>
      </c>
      <c r="G65" t="n">
        <v>14.3</v>
      </c>
      <c r="H65" t="n">
        <v>2</v>
      </c>
      <c r="I65" t="n">
        <v>2</v>
      </c>
      <c r="J65" t="n">
        <v>0</v>
      </c>
      <c r="K65" t="n">
        <v>1</v>
      </c>
      <c r="L65" t="n">
        <v>0</v>
      </c>
      <c r="M65" t="n">
        <v>0</v>
      </c>
      <c r="N65" t="n">
        <v>0</v>
      </c>
      <c r="O65" t="n">
        <v>1</v>
      </c>
      <c r="P65" t="n">
        <v>1</v>
      </c>
      <c r="Q65" t="n">
        <v>4</v>
      </c>
      <c r="R65" s="2" t="inlineStr">
        <is>
          <t>Knärot
Grönpyrola
Kambräken
Tjäder</t>
        </is>
      </c>
      <c r="S65">
        <f>HYPERLINK("https://klasma.github.io/Logging_0883/artfynd/A 37438-2021 artfynd.xlsx", "A 37438-2021")</f>
        <v/>
      </c>
      <c r="T65">
        <f>HYPERLINK("https://klasma.github.io/Logging_0883/kartor/A 37438-2021 karta.png", "A 37438-2021")</f>
        <v/>
      </c>
      <c r="U65">
        <f>HYPERLINK("https://klasma.github.io/Logging_0883/knärot/A 37438-2021 karta knärot.png", "A 37438-2021")</f>
        <v/>
      </c>
      <c r="V65">
        <f>HYPERLINK("https://klasma.github.io/Logging_0883/klagomål/A 37438-2021 FSC-klagomål.docx", "A 37438-2021")</f>
        <v/>
      </c>
      <c r="W65">
        <f>HYPERLINK("https://klasma.github.io/Logging_0883/klagomålsmail/A 37438-2021 FSC-klagomål mail.docx", "A 37438-2021")</f>
        <v/>
      </c>
      <c r="X65">
        <f>HYPERLINK("https://klasma.github.io/Logging_0883/tillsyn/A 37438-2021 tillsynsbegäran.docx", "A 37438-2021")</f>
        <v/>
      </c>
      <c r="Y65">
        <f>HYPERLINK("https://klasma.github.io/Logging_0883/tillsynsmail/A 37438-2021 tillsynsbegäran mail.docx", "A 37438-2021")</f>
        <v/>
      </c>
      <c r="Z65">
        <f>HYPERLINK("https://klasma.github.io/Logging_0883/fåglar/A 37438-2021 prioriterade fågelarter.docx", "A 37438-2021")</f>
        <v/>
      </c>
    </row>
    <row r="66" ht="15" customHeight="1">
      <c r="A66" t="inlineStr">
        <is>
          <t>A 25280-2021</t>
        </is>
      </c>
      <c r="B66" s="1" t="n">
        <v>44342</v>
      </c>
      <c r="C66" s="1" t="n">
        <v>45991</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31914-2025</t>
        </is>
      </c>
      <c r="B67" s="1" t="n">
        <v>45834</v>
      </c>
      <c r="C67" s="1" t="n">
        <v>45991</v>
      </c>
      <c r="D67" t="inlineStr">
        <is>
          <t>KALMAR LÄN</t>
        </is>
      </c>
      <c r="E67" t="inlineStr">
        <is>
          <t>VÄSTERVIK</t>
        </is>
      </c>
      <c r="F67" t="inlineStr">
        <is>
          <t>Holmen skog AB</t>
        </is>
      </c>
      <c r="G67" t="n">
        <v>4.9</v>
      </c>
      <c r="H67" t="n">
        <v>1</v>
      </c>
      <c r="I67" t="n">
        <v>0</v>
      </c>
      <c r="J67" t="n">
        <v>4</v>
      </c>
      <c r="K67" t="n">
        <v>0</v>
      </c>
      <c r="L67" t="n">
        <v>0</v>
      </c>
      <c r="M67" t="n">
        <v>0</v>
      </c>
      <c r="N67" t="n">
        <v>0</v>
      </c>
      <c r="O67" t="n">
        <v>4</v>
      </c>
      <c r="P67" t="n">
        <v>0</v>
      </c>
      <c r="Q67" t="n">
        <v>4</v>
      </c>
      <c r="R67" s="2" t="inlineStr">
        <is>
          <t>Mindre bastardsvärmare
Sexfläckig bastardsvärmare
Smalsprötad bastardsvärmare
Spillkråka</t>
        </is>
      </c>
      <c r="S67">
        <f>HYPERLINK("https://klasma.github.io/Logging_0883/artfynd/A 31914-2025 artfynd.xlsx", "A 31914-2025")</f>
        <v/>
      </c>
      <c r="T67">
        <f>HYPERLINK("https://klasma.github.io/Logging_0883/kartor/A 31914-2025 karta.png", "A 31914-2025")</f>
        <v/>
      </c>
      <c r="V67">
        <f>HYPERLINK("https://klasma.github.io/Logging_0883/klagomål/A 31914-2025 FSC-klagomål.docx", "A 31914-2025")</f>
        <v/>
      </c>
      <c r="W67">
        <f>HYPERLINK("https://klasma.github.io/Logging_0883/klagomålsmail/A 31914-2025 FSC-klagomål mail.docx", "A 31914-2025")</f>
        <v/>
      </c>
      <c r="X67">
        <f>HYPERLINK("https://klasma.github.io/Logging_0883/tillsyn/A 31914-2025 tillsynsbegäran.docx", "A 31914-2025")</f>
        <v/>
      </c>
      <c r="Y67">
        <f>HYPERLINK("https://klasma.github.io/Logging_0883/tillsynsmail/A 31914-2025 tillsynsbegäran mail.docx", "A 31914-2025")</f>
        <v/>
      </c>
      <c r="Z67">
        <f>HYPERLINK("https://klasma.github.io/Logging_0883/fåglar/A 31914-2025 prioriterade fågelarter.docx", "A 31914-2025")</f>
        <v/>
      </c>
    </row>
    <row r="68" ht="15" customHeight="1">
      <c r="A68" t="inlineStr">
        <is>
          <t>A 63366-2023</t>
        </is>
      </c>
      <c r="B68" s="1" t="n">
        <v>45274</v>
      </c>
      <c r="C68" s="1" t="n">
        <v>45991</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29455-2021</t>
        </is>
      </c>
      <c r="B69" s="1" t="n">
        <v>44361</v>
      </c>
      <c r="C69" s="1" t="n">
        <v>45991</v>
      </c>
      <c r="D69" t="inlineStr">
        <is>
          <t>KALMAR LÄN</t>
        </is>
      </c>
      <c r="E69" t="inlineStr">
        <is>
          <t>VÄSTERVIK</t>
        </is>
      </c>
      <c r="F69" t="inlineStr">
        <is>
          <t>Övriga Aktiebolag</t>
        </is>
      </c>
      <c r="G69" t="n">
        <v>3.1</v>
      </c>
      <c r="H69" t="n">
        <v>2</v>
      </c>
      <c r="I69" t="n">
        <v>1</v>
      </c>
      <c r="J69" t="n">
        <v>2</v>
      </c>
      <c r="K69" t="n">
        <v>1</v>
      </c>
      <c r="L69" t="n">
        <v>0</v>
      </c>
      <c r="M69" t="n">
        <v>0</v>
      </c>
      <c r="N69" t="n">
        <v>0</v>
      </c>
      <c r="O69" t="n">
        <v>3</v>
      </c>
      <c r="P69" t="n">
        <v>1</v>
      </c>
      <c r="Q69" t="n">
        <v>4</v>
      </c>
      <c r="R69" s="2" t="inlineStr">
        <is>
          <t>Knärot
Garnlav
Talltita
Grovticka</t>
        </is>
      </c>
      <c r="S69">
        <f>HYPERLINK("https://klasma.github.io/Logging_0883/artfynd/A 29455-2021 artfynd.xlsx", "A 29455-2021")</f>
        <v/>
      </c>
      <c r="T69">
        <f>HYPERLINK("https://klasma.github.io/Logging_0883/kartor/A 29455-2021 karta.png", "A 29455-2021")</f>
        <v/>
      </c>
      <c r="U69">
        <f>HYPERLINK("https://klasma.github.io/Logging_0883/knärot/A 29455-2021 karta knärot.png", "A 29455-2021")</f>
        <v/>
      </c>
      <c r="V69">
        <f>HYPERLINK("https://klasma.github.io/Logging_0883/klagomål/A 29455-2021 FSC-klagomål.docx", "A 29455-2021")</f>
        <v/>
      </c>
      <c r="W69">
        <f>HYPERLINK("https://klasma.github.io/Logging_0883/klagomålsmail/A 29455-2021 FSC-klagomål mail.docx", "A 29455-2021")</f>
        <v/>
      </c>
      <c r="X69">
        <f>HYPERLINK("https://klasma.github.io/Logging_0883/tillsyn/A 29455-2021 tillsynsbegäran.docx", "A 29455-2021")</f>
        <v/>
      </c>
      <c r="Y69">
        <f>HYPERLINK("https://klasma.github.io/Logging_0883/tillsynsmail/A 29455-2021 tillsynsbegäran mail.docx", "A 29455-2021")</f>
        <v/>
      </c>
      <c r="Z69">
        <f>HYPERLINK("https://klasma.github.io/Logging_0883/fåglar/A 29455-2021 prioriterade fågelarter.docx", "A 29455-2021")</f>
        <v/>
      </c>
    </row>
    <row r="70" ht="15" customHeight="1">
      <c r="A70" t="inlineStr">
        <is>
          <t>A 35214-2025</t>
        </is>
      </c>
      <c r="B70" s="1" t="n">
        <v>45853.47163194444</v>
      </c>
      <c r="C70" s="1" t="n">
        <v>45991</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20366-2024</t>
        </is>
      </c>
      <c r="B71" s="1" t="n">
        <v>45435</v>
      </c>
      <c r="C71" s="1" t="n">
        <v>45991</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9975-2024</t>
        </is>
      </c>
      <c r="B72" s="1" t="n">
        <v>45363</v>
      </c>
      <c r="C72" s="1" t="n">
        <v>45991</v>
      </c>
      <c r="D72" t="inlineStr">
        <is>
          <t>KALMAR LÄN</t>
        </is>
      </c>
      <c r="E72" t="inlineStr">
        <is>
          <t>VÄSTERVIK</t>
        </is>
      </c>
      <c r="G72" t="n">
        <v>2.2</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9975-2024 artfynd.xlsx", "A 9975-2024")</f>
        <v/>
      </c>
      <c r="T72">
        <f>HYPERLINK("https://klasma.github.io/Logging_0883/kartor/A 9975-2024 karta.png", "A 9975-2024")</f>
        <v/>
      </c>
      <c r="U72">
        <f>HYPERLINK("https://klasma.github.io/Logging_0883/knärot/A 9975-2024 karta knärot.png", "A 9975-2024")</f>
        <v/>
      </c>
      <c r="V72">
        <f>HYPERLINK("https://klasma.github.io/Logging_0883/klagomål/A 9975-2024 FSC-klagomål.docx", "A 9975-2024")</f>
        <v/>
      </c>
      <c r="W72">
        <f>HYPERLINK("https://klasma.github.io/Logging_0883/klagomålsmail/A 9975-2024 FSC-klagomål mail.docx", "A 9975-2024")</f>
        <v/>
      </c>
      <c r="X72">
        <f>HYPERLINK("https://klasma.github.io/Logging_0883/tillsyn/A 9975-2024 tillsynsbegäran.docx", "A 9975-2024")</f>
        <v/>
      </c>
      <c r="Y72">
        <f>HYPERLINK("https://klasma.github.io/Logging_0883/tillsynsmail/A 9975-2024 tillsynsbegäran mail.docx", "A 9975-2024")</f>
        <v/>
      </c>
      <c r="Z72">
        <f>HYPERLINK("https://klasma.github.io/Logging_0883/fåglar/A 9975-2024 prioriterade fågelarter.docx", "A 9975-2024")</f>
        <v/>
      </c>
    </row>
    <row r="73" ht="15" customHeight="1">
      <c r="A73" t="inlineStr">
        <is>
          <t>A 26985-2025</t>
        </is>
      </c>
      <c r="B73" s="1" t="n">
        <v>45811</v>
      </c>
      <c r="C73" s="1" t="n">
        <v>45991</v>
      </c>
      <c r="D73" t="inlineStr">
        <is>
          <t>KALMAR LÄN</t>
        </is>
      </c>
      <c r="E73" t="inlineStr">
        <is>
          <t>VÄSTERVIK</t>
        </is>
      </c>
      <c r="G73" t="n">
        <v>2.5</v>
      </c>
      <c r="H73" t="n">
        <v>3</v>
      </c>
      <c r="I73" t="n">
        <v>0</v>
      </c>
      <c r="J73" t="n">
        <v>3</v>
      </c>
      <c r="K73" t="n">
        <v>0</v>
      </c>
      <c r="L73" t="n">
        <v>0</v>
      </c>
      <c r="M73" t="n">
        <v>0</v>
      </c>
      <c r="N73" t="n">
        <v>0</v>
      </c>
      <c r="O73" t="n">
        <v>3</v>
      </c>
      <c r="P73" t="n">
        <v>0</v>
      </c>
      <c r="Q73" t="n">
        <v>4</v>
      </c>
      <c r="R73" s="2" t="inlineStr">
        <is>
          <t>Entita
Spillkråka
Tallticka
Gröngöling</t>
        </is>
      </c>
      <c r="S73">
        <f>HYPERLINK("https://klasma.github.io/Logging_0883/artfynd/A 26985-2025 artfynd.xlsx", "A 26985-2025")</f>
        <v/>
      </c>
      <c r="T73">
        <f>HYPERLINK("https://klasma.github.io/Logging_0883/kartor/A 26985-2025 karta.png", "A 26985-2025")</f>
        <v/>
      </c>
      <c r="V73">
        <f>HYPERLINK("https://klasma.github.io/Logging_0883/klagomål/A 26985-2025 FSC-klagomål.docx", "A 26985-2025")</f>
        <v/>
      </c>
      <c r="W73">
        <f>HYPERLINK("https://klasma.github.io/Logging_0883/klagomålsmail/A 26985-2025 FSC-klagomål mail.docx", "A 26985-2025")</f>
        <v/>
      </c>
      <c r="X73">
        <f>HYPERLINK("https://klasma.github.io/Logging_0883/tillsyn/A 26985-2025 tillsynsbegäran.docx", "A 26985-2025")</f>
        <v/>
      </c>
      <c r="Y73">
        <f>HYPERLINK("https://klasma.github.io/Logging_0883/tillsynsmail/A 26985-2025 tillsynsbegäran mail.docx", "A 26985-2025")</f>
        <v/>
      </c>
      <c r="Z73">
        <f>HYPERLINK("https://klasma.github.io/Logging_0883/fåglar/A 26985-2025 prioriterade fågelarter.docx", "A 26985-2025")</f>
        <v/>
      </c>
    </row>
    <row r="74" ht="15" customHeight="1">
      <c r="A74" t="inlineStr">
        <is>
          <t>A 58955-2022</t>
        </is>
      </c>
      <c r="B74" s="1" t="n">
        <v>44896</v>
      </c>
      <c r="C74" s="1" t="n">
        <v>45991</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18397-2024</t>
        </is>
      </c>
      <c r="B75" s="1" t="n">
        <v>45425</v>
      </c>
      <c r="C75" s="1" t="n">
        <v>45991</v>
      </c>
      <c r="D75" t="inlineStr">
        <is>
          <t>KALMAR LÄN</t>
        </is>
      </c>
      <c r="E75" t="inlineStr">
        <is>
          <t>VÄSTERVIK</t>
        </is>
      </c>
      <c r="F75" t="inlineStr">
        <is>
          <t>Holmen skog AB</t>
        </is>
      </c>
      <c r="G75" t="n">
        <v>3.5</v>
      </c>
      <c r="H75" t="n">
        <v>3</v>
      </c>
      <c r="I75" t="n">
        <v>1</v>
      </c>
      <c r="J75" t="n">
        <v>2</v>
      </c>
      <c r="K75" t="n">
        <v>1</v>
      </c>
      <c r="L75" t="n">
        <v>0</v>
      </c>
      <c r="M75" t="n">
        <v>0</v>
      </c>
      <c r="N75" t="n">
        <v>0</v>
      </c>
      <c r="O75" t="n">
        <v>3</v>
      </c>
      <c r="P75" t="n">
        <v>1</v>
      </c>
      <c r="Q75" t="n">
        <v>4</v>
      </c>
      <c r="R75" s="2" t="inlineStr">
        <is>
          <t>Knärot
Spillkråka
Talltita
Grönpyrola</t>
        </is>
      </c>
      <c r="S75">
        <f>HYPERLINK("https://klasma.github.io/Logging_0883/artfynd/A 18397-2024 artfynd.xlsx", "A 18397-2024")</f>
        <v/>
      </c>
      <c r="T75">
        <f>HYPERLINK("https://klasma.github.io/Logging_0883/kartor/A 18397-2024 karta.png", "A 18397-2024")</f>
        <v/>
      </c>
      <c r="U75">
        <f>HYPERLINK("https://klasma.github.io/Logging_0883/knärot/A 18397-2024 karta knärot.png", "A 18397-2024")</f>
        <v/>
      </c>
      <c r="V75">
        <f>HYPERLINK("https://klasma.github.io/Logging_0883/klagomål/A 18397-2024 FSC-klagomål.docx", "A 18397-2024")</f>
        <v/>
      </c>
      <c r="W75">
        <f>HYPERLINK("https://klasma.github.io/Logging_0883/klagomålsmail/A 18397-2024 FSC-klagomål mail.docx", "A 18397-2024")</f>
        <v/>
      </c>
      <c r="X75">
        <f>HYPERLINK("https://klasma.github.io/Logging_0883/tillsyn/A 18397-2024 tillsynsbegäran.docx", "A 18397-2024")</f>
        <v/>
      </c>
      <c r="Y75">
        <f>HYPERLINK("https://klasma.github.io/Logging_0883/tillsynsmail/A 18397-2024 tillsynsbegäran mail.docx", "A 18397-2024")</f>
        <v/>
      </c>
      <c r="Z75">
        <f>HYPERLINK("https://klasma.github.io/Logging_0883/fåglar/A 18397-2024 prioriterade fågelarter.docx", "A 18397-2024")</f>
        <v/>
      </c>
    </row>
    <row r="76" ht="15" customHeight="1">
      <c r="A76" t="inlineStr">
        <is>
          <t>A 53842-2025</t>
        </is>
      </c>
      <c r="B76" s="1" t="n">
        <v>45961.36251157407</v>
      </c>
      <c r="C76" s="1" t="n">
        <v>45991</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53846-2025</t>
        </is>
      </c>
      <c r="B77" s="1" t="n">
        <v>45961.36716435185</v>
      </c>
      <c r="C77" s="1" t="n">
        <v>45991</v>
      </c>
      <c r="D77" t="inlineStr">
        <is>
          <t>KALMAR LÄN</t>
        </is>
      </c>
      <c r="E77" t="inlineStr">
        <is>
          <t>VÄSTERVIK</t>
        </is>
      </c>
      <c r="F77" t="inlineStr">
        <is>
          <t>Sveaskog</t>
        </is>
      </c>
      <c r="G77" t="n">
        <v>2.1</v>
      </c>
      <c r="H77" t="n">
        <v>1</v>
      </c>
      <c r="I77" t="n">
        <v>2</v>
      </c>
      <c r="J77" t="n">
        <v>1</v>
      </c>
      <c r="K77" t="n">
        <v>0</v>
      </c>
      <c r="L77" t="n">
        <v>0</v>
      </c>
      <c r="M77" t="n">
        <v>0</v>
      </c>
      <c r="N77" t="n">
        <v>0</v>
      </c>
      <c r="O77" t="n">
        <v>1</v>
      </c>
      <c r="P77" t="n">
        <v>0</v>
      </c>
      <c r="Q77" t="n">
        <v>4</v>
      </c>
      <c r="R77" s="2" t="inlineStr">
        <is>
          <t>Tallticka
Flagellkvastmossa
Fällmossa
Blåsippa</t>
        </is>
      </c>
      <c r="S77">
        <f>HYPERLINK("https://klasma.github.io/Logging_0883/artfynd/A 53846-2025 artfynd.xlsx", "A 53846-2025")</f>
        <v/>
      </c>
      <c r="T77">
        <f>HYPERLINK("https://klasma.github.io/Logging_0883/kartor/A 53846-2025 karta.png", "A 53846-2025")</f>
        <v/>
      </c>
      <c r="V77">
        <f>HYPERLINK("https://klasma.github.io/Logging_0883/klagomål/A 53846-2025 FSC-klagomål.docx", "A 53846-2025")</f>
        <v/>
      </c>
      <c r="W77">
        <f>HYPERLINK("https://klasma.github.io/Logging_0883/klagomålsmail/A 53846-2025 FSC-klagomål mail.docx", "A 53846-2025")</f>
        <v/>
      </c>
      <c r="X77">
        <f>HYPERLINK("https://klasma.github.io/Logging_0883/tillsyn/A 53846-2025 tillsynsbegäran.docx", "A 53846-2025")</f>
        <v/>
      </c>
      <c r="Y77">
        <f>HYPERLINK("https://klasma.github.io/Logging_0883/tillsynsmail/A 53846-2025 tillsynsbegäran mail.docx", "A 53846-2025")</f>
        <v/>
      </c>
    </row>
    <row r="78" ht="15" customHeight="1">
      <c r="A78" t="inlineStr">
        <is>
          <t>A 34644-2025</t>
        </is>
      </c>
      <c r="B78" s="1" t="n">
        <v>45848.33202546297</v>
      </c>
      <c r="C78" s="1" t="n">
        <v>45991</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45991</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6472-2025</t>
        </is>
      </c>
      <c r="B80" s="1" t="n">
        <v>45699</v>
      </c>
      <c r="C80" s="1" t="n">
        <v>45991</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938-2024</t>
        </is>
      </c>
      <c r="B81" s="1" t="n">
        <v>45301</v>
      </c>
      <c r="C81" s="1" t="n">
        <v>45991</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36109-2025</t>
        </is>
      </c>
      <c r="B82" s="1" t="n">
        <v>45866.56780092593</v>
      </c>
      <c r="C82" s="1" t="n">
        <v>45991</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10781-2025</t>
        </is>
      </c>
      <c r="B83" s="1" t="n">
        <v>45722</v>
      </c>
      <c r="C83" s="1" t="n">
        <v>45991</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45991</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37524-2025</t>
        </is>
      </c>
      <c r="B85" s="1" t="n">
        <v>45877</v>
      </c>
      <c r="C85" s="1" t="n">
        <v>45991</v>
      </c>
      <c r="D85" t="inlineStr">
        <is>
          <t>KALMAR LÄN</t>
        </is>
      </c>
      <c r="E85" t="inlineStr">
        <is>
          <t>VÄSTERVIK</t>
        </is>
      </c>
      <c r="G85" t="n">
        <v>3.3</v>
      </c>
      <c r="H85" t="n">
        <v>2</v>
      </c>
      <c r="I85" t="n">
        <v>1</v>
      </c>
      <c r="J85" t="n">
        <v>2</v>
      </c>
      <c r="K85" t="n">
        <v>1</v>
      </c>
      <c r="L85" t="n">
        <v>0</v>
      </c>
      <c r="M85" t="n">
        <v>0</v>
      </c>
      <c r="N85" t="n">
        <v>0</v>
      </c>
      <c r="O85" t="n">
        <v>3</v>
      </c>
      <c r="P85" t="n">
        <v>1</v>
      </c>
      <c r="Q85" t="n">
        <v>4</v>
      </c>
      <c r="R85" s="2" t="inlineStr">
        <is>
          <t>Knärot
Svart taggsvamp
Talltita
Blomkålssvamp</t>
        </is>
      </c>
      <c r="S85">
        <f>HYPERLINK("https://klasma.github.io/Logging_0883/artfynd/A 37524-2025 artfynd.xlsx", "A 37524-2025")</f>
        <v/>
      </c>
      <c r="T85">
        <f>HYPERLINK("https://klasma.github.io/Logging_0883/kartor/A 37524-2025 karta.png", "A 37524-2025")</f>
        <v/>
      </c>
      <c r="U85">
        <f>HYPERLINK("https://klasma.github.io/Logging_0883/knärot/A 37524-2025 karta knärot.png", "A 37524-2025")</f>
        <v/>
      </c>
      <c r="V85">
        <f>HYPERLINK("https://klasma.github.io/Logging_0883/klagomål/A 37524-2025 FSC-klagomål.docx", "A 37524-2025")</f>
        <v/>
      </c>
      <c r="W85">
        <f>HYPERLINK("https://klasma.github.io/Logging_0883/klagomålsmail/A 37524-2025 FSC-klagomål mail.docx", "A 37524-2025")</f>
        <v/>
      </c>
      <c r="X85">
        <f>HYPERLINK("https://klasma.github.io/Logging_0883/tillsyn/A 37524-2025 tillsynsbegäran.docx", "A 37524-2025")</f>
        <v/>
      </c>
      <c r="Y85">
        <f>HYPERLINK("https://klasma.github.io/Logging_0883/tillsynsmail/A 37524-2025 tillsynsbegäran mail.docx", "A 37524-2025")</f>
        <v/>
      </c>
      <c r="Z85">
        <f>HYPERLINK("https://klasma.github.io/Logging_0883/fåglar/A 37524-2025 prioriterade fågelarter.docx", "A 37524-2025")</f>
        <v/>
      </c>
    </row>
    <row r="86" ht="15" customHeight="1">
      <c r="A86" t="inlineStr">
        <is>
          <t>A 41571-2024</t>
        </is>
      </c>
      <c r="B86" s="1" t="n">
        <v>45560</v>
      </c>
      <c r="C86" s="1" t="n">
        <v>45991</v>
      </c>
      <c r="D86" t="inlineStr">
        <is>
          <t>KALMAR LÄN</t>
        </is>
      </c>
      <c r="E86" t="inlineStr">
        <is>
          <t>VÄSTERVIK</t>
        </is>
      </c>
      <c r="G86" t="n">
        <v>5.2</v>
      </c>
      <c r="H86" t="n">
        <v>1</v>
      </c>
      <c r="I86" t="n">
        <v>2</v>
      </c>
      <c r="J86" t="n">
        <v>2</v>
      </c>
      <c r="K86" t="n">
        <v>0</v>
      </c>
      <c r="L86" t="n">
        <v>0</v>
      </c>
      <c r="M86" t="n">
        <v>0</v>
      </c>
      <c r="N86" t="n">
        <v>0</v>
      </c>
      <c r="O86" t="n">
        <v>2</v>
      </c>
      <c r="P86" t="n">
        <v>0</v>
      </c>
      <c r="Q86" t="n">
        <v>4</v>
      </c>
      <c r="R86" s="2" t="inlineStr">
        <is>
          <t>Tallticka
Talltita
Blåmossa
Dropptaggsvamp</t>
        </is>
      </c>
      <c r="S86">
        <f>HYPERLINK("https://klasma.github.io/Logging_0883/artfynd/A 41571-2024 artfynd.xlsx", "A 41571-2024")</f>
        <v/>
      </c>
      <c r="T86">
        <f>HYPERLINK("https://klasma.github.io/Logging_0883/kartor/A 41571-2024 karta.png", "A 41571-2024")</f>
        <v/>
      </c>
      <c r="U86">
        <f>HYPERLINK("https://klasma.github.io/Logging_0883/knärot/A 41571-2024 karta knärot.png", "A 41571-2024")</f>
        <v/>
      </c>
      <c r="V86">
        <f>HYPERLINK("https://klasma.github.io/Logging_0883/klagomål/A 41571-2024 FSC-klagomål.docx", "A 41571-2024")</f>
        <v/>
      </c>
      <c r="W86">
        <f>HYPERLINK("https://klasma.github.io/Logging_0883/klagomålsmail/A 41571-2024 FSC-klagomål mail.docx", "A 41571-2024")</f>
        <v/>
      </c>
      <c r="X86">
        <f>HYPERLINK("https://klasma.github.io/Logging_0883/tillsyn/A 41571-2024 tillsynsbegäran.docx", "A 41571-2024")</f>
        <v/>
      </c>
      <c r="Y86">
        <f>HYPERLINK("https://klasma.github.io/Logging_0883/tillsynsmail/A 41571-2024 tillsynsbegäran mail.docx", "A 41571-2024")</f>
        <v/>
      </c>
      <c r="Z86">
        <f>HYPERLINK("https://klasma.github.io/Logging_0883/fåglar/A 41571-2024 prioriterade fågelarter.docx", "A 41571-2024")</f>
        <v/>
      </c>
    </row>
    <row r="87" ht="15" customHeight="1">
      <c r="A87" t="inlineStr">
        <is>
          <t>A 44635-2021</t>
        </is>
      </c>
      <c r="B87" s="1" t="n">
        <v>44437</v>
      </c>
      <c r="C87" s="1" t="n">
        <v>45991</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54233-2023</t>
        </is>
      </c>
      <c r="B88" s="1" t="n">
        <v>45232</v>
      </c>
      <c r="C88" s="1" t="n">
        <v>45991</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35939-2024</t>
        </is>
      </c>
      <c r="B89" s="1" t="n">
        <v>45533.45459490741</v>
      </c>
      <c r="C89" s="1" t="n">
        <v>45991</v>
      </c>
      <c r="D89" t="inlineStr">
        <is>
          <t>KALMAR LÄN</t>
        </is>
      </c>
      <c r="E89" t="inlineStr">
        <is>
          <t>VÄSTERVIK</t>
        </is>
      </c>
      <c r="G89" t="n">
        <v>3.8</v>
      </c>
      <c r="H89" t="n">
        <v>1</v>
      </c>
      <c r="I89" t="n">
        <v>1</v>
      </c>
      <c r="J89" t="n">
        <v>3</v>
      </c>
      <c r="K89" t="n">
        <v>0</v>
      </c>
      <c r="L89" t="n">
        <v>0</v>
      </c>
      <c r="M89" t="n">
        <v>0</v>
      </c>
      <c r="N89" t="n">
        <v>0</v>
      </c>
      <c r="O89" t="n">
        <v>3</v>
      </c>
      <c r="P89" t="n">
        <v>0</v>
      </c>
      <c r="Q89" t="n">
        <v>4</v>
      </c>
      <c r="R89" s="2" t="inlineStr">
        <is>
          <t>Svart taggsvamp
Tallticka
Talltita
Blåmossa</t>
        </is>
      </c>
      <c r="S89">
        <f>HYPERLINK("https://klasma.github.io/Logging_0883/artfynd/A 35939-2024 artfynd.xlsx", "A 35939-2024")</f>
        <v/>
      </c>
      <c r="T89">
        <f>HYPERLINK("https://klasma.github.io/Logging_0883/kartor/A 35939-2024 karta.png", "A 35939-2024")</f>
        <v/>
      </c>
      <c r="V89">
        <f>HYPERLINK("https://klasma.github.io/Logging_0883/klagomål/A 35939-2024 FSC-klagomål.docx", "A 35939-2024")</f>
        <v/>
      </c>
      <c r="W89">
        <f>HYPERLINK("https://klasma.github.io/Logging_0883/klagomålsmail/A 35939-2024 FSC-klagomål mail.docx", "A 35939-2024")</f>
        <v/>
      </c>
      <c r="X89">
        <f>HYPERLINK("https://klasma.github.io/Logging_0883/tillsyn/A 35939-2024 tillsynsbegäran.docx", "A 35939-2024")</f>
        <v/>
      </c>
      <c r="Y89">
        <f>HYPERLINK("https://klasma.github.io/Logging_0883/tillsynsmail/A 35939-2024 tillsynsbegäran mail.docx", "A 35939-2024")</f>
        <v/>
      </c>
      <c r="Z89">
        <f>HYPERLINK("https://klasma.github.io/Logging_0883/fåglar/A 35939-2024 prioriterade fågelarter.docx", "A 35939-2024")</f>
        <v/>
      </c>
    </row>
    <row r="90" ht="15" customHeight="1">
      <c r="A90" t="inlineStr">
        <is>
          <t>A 59319-2023</t>
        </is>
      </c>
      <c r="B90" s="1" t="n">
        <v>45253</v>
      </c>
      <c r="C90" s="1" t="n">
        <v>45991</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3781-2025</t>
        </is>
      </c>
      <c r="B91" s="1" t="n">
        <v>45681.62086805556</v>
      </c>
      <c r="C91" s="1" t="n">
        <v>45991</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9097-2021</t>
        </is>
      </c>
      <c r="B92" s="1" t="n">
        <v>44249</v>
      </c>
      <c r="C92" s="1" t="n">
        <v>45991</v>
      </c>
      <c r="D92" t="inlineStr">
        <is>
          <t>KALMAR LÄN</t>
        </is>
      </c>
      <c r="E92" t="inlineStr">
        <is>
          <t>VÄSTERVIK</t>
        </is>
      </c>
      <c r="F92" t="inlineStr">
        <is>
          <t>Sveaskog</t>
        </is>
      </c>
      <c r="G92" t="n">
        <v>1.9</v>
      </c>
      <c r="H92" t="n">
        <v>0</v>
      </c>
      <c r="I92" t="n">
        <v>1</v>
      </c>
      <c r="J92" t="n">
        <v>2</v>
      </c>
      <c r="K92" t="n">
        <v>0</v>
      </c>
      <c r="L92" t="n">
        <v>0</v>
      </c>
      <c r="M92" t="n">
        <v>0</v>
      </c>
      <c r="N92" t="n">
        <v>0</v>
      </c>
      <c r="O92" t="n">
        <v>2</v>
      </c>
      <c r="P92" t="n">
        <v>0</v>
      </c>
      <c r="Q92" t="n">
        <v>3</v>
      </c>
      <c r="R92" s="2" t="inlineStr">
        <is>
          <t>Tallticka
Vedskivlav
Vätteros</t>
        </is>
      </c>
      <c r="S92">
        <f>HYPERLINK("https://klasma.github.io/Logging_0883/artfynd/A 9097-2021 artfynd.xlsx", "A 9097-2021")</f>
        <v/>
      </c>
      <c r="T92">
        <f>HYPERLINK("https://klasma.github.io/Logging_0883/kartor/A 9097-2021 karta.png", "A 9097-2021")</f>
        <v/>
      </c>
      <c r="V92">
        <f>HYPERLINK("https://klasma.github.io/Logging_0883/klagomål/A 9097-2021 FSC-klagomål.docx", "A 9097-2021")</f>
        <v/>
      </c>
      <c r="W92">
        <f>HYPERLINK("https://klasma.github.io/Logging_0883/klagomålsmail/A 9097-2021 FSC-klagomål mail.docx", "A 9097-2021")</f>
        <v/>
      </c>
      <c r="X92">
        <f>HYPERLINK("https://klasma.github.io/Logging_0883/tillsyn/A 9097-2021 tillsynsbegäran.docx", "A 9097-2021")</f>
        <v/>
      </c>
      <c r="Y92">
        <f>HYPERLINK("https://klasma.github.io/Logging_0883/tillsynsmail/A 9097-2021 tillsynsbegäran mail.docx", "A 9097-2021")</f>
        <v/>
      </c>
    </row>
    <row r="93" ht="15" customHeight="1">
      <c r="A93" t="inlineStr">
        <is>
          <t>A 804-2023</t>
        </is>
      </c>
      <c r="B93" s="1" t="n">
        <v>44931</v>
      </c>
      <c r="C93" s="1" t="n">
        <v>45991</v>
      </c>
      <c r="D93" t="inlineStr">
        <is>
          <t>KALMAR LÄN</t>
        </is>
      </c>
      <c r="E93" t="inlineStr">
        <is>
          <t>VÄSTERVIK</t>
        </is>
      </c>
      <c r="F93" t="inlineStr">
        <is>
          <t>Holmen skog AB</t>
        </is>
      </c>
      <c r="G93" t="n">
        <v>5.2</v>
      </c>
      <c r="H93" t="n">
        <v>1</v>
      </c>
      <c r="I93" t="n">
        <v>1</v>
      </c>
      <c r="J93" t="n">
        <v>1</v>
      </c>
      <c r="K93" t="n">
        <v>1</v>
      </c>
      <c r="L93" t="n">
        <v>0</v>
      </c>
      <c r="M93" t="n">
        <v>0</v>
      </c>
      <c r="N93" t="n">
        <v>0</v>
      </c>
      <c r="O93" t="n">
        <v>2</v>
      </c>
      <c r="P93" t="n">
        <v>1</v>
      </c>
      <c r="Q93" t="n">
        <v>3</v>
      </c>
      <c r="R93" s="2" t="inlineStr">
        <is>
          <t>Violett fingersvamp
Ekticka
Ekoxe</t>
        </is>
      </c>
      <c r="S93">
        <f>HYPERLINK("https://klasma.github.io/Logging_0883/artfynd/A 804-2023 artfynd.xlsx", "A 804-2023")</f>
        <v/>
      </c>
      <c r="T93">
        <f>HYPERLINK("https://klasma.github.io/Logging_0883/kartor/A 804-2023 karta.png", "A 804-2023")</f>
        <v/>
      </c>
      <c r="V93">
        <f>HYPERLINK("https://klasma.github.io/Logging_0883/klagomål/A 804-2023 FSC-klagomål.docx", "A 804-2023")</f>
        <v/>
      </c>
      <c r="W93">
        <f>HYPERLINK("https://klasma.github.io/Logging_0883/klagomålsmail/A 804-2023 FSC-klagomål mail.docx", "A 804-2023")</f>
        <v/>
      </c>
      <c r="X93">
        <f>HYPERLINK("https://klasma.github.io/Logging_0883/tillsyn/A 804-2023 tillsynsbegäran.docx", "A 804-2023")</f>
        <v/>
      </c>
      <c r="Y93">
        <f>HYPERLINK("https://klasma.github.io/Logging_0883/tillsynsmail/A 804-2023 tillsynsbegäran mail.docx", "A 804-2023")</f>
        <v/>
      </c>
    </row>
    <row r="94" ht="15" customHeight="1">
      <c r="A94" t="inlineStr">
        <is>
          <t>A 55506-2022</t>
        </is>
      </c>
      <c r="B94" s="1" t="n">
        <v>44887</v>
      </c>
      <c r="C94" s="1" t="n">
        <v>45991</v>
      </c>
      <c r="D94" t="inlineStr">
        <is>
          <t>KALMAR LÄN</t>
        </is>
      </c>
      <c r="E94" t="inlineStr">
        <is>
          <t>VÄSTERVIK</t>
        </is>
      </c>
      <c r="G94" t="n">
        <v>3.4</v>
      </c>
      <c r="H94" t="n">
        <v>0</v>
      </c>
      <c r="I94" t="n">
        <v>1</v>
      </c>
      <c r="J94" t="n">
        <v>2</v>
      </c>
      <c r="K94" t="n">
        <v>0</v>
      </c>
      <c r="L94" t="n">
        <v>0</v>
      </c>
      <c r="M94" t="n">
        <v>0</v>
      </c>
      <c r="N94" t="n">
        <v>0</v>
      </c>
      <c r="O94" t="n">
        <v>2</v>
      </c>
      <c r="P94" t="n">
        <v>0</v>
      </c>
      <c r="Q94" t="n">
        <v>3</v>
      </c>
      <c r="R94" s="2" t="inlineStr">
        <is>
          <t>Tallticka
Ullticka
Trädporella</t>
        </is>
      </c>
      <c r="S94">
        <f>HYPERLINK("https://klasma.github.io/Logging_0883/artfynd/A 55506-2022 artfynd.xlsx", "A 55506-2022")</f>
        <v/>
      </c>
      <c r="T94">
        <f>HYPERLINK("https://klasma.github.io/Logging_0883/kartor/A 55506-2022 karta.png", "A 55506-2022")</f>
        <v/>
      </c>
      <c r="V94">
        <f>HYPERLINK("https://klasma.github.io/Logging_0883/klagomål/A 55506-2022 FSC-klagomål.docx", "A 55506-2022")</f>
        <v/>
      </c>
      <c r="W94">
        <f>HYPERLINK("https://klasma.github.io/Logging_0883/klagomålsmail/A 55506-2022 FSC-klagomål mail.docx", "A 55506-2022")</f>
        <v/>
      </c>
      <c r="X94">
        <f>HYPERLINK("https://klasma.github.io/Logging_0883/tillsyn/A 55506-2022 tillsynsbegäran.docx", "A 55506-2022")</f>
        <v/>
      </c>
      <c r="Y94">
        <f>HYPERLINK("https://klasma.github.io/Logging_0883/tillsynsmail/A 55506-2022 tillsynsbegäran mail.docx", "A 55506-2022")</f>
        <v/>
      </c>
    </row>
    <row r="95" ht="15" customHeight="1">
      <c r="A95" t="inlineStr">
        <is>
          <t>A 8620-2024</t>
        </is>
      </c>
      <c r="B95" s="1" t="n">
        <v>45355.74270833333</v>
      </c>
      <c r="C95" s="1" t="n">
        <v>45991</v>
      </c>
      <c r="D95" t="inlineStr">
        <is>
          <t>KALMAR LÄN</t>
        </is>
      </c>
      <c r="E95" t="inlineStr">
        <is>
          <t>VÄSTERVIK</t>
        </is>
      </c>
      <c r="G95" t="n">
        <v>0.9</v>
      </c>
      <c r="H95" t="n">
        <v>2</v>
      </c>
      <c r="I95" t="n">
        <v>1</v>
      </c>
      <c r="J95" t="n">
        <v>1</v>
      </c>
      <c r="K95" t="n">
        <v>1</v>
      </c>
      <c r="L95" t="n">
        <v>0</v>
      </c>
      <c r="M95" t="n">
        <v>0</v>
      </c>
      <c r="N95" t="n">
        <v>0</v>
      </c>
      <c r="O95" t="n">
        <v>2</v>
      </c>
      <c r="P95" t="n">
        <v>1</v>
      </c>
      <c r="Q95" t="n">
        <v>3</v>
      </c>
      <c r="R95" s="2" t="inlineStr">
        <is>
          <t>Knärot
Talltita
Blodticka</t>
        </is>
      </c>
      <c r="S95">
        <f>HYPERLINK("https://klasma.github.io/Logging_0883/artfynd/A 8620-2024 artfynd.xlsx", "A 8620-2024")</f>
        <v/>
      </c>
      <c r="T95">
        <f>HYPERLINK("https://klasma.github.io/Logging_0883/kartor/A 8620-2024 karta.png", "A 8620-2024")</f>
        <v/>
      </c>
      <c r="U95">
        <f>HYPERLINK("https://klasma.github.io/Logging_0883/knärot/A 8620-2024 karta knärot.png", "A 8620-2024")</f>
        <v/>
      </c>
      <c r="V95">
        <f>HYPERLINK("https://klasma.github.io/Logging_0883/klagomål/A 8620-2024 FSC-klagomål.docx", "A 8620-2024")</f>
        <v/>
      </c>
      <c r="W95">
        <f>HYPERLINK("https://klasma.github.io/Logging_0883/klagomålsmail/A 8620-2024 FSC-klagomål mail.docx", "A 8620-2024")</f>
        <v/>
      </c>
      <c r="X95">
        <f>HYPERLINK("https://klasma.github.io/Logging_0883/tillsyn/A 8620-2024 tillsynsbegäran.docx", "A 8620-2024")</f>
        <v/>
      </c>
      <c r="Y95">
        <f>HYPERLINK("https://klasma.github.io/Logging_0883/tillsynsmail/A 8620-2024 tillsynsbegäran mail.docx", "A 8620-2024")</f>
        <v/>
      </c>
      <c r="Z95">
        <f>HYPERLINK("https://klasma.github.io/Logging_0883/fåglar/A 8620-2024 prioriterade fågelarter.docx", "A 8620-2024")</f>
        <v/>
      </c>
    </row>
    <row r="96" ht="15" customHeight="1">
      <c r="A96" t="inlineStr">
        <is>
          <t>A 2340-2025</t>
        </is>
      </c>
      <c r="B96" s="1" t="n">
        <v>45673</v>
      </c>
      <c r="C96" s="1" t="n">
        <v>45991</v>
      </c>
      <c r="D96" t="inlineStr">
        <is>
          <t>KALMAR LÄN</t>
        </is>
      </c>
      <c r="E96" t="inlineStr">
        <is>
          <t>VÄSTERVIK</t>
        </is>
      </c>
      <c r="G96" t="n">
        <v>3.5</v>
      </c>
      <c r="H96" t="n">
        <v>3</v>
      </c>
      <c r="I96" t="n">
        <v>0</v>
      </c>
      <c r="J96" t="n">
        <v>2</v>
      </c>
      <c r="K96" t="n">
        <v>0</v>
      </c>
      <c r="L96" t="n">
        <v>0</v>
      </c>
      <c r="M96" t="n">
        <v>0</v>
      </c>
      <c r="N96" t="n">
        <v>0</v>
      </c>
      <c r="O96" t="n">
        <v>2</v>
      </c>
      <c r="P96" t="n">
        <v>0</v>
      </c>
      <c r="Q96" t="n">
        <v>3</v>
      </c>
      <c r="R96" s="2" t="inlineStr">
        <is>
          <t>Spillkråka
Talltita
Kungsfågel</t>
        </is>
      </c>
      <c r="S96">
        <f>HYPERLINK("https://klasma.github.io/Logging_0883/artfynd/A 2340-2025 artfynd.xlsx", "A 2340-2025")</f>
        <v/>
      </c>
      <c r="T96">
        <f>HYPERLINK("https://klasma.github.io/Logging_0883/kartor/A 2340-2025 karta.png", "A 2340-2025")</f>
        <v/>
      </c>
      <c r="U96">
        <f>HYPERLINK("https://klasma.github.io/Logging_0883/knärot/A 2340-2025 karta knärot.png", "A 2340-2025")</f>
        <v/>
      </c>
      <c r="V96">
        <f>HYPERLINK("https://klasma.github.io/Logging_0883/klagomål/A 2340-2025 FSC-klagomål.docx", "A 2340-2025")</f>
        <v/>
      </c>
      <c r="W96">
        <f>HYPERLINK("https://klasma.github.io/Logging_0883/klagomålsmail/A 2340-2025 FSC-klagomål mail.docx", "A 2340-2025")</f>
        <v/>
      </c>
      <c r="X96">
        <f>HYPERLINK("https://klasma.github.io/Logging_0883/tillsyn/A 2340-2025 tillsynsbegäran.docx", "A 2340-2025")</f>
        <v/>
      </c>
      <c r="Y96">
        <f>HYPERLINK("https://klasma.github.io/Logging_0883/tillsynsmail/A 2340-2025 tillsynsbegäran mail.docx", "A 2340-2025")</f>
        <v/>
      </c>
      <c r="Z96">
        <f>HYPERLINK("https://klasma.github.io/Logging_0883/fåglar/A 2340-2025 prioriterade fågelarter.docx", "A 2340-2025")</f>
        <v/>
      </c>
    </row>
    <row r="97" ht="15" customHeight="1">
      <c r="A97" t="inlineStr">
        <is>
          <t>A 16948-2024</t>
        </is>
      </c>
      <c r="B97" s="1" t="n">
        <v>45411</v>
      </c>
      <c r="C97" s="1" t="n">
        <v>45991</v>
      </c>
      <c r="D97" t="inlineStr">
        <is>
          <t>KALMAR LÄN</t>
        </is>
      </c>
      <c r="E97" t="inlineStr">
        <is>
          <t>VÄSTERVIK</t>
        </is>
      </c>
      <c r="G97" t="n">
        <v>13.3</v>
      </c>
      <c r="H97" t="n">
        <v>2</v>
      </c>
      <c r="I97" t="n">
        <v>0</v>
      </c>
      <c r="J97" t="n">
        <v>2</v>
      </c>
      <c r="K97" t="n">
        <v>1</v>
      </c>
      <c r="L97" t="n">
        <v>0</v>
      </c>
      <c r="M97" t="n">
        <v>0</v>
      </c>
      <c r="N97" t="n">
        <v>0</v>
      </c>
      <c r="O97" t="n">
        <v>3</v>
      </c>
      <c r="P97" t="n">
        <v>1</v>
      </c>
      <c r="Q97" t="n">
        <v>3</v>
      </c>
      <c r="R97" s="2" t="inlineStr">
        <is>
          <t>Knärot
Spillkråka
Tallticka</t>
        </is>
      </c>
      <c r="S97">
        <f>HYPERLINK("https://klasma.github.io/Logging_0883/artfynd/A 16948-2024 artfynd.xlsx", "A 16948-2024")</f>
        <v/>
      </c>
      <c r="T97">
        <f>HYPERLINK("https://klasma.github.io/Logging_0883/kartor/A 16948-2024 karta.png", "A 16948-2024")</f>
        <v/>
      </c>
      <c r="U97">
        <f>HYPERLINK("https://klasma.github.io/Logging_0883/knärot/A 16948-2024 karta knärot.png", "A 16948-2024")</f>
        <v/>
      </c>
      <c r="V97">
        <f>HYPERLINK("https://klasma.github.io/Logging_0883/klagomål/A 16948-2024 FSC-klagomål.docx", "A 16948-2024")</f>
        <v/>
      </c>
      <c r="W97">
        <f>HYPERLINK("https://klasma.github.io/Logging_0883/klagomålsmail/A 16948-2024 FSC-klagomål mail.docx", "A 16948-2024")</f>
        <v/>
      </c>
      <c r="X97">
        <f>HYPERLINK("https://klasma.github.io/Logging_0883/tillsyn/A 16948-2024 tillsynsbegäran.docx", "A 16948-2024")</f>
        <v/>
      </c>
      <c r="Y97">
        <f>HYPERLINK("https://klasma.github.io/Logging_0883/tillsynsmail/A 16948-2024 tillsynsbegäran mail.docx", "A 16948-2024")</f>
        <v/>
      </c>
      <c r="Z97">
        <f>HYPERLINK("https://klasma.github.io/Logging_0883/fåglar/A 16948-2024 prioriterade fågelarter.docx", "A 16948-2024")</f>
        <v/>
      </c>
    </row>
    <row r="98" ht="15" customHeight="1">
      <c r="A98" t="inlineStr">
        <is>
          <t>A 12708-2023</t>
        </is>
      </c>
      <c r="B98" s="1" t="n">
        <v>45000</v>
      </c>
      <c r="C98" s="1" t="n">
        <v>45991</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27700-2024</t>
        </is>
      </c>
      <c r="B99" s="1" t="n">
        <v>45475.35597222222</v>
      </c>
      <c r="C99" s="1" t="n">
        <v>45991</v>
      </c>
      <c r="D99" t="inlineStr">
        <is>
          <t>KALMAR LÄN</t>
        </is>
      </c>
      <c r="E99" t="inlineStr">
        <is>
          <t>VÄSTERVIK</t>
        </is>
      </c>
      <c r="F99" t="inlineStr">
        <is>
          <t>Holmen skog AB</t>
        </is>
      </c>
      <c r="G99" t="n">
        <v>1.1</v>
      </c>
      <c r="H99" t="n">
        <v>1</v>
      </c>
      <c r="I99" t="n">
        <v>2</v>
      </c>
      <c r="J99" t="n">
        <v>1</v>
      </c>
      <c r="K99" t="n">
        <v>0</v>
      </c>
      <c r="L99" t="n">
        <v>0</v>
      </c>
      <c r="M99" t="n">
        <v>0</v>
      </c>
      <c r="N99" t="n">
        <v>0</v>
      </c>
      <c r="O99" t="n">
        <v>1</v>
      </c>
      <c r="P99" t="n">
        <v>0</v>
      </c>
      <c r="Q99" t="n">
        <v>3</v>
      </c>
      <c r="R99" s="2" t="inlineStr">
        <is>
          <t>Spillkråka
Blåmossa
Zontaggsvamp</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27067-2024</t>
        </is>
      </c>
      <c r="B100" s="1" t="n">
        <v>45471</v>
      </c>
      <c r="C100" s="1" t="n">
        <v>45991</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41312-2025</t>
        </is>
      </c>
      <c r="B101" s="1" t="n">
        <v>45898.80314814814</v>
      </c>
      <c r="C101" s="1" t="n">
        <v>45991</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21658-2025</t>
        </is>
      </c>
      <c r="B102" s="1" t="n">
        <v>45783.45474537037</v>
      </c>
      <c r="C102" s="1" t="n">
        <v>45991</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53849-2025</t>
        </is>
      </c>
      <c r="B103" s="1" t="n">
        <v>45961.36885416666</v>
      </c>
      <c r="C103" s="1" t="n">
        <v>45991</v>
      </c>
      <c r="D103" t="inlineStr">
        <is>
          <t>KALMAR LÄN</t>
        </is>
      </c>
      <c r="E103" t="inlineStr">
        <is>
          <t>VÄSTERVIK</t>
        </is>
      </c>
      <c r="F103" t="inlineStr">
        <is>
          <t>Sveaskog</t>
        </is>
      </c>
      <c r="G103" t="n">
        <v>3.4</v>
      </c>
      <c r="H103" t="n">
        <v>1</v>
      </c>
      <c r="I103" t="n">
        <v>2</v>
      </c>
      <c r="J103" t="n">
        <v>0</v>
      </c>
      <c r="K103" t="n">
        <v>0</v>
      </c>
      <c r="L103" t="n">
        <v>0</v>
      </c>
      <c r="M103" t="n">
        <v>0</v>
      </c>
      <c r="N103" t="n">
        <v>0</v>
      </c>
      <c r="O103" t="n">
        <v>0</v>
      </c>
      <c r="P103" t="n">
        <v>0</v>
      </c>
      <c r="Q103" t="n">
        <v>3</v>
      </c>
      <c r="R103" s="2" t="inlineStr">
        <is>
          <t>Fällmossa
Murgröna
Blåsippa</t>
        </is>
      </c>
      <c r="S103">
        <f>HYPERLINK("https://klasma.github.io/Logging_0883/artfynd/A 53849-2025 artfynd.xlsx", "A 53849-2025")</f>
        <v/>
      </c>
      <c r="T103">
        <f>HYPERLINK("https://klasma.github.io/Logging_0883/kartor/A 53849-2025 karta.png", "A 53849-2025")</f>
        <v/>
      </c>
      <c r="V103">
        <f>HYPERLINK("https://klasma.github.io/Logging_0883/klagomål/A 53849-2025 FSC-klagomål.docx", "A 53849-2025")</f>
        <v/>
      </c>
      <c r="W103">
        <f>HYPERLINK("https://klasma.github.io/Logging_0883/klagomålsmail/A 53849-2025 FSC-klagomål mail.docx", "A 53849-2025")</f>
        <v/>
      </c>
      <c r="X103">
        <f>HYPERLINK("https://klasma.github.io/Logging_0883/tillsyn/A 53849-2025 tillsynsbegäran.docx", "A 53849-2025")</f>
        <v/>
      </c>
      <c r="Y103">
        <f>HYPERLINK("https://klasma.github.io/Logging_0883/tillsynsmail/A 53849-2025 tillsynsbegäran mail.docx", "A 53849-2025")</f>
        <v/>
      </c>
    </row>
    <row r="104" ht="15" customHeight="1">
      <c r="A104" t="inlineStr">
        <is>
          <t>A 31854-2025</t>
        </is>
      </c>
      <c r="B104" s="1" t="n">
        <v>45834</v>
      </c>
      <c r="C104" s="1" t="n">
        <v>45991</v>
      </c>
      <c r="D104" t="inlineStr">
        <is>
          <t>KALMAR LÄN</t>
        </is>
      </c>
      <c r="E104" t="inlineStr">
        <is>
          <t>VÄSTERVIK</t>
        </is>
      </c>
      <c r="F104" t="inlineStr">
        <is>
          <t>Holmen skog AB</t>
        </is>
      </c>
      <c r="G104" t="n">
        <v>4.3</v>
      </c>
      <c r="H104" t="n">
        <v>2</v>
      </c>
      <c r="I104" t="n">
        <v>1</v>
      </c>
      <c r="J104" t="n">
        <v>1</v>
      </c>
      <c r="K104" t="n">
        <v>1</v>
      </c>
      <c r="L104" t="n">
        <v>0</v>
      </c>
      <c r="M104" t="n">
        <v>0</v>
      </c>
      <c r="N104" t="n">
        <v>0</v>
      </c>
      <c r="O104" t="n">
        <v>2</v>
      </c>
      <c r="P104" t="n">
        <v>1</v>
      </c>
      <c r="Q104" t="n">
        <v>3</v>
      </c>
      <c r="R104" s="2" t="inlineStr">
        <is>
          <t>Knärot
Talltita
Grönpyrola</t>
        </is>
      </c>
      <c r="S104">
        <f>HYPERLINK("https://klasma.github.io/Logging_0883/artfynd/A 31854-2025 artfynd.xlsx", "A 31854-2025")</f>
        <v/>
      </c>
      <c r="T104">
        <f>HYPERLINK("https://klasma.github.io/Logging_0883/kartor/A 31854-2025 karta.png", "A 31854-2025")</f>
        <v/>
      </c>
      <c r="U104">
        <f>HYPERLINK("https://klasma.github.io/Logging_0883/knärot/A 31854-2025 karta knärot.png", "A 31854-2025")</f>
        <v/>
      </c>
      <c r="V104">
        <f>HYPERLINK("https://klasma.github.io/Logging_0883/klagomål/A 31854-2025 FSC-klagomål.docx", "A 31854-2025")</f>
        <v/>
      </c>
      <c r="W104">
        <f>HYPERLINK("https://klasma.github.io/Logging_0883/klagomålsmail/A 31854-2025 FSC-klagomål mail.docx", "A 31854-2025")</f>
        <v/>
      </c>
      <c r="X104">
        <f>HYPERLINK("https://klasma.github.io/Logging_0883/tillsyn/A 31854-2025 tillsynsbegäran.docx", "A 31854-2025")</f>
        <v/>
      </c>
      <c r="Y104">
        <f>HYPERLINK("https://klasma.github.io/Logging_0883/tillsynsmail/A 31854-2025 tillsynsbegäran mail.docx", "A 31854-2025")</f>
        <v/>
      </c>
      <c r="Z104">
        <f>HYPERLINK("https://klasma.github.io/Logging_0883/fåglar/A 31854-2025 prioriterade fågelarter.docx", "A 31854-2025")</f>
        <v/>
      </c>
    </row>
    <row r="105" ht="15" customHeight="1">
      <c r="A105" t="inlineStr">
        <is>
          <t>A 4454-2025</t>
        </is>
      </c>
      <c r="B105" s="1" t="n">
        <v>45686</v>
      </c>
      <c r="C105" s="1" t="n">
        <v>45991</v>
      </c>
      <c r="D105" t="inlineStr">
        <is>
          <t>KALMAR LÄN</t>
        </is>
      </c>
      <c r="E105" t="inlineStr">
        <is>
          <t>VÄSTERVIK</t>
        </is>
      </c>
      <c r="G105" t="n">
        <v>1</v>
      </c>
      <c r="H105" t="n">
        <v>2</v>
      </c>
      <c r="I105" t="n">
        <v>1</v>
      </c>
      <c r="J105" t="n">
        <v>0</v>
      </c>
      <c r="K105" t="n">
        <v>1</v>
      </c>
      <c r="L105" t="n">
        <v>0</v>
      </c>
      <c r="M105" t="n">
        <v>0</v>
      </c>
      <c r="N105" t="n">
        <v>0</v>
      </c>
      <c r="O105" t="n">
        <v>1</v>
      </c>
      <c r="P105" t="n">
        <v>1</v>
      </c>
      <c r="Q105" t="n">
        <v>3</v>
      </c>
      <c r="R105" s="2" t="inlineStr">
        <is>
          <t>Knärot
Grönpyrola
Kungsfågel</t>
        </is>
      </c>
      <c r="S105">
        <f>HYPERLINK("https://klasma.github.io/Logging_0883/artfynd/A 4454-2025 artfynd.xlsx", "A 4454-2025")</f>
        <v/>
      </c>
      <c r="T105">
        <f>HYPERLINK("https://klasma.github.io/Logging_0883/kartor/A 4454-2025 karta.png", "A 4454-2025")</f>
        <v/>
      </c>
      <c r="U105">
        <f>HYPERLINK("https://klasma.github.io/Logging_0883/knärot/A 4454-2025 karta knärot.png", "A 4454-2025")</f>
        <v/>
      </c>
      <c r="V105">
        <f>HYPERLINK("https://klasma.github.io/Logging_0883/klagomål/A 4454-2025 FSC-klagomål.docx", "A 4454-2025")</f>
        <v/>
      </c>
      <c r="W105">
        <f>HYPERLINK("https://klasma.github.io/Logging_0883/klagomålsmail/A 4454-2025 FSC-klagomål mail.docx", "A 4454-2025")</f>
        <v/>
      </c>
      <c r="X105">
        <f>HYPERLINK("https://klasma.github.io/Logging_0883/tillsyn/A 4454-2025 tillsynsbegäran.docx", "A 4454-2025")</f>
        <v/>
      </c>
      <c r="Y105">
        <f>HYPERLINK("https://klasma.github.io/Logging_0883/tillsynsmail/A 4454-2025 tillsynsbegäran mail.docx", "A 4454-2025")</f>
        <v/>
      </c>
      <c r="Z105">
        <f>HYPERLINK("https://klasma.github.io/Logging_0883/fåglar/A 4454-2025 prioriterade fågelarter.docx", "A 4454-2025")</f>
        <v/>
      </c>
    </row>
    <row r="106" ht="15" customHeight="1">
      <c r="A106" t="inlineStr">
        <is>
          <t>A 35705-2025</t>
        </is>
      </c>
      <c r="B106" s="1" t="n">
        <v>45860.36769675926</v>
      </c>
      <c r="C106" s="1" t="n">
        <v>45991</v>
      </c>
      <c r="D106" t="inlineStr">
        <is>
          <t>KALMAR LÄN</t>
        </is>
      </c>
      <c r="E106" t="inlineStr">
        <is>
          <t>VÄSTERVIK</t>
        </is>
      </c>
      <c r="G106" t="n">
        <v>2.5</v>
      </c>
      <c r="H106" t="n">
        <v>2</v>
      </c>
      <c r="I106" t="n">
        <v>1</v>
      </c>
      <c r="J106" t="n">
        <v>1</v>
      </c>
      <c r="K106" t="n">
        <v>0</v>
      </c>
      <c r="L106" t="n">
        <v>0</v>
      </c>
      <c r="M106" t="n">
        <v>0</v>
      </c>
      <c r="N106" t="n">
        <v>0</v>
      </c>
      <c r="O106" t="n">
        <v>1</v>
      </c>
      <c r="P106" t="n">
        <v>0</v>
      </c>
      <c r="Q106" t="n">
        <v>3</v>
      </c>
      <c r="R106" s="2" t="inlineStr">
        <is>
          <t>Talltita
Grovticka
Kungsfågel</t>
        </is>
      </c>
      <c r="S106">
        <f>HYPERLINK("https://klasma.github.io/Logging_0883/artfynd/A 35705-2025 artfynd.xlsx", "A 35705-2025")</f>
        <v/>
      </c>
      <c r="T106">
        <f>HYPERLINK("https://klasma.github.io/Logging_0883/kartor/A 35705-2025 karta.png", "A 35705-2025")</f>
        <v/>
      </c>
      <c r="U106">
        <f>HYPERLINK("https://klasma.github.io/Logging_0883/knärot/A 35705-2025 karta knärot.png", "A 35705-2025")</f>
        <v/>
      </c>
      <c r="V106">
        <f>HYPERLINK("https://klasma.github.io/Logging_0883/klagomål/A 35705-2025 FSC-klagomål.docx", "A 35705-2025")</f>
        <v/>
      </c>
      <c r="W106">
        <f>HYPERLINK("https://klasma.github.io/Logging_0883/klagomålsmail/A 35705-2025 FSC-klagomål mail.docx", "A 35705-2025")</f>
        <v/>
      </c>
      <c r="X106">
        <f>HYPERLINK("https://klasma.github.io/Logging_0883/tillsyn/A 35705-2025 tillsynsbegäran.docx", "A 35705-2025")</f>
        <v/>
      </c>
      <c r="Y106">
        <f>HYPERLINK("https://klasma.github.io/Logging_0883/tillsynsmail/A 35705-2025 tillsynsbegäran mail.docx", "A 35705-2025")</f>
        <v/>
      </c>
      <c r="Z106">
        <f>HYPERLINK("https://klasma.github.io/Logging_0883/fåglar/A 35705-2025 prioriterade fågelarter.docx", "A 35705-2025")</f>
        <v/>
      </c>
    </row>
    <row r="107" ht="15" customHeight="1">
      <c r="A107" t="inlineStr">
        <is>
          <t>A 48318-2024</t>
        </is>
      </c>
      <c r="B107" s="1" t="n">
        <v>45590.49690972222</v>
      </c>
      <c r="C107" s="1" t="n">
        <v>45991</v>
      </c>
      <c r="D107" t="inlineStr">
        <is>
          <t>KALMAR LÄN</t>
        </is>
      </c>
      <c r="E107" t="inlineStr">
        <is>
          <t>VÄSTERVIK</t>
        </is>
      </c>
      <c r="F107" t="inlineStr">
        <is>
          <t>Holmen skog AB</t>
        </is>
      </c>
      <c r="G107" t="n">
        <v>4</v>
      </c>
      <c r="H107" t="n">
        <v>3</v>
      </c>
      <c r="I107" t="n">
        <v>0</v>
      </c>
      <c r="J107" t="n">
        <v>3</v>
      </c>
      <c r="K107" t="n">
        <v>0</v>
      </c>
      <c r="L107" t="n">
        <v>0</v>
      </c>
      <c r="M107" t="n">
        <v>0</v>
      </c>
      <c r="N107" t="n">
        <v>0</v>
      </c>
      <c r="O107" t="n">
        <v>3</v>
      </c>
      <c r="P107" t="n">
        <v>0</v>
      </c>
      <c r="Q107" t="n">
        <v>3</v>
      </c>
      <c r="R107" s="2" t="inlineStr">
        <is>
          <t>Entita
Spillkråka
Talltita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56968-2025</t>
        </is>
      </c>
      <c r="B108" s="1" t="n">
        <v>45978.67748842593</v>
      </c>
      <c r="C108" s="1" t="n">
        <v>45991</v>
      </c>
      <c r="D108" t="inlineStr">
        <is>
          <t>KALMAR LÄN</t>
        </is>
      </c>
      <c r="E108" t="inlineStr">
        <is>
          <t>VÄSTERVIK</t>
        </is>
      </c>
      <c r="F108" t="inlineStr">
        <is>
          <t>Holmen skog AB</t>
        </is>
      </c>
      <c r="G108" t="n">
        <v>4.1</v>
      </c>
      <c r="H108" t="n">
        <v>3</v>
      </c>
      <c r="I108" t="n">
        <v>0</v>
      </c>
      <c r="J108" t="n">
        <v>2</v>
      </c>
      <c r="K108" t="n">
        <v>0</v>
      </c>
      <c r="L108" t="n">
        <v>0</v>
      </c>
      <c r="M108" t="n">
        <v>0</v>
      </c>
      <c r="N108" t="n">
        <v>0</v>
      </c>
      <c r="O108" t="n">
        <v>2</v>
      </c>
      <c r="P108" t="n">
        <v>0</v>
      </c>
      <c r="Q108" t="n">
        <v>3</v>
      </c>
      <c r="R108" s="2" t="inlineStr">
        <is>
          <t>Spillkråka
Talltita
Grönvit nattviol</t>
        </is>
      </c>
      <c r="S108">
        <f>HYPERLINK("https://klasma.github.io/Logging_0883/artfynd/A 56968-2025 artfynd.xlsx", "A 56968-2025")</f>
        <v/>
      </c>
      <c r="T108">
        <f>HYPERLINK("https://klasma.github.io/Logging_0883/kartor/A 56968-2025 karta.png", "A 56968-2025")</f>
        <v/>
      </c>
      <c r="V108">
        <f>HYPERLINK("https://klasma.github.io/Logging_0883/klagomål/A 56968-2025 FSC-klagomål.docx", "A 56968-2025")</f>
        <v/>
      </c>
      <c r="W108">
        <f>HYPERLINK("https://klasma.github.io/Logging_0883/klagomålsmail/A 56968-2025 FSC-klagomål mail.docx", "A 56968-2025")</f>
        <v/>
      </c>
      <c r="X108">
        <f>HYPERLINK("https://klasma.github.io/Logging_0883/tillsyn/A 56968-2025 tillsynsbegäran.docx", "A 56968-2025")</f>
        <v/>
      </c>
      <c r="Y108">
        <f>HYPERLINK("https://klasma.github.io/Logging_0883/tillsynsmail/A 56968-2025 tillsynsbegäran mail.docx", "A 56968-2025")</f>
        <v/>
      </c>
      <c r="Z108">
        <f>HYPERLINK("https://klasma.github.io/Logging_0883/fåglar/A 56968-2025 prioriterade fågelarter.docx", "A 56968-2025")</f>
        <v/>
      </c>
    </row>
    <row r="109" ht="15" customHeight="1">
      <c r="A109" t="inlineStr">
        <is>
          <t>A 49607-2025</t>
        </is>
      </c>
      <c r="B109" s="1" t="n">
        <v>45939.5674074074</v>
      </c>
      <c r="C109" s="1" t="n">
        <v>45991</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56080-2025</t>
        </is>
      </c>
      <c r="B110" s="1" t="n">
        <v>45973.65979166667</v>
      </c>
      <c r="C110" s="1" t="n">
        <v>45991</v>
      </c>
      <c r="D110" t="inlineStr">
        <is>
          <t>KALMAR LÄN</t>
        </is>
      </c>
      <c r="E110" t="inlineStr">
        <is>
          <t>VÄSTERVIK</t>
        </is>
      </c>
      <c r="F110" t="inlineStr">
        <is>
          <t>Holmen skog AB</t>
        </is>
      </c>
      <c r="G110" t="n">
        <v>3</v>
      </c>
      <c r="H110" t="n">
        <v>2</v>
      </c>
      <c r="I110" t="n">
        <v>1</v>
      </c>
      <c r="J110" t="n">
        <v>1</v>
      </c>
      <c r="K110" t="n">
        <v>1</v>
      </c>
      <c r="L110" t="n">
        <v>0</v>
      </c>
      <c r="M110" t="n">
        <v>0</v>
      </c>
      <c r="N110" t="n">
        <v>0</v>
      </c>
      <c r="O110" t="n">
        <v>2</v>
      </c>
      <c r="P110" t="n">
        <v>1</v>
      </c>
      <c r="Q110" t="n">
        <v>3</v>
      </c>
      <c r="R110" s="2" t="inlineStr">
        <is>
          <t>Knärot
Talltita
Dropptaggsvamp</t>
        </is>
      </c>
      <c r="S110">
        <f>HYPERLINK("https://klasma.github.io/Logging_0883/artfynd/A 56080-2025 artfynd.xlsx", "A 56080-2025")</f>
        <v/>
      </c>
      <c r="T110">
        <f>HYPERLINK("https://klasma.github.io/Logging_0883/kartor/A 56080-2025 karta.png", "A 56080-2025")</f>
        <v/>
      </c>
      <c r="U110">
        <f>HYPERLINK("https://klasma.github.io/Logging_0883/knärot/A 56080-2025 karta knärot.png", "A 56080-2025")</f>
        <v/>
      </c>
      <c r="V110">
        <f>HYPERLINK("https://klasma.github.io/Logging_0883/klagomål/A 56080-2025 FSC-klagomål.docx", "A 56080-2025")</f>
        <v/>
      </c>
      <c r="W110">
        <f>HYPERLINK("https://klasma.github.io/Logging_0883/klagomålsmail/A 56080-2025 FSC-klagomål mail.docx", "A 56080-2025")</f>
        <v/>
      </c>
      <c r="X110">
        <f>HYPERLINK("https://klasma.github.io/Logging_0883/tillsyn/A 56080-2025 tillsynsbegäran.docx", "A 56080-2025")</f>
        <v/>
      </c>
      <c r="Y110">
        <f>HYPERLINK("https://klasma.github.io/Logging_0883/tillsynsmail/A 56080-2025 tillsynsbegäran mail.docx", "A 56080-2025")</f>
        <v/>
      </c>
      <c r="Z110">
        <f>HYPERLINK("https://klasma.github.io/Logging_0883/fåglar/A 56080-2025 prioriterade fågelarter.docx", "A 56080-2025")</f>
        <v/>
      </c>
    </row>
    <row r="111" ht="15" customHeight="1">
      <c r="A111" t="inlineStr">
        <is>
          <t>A 56336-2025</t>
        </is>
      </c>
      <c r="B111" s="1" t="n">
        <v>45974.64564814815</v>
      </c>
      <c r="C111" s="1" t="n">
        <v>45991</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52992-2024</t>
        </is>
      </c>
      <c r="B112" s="1" t="n">
        <v>45611</v>
      </c>
      <c r="C112" s="1" t="n">
        <v>45991</v>
      </c>
      <c r="D112" t="inlineStr">
        <is>
          <t>KALMAR LÄN</t>
        </is>
      </c>
      <c r="E112" t="inlineStr">
        <is>
          <t>VÄSTERVIK</t>
        </is>
      </c>
      <c r="F112" t="inlineStr">
        <is>
          <t>Holmen skog AB</t>
        </is>
      </c>
      <c r="G112" t="n">
        <v>5.5</v>
      </c>
      <c r="H112" t="n">
        <v>2</v>
      </c>
      <c r="I112" t="n">
        <v>1</v>
      </c>
      <c r="J112" t="n">
        <v>2</v>
      </c>
      <c r="K112" t="n">
        <v>0</v>
      </c>
      <c r="L112" t="n">
        <v>0</v>
      </c>
      <c r="M112" t="n">
        <v>0</v>
      </c>
      <c r="N112" t="n">
        <v>0</v>
      </c>
      <c r="O112" t="n">
        <v>2</v>
      </c>
      <c r="P112" t="n">
        <v>0</v>
      </c>
      <c r="Q112" t="n">
        <v>3</v>
      </c>
      <c r="R112" s="2" t="inlineStr">
        <is>
          <t>Spillkråka
Talltita
Brandticka</t>
        </is>
      </c>
      <c r="S112">
        <f>HYPERLINK("https://klasma.github.io/Logging_0883/artfynd/A 52992-2024 artfynd.xlsx", "A 52992-2024")</f>
        <v/>
      </c>
      <c r="T112">
        <f>HYPERLINK("https://klasma.github.io/Logging_0883/kartor/A 52992-2024 karta.png", "A 52992-2024")</f>
        <v/>
      </c>
      <c r="V112">
        <f>HYPERLINK("https://klasma.github.io/Logging_0883/klagomål/A 52992-2024 FSC-klagomål.docx", "A 52992-2024")</f>
        <v/>
      </c>
      <c r="W112">
        <f>HYPERLINK("https://klasma.github.io/Logging_0883/klagomålsmail/A 52992-2024 FSC-klagomål mail.docx", "A 52992-2024")</f>
        <v/>
      </c>
      <c r="X112">
        <f>HYPERLINK("https://klasma.github.io/Logging_0883/tillsyn/A 52992-2024 tillsynsbegäran.docx", "A 52992-2024")</f>
        <v/>
      </c>
      <c r="Y112">
        <f>HYPERLINK("https://klasma.github.io/Logging_0883/tillsynsmail/A 52992-2024 tillsynsbegäran mail.docx", "A 52992-2024")</f>
        <v/>
      </c>
      <c r="Z112">
        <f>HYPERLINK("https://klasma.github.io/Logging_0883/fåglar/A 52992-2024 prioriterade fågelarter.docx", "A 52992-2024")</f>
        <v/>
      </c>
    </row>
    <row r="113" ht="15" customHeight="1">
      <c r="A113" t="inlineStr">
        <is>
          <t>A 39190-2024</t>
        </is>
      </c>
      <c r="B113" s="1" t="n">
        <v>45548</v>
      </c>
      <c r="C113" s="1" t="n">
        <v>45991</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49560-2025</t>
        </is>
      </c>
      <c r="B114" s="1" t="n">
        <v>45939.46140046296</v>
      </c>
      <c r="C114" s="1" t="n">
        <v>45991</v>
      </c>
      <c r="D114" t="inlineStr">
        <is>
          <t>KALMAR LÄN</t>
        </is>
      </c>
      <c r="E114" t="inlineStr">
        <is>
          <t>VÄSTERVIK</t>
        </is>
      </c>
      <c r="F114" t="inlineStr">
        <is>
          <t>Holmen skog AB</t>
        </is>
      </c>
      <c r="G114" t="n">
        <v>1.9</v>
      </c>
      <c r="H114" t="n">
        <v>2</v>
      </c>
      <c r="I114" t="n">
        <v>1</v>
      </c>
      <c r="J114" t="n">
        <v>1</v>
      </c>
      <c r="K114" t="n">
        <v>1</v>
      </c>
      <c r="L114" t="n">
        <v>0</v>
      </c>
      <c r="M114" t="n">
        <v>0</v>
      </c>
      <c r="N114" t="n">
        <v>0</v>
      </c>
      <c r="O114" t="n">
        <v>2</v>
      </c>
      <c r="P114" t="n">
        <v>1</v>
      </c>
      <c r="Q114" t="n">
        <v>3</v>
      </c>
      <c r="R114" s="2" t="inlineStr">
        <is>
          <t>Knärot
Spillkråka
Dropptaggsvamp</t>
        </is>
      </c>
      <c r="S114">
        <f>HYPERLINK("https://klasma.github.io/Logging_0883/artfynd/A 49560-2025 artfynd.xlsx", "A 49560-2025")</f>
        <v/>
      </c>
      <c r="T114">
        <f>HYPERLINK("https://klasma.github.io/Logging_0883/kartor/A 49560-2025 karta.png", "A 49560-2025")</f>
        <v/>
      </c>
      <c r="U114">
        <f>HYPERLINK("https://klasma.github.io/Logging_0883/knärot/A 49560-2025 karta knärot.png", "A 49560-2025")</f>
        <v/>
      </c>
      <c r="V114">
        <f>HYPERLINK("https://klasma.github.io/Logging_0883/klagomål/A 49560-2025 FSC-klagomål.docx", "A 49560-2025")</f>
        <v/>
      </c>
      <c r="W114">
        <f>HYPERLINK("https://klasma.github.io/Logging_0883/klagomålsmail/A 49560-2025 FSC-klagomål mail.docx", "A 49560-2025")</f>
        <v/>
      </c>
      <c r="X114">
        <f>HYPERLINK("https://klasma.github.io/Logging_0883/tillsyn/A 49560-2025 tillsynsbegäran.docx", "A 49560-2025")</f>
        <v/>
      </c>
      <c r="Y114">
        <f>HYPERLINK("https://klasma.github.io/Logging_0883/tillsynsmail/A 49560-2025 tillsynsbegäran mail.docx", "A 49560-2025")</f>
        <v/>
      </c>
      <c r="Z114">
        <f>HYPERLINK("https://klasma.github.io/Logging_0883/fåglar/A 49560-2025 prioriterade fågelarter.docx", "A 49560-2025")</f>
        <v/>
      </c>
    </row>
    <row r="115" ht="15" customHeight="1">
      <c r="A115" t="inlineStr">
        <is>
          <t>A 1764-2025</t>
        </is>
      </c>
      <c r="B115" s="1" t="n">
        <v>45671</v>
      </c>
      <c r="C115" s="1" t="n">
        <v>45991</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1763-2025</t>
        </is>
      </c>
      <c r="B116" s="1" t="n">
        <v>45671</v>
      </c>
      <c r="C116" s="1" t="n">
        <v>45991</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2657-2024</t>
        </is>
      </c>
      <c r="B117" s="1" t="n">
        <v>45314</v>
      </c>
      <c r="C117" s="1" t="n">
        <v>45991</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42353-2023</t>
        </is>
      </c>
      <c r="B118" s="1" t="n">
        <v>45180</v>
      </c>
      <c r="C118" s="1" t="n">
        <v>45991</v>
      </c>
      <c r="D118" t="inlineStr">
        <is>
          <t>KALMAR LÄN</t>
        </is>
      </c>
      <c r="E118" t="inlineStr">
        <is>
          <t>VÄSTERVIK</t>
        </is>
      </c>
      <c r="G118" t="n">
        <v>11.3</v>
      </c>
      <c r="H118" t="n">
        <v>1</v>
      </c>
      <c r="I118" t="n">
        <v>1</v>
      </c>
      <c r="J118" t="n">
        <v>1</v>
      </c>
      <c r="K118" t="n">
        <v>1</v>
      </c>
      <c r="L118" t="n">
        <v>0</v>
      </c>
      <c r="M118" t="n">
        <v>0</v>
      </c>
      <c r="N118" t="n">
        <v>0</v>
      </c>
      <c r="O118" t="n">
        <v>2</v>
      </c>
      <c r="P118" t="n">
        <v>1</v>
      </c>
      <c r="Q118" t="n">
        <v>3</v>
      </c>
      <c r="R118" s="2" t="inlineStr">
        <is>
          <t>Knärot
Tallticka
Blomkålssvamp</t>
        </is>
      </c>
      <c r="S118">
        <f>HYPERLINK("https://klasma.github.io/Logging_0883/artfynd/A 42353-2023 artfynd.xlsx", "A 42353-2023")</f>
        <v/>
      </c>
      <c r="T118">
        <f>HYPERLINK("https://klasma.github.io/Logging_0883/kartor/A 42353-2023 karta.png", "A 42353-2023")</f>
        <v/>
      </c>
      <c r="U118">
        <f>HYPERLINK("https://klasma.github.io/Logging_0883/knärot/A 42353-2023 karta knärot.png", "A 42353-2023")</f>
        <v/>
      </c>
      <c r="V118">
        <f>HYPERLINK("https://klasma.github.io/Logging_0883/klagomål/A 42353-2023 FSC-klagomål.docx", "A 42353-2023")</f>
        <v/>
      </c>
      <c r="W118">
        <f>HYPERLINK("https://klasma.github.io/Logging_0883/klagomålsmail/A 42353-2023 FSC-klagomål mail.docx", "A 42353-2023")</f>
        <v/>
      </c>
      <c r="X118">
        <f>HYPERLINK("https://klasma.github.io/Logging_0883/tillsyn/A 42353-2023 tillsynsbegäran.docx", "A 42353-2023")</f>
        <v/>
      </c>
      <c r="Y118">
        <f>HYPERLINK("https://klasma.github.io/Logging_0883/tillsynsmail/A 42353-2023 tillsynsbegäran mail.docx", "A 42353-2023")</f>
        <v/>
      </c>
    </row>
    <row r="119" ht="15" customHeight="1">
      <c r="A119" t="inlineStr">
        <is>
          <t>A 21084-2025</t>
        </is>
      </c>
      <c r="B119" s="1" t="n">
        <v>45777.6084837963</v>
      </c>
      <c r="C119" s="1" t="n">
        <v>45991</v>
      </c>
      <c r="D119" t="inlineStr">
        <is>
          <t>KALMAR LÄN</t>
        </is>
      </c>
      <c r="E119" t="inlineStr">
        <is>
          <t>VÄSTERVIK</t>
        </is>
      </c>
      <c r="G119" t="n">
        <v>0.8</v>
      </c>
      <c r="H119" t="n">
        <v>2</v>
      </c>
      <c r="I119" t="n">
        <v>1</v>
      </c>
      <c r="J119" t="n">
        <v>2</v>
      </c>
      <c r="K119" t="n">
        <v>0</v>
      </c>
      <c r="L119" t="n">
        <v>0</v>
      </c>
      <c r="M119" t="n">
        <v>0</v>
      </c>
      <c r="N119" t="n">
        <v>0</v>
      </c>
      <c r="O119" t="n">
        <v>2</v>
      </c>
      <c r="P119" t="n">
        <v>0</v>
      </c>
      <c r="Q119" t="n">
        <v>3</v>
      </c>
      <c r="R119" s="2" t="inlineStr">
        <is>
          <t>Spillkråka
Talltita
Grönpyrola</t>
        </is>
      </c>
      <c r="S119">
        <f>HYPERLINK("https://klasma.github.io/Logging_0883/artfynd/A 21084-2025 artfynd.xlsx", "A 21084-2025")</f>
        <v/>
      </c>
      <c r="T119">
        <f>HYPERLINK("https://klasma.github.io/Logging_0883/kartor/A 21084-2025 karta.png", "A 21084-2025")</f>
        <v/>
      </c>
      <c r="V119">
        <f>HYPERLINK("https://klasma.github.io/Logging_0883/klagomål/A 21084-2025 FSC-klagomål.docx", "A 21084-2025")</f>
        <v/>
      </c>
      <c r="W119">
        <f>HYPERLINK("https://klasma.github.io/Logging_0883/klagomålsmail/A 21084-2025 FSC-klagomål mail.docx", "A 21084-2025")</f>
        <v/>
      </c>
      <c r="X119">
        <f>HYPERLINK("https://klasma.github.io/Logging_0883/tillsyn/A 21084-2025 tillsynsbegäran.docx", "A 21084-2025")</f>
        <v/>
      </c>
      <c r="Y119">
        <f>HYPERLINK("https://klasma.github.io/Logging_0883/tillsynsmail/A 21084-2025 tillsynsbegäran mail.docx", "A 21084-2025")</f>
        <v/>
      </c>
      <c r="Z119">
        <f>HYPERLINK("https://klasma.github.io/Logging_0883/fåglar/A 21084-2025 prioriterade fågelarter.docx", "A 21084-2025")</f>
        <v/>
      </c>
    </row>
    <row r="120" ht="15" customHeight="1">
      <c r="A120" t="inlineStr">
        <is>
          <t>A 58750-2024</t>
        </is>
      </c>
      <c r="B120" s="1" t="n">
        <v>45635.71747685185</v>
      </c>
      <c r="C120" s="1" t="n">
        <v>45991</v>
      </c>
      <c r="D120" t="inlineStr">
        <is>
          <t>KALMAR LÄN</t>
        </is>
      </c>
      <c r="E120" t="inlineStr">
        <is>
          <t>VÄSTERVIK</t>
        </is>
      </c>
      <c r="G120" t="n">
        <v>6.7</v>
      </c>
      <c r="H120" t="n">
        <v>1</v>
      </c>
      <c r="I120" t="n">
        <v>1</v>
      </c>
      <c r="J120" t="n">
        <v>1</v>
      </c>
      <c r="K120" t="n">
        <v>1</v>
      </c>
      <c r="L120" t="n">
        <v>0</v>
      </c>
      <c r="M120" t="n">
        <v>0</v>
      </c>
      <c r="N120" t="n">
        <v>0</v>
      </c>
      <c r="O120" t="n">
        <v>2</v>
      </c>
      <c r="P120" t="n">
        <v>1</v>
      </c>
      <c r="Q120" t="n">
        <v>3</v>
      </c>
      <c r="R120" s="2" t="inlineStr">
        <is>
          <t>Knärot
Tallticka
Blåmossa</t>
        </is>
      </c>
      <c r="S120">
        <f>HYPERLINK("https://klasma.github.io/Logging_0883/artfynd/A 58750-2024 artfynd.xlsx", "A 58750-2024")</f>
        <v/>
      </c>
      <c r="T120">
        <f>HYPERLINK("https://klasma.github.io/Logging_0883/kartor/A 58750-2024 karta.png", "A 58750-2024")</f>
        <v/>
      </c>
      <c r="U120">
        <f>HYPERLINK("https://klasma.github.io/Logging_0883/knärot/A 58750-2024 karta knärot.png", "A 58750-2024")</f>
        <v/>
      </c>
      <c r="V120">
        <f>HYPERLINK("https://klasma.github.io/Logging_0883/klagomål/A 58750-2024 FSC-klagomål.docx", "A 58750-2024")</f>
        <v/>
      </c>
      <c r="W120">
        <f>HYPERLINK("https://klasma.github.io/Logging_0883/klagomålsmail/A 58750-2024 FSC-klagomål mail.docx", "A 58750-2024")</f>
        <v/>
      </c>
      <c r="X120">
        <f>HYPERLINK("https://klasma.github.io/Logging_0883/tillsyn/A 58750-2024 tillsynsbegäran.docx", "A 58750-2024")</f>
        <v/>
      </c>
      <c r="Y120">
        <f>HYPERLINK("https://klasma.github.io/Logging_0883/tillsynsmail/A 58750-2024 tillsynsbegäran mail.docx", "A 58750-2024")</f>
        <v/>
      </c>
    </row>
    <row r="121" ht="15" customHeight="1">
      <c r="A121" t="inlineStr">
        <is>
          <t>A 15595-2021</t>
        </is>
      </c>
      <c r="B121" s="1" t="n">
        <v>44285.66680555556</v>
      </c>
      <c r="C121" s="1" t="n">
        <v>45991</v>
      </c>
      <c r="D121" t="inlineStr">
        <is>
          <t>KALMAR LÄN</t>
        </is>
      </c>
      <c r="E121" t="inlineStr">
        <is>
          <t>VÄSTERVIK</t>
        </is>
      </c>
      <c r="G121" t="n">
        <v>0.6</v>
      </c>
      <c r="H121" t="n">
        <v>1</v>
      </c>
      <c r="I121" t="n">
        <v>0</v>
      </c>
      <c r="J121" t="n">
        <v>2</v>
      </c>
      <c r="K121" t="n">
        <v>0</v>
      </c>
      <c r="L121" t="n">
        <v>0</v>
      </c>
      <c r="M121" t="n">
        <v>0</v>
      </c>
      <c r="N121" t="n">
        <v>0</v>
      </c>
      <c r="O121" t="n">
        <v>2</v>
      </c>
      <c r="P121" t="n">
        <v>0</v>
      </c>
      <c r="Q121" t="n">
        <v>2</v>
      </c>
      <c r="R121" s="2" t="inlineStr">
        <is>
          <t>Spillkråka
Spindelört</t>
        </is>
      </c>
      <c r="S121">
        <f>HYPERLINK("https://klasma.github.io/Logging_0883/artfynd/A 15595-2021 artfynd.xlsx", "A 15595-2021")</f>
        <v/>
      </c>
      <c r="T121">
        <f>HYPERLINK("https://klasma.github.io/Logging_0883/kartor/A 15595-2021 karta.png", "A 15595-2021")</f>
        <v/>
      </c>
      <c r="V121">
        <f>HYPERLINK("https://klasma.github.io/Logging_0883/klagomål/A 15595-2021 FSC-klagomål.docx", "A 15595-2021")</f>
        <v/>
      </c>
      <c r="W121">
        <f>HYPERLINK("https://klasma.github.io/Logging_0883/klagomålsmail/A 15595-2021 FSC-klagomål mail.docx", "A 15595-2021")</f>
        <v/>
      </c>
      <c r="X121">
        <f>HYPERLINK("https://klasma.github.io/Logging_0883/tillsyn/A 15595-2021 tillsynsbegäran.docx", "A 15595-2021")</f>
        <v/>
      </c>
      <c r="Y121">
        <f>HYPERLINK("https://klasma.github.io/Logging_0883/tillsynsmail/A 15595-2021 tillsynsbegäran mail.docx", "A 15595-2021")</f>
        <v/>
      </c>
      <c r="Z121">
        <f>HYPERLINK("https://klasma.github.io/Logging_0883/fåglar/A 15595-2021 prioriterade fågelarter.docx", "A 15595-2021")</f>
        <v/>
      </c>
    </row>
    <row r="122" ht="15" customHeight="1">
      <c r="A122" t="inlineStr">
        <is>
          <t>A 14126-2025</t>
        </is>
      </c>
      <c r="B122" s="1" t="n">
        <v>45740.47012731482</v>
      </c>
      <c r="C122" s="1" t="n">
        <v>45991</v>
      </c>
      <c r="D122" t="inlineStr">
        <is>
          <t>KALMAR LÄN</t>
        </is>
      </c>
      <c r="E122" t="inlineStr">
        <is>
          <t>VÄSTERVIK</t>
        </is>
      </c>
      <c r="F122" t="inlineStr">
        <is>
          <t>Sveaskog</t>
        </is>
      </c>
      <c r="G122" t="n">
        <v>1.3</v>
      </c>
      <c r="H122" t="n">
        <v>2</v>
      </c>
      <c r="I122" t="n">
        <v>0</v>
      </c>
      <c r="J122" t="n">
        <v>1</v>
      </c>
      <c r="K122" t="n">
        <v>0</v>
      </c>
      <c r="L122" t="n">
        <v>0</v>
      </c>
      <c r="M122" t="n">
        <v>0</v>
      </c>
      <c r="N122" t="n">
        <v>0</v>
      </c>
      <c r="O122" t="n">
        <v>1</v>
      </c>
      <c r="P122" t="n">
        <v>0</v>
      </c>
      <c r="Q122" t="n">
        <v>2</v>
      </c>
      <c r="R122" s="2" t="inlineStr">
        <is>
          <t>Grönsångare
Blåsippa</t>
        </is>
      </c>
      <c r="S122">
        <f>HYPERLINK("https://klasma.github.io/Logging_0883/artfynd/A 14126-2025 artfynd.xlsx", "A 14126-2025")</f>
        <v/>
      </c>
      <c r="T122">
        <f>HYPERLINK("https://klasma.github.io/Logging_0883/kartor/A 14126-2025 karta.png", "A 14126-2025")</f>
        <v/>
      </c>
      <c r="V122">
        <f>HYPERLINK("https://klasma.github.io/Logging_0883/klagomål/A 14126-2025 FSC-klagomål.docx", "A 14126-2025")</f>
        <v/>
      </c>
      <c r="W122">
        <f>HYPERLINK("https://klasma.github.io/Logging_0883/klagomålsmail/A 14126-2025 FSC-klagomål mail.docx", "A 14126-2025")</f>
        <v/>
      </c>
      <c r="X122">
        <f>HYPERLINK("https://klasma.github.io/Logging_0883/tillsyn/A 14126-2025 tillsynsbegäran.docx", "A 14126-2025")</f>
        <v/>
      </c>
      <c r="Y122">
        <f>HYPERLINK("https://klasma.github.io/Logging_0883/tillsynsmail/A 14126-2025 tillsynsbegäran mail.docx", "A 14126-2025")</f>
        <v/>
      </c>
      <c r="Z122">
        <f>HYPERLINK("https://klasma.github.io/Logging_0883/fåglar/A 14126-2025 prioriterade fågelarter.docx", "A 14126-2025")</f>
        <v/>
      </c>
    </row>
    <row r="123" ht="15" customHeight="1">
      <c r="A123" t="inlineStr">
        <is>
          <t>A 9770-2024</t>
        </is>
      </c>
      <c r="B123" s="1" t="n">
        <v>45362.63960648148</v>
      </c>
      <c r="C123" s="1" t="n">
        <v>45991</v>
      </c>
      <c r="D123" t="inlineStr">
        <is>
          <t>KALMAR LÄN</t>
        </is>
      </c>
      <c r="E123" t="inlineStr">
        <is>
          <t>VÄSTERVIK</t>
        </is>
      </c>
      <c r="G123" t="n">
        <v>2.6</v>
      </c>
      <c r="H123" t="n">
        <v>2</v>
      </c>
      <c r="I123" t="n">
        <v>0</v>
      </c>
      <c r="J123" t="n">
        <v>1</v>
      </c>
      <c r="K123" t="n">
        <v>0</v>
      </c>
      <c r="L123" t="n">
        <v>0</v>
      </c>
      <c r="M123" t="n">
        <v>0</v>
      </c>
      <c r="N123" t="n">
        <v>0</v>
      </c>
      <c r="O123" t="n">
        <v>1</v>
      </c>
      <c r="P123" t="n">
        <v>0</v>
      </c>
      <c r="Q123" t="n">
        <v>2</v>
      </c>
      <c r="R123" s="2" t="inlineStr">
        <is>
          <t>Talltita
Tjäder</t>
        </is>
      </c>
      <c r="S123">
        <f>HYPERLINK("https://klasma.github.io/Logging_0883/artfynd/A 9770-2024 artfynd.xlsx", "A 9770-2024")</f>
        <v/>
      </c>
      <c r="T123">
        <f>HYPERLINK("https://klasma.github.io/Logging_0883/kartor/A 9770-2024 karta.png", "A 9770-2024")</f>
        <v/>
      </c>
      <c r="V123">
        <f>HYPERLINK("https://klasma.github.io/Logging_0883/klagomål/A 9770-2024 FSC-klagomål.docx", "A 9770-2024")</f>
        <v/>
      </c>
      <c r="W123">
        <f>HYPERLINK("https://klasma.github.io/Logging_0883/klagomålsmail/A 9770-2024 FSC-klagomål mail.docx", "A 9770-2024")</f>
        <v/>
      </c>
      <c r="X123">
        <f>HYPERLINK("https://klasma.github.io/Logging_0883/tillsyn/A 9770-2024 tillsynsbegäran.docx", "A 9770-2024")</f>
        <v/>
      </c>
      <c r="Y123">
        <f>HYPERLINK("https://klasma.github.io/Logging_0883/tillsynsmail/A 9770-2024 tillsynsbegäran mail.docx", "A 9770-2024")</f>
        <v/>
      </c>
      <c r="Z123">
        <f>HYPERLINK("https://klasma.github.io/Logging_0883/fåglar/A 9770-2024 prioriterade fågelarter.docx", "A 9770-2024")</f>
        <v/>
      </c>
    </row>
    <row r="124" ht="15" customHeight="1">
      <c r="A124" t="inlineStr">
        <is>
          <t>A 2126-2024</t>
        </is>
      </c>
      <c r="B124" s="1" t="n">
        <v>45309</v>
      </c>
      <c r="C124" s="1" t="n">
        <v>45991</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21081-2025</t>
        </is>
      </c>
      <c r="B125" s="1" t="n">
        <v>45777.60479166666</v>
      </c>
      <c r="C125" s="1" t="n">
        <v>45991</v>
      </c>
      <c r="D125" t="inlineStr">
        <is>
          <t>KALMAR LÄN</t>
        </is>
      </c>
      <c r="E125" t="inlineStr">
        <is>
          <t>VÄSTERVIK</t>
        </is>
      </c>
      <c r="G125" t="n">
        <v>1</v>
      </c>
      <c r="H125" t="n">
        <v>1</v>
      </c>
      <c r="I125" t="n">
        <v>0</v>
      </c>
      <c r="J125" t="n">
        <v>1</v>
      </c>
      <c r="K125" t="n">
        <v>1</v>
      </c>
      <c r="L125" t="n">
        <v>0</v>
      </c>
      <c r="M125" t="n">
        <v>0</v>
      </c>
      <c r="N125" t="n">
        <v>0</v>
      </c>
      <c r="O125" t="n">
        <v>2</v>
      </c>
      <c r="P125" t="n">
        <v>1</v>
      </c>
      <c r="Q125" t="n">
        <v>2</v>
      </c>
      <c r="R125" s="2" t="inlineStr">
        <is>
          <t>Knärot
Ullticka</t>
        </is>
      </c>
      <c r="S125">
        <f>HYPERLINK("https://klasma.github.io/Logging_0883/artfynd/A 21081-2025 artfynd.xlsx", "A 21081-2025")</f>
        <v/>
      </c>
      <c r="T125">
        <f>HYPERLINK("https://klasma.github.io/Logging_0883/kartor/A 21081-2025 karta.png", "A 21081-2025")</f>
        <v/>
      </c>
      <c r="U125">
        <f>HYPERLINK("https://klasma.github.io/Logging_0883/knärot/A 21081-2025 karta knärot.png", "A 21081-2025")</f>
        <v/>
      </c>
      <c r="V125">
        <f>HYPERLINK("https://klasma.github.io/Logging_0883/klagomål/A 21081-2025 FSC-klagomål.docx", "A 21081-2025")</f>
        <v/>
      </c>
      <c r="W125">
        <f>HYPERLINK("https://klasma.github.io/Logging_0883/klagomålsmail/A 21081-2025 FSC-klagomål mail.docx", "A 21081-2025")</f>
        <v/>
      </c>
      <c r="X125">
        <f>HYPERLINK("https://klasma.github.io/Logging_0883/tillsyn/A 21081-2025 tillsynsbegäran.docx", "A 21081-2025")</f>
        <v/>
      </c>
      <c r="Y125">
        <f>HYPERLINK("https://klasma.github.io/Logging_0883/tillsynsmail/A 21081-2025 tillsynsbegäran mail.docx", "A 21081-2025")</f>
        <v/>
      </c>
    </row>
    <row r="126" ht="15" customHeight="1">
      <c r="A126" t="inlineStr">
        <is>
          <t>A 33687-2025</t>
        </is>
      </c>
      <c r="B126" s="1" t="n">
        <v>45841.69072916666</v>
      </c>
      <c r="C126" s="1" t="n">
        <v>45991</v>
      </c>
      <c r="D126" t="inlineStr">
        <is>
          <t>KALMAR LÄN</t>
        </is>
      </c>
      <c r="E126" t="inlineStr">
        <is>
          <t>VÄSTERVIK</t>
        </is>
      </c>
      <c r="G126" t="n">
        <v>1.7</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33687-2025 artfynd.xlsx", "A 33687-2025")</f>
        <v/>
      </c>
      <c r="T126">
        <f>HYPERLINK("https://klasma.github.io/Logging_0883/kartor/A 33687-2025 karta.png", "A 33687-2025")</f>
        <v/>
      </c>
      <c r="U126">
        <f>HYPERLINK("https://klasma.github.io/Logging_0883/knärot/A 33687-2025 karta knärot.png", "A 33687-2025")</f>
        <v/>
      </c>
      <c r="V126">
        <f>HYPERLINK("https://klasma.github.io/Logging_0883/klagomål/A 33687-2025 FSC-klagomål.docx", "A 33687-2025")</f>
        <v/>
      </c>
      <c r="W126">
        <f>HYPERLINK("https://klasma.github.io/Logging_0883/klagomålsmail/A 33687-2025 FSC-klagomål mail.docx", "A 33687-2025")</f>
        <v/>
      </c>
      <c r="X126">
        <f>HYPERLINK("https://klasma.github.io/Logging_0883/tillsyn/A 33687-2025 tillsynsbegäran.docx", "A 33687-2025")</f>
        <v/>
      </c>
      <c r="Y126">
        <f>HYPERLINK("https://klasma.github.io/Logging_0883/tillsynsmail/A 33687-2025 tillsynsbegäran mail.docx", "A 33687-2025")</f>
        <v/>
      </c>
      <c r="Z126">
        <f>HYPERLINK("https://klasma.github.io/Logging_0883/fåglar/A 33687-2025 prioriterade fågelarter.docx", "A 33687-2025")</f>
        <v/>
      </c>
    </row>
    <row r="127" ht="15" customHeight="1">
      <c r="A127" t="inlineStr">
        <is>
          <t>A 26992-2024</t>
        </is>
      </c>
      <c r="B127" s="1" t="n">
        <v>45471</v>
      </c>
      <c r="C127" s="1" t="n">
        <v>45991</v>
      </c>
      <c r="D127" t="inlineStr">
        <is>
          <t>KALMAR LÄN</t>
        </is>
      </c>
      <c r="E127" t="inlineStr">
        <is>
          <t>VÄSTERVIK</t>
        </is>
      </c>
      <c r="F127" t="inlineStr">
        <is>
          <t>Holmen skog AB</t>
        </is>
      </c>
      <c r="G127" t="n">
        <v>4.6</v>
      </c>
      <c r="H127" t="n">
        <v>2</v>
      </c>
      <c r="I127" t="n">
        <v>0</v>
      </c>
      <c r="J127" t="n">
        <v>2</v>
      </c>
      <c r="K127" t="n">
        <v>0</v>
      </c>
      <c r="L127" t="n">
        <v>0</v>
      </c>
      <c r="M127" t="n">
        <v>0</v>
      </c>
      <c r="N127" t="n">
        <v>0</v>
      </c>
      <c r="O127" t="n">
        <v>2</v>
      </c>
      <c r="P127" t="n">
        <v>0</v>
      </c>
      <c r="Q127" t="n">
        <v>2</v>
      </c>
      <c r="R127" s="2" t="inlineStr">
        <is>
          <t>Mindre hackspett
Talltita</t>
        </is>
      </c>
      <c r="S127">
        <f>HYPERLINK("https://klasma.github.io/Logging_0883/artfynd/A 26992-2024 artfynd.xlsx", "A 26992-2024")</f>
        <v/>
      </c>
      <c r="T127">
        <f>HYPERLINK("https://klasma.github.io/Logging_0883/kartor/A 26992-2024 karta.png", "A 26992-2024")</f>
        <v/>
      </c>
      <c r="V127">
        <f>HYPERLINK("https://klasma.github.io/Logging_0883/klagomål/A 26992-2024 FSC-klagomål.docx", "A 26992-2024")</f>
        <v/>
      </c>
      <c r="W127">
        <f>HYPERLINK("https://klasma.github.io/Logging_0883/klagomålsmail/A 26992-2024 FSC-klagomål mail.docx", "A 26992-2024")</f>
        <v/>
      </c>
      <c r="X127">
        <f>HYPERLINK("https://klasma.github.io/Logging_0883/tillsyn/A 26992-2024 tillsynsbegäran.docx", "A 26992-2024")</f>
        <v/>
      </c>
      <c r="Y127">
        <f>HYPERLINK("https://klasma.github.io/Logging_0883/tillsynsmail/A 26992-2024 tillsynsbegäran mail.docx", "A 26992-2024")</f>
        <v/>
      </c>
      <c r="Z127">
        <f>HYPERLINK("https://klasma.github.io/Logging_0883/fåglar/A 26992-2024 prioriterade fågelarter.docx", "A 26992-2024")</f>
        <v/>
      </c>
    </row>
    <row r="128" ht="15" customHeight="1">
      <c r="A128" t="inlineStr">
        <is>
          <t>A 28401-2024</t>
        </is>
      </c>
      <c r="B128" s="1" t="n">
        <v>45477</v>
      </c>
      <c r="C128" s="1" t="n">
        <v>45991</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25439-2021</t>
        </is>
      </c>
      <c r="B129" s="1" t="n">
        <v>44342</v>
      </c>
      <c r="C129" s="1" t="n">
        <v>45991</v>
      </c>
      <c r="D129" t="inlineStr">
        <is>
          <t>KALMAR LÄN</t>
        </is>
      </c>
      <c r="E129" t="inlineStr">
        <is>
          <t>VÄSTERVIK</t>
        </is>
      </c>
      <c r="F129" t="inlineStr">
        <is>
          <t>Holmen skog AB</t>
        </is>
      </c>
      <c r="G129" t="n">
        <v>2.4</v>
      </c>
      <c r="H129" t="n">
        <v>2</v>
      </c>
      <c r="I129" t="n">
        <v>1</v>
      </c>
      <c r="J129" t="n">
        <v>0</v>
      </c>
      <c r="K129" t="n">
        <v>0</v>
      </c>
      <c r="L129" t="n">
        <v>0</v>
      </c>
      <c r="M129" t="n">
        <v>0</v>
      </c>
      <c r="N129" t="n">
        <v>0</v>
      </c>
      <c r="O129" t="n">
        <v>0</v>
      </c>
      <c r="P129" t="n">
        <v>0</v>
      </c>
      <c r="Q129" t="n">
        <v>2</v>
      </c>
      <c r="R129" s="2" t="inlineStr">
        <is>
          <t>Grön sköldmossa
Röd glada</t>
        </is>
      </c>
      <c r="S129">
        <f>HYPERLINK("https://klasma.github.io/Logging_0883/artfynd/A 25439-2021 artfynd.xlsx", "A 25439-2021")</f>
        <v/>
      </c>
      <c r="T129">
        <f>HYPERLINK("https://klasma.github.io/Logging_0883/kartor/A 25439-2021 karta.png", "A 25439-2021")</f>
        <v/>
      </c>
      <c r="V129">
        <f>HYPERLINK("https://klasma.github.io/Logging_0883/klagomål/A 25439-2021 FSC-klagomål.docx", "A 25439-2021")</f>
        <v/>
      </c>
      <c r="W129">
        <f>HYPERLINK("https://klasma.github.io/Logging_0883/klagomålsmail/A 25439-2021 FSC-klagomål mail.docx", "A 25439-2021")</f>
        <v/>
      </c>
      <c r="X129">
        <f>HYPERLINK("https://klasma.github.io/Logging_0883/tillsyn/A 25439-2021 tillsynsbegäran.docx", "A 25439-2021")</f>
        <v/>
      </c>
      <c r="Y129">
        <f>HYPERLINK("https://klasma.github.io/Logging_0883/tillsynsmail/A 25439-2021 tillsynsbegäran mail.docx", "A 25439-2021")</f>
        <v/>
      </c>
      <c r="Z129">
        <f>HYPERLINK("https://klasma.github.io/Logging_0883/fåglar/A 25439-2021 prioriterade fågelarter.docx", "A 25439-2021")</f>
        <v/>
      </c>
    </row>
    <row r="130" ht="15" customHeight="1">
      <c r="A130" t="inlineStr">
        <is>
          <t>A 52723-2024</t>
        </is>
      </c>
      <c r="B130" s="1" t="n">
        <v>45610.44008101852</v>
      </c>
      <c r="C130" s="1" t="n">
        <v>45991</v>
      </c>
      <c r="D130" t="inlineStr">
        <is>
          <t>KALMAR LÄN</t>
        </is>
      </c>
      <c r="E130" t="inlineStr">
        <is>
          <t>VÄSTERVIK</t>
        </is>
      </c>
      <c r="F130" t="inlineStr">
        <is>
          <t>Holmen skog AB</t>
        </is>
      </c>
      <c r="G130" t="n">
        <v>6.5</v>
      </c>
      <c r="H130" t="n">
        <v>2</v>
      </c>
      <c r="I130" t="n">
        <v>1</v>
      </c>
      <c r="J130" t="n">
        <v>1</v>
      </c>
      <c r="K130" t="n">
        <v>0</v>
      </c>
      <c r="L130" t="n">
        <v>0</v>
      </c>
      <c r="M130" t="n">
        <v>0</v>
      </c>
      <c r="N130" t="n">
        <v>0</v>
      </c>
      <c r="O130" t="n">
        <v>1</v>
      </c>
      <c r="P130" t="n">
        <v>0</v>
      </c>
      <c r="Q130" t="n">
        <v>2</v>
      </c>
      <c r="R130" s="2" t="inlineStr">
        <is>
          <t>Talltita
Ekoxe</t>
        </is>
      </c>
      <c r="S130">
        <f>HYPERLINK("https://klasma.github.io/Logging_0883/artfynd/A 52723-2024 artfynd.xlsx", "A 52723-2024")</f>
        <v/>
      </c>
      <c r="T130">
        <f>HYPERLINK("https://klasma.github.io/Logging_0883/kartor/A 52723-2024 karta.png", "A 52723-2024")</f>
        <v/>
      </c>
      <c r="V130">
        <f>HYPERLINK("https://klasma.github.io/Logging_0883/klagomål/A 52723-2024 FSC-klagomål.docx", "A 52723-2024")</f>
        <v/>
      </c>
      <c r="W130">
        <f>HYPERLINK("https://klasma.github.io/Logging_0883/klagomålsmail/A 52723-2024 FSC-klagomål mail.docx", "A 52723-2024")</f>
        <v/>
      </c>
      <c r="X130">
        <f>HYPERLINK("https://klasma.github.io/Logging_0883/tillsyn/A 52723-2024 tillsynsbegäran.docx", "A 52723-2024")</f>
        <v/>
      </c>
      <c r="Y130">
        <f>HYPERLINK("https://klasma.github.io/Logging_0883/tillsynsmail/A 52723-2024 tillsynsbegäran mail.docx", "A 52723-2024")</f>
        <v/>
      </c>
      <c r="Z130">
        <f>HYPERLINK("https://klasma.github.io/Logging_0883/fåglar/A 52723-2024 prioriterade fågelarter.docx", "A 52723-2024")</f>
        <v/>
      </c>
    </row>
    <row r="131" ht="15" customHeight="1">
      <c r="A131" t="inlineStr">
        <is>
          <t>A 4778-2025</t>
        </is>
      </c>
      <c r="B131" s="1" t="n">
        <v>45688</v>
      </c>
      <c r="C131" s="1" t="n">
        <v>45991</v>
      </c>
      <c r="D131" t="inlineStr">
        <is>
          <t>KALMAR LÄN</t>
        </is>
      </c>
      <c r="E131" t="inlineStr">
        <is>
          <t>VÄSTERVIK</t>
        </is>
      </c>
      <c r="F131" t="inlineStr">
        <is>
          <t>Holmen skog AB</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4778-2025 artfynd.xlsx", "A 4778-2025")</f>
        <v/>
      </c>
      <c r="T131">
        <f>HYPERLINK("https://klasma.github.io/Logging_0883/kartor/A 4778-2025 karta.png", "A 4778-2025")</f>
        <v/>
      </c>
      <c r="U131">
        <f>HYPERLINK("https://klasma.github.io/Logging_0883/knärot/A 4778-2025 karta knärot.png", "A 4778-2025")</f>
        <v/>
      </c>
      <c r="V131">
        <f>HYPERLINK("https://klasma.github.io/Logging_0883/klagomål/A 4778-2025 FSC-klagomål.docx", "A 4778-2025")</f>
        <v/>
      </c>
      <c r="W131">
        <f>HYPERLINK("https://klasma.github.io/Logging_0883/klagomålsmail/A 4778-2025 FSC-klagomål mail.docx", "A 4778-2025")</f>
        <v/>
      </c>
      <c r="X131">
        <f>HYPERLINK("https://klasma.github.io/Logging_0883/tillsyn/A 4778-2025 tillsynsbegäran.docx", "A 4778-2025")</f>
        <v/>
      </c>
      <c r="Y131">
        <f>HYPERLINK("https://klasma.github.io/Logging_0883/tillsynsmail/A 4778-2025 tillsynsbegäran mail.docx", "A 4778-2025")</f>
        <v/>
      </c>
      <c r="Z131">
        <f>HYPERLINK("https://klasma.github.io/Logging_0883/fåglar/A 4778-2025 prioriterade fågelarter.docx", "A 4778-2025")</f>
        <v/>
      </c>
    </row>
    <row r="132" ht="15" customHeight="1">
      <c r="A132" t="inlineStr">
        <is>
          <t>A 42900-2025</t>
        </is>
      </c>
      <c r="B132" s="1" t="n">
        <v>45908.67556712963</v>
      </c>
      <c r="C132" s="1" t="n">
        <v>45991</v>
      </c>
      <c r="D132" t="inlineStr">
        <is>
          <t>KALMAR LÄN</t>
        </is>
      </c>
      <c r="E132" t="inlineStr">
        <is>
          <t>VÄSTERVIK</t>
        </is>
      </c>
      <c r="F132" t="inlineStr">
        <is>
          <t>Holmen skog AB</t>
        </is>
      </c>
      <c r="G132" t="n">
        <v>2.6</v>
      </c>
      <c r="H132" t="n">
        <v>2</v>
      </c>
      <c r="I132" t="n">
        <v>0</v>
      </c>
      <c r="J132" t="n">
        <v>2</v>
      </c>
      <c r="K132" t="n">
        <v>0</v>
      </c>
      <c r="L132" t="n">
        <v>0</v>
      </c>
      <c r="M132" t="n">
        <v>0</v>
      </c>
      <c r="N132" t="n">
        <v>0</v>
      </c>
      <c r="O132" t="n">
        <v>2</v>
      </c>
      <c r="P132" t="n">
        <v>0</v>
      </c>
      <c r="Q132" t="n">
        <v>2</v>
      </c>
      <c r="R132" s="2" t="inlineStr">
        <is>
          <t>Havsörn
Spillkråka</t>
        </is>
      </c>
      <c r="S132">
        <f>HYPERLINK("https://klasma.github.io/Logging_0883/artfynd/A 42900-2025 artfynd.xlsx", "A 42900-2025")</f>
        <v/>
      </c>
      <c r="T132">
        <f>HYPERLINK("https://klasma.github.io/Logging_0883/kartor/A 42900-2025 karta.png", "A 42900-2025")</f>
        <v/>
      </c>
      <c r="V132">
        <f>HYPERLINK("https://klasma.github.io/Logging_0883/klagomål/A 42900-2025 FSC-klagomål.docx", "A 42900-2025")</f>
        <v/>
      </c>
      <c r="W132">
        <f>HYPERLINK("https://klasma.github.io/Logging_0883/klagomålsmail/A 42900-2025 FSC-klagomål mail.docx", "A 42900-2025")</f>
        <v/>
      </c>
      <c r="X132">
        <f>HYPERLINK("https://klasma.github.io/Logging_0883/tillsyn/A 42900-2025 tillsynsbegäran.docx", "A 42900-2025")</f>
        <v/>
      </c>
      <c r="Y132">
        <f>HYPERLINK("https://klasma.github.io/Logging_0883/tillsynsmail/A 42900-2025 tillsynsbegäran mail.docx", "A 42900-2025")</f>
        <v/>
      </c>
      <c r="Z132">
        <f>HYPERLINK("https://klasma.github.io/Logging_0883/fåglar/A 42900-2025 prioriterade fågelarter.docx", "A 42900-2025")</f>
        <v/>
      </c>
    </row>
    <row r="133" ht="15" customHeight="1">
      <c r="A133" t="inlineStr">
        <is>
          <t>A 52030-2025</t>
        </is>
      </c>
      <c r="B133" s="1" t="n">
        <v>45952.60846064815</v>
      </c>
      <c r="C133" s="1" t="n">
        <v>45991</v>
      </c>
      <c r="D133" t="inlineStr">
        <is>
          <t>KALMAR LÄN</t>
        </is>
      </c>
      <c r="E133" t="inlineStr">
        <is>
          <t>VÄSTERVIK</t>
        </is>
      </c>
      <c r="F133" t="inlineStr">
        <is>
          <t>Holmen skog AB</t>
        </is>
      </c>
      <c r="G133" t="n">
        <v>7.3</v>
      </c>
      <c r="H133" t="n">
        <v>0</v>
      </c>
      <c r="I133" t="n">
        <v>0</v>
      </c>
      <c r="J133" t="n">
        <v>2</v>
      </c>
      <c r="K133" t="n">
        <v>0</v>
      </c>
      <c r="L133" t="n">
        <v>0</v>
      </c>
      <c r="M133" t="n">
        <v>0</v>
      </c>
      <c r="N133" t="n">
        <v>0</v>
      </c>
      <c r="O133" t="n">
        <v>2</v>
      </c>
      <c r="P133" t="n">
        <v>0</v>
      </c>
      <c r="Q133" t="n">
        <v>2</v>
      </c>
      <c r="R133" s="2" t="inlineStr">
        <is>
          <t>Ekticka
Oxtungssvamp</t>
        </is>
      </c>
      <c r="S133">
        <f>HYPERLINK("https://klasma.github.io/Logging_0883/artfynd/A 52030-2025 artfynd.xlsx", "A 52030-2025")</f>
        <v/>
      </c>
      <c r="T133">
        <f>HYPERLINK("https://klasma.github.io/Logging_0883/kartor/A 52030-2025 karta.png", "A 52030-2025")</f>
        <v/>
      </c>
      <c r="V133">
        <f>HYPERLINK("https://klasma.github.io/Logging_0883/klagomål/A 52030-2025 FSC-klagomål.docx", "A 52030-2025")</f>
        <v/>
      </c>
      <c r="W133">
        <f>HYPERLINK("https://klasma.github.io/Logging_0883/klagomålsmail/A 52030-2025 FSC-klagomål mail.docx", "A 52030-2025")</f>
        <v/>
      </c>
      <c r="X133">
        <f>HYPERLINK("https://klasma.github.io/Logging_0883/tillsyn/A 52030-2025 tillsynsbegäran.docx", "A 52030-2025")</f>
        <v/>
      </c>
      <c r="Y133">
        <f>HYPERLINK("https://klasma.github.io/Logging_0883/tillsynsmail/A 52030-2025 tillsynsbegäran mail.docx", "A 52030-2025")</f>
        <v/>
      </c>
    </row>
    <row r="134" ht="15" customHeight="1">
      <c r="A134" t="inlineStr">
        <is>
          <t>A 46552-2022</t>
        </is>
      </c>
      <c r="B134" s="1" t="n">
        <v>44848</v>
      </c>
      <c r="C134" s="1" t="n">
        <v>45991</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958-2025</t>
        </is>
      </c>
      <c r="B135" s="1" t="n">
        <v>45666</v>
      </c>
      <c r="C135" s="1" t="n">
        <v>45991</v>
      </c>
      <c r="D135" t="inlineStr">
        <is>
          <t>KALMAR LÄN</t>
        </is>
      </c>
      <c r="E135" t="inlineStr">
        <is>
          <t>VÄSTERVIK</t>
        </is>
      </c>
      <c r="G135" t="n">
        <v>2.8</v>
      </c>
      <c r="H135" t="n">
        <v>1</v>
      </c>
      <c r="I135" t="n">
        <v>0</v>
      </c>
      <c r="J135" t="n">
        <v>2</v>
      </c>
      <c r="K135" t="n">
        <v>0</v>
      </c>
      <c r="L135" t="n">
        <v>0</v>
      </c>
      <c r="M135" t="n">
        <v>0</v>
      </c>
      <c r="N135" t="n">
        <v>0</v>
      </c>
      <c r="O135" t="n">
        <v>2</v>
      </c>
      <c r="P135" t="n">
        <v>0</v>
      </c>
      <c r="Q135" t="n">
        <v>2</v>
      </c>
      <c r="R135" s="2" t="inlineStr">
        <is>
          <t>Orange taggsvamp
Spillkråka</t>
        </is>
      </c>
      <c r="S135">
        <f>HYPERLINK("https://klasma.github.io/Logging_0883/artfynd/A 958-2025 artfynd.xlsx", "A 958-2025")</f>
        <v/>
      </c>
      <c r="T135">
        <f>HYPERLINK("https://klasma.github.io/Logging_0883/kartor/A 958-2025 karta.png", "A 958-2025")</f>
        <v/>
      </c>
      <c r="V135">
        <f>HYPERLINK("https://klasma.github.io/Logging_0883/klagomål/A 958-2025 FSC-klagomål.docx", "A 958-2025")</f>
        <v/>
      </c>
      <c r="W135">
        <f>HYPERLINK("https://klasma.github.io/Logging_0883/klagomålsmail/A 958-2025 FSC-klagomål mail.docx", "A 958-2025")</f>
        <v/>
      </c>
      <c r="X135">
        <f>HYPERLINK("https://klasma.github.io/Logging_0883/tillsyn/A 958-2025 tillsynsbegäran.docx", "A 958-2025")</f>
        <v/>
      </c>
      <c r="Y135">
        <f>HYPERLINK("https://klasma.github.io/Logging_0883/tillsynsmail/A 958-2025 tillsynsbegäran mail.docx", "A 958-2025")</f>
        <v/>
      </c>
      <c r="Z135">
        <f>HYPERLINK("https://klasma.github.io/Logging_0883/fåglar/A 958-2025 prioriterade fågelarter.docx", "A 958-2025")</f>
        <v/>
      </c>
    </row>
    <row r="136" ht="15" customHeight="1">
      <c r="A136" t="inlineStr">
        <is>
          <t>A 34292-2025</t>
        </is>
      </c>
      <c r="B136" s="1" t="n">
        <v>45846.34083333334</v>
      </c>
      <c r="C136" s="1" t="n">
        <v>45991</v>
      </c>
      <c r="D136" t="inlineStr">
        <is>
          <t>KALMAR LÄN</t>
        </is>
      </c>
      <c r="E136" t="inlineStr">
        <is>
          <t>VÄSTERVIK</t>
        </is>
      </c>
      <c r="G136" t="n">
        <v>3.4</v>
      </c>
      <c r="H136" t="n">
        <v>0</v>
      </c>
      <c r="I136" t="n">
        <v>1</v>
      </c>
      <c r="J136" t="n">
        <v>1</v>
      </c>
      <c r="K136" t="n">
        <v>0</v>
      </c>
      <c r="L136" t="n">
        <v>0</v>
      </c>
      <c r="M136" t="n">
        <v>0</v>
      </c>
      <c r="N136" t="n">
        <v>0</v>
      </c>
      <c r="O136" t="n">
        <v>1</v>
      </c>
      <c r="P136" t="n">
        <v>0</v>
      </c>
      <c r="Q136" t="n">
        <v>2</v>
      </c>
      <c r="R136" s="2" t="inlineStr">
        <is>
          <t>Tallticka
Blåmossa</t>
        </is>
      </c>
      <c r="S136">
        <f>HYPERLINK("https://klasma.github.io/Logging_0883/artfynd/A 34292-2025 artfynd.xlsx", "A 34292-2025")</f>
        <v/>
      </c>
      <c r="T136">
        <f>HYPERLINK("https://klasma.github.io/Logging_0883/kartor/A 34292-2025 karta.png", "A 34292-2025")</f>
        <v/>
      </c>
      <c r="V136">
        <f>HYPERLINK("https://klasma.github.io/Logging_0883/klagomål/A 34292-2025 FSC-klagomål.docx", "A 34292-2025")</f>
        <v/>
      </c>
      <c r="W136">
        <f>HYPERLINK("https://klasma.github.io/Logging_0883/klagomålsmail/A 34292-2025 FSC-klagomål mail.docx", "A 34292-2025")</f>
        <v/>
      </c>
      <c r="X136">
        <f>HYPERLINK("https://klasma.github.io/Logging_0883/tillsyn/A 34292-2025 tillsynsbegäran.docx", "A 34292-2025")</f>
        <v/>
      </c>
      <c r="Y136">
        <f>HYPERLINK("https://klasma.github.io/Logging_0883/tillsynsmail/A 34292-2025 tillsynsbegäran mail.docx", "A 34292-2025")</f>
        <v/>
      </c>
    </row>
    <row r="137" ht="15" customHeight="1">
      <c r="A137" t="inlineStr">
        <is>
          <t>A 53129-2025</t>
        </is>
      </c>
      <c r="B137" s="1" t="n">
        <v>45958.46118055555</v>
      </c>
      <c r="C137" s="1" t="n">
        <v>45991</v>
      </c>
      <c r="D137" t="inlineStr">
        <is>
          <t>KALMAR LÄN</t>
        </is>
      </c>
      <c r="E137" t="inlineStr">
        <is>
          <t>VÄSTERVIK</t>
        </is>
      </c>
      <c r="G137" t="n">
        <v>4.1</v>
      </c>
      <c r="H137" t="n">
        <v>2</v>
      </c>
      <c r="I137" t="n">
        <v>1</v>
      </c>
      <c r="J137" t="n">
        <v>1</v>
      </c>
      <c r="K137" t="n">
        <v>0</v>
      </c>
      <c r="L137" t="n">
        <v>0</v>
      </c>
      <c r="M137" t="n">
        <v>0</v>
      </c>
      <c r="N137" t="n">
        <v>0</v>
      </c>
      <c r="O137" t="n">
        <v>1</v>
      </c>
      <c r="P137" t="n">
        <v>0</v>
      </c>
      <c r="Q137" t="n">
        <v>2</v>
      </c>
      <c r="R137" s="2" t="inlineStr">
        <is>
          <t>Spillkråka
Skogsknipprot</t>
        </is>
      </c>
      <c r="S137">
        <f>HYPERLINK("https://klasma.github.io/Logging_0883/artfynd/A 53129-2025 artfynd.xlsx", "A 53129-2025")</f>
        <v/>
      </c>
      <c r="T137">
        <f>HYPERLINK("https://klasma.github.io/Logging_0883/kartor/A 53129-2025 karta.png", "A 53129-2025")</f>
        <v/>
      </c>
      <c r="V137">
        <f>HYPERLINK("https://klasma.github.io/Logging_0883/klagomål/A 53129-2025 FSC-klagomål.docx", "A 53129-2025")</f>
        <v/>
      </c>
      <c r="W137">
        <f>HYPERLINK("https://klasma.github.io/Logging_0883/klagomålsmail/A 53129-2025 FSC-klagomål mail.docx", "A 53129-2025")</f>
        <v/>
      </c>
      <c r="X137">
        <f>HYPERLINK("https://klasma.github.io/Logging_0883/tillsyn/A 53129-2025 tillsynsbegäran.docx", "A 53129-2025")</f>
        <v/>
      </c>
      <c r="Y137">
        <f>HYPERLINK("https://klasma.github.io/Logging_0883/tillsynsmail/A 53129-2025 tillsynsbegäran mail.docx", "A 53129-2025")</f>
        <v/>
      </c>
      <c r="Z137">
        <f>HYPERLINK("https://klasma.github.io/Logging_0883/fåglar/A 53129-2025 prioriterade fågelarter.docx", "A 53129-2025")</f>
        <v/>
      </c>
    </row>
    <row r="138" ht="15" customHeight="1">
      <c r="A138" t="inlineStr">
        <is>
          <t>A 53769-2021</t>
        </is>
      </c>
      <c r="B138" s="1" t="n">
        <v>44467</v>
      </c>
      <c r="C138" s="1" t="n">
        <v>45991</v>
      </c>
      <c r="D138" t="inlineStr">
        <is>
          <t>KALMAR LÄN</t>
        </is>
      </c>
      <c r="E138" t="inlineStr">
        <is>
          <t>VÄSTERVIK</t>
        </is>
      </c>
      <c r="G138" t="n">
        <v>2.2</v>
      </c>
      <c r="H138" t="n">
        <v>1</v>
      </c>
      <c r="I138" t="n">
        <v>2</v>
      </c>
      <c r="J138" t="n">
        <v>0</v>
      </c>
      <c r="K138" t="n">
        <v>0</v>
      </c>
      <c r="L138" t="n">
        <v>0</v>
      </c>
      <c r="M138" t="n">
        <v>0</v>
      </c>
      <c r="N138" t="n">
        <v>0</v>
      </c>
      <c r="O138" t="n">
        <v>0</v>
      </c>
      <c r="P138" t="n">
        <v>0</v>
      </c>
      <c r="Q138" t="n">
        <v>2</v>
      </c>
      <c r="R138" s="2" t="inlineStr">
        <is>
          <t>Grön sköldmossa
Stubbspretmossa</t>
        </is>
      </c>
      <c r="S138">
        <f>HYPERLINK("https://klasma.github.io/Logging_0883/artfynd/A 53769-2021 artfynd.xlsx", "A 53769-2021")</f>
        <v/>
      </c>
      <c r="T138">
        <f>HYPERLINK("https://klasma.github.io/Logging_0883/kartor/A 53769-2021 karta.png", "A 53769-2021")</f>
        <v/>
      </c>
      <c r="V138">
        <f>HYPERLINK("https://klasma.github.io/Logging_0883/klagomål/A 53769-2021 FSC-klagomål.docx", "A 53769-2021")</f>
        <v/>
      </c>
      <c r="W138">
        <f>HYPERLINK("https://klasma.github.io/Logging_0883/klagomålsmail/A 53769-2021 FSC-klagomål mail.docx", "A 53769-2021")</f>
        <v/>
      </c>
      <c r="X138">
        <f>HYPERLINK("https://klasma.github.io/Logging_0883/tillsyn/A 53769-2021 tillsynsbegäran.docx", "A 53769-2021")</f>
        <v/>
      </c>
      <c r="Y138">
        <f>HYPERLINK("https://klasma.github.io/Logging_0883/tillsynsmail/A 53769-2021 tillsynsbegäran mail.docx", "A 53769-2021")</f>
        <v/>
      </c>
    </row>
    <row r="139" ht="15" customHeight="1">
      <c r="A139" t="inlineStr">
        <is>
          <t>A 16419-2024</t>
        </is>
      </c>
      <c r="B139" s="1" t="n">
        <v>45407</v>
      </c>
      <c r="C139" s="1" t="n">
        <v>45991</v>
      </c>
      <c r="D139" t="inlineStr">
        <is>
          <t>KALMAR LÄN</t>
        </is>
      </c>
      <c r="E139" t="inlineStr">
        <is>
          <t>VÄSTERVIK</t>
        </is>
      </c>
      <c r="F139" t="inlineStr">
        <is>
          <t>Holmen skog AB</t>
        </is>
      </c>
      <c r="G139" t="n">
        <v>1.8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16419-2024 artfynd.xlsx", "A 16419-2024")</f>
        <v/>
      </c>
      <c r="T139">
        <f>HYPERLINK("https://klasma.github.io/Logging_0883/kartor/A 16419-2024 karta.png", "A 16419-2024")</f>
        <v/>
      </c>
      <c r="U139">
        <f>HYPERLINK("https://klasma.github.io/Logging_0883/knärot/A 16419-2024 karta knärot.png", "A 16419-2024")</f>
        <v/>
      </c>
      <c r="V139">
        <f>HYPERLINK("https://klasma.github.io/Logging_0883/klagomål/A 16419-2024 FSC-klagomål.docx", "A 16419-2024")</f>
        <v/>
      </c>
      <c r="W139">
        <f>HYPERLINK("https://klasma.github.io/Logging_0883/klagomålsmail/A 16419-2024 FSC-klagomål mail.docx", "A 16419-2024")</f>
        <v/>
      </c>
      <c r="X139">
        <f>HYPERLINK("https://klasma.github.io/Logging_0883/tillsyn/A 16419-2024 tillsynsbegäran.docx", "A 16419-2024")</f>
        <v/>
      </c>
      <c r="Y139">
        <f>HYPERLINK("https://klasma.github.io/Logging_0883/tillsynsmail/A 16419-2024 tillsynsbegäran mail.docx", "A 16419-2024")</f>
        <v/>
      </c>
      <c r="Z139">
        <f>HYPERLINK("https://klasma.github.io/Logging_0883/fåglar/A 16419-2024 prioriterade fågelarter.docx", "A 16419-2024")</f>
        <v/>
      </c>
    </row>
    <row r="140" ht="15" customHeight="1">
      <c r="A140" t="inlineStr">
        <is>
          <t>A 3182-2025</t>
        </is>
      </c>
      <c r="B140" s="1" t="n">
        <v>45679</v>
      </c>
      <c r="C140" s="1" t="n">
        <v>45991</v>
      </c>
      <c r="D140" t="inlineStr">
        <is>
          <t>KALMAR LÄN</t>
        </is>
      </c>
      <c r="E140" t="inlineStr">
        <is>
          <t>VÄSTERVIK</t>
        </is>
      </c>
      <c r="G140" t="n">
        <v>1.2</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3182-2025 artfynd.xlsx", "A 3182-2025")</f>
        <v/>
      </c>
      <c r="T140">
        <f>HYPERLINK("https://klasma.github.io/Logging_0883/kartor/A 3182-2025 karta.png", "A 3182-2025")</f>
        <v/>
      </c>
      <c r="U140">
        <f>HYPERLINK("https://klasma.github.io/Logging_0883/knärot/A 3182-2025 karta knärot.png", "A 3182-2025")</f>
        <v/>
      </c>
      <c r="V140">
        <f>HYPERLINK("https://klasma.github.io/Logging_0883/klagomål/A 3182-2025 FSC-klagomål.docx", "A 3182-2025")</f>
        <v/>
      </c>
      <c r="W140">
        <f>HYPERLINK("https://klasma.github.io/Logging_0883/klagomålsmail/A 3182-2025 FSC-klagomål mail.docx", "A 3182-2025")</f>
        <v/>
      </c>
      <c r="X140">
        <f>HYPERLINK("https://klasma.github.io/Logging_0883/tillsyn/A 3182-2025 tillsynsbegäran.docx", "A 3182-2025")</f>
        <v/>
      </c>
      <c r="Y140">
        <f>HYPERLINK("https://klasma.github.io/Logging_0883/tillsynsmail/A 3182-2025 tillsynsbegäran mail.docx", "A 3182-2025")</f>
        <v/>
      </c>
      <c r="Z140">
        <f>HYPERLINK("https://klasma.github.io/Logging_0883/fåglar/A 3182-2025 prioriterade fågelarter.docx", "A 3182-2025")</f>
        <v/>
      </c>
    </row>
    <row r="141" ht="15" customHeight="1">
      <c r="A141" t="inlineStr">
        <is>
          <t>A 12598-2024</t>
        </is>
      </c>
      <c r="B141" s="1" t="n">
        <v>45380</v>
      </c>
      <c r="C141" s="1" t="n">
        <v>45991</v>
      </c>
      <c r="D141" t="inlineStr">
        <is>
          <t>KALMAR LÄN</t>
        </is>
      </c>
      <c r="E141" t="inlineStr">
        <is>
          <t>VÄSTERVIK</t>
        </is>
      </c>
      <c r="F141" t="inlineStr">
        <is>
          <t>Holmen skog AB</t>
        </is>
      </c>
      <c r="G141" t="n">
        <v>5</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12598-2024 artfynd.xlsx", "A 12598-2024")</f>
        <v/>
      </c>
      <c r="T141">
        <f>HYPERLINK("https://klasma.github.io/Logging_0883/kartor/A 12598-2024 karta.png", "A 12598-2024")</f>
        <v/>
      </c>
      <c r="U141">
        <f>HYPERLINK("https://klasma.github.io/Logging_0883/knärot/A 12598-2024 karta knärot.png", "A 12598-2024")</f>
        <v/>
      </c>
      <c r="V141">
        <f>HYPERLINK("https://klasma.github.io/Logging_0883/klagomål/A 12598-2024 FSC-klagomål.docx", "A 12598-2024")</f>
        <v/>
      </c>
      <c r="W141">
        <f>HYPERLINK("https://klasma.github.io/Logging_0883/klagomålsmail/A 12598-2024 FSC-klagomål mail.docx", "A 12598-2024")</f>
        <v/>
      </c>
      <c r="X141">
        <f>HYPERLINK("https://klasma.github.io/Logging_0883/tillsyn/A 12598-2024 tillsynsbegäran.docx", "A 12598-2024")</f>
        <v/>
      </c>
      <c r="Y141">
        <f>HYPERLINK("https://klasma.github.io/Logging_0883/tillsynsmail/A 12598-2024 tillsynsbegäran mail.docx", "A 12598-2024")</f>
        <v/>
      </c>
    </row>
    <row r="142" ht="15" customHeight="1">
      <c r="A142" t="inlineStr">
        <is>
          <t>A 17438-2024</t>
        </is>
      </c>
      <c r="B142" s="1" t="n">
        <v>45415</v>
      </c>
      <c r="C142" s="1" t="n">
        <v>45991</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45991</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72945-2021</t>
        </is>
      </c>
      <c r="B144" s="1" t="n">
        <v>44547.90868055556</v>
      </c>
      <c r="C144" s="1" t="n">
        <v>45991</v>
      </c>
      <c r="D144" t="inlineStr">
        <is>
          <t>KALMAR LÄN</t>
        </is>
      </c>
      <c r="E144" t="inlineStr">
        <is>
          <t>VÄSTERVIK</t>
        </is>
      </c>
      <c r="G144" t="n">
        <v>1.6</v>
      </c>
      <c r="H144" t="n">
        <v>0</v>
      </c>
      <c r="I144" t="n">
        <v>1</v>
      </c>
      <c r="J144" t="n">
        <v>1</v>
      </c>
      <c r="K144" t="n">
        <v>0</v>
      </c>
      <c r="L144" t="n">
        <v>0</v>
      </c>
      <c r="M144" t="n">
        <v>0</v>
      </c>
      <c r="N144" t="n">
        <v>0</v>
      </c>
      <c r="O144" t="n">
        <v>1</v>
      </c>
      <c r="P144" t="n">
        <v>0</v>
      </c>
      <c r="Q144" t="n">
        <v>2</v>
      </c>
      <c r="R144" s="2" t="inlineStr">
        <is>
          <t>Veckticka
Rävticka</t>
        </is>
      </c>
      <c r="S144">
        <f>HYPERLINK("https://klasma.github.io/Logging_0883/artfynd/A 72945-2021 artfynd.xlsx", "A 72945-2021")</f>
        <v/>
      </c>
      <c r="T144">
        <f>HYPERLINK("https://klasma.github.io/Logging_0883/kartor/A 72945-2021 karta.png", "A 72945-2021")</f>
        <v/>
      </c>
      <c r="V144">
        <f>HYPERLINK("https://klasma.github.io/Logging_0883/klagomål/A 72945-2021 FSC-klagomål.docx", "A 72945-2021")</f>
        <v/>
      </c>
      <c r="W144">
        <f>HYPERLINK("https://klasma.github.io/Logging_0883/klagomålsmail/A 72945-2021 FSC-klagomål mail.docx", "A 72945-2021")</f>
        <v/>
      </c>
      <c r="X144">
        <f>HYPERLINK("https://klasma.github.io/Logging_0883/tillsyn/A 72945-2021 tillsynsbegäran.docx", "A 72945-2021")</f>
        <v/>
      </c>
      <c r="Y144">
        <f>HYPERLINK("https://klasma.github.io/Logging_0883/tillsynsmail/A 72945-2021 tillsynsbegäran mail.docx", "A 72945-2021")</f>
        <v/>
      </c>
    </row>
    <row r="145" ht="15" customHeight="1">
      <c r="A145" t="inlineStr">
        <is>
          <t>A 2515-2023</t>
        </is>
      </c>
      <c r="B145" s="1" t="n">
        <v>44943</v>
      </c>
      <c r="C145" s="1" t="n">
        <v>45991</v>
      </c>
      <c r="D145" t="inlineStr">
        <is>
          <t>KALMAR LÄN</t>
        </is>
      </c>
      <c r="E145" t="inlineStr">
        <is>
          <t>VÄSTERVIK</t>
        </is>
      </c>
      <c r="G145" t="n">
        <v>1.3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2515-2023 artfynd.xlsx", "A 2515-2023")</f>
        <v/>
      </c>
      <c r="T145">
        <f>HYPERLINK("https://klasma.github.io/Logging_0883/kartor/A 2515-2023 karta.png", "A 2515-2023")</f>
        <v/>
      </c>
      <c r="U145">
        <f>HYPERLINK("https://klasma.github.io/Logging_0883/knärot/A 2515-2023 karta knärot.png", "A 2515-2023")</f>
        <v/>
      </c>
      <c r="V145">
        <f>HYPERLINK("https://klasma.github.io/Logging_0883/klagomål/A 2515-2023 FSC-klagomål.docx", "A 2515-2023")</f>
        <v/>
      </c>
      <c r="W145">
        <f>HYPERLINK("https://klasma.github.io/Logging_0883/klagomålsmail/A 2515-2023 FSC-klagomål mail.docx", "A 2515-2023")</f>
        <v/>
      </c>
      <c r="X145">
        <f>HYPERLINK("https://klasma.github.io/Logging_0883/tillsyn/A 2515-2023 tillsynsbegäran.docx", "A 2515-2023")</f>
        <v/>
      </c>
      <c r="Y145">
        <f>HYPERLINK("https://klasma.github.io/Logging_0883/tillsynsmail/A 2515-2023 tillsynsbegäran mail.docx", "A 2515-2023")</f>
        <v/>
      </c>
    </row>
    <row r="146" ht="15" customHeight="1">
      <c r="A146" t="inlineStr">
        <is>
          <t>A 32649-2023</t>
        </is>
      </c>
      <c r="B146" s="1" t="n">
        <v>45121</v>
      </c>
      <c r="C146" s="1" t="n">
        <v>45991</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46157-2025</t>
        </is>
      </c>
      <c r="B147" s="1" t="n">
        <v>45924.63246527778</v>
      </c>
      <c r="C147" s="1" t="n">
        <v>45991</v>
      </c>
      <c r="D147" t="inlineStr">
        <is>
          <t>KALMAR LÄN</t>
        </is>
      </c>
      <c r="E147" t="inlineStr">
        <is>
          <t>VÄSTERVIK</t>
        </is>
      </c>
      <c r="G147" t="n">
        <v>3.1</v>
      </c>
      <c r="H147" t="n">
        <v>2</v>
      </c>
      <c r="I147" t="n">
        <v>0</v>
      </c>
      <c r="J147" t="n">
        <v>1</v>
      </c>
      <c r="K147" t="n">
        <v>0</v>
      </c>
      <c r="L147" t="n">
        <v>0</v>
      </c>
      <c r="M147" t="n">
        <v>0</v>
      </c>
      <c r="N147" t="n">
        <v>0</v>
      </c>
      <c r="O147" t="n">
        <v>1</v>
      </c>
      <c r="P147" t="n">
        <v>0</v>
      </c>
      <c r="Q147" t="n">
        <v>2</v>
      </c>
      <c r="R147" s="2" t="inlineStr">
        <is>
          <t>Spillkråka
Kungsfågel</t>
        </is>
      </c>
      <c r="S147">
        <f>HYPERLINK("https://klasma.github.io/Logging_0883/artfynd/A 46157-2025 artfynd.xlsx", "A 46157-2025")</f>
        <v/>
      </c>
      <c r="T147">
        <f>HYPERLINK("https://klasma.github.io/Logging_0883/kartor/A 46157-2025 karta.png", "A 46157-2025")</f>
        <v/>
      </c>
      <c r="V147">
        <f>HYPERLINK("https://klasma.github.io/Logging_0883/klagomål/A 46157-2025 FSC-klagomål.docx", "A 46157-2025")</f>
        <v/>
      </c>
      <c r="W147">
        <f>HYPERLINK("https://klasma.github.io/Logging_0883/klagomålsmail/A 46157-2025 FSC-klagomål mail.docx", "A 46157-2025")</f>
        <v/>
      </c>
      <c r="X147">
        <f>HYPERLINK("https://klasma.github.io/Logging_0883/tillsyn/A 46157-2025 tillsynsbegäran.docx", "A 46157-2025")</f>
        <v/>
      </c>
      <c r="Y147">
        <f>HYPERLINK("https://klasma.github.io/Logging_0883/tillsynsmail/A 46157-2025 tillsynsbegäran mail.docx", "A 46157-2025")</f>
        <v/>
      </c>
      <c r="Z147">
        <f>HYPERLINK("https://klasma.github.io/Logging_0883/fåglar/A 46157-2025 prioriterade fågelarter.docx", "A 46157-2025")</f>
        <v/>
      </c>
    </row>
    <row r="148" ht="15" customHeight="1">
      <c r="A148" t="inlineStr">
        <is>
          <t>A 46787-2022</t>
        </is>
      </c>
      <c r="B148" s="1" t="n">
        <v>44851</v>
      </c>
      <c r="C148" s="1" t="n">
        <v>45991</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34119-2023</t>
        </is>
      </c>
      <c r="B149" s="1" t="n">
        <v>45135</v>
      </c>
      <c r="C149" s="1" t="n">
        <v>45991</v>
      </c>
      <c r="D149" t="inlineStr">
        <is>
          <t>KALMAR LÄN</t>
        </is>
      </c>
      <c r="E149" t="inlineStr">
        <is>
          <t>VÄSTERVIK</t>
        </is>
      </c>
      <c r="G149" t="n">
        <v>3.1</v>
      </c>
      <c r="H149" t="n">
        <v>1</v>
      </c>
      <c r="I149" t="n">
        <v>1</v>
      </c>
      <c r="J149" t="n">
        <v>0</v>
      </c>
      <c r="K149" t="n">
        <v>1</v>
      </c>
      <c r="L149" t="n">
        <v>0</v>
      </c>
      <c r="M149" t="n">
        <v>0</v>
      </c>
      <c r="N149" t="n">
        <v>0</v>
      </c>
      <c r="O149" t="n">
        <v>1</v>
      </c>
      <c r="P149" t="n">
        <v>1</v>
      </c>
      <c r="Q149" t="n">
        <v>2</v>
      </c>
      <c r="R149" s="2" t="inlineStr">
        <is>
          <t>Knärot
Blomkålssvamp</t>
        </is>
      </c>
      <c r="S149">
        <f>HYPERLINK("https://klasma.github.io/Logging_0883/artfynd/A 34119-2023 artfynd.xlsx", "A 34119-2023")</f>
        <v/>
      </c>
      <c r="T149">
        <f>HYPERLINK("https://klasma.github.io/Logging_0883/kartor/A 34119-2023 karta.png", "A 34119-2023")</f>
        <v/>
      </c>
      <c r="U149">
        <f>HYPERLINK("https://klasma.github.io/Logging_0883/knärot/A 34119-2023 karta knärot.png", "A 34119-2023")</f>
        <v/>
      </c>
      <c r="V149">
        <f>HYPERLINK("https://klasma.github.io/Logging_0883/klagomål/A 34119-2023 FSC-klagomål.docx", "A 34119-2023")</f>
        <v/>
      </c>
      <c r="W149">
        <f>HYPERLINK("https://klasma.github.io/Logging_0883/klagomålsmail/A 34119-2023 FSC-klagomål mail.docx", "A 34119-2023")</f>
        <v/>
      </c>
      <c r="X149">
        <f>HYPERLINK("https://klasma.github.io/Logging_0883/tillsyn/A 34119-2023 tillsynsbegäran.docx", "A 34119-2023")</f>
        <v/>
      </c>
      <c r="Y149">
        <f>HYPERLINK("https://klasma.github.io/Logging_0883/tillsynsmail/A 34119-2023 tillsynsbegäran mail.docx", "A 34119-2023")</f>
        <v/>
      </c>
    </row>
    <row r="150" ht="15" customHeight="1">
      <c r="A150" t="inlineStr">
        <is>
          <t>A 3173-2023</t>
        </is>
      </c>
      <c r="B150" s="1" t="n">
        <v>44946</v>
      </c>
      <c r="C150" s="1" t="n">
        <v>45991</v>
      </c>
      <c r="D150" t="inlineStr">
        <is>
          <t>KALMAR LÄN</t>
        </is>
      </c>
      <c r="E150" t="inlineStr">
        <is>
          <t>VÄSTERVIK</t>
        </is>
      </c>
      <c r="G150" t="n">
        <v>4</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3173-2023 artfynd.xlsx", "A 3173-2023")</f>
        <v/>
      </c>
      <c r="T150">
        <f>HYPERLINK("https://klasma.github.io/Logging_0883/kartor/A 3173-2023 karta.png", "A 3173-2023")</f>
        <v/>
      </c>
      <c r="U150">
        <f>HYPERLINK("https://klasma.github.io/Logging_0883/knärot/A 3173-2023 karta knärot.png", "A 3173-2023")</f>
        <v/>
      </c>
      <c r="V150">
        <f>HYPERLINK("https://klasma.github.io/Logging_0883/klagomål/A 3173-2023 FSC-klagomål.docx", "A 3173-2023")</f>
        <v/>
      </c>
      <c r="W150">
        <f>HYPERLINK("https://klasma.github.io/Logging_0883/klagomålsmail/A 3173-2023 FSC-klagomål mail.docx", "A 3173-2023")</f>
        <v/>
      </c>
      <c r="X150">
        <f>HYPERLINK("https://klasma.github.io/Logging_0883/tillsyn/A 3173-2023 tillsynsbegäran.docx", "A 3173-2023")</f>
        <v/>
      </c>
      <c r="Y150">
        <f>HYPERLINK("https://klasma.github.io/Logging_0883/tillsynsmail/A 3173-2023 tillsynsbegäran mail.docx", "A 3173-2023")</f>
        <v/>
      </c>
    </row>
    <row r="151" ht="15" customHeight="1">
      <c r="A151" t="inlineStr">
        <is>
          <t>A 1373-2024</t>
        </is>
      </c>
      <c r="B151" s="1" t="n">
        <v>45303</v>
      </c>
      <c r="C151" s="1" t="n">
        <v>45991</v>
      </c>
      <c r="D151" t="inlineStr">
        <is>
          <t>KALMAR LÄN</t>
        </is>
      </c>
      <c r="E151" t="inlineStr">
        <is>
          <t>VÄSTERVIK</t>
        </is>
      </c>
      <c r="G151" t="n">
        <v>1.2</v>
      </c>
      <c r="H151" t="n">
        <v>1</v>
      </c>
      <c r="I151" t="n">
        <v>0</v>
      </c>
      <c r="J151" t="n">
        <v>2</v>
      </c>
      <c r="K151" t="n">
        <v>0</v>
      </c>
      <c r="L151" t="n">
        <v>0</v>
      </c>
      <c r="M151" t="n">
        <v>0</v>
      </c>
      <c r="N151" t="n">
        <v>0</v>
      </c>
      <c r="O151" t="n">
        <v>2</v>
      </c>
      <c r="P151" t="n">
        <v>0</v>
      </c>
      <c r="Q151" t="n">
        <v>2</v>
      </c>
      <c r="R151" s="2" t="inlineStr">
        <is>
          <t>Tallticka
Talltita</t>
        </is>
      </c>
      <c r="S151">
        <f>HYPERLINK("https://klasma.github.io/Logging_0883/artfynd/A 1373-2024 artfynd.xlsx", "A 1373-2024")</f>
        <v/>
      </c>
      <c r="T151">
        <f>HYPERLINK("https://klasma.github.io/Logging_0883/kartor/A 1373-2024 karta.png", "A 1373-2024")</f>
        <v/>
      </c>
      <c r="V151">
        <f>HYPERLINK("https://klasma.github.io/Logging_0883/klagomål/A 1373-2024 FSC-klagomål.docx", "A 1373-2024")</f>
        <v/>
      </c>
      <c r="W151">
        <f>HYPERLINK("https://klasma.github.io/Logging_0883/klagomålsmail/A 1373-2024 FSC-klagomål mail.docx", "A 1373-2024")</f>
        <v/>
      </c>
      <c r="X151">
        <f>HYPERLINK("https://klasma.github.io/Logging_0883/tillsyn/A 1373-2024 tillsynsbegäran.docx", "A 1373-2024")</f>
        <v/>
      </c>
      <c r="Y151">
        <f>HYPERLINK("https://klasma.github.io/Logging_0883/tillsynsmail/A 1373-2024 tillsynsbegäran mail.docx", "A 1373-2024")</f>
        <v/>
      </c>
      <c r="Z151">
        <f>HYPERLINK("https://klasma.github.io/Logging_0883/fåglar/A 1373-2024 prioriterade fågelarter.docx", "A 1373-2024")</f>
        <v/>
      </c>
    </row>
    <row r="152" ht="15" customHeight="1">
      <c r="A152" t="inlineStr">
        <is>
          <t>A 941-2024</t>
        </is>
      </c>
      <c r="B152" s="1" t="n">
        <v>45301</v>
      </c>
      <c r="C152" s="1" t="n">
        <v>45991</v>
      </c>
      <c r="D152" t="inlineStr">
        <is>
          <t>KALMAR LÄN</t>
        </is>
      </c>
      <c r="E152" t="inlineStr">
        <is>
          <t>VÄSTERVIK</t>
        </is>
      </c>
      <c r="G152" t="n">
        <v>2.7</v>
      </c>
      <c r="H152" t="n">
        <v>1</v>
      </c>
      <c r="I152" t="n">
        <v>0</v>
      </c>
      <c r="J152" t="n">
        <v>1</v>
      </c>
      <c r="K152" t="n">
        <v>1</v>
      </c>
      <c r="L152" t="n">
        <v>0</v>
      </c>
      <c r="M152" t="n">
        <v>0</v>
      </c>
      <c r="N152" t="n">
        <v>0</v>
      </c>
      <c r="O152" t="n">
        <v>2</v>
      </c>
      <c r="P152" t="n">
        <v>1</v>
      </c>
      <c r="Q152" t="n">
        <v>2</v>
      </c>
      <c r="R152" s="2" t="inlineStr">
        <is>
          <t>Knärot
Svinrot</t>
        </is>
      </c>
      <c r="S152">
        <f>HYPERLINK("https://klasma.github.io/Logging_0883/artfynd/A 941-2024 artfynd.xlsx", "A 941-2024")</f>
        <v/>
      </c>
      <c r="T152">
        <f>HYPERLINK("https://klasma.github.io/Logging_0883/kartor/A 941-2024 karta.png", "A 941-2024")</f>
        <v/>
      </c>
      <c r="U152">
        <f>HYPERLINK("https://klasma.github.io/Logging_0883/knärot/A 941-2024 karta knärot.png", "A 941-2024")</f>
        <v/>
      </c>
      <c r="V152">
        <f>HYPERLINK("https://klasma.github.io/Logging_0883/klagomål/A 941-2024 FSC-klagomål.docx", "A 941-2024")</f>
        <v/>
      </c>
      <c r="W152">
        <f>HYPERLINK("https://klasma.github.io/Logging_0883/klagomålsmail/A 941-2024 FSC-klagomål mail.docx", "A 941-2024")</f>
        <v/>
      </c>
      <c r="X152">
        <f>HYPERLINK("https://klasma.github.io/Logging_0883/tillsyn/A 941-2024 tillsynsbegäran.docx", "A 941-2024")</f>
        <v/>
      </c>
      <c r="Y152">
        <f>HYPERLINK("https://klasma.github.io/Logging_0883/tillsynsmail/A 941-2024 tillsynsbegäran mail.docx", "A 941-2024")</f>
        <v/>
      </c>
    </row>
    <row r="153" ht="15" customHeight="1">
      <c r="A153" t="inlineStr">
        <is>
          <t>A 3658-2024</t>
        </is>
      </c>
      <c r="B153" s="1" t="n">
        <v>45321</v>
      </c>
      <c r="C153" s="1" t="n">
        <v>45991</v>
      </c>
      <c r="D153" t="inlineStr">
        <is>
          <t>KALMAR LÄN</t>
        </is>
      </c>
      <c r="E153" t="inlineStr">
        <is>
          <t>VÄSTERVIK</t>
        </is>
      </c>
      <c r="G153" t="n">
        <v>2.6</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3658-2024 artfynd.xlsx", "A 3658-2024")</f>
        <v/>
      </c>
      <c r="T153">
        <f>HYPERLINK("https://klasma.github.io/Logging_0883/kartor/A 3658-2024 karta.png", "A 3658-2024")</f>
        <v/>
      </c>
      <c r="U153">
        <f>HYPERLINK("https://klasma.github.io/Logging_0883/knärot/A 3658-2024 karta knärot.png", "A 3658-2024")</f>
        <v/>
      </c>
      <c r="V153">
        <f>HYPERLINK("https://klasma.github.io/Logging_0883/klagomål/A 3658-2024 FSC-klagomål.docx", "A 3658-2024")</f>
        <v/>
      </c>
      <c r="W153">
        <f>HYPERLINK("https://klasma.github.io/Logging_0883/klagomålsmail/A 3658-2024 FSC-klagomål mail.docx", "A 3658-2024")</f>
        <v/>
      </c>
      <c r="X153">
        <f>HYPERLINK("https://klasma.github.io/Logging_0883/tillsyn/A 3658-2024 tillsynsbegäran.docx", "A 3658-2024")</f>
        <v/>
      </c>
      <c r="Y153">
        <f>HYPERLINK("https://klasma.github.io/Logging_0883/tillsynsmail/A 3658-2024 tillsynsbegäran mail.docx", "A 3658-2024")</f>
        <v/>
      </c>
    </row>
    <row r="154" ht="15" customHeight="1">
      <c r="A154" t="inlineStr">
        <is>
          <t>A 49414-2025</t>
        </is>
      </c>
      <c r="B154" s="1" t="n">
        <v>45938.68725694445</v>
      </c>
      <c r="C154" s="1" t="n">
        <v>45991</v>
      </c>
      <c r="D154" t="inlineStr">
        <is>
          <t>KALMAR LÄN</t>
        </is>
      </c>
      <c r="E154" t="inlineStr">
        <is>
          <t>VÄSTERVIK</t>
        </is>
      </c>
      <c r="G154" t="n">
        <v>1.3</v>
      </c>
      <c r="H154" t="n">
        <v>2</v>
      </c>
      <c r="I154" t="n">
        <v>0</v>
      </c>
      <c r="J154" t="n">
        <v>1</v>
      </c>
      <c r="K154" t="n">
        <v>0</v>
      </c>
      <c r="L154" t="n">
        <v>0</v>
      </c>
      <c r="M154" t="n">
        <v>0</v>
      </c>
      <c r="N154" t="n">
        <v>0</v>
      </c>
      <c r="O154" t="n">
        <v>1</v>
      </c>
      <c r="P154" t="n">
        <v>0</v>
      </c>
      <c r="Q154" t="n">
        <v>2</v>
      </c>
      <c r="R154" s="2" t="inlineStr">
        <is>
          <t>Spillkråka
Revlummer</t>
        </is>
      </c>
      <c r="S154">
        <f>HYPERLINK("https://klasma.github.io/Logging_0883/artfynd/A 49414-2025 artfynd.xlsx", "A 49414-2025")</f>
        <v/>
      </c>
      <c r="T154">
        <f>HYPERLINK("https://klasma.github.io/Logging_0883/kartor/A 49414-2025 karta.png", "A 49414-2025")</f>
        <v/>
      </c>
      <c r="V154">
        <f>HYPERLINK("https://klasma.github.io/Logging_0883/klagomål/A 49414-2025 FSC-klagomål.docx", "A 49414-2025")</f>
        <v/>
      </c>
      <c r="W154">
        <f>HYPERLINK("https://klasma.github.io/Logging_0883/klagomålsmail/A 49414-2025 FSC-klagomål mail.docx", "A 49414-2025")</f>
        <v/>
      </c>
      <c r="X154">
        <f>HYPERLINK("https://klasma.github.io/Logging_0883/tillsyn/A 49414-2025 tillsynsbegäran.docx", "A 49414-2025")</f>
        <v/>
      </c>
      <c r="Y154">
        <f>HYPERLINK("https://klasma.github.io/Logging_0883/tillsynsmail/A 49414-2025 tillsynsbegäran mail.docx", "A 49414-2025")</f>
        <v/>
      </c>
      <c r="Z154">
        <f>HYPERLINK("https://klasma.github.io/Logging_0883/fåglar/A 49414-2025 prioriterade fågelarter.docx", "A 49414-2025")</f>
        <v/>
      </c>
    </row>
    <row r="155" ht="15" customHeight="1">
      <c r="A155" t="inlineStr">
        <is>
          <t>A 48892-2025</t>
        </is>
      </c>
      <c r="B155" s="1" t="n">
        <v>45937.47267361111</v>
      </c>
      <c r="C155" s="1" t="n">
        <v>45991</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48877-2025</t>
        </is>
      </c>
      <c r="B156" s="1" t="n">
        <v>45937.4565162037</v>
      </c>
      <c r="C156" s="1" t="n">
        <v>45991</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15534-2024</t>
        </is>
      </c>
      <c r="B157" s="1" t="n">
        <v>45401</v>
      </c>
      <c r="C157" s="1" t="n">
        <v>45991</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14086-2025</t>
        </is>
      </c>
      <c r="B158" s="1" t="n">
        <v>45740.44130787037</v>
      </c>
      <c r="C158" s="1" t="n">
        <v>45991</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14089-2025</t>
        </is>
      </c>
      <c r="B159" s="1" t="n">
        <v>45740.44363425926</v>
      </c>
      <c r="C159" s="1" t="n">
        <v>45991</v>
      </c>
      <c r="D159" t="inlineStr">
        <is>
          <t>KALMAR LÄN</t>
        </is>
      </c>
      <c r="E159" t="inlineStr">
        <is>
          <t>VÄSTERVIK</t>
        </is>
      </c>
      <c r="F159" t="inlineStr">
        <is>
          <t>Sveaskog</t>
        </is>
      </c>
      <c r="G159" t="n">
        <v>1.3</v>
      </c>
      <c r="H159" t="n">
        <v>2</v>
      </c>
      <c r="I159" t="n">
        <v>0</v>
      </c>
      <c r="J159" t="n">
        <v>2</v>
      </c>
      <c r="K159" t="n">
        <v>0</v>
      </c>
      <c r="L159" t="n">
        <v>0</v>
      </c>
      <c r="M159" t="n">
        <v>0</v>
      </c>
      <c r="N159" t="n">
        <v>0</v>
      </c>
      <c r="O159" t="n">
        <v>2</v>
      </c>
      <c r="P159" t="n">
        <v>0</v>
      </c>
      <c r="Q159" t="n">
        <v>2</v>
      </c>
      <c r="R159" s="2" t="inlineStr">
        <is>
          <t>Mindre hackspett
Spillkråka</t>
        </is>
      </c>
      <c r="S159">
        <f>HYPERLINK("https://klasma.github.io/Logging_0883/artfynd/A 14089-2025 artfynd.xlsx", "A 14089-2025")</f>
        <v/>
      </c>
      <c r="T159">
        <f>HYPERLINK("https://klasma.github.io/Logging_0883/kartor/A 14089-2025 karta.png", "A 14089-2025")</f>
        <v/>
      </c>
      <c r="V159">
        <f>HYPERLINK("https://klasma.github.io/Logging_0883/klagomål/A 14089-2025 FSC-klagomål.docx", "A 14089-2025")</f>
        <v/>
      </c>
      <c r="W159">
        <f>HYPERLINK("https://klasma.github.io/Logging_0883/klagomålsmail/A 14089-2025 FSC-klagomål mail.docx", "A 14089-2025")</f>
        <v/>
      </c>
      <c r="X159">
        <f>HYPERLINK("https://klasma.github.io/Logging_0883/tillsyn/A 14089-2025 tillsynsbegäran.docx", "A 14089-2025")</f>
        <v/>
      </c>
      <c r="Y159">
        <f>HYPERLINK("https://klasma.github.io/Logging_0883/tillsynsmail/A 14089-2025 tillsynsbegäran mail.docx", "A 14089-2025")</f>
        <v/>
      </c>
      <c r="Z159">
        <f>HYPERLINK("https://klasma.github.io/Logging_0883/fåglar/A 14089-2025 prioriterade fågelarter.docx", "A 14089-2025")</f>
        <v/>
      </c>
    </row>
    <row r="160" ht="15" customHeight="1">
      <c r="A160" t="inlineStr">
        <is>
          <t>A 56908-2025</t>
        </is>
      </c>
      <c r="B160" s="1" t="n">
        <v>45978</v>
      </c>
      <c r="C160" s="1" t="n">
        <v>45991</v>
      </c>
      <c r="D160" t="inlineStr">
        <is>
          <t>KALMAR LÄN</t>
        </is>
      </c>
      <c r="E160" t="inlineStr">
        <is>
          <t>VÄSTERVIK</t>
        </is>
      </c>
      <c r="F160" t="inlineStr">
        <is>
          <t>Holmen skog AB</t>
        </is>
      </c>
      <c r="G160" t="n">
        <v>1.8</v>
      </c>
      <c r="H160" t="n">
        <v>1</v>
      </c>
      <c r="I160" t="n">
        <v>1</v>
      </c>
      <c r="J160" t="n">
        <v>1</v>
      </c>
      <c r="K160" t="n">
        <v>0</v>
      </c>
      <c r="L160" t="n">
        <v>0</v>
      </c>
      <c r="M160" t="n">
        <v>0</v>
      </c>
      <c r="N160" t="n">
        <v>0</v>
      </c>
      <c r="O160" t="n">
        <v>1</v>
      </c>
      <c r="P160" t="n">
        <v>0</v>
      </c>
      <c r="Q160" t="n">
        <v>2</v>
      </c>
      <c r="R160" s="2" t="inlineStr">
        <is>
          <t>Talltita
Murgröna</t>
        </is>
      </c>
      <c r="S160">
        <f>HYPERLINK("https://klasma.github.io/Logging_0883/artfynd/A 56908-2025 artfynd.xlsx", "A 56908-2025")</f>
        <v/>
      </c>
      <c r="T160">
        <f>HYPERLINK("https://klasma.github.io/Logging_0883/kartor/A 56908-2025 karta.png", "A 56908-2025")</f>
        <v/>
      </c>
      <c r="U160">
        <f>HYPERLINK("https://klasma.github.io/Logging_0883/knärot/A 56908-2025 karta knärot.png", "A 56908-2025")</f>
        <v/>
      </c>
      <c r="V160">
        <f>HYPERLINK("https://klasma.github.io/Logging_0883/klagomål/A 56908-2025 FSC-klagomål.docx", "A 56908-2025")</f>
        <v/>
      </c>
      <c r="W160">
        <f>HYPERLINK("https://klasma.github.io/Logging_0883/klagomålsmail/A 56908-2025 FSC-klagomål mail.docx", "A 56908-2025")</f>
        <v/>
      </c>
      <c r="X160">
        <f>HYPERLINK("https://klasma.github.io/Logging_0883/tillsyn/A 56908-2025 tillsynsbegäran.docx", "A 56908-2025")</f>
        <v/>
      </c>
      <c r="Y160">
        <f>HYPERLINK("https://klasma.github.io/Logging_0883/tillsynsmail/A 56908-2025 tillsynsbegäran mail.docx", "A 56908-2025")</f>
        <v/>
      </c>
      <c r="Z160">
        <f>HYPERLINK("https://klasma.github.io/Logging_0883/fåglar/A 56908-2025 prioriterade fågelarter.docx", "A 56908-2025")</f>
        <v/>
      </c>
    </row>
    <row r="161" ht="15" customHeight="1">
      <c r="A161" t="inlineStr">
        <is>
          <t>A 50647-2025</t>
        </is>
      </c>
      <c r="B161" s="1" t="n">
        <v>45945.65792824074</v>
      </c>
      <c r="C161" s="1" t="n">
        <v>45991</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50647-2025 artfynd.xlsx", "A 50647-2025")</f>
        <v/>
      </c>
      <c r="T161">
        <f>HYPERLINK("https://klasma.github.io/Logging_0883/kartor/A 50647-2025 karta.png", "A 50647-2025")</f>
        <v/>
      </c>
      <c r="U161">
        <f>HYPERLINK("https://klasma.github.io/Logging_0883/knärot/A 50647-2025 karta knärot.png", "A 50647-2025")</f>
        <v/>
      </c>
      <c r="V161">
        <f>HYPERLINK("https://klasma.github.io/Logging_0883/klagomål/A 50647-2025 FSC-klagomål.docx", "A 50647-2025")</f>
        <v/>
      </c>
      <c r="W161">
        <f>HYPERLINK("https://klasma.github.io/Logging_0883/klagomålsmail/A 50647-2025 FSC-klagomål mail.docx", "A 50647-2025")</f>
        <v/>
      </c>
      <c r="X161">
        <f>HYPERLINK("https://klasma.github.io/Logging_0883/tillsyn/A 50647-2025 tillsynsbegäran.docx", "A 50647-2025")</f>
        <v/>
      </c>
      <c r="Y161">
        <f>HYPERLINK("https://klasma.github.io/Logging_0883/tillsynsmail/A 50647-2025 tillsynsbegäran mail.docx", "A 50647-2025")</f>
        <v/>
      </c>
    </row>
    <row r="162" ht="15" customHeight="1">
      <c r="A162" t="inlineStr">
        <is>
          <t>A 41271-2025</t>
        </is>
      </c>
      <c r="B162" s="1" t="n">
        <v>45898.62226851852</v>
      </c>
      <c r="C162" s="1" t="n">
        <v>45991</v>
      </c>
      <c r="D162" t="inlineStr">
        <is>
          <t>KALMAR LÄN</t>
        </is>
      </c>
      <c r="E162" t="inlineStr">
        <is>
          <t>VÄSTERVIK</t>
        </is>
      </c>
      <c r="G162" t="n">
        <v>1.1</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41271-2025 artfynd.xlsx", "A 41271-2025")</f>
        <v/>
      </c>
      <c r="T162">
        <f>HYPERLINK("https://klasma.github.io/Logging_0883/kartor/A 41271-2025 karta.png", "A 41271-2025")</f>
        <v/>
      </c>
      <c r="U162">
        <f>HYPERLINK("https://klasma.github.io/Logging_0883/knärot/A 41271-2025 karta knärot.png", "A 41271-2025")</f>
        <v/>
      </c>
      <c r="V162">
        <f>HYPERLINK("https://klasma.github.io/Logging_0883/klagomål/A 41271-2025 FSC-klagomål.docx", "A 41271-2025")</f>
        <v/>
      </c>
      <c r="W162">
        <f>HYPERLINK("https://klasma.github.io/Logging_0883/klagomålsmail/A 41271-2025 FSC-klagomål mail.docx", "A 41271-2025")</f>
        <v/>
      </c>
      <c r="X162">
        <f>HYPERLINK("https://klasma.github.io/Logging_0883/tillsyn/A 41271-2025 tillsynsbegäran.docx", "A 41271-2025")</f>
        <v/>
      </c>
      <c r="Y162">
        <f>HYPERLINK("https://klasma.github.io/Logging_0883/tillsynsmail/A 41271-2025 tillsynsbegäran mail.docx", "A 41271-2025")</f>
        <v/>
      </c>
      <c r="Z162">
        <f>HYPERLINK("https://klasma.github.io/Logging_0883/fåglar/A 41271-2025 prioriterade fågelarter.docx", "A 41271-2025")</f>
        <v/>
      </c>
    </row>
    <row r="163" ht="15" customHeight="1">
      <c r="A163" t="inlineStr">
        <is>
          <t>A 1767-2025</t>
        </is>
      </c>
      <c r="B163" s="1" t="n">
        <v>45671</v>
      </c>
      <c r="C163" s="1" t="n">
        <v>45991</v>
      </c>
      <c r="D163" t="inlineStr">
        <is>
          <t>KALMAR LÄN</t>
        </is>
      </c>
      <c r="E163" t="inlineStr">
        <is>
          <t>VÄSTERVIK</t>
        </is>
      </c>
      <c r="G163" t="n">
        <v>1.4</v>
      </c>
      <c r="H163" t="n">
        <v>1</v>
      </c>
      <c r="I163" t="n">
        <v>0</v>
      </c>
      <c r="J163" t="n">
        <v>2</v>
      </c>
      <c r="K163" t="n">
        <v>0</v>
      </c>
      <c r="L163" t="n">
        <v>0</v>
      </c>
      <c r="M163" t="n">
        <v>0</v>
      </c>
      <c r="N163" t="n">
        <v>0</v>
      </c>
      <c r="O163" t="n">
        <v>2</v>
      </c>
      <c r="P163" t="n">
        <v>0</v>
      </c>
      <c r="Q163" t="n">
        <v>2</v>
      </c>
      <c r="R163" s="2" t="inlineStr">
        <is>
          <t>Garnlav
Spillkråka</t>
        </is>
      </c>
      <c r="S163">
        <f>HYPERLINK("https://klasma.github.io/Logging_0883/artfynd/A 1767-2025 artfynd.xlsx", "A 1767-2025")</f>
        <v/>
      </c>
      <c r="T163">
        <f>HYPERLINK("https://klasma.github.io/Logging_0883/kartor/A 1767-2025 karta.png", "A 1767-2025")</f>
        <v/>
      </c>
      <c r="U163">
        <f>HYPERLINK("https://klasma.github.io/Logging_0883/knärot/A 1767-2025 karta knärot.png", "A 1767-2025")</f>
        <v/>
      </c>
      <c r="V163">
        <f>HYPERLINK("https://klasma.github.io/Logging_0883/klagomål/A 1767-2025 FSC-klagomål.docx", "A 1767-2025")</f>
        <v/>
      </c>
      <c r="W163">
        <f>HYPERLINK("https://klasma.github.io/Logging_0883/klagomålsmail/A 1767-2025 FSC-klagomål mail.docx", "A 1767-2025")</f>
        <v/>
      </c>
      <c r="X163">
        <f>HYPERLINK("https://klasma.github.io/Logging_0883/tillsyn/A 1767-2025 tillsynsbegäran.docx", "A 1767-2025")</f>
        <v/>
      </c>
      <c r="Y163">
        <f>HYPERLINK("https://klasma.github.io/Logging_0883/tillsynsmail/A 1767-2025 tillsynsbegäran mail.docx", "A 1767-2025")</f>
        <v/>
      </c>
      <c r="Z163">
        <f>HYPERLINK("https://klasma.github.io/Logging_0883/fåglar/A 1767-2025 prioriterade fågelarter.docx", "A 1767-2025")</f>
        <v/>
      </c>
    </row>
    <row r="164" ht="15" customHeight="1">
      <c r="A164" t="inlineStr">
        <is>
          <t>A 14301-2023</t>
        </is>
      </c>
      <c r="B164" s="1" t="n">
        <v>45011</v>
      </c>
      <c r="C164" s="1" t="n">
        <v>45991</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41573-2024</t>
        </is>
      </c>
      <c r="B165" s="1" t="n">
        <v>45560</v>
      </c>
      <c r="C165" s="1" t="n">
        <v>45991</v>
      </c>
      <c r="D165" t="inlineStr">
        <is>
          <t>KALMAR LÄN</t>
        </is>
      </c>
      <c r="E165" t="inlineStr">
        <is>
          <t>VÄSTERVIK</t>
        </is>
      </c>
      <c r="G165" t="n">
        <v>1.6</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41573-2024 artfynd.xlsx", "A 41573-2024")</f>
        <v/>
      </c>
      <c r="T165">
        <f>HYPERLINK("https://klasma.github.io/Logging_0883/kartor/A 41573-2024 karta.png", "A 41573-2024")</f>
        <v/>
      </c>
      <c r="U165">
        <f>HYPERLINK("https://klasma.github.io/Logging_0883/knärot/A 41573-2024 karta knärot.png", "A 41573-2024")</f>
        <v/>
      </c>
      <c r="V165">
        <f>HYPERLINK("https://klasma.github.io/Logging_0883/klagomål/A 41573-2024 FSC-klagomål.docx", "A 41573-2024")</f>
        <v/>
      </c>
      <c r="W165">
        <f>HYPERLINK("https://klasma.github.io/Logging_0883/klagomålsmail/A 41573-2024 FSC-klagomål mail.docx", "A 41573-2024")</f>
        <v/>
      </c>
      <c r="X165">
        <f>HYPERLINK("https://klasma.github.io/Logging_0883/tillsyn/A 41573-2024 tillsynsbegäran.docx", "A 41573-2024")</f>
        <v/>
      </c>
      <c r="Y165">
        <f>HYPERLINK("https://klasma.github.io/Logging_0883/tillsynsmail/A 41573-2024 tillsynsbegäran mail.docx", "A 41573-2024")</f>
        <v/>
      </c>
    </row>
    <row r="166" ht="15" customHeight="1">
      <c r="A166" t="inlineStr">
        <is>
          <t>A 932-2024</t>
        </is>
      </c>
      <c r="B166" s="1" t="n">
        <v>45301</v>
      </c>
      <c r="C166" s="1" t="n">
        <v>45991</v>
      </c>
      <c r="D166" t="inlineStr">
        <is>
          <t>KALMAR LÄN</t>
        </is>
      </c>
      <c r="E166" t="inlineStr">
        <is>
          <t>VÄSTERVIK</t>
        </is>
      </c>
      <c r="G166" t="n">
        <v>3.7</v>
      </c>
      <c r="H166" t="n">
        <v>1</v>
      </c>
      <c r="I166" t="n">
        <v>1</v>
      </c>
      <c r="J166" t="n">
        <v>1</v>
      </c>
      <c r="K166" t="n">
        <v>0</v>
      </c>
      <c r="L166" t="n">
        <v>0</v>
      </c>
      <c r="M166" t="n">
        <v>0</v>
      </c>
      <c r="N166" t="n">
        <v>0</v>
      </c>
      <c r="O166" t="n">
        <v>1</v>
      </c>
      <c r="P166" t="n">
        <v>0</v>
      </c>
      <c r="Q166" t="n">
        <v>2</v>
      </c>
      <c r="R166" s="2" t="inlineStr">
        <is>
          <t>Spillkråka
Grovticka</t>
        </is>
      </c>
      <c r="S166">
        <f>HYPERLINK("https://klasma.github.io/Logging_0883/artfynd/A 932-2024 artfynd.xlsx", "A 932-2024")</f>
        <v/>
      </c>
      <c r="T166">
        <f>HYPERLINK("https://klasma.github.io/Logging_0883/kartor/A 932-2024 karta.png", "A 932-2024")</f>
        <v/>
      </c>
      <c r="V166">
        <f>HYPERLINK("https://klasma.github.io/Logging_0883/klagomål/A 932-2024 FSC-klagomål.docx", "A 932-2024")</f>
        <v/>
      </c>
      <c r="W166">
        <f>HYPERLINK("https://klasma.github.io/Logging_0883/klagomålsmail/A 932-2024 FSC-klagomål mail.docx", "A 932-2024")</f>
        <v/>
      </c>
      <c r="X166">
        <f>HYPERLINK("https://klasma.github.io/Logging_0883/tillsyn/A 932-2024 tillsynsbegäran.docx", "A 932-2024")</f>
        <v/>
      </c>
      <c r="Y166">
        <f>HYPERLINK("https://klasma.github.io/Logging_0883/tillsynsmail/A 932-2024 tillsynsbegäran mail.docx", "A 932-2024")</f>
        <v/>
      </c>
      <c r="Z166">
        <f>HYPERLINK("https://klasma.github.io/Logging_0883/fåglar/A 932-2024 prioriterade fågelarter.docx", "A 932-2024")</f>
        <v/>
      </c>
    </row>
    <row r="167" ht="15" customHeight="1">
      <c r="A167" t="inlineStr">
        <is>
          <t>A 9040-2023</t>
        </is>
      </c>
      <c r="B167" s="1" t="n">
        <v>44979</v>
      </c>
      <c r="C167" s="1" t="n">
        <v>45991</v>
      </c>
      <c r="D167" t="inlineStr">
        <is>
          <t>KALMAR LÄN</t>
        </is>
      </c>
      <c r="E167" t="inlineStr">
        <is>
          <t>VÄSTERVIK</t>
        </is>
      </c>
      <c r="G167" t="n">
        <v>5.1</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9040-2023 artfynd.xlsx", "A 9040-2023")</f>
        <v/>
      </c>
      <c r="T167">
        <f>HYPERLINK("https://klasma.github.io/Logging_0883/kartor/A 9040-2023 karta.png", "A 9040-2023")</f>
        <v/>
      </c>
      <c r="U167">
        <f>HYPERLINK("https://klasma.github.io/Logging_0883/knärot/A 9040-2023 karta knärot.png", "A 9040-2023")</f>
        <v/>
      </c>
      <c r="V167">
        <f>HYPERLINK("https://klasma.github.io/Logging_0883/klagomål/A 9040-2023 FSC-klagomål.docx", "A 9040-2023")</f>
        <v/>
      </c>
      <c r="W167">
        <f>HYPERLINK("https://klasma.github.io/Logging_0883/klagomålsmail/A 9040-2023 FSC-klagomål mail.docx", "A 9040-2023")</f>
        <v/>
      </c>
      <c r="X167">
        <f>HYPERLINK("https://klasma.github.io/Logging_0883/tillsyn/A 9040-2023 tillsynsbegäran.docx", "A 9040-2023")</f>
        <v/>
      </c>
      <c r="Y167">
        <f>HYPERLINK("https://klasma.github.io/Logging_0883/tillsynsmail/A 9040-2023 tillsynsbegäran mail.docx", "A 9040-2023")</f>
        <v/>
      </c>
    </row>
    <row r="168" ht="15" customHeight="1">
      <c r="A168" t="inlineStr">
        <is>
          <t>A 14090-2025</t>
        </is>
      </c>
      <c r="B168" s="1" t="n">
        <v>45740.44487268518</v>
      </c>
      <c r="C168" s="1" t="n">
        <v>45991</v>
      </c>
      <c r="D168" t="inlineStr">
        <is>
          <t>KALMAR LÄN</t>
        </is>
      </c>
      <c r="E168" t="inlineStr">
        <is>
          <t>VÄSTERVIK</t>
        </is>
      </c>
      <c r="F168" t="inlineStr">
        <is>
          <t>Sveaskog</t>
        </is>
      </c>
      <c r="G168" t="n">
        <v>1</v>
      </c>
      <c r="H168" t="n">
        <v>2</v>
      </c>
      <c r="I168" t="n">
        <v>0</v>
      </c>
      <c r="J168" t="n">
        <v>1</v>
      </c>
      <c r="K168" t="n">
        <v>0</v>
      </c>
      <c r="L168" t="n">
        <v>0</v>
      </c>
      <c r="M168" t="n">
        <v>0</v>
      </c>
      <c r="N168" t="n">
        <v>0</v>
      </c>
      <c r="O168" t="n">
        <v>1</v>
      </c>
      <c r="P168" t="n">
        <v>0</v>
      </c>
      <c r="Q168" t="n">
        <v>2</v>
      </c>
      <c r="R168" s="2" t="inlineStr">
        <is>
          <t>Grönsångare
Åkergroda</t>
        </is>
      </c>
      <c r="S168">
        <f>HYPERLINK("https://klasma.github.io/Logging_0883/artfynd/A 14090-2025 artfynd.xlsx", "A 14090-2025")</f>
        <v/>
      </c>
      <c r="T168">
        <f>HYPERLINK("https://klasma.github.io/Logging_0883/kartor/A 14090-2025 karta.png", "A 14090-2025")</f>
        <v/>
      </c>
      <c r="V168">
        <f>HYPERLINK("https://klasma.github.io/Logging_0883/klagomål/A 14090-2025 FSC-klagomål.docx", "A 14090-2025")</f>
        <v/>
      </c>
      <c r="W168">
        <f>HYPERLINK("https://klasma.github.io/Logging_0883/klagomålsmail/A 14090-2025 FSC-klagomål mail.docx", "A 14090-2025")</f>
        <v/>
      </c>
      <c r="X168">
        <f>HYPERLINK("https://klasma.github.io/Logging_0883/tillsyn/A 14090-2025 tillsynsbegäran.docx", "A 14090-2025")</f>
        <v/>
      </c>
      <c r="Y168">
        <f>HYPERLINK("https://klasma.github.io/Logging_0883/tillsynsmail/A 14090-2025 tillsynsbegäran mail.docx", "A 14090-2025")</f>
        <v/>
      </c>
      <c r="Z168">
        <f>HYPERLINK("https://klasma.github.io/Logging_0883/fåglar/A 14090-2025 prioriterade fågelarter.docx", "A 14090-2025")</f>
        <v/>
      </c>
    </row>
    <row r="169" ht="15" customHeight="1">
      <c r="A169" t="inlineStr">
        <is>
          <t>A 11849-2024</t>
        </is>
      </c>
      <c r="B169" s="1" t="n">
        <v>45376.41797453703</v>
      </c>
      <c r="C169" s="1" t="n">
        <v>45991</v>
      </c>
      <c r="D169" t="inlineStr">
        <is>
          <t>KALMAR LÄN</t>
        </is>
      </c>
      <c r="E169" t="inlineStr">
        <is>
          <t>VÄSTERVIK</t>
        </is>
      </c>
      <c r="F169" t="inlineStr">
        <is>
          <t>Sveaskog</t>
        </is>
      </c>
      <c r="G169" t="n">
        <v>5.3</v>
      </c>
      <c r="H169" t="n">
        <v>2</v>
      </c>
      <c r="I169" t="n">
        <v>0</v>
      </c>
      <c r="J169" t="n">
        <v>0</v>
      </c>
      <c r="K169" t="n">
        <v>0</v>
      </c>
      <c r="L169" t="n">
        <v>0</v>
      </c>
      <c r="M169" t="n">
        <v>0</v>
      </c>
      <c r="N169" t="n">
        <v>0</v>
      </c>
      <c r="O169" t="n">
        <v>0</v>
      </c>
      <c r="P169" t="n">
        <v>0</v>
      </c>
      <c r="Q169" t="n">
        <v>2</v>
      </c>
      <c r="R169" s="2" t="inlineStr">
        <is>
          <t>Mattlummer
Revlummer</t>
        </is>
      </c>
      <c r="S169">
        <f>HYPERLINK("https://klasma.github.io/Logging_0883/artfynd/A 11849-2024 artfynd.xlsx", "A 11849-2024")</f>
        <v/>
      </c>
      <c r="T169">
        <f>HYPERLINK("https://klasma.github.io/Logging_0883/kartor/A 11849-2024 karta.png", "A 11849-2024")</f>
        <v/>
      </c>
      <c r="V169">
        <f>HYPERLINK("https://klasma.github.io/Logging_0883/klagomål/A 11849-2024 FSC-klagomål.docx", "A 11849-2024")</f>
        <v/>
      </c>
      <c r="W169">
        <f>HYPERLINK("https://klasma.github.io/Logging_0883/klagomålsmail/A 11849-2024 FSC-klagomål mail.docx", "A 11849-2024")</f>
        <v/>
      </c>
      <c r="X169">
        <f>HYPERLINK("https://klasma.github.io/Logging_0883/tillsyn/A 11849-2024 tillsynsbegäran.docx", "A 11849-2024")</f>
        <v/>
      </c>
      <c r="Y169">
        <f>HYPERLINK("https://klasma.github.io/Logging_0883/tillsynsmail/A 11849-2024 tillsynsbegäran mail.docx", "A 11849-2024")</f>
        <v/>
      </c>
    </row>
    <row r="170" ht="15" customHeight="1">
      <c r="A170" t="inlineStr">
        <is>
          <t>A 51833-2021</t>
        </is>
      </c>
      <c r="B170" s="1" t="n">
        <v>44462</v>
      </c>
      <c r="C170" s="1" t="n">
        <v>45991</v>
      </c>
      <c r="D170" t="inlineStr">
        <is>
          <t>KALMAR LÄN</t>
        </is>
      </c>
      <c r="E170" t="inlineStr">
        <is>
          <t>VÄSTERVIK</t>
        </is>
      </c>
      <c r="G170" t="n">
        <v>4</v>
      </c>
      <c r="H170" t="n">
        <v>1</v>
      </c>
      <c r="I170" t="n">
        <v>0</v>
      </c>
      <c r="J170" t="n">
        <v>1</v>
      </c>
      <c r="K170" t="n">
        <v>0</v>
      </c>
      <c r="L170" t="n">
        <v>0</v>
      </c>
      <c r="M170" t="n">
        <v>0</v>
      </c>
      <c r="N170" t="n">
        <v>0</v>
      </c>
      <c r="O170" t="n">
        <v>1</v>
      </c>
      <c r="P170" t="n">
        <v>0</v>
      </c>
      <c r="Q170" t="n">
        <v>2</v>
      </c>
      <c r="R170" s="2" t="inlineStr">
        <is>
          <t>Motaggsvamp
Fläcknycklar</t>
        </is>
      </c>
      <c r="S170">
        <f>HYPERLINK("https://klasma.github.io/Logging_0883/artfynd/A 51833-2021 artfynd.xlsx", "A 51833-2021")</f>
        <v/>
      </c>
      <c r="T170">
        <f>HYPERLINK("https://klasma.github.io/Logging_0883/kartor/A 51833-2021 karta.png", "A 51833-2021")</f>
        <v/>
      </c>
      <c r="V170">
        <f>HYPERLINK("https://klasma.github.io/Logging_0883/klagomål/A 51833-2021 FSC-klagomål.docx", "A 51833-2021")</f>
        <v/>
      </c>
      <c r="W170">
        <f>HYPERLINK("https://klasma.github.io/Logging_0883/klagomålsmail/A 51833-2021 FSC-klagomål mail.docx", "A 51833-2021")</f>
        <v/>
      </c>
      <c r="X170">
        <f>HYPERLINK("https://klasma.github.io/Logging_0883/tillsyn/A 51833-2021 tillsynsbegäran.docx", "A 51833-2021")</f>
        <v/>
      </c>
      <c r="Y170">
        <f>HYPERLINK("https://klasma.github.io/Logging_0883/tillsynsmail/A 51833-2021 tillsynsbegäran mail.docx", "A 51833-2021")</f>
        <v/>
      </c>
    </row>
    <row r="171" ht="15" customHeight="1">
      <c r="A171" t="inlineStr">
        <is>
          <t>A 40331-2024</t>
        </is>
      </c>
      <c r="B171" s="1" t="n">
        <v>45555.31039351852</v>
      </c>
      <c r="C171" s="1" t="n">
        <v>45991</v>
      </c>
      <c r="D171" t="inlineStr">
        <is>
          <t>KALMAR LÄN</t>
        </is>
      </c>
      <c r="E171" t="inlineStr">
        <is>
          <t>VÄSTERVIK</t>
        </is>
      </c>
      <c r="G171" t="n">
        <v>1.5</v>
      </c>
      <c r="H171" t="n">
        <v>1</v>
      </c>
      <c r="I171" t="n">
        <v>1</v>
      </c>
      <c r="J171" t="n">
        <v>0</v>
      </c>
      <c r="K171" t="n">
        <v>0</v>
      </c>
      <c r="L171" t="n">
        <v>0</v>
      </c>
      <c r="M171" t="n">
        <v>0</v>
      </c>
      <c r="N171" t="n">
        <v>0</v>
      </c>
      <c r="O171" t="n">
        <v>0</v>
      </c>
      <c r="P171" t="n">
        <v>0</v>
      </c>
      <c r="Q171" t="n">
        <v>2</v>
      </c>
      <c r="R171" s="2" t="inlineStr">
        <is>
          <t>Murgröna
Blåsippa</t>
        </is>
      </c>
      <c r="S171">
        <f>HYPERLINK("https://klasma.github.io/Logging_0883/artfynd/A 40331-2024 artfynd.xlsx", "A 40331-2024")</f>
        <v/>
      </c>
      <c r="T171">
        <f>HYPERLINK("https://klasma.github.io/Logging_0883/kartor/A 40331-2024 karta.png", "A 40331-2024")</f>
        <v/>
      </c>
      <c r="V171">
        <f>HYPERLINK("https://klasma.github.io/Logging_0883/klagomål/A 40331-2024 FSC-klagomål.docx", "A 40331-2024")</f>
        <v/>
      </c>
      <c r="W171">
        <f>HYPERLINK("https://klasma.github.io/Logging_0883/klagomålsmail/A 40331-2024 FSC-klagomål mail.docx", "A 40331-2024")</f>
        <v/>
      </c>
      <c r="X171">
        <f>HYPERLINK("https://klasma.github.io/Logging_0883/tillsyn/A 40331-2024 tillsynsbegäran.docx", "A 40331-2024")</f>
        <v/>
      </c>
      <c r="Y171">
        <f>HYPERLINK("https://klasma.github.io/Logging_0883/tillsynsmail/A 40331-2024 tillsynsbegäran mail.docx", "A 40331-2024")</f>
        <v/>
      </c>
    </row>
    <row r="172" ht="15" customHeight="1">
      <c r="A172" t="inlineStr">
        <is>
          <t>A 61804-2023</t>
        </is>
      </c>
      <c r="B172" s="1" t="n">
        <v>45266</v>
      </c>
      <c r="C172" s="1" t="n">
        <v>45991</v>
      </c>
      <c r="D172" t="inlineStr">
        <is>
          <t>KALMAR LÄN</t>
        </is>
      </c>
      <c r="E172" t="inlineStr">
        <is>
          <t>VÄSTERVIK</t>
        </is>
      </c>
      <c r="G172" t="n">
        <v>2.3</v>
      </c>
      <c r="H172" t="n">
        <v>0</v>
      </c>
      <c r="I172" t="n">
        <v>0</v>
      </c>
      <c r="J172" t="n">
        <v>2</v>
      </c>
      <c r="K172" t="n">
        <v>0</v>
      </c>
      <c r="L172" t="n">
        <v>0</v>
      </c>
      <c r="M172" t="n">
        <v>0</v>
      </c>
      <c r="N172" t="n">
        <v>0</v>
      </c>
      <c r="O172" t="n">
        <v>2</v>
      </c>
      <c r="P172" t="n">
        <v>0</v>
      </c>
      <c r="Q172" t="n">
        <v>2</v>
      </c>
      <c r="R172" s="2" t="inlineStr">
        <is>
          <t>Bredbrämad bastardsvärmare
Smalsprötad bastardsvärmare</t>
        </is>
      </c>
      <c r="S172">
        <f>HYPERLINK("https://klasma.github.io/Logging_0883/artfynd/A 61804-2023 artfynd.xlsx", "A 61804-2023")</f>
        <v/>
      </c>
      <c r="T172">
        <f>HYPERLINK("https://klasma.github.io/Logging_0883/kartor/A 61804-2023 karta.png", "A 61804-2023")</f>
        <v/>
      </c>
      <c r="V172">
        <f>HYPERLINK("https://klasma.github.io/Logging_0883/klagomål/A 61804-2023 FSC-klagomål.docx", "A 61804-2023")</f>
        <v/>
      </c>
      <c r="W172">
        <f>HYPERLINK("https://klasma.github.io/Logging_0883/klagomålsmail/A 61804-2023 FSC-klagomål mail.docx", "A 61804-2023")</f>
        <v/>
      </c>
      <c r="X172">
        <f>HYPERLINK("https://klasma.github.io/Logging_0883/tillsyn/A 61804-2023 tillsynsbegäran.docx", "A 61804-2023")</f>
        <v/>
      </c>
      <c r="Y172">
        <f>HYPERLINK("https://klasma.github.io/Logging_0883/tillsynsmail/A 61804-2023 tillsynsbegäran mail.docx", "A 61804-2023")</f>
        <v/>
      </c>
    </row>
    <row r="173" ht="15" customHeight="1">
      <c r="A173" t="inlineStr">
        <is>
          <t>A 8618-2024</t>
        </is>
      </c>
      <c r="B173" s="1" t="n">
        <v>45355.73453703704</v>
      </c>
      <c r="C173" s="1" t="n">
        <v>45991</v>
      </c>
      <c r="D173" t="inlineStr">
        <is>
          <t>KALMAR LÄN</t>
        </is>
      </c>
      <c r="E173" t="inlineStr">
        <is>
          <t>VÄSTERVIK</t>
        </is>
      </c>
      <c r="G173" t="n">
        <v>4.3</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8618-2024 artfynd.xlsx", "A 8618-2024")</f>
        <v/>
      </c>
      <c r="T173">
        <f>HYPERLINK("https://klasma.github.io/Logging_0883/kartor/A 8618-2024 karta.png", "A 8618-2024")</f>
        <v/>
      </c>
      <c r="U173">
        <f>HYPERLINK("https://klasma.github.io/Logging_0883/knärot/A 8618-2024 karta knärot.png", "A 8618-2024")</f>
        <v/>
      </c>
      <c r="V173">
        <f>HYPERLINK("https://klasma.github.io/Logging_0883/klagomål/A 8618-2024 FSC-klagomål.docx", "A 8618-2024")</f>
        <v/>
      </c>
      <c r="W173">
        <f>HYPERLINK("https://klasma.github.io/Logging_0883/klagomålsmail/A 8618-2024 FSC-klagomål mail.docx", "A 8618-2024")</f>
        <v/>
      </c>
      <c r="X173">
        <f>HYPERLINK("https://klasma.github.io/Logging_0883/tillsyn/A 8618-2024 tillsynsbegäran.docx", "A 8618-2024")</f>
        <v/>
      </c>
      <c r="Y173">
        <f>HYPERLINK("https://klasma.github.io/Logging_0883/tillsynsmail/A 8618-2024 tillsynsbegäran mail.docx", "A 8618-2024")</f>
        <v/>
      </c>
    </row>
    <row r="174" ht="15" customHeight="1">
      <c r="A174" t="inlineStr">
        <is>
          <t>A 47935-2023</t>
        </is>
      </c>
      <c r="B174" s="1" t="n">
        <v>45204</v>
      </c>
      <c r="C174" s="1" t="n">
        <v>45991</v>
      </c>
      <c r="D174" t="inlineStr">
        <is>
          <t>KALMAR LÄN</t>
        </is>
      </c>
      <c r="E174" t="inlineStr">
        <is>
          <t>VÄSTERVIK</t>
        </is>
      </c>
      <c r="G174" t="n">
        <v>4.3</v>
      </c>
      <c r="H174" t="n">
        <v>0</v>
      </c>
      <c r="I174" t="n">
        <v>1</v>
      </c>
      <c r="J174" t="n">
        <v>1</v>
      </c>
      <c r="K174" t="n">
        <v>0</v>
      </c>
      <c r="L174" t="n">
        <v>0</v>
      </c>
      <c r="M174" t="n">
        <v>0</v>
      </c>
      <c r="N174" t="n">
        <v>0</v>
      </c>
      <c r="O174" t="n">
        <v>1</v>
      </c>
      <c r="P174" t="n">
        <v>0</v>
      </c>
      <c r="Q174" t="n">
        <v>2</v>
      </c>
      <c r="R174" s="2" t="inlineStr">
        <is>
          <t>Tallticka
Blåmossa</t>
        </is>
      </c>
      <c r="S174">
        <f>HYPERLINK("https://klasma.github.io/Logging_0883/artfynd/A 47935-2023 artfynd.xlsx", "A 47935-2023")</f>
        <v/>
      </c>
      <c r="T174">
        <f>HYPERLINK("https://klasma.github.io/Logging_0883/kartor/A 47935-2023 karta.png", "A 47935-2023")</f>
        <v/>
      </c>
      <c r="V174">
        <f>HYPERLINK("https://klasma.github.io/Logging_0883/klagomål/A 47935-2023 FSC-klagomål.docx", "A 47935-2023")</f>
        <v/>
      </c>
      <c r="W174">
        <f>HYPERLINK("https://klasma.github.io/Logging_0883/klagomålsmail/A 47935-2023 FSC-klagomål mail.docx", "A 47935-2023")</f>
        <v/>
      </c>
      <c r="X174">
        <f>HYPERLINK("https://klasma.github.io/Logging_0883/tillsyn/A 47935-2023 tillsynsbegäran.docx", "A 47935-2023")</f>
        <v/>
      </c>
      <c r="Y174">
        <f>HYPERLINK("https://klasma.github.io/Logging_0883/tillsynsmail/A 47935-2023 tillsynsbegäran mail.docx", "A 47935-2023")</f>
        <v/>
      </c>
    </row>
    <row r="175" ht="15" customHeight="1">
      <c r="A175" t="inlineStr">
        <is>
          <t>A 1955-2021</t>
        </is>
      </c>
      <c r="B175" s="1" t="n">
        <v>44210</v>
      </c>
      <c r="C175" s="1" t="n">
        <v>45991</v>
      </c>
      <c r="D175" t="inlineStr">
        <is>
          <t>KALMAR LÄN</t>
        </is>
      </c>
      <c r="E175" t="inlineStr">
        <is>
          <t>VÄSTERVIK</t>
        </is>
      </c>
      <c r="G175" t="n">
        <v>5.3</v>
      </c>
      <c r="H175" t="n">
        <v>2</v>
      </c>
      <c r="I175" t="n">
        <v>0</v>
      </c>
      <c r="J175" t="n">
        <v>2</v>
      </c>
      <c r="K175" t="n">
        <v>0</v>
      </c>
      <c r="L175" t="n">
        <v>0</v>
      </c>
      <c r="M175" t="n">
        <v>0</v>
      </c>
      <c r="N175" t="n">
        <v>0</v>
      </c>
      <c r="O175" t="n">
        <v>2</v>
      </c>
      <c r="P175" t="n">
        <v>0</v>
      </c>
      <c r="Q175" t="n">
        <v>2</v>
      </c>
      <c r="R175" s="2" t="inlineStr">
        <is>
          <t>Spillkråka
Talltita</t>
        </is>
      </c>
      <c r="S175">
        <f>HYPERLINK("https://klasma.github.io/Logging_0883/artfynd/A 1955-2021 artfynd.xlsx", "A 1955-2021")</f>
        <v/>
      </c>
      <c r="T175">
        <f>HYPERLINK("https://klasma.github.io/Logging_0883/kartor/A 1955-2021 karta.png", "A 1955-2021")</f>
        <v/>
      </c>
      <c r="V175">
        <f>HYPERLINK("https://klasma.github.io/Logging_0883/klagomål/A 1955-2021 FSC-klagomål.docx", "A 1955-2021")</f>
        <v/>
      </c>
      <c r="W175">
        <f>HYPERLINK("https://klasma.github.io/Logging_0883/klagomålsmail/A 1955-2021 FSC-klagomål mail.docx", "A 1955-2021")</f>
        <v/>
      </c>
      <c r="X175">
        <f>HYPERLINK("https://klasma.github.io/Logging_0883/tillsyn/A 1955-2021 tillsynsbegäran.docx", "A 1955-2021")</f>
        <v/>
      </c>
      <c r="Y175">
        <f>HYPERLINK("https://klasma.github.io/Logging_0883/tillsynsmail/A 1955-2021 tillsynsbegäran mail.docx", "A 1955-2021")</f>
        <v/>
      </c>
      <c r="Z175">
        <f>HYPERLINK("https://klasma.github.io/Logging_0883/fåglar/A 1955-2021 prioriterade fågelarter.docx", "A 1955-2021")</f>
        <v/>
      </c>
    </row>
    <row r="176" ht="15" customHeight="1">
      <c r="A176" t="inlineStr">
        <is>
          <t>A 911-2024</t>
        </is>
      </c>
      <c r="B176" s="1" t="n">
        <v>45301</v>
      </c>
      <c r="C176" s="1" t="n">
        <v>45991</v>
      </c>
      <c r="D176" t="inlineStr">
        <is>
          <t>KALMAR LÄN</t>
        </is>
      </c>
      <c r="E176" t="inlineStr">
        <is>
          <t>VÄSTERVIK</t>
        </is>
      </c>
      <c r="G176" t="n">
        <v>5.6</v>
      </c>
      <c r="H176" t="n">
        <v>1</v>
      </c>
      <c r="I176" t="n">
        <v>1</v>
      </c>
      <c r="J176" t="n">
        <v>1</v>
      </c>
      <c r="K176" t="n">
        <v>0</v>
      </c>
      <c r="L176" t="n">
        <v>0</v>
      </c>
      <c r="M176" t="n">
        <v>0</v>
      </c>
      <c r="N176" t="n">
        <v>0</v>
      </c>
      <c r="O176" t="n">
        <v>1</v>
      </c>
      <c r="P176" t="n">
        <v>0</v>
      </c>
      <c r="Q176" t="n">
        <v>2</v>
      </c>
      <c r="R176" s="2" t="inlineStr">
        <is>
          <t>Talltita
Blodticka</t>
        </is>
      </c>
      <c r="S176">
        <f>HYPERLINK("https://klasma.github.io/Logging_0883/artfynd/A 911-2024 artfynd.xlsx", "A 911-2024")</f>
        <v/>
      </c>
      <c r="T176">
        <f>HYPERLINK("https://klasma.github.io/Logging_0883/kartor/A 911-2024 karta.png", "A 911-2024")</f>
        <v/>
      </c>
      <c r="V176">
        <f>HYPERLINK("https://klasma.github.io/Logging_0883/klagomål/A 911-2024 FSC-klagomål.docx", "A 911-2024")</f>
        <v/>
      </c>
      <c r="W176">
        <f>HYPERLINK("https://klasma.github.io/Logging_0883/klagomålsmail/A 911-2024 FSC-klagomål mail.docx", "A 911-2024")</f>
        <v/>
      </c>
      <c r="X176">
        <f>HYPERLINK("https://klasma.github.io/Logging_0883/tillsyn/A 911-2024 tillsynsbegäran.docx", "A 911-2024")</f>
        <v/>
      </c>
      <c r="Y176">
        <f>HYPERLINK("https://klasma.github.io/Logging_0883/tillsynsmail/A 911-2024 tillsynsbegäran mail.docx", "A 911-2024")</f>
        <v/>
      </c>
      <c r="Z176">
        <f>HYPERLINK("https://klasma.github.io/Logging_0883/fåglar/A 911-2024 prioriterade fågelarter.docx", "A 911-2024")</f>
        <v/>
      </c>
    </row>
    <row r="177" ht="15" customHeight="1">
      <c r="A177" t="inlineStr">
        <is>
          <t>A 25145-2022</t>
        </is>
      </c>
      <c r="B177" s="1" t="n">
        <v>44729</v>
      </c>
      <c r="C177" s="1" t="n">
        <v>45991</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16700-2025</t>
        </is>
      </c>
      <c r="B178" s="1" t="n">
        <v>45754.46833333333</v>
      </c>
      <c r="C178" s="1" t="n">
        <v>45991</v>
      </c>
      <c r="D178" t="inlineStr">
        <is>
          <t>KALMAR LÄN</t>
        </is>
      </c>
      <c r="E178" t="inlineStr">
        <is>
          <t>VÄSTERVIK</t>
        </is>
      </c>
      <c r="F178" t="inlineStr">
        <is>
          <t>Sveaskog</t>
        </is>
      </c>
      <c r="G178" t="n">
        <v>1.7</v>
      </c>
      <c r="H178" t="n">
        <v>2</v>
      </c>
      <c r="I178" t="n">
        <v>0</v>
      </c>
      <c r="J178" t="n">
        <v>1</v>
      </c>
      <c r="K178" t="n">
        <v>0</v>
      </c>
      <c r="L178" t="n">
        <v>0</v>
      </c>
      <c r="M178" t="n">
        <v>0</v>
      </c>
      <c r="N178" t="n">
        <v>0</v>
      </c>
      <c r="O178" t="n">
        <v>1</v>
      </c>
      <c r="P178" t="n">
        <v>0</v>
      </c>
      <c r="Q178" t="n">
        <v>2</v>
      </c>
      <c r="R178" s="2" t="inlineStr">
        <is>
          <t>Spillkråka
Kungsfågel</t>
        </is>
      </c>
      <c r="S178">
        <f>HYPERLINK("https://klasma.github.io/Logging_0883/artfynd/A 16700-2025 artfynd.xlsx", "A 16700-2025")</f>
        <v/>
      </c>
      <c r="T178">
        <f>HYPERLINK("https://klasma.github.io/Logging_0883/kartor/A 16700-2025 karta.png", "A 16700-2025")</f>
        <v/>
      </c>
      <c r="V178">
        <f>HYPERLINK("https://klasma.github.io/Logging_0883/klagomål/A 16700-2025 FSC-klagomål.docx", "A 16700-2025")</f>
        <v/>
      </c>
      <c r="W178">
        <f>HYPERLINK("https://klasma.github.io/Logging_0883/klagomålsmail/A 16700-2025 FSC-klagomål mail.docx", "A 16700-2025")</f>
        <v/>
      </c>
      <c r="X178">
        <f>HYPERLINK("https://klasma.github.io/Logging_0883/tillsyn/A 16700-2025 tillsynsbegäran.docx", "A 16700-2025")</f>
        <v/>
      </c>
      <c r="Y178">
        <f>HYPERLINK("https://klasma.github.io/Logging_0883/tillsynsmail/A 16700-2025 tillsynsbegäran mail.docx", "A 16700-2025")</f>
        <v/>
      </c>
      <c r="Z178">
        <f>HYPERLINK("https://klasma.github.io/Logging_0883/fåglar/A 16700-2025 prioriterade fågelarter.docx", "A 16700-2025")</f>
        <v/>
      </c>
    </row>
    <row r="179" ht="15" customHeight="1">
      <c r="A179" t="inlineStr">
        <is>
          <t>A 56857-2023</t>
        </is>
      </c>
      <c r="B179" s="1" t="n">
        <v>45244</v>
      </c>
      <c r="C179" s="1" t="n">
        <v>45991</v>
      </c>
      <c r="D179" t="inlineStr">
        <is>
          <t>KALMAR LÄN</t>
        </is>
      </c>
      <c r="E179" t="inlineStr">
        <is>
          <t>VÄSTERVIK</t>
        </is>
      </c>
      <c r="F179" t="inlineStr">
        <is>
          <t>Kyrkan</t>
        </is>
      </c>
      <c r="G179" t="n">
        <v>7.5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56857-2023 artfynd.xlsx", "A 56857-2023")</f>
        <v/>
      </c>
      <c r="T179">
        <f>HYPERLINK("https://klasma.github.io/Logging_0883/kartor/A 56857-2023 karta.png", "A 56857-2023")</f>
        <v/>
      </c>
      <c r="U179">
        <f>HYPERLINK("https://klasma.github.io/Logging_0883/knärot/A 56857-2023 karta knärot.png", "A 56857-2023")</f>
        <v/>
      </c>
      <c r="V179">
        <f>HYPERLINK("https://klasma.github.io/Logging_0883/klagomål/A 56857-2023 FSC-klagomål.docx", "A 56857-2023")</f>
        <v/>
      </c>
      <c r="W179">
        <f>HYPERLINK("https://klasma.github.io/Logging_0883/klagomålsmail/A 56857-2023 FSC-klagomål mail.docx", "A 56857-2023")</f>
        <v/>
      </c>
      <c r="X179">
        <f>HYPERLINK("https://klasma.github.io/Logging_0883/tillsyn/A 56857-2023 tillsynsbegäran.docx", "A 56857-2023")</f>
        <v/>
      </c>
      <c r="Y179">
        <f>HYPERLINK("https://klasma.github.io/Logging_0883/tillsynsmail/A 56857-2023 tillsynsbegäran mail.docx", "A 56857-2023")</f>
        <v/>
      </c>
    </row>
    <row r="180" ht="15" customHeight="1">
      <c r="A180" t="inlineStr">
        <is>
          <t>A 12212-2024</t>
        </is>
      </c>
      <c r="B180" s="1" t="n">
        <v>45378.31111111111</v>
      </c>
      <c r="C180" s="1" t="n">
        <v>45991</v>
      </c>
      <c r="D180" t="inlineStr">
        <is>
          <t>KALMAR LÄN</t>
        </is>
      </c>
      <c r="E180" t="inlineStr">
        <is>
          <t>VÄSTERVIK</t>
        </is>
      </c>
      <c r="G180" t="n">
        <v>0.8</v>
      </c>
      <c r="H180" t="n">
        <v>2</v>
      </c>
      <c r="I180" t="n">
        <v>0</v>
      </c>
      <c r="J180" t="n">
        <v>2</v>
      </c>
      <c r="K180" t="n">
        <v>0</v>
      </c>
      <c r="L180" t="n">
        <v>0</v>
      </c>
      <c r="M180" t="n">
        <v>0</v>
      </c>
      <c r="N180" t="n">
        <v>0</v>
      </c>
      <c r="O180" t="n">
        <v>2</v>
      </c>
      <c r="P180" t="n">
        <v>0</v>
      </c>
      <c r="Q180" t="n">
        <v>2</v>
      </c>
      <c r="R180" s="2" t="inlineStr">
        <is>
          <t>Spillkråka
Talltita</t>
        </is>
      </c>
      <c r="S180">
        <f>HYPERLINK("https://klasma.github.io/Logging_0883/artfynd/A 12212-2024 artfynd.xlsx", "A 12212-2024")</f>
        <v/>
      </c>
      <c r="T180">
        <f>HYPERLINK("https://klasma.github.io/Logging_0883/kartor/A 12212-2024 karta.png", "A 12212-2024")</f>
        <v/>
      </c>
      <c r="V180">
        <f>HYPERLINK("https://klasma.github.io/Logging_0883/klagomål/A 12212-2024 FSC-klagomål.docx", "A 12212-2024")</f>
        <v/>
      </c>
      <c r="W180">
        <f>HYPERLINK("https://klasma.github.io/Logging_0883/klagomålsmail/A 12212-2024 FSC-klagomål mail.docx", "A 12212-2024")</f>
        <v/>
      </c>
      <c r="X180">
        <f>HYPERLINK("https://klasma.github.io/Logging_0883/tillsyn/A 12212-2024 tillsynsbegäran.docx", "A 12212-2024")</f>
        <v/>
      </c>
      <c r="Y180">
        <f>HYPERLINK("https://klasma.github.io/Logging_0883/tillsynsmail/A 12212-2024 tillsynsbegäran mail.docx", "A 12212-2024")</f>
        <v/>
      </c>
      <c r="Z180">
        <f>HYPERLINK("https://klasma.github.io/Logging_0883/fåglar/A 12212-2024 prioriterade fågelarter.docx", "A 12212-2024")</f>
        <v/>
      </c>
    </row>
    <row r="181" ht="15" customHeight="1">
      <c r="A181" t="inlineStr">
        <is>
          <t>A 56036-2024</t>
        </is>
      </c>
      <c r="B181" s="1" t="n">
        <v>45624</v>
      </c>
      <c r="C181" s="1" t="n">
        <v>45991</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55408-2023</t>
        </is>
      </c>
      <c r="B182" s="1" t="n">
        <v>45238</v>
      </c>
      <c r="C182" s="1" t="n">
        <v>45991</v>
      </c>
      <c r="D182" t="inlineStr">
        <is>
          <t>KALMAR LÄN</t>
        </is>
      </c>
      <c r="E182" t="inlineStr">
        <is>
          <t>VÄSTERVIK</t>
        </is>
      </c>
      <c r="G182" t="n">
        <v>2.8</v>
      </c>
      <c r="H182" t="n">
        <v>0</v>
      </c>
      <c r="I182" t="n">
        <v>0</v>
      </c>
      <c r="J182" t="n">
        <v>2</v>
      </c>
      <c r="K182" t="n">
        <v>0</v>
      </c>
      <c r="L182" t="n">
        <v>0</v>
      </c>
      <c r="M182" t="n">
        <v>0</v>
      </c>
      <c r="N182" t="n">
        <v>0</v>
      </c>
      <c r="O182" t="n">
        <v>2</v>
      </c>
      <c r="P182" t="n">
        <v>0</v>
      </c>
      <c r="Q182" t="n">
        <v>2</v>
      </c>
      <c r="R182" s="2" t="inlineStr">
        <is>
          <t>Ekticka
Tallticka</t>
        </is>
      </c>
      <c r="S182">
        <f>HYPERLINK("https://klasma.github.io/Logging_0883/artfynd/A 55408-2023 artfynd.xlsx", "A 55408-2023")</f>
        <v/>
      </c>
      <c r="T182">
        <f>HYPERLINK("https://klasma.github.io/Logging_0883/kartor/A 55408-2023 karta.png", "A 55408-2023")</f>
        <v/>
      </c>
      <c r="V182">
        <f>HYPERLINK("https://klasma.github.io/Logging_0883/klagomål/A 55408-2023 FSC-klagomål.docx", "A 55408-2023")</f>
        <v/>
      </c>
      <c r="W182">
        <f>HYPERLINK("https://klasma.github.io/Logging_0883/klagomålsmail/A 55408-2023 FSC-klagomål mail.docx", "A 55408-2023")</f>
        <v/>
      </c>
      <c r="X182">
        <f>HYPERLINK("https://klasma.github.io/Logging_0883/tillsyn/A 55408-2023 tillsynsbegäran.docx", "A 55408-2023")</f>
        <v/>
      </c>
      <c r="Y182">
        <f>HYPERLINK("https://klasma.github.io/Logging_0883/tillsynsmail/A 55408-2023 tillsynsbegäran mail.docx", "A 55408-2023")</f>
        <v/>
      </c>
    </row>
    <row r="183" ht="15" customHeight="1">
      <c r="A183" t="inlineStr">
        <is>
          <t>A 38373-2022</t>
        </is>
      </c>
      <c r="B183" s="1" t="n">
        <v>44812</v>
      </c>
      <c r="C183" s="1" t="n">
        <v>45991</v>
      </c>
      <c r="D183" t="inlineStr">
        <is>
          <t>KALMAR LÄN</t>
        </is>
      </c>
      <c r="E183" t="inlineStr">
        <is>
          <t>VÄSTERVIK</t>
        </is>
      </c>
      <c r="G183" t="n">
        <v>3.1</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38373-2022 artfynd.xlsx", "A 38373-2022")</f>
        <v/>
      </c>
      <c r="T183">
        <f>HYPERLINK("https://klasma.github.io/Logging_0883/kartor/A 38373-2022 karta.png", "A 38373-2022")</f>
        <v/>
      </c>
      <c r="U183">
        <f>HYPERLINK("https://klasma.github.io/Logging_0883/knärot/A 38373-2022 karta knärot.png", "A 38373-2022")</f>
        <v/>
      </c>
      <c r="V183">
        <f>HYPERLINK("https://klasma.github.io/Logging_0883/klagomål/A 38373-2022 FSC-klagomål.docx", "A 38373-2022")</f>
        <v/>
      </c>
      <c r="W183">
        <f>HYPERLINK("https://klasma.github.io/Logging_0883/klagomålsmail/A 38373-2022 FSC-klagomål mail.docx", "A 38373-2022")</f>
        <v/>
      </c>
      <c r="X183">
        <f>HYPERLINK("https://klasma.github.io/Logging_0883/tillsyn/A 38373-2022 tillsynsbegäran.docx", "A 38373-2022")</f>
        <v/>
      </c>
      <c r="Y183">
        <f>HYPERLINK("https://klasma.github.io/Logging_0883/tillsynsmail/A 38373-2022 tillsynsbegäran mail.docx", "A 38373-2022")</f>
        <v/>
      </c>
    </row>
    <row r="184" ht="15" customHeight="1">
      <c r="A184" t="inlineStr">
        <is>
          <t>A 25435-2023</t>
        </is>
      </c>
      <c r="B184" s="1" t="n">
        <v>45089</v>
      </c>
      <c r="C184" s="1" t="n">
        <v>45991</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948-2024</t>
        </is>
      </c>
      <c r="B185" s="1" t="n">
        <v>45301</v>
      </c>
      <c r="C185" s="1" t="n">
        <v>45991</v>
      </c>
      <c r="D185" t="inlineStr">
        <is>
          <t>KALMAR LÄN</t>
        </is>
      </c>
      <c r="E185" t="inlineStr">
        <is>
          <t>VÄSTERVIK</t>
        </is>
      </c>
      <c r="G185" t="n">
        <v>4.5</v>
      </c>
      <c r="H185" t="n">
        <v>1</v>
      </c>
      <c r="I185" t="n">
        <v>1</v>
      </c>
      <c r="J185" t="n">
        <v>0</v>
      </c>
      <c r="K185" t="n">
        <v>0</v>
      </c>
      <c r="L185" t="n">
        <v>0</v>
      </c>
      <c r="M185" t="n">
        <v>0</v>
      </c>
      <c r="N185" t="n">
        <v>0</v>
      </c>
      <c r="O185" t="n">
        <v>0</v>
      </c>
      <c r="P185" t="n">
        <v>0</v>
      </c>
      <c r="Q185" t="n">
        <v>2</v>
      </c>
      <c r="R185" s="2" t="inlineStr">
        <is>
          <t>Dropptaggsvamp
Tjäder</t>
        </is>
      </c>
      <c r="S185">
        <f>HYPERLINK("https://klasma.github.io/Logging_0883/artfynd/A 948-2024 artfynd.xlsx", "A 948-2024")</f>
        <v/>
      </c>
      <c r="T185">
        <f>HYPERLINK("https://klasma.github.io/Logging_0883/kartor/A 948-2024 karta.png", "A 948-2024")</f>
        <v/>
      </c>
      <c r="V185">
        <f>HYPERLINK("https://klasma.github.io/Logging_0883/klagomål/A 948-2024 FSC-klagomål.docx", "A 948-2024")</f>
        <v/>
      </c>
      <c r="W185">
        <f>HYPERLINK("https://klasma.github.io/Logging_0883/klagomålsmail/A 948-2024 FSC-klagomål mail.docx", "A 948-2024")</f>
        <v/>
      </c>
      <c r="X185">
        <f>HYPERLINK("https://klasma.github.io/Logging_0883/tillsyn/A 948-2024 tillsynsbegäran.docx", "A 948-2024")</f>
        <v/>
      </c>
      <c r="Y185">
        <f>HYPERLINK("https://klasma.github.io/Logging_0883/tillsynsmail/A 948-2024 tillsynsbegäran mail.docx", "A 948-2024")</f>
        <v/>
      </c>
      <c r="Z185">
        <f>HYPERLINK("https://klasma.github.io/Logging_0883/fåglar/A 948-2024 prioriterade fågelarter.docx", "A 948-2024")</f>
        <v/>
      </c>
    </row>
    <row r="186" ht="15" customHeight="1">
      <c r="A186" t="inlineStr">
        <is>
          <t>A 59940-2021</t>
        </is>
      </c>
      <c r="B186" s="1" t="n">
        <v>44494</v>
      </c>
      <c r="C186" s="1" t="n">
        <v>45991</v>
      </c>
      <c r="D186" t="inlineStr">
        <is>
          <t>KALMAR LÄN</t>
        </is>
      </c>
      <c r="E186" t="inlineStr">
        <is>
          <t>VÄSTERVIK</t>
        </is>
      </c>
      <c r="G186" t="n">
        <v>4.3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59940-2021 artfynd.xlsx", "A 59940-2021")</f>
        <v/>
      </c>
      <c r="T186">
        <f>HYPERLINK("https://klasma.github.io/Logging_0883/kartor/A 59940-2021 karta.png", "A 59940-2021")</f>
        <v/>
      </c>
      <c r="U186">
        <f>HYPERLINK("https://klasma.github.io/Logging_0883/knärot/A 59940-2021 karta knärot.png", "A 59940-2021")</f>
        <v/>
      </c>
      <c r="V186">
        <f>HYPERLINK("https://klasma.github.io/Logging_0883/klagomål/A 59940-2021 FSC-klagomål.docx", "A 59940-2021")</f>
        <v/>
      </c>
      <c r="W186">
        <f>HYPERLINK("https://klasma.github.io/Logging_0883/klagomålsmail/A 59940-2021 FSC-klagomål mail.docx", "A 59940-2021")</f>
        <v/>
      </c>
      <c r="X186">
        <f>HYPERLINK("https://klasma.github.io/Logging_0883/tillsyn/A 59940-2021 tillsynsbegäran.docx", "A 59940-2021")</f>
        <v/>
      </c>
      <c r="Y186">
        <f>HYPERLINK("https://klasma.github.io/Logging_0883/tillsynsmail/A 59940-2021 tillsynsbegäran mail.docx", "A 59940-2021")</f>
        <v/>
      </c>
    </row>
    <row r="187" ht="15" customHeight="1">
      <c r="A187" t="inlineStr">
        <is>
          <t>A 59231-2022</t>
        </is>
      </c>
      <c r="B187" s="1" t="n">
        <v>44904.55646990741</v>
      </c>
      <c r="C187" s="1" t="n">
        <v>45991</v>
      </c>
      <c r="D187" t="inlineStr">
        <is>
          <t>KALMAR LÄN</t>
        </is>
      </c>
      <c r="E187" t="inlineStr">
        <is>
          <t>VÄSTERVIK</t>
        </is>
      </c>
      <c r="G187" t="n">
        <v>1.8</v>
      </c>
      <c r="H187" t="n">
        <v>0</v>
      </c>
      <c r="I187" t="n">
        <v>1</v>
      </c>
      <c r="J187" t="n">
        <v>1</v>
      </c>
      <c r="K187" t="n">
        <v>0</v>
      </c>
      <c r="L187" t="n">
        <v>0</v>
      </c>
      <c r="M187" t="n">
        <v>0</v>
      </c>
      <c r="N187" t="n">
        <v>0</v>
      </c>
      <c r="O187" t="n">
        <v>1</v>
      </c>
      <c r="P187" t="n">
        <v>0</v>
      </c>
      <c r="Q187" t="n">
        <v>2</v>
      </c>
      <c r="R187" s="2" t="inlineStr">
        <is>
          <t>Tallticka
Grönpyrola</t>
        </is>
      </c>
      <c r="S187">
        <f>HYPERLINK("https://klasma.github.io/Logging_0883/artfynd/A 59231-2022 artfynd.xlsx", "A 59231-2022")</f>
        <v/>
      </c>
      <c r="T187">
        <f>HYPERLINK("https://klasma.github.io/Logging_0883/kartor/A 59231-2022 karta.png", "A 59231-2022")</f>
        <v/>
      </c>
      <c r="V187">
        <f>HYPERLINK("https://klasma.github.io/Logging_0883/klagomål/A 59231-2022 FSC-klagomål.docx", "A 59231-2022")</f>
        <v/>
      </c>
      <c r="W187">
        <f>HYPERLINK("https://klasma.github.io/Logging_0883/klagomålsmail/A 59231-2022 FSC-klagomål mail.docx", "A 59231-2022")</f>
        <v/>
      </c>
      <c r="X187">
        <f>HYPERLINK("https://klasma.github.io/Logging_0883/tillsyn/A 59231-2022 tillsynsbegäran.docx", "A 59231-2022")</f>
        <v/>
      </c>
      <c r="Y187">
        <f>HYPERLINK("https://klasma.github.io/Logging_0883/tillsynsmail/A 59231-2022 tillsynsbegäran mail.docx", "A 59231-2022")</f>
        <v/>
      </c>
    </row>
    <row r="188" ht="15" customHeight="1">
      <c r="A188" t="inlineStr">
        <is>
          <t>A 35236-2024</t>
        </is>
      </c>
      <c r="B188" s="1" t="n">
        <v>45530.54184027778</v>
      </c>
      <c r="C188" s="1" t="n">
        <v>45991</v>
      </c>
      <c r="D188" t="inlineStr">
        <is>
          <t>KALMAR LÄN</t>
        </is>
      </c>
      <c r="E188" t="inlineStr">
        <is>
          <t>VÄSTERVIK</t>
        </is>
      </c>
      <c r="G188" t="n">
        <v>0.9</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35236-2024 artfynd.xlsx", "A 35236-2024")</f>
        <v/>
      </c>
      <c r="T188">
        <f>HYPERLINK("https://klasma.github.io/Logging_0883/kartor/A 35236-2024 karta.png", "A 35236-2024")</f>
        <v/>
      </c>
      <c r="U188">
        <f>HYPERLINK("https://klasma.github.io/Logging_0883/knärot/A 35236-2024 karta knärot.png", "A 35236-2024")</f>
        <v/>
      </c>
      <c r="V188">
        <f>HYPERLINK("https://klasma.github.io/Logging_0883/klagomål/A 35236-2024 FSC-klagomål.docx", "A 35236-2024")</f>
        <v/>
      </c>
      <c r="W188">
        <f>HYPERLINK("https://klasma.github.io/Logging_0883/klagomålsmail/A 35236-2024 FSC-klagomål mail.docx", "A 35236-2024")</f>
        <v/>
      </c>
      <c r="X188">
        <f>HYPERLINK("https://klasma.github.io/Logging_0883/tillsyn/A 35236-2024 tillsynsbegäran.docx", "A 35236-2024")</f>
        <v/>
      </c>
      <c r="Y188">
        <f>HYPERLINK("https://klasma.github.io/Logging_0883/tillsynsmail/A 35236-2024 tillsynsbegäran mail.docx", "A 35236-2024")</f>
        <v/>
      </c>
    </row>
    <row r="189" ht="15" customHeight="1">
      <c r="A189" t="inlineStr">
        <is>
          <t>A 62008-2023</t>
        </is>
      </c>
      <c r="B189" s="1" t="n">
        <v>45266</v>
      </c>
      <c r="C189" s="1" t="n">
        <v>45991</v>
      </c>
      <c r="D189" t="inlineStr">
        <is>
          <t>KALMAR LÄN</t>
        </is>
      </c>
      <c r="E189" t="inlineStr">
        <is>
          <t>VÄSTERVIK</t>
        </is>
      </c>
      <c r="G189" t="n">
        <v>4</v>
      </c>
      <c r="H189" t="n">
        <v>2</v>
      </c>
      <c r="I189" t="n">
        <v>0</v>
      </c>
      <c r="J189" t="n">
        <v>1</v>
      </c>
      <c r="K189" t="n">
        <v>1</v>
      </c>
      <c r="L189" t="n">
        <v>0</v>
      </c>
      <c r="M189" t="n">
        <v>0</v>
      </c>
      <c r="N189" t="n">
        <v>0</v>
      </c>
      <c r="O189" t="n">
        <v>2</v>
      </c>
      <c r="P189" t="n">
        <v>1</v>
      </c>
      <c r="Q189" t="n">
        <v>2</v>
      </c>
      <c r="R189" s="2" t="inlineStr">
        <is>
          <t>Knärot
Talltita</t>
        </is>
      </c>
      <c r="S189">
        <f>HYPERLINK("https://klasma.github.io/Logging_0883/artfynd/A 62008-2023 artfynd.xlsx", "A 62008-2023")</f>
        <v/>
      </c>
      <c r="T189">
        <f>HYPERLINK("https://klasma.github.io/Logging_0883/kartor/A 62008-2023 karta.png", "A 62008-2023")</f>
        <v/>
      </c>
      <c r="U189">
        <f>HYPERLINK("https://klasma.github.io/Logging_0883/knärot/A 62008-2023 karta knärot.png", "A 62008-2023")</f>
        <v/>
      </c>
      <c r="V189">
        <f>HYPERLINK("https://klasma.github.io/Logging_0883/klagomål/A 62008-2023 FSC-klagomål.docx", "A 62008-2023")</f>
        <v/>
      </c>
      <c r="W189">
        <f>HYPERLINK("https://klasma.github.io/Logging_0883/klagomålsmail/A 62008-2023 FSC-klagomål mail.docx", "A 62008-2023")</f>
        <v/>
      </c>
      <c r="X189">
        <f>HYPERLINK("https://klasma.github.io/Logging_0883/tillsyn/A 62008-2023 tillsynsbegäran.docx", "A 62008-2023")</f>
        <v/>
      </c>
      <c r="Y189">
        <f>HYPERLINK("https://klasma.github.io/Logging_0883/tillsynsmail/A 62008-2023 tillsynsbegäran mail.docx", "A 62008-2023")</f>
        <v/>
      </c>
      <c r="Z189">
        <f>HYPERLINK("https://klasma.github.io/Logging_0883/fåglar/A 62008-2023 prioriterade fågelarter.docx", "A 62008-2023")</f>
        <v/>
      </c>
    </row>
    <row r="190" ht="15" customHeight="1">
      <c r="A190" t="inlineStr">
        <is>
          <t>A 50977-2021</t>
        </is>
      </c>
      <c r="B190" s="1" t="n">
        <v>44460.68069444445</v>
      </c>
      <c r="C190" s="1" t="n">
        <v>45991</v>
      </c>
      <c r="D190" t="inlineStr">
        <is>
          <t>KALMAR LÄN</t>
        </is>
      </c>
      <c r="E190" t="inlineStr">
        <is>
          <t>VÄSTERVIK</t>
        </is>
      </c>
      <c r="G190" t="n">
        <v>0.8</v>
      </c>
      <c r="H190" t="n">
        <v>1</v>
      </c>
      <c r="I190" t="n">
        <v>0</v>
      </c>
      <c r="J190" t="n">
        <v>1</v>
      </c>
      <c r="K190" t="n">
        <v>0</v>
      </c>
      <c r="L190" t="n">
        <v>0</v>
      </c>
      <c r="M190" t="n">
        <v>0</v>
      </c>
      <c r="N190" t="n">
        <v>0</v>
      </c>
      <c r="O190" t="n">
        <v>1</v>
      </c>
      <c r="P190" t="n">
        <v>0</v>
      </c>
      <c r="Q190" t="n">
        <v>1</v>
      </c>
      <c r="R190" s="2" t="inlineStr">
        <is>
          <t>Entita</t>
        </is>
      </c>
      <c r="S190">
        <f>HYPERLINK("https://klasma.github.io/Logging_0883/artfynd/A 50977-2021 artfynd.xlsx", "A 50977-2021")</f>
        <v/>
      </c>
      <c r="T190">
        <f>HYPERLINK("https://klasma.github.io/Logging_0883/kartor/A 50977-2021 karta.png", "A 50977-2021")</f>
        <v/>
      </c>
      <c r="V190">
        <f>HYPERLINK("https://klasma.github.io/Logging_0883/klagomål/A 50977-2021 FSC-klagomål.docx", "A 50977-2021")</f>
        <v/>
      </c>
      <c r="W190">
        <f>HYPERLINK("https://klasma.github.io/Logging_0883/klagomålsmail/A 50977-2021 FSC-klagomål mail.docx", "A 50977-2021")</f>
        <v/>
      </c>
      <c r="X190">
        <f>HYPERLINK("https://klasma.github.io/Logging_0883/tillsyn/A 50977-2021 tillsynsbegäran.docx", "A 50977-2021")</f>
        <v/>
      </c>
      <c r="Y190">
        <f>HYPERLINK("https://klasma.github.io/Logging_0883/tillsynsmail/A 50977-2021 tillsynsbegäran mail.docx", "A 50977-2021")</f>
        <v/>
      </c>
      <c r="Z190">
        <f>HYPERLINK("https://klasma.github.io/Logging_0883/fåglar/A 50977-2021 prioriterade fågelarter.docx", "A 50977-2021")</f>
        <v/>
      </c>
    </row>
    <row r="191" ht="15" customHeight="1">
      <c r="A191" t="inlineStr">
        <is>
          <t>A 69632-2020</t>
        </is>
      </c>
      <c r="B191" s="1" t="n">
        <v>44195</v>
      </c>
      <c r="C191" s="1" t="n">
        <v>45991</v>
      </c>
      <c r="D191" t="inlineStr">
        <is>
          <t>KALMAR LÄN</t>
        </is>
      </c>
      <c r="E191" t="inlineStr">
        <is>
          <t>VÄSTERVIK</t>
        </is>
      </c>
      <c r="G191" t="n">
        <v>2.5</v>
      </c>
      <c r="H191" t="n">
        <v>0</v>
      </c>
      <c r="I191" t="n">
        <v>0</v>
      </c>
      <c r="J191" t="n">
        <v>1</v>
      </c>
      <c r="K191" t="n">
        <v>0</v>
      </c>
      <c r="L191" t="n">
        <v>0</v>
      </c>
      <c r="M191" t="n">
        <v>0</v>
      </c>
      <c r="N191" t="n">
        <v>0</v>
      </c>
      <c r="O191" t="n">
        <v>1</v>
      </c>
      <c r="P191" t="n">
        <v>0</v>
      </c>
      <c r="Q191" t="n">
        <v>1</v>
      </c>
      <c r="R191" s="2" t="inlineStr">
        <is>
          <t>Tallticka</t>
        </is>
      </c>
      <c r="S191">
        <f>HYPERLINK("https://klasma.github.io/Logging_0883/artfynd/A 69632-2020 artfynd.xlsx", "A 69632-2020")</f>
        <v/>
      </c>
      <c r="T191">
        <f>HYPERLINK("https://klasma.github.io/Logging_0883/kartor/A 69632-2020 karta.png", "A 69632-2020")</f>
        <v/>
      </c>
      <c r="V191">
        <f>HYPERLINK("https://klasma.github.io/Logging_0883/klagomål/A 69632-2020 FSC-klagomål.docx", "A 69632-2020")</f>
        <v/>
      </c>
      <c r="W191">
        <f>HYPERLINK("https://klasma.github.io/Logging_0883/klagomålsmail/A 69632-2020 FSC-klagomål mail.docx", "A 69632-2020")</f>
        <v/>
      </c>
      <c r="X191">
        <f>HYPERLINK("https://klasma.github.io/Logging_0883/tillsyn/A 69632-2020 tillsynsbegäran.docx", "A 69632-2020")</f>
        <v/>
      </c>
      <c r="Y191">
        <f>HYPERLINK("https://klasma.github.io/Logging_0883/tillsynsmail/A 69632-2020 tillsynsbegäran mail.docx", "A 69632-2020")</f>
        <v/>
      </c>
    </row>
    <row r="192" ht="15" customHeight="1">
      <c r="A192" t="inlineStr">
        <is>
          <t>A 52831-2021</t>
        </is>
      </c>
      <c r="B192" s="1" t="n">
        <v>44467</v>
      </c>
      <c r="C192" s="1" t="n">
        <v>45991</v>
      </c>
      <c r="D192" t="inlineStr">
        <is>
          <t>KALMAR LÄN</t>
        </is>
      </c>
      <c r="E192" t="inlineStr">
        <is>
          <t>VÄSTERVIK</t>
        </is>
      </c>
      <c r="G192" t="n">
        <v>0.8</v>
      </c>
      <c r="H192" t="n">
        <v>0</v>
      </c>
      <c r="I192" t="n">
        <v>0</v>
      </c>
      <c r="J192" t="n">
        <v>1</v>
      </c>
      <c r="K192" t="n">
        <v>0</v>
      </c>
      <c r="L192" t="n">
        <v>0</v>
      </c>
      <c r="M192" t="n">
        <v>0</v>
      </c>
      <c r="N192" t="n">
        <v>0</v>
      </c>
      <c r="O192" t="n">
        <v>1</v>
      </c>
      <c r="P192" t="n">
        <v>0</v>
      </c>
      <c r="Q192" t="n">
        <v>1</v>
      </c>
      <c r="R192" s="2" t="inlineStr">
        <is>
          <t>Tallticka</t>
        </is>
      </c>
      <c r="S192">
        <f>HYPERLINK("https://klasma.github.io/Logging_0883/artfynd/A 52831-2021 artfynd.xlsx", "A 52831-2021")</f>
        <v/>
      </c>
      <c r="T192">
        <f>HYPERLINK("https://klasma.github.io/Logging_0883/kartor/A 52831-2021 karta.png", "A 52831-2021")</f>
        <v/>
      </c>
      <c r="V192">
        <f>HYPERLINK("https://klasma.github.io/Logging_0883/klagomål/A 52831-2021 FSC-klagomål.docx", "A 52831-2021")</f>
        <v/>
      </c>
      <c r="W192">
        <f>HYPERLINK("https://klasma.github.io/Logging_0883/klagomålsmail/A 52831-2021 FSC-klagomål mail.docx", "A 52831-2021")</f>
        <v/>
      </c>
      <c r="X192">
        <f>HYPERLINK("https://klasma.github.io/Logging_0883/tillsyn/A 52831-2021 tillsynsbegäran.docx", "A 52831-2021")</f>
        <v/>
      </c>
      <c r="Y192">
        <f>HYPERLINK("https://klasma.github.io/Logging_0883/tillsynsmail/A 52831-2021 tillsynsbegäran mail.docx", "A 52831-2021")</f>
        <v/>
      </c>
    </row>
    <row r="193" ht="15" customHeight="1">
      <c r="A193" t="inlineStr">
        <is>
          <t>A 40924-2022</t>
        </is>
      </c>
      <c r="B193" s="1" t="n">
        <v>44825</v>
      </c>
      <c r="C193" s="1" t="n">
        <v>45991</v>
      </c>
      <c r="D193" t="inlineStr">
        <is>
          <t>KALMAR LÄN</t>
        </is>
      </c>
      <c r="E193" t="inlineStr">
        <is>
          <t>VÄSTERVIK</t>
        </is>
      </c>
      <c r="F193" t="inlineStr">
        <is>
          <t>Sveaskog</t>
        </is>
      </c>
      <c r="G193" t="n">
        <v>0.5</v>
      </c>
      <c r="H193" t="n">
        <v>1</v>
      </c>
      <c r="I193" t="n">
        <v>0</v>
      </c>
      <c r="J193" t="n">
        <v>1</v>
      </c>
      <c r="K193" t="n">
        <v>0</v>
      </c>
      <c r="L193" t="n">
        <v>0</v>
      </c>
      <c r="M193" t="n">
        <v>0</v>
      </c>
      <c r="N193" t="n">
        <v>0</v>
      </c>
      <c r="O193" t="n">
        <v>1</v>
      </c>
      <c r="P193" t="n">
        <v>0</v>
      </c>
      <c r="Q193" t="n">
        <v>1</v>
      </c>
      <c r="R193" s="2" t="inlineStr">
        <is>
          <t>Barbastell</t>
        </is>
      </c>
      <c r="S193">
        <f>HYPERLINK("https://klasma.github.io/Logging_0883/artfynd/A 40924-2022 artfynd.xlsx", "A 40924-2022")</f>
        <v/>
      </c>
      <c r="T193">
        <f>HYPERLINK("https://klasma.github.io/Logging_0883/kartor/A 40924-2022 karta.png", "A 40924-2022")</f>
        <v/>
      </c>
      <c r="V193">
        <f>HYPERLINK("https://klasma.github.io/Logging_0883/klagomål/A 40924-2022 FSC-klagomål.docx", "A 40924-2022")</f>
        <v/>
      </c>
      <c r="W193">
        <f>HYPERLINK("https://klasma.github.io/Logging_0883/klagomålsmail/A 40924-2022 FSC-klagomål mail.docx", "A 40924-2022")</f>
        <v/>
      </c>
      <c r="X193">
        <f>HYPERLINK("https://klasma.github.io/Logging_0883/tillsyn/A 40924-2022 tillsynsbegäran.docx", "A 40924-2022")</f>
        <v/>
      </c>
      <c r="Y193">
        <f>HYPERLINK("https://klasma.github.io/Logging_0883/tillsynsmail/A 40924-2022 tillsynsbegäran mail.docx", "A 40924-2022")</f>
        <v/>
      </c>
    </row>
    <row r="194" ht="15" customHeight="1">
      <c r="A194" t="inlineStr">
        <is>
          <t>A 28495-2023</t>
        </is>
      </c>
      <c r="B194" s="1" t="n">
        <v>45103</v>
      </c>
      <c r="C194" s="1" t="n">
        <v>45991</v>
      </c>
      <c r="D194" t="inlineStr">
        <is>
          <t>KALMAR LÄN</t>
        </is>
      </c>
      <c r="E194" t="inlineStr">
        <is>
          <t>VÄSTERVIK</t>
        </is>
      </c>
      <c r="G194" t="n">
        <v>3.1</v>
      </c>
      <c r="H194" t="n">
        <v>1</v>
      </c>
      <c r="I194" t="n">
        <v>0</v>
      </c>
      <c r="J194" t="n">
        <v>0</v>
      </c>
      <c r="K194" t="n">
        <v>1</v>
      </c>
      <c r="L194" t="n">
        <v>0</v>
      </c>
      <c r="M194" t="n">
        <v>0</v>
      </c>
      <c r="N194" t="n">
        <v>0</v>
      </c>
      <c r="O194" t="n">
        <v>1</v>
      </c>
      <c r="P194" t="n">
        <v>1</v>
      </c>
      <c r="Q194" t="n">
        <v>1</v>
      </c>
      <c r="R194" s="2" t="inlineStr">
        <is>
          <t>Knärot</t>
        </is>
      </c>
      <c r="S194">
        <f>HYPERLINK("https://klasma.github.io/Logging_0883/artfynd/A 28495-2023 artfynd.xlsx", "A 28495-2023")</f>
        <v/>
      </c>
      <c r="T194">
        <f>HYPERLINK("https://klasma.github.io/Logging_0883/kartor/A 28495-2023 karta.png", "A 28495-2023")</f>
        <v/>
      </c>
      <c r="U194">
        <f>HYPERLINK("https://klasma.github.io/Logging_0883/knärot/A 28495-2023 karta knärot.png", "A 28495-2023")</f>
        <v/>
      </c>
      <c r="V194">
        <f>HYPERLINK("https://klasma.github.io/Logging_0883/klagomål/A 28495-2023 FSC-klagomål.docx", "A 28495-2023")</f>
        <v/>
      </c>
      <c r="W194">
        <f>HYPERLINK("https://klasma.github.io/Logging_0883/klagomålsmail/A 28495-2023 FSC-klagomål mail.docx", "A 28495-2023")</f>
        <v/>
      </c>
      <c r="X194">
        <f>HYPERLINK("https://klasma.github.io/Logging_0883/tillsyn/A 28495-2023 tillsynsbegäran.docx", "A 28495-2023")</f>
        <v/>
      </c>
      <c r="Y194">
        <f>HYPERLINK("https://klasma.github.io/Logging_0883/tillsynsmail/A 28495-2023 tillsynsbegäran mail.docx", "A 28495-2023")</f>
        <v/>
      </c>
    </row>
    <row r="195" ht="15" customHeight="1">
      <c r="A195" t="inlineStr">
        <is>
          <t>A 26056-2022</t>
        </is>
      </c>
      <c r="B195" s="1" t="n">
        <v>44734</v>
      </c>
      <c r="C195" s="1" t="n">
        <v>45991</v>
      </c>
      <c r="D195" t="inlineStr">
        <is>
          <t>KALMAR LÄN</t>
        </is>
      </c>
      <c r="E195" t="inlineStr">
        <is>
          <t>VÄSTERVIK</t>
        </is>
      </c>
      <c r="G195" t="n">
        <v>1.1</v>
      </c>
      <c r="H195" t="n">
        <v>0</v>
      </c>
      <c r="I195" t="n">
        <v>0</v>
      </c>
      <c r="J195" t="n">
        <v>1</v>
      </c>
      <c r="K195" t="n">
        <v>0</v>
      </c>
      <c r="L195" t="n">
        <v>0</v>
      </c>
      <c r="M195" t="n">
        <v>0</v>
      </c>
      <c r="N195" t="n">
        <v>0</v>
      </c>
      <c r="O195" t="n">
        <v>1</v>
      </c>
      <c r="P195" t="n">
        <v>0</v>
      </c>
      <c r="Q195" t="n">
        <v>1</v>
      </c>
      <c r="R195" s="2" t="inlineStr">
        <is>
          <t>Slåtterfibbla</t>
        </is>
      </c>
      <c r="S195">
        <f>HYPERLINK("https://klasma.github.io/Logging_0883/artfynd/A 26056-2022 artfynd.xlsx", "A 26056-2022")</f>
        <v/>
      </c>
      <c r="T195">
        <f>HYPERLINK("https://klasma.github.io/Logging_0883/kartor/A 26056-2022 karta.png", "A 26056-2022")</f>
        <v/>
      </c>
      <c r="V195">
        <f>HYPERLINK("https://klasma.github.io/Logging_0883/klagomål/A 26056-2022 FSC-klagomål.docx", "A 26056-2022")</f>
        <v/>
      </c>
      <c r="W195">
        <f>HYPERLINK("https://klasma.github.io/Logging_0883/klagomålsmail/A 26056-2022 FSC-klagomål mail.docx", "A 26056-2022")</f>
        <v/>
      </c>
      <c r="X195">
        <f>HYPERLINK("https://klasma.github.io/Logging_0883/tillsyn/A 26056-2022 tillsynsbegäran.docx", "A 26056-2022")</f>
        <v/>
      </c>
      <c r="Y195">
        <f>HYPERLINK("https://klasma.github.io/Logging_0883/tillsynsmail/A 26056-2022 tillsynsbegäran mail.docx", "A 26056-2022")</f>
        <v/>
      </c>
    </row>
    <row r="196" ht="15" customHeight="1">
      <c r="A196" t="inlineStr">
        <is>
          <t>A 66752-2020</t>
        </is>
      </c>
      <c r="B196" s="1" t="n">
        <v>44175</v>
      </c>
      <c r="C196" s="1" t="n">
        <v>45991</v>
      </c>
      <c r="D196" t="inlineStr">
        <is>
          <t>KALMAR LÄN</t>
        </is>
      </c>
      <c r="E196" t="inlineStr">
        <is>
          <t>VÄSTERVIK</t>
        </is>
      </c>
      <c r="G196" t="n">
        <v>0.7</v>
      </c>
      <c r="H196" t="n">
        <v>0</v>
      </c>
      <c r="I196" t="n">
        <v>0</v>
      </c>
      <c r="J196" t="n">
        <v>1</v>
      </c>
      <c r="K196" t="n">
        <v>0</v>
      </c>
      <c r="L196" t="n">
        <v>0</v>
      </c>
      <c r="M196" t="n">
        <v>0</v>
      </c>
      <c r="N196" t="n">
        <v>0</v>
      </c>
      <c r="O196" t="n">
        <v>1</v>
      </c>
      <c r="P196" t="n">
        <v>0</v>
      </c>
      <c r="Q196" t="n">
        <v>1</v>
      </c>
      <c r="R196" s="2" t="inlineStr">
        <is>
          <t>Tallticka</t>
        </is>
      </c>
      <c r="S196">
        <f>HYPERLINK("https://klasma.github.io/Logging_0883/artfynd/A 66752-2020 artfynd.xlsx", "A 66752-2020")</f>
        <v/>
      </c>
      <c r="T196">
        <f>HYPERLINK("https://klasma.github.io/Logging_0883/kartor/A 66752-2020 karta.png", "A 66752-2020")</f>
        <v/>
      </c>
      <c r="V196">
        <f>HYPERLINK("https://klasma.github.io/Logging_0883/klagomål/A 66752-2020 FSC-klagomål.docx", "A 66752-2020")</f>
        <v/>
      </c>
      <c r="W196">
        <f>HYPERLINK("https://klasma.github.io/Logging_0883/klagomålsmail/A 66752-2020 FSC-klagomål mail.docx", "A 66752-2020")</f>
        <v/>
      </c>
      <c r="X196">
        <f>HYPERLINK("https://klasma.github.io/Logging_0883/tillsyn/A 66752-2020 tillsynsbegäran.docx", "A 66752-2020")</f>
        <v/>
      </c>
      <c r="Y196">
        <f>HYPERLINK("https://klasma.github.io/Logging_0883/tillsynsmail/A 66752-2020 tillsynsbegäran mail.docx", "A 66752-2020")</f>
        <v/>
      </c>
    </row>
    <row r="197" ht="15" customHeight="1">
      <c r="A197" t="inlineStr">
        <is>
          <t>A 6025-2024</t>
        </is>
      </c>
      <c r="B197" s="1" t="n">
        <v>45336</v>
      </c>
      <c r="C197" s="1" t="n">
        <v>45991</v>
      </c>
      <c r="D197" t="inlineStr">
        <is>
          <t>KALMAR LÄN</t>
        </is>
      </c>
      <c r="E197" t="inlineStr">
        <is>
          <t>VÄSTERVIK</t>
        </is>
      </c>
      <c r="G197" t="n">
        <v>2.8</v>
      </c>
      <c r="H197" t="n">
        <v>0</v>
      </c>
      <c r="I197" t="n">
        <v>0</v>
      </c>
      <c r="J197" t="n">
        <v>1</v>
      </c>
      <c r="K197" t="n">
        <v>0</v>
      </c>
      <c r="L197" t="n">
        <v>0</v>
      </c>
      <c r="M197" t="n">
        <v>0</v>
      </c>
      <c r="N197" t="n">
        <v>0</v>
      </c>
      <c r="O197" t="n">
        <v>1</v>
      </c>
      <c r="P197" t="n">
        <v>0</v>
      </c>
      <c r="Q197" t="n">
        <v>1</v>
      </c>
      <c r="R197" s="2" t="inlineStr">
        <is>
          <t>Tallticka</t>
        </is>
      </c>
      <c r="S197">
        <f>HYPERLINK("https://klasma.github.io/Logging_0883/artfynd/A 6025-2024 artfynd.xlsx", "A 6025-2024")</f>
        <v/>
      </c>
      <c r="T197">
        <f>HYPERLINK("https://klasma.github.io/Logging_0883/kartor/A 6025-2024 karta.png", "A 6025-2024")</f>
        <v/>
      </c>
      <c r="V197">
        <f>HYPERLINK("https://klasma.github.io/Logging_0883/klagomål/A 6025-2024 FSC-klagomål.docx", "A 6025-2024")</f>
        <v/>
      </c>
      <c r="W197">
        <f>HYPERLINK("https://klasma.github.io/Logging_0883/klagomålsmail/A 6025-2024 FSC-klagomål mail.docx", "A 6025-2024")</f>
        <v/>
      </c>
      <c r="X197">
        <f>HYPERLINK("https://klasma.github.io/Logging_0883/tillsyn/A 6025-2024 tillsynsbegäran.docx", "A 6025-2024")</f>
        <v/>
      </c>
      <c r="Y197">
        <f>HYPERLINK("https://klasma.github.io/Logging_0883/tillsynsmail/A 6025-2024 tillsynsbegäran mail.docx", "A 6025-2024")</f>
        <v/>
      </c>
    </row>
    <row r="198" ht="15" customHeight="1">
      <c r="A198" t="inlineStr">
        <is>
          <t>A 24884-2025</t>
        </is>
      </c>
      <c r="B198" s="1" t="n">
        <v>45799.50620370371</v>
      </c>
      <c r="C198" s="1" t="n">
        <v>45991</v>
      </c>
      <c r="D198" t="inlineStr">
        <is>
          <t>KALMAR LÄN</t>
        </is>
      </c>
      <c r="E198" t="inlineStr">
        <is>
          <t>VÄSTERVIK</t>
        </is>
      </c>
      <c r="F198" t="inlineStr">
        <is>
          <t>Holmen skog AB</t>
        </is>
      </c>
      <c r="G198" t="n">
        <v>5.1</v>
      </c>
      <c r="H198" t="n">
        <v>0</v>
      </c>
      <c r="I198" t="n">
        <v>1</v>
      </c>
      <c r="J198" t="n">
        <v>0</v>
      </c>
      <c r="K198" t="n">
        <v>0</v>
      </c>
      <c r="L198" t="n">
        <v>0</v>
      </c>
      <c r="M198" t="n">
        <v>0</v>
      </c>
      <c r="N198" t="n">
        <v>0</v>
      </c>
      <c r="O198" t="n">
        <v>0</v>
      </c>
      <c r="P198" t="n">
        <v>0</v>
      </c>
      <c r="Q198" t="n">
        <v>1</v>
      </c>
      <c r="R198" s="2" t="inlineStr">
        <is>
          <t>Strävlosta</t>
        </is>
      </c>
      <c r="S198">
        <f>HYPERLINK("https://klasma.github.io/Logging_0883/artfynd/A 24884-2025 artfynd.xlsx", "A 24884-2025")</f>
        <v/>
      </c>
      <c r="T198">
        <f>HYPERLINK("https://klasma.github.io/Logging_0883/kartor/A 24884-2025 karta.png", "A 24884-2025")</f>
        <v/>
      </c>
      <c r="V198">
        <f>HYPERLINK("https://klasma.github.io/Logging_0883/klagomål/A 24884-2025 FSC-klagomål.docx", "A 24884-2025")</f>
        <v/>
      </c>
      <c r="W198">
        <f>HYPERLINK("https://klasma.github.io/Logging_0883/klagomålsmail/A 24884-2025 FSC-klagomål mail.docx", "A 24884-2025")</f>
        <v/>
      </c>
      <c r="X198">
        <f>HYPERLINK("https://klasma.github.io/Logging_0883/tillsyn/A 24884-2025 tillsynsbegäran.docx", "A 24884-2025")</f>
        <v/>
      </c>
      <c r="Y198">
        <f>HYPERLINK("https://klasma.github.io/Logging_0883/tillsynsmail/A 24884-2025 tillsynsbegäran mail.docx", "A 24884-2025")</f>
        <v/>
      </c>
    </row>
    <row r="199" ht="15" customHeight="1">
      <c r="A199" t="inlineStr">
        <is>
          <t>A 55360-2024</t>
        </is>
      </c>
      <c r="B199" s="1" t="n">
        <v>45621.8252199074</v>
      </c>
      <c r="C199" s="1" t="n">
        <v>45991</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26516-2025</t>
        </is>
      </c>
      <c r="B200" s="1" t="n">
        <v>45807.55402777778</v>
      </c>
      <c r="C200" s="1" t="n">
        <v>45991</v>
      </c>
      <c r="D200" t="inlineStr">
        <is>
          <t>KALMAR LÄN</t>
        </is>
      </c>
      <c r="E200" t="inlineStr">
        <is>
          <t>VÄSTERVIK</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HYPERLINK("https://klasma.github.io/Logging_0883/artfynd/A 26516-2025 artfynd.xlsx", "A 26516-2025")</f>
        <v/>
      </c>
      <c r="T200">
        <f>HYPERLINK("https://klasma.github.io/Logging_0883/kartor/A 26516-2025 karta.png", "A 26516-2025")</f>
        <v/>
      </c>
      <c r="V200">
        <f>HYPERLINK("https://klasma.github.io/Logging_0883/klagomål/A 26516-2025 FSC-klagomål.docx", "A 26516-2025")</f>
        <v/>
      </c>
      <c r="W200">
        <f>HYPERLINK("https://klasma.github.io/Logging_0883/klagomålsmail/A 26516-2025 FSC-klagomål mail.docx", "A 26516-2025")</f>
        <v/>
      </c>
      <c r="X200">
        <f>HYPERLINK("https://klasma.github.io/Logging_0883/tillsyn/A 26516-2025 tillsynsbegäran.docx", "A 26516-2025")</f>
        <v/>
      </c>
      <c r="Y200">
        <f>HYPERLINK("https://klasma.github.io/Logging_0883/tillsynsmail/A 26516-2025 tillsynsbegäran mail.docx", "A 26516-2025")</f>
        <v/>
      </c>
      <c r="Z200">
        <f>HYPERLINK("https://klasma.github.io/Logging_0883/fåglar/A 26516-2025 prioriterade fågelarter.docx", "A 26516-2025")</f>
        <v/>
      </c>
    </row>
    <row r="201" ht="15" customHeight="1">
      <c r="A201" t="inlineStr">
        <is>
          <t>A 53075-2024</t>
        </is>
      </c>
      <c r="B201" s="1" t="n">
        <v>45611</v>
      </c>
      <c r="C201" s="1" t="n">
        <v>45991</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27708-2024</t>
        </is>
      </c>
      <c r="B202" s="1" t="n">
        <v>45475</v>
      </c>
      <c r="C202" s="1" t="n">
        <v>45991</v>
      </c>
      <c r="D202" t="inlineStr">
        <is>
          <t>KALMAR LÄN</t>
        </is>
      </c>
      <c r="E202" t="inlineStr">
        <is>
          <t>VÄSTERVIK</t>
        </is>
      </c>
      <c r="F202" t="inlineStr">
        <is>
          <t>Holmen skog AB</t>
        </is>
      </c>
      <c r="G202" t="n">
        <v>1.7</v>
      </c>
      <c r="H202" t="n">
        <v>1</v>
      </c>
      <c r="I202" t="n">
        <v>0</v>
      </c>
      <c r="J202" t="n">
        <v>1</v>
      </c>
      <c r="K202" t="n">
        <v>0</v>
      </c>
      <c r="L202" t="n">
        <v>0</v>
      </c>
      <c r="M202" t="n">
        <v>0</v>
      </c>
      <c r="N202" t="n">
        <v>0</v>
      </c>
      <c r="O202" t="n">
        <v>1</v>
      </c>
      <c r="P202" t="n">
        <v>0</v>
      </c>
      <c r="Q202" t="n">
        <v>1</v>
      </c>
      <c r="R202" s="2" t="inlineStr">
        <is>
          <t>Spillkråka</t>
        </is>
      </c>
      <c r="S202">
        <f>HYPERLINK("https://klasma.github.io/Logging_0883/artfynd/A 27708-2024 artfynd.xlsx", "A 27708-2024")</f>
        <v/>
      </c>
      <c r="T202">
        <f>HYPERLINK("https://klasma.github.io/Logging_0883/kartor/A 27708-2024 karta.png", "A 27708-2024")</f>
        <v/>
      </c>
      <c r="V202">
        <f>HYPERLINK("https://klasma.github.io/Logging_0883/klagomål/A 27708-2024 FSC-klagomål.docx", "A 27708-2024")</f>
        <v/>
      </c>
      <c r="W202">
        <f>HYPERLINK("https://klasma.github.io/Logging_0883/klagomålsmail/A 27708-2024 FSC-klagomål mail.docx", "A 27708-2024")</f>
        <v/>
      </c>
      <c r="X202">
        <f>HYPERLINK("https://klasma.github.io/Logging_0883/tillsyn/A 27708-2024 tillsynsbegäran.docx", "A 27708-2024")</f>
        <v/>
      </c>
      <c r="Y202">
        <f>HYPERLINK("https://klasma.github.io/Logging_0883/tillsynsmail/A 27708-2024 tillsynsbegäran mail.docx", "A 27708-2024")</f>
        <v/>
      </c>
      <c r="Z202">
        <f>HYPERLINK("https://klasma.github.io/Logging_0883/fåglar/A 27708-2024 prioriterade fågelarter.docx", "A 27708-2024")</f>
        <v/>
      </c>
    </row>
    <row r="203" ht="15" customHeight="1">
      <c r="A203" t="inlineStr">
        <is>
          <t>A 1775-2025</t>
        </is>
      </c>
      <c r="B203" s="1" t="n">
        <v>45671.44059027778</v>
      </c>
      <c r="C203" s="1" t="n">
        <v>45991</v>
      </c>
      <c r="D203" t="inlineStr">
        <is>
          <t>KALMAR LÄN</t>
        </is>
      </c>
      <c r="E203" t="inlineStr">
        <is>
          <t>VÄSTERVIK</t>
        </is>
      </c>
      <c r="G203" t="n">
        <v>0.9</v>
      </c>
      <c r="H203" t="n">
        <v>1</v>
      </c>
      <c r="I203" t="n">
        <v>0</v>
      </c>
      <c r="J203" t="n">
        <v>0</v>
      </c>
      <c r="K203" t="n">
        <v>0</v>
      </c>
      <c r="L203" t="n">
        <v>0</v>
      </c>
      <c r="M203" t="n">
        <v>0</v>
      </c>
      <c r="N203" t="n">
        <v>0</v>
      </c>
      <c r="O203" t="n">
        <v>0</v>
      </c>
      <c r="P203" t="n">
        <v>0</v>
      </c>
      <c r="Q203" t="n">
        <v>1</v>
      </c>
      <c r="R203" s="2" t="inlineStr">
        <is>
          <t>Kungsfågel</t>
        </is>
      </c>
      <c r="S203">
        <f>HYPERLINK("https://klasma.github.io/Logging_0883/artfynd/A 1775-2025 artfynd.xlsx", "A 1775-2025")</f>
        <v/>
      </c>
      <c r="T203">
        <f>HYPERLINK("https://klasma.github.io/Logging_0883/kartor/A 1775-2025 karta.png", "A 1775-2025")</f>
        <v/>
      </c>
      <c r="V203">
        <f>HYPERLINK("https://klasma.github.io/Logging_0883/klagomål/A 1775-2025 FSC-klagomål.docx", "A 1775-2025")</f>
        <v/>
      </c>
      <c r="W203">
        <f>HYPERLINK("https://klasma.github.io/Logging_0883/klagomålsmail/A 1775-2025 FSC-klagomål mail.docx", "A 1775-2025")</f>
        <v/>
      </c>
      <c r="X203">
        <f>HYPERLINK("https://klasma.github.io/Logging_0883/tillsyn/A 1775-2025 tillsynsbegäran.docx", "A 1775-2025")</f>
        <v/>
      </c>
      <c r="Y203">
        <f>HYPERLINK("https://klasma.github.io/Logging_0883/tillsynsmail/A 1775-2025 tillsynsbegäran mail.docx", "A 1775-2025")</f>
        <v/>
      </c>
      <c r="Z203">
        <f>HYPERLINK("https://klasma.github.io/Logging_0883/fåglar/A 1775-2025 prioriterade fågelarter.docx", "A 1775-2025")</f>
        <v/>
      </c>
    </row>
    <row r="204" ht="15" customHeight="1">
      <c r="A204" t="inlineStr">
        <is>
          <t>A 51488-2024</t>
        </is>
      </c>
      <c r="B204" s="1" t="n">
        <v>45604</v>
      </c>
      <c r="C204" s="1" t="n">
        <v>45991</v>
      </c>
      <c r="D204" t="inlineStr">
        <is>
          <t>KALMAR LÄN</t>
        </is>
      </c>
      <c r="E204" t="inlineStr">
        <is>
          <t>VÄSTERVIK</t>
        </is>
      </c>
      <c r="F204" t="inlineStr">
        <is>
          <t>Övriga Aktiebolag</t>
        </is>
      </c>
      <c r="G204" t="n">
        <v>2.9</v>
      </c>
      <c r="H204" t="n">
        <v>1</v>
      </c>
      <c r="I204" t="n">
        <v>0</v>
      </c>
      <c r="J204" t="n">
        <v>1</v>
      </c>
      <c r="K204" t="n">
        <v>0</v>
      </c>
      <c r="L204" t="n">
        <v>0</v>
      </c>
      <c r="M204" t="n">
        <v>0</v>
      </c>
      <c r="N204" t="n">
        <v>0</v>
      </c>
      <c r="O204" t="n">
        <v>1</v>
      </c>
      <c r="P204" t="n">
        <v>0</v>
      </c>
      <c r="Q204" t="n">
        <v>1</v>
      </c>
      <c r="R204" s="2" t="inlineStr">
        <is>
          <t>Entita</t>
        </is>
      </c>
      <c r="S204">
        <f>HYPERLINK("https://klasma.github.io/Logging_0883/artfynd/A 51488-2024 artfynd.xlsx", "A 51488-2024")</f>
        <v/>
      </c>
      <c r="T204">
        <f>HYPERLINK("https://klasma.github.io/Logging_0883/kartor/A 51488-2024 karta.png", "A 51488-2024")</f>
        <v/>
      </c>
      <c r="V204">
        <f>HYPERLINK("https://klasma.github.io/Logging_0883/klagomål/A 51488-2024 FSC-klagomål.docx", "A 51488-2024")</f>
        <v/>
      </c>
      <c r="W204">
        <f>HYPERLINK("https://klasma.github.io/Logging_0883/klagomålsmail/A 51488-2024 FSC-klagomål mail.docx", "A 51488-2024")</f>
        <v/>
      </c>
      <c r="X204">
        <f>HYPERLINK("https://klasma.github.io/Logging_0883/tillsyn/A 51488-2024 tillsynsbegäran.docx", "A 51488-2024")</f>
        <v/>
      </c>
      <c r="Y204">
        <f>HYPERLINK("https://klasma.github.io/Logging_0883/tillsynsmail/A 51488-2024 tillsynsbegäran mail.docx", "A 51488-2024")</f>
        <v/>
      </c>
      <c r="Z204">
        <f>HYPERLINK("https://klasma.github.io/Logging_0883/fåglar/A 51488-2024 prioriterade fågelarter.docx", "A 51488-2024")</f>
        <v/>
      </c>
    </row>
    <row r="205" ht="15" customHeight="1">
      <c r="A205" t="inlineStr">
        <is>
          <t>A 6657-2025</t>
        </is>
      </c>
      <c r="B205" s="1" t="n">
        <v>45700</v>
      </c>
      <c r="C205" s="1" t="n">
        <v>45991</v>
      </c>
      <c r="D205" t="inlineStr">
        <is>
          <t>KALMAR LÄN</t>
        </is>
      </c>
      <c r="E205" t="inlineStr">
        <is>
          <t>VÄSTERVIK</t>
        </is>
      </c>
      <c r="F205" t="inlineStr">
        <is>
          <t>Holmen skog AB</t>
        </is>
      </c>
      <c r="G205" t="n">
        <v>3</v>
      </c>
      <c r="H205" t="n">
        <v>1</v>
      </c>
      <c r="I205" t="n">
        <v>0</v>
      </c>
      <c r="J205" t="n">
        <v>0</v>
      </c>
      <c r="K205" t="n">
        <v>1</v>
      </c>
      <c r="L205" t="n">
        <v>0</v>
      </c>
      <c r="M205" t="n">
        <v>0</v>
      </c>
      <c r="N205" t="n">
        <v>0</v>
      </c>
      <c r="O205" t="n">
        <v>1</v>
      </c>
      <c r="P205" t="n">
        <v>1</v>
      </c>
      <c r="Q205" t="n">
        <v>1</v>
      </c>
      <c r="R205" s="2" t="inlineStr">
        <is>
          <t>Knärot</t>
        </is>
      </c>
      <c r="S205">
        <f>HYPERLINK("https://klasma.github.io/Logging_0883/artfynd/A 6657-2025 artfynd.xlsx", "A 6657-2025")</f>
        <v/>
      </c>
      <c r="T205">
        <f>HYPERLINK("https://klasma.github.io/Logging_0883/kartor/A 6657-2025 karta.png", "A 6657-2025")</f>
        <v/>
      </c>
      <c r="U205">
        <f>HYPERLINK("https://klasma.github.io/Logging_0883/knärot/A 6657-2025 karta knärot.png", "A 6657-2025")</f>
        <v/>
      </c>
      <c r="V205">
        <f>HYPERLINK("https://klasma.github.io/Logging_0883/klagomål/A 6657-2025 FSC-klagomål.docx", "A 6657-2025")</f>
        <v/>
      </c>
      <c r="W205">
        <f>HYPERLINK("https://klasma.github.io/Logging_0883/klagomålsmail/A 6657-2025 FSC-klagomål mail.docx", "A 6657-2025")</f>
        <v/>
      </c>
      <c r="X205">
        <f>HYPERLINK("https://klasma.github.io/Logging_0883/tillsyn/A 6657-2025 tillsynsbegäran.docx", "A 6657-2025")</f>
        <v/>
      </c>
      <c r="Y205">
        <f>HYPERLINK("https://klasma.github.io/Logging_0883/tillsynsmail/A 6657-2025 tillsynsbegäran mail.docx", "A 6657-2025")</f>
        <v/>
      </c>
    </row>
    <row r="206" ht="15" customHeight="1">
      <c r="A206" t="inlineStr">
        <is>
          <t>A 4750-2025</t>
        </is>
      </c>
      <c r="B206" s="1" t="n">
        <v>45688</v>
      </c>
      <c r="C206" s="1" t="n">
        <v>45991</v>
      </c>
      <c r="D206" t="inlineStr">
        <is>
          <t>KALMAR LÄN</t>
        </is>
      </c>
      <c r="E206" t="inlineStr">
        <is>
          <t>VÄSTERVIK</t>
        </is>
      </c>
      <c r="F206" t="inlineStr">
        <is>
          <t>Holmen skog AB</t>
        </is>
      </c>
      <c r="G206" t="n">
        <v>0.9</v>
      </c>
      <c r="H206" t="n">
        <v>1</v>
      </c>
      <c r="I206" t="n">
        <v>0</v>
      </c>
      <c r="J206" t="n">
        <v>1</v>
      </c>
      <c r="K206" t="n">
        <v>0</v>
      </c>
      <c r="L206" t="n">
        <v>0</v>
      </c>
      <c r="M206" t="n">
        <v>0</v>
      </c>
      <c r="N206" t="n">
        <v>0</v>
      </c>
      <c r="O206" t="n">
        <v>1</v>
      </c>
      <c r="P206" t="n">
        <v>0</v>
      </c>
      <c r="Q206" t="n">
        <v>1</v>
      </c>
      <c r="R206" s="2" t="inlineStr">
        <is>
          <t>Talltita</t>
        </is>
      </c>
      <c r="S206">
        <f>HYPERLINK("https://klasma.github.io/Logging_0883/artfynd/A 4750-2025 artfynd.xlsx", "A 4750-2025")</f>
        <v/>
      </c>
      <c r="T206">
        <f>HYPERLINK("https://klasma.github.io/Logging_0883/kartor/A 4750-2025 karta.png", "A 4750-2025")</f>
        <v/>
      </c>
      <c r="V206">
        <f>HYPERLINK("https://klasma.github.io/Logging_0883/klagomål/A 4750-2025 FSC-klagomål.docx", "A 4750-2025")</f>
        <v/>
      </c>
      <c r="W206">
        <f>HYPERLINK("https://klasma.github.io/Logging_0883/klagomålsmail/A 4750-2025 FSC-klagomål mail.docx", "A 4750-2025")</f>
        <v/>
      </c>
      <c r="X206">
        <f>HYPERLINK("https://klasma.github.io/Logging_0883/tillsyn/A 4750-2025 tillsynsbegäran.docx", "A 4750-2025")</f>
        <v/>
      </c>
      <c r="Y206">
        <f>HYPERLINK("https://klasma.github.io/Logging_0883/tillsynsmail/A 4750-2025 tillsynsbegäran mail.docx", "A 4750-2025")</f>
        <v/>
      </c>
      <c r="Z206">
        <f>HYPERLINK("https://klasma.github.io/Logging_0883/fåglar/A 4750-2025 prioriterade fågelarter.docx", "A 4750-2025")</f>
        <v/>
      </c>
    </row>
    <row r="207" ht="15" customHeight="1">
      <c r="A207" t="inlineStr">
        <is>
          <t>A 27426-2025</t>
        </is>
      </c>
      <c r="B207" s="1" t="n">
        <v>45813</v>
      </c>
      <c r="C207" s="1" t="n">
        <v>45991</v>
      </c>
      <c r="D207" t="inlineStr">
        <is>
          <t>KALMAR LÄN</t>
        </is>
      </c>
      <c r="E207" t="inlineStr">
        <is>
          <t>VÄSTERVIK</t>
        </is>
      </c>
      <c r="G207" t="n">
        <v>2</v>
      </c>
      <c r="H207" t="n">
        <v>0</v>
      </c>
      <c r="I207" t="n">
        <v>1</v>
      </c>
      <c r="J207" t="n">
        <v>0</v>
      </c>
      <c r="K207" t="n">
        <v>0</v>
      </c>
      <c r="L207" t="n">
        <v>0</v>
      </c>
      <c r="M207" t="n">
        <v>0</v>
      </c>
      <c r="N207" t="n">
        <v>0</v>
      </c>
      <c r="O207" t="n">
        <v>0</v>
      </c>
      <c r="P207" t="n">
        <v>0</v>
      </c>
      <c r="Q207" t="n">
        <v>1</v>
      </c>
      <c r="R207" s="2" t="inlineStr">
        <is>
          <t>Vätteros</t>
        </is>
      </c>
      <c r="S207">
        <f>HYPERLINK("https://klasma.github.io/Logging_0883/artfynd/A 27426-2025 artfynd.xlsx", "A 27426-2025")</f>
        <v/>
      </c>
      <c r="T207">
        <f>HYPERLINK("https://klasma.github.io/Logging_0883/kartor/A 27426-2025 karta.png", "A 27426-2025")</f>
        <v/>
      </c>
      <c r="V207">
        <f>HYPERLINK("https://klasma.github.io/Logging_0883/klagomål/A 27426-2025 FSC-klagomål.docx", "A 27426-2025")</f>
        <v/>
      </c>
      <c r="W207">
        <f>HYPERLINK("https://klasma.github.io/Logging_0883/klagomålsmail/A 27426-2025 FSC-klagomål mail.docx", "A 27426-2025")</f>
        <v/>
      </c>
      <c r="X207">
        <f>HYPERLINK("https://klasma.github.io/Logging_0883/tillsyn/A 27426-2025 tillsynsbegäran.docx", "A 27426-2025")</f>
        <v/>
      </c>
      <c r="Y207">
        <f>HYPERLINK("https://klasma.github.io/Logging_0883/tillsynsmail/A 27426-2025 tillsynsbegäran mail.docx", "A 27426-2025")</f>
        <v/>
      </c>
    </row>
    <row r="208" ht="15" customHeight="1">
      <c r="A208" t="inlineStr">
        <is>
          <t>A 30794-2025</t>
        </is>
      </c>
      <c r="B208" s="1" t="n">
        <v>45831.63834490741</v>
      </c>
      <c r="C208" s="1" t="n">
        <v>45991</v>
      </c>
      <c r="D208" t="inlineStr">
        <is>
          <t>KALMAR LÄN</t>
        </is>
      </c>
      <c r="E208" t="inlineStr">
        <is>
          <t>VÄSTERVIK</t>
        </is>
      </c>
      <c r="G208" t="n">
        <v>4.8</v>
      </c>
      <c r="H208" t="n">
        <v>0</v>
      </c>
      <c r="I208" t="n">
        <v>0</v>
      </c>
      <c r="J208" t="n">
        <v>1</v>
      </c>
      <c r="K208" t="n">
        <v>0</v>
      </c>
      <c r="L208" t="n">
        <v>0</v>
      </c>
      <c r="M208" t="n">
        <v>0</v>
      </c>
      <c r="N208" t="n">
        <v>0</v>
      </c>
      <c r="O208" t="n">
        <v>1</v>
      </c>
      <c r="P208" t="n">
        <v>0</v>
      </c>
      <c r="Q208" t="n">
        <v>1</v>
      </c>
      <c r="R208" s="2" t="inlineStr">
        <is>
          <t>Tallticka</t>
        </is>
      </c>
      <c r="S208">
        <f>HYPERLINK("https://klasma.github.io/Logging_0883/artfynd/A 30794-2025 artfynd.xlsx", "A 30794-2025")</f>
        <v/>
      </c>
      <c r="T208">
        <f>HYPERLINK("https://klasma.github.io/Logging_0883/kartor/A 30794-2025 karta.png", "A 30794-2025")</f>
        <v/>
      </c>
      <c r="V208">
        <f>HYPERLINK("https://klasma.github.io/Logging_0883/klagomål/A 30794-2025 FSC-klagomål.docx", "A 30794-2025")</f>
        <v/>
      </c>
      <c r="W208">
        <f>HYPERLINK("https://klasma.github.io/Logging_0883/klagomålsmail/A 30794-2025 FSC-klagomål mail.docx", "A 30794-2025")</f>
        <v/>
      </c>
      <c r="X208">
        <f>HYPERLINK("https://klasma.github.io/Logging_0883/tillsyn/A 30794-2025 tillsynsbegäran.docx", "A 30794-2025")</f>
        <v/>
      </c>
      <c r="Y208">
        <f>HYPERLINK("https://klasma.github.io/Logging_0883/tillsynsmail/A 30794-2025 tillsynsbegäran mail.docx", "A 30794-2025")</f>
        <v/>
      </c>
    </row>
    <row r="209" ht="15" customHeight="1">
      <c r="A209" t="inlineStr">
        <is>
          <t>A 3673-2025</t>
        </is>
      </c>
      <c r="B209" s="1" t="n">
        <v>45681.43706018518</v>
      </c>
      <c r="C209" s="1" t="n">
        <v>45991</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9261-2025</t>
        </is>
      </c>
      <c r="B210" s="1" t="n">
        <v>45714.60472222222</v>
      </c>
      <c r="C210" s="1" t="n">
        <v>45991</v>
      </c>
      <c r="D210" t="inlineStr">
        <is>
          <t>KALMAR LÄN</t>
        </is>
      </c>
      <c r="E210" t="inlineStr">
        <is>
          <t>VÄSTERVIK</t>
        </is>
      </c>
      <c r="F210" t="inlineStr">
        <is>
          <t>Sveaskog</t>
        </is>
      </c>
      <c r="G210" t="n">
        <v>4.9</v>
      </c>
      <c r="H210" t="n">
        <v>1</v>
      </c>
      <c r="I210" t="n">
        <v>0</v>
      </c>
      <c r="J210" t="n">
        <v>1</v>
      </c>
      <c r="K210" t="n">
        <v>0</v>
      </c>
      <c r="L210" t="n">
        <v>0</v>
      </c>
      <c r="M210" t="n">
        <v>0</v>
      </c>
      <c r="N210" t="n">
        <v>0</v>
      </c>
      <c r="O210" t="n">
        <v>1</v>
      </c>
      <c r="P210" t="n">
        <v>0</v>
      </c>
      <c r="Q210" t="n">
        <v>1</v>
      </c>
      <c r="R210" s="2" t="inlineStr">
        <is>
          <t>Havsörn</t>
        </is>
      </c>
      <c r="S210">
        <f>HYPERLINK("https://klasma.github.io/Logging_0883/artfynd/A 9261-2025 artfynd.xlsx", "A 9261-2025")</f>
        <v/>
      </c>
      <c r="T210">
        <f>HYPERLINK("https://klasma.github.io/Logging_0883/kartor/A 9261-2025 karta.png", "A 9261-2025")</f>
        <v/>
      </c>
      <c r="V210">
        <f>HYPERLINK("https://klasma.github.io/Logging_0883/klagomål/A 9261-2025 FSC-klagomål.docx", "A 9261-2025")</f>
        <v/>
      </c>
      <c r="W210">
        <f>HYPERLINK("https://klasma.github.io/Logging_0883/klagomålsmail/A 9261-2025 FSC-klagomål mail.docx", "A 9261-2025")</f>
        <v/>
      </c>
      <c r="X210">
        <f>HYPERLINK("https://klasma.github.io/Logging_0883/tillsyn/A 9261-2025 tillsynsbegäran.docx", "A 9261-2025")</f>
        <v/>
      </c>
      <c r="Y210">
        <f>HYPERLINK("https://klasma.github.io/Logging_0883/tillsynsmail/A 9261-2025 tillsynsbegäran mail.docx", "A 9261-2025")</f>
        <v/>
      </c>
      <c r="Z210">
        <f>HYPERLINK("https://klasma.github.io/Logging_0883/fåglar/A 9261-2025 prioriterade fågelarter.docx", "A 9261-2025")</f>
        <v/>
      </c>
    </row>
    <row r="211" ht="15" customHeight="1">
      <c r="A211" t="inlineStr">
        <is>
          <t>A 52194-2025</t>
        </is>
      </c>
      <c r="B211" s="1" t="n">
        <v>45953.39189814815</v>
      </c>
      <c r="C211" s="1" t="n">
        <v>45991</v>
      </c>
      <c r="D211" t="inlineStr">
        <is>
          <t>KALMAR LÄN</t>
        </is>
      </c>
      <c r="E211" t="inlineStr">
        <is>
          <t>VÄSTERVIK</t>
        </is>
      </c>
      <c r="G211" t="n">
        <v>1.2</v>
      </c>
      <c r="H211" t="n">
        <v>1</v>
      </c>
      <c r="I211" t="n">
        <v>0</v>
      </c>
      <c r="J211" t="n">
        <v>0</v>
      </c>
      <c r="K211" t="n">
        <v>0</v>
      </c>
      <c r="L211" t="n">
        <v>0</v>
      </c>
      <c r="M211" t="n">
        <v>0</v>
      </c>
      <c r="N211" t="n">
        <v>0</v>
      </c>
      <c r="O211" t="n">
        <v>0</v>
      </c>
      <c r="P211" t="n">
        <v>0</v>
      </c>
      <c r="Q211" t="n">
        <v>1</v>
      </c>
      <c r="R211" s="2" t="inlineStr">
        <is>
          <t>Revlummer</t>
        </is>
      </c>
      <c r="S211">
        <f>HYPERLINK("https://klasma.github.io/Logging_0883/artfynd/A 52194-2025 artfynd.xlsx", "A 52194-2025")</f>
        <v/>
      </c>
      <c r="T211">
        <f>HYPERLINK("https://klasma.github.io/Logging_0883/kartor/A 52194-2025 karta.png", "A 52194-2025")</f>
        <v/>
      </c>
      <c r="V211">
        <f>HYPERLINK("https://klasma.github.io/Logging_0883/klagomål/A 52194-2025 FSC-klagomål.docx", "A 52194-2025")</f>
        <v/>
      </c>
      <c r="W211">
        <f>HYPERLINK("https://klasma.github.io/Logging_0883/klagomålsmail/A 52194-2025 FSC-klagomål mail.docx", "A 52194-2025")</f>
        <v/>
      </c>
      <c r="X211">
        <f>HYPERLINK("https://klasma.github.io/Logging_0883/tillsyn/A 52194-2025 tillsynsbegäran.docx", "A 52194-2025")</f>
        <v/>
      </c>
      <c r="Y211">
        <f>HYPERLINK("https://klasma.github.io/Logging_0883/tillsynsmail/A 52194-2025 tillsynsbegäran mail.docx", "A 52194-2025")</f>
        <v/>
      </c>
    </row>
    <row r="212" ht="15" customHeight="1">
      <c r="A212" t="inlineStr">
        <is>
          <t>A 34166-2025</t>
        </is>
      </c>
      <c r="B212" s="1" t="n">
        <v>45845.5819675926</v>
      </c>
      <c r="C212" s="1" t="n">
        <v>45991</v>
      </c>
      <c r="D212" t="inlineStr">
        <is>
          <t>KALMAR LÄN</t>
        </is>
      </c>
      <c r="E212" t="inlineStr">
        <is>
          <t>VÄSTERVIK</t>
        </is>
      </c>
      <c r="G212" t="n">
        <v>3.5</v>
      </c>
      <c r="H212" t="n">
        <v>0</v>
      </c>
      <c r="I212" t="n">
        <v>0</v>
      </c>
      <c r="J212" t="n">
        <v>0</v>
      </c>
      <c r="K212" t="n">
        <v>0</v>
      </c>
      <c r="L212" t="n">
        <v>0</v>
      </c>
      <c r="M212" t="n">
        <v>1</v>
      </c>
      <c r="N212" t="n">
        <v>0</v>
      </c>
      <c r="O212" t="n">
        <v>1</v>
      </c>
      <c r="P212" t="n">
        <v>1</v>
      </c>
      <c r="Q212" t="n">
        <v>1</v>
      </c>
      <c r="R212" s="2" t="inlineStr">
        <is>
          <t>Skogsalm</t>
        </is>
      </c>
      <c r="S212">
        <f>HYPERLINK("https://klasma.github.io/Logging_0883/artfynd/A 34166-2025 artfynd.xlsx", "A 34166-2025")</f>
        <v/>
      </c>
      <c r="T212">
        <f>HYPERLINK("https://klasma.github.io/Logging_0883/kartor/A 34166-2025 karta.png", "A 34166-2025")</f>
        <v/>
      </c>
      <c r="V212">
        <f>HYPERLINK("https://klasma.github.io/Logging_0883/klagomål/A 34166-2025 FSC-klagomål.docx", "A 34166-2025")</f>
        <v/>
      </c>
      <c r="W212">
        <f>HYPERLINK("https://klasma.github.io/Logging_0883/klagomålsmail/A 34166-2025 FSC-klagomål mail.docx", "A 34166-2025")</f>
        <v/>
      </c>
      <c r="X212">
        <f>HYPERLINK("https://klasma.github.io/Logging_0883/tillsyn/A 34166-2025 tillsynsbegäran.docx", "A 34166-2025")</f>
        <v/>
      </c>
      <c r="Y212">
        <f>HYPERLINK("https://klasma.github.io/Logging_0883/tillsynsmail/A 34166-2025 tillsynsbegäran mail.docx", "A 34166-2025")</f>
        <v/>
      </c>
    </row>
    <row r="213" ht="15" customHeight="1">
      <c r="A213" t="inlineStr">
        <is>
          <t>A 33916-2025</t>
        </is>
      </c>
      <c r="B213" s="1" t="n">
        <v>45842.61306712963</v>
      </c>
      <c r="C213" s="1" t="n">
        <v>45991</v>
      </c>
      <c r="D213" t="inlineStr">
        <is>
          <t>KALMAR LÄN</t>
        </is>
      </c>
      <c r="E213" t="inlineStr">
        <is>
          <t>VÄSTERVIK</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HYPERLINK("https://klasma.github.io/Logging_0883/artfynd/A 33916-2025 artfynd.xlsx", "A 33916-2025")</f>
        <v/>
      </c>
      <c r="T213">
        <f>HYPERLINK("https://klasma.github.io/Logging_0883/kartor/A 33916-2025 karta.png", "A 33916-2025")</f>
        <v/>
      </c>
      <c r="V213">
        <f>HYPERLINK("https://klasma.github.io/Logging_0883/klagomål/A 33916-2025 FSC-klagomål.docx", "A 33916-2025")</f>
        <v/>
      </c>
      <c r="W213">
        <f>HYPERLINK("https://klasma.github.io/Logging_0883/klagomålsmail/A 33916-2025 FSC-klagomål mail.docx", "A 33916-2025")</f>
        <v/>
      </c>
      <c r="X213">
        <f>HYPERLINK("https://klasma.github.io/Logging_0883/tillsyn/A 33916-2025 tillsynsbegäran.docx", "A 33916-2025")</f>
        <v/>
      </c>
      <c r="Y213">
        <f>HYPERLINK("https://klasma.github.io/Logging_0883/tillsynsmail/A 33916-2025 tillsynsbegäran mail.docx", "A 33916-2025")</f>
        <v/>
      </c>
      <c r="Z213">
        <f>HYPERLINK("https://klasma.github.io/Logging_0883/fåglar/A 33916-2025 prioriterade fågelarter.docx", "A 33916-2025")</f>
        <v/>
      </c>
    </row>
    <row r="214" ht="15" customHeight="1">
      <c r="A214" t="inlineStr">
        <is>
          <t>A 34212-2025</t>
        </is>
      </c>
      <c r="B214" s="1" t="n">
        <v>45845.64383101852</v>
      </c>
      <c r="C214" s="1" t="n">
        <v>45991</v>
      </c>
      <c r="D214" t="inlineStr">
        <is>
          <t>KALMAR LÄN</t>
        </is>
      </c>
      <c r="E214" t="inlineStr">
        <is>
          <t>VÄSTERVIK</t>
        </is>
      </c>
      <c r="G214" t="n">
        <v>6.4</v>
      </c>
      <c r="H214" t="n">
        <v>0</v>
      </c>
      <c r="I214" t="n">
        <v>1</v>
      </c>
      <c r="J214" t="n">
        <v>0</v>
      </c>
      <c r="K214" t="n">
        <v>0</v>
      </c>
      <c r="L214" t="n">
        <v>0</v>
      </c>
      <c r="M214" t="n">
        <v>0</v>
      </c>
      <c r="N214" t="n">
        <v>0</v>
      </c>
      <c r="O214" t="n">
        <v>0</v>
      </c>
      <c r="P214" t="n">
        <v>0</v>
      </c>
      <c r="Q214" t="n">
        <v>1</v>
      </c>
      <c r="R214" s="2" t="inlineStr">
        <is>
          <t>Blåmossa</t>
        </is>
      </c>
      <c r="S214">
        <f>HYPERLINK("https://klasma.github.io/Logging_0883/artfynd/A 34212-2025 artfynd.xlsx", "A 34212-2025")</f>
        <v/>
      </c>
      <c r="T214">
        <f>HYPERLINK("https://klasma.github.io/Logging_0883/kartor/A 34212-2025 karta.png", "A 34212-2025")</f>
        <v/>
      </c>
      <c r="V214">
        <f>HYPERLINK("https://klasma.github.io/Logging_0883/klagomål/A 34212-2025 FSC-klagomål.docx", "A 34212-2025")</f>
        <v/>
      </c>
      <c r="W214">
        <f>HYPERLINK("https://klasma.github.io/Logging_0883/klagomålsmail/A 34212-2025 FSC-klagomål mail.docx", "A 34212-2025")</f>
        <v/>
      </c>
      <c r="X214">
        <f>HYPERLINK("https://klasma.github.io/Logging_0883/tillsyn/A 34212-2025 tillsynsbegäran.docx", "A 34212-2025")</f>
        <v/>
      </c>
      <c r="Y214">
        <f>HYPERLINK("https://klasma.github.io/Logging_0883/tillsynsmail/A 34212-2025 tillsynsbegäran mail.docx", "A 34212-2025")</f>
        <v/>
      </c>
    </row>
    <row r="215" ht="15" customHeight="1">
      <c r="A215" t="inlineStr">
        <is>
          <t>A 34168-2025</t>
        </is>
      </c>
      <c r="B215" s="1" t="n">
        <v>45845.58349537037</v>
      </c>
      <c r="C215" s="1" t="n">
        <v>45991</v>
      </c>
      <c r="D215" t="inlineStr">
        <is>
          <t>KALMAR LÄN</t>
        </is>
      </c>
      <c r="E215" t="inlineStr">
        <is>
          <t>VÄSTERVIK</t>
        </is>
      </c>
      <c r="G215" t="n">
        <v>2.7</v>
      </c>
      <c r="H215" t="n">
        <v>1</v>
      </c>
      <c r="I215" t="n">
        <v>0</v>
      </c>
      <c r="J215" t="n">
        <v>1</v>
      </c>
      <c r="K215" t="n">
        <v>0</v>
      </c>
      <c r="L215" t="n">
        <v>0</v>
      </c>
      <c r="M215" t="n">
        <v>0</v>
      </c>
      <c r="N215" t="n">
        <v>0</v>
      </c>
      <c r="O215" t="n">
        <v>1</v>
      </c>
      <c r="P215" t="n">
        <v>0</v>
      </c>
      <c r="Q215" t="n">
        <v>1</v>
      </c>
      <c r="R215" s="2" t="inlineStr">
        <is>
          <t>Grönsångare</t>
        </is>
      </c>
      <c r="S215">
        <f>HYPERLINK("https://klasma.github.io/Logging_0883/artfynd/A 34168-2025 artfynd.xlsx", "A 34168-2025")</f>
        <v/>
      </c>
      <c r="T215">
        <f>HYPERLINK("https://klasma.github.io/Logging_0883/kartor/A 34168-2025 karta.png", "A 34168-2025")</f>
        <v/>
      </c>
      <c r="V215">
        <f>HYPERLINK("https://klasma.github.io/Logging_0883/klagomål/A 34168-2025 FSC-klagomål.docx", "A 34168-2025")</f>
        <v/>
      </c>
      <c r="W215">
        <f>HYPERLINK("https://klasma.github.io/Logging_0883/klagomålsmail/A 34168-2025 FSC-klagomål mail.docx", "A 34168-2025")</f>
        <v/>
      </c>
      <c r="X215">
        <f>HYPERLINK("https://klasma.github.io/Logging_0883/tillsyn/A 34168-2025 tillsynsbegäran.docx", "A 34168-2025")</f>
        <v/>
      </c>
      <c r="Y215">
        <f>HYPERLINK("https://klasma.github.io/Logging_0883/tillsynsmail/A 34168-2025 tillsynsbegäran mail.docx", "A 34168-2025")</f>
        <v/>
      </c>
      <c r="Z215">
        <f>HYPERLINK("https://klasma.github.io/Logging_0883/fåglar/A 34168-2025 prioriterade fågelarter.docx", "A 34168-2025")</f>
        <v/>
      </c>
    </row>
    <row r="216" ht="15" customHeight="1">
      <c r="A216" t="inlineStr">
        <is>
          <t>A 11195-2024</t>
        </is>
      </c>
      <c r="B216" s="1" t="n">
        <v>45371</v>
      </c>
      <c r="C216" s="1" t="n">
        <v>45991</v>
      </c>
      <c r="D216" t="inlineStr">
        <is>
          <t>KALMAR LÄN</t>
        </is>
      </c>
      <c r="E216" t="inlineStr">
        <is>
          <t>VÄSTERVIK</t>
        </is>
      </c>
      <c r="G216" t="n">
        <v>1.9</v>
      </c>
      <c r="H216" t="n">
        <v>1</v>
      </c>
      <c r="I216" t="n">
        <v>0</v>
      </c>
      <c r="J216" t="n">
        <v>0</v>
      </c>
      <c r="K216" t="n">
        <v>1</v>
      </c>
      <c r="L216" t="n">
        <v>0</v>
      </c>
      <c r="M216" t="n">
        <v>0</v>
      </c>
      <c r="N216" t="n">
        <v>0</v>
      </c>
      <c r="O216" t="n">
        <v>1</v>
      </c>
      <c r="P216" t="n">
        <v>1</v>
      </c>
      <c r="Q216" t="n">
        <v>1</v>
      </c>
      <c r="R216" s="2" t="inlineStr">
        <is>
          <t>Knärot</t>
        </is>
      </c>
      <c r="S216">
        <f>HYPERLINK("https://klasma.github.io/Logging_0883/artfynd/A 11195-2024 artfynd.xlsx", "A 11195-2024")</f>
        <v/>
      </c>
      <c r="T216">
        <f>HYPERLINK("https://klasma.github.io/Logging_0883/kartor/A 11195-2024 karta.png", "A 11195-2024")</f>
        <v/>
      </c>
      <c r="U216">
        <f>HYPERLINK("https://klasma.github.io/Logging_0883/knärot/A 11195-2024 karta knärot.png", "A 11195-2024")</f>
        <v/>
      </c>
      <c r="V216">
        <f>HYPERLINK("https://klasma.github.io/Logging_0883/klagomål/A 11195-2024 FSC-klagomål.docx", "A 11195-2024")</f>
        <v/>
      </c>
      <c r="W216">
        <f>HYPERLINK("https://klasma.github.io/Logging_0883/klagomålsmail/A 11195-2024 FSC-klagomål mail.docx", "A 11195-2024")</f>
        <v/>
      </c>
      <c r="X216">
        <f>HYPERLINK("https://klasma.github.io/Logging_0883/tillsyn/A 11195-2024 tillsynsbegäran.docx", "A 11195-2024")</f>
        <v/>
      </c>
      <c r="Y216">
        <f>HYPERLINK("https://klasma.github.io/Logging_0883/tillsynsmail/A 11195-2024 tillsynsbegäran mail.docx", "A 11195-2024")</f>
        <v/>
      </c>
    </row>
    <row r="217" ht="15" customHeight="1">
      <c r="A217" t="inlineStr">
        <is>
          <t>A 44618-2025</t>
        </is>
      </c>
      <c r="B217" s="1" t="n">
        <v>45917.46385416666</v>
      </c>
      <c r="C217" s="1" t="n">
        <v>45991</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53843-2025</t>
        </is>
      </c>
      <c r="B218" s="1" t="n">
        <v>45961.36483796296</v>
      </c>
      <c r="C218" s="1" t="n">
        <v>45991</v>
      </c>
      <c r="D218" t="inlineStr">
        <is>
          <t>KALMAR LÄN</t>
        </is>
      </c>
      <c r="E218" t="inlineStr">
        <is>
          <t>VÄSTERVIK</t>
        </is>
      </c>
      <c r="F218" t="inlineStr">
        <is>
          <t>Sveaskog</t>
        </is>
      </c>
      <c r="G218" t="n">
        <v>6</v>
      </c>
      <c r="H218" t="n">
        <v>1</v>
      </c>
      <c r="I218" t="n">
        <v>0</v>
      </c>
      <c r="J218" t="n">
        <v>0</v>
      </c>
      <c r="K218" t="n">
        <v>0</v>
      </c>
      <c r="L218" t="n">
        <v>0</v>
      </c>
      <c r="M218" t="n">
        <v>0</v>
      </c>
      <c r="N218" t="n">
        <v>0</v>
      </c>
      <c r="O218" t="n">
        <v>0</v>
      </c>
      <c r="P218" t="n">
        <v>0</v>
      </c>
      <c r="Q218" t="n">
        <v>1</v>
      </c>
      <c r="R218" s="2" t="inlineStr">
        <is>
          <t>Blåsippa</t>
        </is>
      </c>
      <c r="S218">
        <f>HYPERLINK("https://klasma.github.io/Logging_0883/artfynd/A 53843-2025 artfynd.xlsx", "A 53843-2025")</f>
        <v/>
      </c>
      <c r="T218">
        <f>HYPERLINK("https://klasma.github.io/Logging_0883/kartor/A 53843-2025 karta.png", "A 53843-2025")</f>
        <v/>
      </c>
      <c r="V218">
        <f>HYPERLINK("https://klasma.github.io/Logging_0883/klagomål/A 53843-2025 FSC-klagomål.docx", "A 53843-2025")</f>
        <v/>
      </c>
      <c r="W218">
        <f>HYPERLINK("https://klasma.github.io/Logging_0883/klagomålsmail/A 53843-2025 FSC-klagomål mail.docx", "A 53843-2025")</f>
        <v/>
      </c>
      <c r="X218">
        <f>HYPERLINK("https://klasma.github.io/Logging_0883/tillsyn/A 53843-2025 tillsynsbegäran.docx", "A 53843-2025")</f>
        <v/>
      </c>
      <c r="Y218">
        <f>HYPERLINK("https://klasma.github.io/Logging_0883/tillsynsmail/A 53843-2025 tillsynsbegäran mail.docx", "A 53843-2025")</f>
        <v/>
      </c>
    </row>
    <row r="219" ht="15" customHeight="1">
      <c r="A219" t="inlineStr">
        <is>
          <t>A 53875-2025</t>
        </is>
      </c>
      <c r="B219" s="1" t="n">
        <v>45961.3937962963</v>
      </c>
      <c r="C219" s="1" t="n">
        <v>45991</v>
      </c>
      <c r="D219" t="inlineStr">
        <is>
          <t>KALMAR LÄN</t>
        </is>
      </c>
      <c r="E219" t="inlineStr">
        <is>
          <t>VÄSTERVIK</t>
        </is>
      </c>
      <c r="F219" t="inlineStr">
        <is>
          <t>Sveaskog</t>
        </is>
      </c>
      <c r="G219" t="n">
        <v>4.2</v>
      </c>
      <c r="H219" t="n">
        <v>1</v>
      </c>
      <c r="I219" t="n">
        <v>0</v>
      </c>
      <c r="J219" t="n">
        <v>0</v>
      </c>
      <c r="K219" t="n">
        <v>0</v>
      </c>
      <c r="L219" t="n">
        <v>0</v>
      </c>
      <c r="M219" t="n">
        <v>0</v>
      </c>
      <c r="N219" t="n">
        <v>0</v>
      </c>
      <c r="O219" t="n">
        <v>0</v>
      </c>
      <c r="P219" t="n">
        <v>0</v>
      </c>
      <c r="Q219" t="n">
        <v>1</v>
      </c>
      <c r="R219" s="2" t="inlineStr">
        <is>
          <t>Blåsippa</t>
        </is>
      </c>
      <c r="S219">
        <f>HYPERLINK("https://klasma.github.io/Logging_0883/artfynd/A 53875-2025 artfynd.xlsx", "A 53875-2025")</f>
        <v/>
      </c>
      <c r="T219">
        <f>HYPERLINK("https://klasma.github.io/Logging_0883/kartor/A 53875-2025 karta.png", "A 53875-2025")</f>
        <v/>
      </c>
      <c r="V219">
        <f>HYPERLINK("https://klasma.github.io/Logging_0883/klagomål/A 53875-2025 FSC-klagomål.docx", "A 53875-2025")</f>
        <v/>
      </c>
      <c r="W219">
        <f>HYPERLINK("https://klasma.github.io/Logging_0883/klagomålsmail/A 53875-2025 FSC-klagomål mail.docx", "A 53875-2025")</f>
        <v/>
      </c>
      <c r="X219">
        <f>HYPERLINK("https://klasma.github.io/Logging_0883/tillsyn/A 53875-2025 tillsynsbegäran.docx", "A 53875-2025")</f>
        <v/>
      </c>
      <c r="Y219">
        <f>HYPERLINK("https://klasma.github.io/Logging_0883/tillsynsmail/A 53875-2025 tillsynsbegäran mail.docx", "A 53875-2025")</f>
        <v/>
      </c>
    </row>
    <row r="220" ht="15" customHeight="1">
      <c r="A220" t="inlineStr">
        <is>
          <t>A 44865-2025</t>
        </is>
      </c>
      <c r="B220" s="1" t="n">
        <v>45918.46114583333</v>
      </c>
      <c r="C220" s="1" t="n">
        <v>45991</v>
      </c>
      <c r="D220" t="inlineStr">
        <is>
          <t>KALMAR LÄN</t>
        </is>
      </c>
      <c r="E220" t="inlineStr">
        <is>
          <t>VÄSTERVIK</t>
        </is>
      </c>
      <c r="G220" t="n">
        <v>1.1</v>
      </c>
      <c r="H220" t="n">
        <v>1</v>
      </c>
      <c r="I220" t="n">
        <v>0</v>
      </c>
      <c r="J220" t="n">
        <v>0</v>
      </c>
      <c r="K220" t="n">
        <v>1</v>
      </c>
      <c r="L220" t="n">
        <v>0</v>
      </c>
      <c r="M220" t="n">
        <v>0</v>
      </c>
      <c r="N220" t="n">
        <v>0</v>
      </c>
      <c r="O220" t="n">
        <v>1</v>
      </c>
      <c r="P220" t="n">
        <v>1</v>
      </c>
      <c r="Q220" t="n">
        <v>1</v>
      </c>
      <c r="R220" s="2" t="inlineStr">
        <is>
          <t>Knärot</t>
        </is>
      </c>
      <c r="S220">
        <f>HYPERLINK("https://klasma.github.io/Logging_0883/artfynd/A 44865-2025 artfynd.xlsx", "A 44865-2025")</f>
        <v/>
      </c>
      <c r="T220">
        <f>HYPERLINK("https://klasma.github.io/Logging_0883/kartor/A 44865-2025 karta.png", "A 44865-2025")</f>
        <v/>
      </c>
      <c r="U220">
        <f>HYPERLINK("https://klasma.github.io/Logging_0883/knärot/A 44865-2025 karta knärot.png", "A 44865-2025")</f>
        <v/>
      </c>
      <c r="V220">
        <f>HYPERLINK("https://klasma.github.io/Logging_0883/klagomål/A 44865-2025 FSC-klagomål.docx", "A 44865-2025")</f>
        <v/>
      </c>
      <c r="W220">
        <f>HYPERLINK("https://klasma.github.io/Logging_0883/klagomålsmail/A 44865-2025 FSC-klagomål mail.docx", "A 44865-2025")</f>
        <v/>
      </c>
      <c r="X220">
        <f>HYPERLINK("https://klasma.github.io/Logging_0883/tillsyn/A 44865-2025 tillsynsbegäran.docx", "A 44865-2025")</f>
        <v/>
      </c>
      <c r="Y220">
        <f>HYPERLINK("https://klasma.github.io/Logging_0883/tillsynsmail/A 44865-2025 tillsynsbegäran mail.docx", "A 44865-2025")</f>
        <v/>
      </c>
    </row>
    <row r="221" ht="15" customHeight="1">
      <c r="A221" t="inlineStr">
        <is>
          <t>A 1176-2024</t>
        </is>
      </c>
      <c r="B221" s="1" t="n">
        <v>45302</v>
      </c>
      <c r="C221" s="1" t="n">
        <v>45991</v>
      </c>
      <c r="D221" t="inlineStr">
        <is>
          <t>KALMAR LÄN</t>
        </is>
      </c>
      <c r="E221" t="inlineStr">
        <is>
          <t>VÄSTERVIK</t>
        </is>
      </c>
      <c r="G221" t="n">
        <v>2.5</v>
      </c>
      <c r="H221" t="n">
        <v>0</v>
      </c>
      <c r="I221" t="n">
        <v>0</v>
      </c>
      <c r="J221" t="n">
        <v>1</v>
      </c>
      <c r="K221" t="n">
        <v>0</v>
      </c>
      <c r="L221" t="n">
        <v>0</v>
      </c>
      <c r="M221" t="n">
        <v>0</v>
      </c>
      <c r="N221" t="n">
        <v>0</v>
      </c>
      <c r="O221" t="n">
        <v>1</v>
      </c>
      <c r="P221" t="n">
        <v>0</v>
      </c>
      <c r="Q221" t="n">
        <v>1</v>
      </c>
      <c r="R221" s="2" t="inlineStr">
        <is>
          <t>Tallticka</t>
        </is>
      </c>
      <c r="S221">
        <f>HYPERLINK("https://klasma.github.io/Logging_0883/artfynd/A 1176-2024 artfynd.xlsx", "A 1176-2024")</f>
        <v/>
      </c>
      <c r="T221">
        <f>HYPERLINK("https://klasma.github.io/Logging_0883/kartor/A 1176-2024 karta.png", "A 1176-2024")</f>
        <v/>
      </c>
      <c r="V221">
        <f>HYPERLINK("https://klasma.github.io/Logging_0883/klagomål/A 1176-2024 FSC-klagomål.docx", "A 1176-2024")</f>
        <v/>
      </c>
      <c r="W221">
        <f>HYPERLINK("https://klasma.github.io/Logging_0883/klagomålsmail/A 1176-2024 FSC-klagomål mail.docx", "A 1176-2024")</f>
        <v/>
      </c>
      <c r="X221">
        <f>HYPERLINK("https://klasma.github.io/Logging_0883/tillsyn/A 1176-2024 tillsynsbegäran.docx", "A 1176-2024")</f>
        <v/>
      </c>
      <c r="Y221">
        <f>HYPERLINK("https://klasma.github.io/Logging_0883/tillsynsmail/A 1176-2024 tillsynsbegäran mail.docx", "A 1176-2024")</f>
        <v/>
      </c>
    </row>
    <row r="222" ht="15" customHeight="1">
      <c r="A222" t="inlineStr">
        <is>
          <t>A 53877-2025</t>
        </is>
      </c>
      <c r="B222" s="1" t="n">
        <v>45961.39565972222</v>
      </c>
      <c r="C222" s="1" t="n">
        <v>45991</v>
      </c>
      <c r="D222" t="inlineStr">
        <is>
          <t>KALMAR LÄN</t>
        </is>
      </c>
      <c r="E222" t="inlineStr">
        <is>
          <t>VÄSTERVIK</t>
        </is>
      </c>
      <c r="F222" t="inlineStr">
        <is>
          <t>Sveaskog</t>
        </is>
      </c>
      <c r="G222" t="n">
        <v>2.2</v>
      </c>
      <c r="H222" t="n">
        <v>0</v>
      </c>
      <c r="I222" t="n">
        <v>0</v>
      </c>
      <c r="J222" t="n">
        <v>1</v>
      </c>
      <c r="K222" t="n">
        <v>0</v>
      </c>
      <c r="L222" t="n">
        <v>0</v>
      </c>
      <c r="M222" t="n">
        <v>0</v>
      </c>
      <c r="N222" t="n">
        <v>0</v>
      </c>
      <c r="O222" t="n">
        <v>1</v>
      </c>
      <c r="P222" t="n">
        <v>0</v>
      </c>
      <c r="Q222" t="n">
        <v>1</v>
      </c>
      <c r="R222" s="2" t="inlineStr">
        <is>
          <t>Pilblad</t>
        </is>
      </c>
      <c r="S222">
        <f>HYPERLINK("https://klasma.github.io/Logging_0883/artfynd/A 53877-2025 artfynd.xlsx", "A 53877-2025")</f>
        <v/>
      </c>
      <c r="T222">
        <f>HYPERLINK("https://klasma.github.io/Logging_0883/kartor/A 53877-2025 karta.png", "A 53877-2025")</f>
        <v/>
      </c>
      <c r="V222">
        <f>HYPERLINK("https://klasma.github.io/Logging_0883/klagomål/A 53877-2025 FSC-klagomål.docx", "A 53877-2025")</f>
        <v/>
      </c>
      <c r="W222">
        <f>HYPERLINK("https://klasma.github.io/Logging_0883/klagomålsmail/A 53877-2025 FSC-klagomål mail.docx", "A 53877-2025")</f>
        <v/>
      </c>
      <c r="X222">
        <f>HYPERLINK("https://klasma.github.io/Logging_0883/tillsyn/A 53877-2025 tillsynsbegäran.docx", "A 53877-2025")</f>
        <v/>
      </c>
      <c r="Y222">
        <f>HYPERLINK("https://klasma.github.io/Logging_0883/tillsynsmail/A 53877-2025 tillsynsbegäran mail.docx", "A 53877-2025")</f>
        <v/>
      </c>
    </row>
    <row r="223" ht="15" customHeight="1">
      <c r="A223" t="inlineStr">
        <is>
          <t>A 3057-2025</t>
        </is>
      </c>
      <c r="B223" s="1" t="n">
        <v>45678</v>
      </c>
      <c r="C223" s="1" t="n">
        <v>45991</v>
      </c>
      <c r="D223" t="inlineStr">
        <is>
          <t>KALMAR LÄN</t>
        </is>
      </c>
      <c r="E223" t="inlineStr">
        <is>
          <t>VÄSTERVIK</t>
        </is>
      </c>
      <c r="G223" t="n">
        <v>1</v>
      </c>
      <c r="H223" t="n">
        <v>1</v>
      </c>
      <c r="I223" t="n">
        <v>0</v>
      </c>
      <c r="J223" t="n">
        <v>0</v>
      </c>
      <c r="K223" t="n">
        <v>1</v>
      </c>
      <c r="L223" t="n">
        <v>0</v>
      </c>
      <c r="M223" t="n">
        <v>0</v>
      </c>
      <c r="N223" t="n">
        <v>0</v>
      </c>
      <c r="O223" t="n">
        <v>1</v>
      </c>
      <c r="P223" t="n">
        <v>1</v>
      </c>
      <c r="Q223" t="n">
        <v>1</v>
      </c>
      <c r="R223" s="2" t="inlineStr">
        <is>
          <t>Knärot</t>
        </is>
      </c>
      <c r="S223">
        <f>HYPERLINK("https://klasma.github.io/Logging_0883/artfynd/A 3057-2025 artfynd.xlsx", "A 3057-2025")</f>
        <v/>
      </c>
      <c r="T223">
        <f>HYPERLINK("https://klasma.github.io/Logging_0883/kartor/A 3057-2025 karta.png", "A 3057-2025")</f>
        <v/>
      </c>
      <c r="U223">
        <f>HYPERLINK("https://klasma.github.io/Logging_0883/knärot/A 3057-2025 karta knärot.png", "A 3057-2025")</f>
        <v/>
      </c>
      <c r="V223">
        <f>HYPERLINK("https://klasma.github.io/Logging_0883/klagomål/A 3057-2025 FSC-klagomål.docx", "A 3057-2025")</f>
        <v/>
      </c>
      <c r="W223">
        <f>HYPERLINK("https://klasma.github.io/Logging_0883/klagomålsmail/A 3057-2025 FSC-klagomål mail.docx", "A 3057-2025")</f>
        <v/>
      </c>
      <c r="X223">
        <f>HYPERLINK("https://klasma.github.io/Logging_0883/tillsyn/A 3057-2025 tillsynsbegäran.docx", "A 3057-2025")</f>
        <v/>
      </c>
      <c r="Y223">
        <f>HYPERLINK("https://klasma.github.io/Logging_0883/tillsynsmail/A 3057-2025 tillsynsbegäran mail.docx", "A 3057-2025")</f>
        <v/>
      </c>
    </row>
    <row r="224" ht="15" customHeight="1">
      <c r="A224" t="inlineStr">
        <is>
          <t>A 53860-2025</t>
        </is>
      </c>
      <c r="B224" s="1" t="n">
        <v>45961.37815972222</v>
      </c>
      <c r="C224" s="1" t="n">
        <v>45991</v>
      </c>
      <c r="D224" t="inlineStr">
        <is>
          <t>KALMAR LÄN</t>
        </is>
      </c>
      <c r="E224" t="inlineStr">
        <is>
          <t>VÄSTERVIK</t>
        </is>
      </c>
      <c r="F224" t="inlineStr">
        <is>
          <t>Sveaskog</t>
        </is>
      </c>
      <c r="G224" t="n">
        <v>1.7</v>
      </c>
      <c r="H224" t="n">
        <v>1</v>
      </c>
      <c r="I224" t="n">
        <v>0</v>
      </c>
      <c r="J224" t="n">
        <v>0</v>
      </c>
      <c r="K224" t="n">
        <v>0</v>
      </c>
      <c r="L224" t="n">
        <v>0</v>
      </c>
      <c r="M224" t="n">
        <v>0</v>
      </c>
      <c r="N224" t="n">
        <v>0</v>
      </c>
      <c r="O224" t="n">
        <v>0</v>
      </c>
      <c r="P224" t="n">
        <v>0</v>
      </c>
      <c r="Q224" t="n">
        <v>1</v>
      </c>
      <c r="R224" s="2" t="inlineStr">
        <is>
          <t>Blåsippa</t>
        </is>
      </c>
      <c r="S224">
        <f>HYPERLINK("https://klasma.github.io/Logging_0883/artfynd/A 53860-2025 artfynd.xlsx", "A 53860-2025")</f>
        <v/>
      </c>
      <c r="T224">
        <f>HYPERLINK("https://klasma.github.io/Logging_0883/kartor/A 53860-2025 karta.png", "A 53860-2025")</f>
        <v/>
      </c>
      <c r="V224">
        <f>HYPERLINK("https://klasma.github.io/Logging_0883/klagomål/A 53860-2025 FSC-klagomål.docx", "A 53860-2025")</f>
        <v/>
      </c>
      <c r="W224">
        <f>HYPERLINK("https://klasma.github.io/Logging_0883/klagomålsmail/A 53860-2025 FSC-klagomål mail.docx", "A 53860-2025")</f>
        <v/>
      </c>
      <c r="X224">
        <f>HYPERLINK("https://klasma.github.io/Logging_0883/tillsyn/A 53860-2025 tillsynsbegäran.docx", "A 53860-2025")</f>
        <v/>
      </c>
      <c r="Y224">
        <f>HYPERLINK("https://klasma.github.io/Logging_0883/tillsynsmail/A 53860-2025 tillsynsbegäran mail.docx", "A 53860-2025")</f>
        <v/>
      </c>
    </row>
    <row r="225" ht="15" customHeight="1">
      <c r="A225" t="inlineStr">
        <is>
          <t>A 1024-2023</t>
        </is>
      </c>
      <c r="B225" s="1" t="n">
        <v>44935</v>
      </c>
      <c r="C225" s="1" t="n">
        <v>45991</v>
      </c>
      <c r="D225" t="inlineStr">
        <is>
          <t>KALMAR LÄN</t>
        </is>
      </c>
      <c r="E225" t="inlineStr">
        <is>
          <t>VÄSTERVIK</t>
        </is>
      </c>
      <c r="F225" t="inlineStr">
        <is>
          <t>Holmen skog AB</t>
        </is>
      </c>
      <c r="G225" t="n">
        <v>1.9</v>
      </c>
      <c r="H225" t="n">
        <v>0</v>
      </c>
      <c r="I225" t="n">
        <v>0</v>
      </c>
      <c r="J225" t="n">
        <v>1</v>
      </c>
      <c r="K225" t="n">
        <v>0</v>
      </c>
      <c r="L225" t="n">
        <v>0</v>
      </c>
      <c r="M225" t="n">
        <v>0</v>
      </c>
      <c r="N225" t="n">
        <v>0</v>
      </c>
      <c r="O225" t="n">
        <v>1</v>
      </c>
      <c r="P225" t="n">
        <v>0</v>
      </c>
      <c r="Q225" t="n">
        <v>1</v>
      </c>
      <c r="R225" s="2" t="inlineStr">
        <is>
          <t>Ekticka</t>
        </is>
      </c>
      <c r="S225">
        <f>HYPERLINK("https://klasma.github.io/Logging_0883/artfynd/A 1024-2023 artfynd.xlsx", "A 1024-2023")</f>
        <v/>
      </c>
      <c r="T225">
        <f>HYPERLINK("https://klasma.github.io/Logging_0883/kartor/A 1024-2023 karta.png", "A 1024-2023")</f>
        <v/>
      </c>
      <c r="V225">
        <f>HYPERLINK("https://klasma.github.io/Logging_0883/klagomål/A 1024-2023 FSC-klagomål.docx", "A 1024-2023")</f>
        <v/>
      </c>
      <c r="W225">
        <f>HYPERLINK("https://klasma.github.io/Logging_0883/klagomålsmail/A 1024-2023 FSC-klagomål mail.docx", "A 1024-2023")</f>
        <v/>
      </c>
      <c r="X225">
        <f>HYPERLINK("https://klasma.github.io/Logging_0883/tillsyn/A 1024-2023 tillsynsbegäran.docx", "A 1024-2023")</f>
        <v/>
      </c>
      <c r="Y225">
        <f>HYPERLINK("https://klasma.github.io/Logging_0883/tillsynsmail/A 1024-2023 tillsynsbegäran mail.docx", "A 1024-2023")</f>
        <v/>
      </c>
    </row>
    <row r="226" ht="15" customHeight="1">
      <c r="A226" t="inlineStr">
        <is>
          <t>A 10768-2025</t>
        </is>
      </c>
      <c r="B226" s="1" t="n">
        <v>45722.46649305556</v>
      </c>
      <c r="C226" s="1" t="n">
        <v>45991</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5575-2021</t>
        </is>
      </c>
      <c r="B227" s="1" t="n">
        <v>44230</v>
      </c>
      <c r="C227" s="1" t="n">
        <v>45991</v>
      </c>
      <c r="D227" t="inlineStr">
        <is>
          <t>KALMAR LÄN</t>
        </is>
      </c>
      <c r="E227" t="inlineStr">
        <is>
          <t>VÄSTERVIK</t>
        </is>
      </c>
      <c r="G227" t="n">
        <v>2.6</v>
      </c>
      <c r="H227" t="n">
        <v>1</v>
      </c>
      <c r="I227" t="n">
        <v>1</v>
      </c>
      <c r="J227" t="n">
        <v>0</v>
      </c>
      <c r="K227" t="n">
        <v>0</v>
      </c>
      <c r="L227" t="n">
        <v>0</v>
      </c>
      <c r="M227" t="n">
        <v>0</v>
      </c>
      <c r="N227" t="n">
        <v>0</v>
      </c>
      <c r="O227" t="n">
        <v>0</v>
      </c>
      <c r="P227" t="n">
        <v>0</v>
      </c>
      <c r="Q227" t="n">
        <v>1</v>
      </c>
      <c r="R227" s="2" t="inlineStr">
        <is>
          <t>Ekoxe</t>
        </is>
      </c>
      <c r="S227">
        <f>HYPERLINK("https://klasma.github.io/Logging_0883/artfynd/A 5575-2021 artfynd.xlsx", "A 5575-2021")</f>
        <v/>
      </c>
      <c r="T227">
        <f>HYPERLINK("https://klasma.github.io/Logging_0883/kartor/A 5575-2021 karta.png", "A 5575-2021")</f>
        <v/>
      </c>
      <c r="V227">
        <f>HYPERLINK("https://klasma.github.io/Logging_0883/klagomål/A 5575-2021 FSC-klagomål.docx", "A 5575-2021")</f>
        <v/>
      </c>
      <c r="W227">
        <f>HYPERLINK("https://klasma.github.io/Logging_0883/klagomålsmail/A 5575-2021 FSC-klagomål mail.docx", "A 5575-2021")</f>
        <v/>
      </c>
      <c r="X227">
        <f>HYPERLINK("https://klasma.github.io/Logging_0883/tillsyn/A 5575-2021 tillsynsbegäran.docx", "A 5575-2021")</f>
        <v/>
      </c>
      <c r="Y227">
        <f>HYPERLINK("https://klasma.github.io/Logging_0883/tillsynsmail/A 5575-2021 tillsynsbegäran mail.docx", "A 5575-2021")</f>
        <v/>
      </c>
    </row>
    <row r="228" ht="15" customHeight="1">
      <c r="A228" t="inlineStr">
        <is>
          <t>A 12292-2025</t>
        </is>
      </c>
      <c r="B228" s="1" t="n">
        <v>45729.68322916667</v>
      </c>
      <c r="C228" s="1" t="n">
        <v>45991</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45991</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9571-2025</t>
        </is>
      </c>
      <c r="B230" s="1" t="n">
        <v>45715.61996527778</v>
      </c>
      <c r="C230" s="1" t="n">
        <v>45991</v>
      </c>
      <c r="D230" t="inlineStr">
        <is>
          <t>KALMAR LÄN</t>
        </is>
      </c>
      <c r="E230" t="inlineStr">
        <is>
          <t>VÄSTERVIK</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HYPERLINK("https://klasma.github.io/Logging_0883/artfynd/A 9571-2025 artfynd.xlsx", "A 9571-2025")</f>
        <v/>
      </c>
      <c r="T230">
        <f>HYPERLINK("https://klasma.github.io/Logging_0883/kartor/A 9571-2025 karta.png", "A 9571-2025")</f>
        <v/>
      </c>
      <c r="V230">
        <f>HYPERLINK("https://klasma.github.io/Logging_0883/klagomål/A 9571-2025 FSC-klagomål.docx", "A 9571-2025")</f>
        <v/>
      </c>
      <c r="W230">
        <f>HYPERLINK("https://klasma.github.io/Logging_0883/klagomålsmail/A 9571-2025 FSC-klagomål mail.docx", "A 9571-2025")</f>
        <v/>
      </c>
      <c r="X230">
        <f>HYPERLINK("https://klasma.github.io/Logging_0883/tillsyn/A 9571-2025 tillsynsbegäran.docx", "A 9571-2025")</f>
        <v/>
      </c>
      <c r="Y230">
        <f>HYPERLINK("https://klasma.github.io/Logging_0883/tillsynsmail/A 9571-2025 tillsynsbegäran mail.docx", "A 9571-2025")</f>
        <v/>
      </c>
    </row>
    <row r="231" ht="15" customHeight="1">
      <c r="A231" t="inlineStr">
        <is>
          <t>A 54859-2025</t>
        </is>
      </c>
      <c r="B231" s="1" t="n">
        <v>45966.75758101852</v>
      </c>
      <c r="C231" s="1" t="n">
        <v>45991</v>
      </c>
      <c r="D231" t="inlineStr">
        <is>
          <t>KALMAR LÄN</t>
        </is>
      </c>
      <c r="E231" t="inlineStr">
        <is>
          <t>VÄSTERVIK</t>
        </is>
      </c>
      <c r="F231" t="inlineStr">
        <is>
          <t>Sveaskog</t>
        </is>
      </c>
      <c r="G231" t="n">
        <v>4.2</v>
      </c>
      <c r="H231" t="n">
        <v>1</v>
      </c>
      <c r="I231" t="n">
        <v>0</v>
      </c>
      <c r="J231" t="n">
        <v>0</v>
      </c>
      <c r="K231" t="n">
        <v>0</v>
      </c>
      <c r="L231" t="n">
        <v>0</v>
      </c>
      <c r="M231" t="n">
        <v>0</v>
      </c>
      <c r="N231" t="n">
        <v>0</v>
      </c>
      <c r="O231" t="n">
        <v>0</v>
      </c>
      <c r="P231" t="n">
        <v>0</v>
      </c>
      <c r="Q231" t="n">
        <v>1</v>
      </c>
      <c r="R231" s="2" t="inlineStr">
        <is>
          <t>Blåsippa</t>
        </is>
      </c>
      <c r="S231">
        <f>HYPERLINK("https://klasma.github.io/Logging_0883/artfynd/A 54859-2025 artfynd.xlsx", "A 54859-2025")</f>
        <v/>
      </c>
      <c r="T231">
        <f>HYPERLINK("https://klasma.github.io/Logging_0883/kartor/A 54859-2025 karta.png", "A 54859-2025")</f>
        <v/>
      </c>
      <c r="V231">
        <f>HYPERLINK("https://klasma.github.io/Logging_0883/klagomål/A 54859-2025 FSC-klagomål.docx", "A 54859-2025")</f>
        <v/>
      </c>
      <c r="W231">
        <f>HYPERLINK("https://klasma.github.io/Logging_0883/klagomålsmail/A 54859-2025 FSC-klagomål mail.docx", "A 54859-2025")</f>
        <v/>
      </c>
      <c r="X231">
        <f>HYPERLINK("https://klasma.github.io/Logging_0883/tillsyn/A 54859-2025 tillsynsbegäran.docx", "A 54859-2025")</f>
        <v/>
      </c>
      <c r="Y231">
        <f>HYPERLINK("https://klasma.github.io/Logging_0883/tillsynsmail/A 54859-2025 tillsynsbegäran mail.docx", "A 54859-2025")</f>
        <v/>
      </c>
    </row>
    <row r="232" ht="15" customHeight="1">
      <c r="A232" t="inlineStr">
        <is>
          <t>A 55616-2024</t>
        </is>
      </c>
      <c r="B232" s="1" t="n">
        <v>45622.5916087963</v>
      </c>
      <c r="C232" s="1" t="n">
        <v>45991</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1370-2024</t>
        </is>
      </c>
      <c r="B233" s="1" t="n">
        <v>45303</v>
      </c>
      <c r="C233" s="1" t="n">
        <v>45991</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56001-2025</t>
        </is>
      </c>
      <c r="B234" s="1" t="n">
        <v>45973.57685185185</v>
      </c>
      <c r="C234" s="1" t="n">
        <v>45991</v>
      </c>
      <c r="D234" t="inlineStr">
        <is>
          <t>KALMAR LÄN</t>
        </is>
      </c>
      <c r="E234" t="inlineStr">
        <is>
          <t>VÄSTERVIK</t>
        </is>
      </c>
      <c r="G234" t="n">
        <v>2.7</v>
      </c>
      <c r="H234" t="n">
        <v>1</v>
      </c>
      <c r="I234" t="n">
        <v>0</v>
      </c>
      <c r="J234" t="n">
        <v>0</v>
      </c>
      <c r="K234" t="n">
        <v>0</v>
      </c>
      <c r="L234" t="n">
        <v>0</v>
      </c>
      <c r="M234" t="n">
        <v>0</v>
      </c>
      <c r="N234" t="n">
        <v>0</v>
      </c>
      <c r="O234" t="n">
        <v>0</v>
      </c>
      <c r="P234" t="n">
        <v>0</v>
      </c>
      <c r="Q234" t="n">
        <v>1</v>
      </c>
      <c r="R234" s="2" t="inlineStr">
        <is>
          <t>Gullviva</t>
        </is>
      </c>
      <c r="S234">
        <f>HYPERLINK("https://klasma.github.io/Logging_0883/artfynd/A 56001-2025 artfynd.xlsx", "A 56001-2025")</f>
        <v/>
      </c>
      <c r="T234">
        <f>HYPERLINK("https://klasma.github.io/Logging_0883/kartor/A 56001-2025 karta.png", "A 56001-2025")</f>
        <v/>
      </c>
      <c r="V234">
        <f>HYPERLINK("https://klasma.github.io/Logging_0883/klagomål/A 56001-2025 FSC-klagomål.docx", "A 56001-2025")</f>
        <v/>
      </c>
      <c r="W234">
        <f>HYPERLINK("https://klasma.github.io/Logging_0883/klagomålsmail/A 56001-2025 FSC-klagomål mail.docx", "A 56001-2025")</f>
        <v/>
      </c>
      <c r="X234">
        <f>HYPERLINK("https://klasma.github.io/Logging_0883/tillsyn/A 56001-2025 tillsynsbegäran.docx", "A 56001-2025")</f>
        <v/>
      </c>
      <c r="Y234">
        <f>HYPERLINK("https://klasma.github.io/Logging_0883/tillsynsmail/A 56001-2025 tillsynsbegäran mail.docx", "A 56001-2025")</f>
        <v/>
      </c>
    </row>
    <row r="235" ht="15" customHeight="1">
      <c r="A235" t="inlineStr">
        <is>
          <t>A 55142-2025</t>
        </is>
      </c>
      <c r="B235" s="1" t="n">
        <v>45968</v>
      </c>
      <c r="C235" s="1" t="n">
        <v>45991</v>
      </c>
      <c r="D235" t="inlineStr">
        <is>
          <t>KALMAR LÄN</t>
        </is>
      </c>
      <c r="E235" t="inlineStr">
        <is>
          <t>VÄSTERVIK</t>
        </is>
      </c>
      <c r="G235" t="n">
        <v>1.3</v>
      </c>
      <c r="H235" t="n">
        <v>0</v>
      </c>
      <c r="I235" t="n">
        <v>1</v>
      </c>
      <c r="J235" t="n">
        <v>0</v>
      </c>
      <c r="K235" t="n">
        <v>0</v>
      </c>
      <c r="L235" t="n">
        <v>0</v>
      </c>
      <c r="M235" t="n">
        <v>0</v>
      </c>
      <c r="N235" t="n">
        <v>0</v>
      </c>
      <c r="O235" t="n">
        <v>0</v>
      </c>
      <c r="P235" t="n">
        <v>0</v>
      </c>
      <c r="Q235" t="n">
        <v>1</v>
      </c>
      <c r="R235" s="2" t="inlineStr">
        <is>
          <t>Hasselticka</t>
        </is>
      </c>
      <c r="S235">
        <f>HYPERLINK("https://klasma.github.io/Logging_0883/artfynd/A 55142-2025 artfynd.xlsx", "A 55142-2025")</f>
        <v/>
      </c>
      <c r="T235">
        <f>HYPERLINK("https://klasma.github.io/Logging_0883/kartor/A 55142-2025 karta.png", "A 55142-2025")</f>
        <v/>
      </c>
      <c r="V235">
        <f>HYPERLINK("https://klasma.github.io/Logging_0883/klagomål/A 55142-2025 FSC-klagomål.docx", "A 55142-2025")</f>
        <v/>
      </c>
      <c r="W235">
        <f>HYPERLINK("https://klasma.github.io/Logging_0883/klagomålsmail/A 55142-2025 FSC-klagomål mail.docx", "A 55142-2025")</f>
        <v/>
      </c>
      <c r="X235">
        <f>HYPERLINK("https://klasma.github.io/Logging_0883/tillsyn/A 55142-2025 tillsynsbegäran.docx", "A 55142-2025")</f>
        <v/>
      </c>
      <c r="Y235">
        <f>HYPERLINK("https://klasma.github.io/Logging_0883/tillsynsmail/A 55142-2025 tillsynsbegäran mail.docx", "A 55142-2025")</f>
        <v/>
      </c>
    </row>
    <row r="236" ht="15" customHeight="1">
      <c r="A236" t="inlineStr">
        <is>
          <t>A 59368-2023</t>
        </is>
      </c>
      <c r="B236" s="1" t="n">
        <v>45253</v>
      </c>
      <c r="C236" s="1" t="n">
        <v>45991</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59368-2023 artfynd.xlsx", "A 59368-2023")</f>
        <v/>
      </c>
      <c r="T236">
        <f>HYPERLINK("https://klasma.github.io/Logging_0883/kartor/A 59368-2023 karta.png", "A 59368-2023")</f>
        <v/>
      </c>
      <c r="U236">
        <f>HYPERLINK("https://klasma.github.io/Logging_0883/knärot/A 59368-2023 karta knärot.png", "A 59368-2023")</f>
        <v/>
      </c>
      <c r="V236">
        <f>HYPERLINK("https://klasma.github.io/Logging_0883/klagomål/A 59368-2023 FSC-klagomål.docx", "A 59368-2023")</f>
        <v/>
      </c>
      <c r="W236">
        <f>HYPERLINK("https://klasma.github.io/Logging_0883/klagomålsmail/A 59368-2023 FSC-klagomål mail.docx", "A 59368-2023")</f>
        <v/>
      </c>
      <c r="X236">
        <f>HYPERLINK("https://klasma.github.io/Logging_0883/tillsyn/A 59368-2023 tillsynsbegäran.docx", "A 59368-2023")</f>
        <v/>
      </c>
      <c r="Y236">
        <f>HYPERLINK("https://klasma.github.io/Logging_0883/tillsynsmail/A 59368-2023 tillsynsbegäran mail.docx", "A 59368-2023")</f>
        <v/>
      </c>
    </row>
    <row r="237" ht="15" customHeight="1">
      <c r="A237" t="inlineStr">
        <is>
          <t>A 11165-2024</t>
        </is>
      </c>
      <c r="B237" s="1" t="n">
        <v>45371</v>
      </c>
      <c r="C237" s="1" t="n">
        <v>45991</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48897-2025</t>
        </is>
      </c>
      <c r="B238" s="1" t="n">
        <v>45937.47533564815</v>
      </c>
      <c r="C238" s="1" t="n">
        <v>45991</v>
      </c>
      <c r="D238" t="inlineStr">
        <is>
          <t>KALMAR LÄN</t>
        </is>
      </c>
      <c r="E238" t="inlineStr">
        <is>
          <t>VÄSTERVIK</t>
        </is>
      </c>
      <c r="F238" t="inlineStr">
        <is>
          <t>Sveaskog</t>
        </is>
      </c>
      <c r="G238" t="n">
        <v>4.9</v>
      </c>
      <c r="H238" t="n">
        <v>1</v>
      </c>
      <c r="I238" t="n">
        <v>0</v>
      </c>
      <c r="J238" t="n">
        <v>0</v>
      </c>
      <c r="K238" t="n">
        <v>0</v>
      </c>
      <c r="L238" t="n">
        <v>0</v>
      </c>
      <c r="M238" t="n">
        <v>0</v>
      </c>
      <c r="N238" t="n">
        <v>0</v>
      </c>
      <c r="O238" t="n">
        <v>0</v>
      </c>
      <c r="P238" t="n">
        <v>0</v>
      </c>
      <c r="Q238" t="n">
        <v>1</v>
      </c>
      <c r="R238" s="2" t="inlineStr">
        <is>
          <t>Blåsippa</t>
        </is>
      </c>
      <c r="S238">
        <f>HYPERLINK("https://klasma.github.io/Logging_0883/artfynd/A 48897-2025 artfynd.xlsx", "A 48897-2025")</f>
        <v/>
      </c>
      <c r="T238">
        <f>HYPERLINK("https://klasma.github.io/Logging_0883/kartor/A 48897-2025 karta.png", "A 48897-2025")</f>
        <v/>
      </c>
      <c r="V238">
        <f>HYPERLINK("https://klasma.github.io/Logging_0883/klagomål/A 48897-2025 FSC-klagomål.docx", "A 48897-2025")</f>
        <v/>
      </c>
      <c r="W238">
        <f>HYPERLINK("https://klasma.github.io/Logging_0883/klagomålsmail/A 48897-2025 FSC-klagomål mail.docx", "A 48897-2025")</f>
        <v/>
      </c>
      <c r="X238">
        <f>HYPERLINK("https://klasma.github.io/Logging_0883/tillsyn/A 48897-2025 tillsynsbegäran.docx", "A 48897-2025")</f>
        <v/>
      </c>
      <c r="Y238">
        <f>HYPERLINK("https://klasma.github.io/Logging_0883/tillsynsmail/A 48897-2025 tillsynsbegäran mail.docx", "A 48897-2025")</f>
        <v/>
      </c>
    </row>
    <row r="239" ht="15" customHeight="1">
      <c r="A239" t="inlineStr">
        <is>
          <t>A 975-2023</t>
        </is>
      </c>
      <c r="B239" s="1" t="n">
        <v>44935</v>
      </c>
      <c r="C239" s="1" t="n">
        <v>45991</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Läderbagge</t>
        </is>
      </c>
      <c r="S239">
        <f>HYPERLINK("https://klasma.github.io/Logging_0883/artfynd/A 975-2023 artfynd.xlsx", "A 975-2023")</f>
        <v/>
      </c>
      <c r="T239">
        <f>HYPERLINK("https://klasma.github.io/Logging_0883/kartor/A 975-2023 karta.png", "A 975-2023")</f>
        <v/>
      </c>
      <c r="V239">
        <f>HYPERLINK("https://klasma.github.io/Logging_0883/klagomål/A 975-2023 FSC-klagomål.docx", "A 975-2023")</f>
        <v/>
      </c>
      <c r="W239">
        <f>HYPERLINK("https://klasma.github.io/Logging_0883/klagomålsmail/A 975-2023 FSC-klagomål mail.docx", "A 975-2023")</f>
        <v/>
      </c>
      <c r="X239">
        <f>HYPERLINK("https://klasma.github.io/Logging_0883/tillsyn/A 975-2023 tillsynsbegäran.docx", "A 975-2023")</f>
        <v/>
      </c>
      <c r="Y239">
        <f>HYPERLINK("https://klasma.github.io/Logging_0883/tillsynsmail/A 975-2023 tillsynsbegäran mail.docx", "A 975-2023")</f>
        <v/>
      </c>
    </row>
    <row r="240" ht="15" customHeight="1">
      <c r="A240" t="inlineStr">
        <is>
          <t>A 54272-2023</t>
        </is>
      </c>
      <c r="B240" s="1" t="n">
        <v>45232</v>
      </c>
      <c r="C240" s="1" t="n">
        <v>45991</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58172-2025</t>
        </is>
      </c>
      <c r="B241" s="1" t="n">
        <v>45982</v>
      </c>
      <c r="C241" s="1" t="n">
        <v>45991</v>
      </c>
      <c r="D241" t="inlineStr">
        <is>
          <t>KALMAR LÄN</t>
        </is>
      </c>
      <c r="E241" t="inlineStr">
        <is>
          <t>VÄSTERVIK</t>
        </is>
      </c>
      <c r="G241" t="n">
        <v>4.6</v>
      </c>
      <c r="H241" t="n">
        <v>0</v>
      </c>
      <c r="I241" t="n">
        <v>0</v>
      </c>
      <c r="J241" t="n">
        <v>1</v>
      </c>
      <c r="K241" t="n">
        <v>0</v>
      </c>
      <c r="L241" t="n">
        <v>0</v>
      </c>
      <c r="M241" t="n">
        <v>0</v>
      </c>
      <c r="N241" t="n">
        <v>0</v>
      </c>
      <c r="O241" t="n">
        <v>1</v>
      </c>
      <c r="P241" t="n">
        <v>0</v>
      </c>
      <c r="Q241" t="n">
        <v>1</v>
      </c>
      <c r="R241" s="2" t="inlineStr">
        <is>
          <t>Vippärt</t>
        </is>
      </c>
      <c r="S241">
        <f>HYPERLINK("https://klasma.github.io/Logging_0883/artfynd/A 58172-2025 artfynd.xlsx", "A 58172-2025")</f>
        <v/>
      </c>
      <c r="T241">
        <f>HYPERLINK("https://klasma.github.io/Logging_0883/kartor/A 58172-2025 karta.png", "A 58172-2025")</f>
        <v/>
      </c>
      <c r="V241">
        <f>HYPERLINK("https://klasma.github.io/Logging_0883/klagomål/A 58172-2025 FSC-klagomål.docx", "A 58172-2025")</f>
        <v/>
      </c>
      <c r="W241">
        <f>HYPERLINK("https://klasma.github.io/Logging_0883/klagomålsmail/A 58172-2025 FSC-klagomål mail.docx", "A 58172-2025")</f>
        <v/>
      </c>
      <c r="X241">
        <f>HYPERLINK("https://klasma.github.io/Logging_0883/tillsyn/A 58172-2025 tillsynsbegäran.docx", "A 58172-2025")</f>
        <v/>
      </c>
      <c r="Y241">
        <f>HYPERLINK("https://klasma.github.io/Logging_0883/tillsynsmail/A 58172-2025 tillsynsbegäran mail.docx", "A 58172-2025")</f>
        <v/>
      </c>
    </row>
    <row r="242" ht="15" customHeight="1">
      <c r="A242" t="inlineStr">
        <is>
          <t>A 50172-2025</t>
        </is>
      </c>
      <c r="B242" s="1" t="n">
        <v>45943.60153935185</v>
      </c>
      <c r="C242" s="1" t="n">
        <v>45991</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Dropptaggsvamp</t>
        </is>
      </c>
      <c r="S242">
        <f>HYPERLINK("https://klasma.github.io/Logging_0883/artfynd/A 50172-2025 artfynd.xlsx", "A 50172-2025")</f>
        <v/>
      </c>
      <c r="T242">
        <f>HYPERLINK("https://klasma.github.io/Logging_0883/kartor/A 50172-2025 karta.png", "A 50172-2025")</f>
        <v/>
      </c>
      <c r="V242">
        <f>HYPERLINK("https://klasma.github.io/Logging_0883/klagomål/A 50172-2025 FSC-klagomål.docx", "A 50172-2025")</f>
        <v/>
      </c>
      <c r="W242">
        <f>HYPERLINK("https://klasma.github.io/Logging_0883/klagomålsmail/A 50172-2025 FSC-klagomål mail.docx", "A 50172-2025")</f>
        <v/>
      </c>
      <c r="X242">
        <f>HYPERLINK("https://klasma.github.io/Logging_0883/tillsyn/A 50172-2025 tillsynsbegäran.docx", "A 50172-2025")</f>
        <v/>
      </c>
      <c r="Y242">
        <f>HYPERLINK("https://klasma.github.io/Logging_0883/tillsynsmail/A 50172-2025 tillsynsbegäran mail.docx", "A 50172-2025")</f>
        <v/>
      </c>
    </row>
    <row r="243" ht="15" customHeight="1">
      <c r="A243" t="inlineStr">
        <is>
          <t>A 35028-2024</t>
        </is>
      </c>
      <c r="B243" s="1" t="n">
        <v>45527.60524305556</v>
      </c>
      <c r="C243" s="1" t="n">
        <v>45991</v>
      </c>
      <c r="D243" t="inlineStr">
        <is>
          <t>KALMAR LÄN</t>
        </is>
      </c>
      <c r="E243" t="inlineStr">
        <is>
          <t>VÄSTERVIK</t>
        </is>
      </c>
      <c r="G243" t="n">
        <v>1.3</v>
      </c>
      <c r="H243" t="n">
        <v>0</v>
      </c>
      <c r="I243" t="n">
        <v>1</v>
      </c>
      <c r="J243" t="n">
        <v>0</v>
      </c>
      <c r="K243" t="n">
        <v>0</v>
      </c>
      <c r="L243" t="n">
        <v>0</v>
      </c>
      <c r="M243" t="n">
        <v>0</v>
      </c>
      <c r="N243" t="n">
        <v>0</v>
      </c>
      <c r="O243" t="n">
        <v>0</v>
      </c>
      <c r="P243" t="n">
        <v>0</v>
      </c>
      <c r="Q243" t="n">
        <v>1</v>
      </c>
      <c r="R243" s="2" t="inlineStr">
        <is>
          <t>Blomkålssvamp</t>
        </is>
      </c>
      <c r="S243">
        <f>HYPERLINK("https://klasma.github.io/Logging_0883/artfynd/A 35028-2024 artfynd.xlsx", "A 35028-2024")</f>
        <v/>
      </c>
      <c r="T243">
        <f>HYPERLINK("https://klasma.github.io/Logging_0883/kartor/A 35028-2024 karta.png", "A 35028-2024")</f>
        <v/>
      </c>
      <c r="V243">
        <f>HYPERLINK("https://klasma.github.io/Logging_0883/klagomål/A 35028-2024 FSC-klagomål.docx", "A 35028-2024")</f>
        <v/>
      </c>
      <c r="W243">
        <f>HYPERLINK("https://klasma.github.io/Logging_0883/klagomålsmail/A 35028-2024 FSC-klagomål mail.docx", "A 35028-2024")</f>
        <v/>
      </c>
      <c r="X243">
        <f>HYPERLINK("https://klasma.github.io/Logging_0883/tillsyn/A 35028-2024 tillsynsbegäran.docx", "A 35028-2024")</f>
        <v/>
      </c>
      <c r="Y243">
        <f>HYPERLINK("https://klasma.github.io/Logging_0883/tillsynsmail/A 35028-2024 tillsynsbegäran mail.docx", "A 35028-2024")</f>
        <v/>
      </c>
    </row>
    <row r="244" ht="15" customHeight="1">
      <c r="A244" t="inlineStr">
        <is>
          <t>A 16695-2025</t>
        </is>
      </c>
      <c r="B244" s="1" t="n">
        <v>45754.46579861111</v>
      </c>
      <c r="C244" s="1" t="n">
        <v>45991</v>
      </c>
      <c r="D244" t="inlineStr">
        <is>
          <t>KALMAR LÄN</t>
        </is>
      </c>
      <c r="E244" t="inlineStr">
        <is>
          <t>VÄSTERVIK</t>
        </is>
      </c>
      <c r="F244" t="inlineStr">
        <is>
          <t>Sveaskog</t>
        </is>
      </c>
      <c r="G244" t="n">
        <v>1.8</v>
      </c>
      <c r="H244" t="n">
        <v>1</v>
      </c>
      <c r="I244" t="n">
        <v>0</v>
      </c>
      <c r="J244" t="n">
        <v>0</v>
      </c>
      <c r="K244" t="n">
        <v>0</v>
      </c>
      <c r="L244" t="n">
        <v>0</v>
      </c>
      <c r="M244" t="n">
        <v>0</v>
      </c>
      <c r="N244" t="n">
        <v>0</v>
      </c>
      <c r="O244" t="n">
        <v>0</v>
      </c>
      <c r="P244" t="n">
        <v>0</v>
      </c>
      <c r="Q244" t="n">
        <v>1</v>
      </c>
      <c r="R244" s="2" t="inlineStr">
        <is>
          <t>Kungsfågel</t>
        </is>
      </c>
      <c r="S244">
        <f>HYPERLINK("https://klasma.github.io/Logging_0883/artfynd/A 16695-2025 artfynd.xlsx", "A 16695-2025")</f>
        <v/>
      </c>
      <c r="T244">
        <f>HYPERLINK("https://klasma.github.io/Logging_0883/kartor/A 16695-2025 karta.png", "A 16695-2025")</f>
        <v/>
      </c>
      <c r="V244">
        <f>HYPERLINK("https://klasma.github.io/Logging_0883/klagomål/A 16695-2025 FSC-klagomål.docx", "A 16695-2025")</f>
        <v/>
      </c>
      <c r="W244">
        <f>HYPERLINK("https://klasma.github.io/Logging_0883/klagomålsmail/A 16695-2025 FSC-klagomål mail.docx", "A 16695-2025")</f>
        <v/>
      </c>
      <c r="X244">
        <f>HYPERLINK("https://klasma.github.io/Logging_0883/tillsyn/A 16695-2025 tillsynsbegäran.docx", "A 16695-2025")</f>
        <v/>
      </c>
      <c r="Y244">
        <f>HYPERLINK("https://klasma.github.io/Logging_0883/tillsynsmail/A 16695-2025 tillsynsbegäran mail.docx", "A 16695-2025")</f>
        <v/>
      </c>
      <c r="Z244">
        <f>HYPERLINK("https://klasma.github.io/Logging_0883/fåglar/A 16695-2025 prioriterade fågelarter.docx", "A 16695-2025")</f>
        <v/>
      </c>
    </row>
    <row r="245" ht="15" customHeight="1">
      <c r="A245" t="inlineStr">
        <is>
          <t>A 16697-2025</t>
        </is>
      </c>
      <c r="B245" s="1" t="n">
        <v>45754.46709490741</v>
      </c>
      <c r="C245" s="1" t="n">
        <v>45991</v>
      </c>
      <c r="D245" t="inlineStr">
        <is>
          <t>KALMAR LÄN</t>
        </is>
      </c>
      <c r="E245" t="inlineStr">
        <is>
          <t>VÄSTERVIK</t>
        </is>
      </c>
      <c r="F245" t="inlineStr">
        <is>
          <t>Sveaskog</t>
        </is>
      </c>
      <c r="G245" t="n">
        <v>1.3</v>
      </c>
      <c r="H245" t="n">
        <v>1</v>
      </c>
      <c r="I245" t="n">
        <v>0</v>
      </c>
      <c r="J245" t="n">
        <v>1</v>
      </c>
      <c r="K245" t="n">
        <v>0</v>
      </c>
      <c r="L245" t="n">
        <v>0</v>
      </c>
      <c r="M245" t="n">
        <v>0</v>
      </c>
      <c r="N245" t="n">
        <v>0</v>
      </c>
      <c r="O245" t="n">
        <v>1</v>
      </c>
      <c r="P245" t="n">
        <v>0</v>
      </c>
      <c r="Q245" t="n">
        <v>1</v>
      </c>
      <c r="R245" s="2" t="inlineStr">
        <is>
          <t>Spillkråka</t>
        </is>
      </c>
      <c r="S245">
        <f>HYPERLINK("https://klasma.github.io/Logging_0883/artfynd/A 16697-2025 artfynd.xlsx", "A 16697-2025")</f>
        <v/>
      </c>
      <c r="T245">
        <f>HYPERLINK("https://klasma.github.io/Logging_0883/kartor/A 16697-2025 karta.png", "A 16697-2025")</f>
        <v/>
      </c>
      <c r="V245">
        <f>HYPERLINK("https://klasma.github.io/Logging_0883/klagomål/A 16697-2025 FSC-klagomål.docx", "A 16697-2025")</f>
        <v/>
      </c>
      <c r="W245">
        <f>HYPERLINK("https://klasma.github.io/Logging_0883/klagomålsmail/A 16697-2025 FSC-klagomål mail.docx", "A 16697-2025")</f>
        <v/>
      </c>
      <c r="X245">
        <f>HYPERLINK("https://klasma.github.io/Logging_0883/tillsyn/A 16697-2025 tillsynsbegäran.docx", "A 16697-2025")</f>
        <v/>
      </c>
      <c r="Y245">
        <f>HYPERLINK("https://klasma.github.io/Logging_0883/tillsynsmail/A 16697-2025 tillsynsbegäran mail.docx", "A 16697-2025")</f>
        <v/>
      </c>
      <c r="Z245">
        <f>HYPERLINK("https://klasma.github.io/Logging_0883/fåglar/A 16697-2025 prioriterade fågelarter.docx", "A 16697-2025")</f>
        <v/>
      </c>
    </row>
    <row r="246" ht="15" customHeight="1">
      <c r="A246" t="inlineStr">
        <is>
          <t>A 12662-2022</t>
        </is>
      </c>
      <c r="B246" s="1" t="n">
        <v>44641</v>
      </c>
      <c r="C246" s="1" t="n">
        <v>45991</v>
      </c>
      <c r="D246" t="inlineStr">
        <is>
          <t>KALMAR LÄN</t>
        </is>
      </c>
      <c r="E246" t="inlineStr">
        <is>
          <t>VÄSTERVIK</t>
        </is>
      </c>
      <c r="G246" t="n">
        <v>2.1</v>
      </c>
      <c r="H246" t="n">
        <v>0</v>
      </c>
      <c r="I246" t="n">
        <v>1</v>
      </c>
      <c r="J246" t="n">
        <v>0</v>
      </c>
      <c r="K246" t="n">
        <v>0</v>
      </c>
      <c r="L246" t="n">
        <v>0</v>
      </c>
      <c r="M246" t="n">
        <v>0</v>
      </c>
      <c r="N246" t="n">
        <v>0</v>
      </c>
      <c r="O246" t="n">
        <v>0</v>
      </c>
      <c r="P246" t="n">
        <v>0</v>
      </c>
      <c r="Q246" t="n">
        <v>1</v>
      </c>
      <c r="R246" s="2" t="inlineStr">
        <is>
          <t>Blåmossa</t>
        </is>
      </c>
      <c r="S246">
        <f>HYPERLINK("https://klasma.github.io/Logging_0883/artfynd/A 12662-2022 artfynd.xlsx", "A 12662-2022")</f>
        <v/>
      </c>
      <c r="T246">
        <f>HYPERLINK("https://klasma.github.io/Logging_0883/kartor/A 12662-2022 karta.png", "A 12662-2022")</f>
        <v/>
      </c>
      <c r="V246">
        <f>HYPERLINK("https://klasma.github.io/Logging_0883/klagomål/A 12662-2022 FSC-klagomål.docx", "A 12662-2022")</f>
        <v/>
      </c>
      <c r="W246">
        <f>HYPERLINK("https://klasma.github.io/Logging_0883/klagomålsmail/A 12662-2022 FSC-klagomål mail.docx", "A 12662-2022")</f>
        <v/>
      </c>
      <c r="X246">
        <f>HYPERLINK("https://klasma.github.io/Logging_0883/tillsyn/A 12662-2022 tillsynsbegäran.docx", "A 12662-2022")</f>
        <v/>
      </c>
      <c r="Y246">
        <f>HYPERLINK("https://klasma.github.io/Logging_0883/tillsynsmail/A 12662-2022 tillsynsbegäran mail.docx", "A 12662-2022")</f>
        <v/>
      </c>
    </row>
    <row r="247" ht="15" customHeight="1">
      <c r="A247" t="inlineStr">
        <is>
          <t>A 46559-2022</t>
        </is>
      </c>
      <c r="B247" s="1" t="n">
        <v>44848</v>
      </c>
      <c r="C247" s="1" t="n">
        <v>45991</v>
      </c>
      <c r="D247" t="inlineStr">
        <is>
          <t>KALMAR LÄN</t>
        </is>
      </c>
      <c r="E247" t="inlineStr">
        <is>
          <t>VÄSTERVIK</t>
        </is>
      </c>
      <c r="F247" t="inlineStr">
        <is>
          <t>Sveaskog</t>
        </is>
      </c>
      <c r="G247" t="n">
        <v>2.2</v>
      </c>
      <c r="H247" t="n">
        <v>1</v>
      </c>
      <c r="I247" t="n">
        <v>0</v>
      </c>
      <c r="J247" t="n">
        <v>0</v>
      </c>
      <c r="K247" t="n">
        <v>0</v>
      </c>
      <c r="L247" t="n">
        <v>0</v>
      </c>
      <c r="M247" t="n">
        <v>0</v>
      </c>
      <c r="N247" t="n">
        <v>0</v>
      </c>
      <c r="O247" t="n">
        <v>0</v>
      </c>
      <c r="P247" t="n">
        <v>0</v>
      </c>
      <c r="Q247" t="n">
        <v>1</v>
      </c>
      <c r="R247" s="2" t="inlineStr">
        <is>
          <t>Blåsippa</t>
        </is>
      </c>
      <c r="S247">
        <f>HYPERLINK("https://klasma.github.io/Logging_0883/artfynd/A 46559-2022 artfynd.xlsx", "A 46559-2022")</f>
        <v/>
      </c>
      <c r="T247">
        <f>HYPERLINK("https://klasma.github.io/Logging_0883/kartor/A 46559-2022 karta.png", "A 46559-2022")</f>
        <v/>
      </c>
      <c r="V247">
        <f>HYPERLINK("https://klasma.github.io/Logging_0883/klagomål/A 46559-2022 FSC-klagomål.docx", "A 46559-2022")</f>
        <v/>
      </c>
      <c r="W247">
        <f>HYPERLINK("https://klasma.github.io/Logging_0883/klagomålsmail/A 46559-2022 FSC-klagomål mail.docx", "A 46559-2022")</f>
        <v/>
      </c>
      <c r="X247">
        <f>HYPERLINK("https://klasma.github.io/Logging_0883/tillsyn/A 46559-2022 tillsynsbegäran.docx", "A 46559-2022")</f>
        <v/>
      </c>
      <c r="Y247">
        <f>HYPERLINK("https://klasma.github.io/Logging_0883/tillsynsmail/A 46559-2022 tillsynsbegäran mail.docx", "A 46559-2022")</f>
        <v/>
      </c>
    </row>
    <row r="248" ht="15" customHeight="1">
      <c r="A248" t="inlineStr">
        <is>
          <t>A 9265-2025</t>
        </is>
      </c>
      <c r="B248" s="1" t="n">
        <v>45714.61153935185</v>
      </c>
      <c r="C248" s="1" t="n">
        <v>45991</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17952-2025</t>
        </is>
      </c>
      <c r="B249" s="1" t="n">
        <v>45760.85842592592</v>
      </c>
      <c r="C249" s="1" t="n">
        <v>45991</v>
      </c>
      <c r="D249" t="inlineStr">
        <is>
          <t>KALMAR LÄN</t>
        </is>
      </c>
      <c r="E249" t="inlineStr">
        <is>
          <t>VÄSTERVIK</t>
        </is>
      </c>
      <c r="G249" t="n">
        <v>3.3</v>
      </c>
      <c r="H249" t="n">
        <v>1</v>
      </c>
      <c r="I249" t="n">
        <v>0</v>
      </c>
      <c r="J249" t="n">
        <v>0</v>
      </c>
      <c r="K249" t="n">
        <v>0</v>
      </c>
      <c r="L249" t="n">
        <v>0</v>
      </c>
      <c r="M249" t="n">
        <v>0</v>
      </c>
      <c r="N249" t="n">
        <v>0</v>
      </c>
      <c r="O249" t="n">
        <v>0</v>
      </c>
      <c r="P249" t="n">
        <v>0</v>
      </c>
      <c r="Q249" t="n">
        <v>1</v>
      </c>
      <c r="R249" s="2" t="inlineStr">
        <is>
          <t>Revlummer</t>
        </is>
      </c>
      <c r="S249">
        <f>HYPERLINK("https://klasma.github.io/Logging_0883/artfynd/A 17952-2025 artfynd.xlsx", "A 17952-2025")</f>
        <v/>
      </c>
      <c r="T249">
        <f>HYPERLINK("https://klasma.github.io/Logging_0883/kartor/A 17952-2025 karta.png", "A 17952-2025")</f>
        <v/>
      </c>
      <c r="V249">
        <f>HYPERLINK("https://klasma.github.io/Logging_0883/klagomål/A 17952-2025 FSC-klagomål.docx", "A 17952-2025")</f>
        <v/>
      </c>
      <c r="W249">
        <f>HYPERLINK("https://klasma.github.io/Logging_0883/klagomålsmail/A 17952-2025 FSC-klagomål mail.docx", "A 17952-2025")</f>
        <v/>
      </c>
      <c r="X249">
        <f>HYPERLINK("https://klasma.github.io/Logging_0883/tillsyn/A 17952-2025 tillsynsbegäran.docx", "A 17952-2025")</f>
        <v/>
      </c>
      <c r="Y249">
        <f>HYPERLINK("https://klasma.github.io/Logging_0883/tillsynsmail/A 17952-2025 tillsynsbegäran mail.docx", "A 17952-2025")</f>
        <v/>
      </c>
    </row>
    <row r="250" ht="15" customHeight="1">
      <c r="A250" t="inlineStr">
        <is>
          <t>A 32653-2023</t>
        </is>
      </c>
      <c r="B250" s="1" t="n">
        <v>45121</v>
      </c>
      <c r="C250" s="1" t="n">
        <v>45991</v>
      </c>
      <c r="D250" t="inlineStr">
        <is>
          <t>KALMAR LÄN</t>
        </is>
      </c>
      <c r="E250" t="inlineStr">
        <is>
          <t>VÄSTERVIK</t>
        </is>
      </c>
      <c r="G250" t="n">
        <v>1.4</v>
      </c>
      <c r="H250" t="n">
        <v>1</v>
      </c>
      <c r="I250" t="n">
        <v>0</v>
      </c>
      <c r="J250" t="n">
        <v>0</v>
      </c>
      <c r="K250" t="n">
        <v>1</v>
      </c>
      <c r="L250" t="n">
        <v>0</v>
      </c>
      <c r="M250" t="n">
        <v>0</v>
      </c>
      <c r="N250" t="n">
        <v>0</v>
      </c>
      <c r="O250" t="n">
        <v>1</v>
      </c>
      <c r="P250" t="n">
        <v>1</v>
      </c>
      <c r="Q250" t="n">
        <v>1</v>
      </c>
      <c r="R250" s="2" t="inlineStr">
        <is>
          <t>Knärot</t>
        </is>
      </c>
      <c r="S250">
        <f>HYPERLINK("https://klasma.github.io/Logging_0883/artfynd/A 32653-2023 artfynd.xlsx", "A 32653-2023")</f>
        <v/>
      </c>
      <c r="T250">
        <f>HYPERLINK("https://klasma.github.io/Logging_0883/kartor/A 32653-2023 karta.png", "A 32653-2023")</f>
        <v/>
      </c>
      <c r="U250">
        <f>HYPERLINK("https://klasma.github.io/Logging_0883/knärot/A 32653-2023 karta knärot.png", "A 32653-2023")</f>
        <v/>
      </c>
      <c r="V250">
        <f>HYPERLINK("https://klasma.github.io/Logging_0883/klagomål/A 32653-2023 FSC-klagomål.docx", "A 32653-2023")</f>
        <v/>
      </c>
      <c r="W250">
        <f>HYPERLINK("https://klasma.github.io/Logging_0883/klagomålsmail/A 32653-2023 FSC-klagomål mail.docx", "A 32653-2023")</f>
        <v/>
      </c>
      <c r="X250">
        <f>HYPERLINK("https://klasma.github.io/Logging_0883/tillsyn/A 32653-2023 tillsynsbegäran.docx", "A 32653-2023")</f>
        <v/>
      </c>
      <c r="Y250">
        <f>HYPERLINK("https://klasma.github.io/Logging_0883/tillsynsmail/A 32653-2023 tillsynsbegäran mail.docx", "A 32653-2023")</f>
        <v/>
      </c>
    </row>
    <row r="251" ht="15" customHeight="1">
      <c r="A251" t="inlineStr">
        <is>
          <t>A 6634-2025</t>
        </is>
      </c>
      <c r="B251" s="1" t="n">
        <v>45700.38141203704</v>
      </c>
      <c r="C251" s="1" t="n">
        <v>45991</v>
      </c>
      <c r="D251" t="inlineStr">
        <is>
          <t>KALMAR LÄN</t>
        </is>
      </c>
      <c r="E251" t="inlineStr">
        <is>
          <t>VÄSTERVIK</t>
        </is>
      </c>
      <c r="G251" t="n">
        <v>2.2</v>
      </c>
      <c r="H251" t="n">
        <v>0</v>
      </c>
      <c r="I251" t="n">
        <v>1</v>
      </c>
      <c r="J251" t="n">
        <v>0</v>
      </c>
      <c r="K251" t="n">
        <v>0</v>
      </c>
      <c r="L251" t="n">
        <v>0</v>
      </c>
      <c r="M251" t="n">
        <v>0</v>
      </c>
      <c r="N251" t="n">
        <v>0</v>
      </c>
      <c r="O251" t="n">
        <v>0</v>
      </c>
      <c r="P251" t="n">
        <v>0</v>
      </c>
      <c r="Q251" t="n">
        <v>1</v>
      </c>
      <c r="R251" s="2" t="inlineStr">
        <is>
          <t>Ögonpyrola</t>
        </is>
      </c>
      <c r="S251">
        <f>HYPERLINK("https://klasma.github.io/Logging_0883/artfynd/A 6634-2025 artfynd.xlsx", "A 6634-2025")</f>
        <v/>
      </c>
      <c r="T251">
        <f>HYPERLINK("https://klasma.github.io/Logging_0883/kartor/A 6634-2025 karta.png", "A 6634-2025")</f>
        <v/>
      </c>
      <c r="V251">
        <f>HYPERLINK("https://klasma.github.io/Logging_0883/klagomål/A 6634-2025 FSC-klagomål.docx", "A 6634-2025")</f>
        <v/>
      </c>
      <c r="W251">
        <f>HYPERLINK("https://klasma.github.io/Logging_0883/klagomålsmail/A 6634-2025 FSC-klagomål mail.docx", "A 6634-2025")</f>
        <v/>
      </c>
      <c r="X251">
        <f>HYPERLINK("https://klasma.github.io/Logging_0883/tillsyn/A 6634-2025 tillsynsbegäran.docx", "A 6634-2025")</f>
        <v/>
      </c>
      <c r="Y251">
        <f>HYPERLINK("https://klasma.github.io/Logging_0883/tillsynsmail/A 6634-2025 tillsynsbegäran mail.docx", "A 6634-2025")</f>
        <v/>
      </c>
    </row>
    <row r="252" ht="15" customHeight="1">
      <c r="A252" t="inlineStr">
        <is>
          <t>A 14082-2025</t>
        </is>
      </c>
      <c r="B252" s="1" t="n">
        <v>45740.43934027778</v>
      </c>
      <c r="C252" s="1" t="n">
        <v>45991</v>
      </c>
      <c r="D252" t="inlineStr">
        <is>
          <t>KALMAR LÄN</t>
        </is>
      </c>
      <c r="E252" t="inlineStr">
        <is>
          <t>VÄSTERVIK</t>
        </is>
      </c>
      <c r="F252" t="inlineStr">
        <is>
          <t>Sveaskog</t>
        </is>
      </c>
      <c r="G252" t="n">
        <v>1.2</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HYPERLINK("https://klasma.github.io/Logging_0883/artfynd/A 14082-2025 artfynd.xlsx", "A 14082-2025")</f>
        <v/>
      </c>
      <c r="T252">
        <f>HYPERLINK("https://klasma.github.io/Logging_0883/kartor/A 14082-2025 karta.png", "A 14082-2025")</f>
        <v/>
      </c>
      <c r="V252">
        <f>HYPERLINK("https://klasma.github.io/Logging_0883/klagomål/A 14082-2025 FSC-klagomål.docx", "A 14082-2025")</f>
        <v/>
      </c>
      <c r="W252">
        <f>HYPERLINK("https://klasma.github.io/Logging_0883/klagomålsmail/A 14082-2025 FSC-klagomål mail.docx", "A 14082-2025")</f>
        <v/>
      </c>
      <c r="X252">
        <f>HYPERLINK("https://klasma.github.io/Logging_0883/tillsyn/A 14082-2025 tillsynsbegäran.docx", "A 14082-2025")</f>
        <v/>
      </c>
      <c r="Y252">
        <f>HYPERLINK("https://klasma.github.io/Logging_0883/tillsynsmail/A 14082-2025 tillsynsbegäran mail.docx", "A 14082-2025")</f>
        <v/>
      </c>
    </row>
    <row r="253" ht="15" customHeight="1">
      <c r="A253" t="inlineStr">
        <is>
          <t>A 59178-2022</t>
        </is>
      </c>
      <c r="B253" s="1" t="n">
        <v>44904</v>
      </c>
      <c r="C253" s="1" t="n">
        <v>45991</v>
      </c>
      <c r="D253" t="inlineStr">
        <is>
          <t>KALMAR LÄN</t>
        </is>
      </c>
      <c r="E253" t="inlineStr">
        <is>
          <t>VÄSTERVIK</t>
        </is>
      </c>
      <c r="G253" t="n">
        <v>3.3</v>
      </c>
      <c r="H253" t="n">
        <v>0</v>
      </c>
      <c r="I253" t="n">
        <v>0</v>
      </c>
      <c r="J253" t="n">
        <v>1</v>
      </c>
      <c r="K253" t="n">
        <v>0</v>
      </c>
      <c r="L253" t="n">
        <v>0</v>
      </c>
      <c r="M253" t="n">
        <v>0</v>
      </c>
      <c r="N253" t="n">
        <v>0</v>
      </c>
      <c r="O253" t="n">
        <v>1</v>
      </c>
      <c r="P253" t="n">
        <v>0</v>
      </c>
      <c r="Q253" t="n">
        <v>1</v>
      </c>
      <c r="R253" s="2" t="inlineStr">
        <is>
          <t>Tallticka</t>
        </is>
      </c>
      <c r="S253">
        <f>HYPERLINK("https://klasma.github.io/Logging_0883/artfynd/A 59178-2022 artfynd.xlsx", "A 59178-2022")</f>
        <v/>
      </c>
      <c r="T253">
        <f>HYPERLINK("https://klasma.github.io/Logging_0883/kartor/A 59178-2022 karta.png", "A 59178-2022")</f>
        <v/>
      </c>
      <c r="V253">
        <f>HYPERLINK("https://klasma.github.io/Logging_0883/klagomål/A 59178-2022 FSC-klagomål.docx", "A 59178-2022")</f>
        <v/>
      </c>
      <c r="W253">
        <f>HYPERLINK("https://klasma.github.io/Logging_0883/klagomålsmail/A 59178-2022 FSC-klagomål mail.docx", "A 59178-2022")</f>
        <v/>
      </c>
      <c r="X253">
        <f>HYPERLINK("https://klasma.github.io/Logging_0883/tillsyn/A 59178-2022 tillsynsbegäran.docx", "A 59178-2022")</f>
        <v/>
      </c>
      <c r="Y253">
        <f>HYPERLINK("https://klasma.github.io/Logging_0883/tillsynsmail/A 59178-2022 tillsynsbegäran mail.docx", "A 59178-2022")</f>
        <v/>
      </c>
    </row>
    <row r="254" ht="15" customHeight="1">
      <c r="A254" t="inlineStr">
        <is>
          <t>A 24048-2021</t>
        </is>
      </c>
      <c r="B254" s="1" t="n">
        <v>44336</v>
      </c>
      <c r="C254" s="1" t="n">
        <v>45991</v>
      </c>
      <c r="D254" t="inlineStr">
        <is>
          <t>KALMAR LÄN</t>
        </is>
      </c>
      <c r="E254" t="inlineStr">
        <is>
          <t>VÄSTERVIK</t>
        </is>
      </c>
      <c r="G254" t="n">
        <v>3.5</v>
      </c>
      <c r="H254" t="n">
        <v>1</v>
      </c>
      <c r="I254" t="n">
        <v>0</v>
      </c>
      <c r="J254" t="n">
        <v>0</v>
      </c>
      <c r="K254" t="n">
        <v>1</v>
      </c>
      <c r="L254" t="n">
        <v>0</v>
      </c>
      <c r="M254" t="n">
        <v>0</v>
      </c>
      <c r="N254" t="n">
        <v>0</v>
      </c>
      <c r="O254" t="n">
        <v>1</v>
      </c>
      <c r="P254" t="n">
        <v>1</v>
      </c>
      <c r="Q254" t="n">
        <v>1</v>
      </c>
      <c r="R254" s="2" t="inlineStr">
        <is>
          <t>Knärot</t>
        </is>
      </c>
      <c r="S254">
        <f>HYPERLINK("https://klasma.github.io/Logging_0883/artfynd/A 24048-2021 artfynd.xlsx", "A 24048-2021")</f>
        <v/>
      </c>
      <c r="T254">
        <f>HYPERLINK("https://klasma.github.io/Logging_0883/kartor/A 24048-2021 karta.png", "A 24048-2021")</f>
        <v/>
      </c>
      <c r="U254">
        <f>HYPERLINK("https://klasma.github.io/Logging_0883/knärot/A 24048-2021 karta knärot.png", "A 24048-2021")</f>
        <v/>
      </c>
      <c r="V254">
        <f>HYPERLINK("https://klasma.github.io/Logging_0883/klagomål/A 24048-2021 FSC-klagomål.docx", "A 24048-2021")</f>
        <v/>
      </c>
      <c r="W254">
        <f>HYPERLINK("https://klasma.github.io/Logging_0883/klagomålsmail/A 24048-2021 FSC-klagomål mail.docx", "A 24048-2021")</f>
        <v/>
      </c>
      <c r="X254">
        <f>HYPERLINK("https://klasma.github.io/Logging_0883/tillsyn/A 24048-2021 tillsynsbegäran.docx", "A 24048-2021")</f>
        <v/>
      </c>
      <c r="Y254">
        <f>HYPERLINK("https://klasma.github.io/Logging_0883/tillsynsmail/A 24048-2021 tillsynsbegäran mail.docx", "A 24048-2021")</f>
        <v/>
      </c>
    </row>
    <row r="255" ht="15" customHeight="1">
      <c r="A255" t="inlineStr">
        <is>
          <t>A 19900-2022</t>
        </is>
      </c>
      <c r="B255" s="1" t="n">
        <v>44697</v>
      </c>
      <c r="C255" s="1" t="n">
        <v>45991</v>
      </c>
      <c r="D255" t="inlineStr">
        <is>
          <t>KALMAR LÄN</t>
        </is>
      </c>
      <c r="E255" t="inlineStr">
        <is>
          <t>VÄSTERVIK</t>
        </is>
      </c>
      <c r="G255" t="n">
        <v>2.4</v>
      </c>
      <c r="H255" t="n">
        <v>1</v>
      </c>
      <c r="I255" t="n">
        <v>0</v>
      </c>
      <c r="J255" t="n">
        <v>0</v>
      </c>
      <c r="K255" t="n">
        <v>1</v>
      </c>
      <c r="L255" t="n">
        <v>0</v>
      </c>
      <c r="M255" t="n">
        <v>0</v>
      </c>
      <c r="N255" t="n">
        <v>0</v>
      </c>
      <c r="O255" t="n">
        <v>1</v>
      </c>
      <c r="P255" t="n">
        <v>1</v>
      </c>
      <c r="Q255" t="n">
        <v>1</v>
      </c>
      <c r="R255" s="2" t="inlineStr">
        <is>
          <t>Knärot</t>
        </is>
      </c>
      <c r="S255">
        <f>HYPERLINK("https://klasma.github.io/Logging_0883/artfynd/A 19900-2022 artfynd.xlsx", "A 19900-2022")</f>
        <v/>
      </c>
      <c r="T255">
        <f>HYPERLINK("https://klasma.github.io/Logging_0883/kartor/A 19900-2022 karta.png", "A 19900-2022")</f>
        <v/>
      </c>
      <c r="U255">
        <f>HYPERLINK("https://klasma.github.io/Logging_0883/knärot/A 19900-2022 karta knärot.png", "A 19900-2022")</f>
        <v/>
      </c>
      <c r="V255">
        <f>HYPERLINK("https://klasma.github.io/Logging_0883/klagomål/A 19900-2022 FSC-klagomål.docx", "A 19900-2022")</f>
        <v/>
      </c>
      <c r="W255">
        <f>HYPERLINK("https://klasma.github.io/Logging_0883/klagomålsmail/A 19900-2022 FSC-klagomål mail.docx", "A 19900-2022")</f>
        <v/>
      </c>
      <c r="X255">
        <f>HYPERLINK("https://klasma.github.io/Logging_0883/tillsyn/A 19900-2022 tillsynsbegäran.docx", "A 19900-2022")</f>
        <v/>
      </c>
      <c r="Y255">
        <f>HYPERLINK("https://klasma.github.io/Logging_0883/tillsynsmail/A 19900-2022 tillsynsbegäran mail.docx", "A 19900-2022")</f>
        <v/>
      </c>
    </row>
    <row r="256" ht="15" customHeight="1">
      <c r="A256" t="inlineStr">
        <is>
          <t>A 61319-2021</t>
        </is>
      </c>
      <c r="B256" s="1" t="n">
        <v>44498</v>
      </c>
      <c r="C256" s="1" t="n">
        <v>45991</v>
      </c>
      <c r="D256" t="inlineStr">
        <is>
          <t>KALMAR LÄN</t>
        </is>
      </c>
      <c r="E256" t="inlineStr">
        <is>
          <t>VÄSTERVIK</t>
        </is>
      </c>
      <c r="G256" t="n">
        <v>2.2</v>
      </c>
      <c r="H256" t="n">
        <v>1</v>
      </c>
      <c r="I256" t="n">
        <v>1</v>
      </c>
      <c r="J256" t="n">
        <v>0</v>
      </c>
      <c r="K256" t="n">
        <v>0</v>
      </c>
      <c r="L256" t="n">
        <v>0</v>
      </c>
      <c r="M256" t="n">
        <v>0</v>
      </c>
      <c r="N256" t="n">
        <v>0</v>
      </c>
      <c r="O256" t="n">
        <v>0</v>
      </c>
      <c r="P256" t="n">
        <v>0</v>
      </c>
      <c r="Q256" t="n">
        <v>1</v>
      </c>
      <c r="R256" s="2" t="inlineStr">
        <is>
          <t>Ekoxe</t>
        </is>
      </c>
      <c r="S256">
        <f>HYPERLINK("https://klasma.github.io/Logging_0883/artfynd/A 61319-2021 artfynd.xlsx", "A 61319-2021")</f>
        <v/>
      </c>
      <c r="T256">
        <f>HYPERLINK("https://klasma.github.io/Logging_0883/kartor/A 61319-2021 karta.png", "A 61319-2021")</f>
        <v/>
      </c>
      <c r="V256">
        <f>HYPERLINK("https://klasma.github.io/Logging_0883/klagomål/A 61319-2021 FSC-klagomål.docx", "A 61319-2021")</f>
        <v/>
      </c>
      <c r="W256">
        <f>HYPERLINK("https://klasma.github.io/Logging_0883/klagomålsmail/A 61319-2021 FSC-klagomål mail.docx", "A 61319-2021")</f>
        <v/>
      </c>
      <c r="X256">
        <f>HYPERLINK("https://klasma.github.io/Logging_0883/tillsyn/A 61319-2021 tillsynsbegäran.docx", "A 61319-2021")</f>
        <v/>
      </c>
      <c r="Y256">
        <f>HYPERLINK("https://klasma.github.io/Logging_0883/tillsynsmail/A 61319-2021 tillsynsbegäran mail.docx", "A 61319-2021")</f>
        <v/>
      </c>
    </row>
    <row r="257" ht="15" customHeight="1">
      <c r="A257" t="inlineStr">
        <is>
          <t>A 61806-2023</t>
        </is>
      </c>
      <c r="B257" s="1" t="n">
        <v>45266.27928240741</v>
      </c>
      <c r="C257" s="1" t="n">
        <v>45991</v>
      </c>
      <c r="D257" t="inlineStr">
        <is>
          <t>KALMAR LÄN</t>
        </is>
      </c>
      <c r="E257" t="inlineStr">
        <is>
          <t>VÄSTERVIK</t>
        </is>
      </c>
      <c r="G257" t="n">
        <v>1.1</v>
      </c>
      <c r="H257" t="n">
        <v>0</v>
      </c>
      <c r="I257" t="n">
        <v>0</v>
      </c>
      <c r="J257" t="n">
        <v>1</v>
      </c>
      <c r="K257" t="n">
        <v>0</v>
      </c>
      <c r="L257" t="n">
        <v>0</v>
      </c>
      <c r="M257" t="n">
        <v>0</v>
      </c>
      <c r="N257" t="n">
        <v>0</v>
      </c>
      <c r="O257" t="n">
        <v>1</v>
      </c>
      <c r="P257" t="n">
        <v>0</v>
      </c>
      <c r="Q257" t="n">
        <v>1</v>
      </c>
      <c r="R257" s="2" t="inlineStr">
        <is>
          <t>Veckticka</t>
        </is>
      </c>
      <c r="S257">
        <f>HYPERLINK("https://klasma.github.io/Logging_0883/artfynd/A 61806-2023 artfynd.xlsx", "A 61806-2023")</f>
        <v/>
      </c>
      <c r="T257">
        <f>HYPERLINK("https://klasma.github.io/Logging_0883/kartor/A 61806-2023 karta.png", "A 61806-2023")</f>
        <v/>
      </c>
      <c r="V257">
        <f>HYPERLINK("https://klasma.github.io/Logging_0883/klagomål/A 61806-2023 FSC-klagomål.docx", "A 61806-2023")</f>
        <v/>
      </c>
      <c r="W257">
        <f>HYPERLINK("https://klasma.github.io/Logging_0883/klagomålsmail/A 61806-2023 FSC-klagomål mail.docx", "A 61806-2023")</f>
        <v/>
      </c>
      <c r="X257">
        <f>HYPERLINK("https://klasma.github.io/Logging_0883/tillsyn/A 61806-2023 tillsynsbegäran.docx", "A 61806-2023")</f>
        <v/>
      </c>
      <c r="Y257">
        <f>HYPERLINK("https://klasma.github.io/Logging_0883/tillsynsmail/A 61806-2023 tillsynsbegäran mail.docx", "A 61806-2023")</f>
        <v/>
      </c>
    </row>
    <row r="258" ht="15" customHeight="1">
      <c r="A258" t="inlineStr">
        <is>
          <t>A 14103-2025</t>
        </is>
      </c>
      <c r="B258" s="1" t="n">
        <v>45740.45232638889</v>
      </c>
      <c r="C258" s="1" t="n">
        <v>45991</v>
      </c>
      <c r="D258" t="inlineStr">
        <is>
          <t>KALMAR LÄN</t>
        </is>
      </c>
      <c r="E258" t="inlineStr">
        <is>
          <t>VÄSTERVIK</t>
        </is>
      </c>
      <c r="F258" t="inlineStr">
        <is>
          <t>Sveaskog</t>
        </is>
      </c>
      <c r="G258" t="n">
        <v>0.8</v>
      </c>
      <c r="H258" t="n">
        <v>1</v>
      </c>
      <c r="I258" t="n">
        <v>0</v>
      </c>
      <c r="J258" t="n">
        <v>0</v>
      </c>
      <c r="K258" t="n">
        <v>0</v>
      </c>
      <c r="L258" t="n">
        <v>0</v>
      </c>
      <c r="M258" t="n">
        <v>0</v>
      </c>
      <c r="N258" t="n">
        <v>0</v>
      </c>
      <c r="O258" t="n">
        <v>0</v>
      </c>
      <c r="P258" t="n">
        <v>0</v>
      </c>
      <c r="Q258" t="n">
        <v>1</v>
      </c>
      <c r="R258" s="2" t="inlineStr">
        <is>
          <t>Grönvit nattviol</t>
        </is>
      </c>
      <c r="S258">
        <f>HYPERLINK("https://klasma.github.io/Logging_0883/artfynd/A 14103-2025 artfynd.xlsx", "A 14103-2025")</f>
        <v/>
      </c>
      <c r="T258">
        <f>HYPERLINK("https://klasma.github.io/Logging_0883/kartor/A 14103-2025 karta.png", "A 14103-2025")</f>
        <v/>
      </c>
      <c r="V258">
        <f>HYPERLINK("https://klasma.github.io/Logging_0883/klagomål/A 14103-2025 FSC-klagomål.docx", "A 14103-2025")</f>
        <v/>
      </c>
      <c r="W258">
        <f>HYPERLINK("https://klasma.github.io/Logging_0883/klagomålsmail/A 14103-2025 FSC-klagomål mail.docx", "A 14103-2025")</f>
        <v/>
      </c>
      <c r="X258">
        <f>HYPERLINK("https://klasma.github.io/Logging_0883/tillsyn/A 14103-2025 tillsynsbegäran.docx", "A 14103-2025")</f>
        <v/>
      </c>
      <c r="Y258">
        <f>HYPERLINK("https://klasma.github.io/Logging_0883/tillsynsmail/A 14103-2025 tillsynsbegäran mail.docx", "A 14103-2025")</f>
        <v/>
      </c>
    </row>
    <row r="259" ht="15" customHeight="1">
      <c r="A259" t="inlineStr">
        <is>
          <t>A 33815-2023</t>
        </is>
      </c>
      <c r="B259" s="1" t="n">
        <v>45133.59306712963</v>
      </c>
      <c r="C259" s="1" t="n">
        <v>45991</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45133.59490740741</v>
      </c>
      <c r="C260" s="1" t="n">
        <v>45991</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20233-2021</t>
        </is>
      </c>
      <c r="B261" s="1" t="n">
        <v>44314</v>
      </c>
      <c r="C261" s="1" t="n">
        <v>45991</v>
      </c>
      <c r="D261" t="inlineStr">
        <is>
          <t>KALMAR LÄN</t>
        </is>
      </c>
      <c r="E261" t="inlineStr">
        <is>
          <t>VÄSTERVIK</t>
        </is>
      </c>
      <c r="F261" t="inlineStr">
        <is>
          <t>Holmen skog AB</t>
        </is>
      </c>
      <c r="G261" t="n">
        <v>11.8</v>
      </c>
      <c r="H261" t="n">
        <v>0</v>
      </c>
      <c r="I261" t="n">
        <v>0</v>
      </c>
      <c r="J261" t="n">
        <v>1</v>
      </c>
      <c r="K261" t="n">
        <v>0</v>
      </c>
      <c r="L261" t="n">
        <v>0</v>
      </c>
      <c r="M261" t="n">
        <v>0</v>
      </c>
      <c r="N261" t="n">
        <v>0</v>
      </c>
      <c r="O261" t="n">
        <v>1</v>
      </c>
      <c r="P261" t="n">
        <v>0</v>
      </c>
      <c r="Q261" t="n">
        <v>1</v>
      </c>
      <c r="R261" s="2" t="inlineStr">
        <is>
          <t>Skogsklocka</t>
        </is>
      </c>
      <c r="S261">
        <f>HYPERLINK("https://klasma.github.io/Logging_0883/artfynd/A 20233-2021 artfynd.xlsx", "A 20233-2021")</f>
        <v/>
      </c>
      <c r="T261">
        <f>HYPERLINK("https://klasma.github.io/Logging_0883/kartor/A 20233-2021 karta.png", "A 20233-2021")</f>
        <v/>
      </c>
      <c r="V261">
        <f>HYPERLINK("https://klasma.github.io/Logging_0883/klagomål/A 20233-2021 FSC-klagomål.docx", "A 20233-2021")</f>
        <v/>
      </c>
      <c r="W261">
        <f>HYPERLINK("https://klasma.github.io/Logging_0883/klagomålsmail/A 20233-2021 FSC-klagomål mail.docx", "A 20233-2021")</f>
        <v/>
      </c>
      <c r="X261">
        <f>HYPERLINK("https://klasma.github.io/Logging_0883/tillsyn/A 20233-2021 tillsynsbegäran.docx", "A 20233-2021")</f>
        <v/>
      </c>
      <c r="Y261">
        <f>HYPERLINK("https://klasma.github.io/Logging_0883/tillsynsmail/A 20233-2021 tillsynsbegäran mail.docx", "A 20233-2021")</f>
        <v/>
      </c>
    </row>
    <row r="262" ht="15" customHeight="1">
      <c r="A262" t="inlineStr">
        <is>
          <t>A 25447-2021</t>
        </is>
      </c>
      <c r="B262" s="1" t="n">
        <v>44342</v>
      </c>
      <c r="C262" s="1" t="n">
        <v>45991</v>
      </c>
      <c r="D262" t="inlineStr">
        <is>
          <t>KALMAR LÄN</t>
        </is>
      </c>
      <c r="E262" t="inlineStr">
        <is>
          <t>VÄSTERVIK</t>
        </is>
      </c>
      <c r="F262" t="inlineStr">
        <is>
          <t>Holmen skog AB</t>
        </is>
      </c>
      <c r="G262" t="n">
        <v>9</v>
      </c>
      <c r="H262" t="n">
        <v>1</v>
      </c>
      <c r="I262" t="n">
        <v>0</v>
      </c>
      <c r="J262" t="n">
        <v>0</v>
      </c>
      <c r="K262" t="n">
        <v>1</v>
      </c>
      <c r="L262" t="n">
        <v>0</v>
      </c>
      <c r="M262" t="n">
        <v>0</v>
      </c>
      <c r="N262" t="n">
        <v>0</v>
      </c>
      <c r="O262" t="n">
        <v>1</v>
      </c>
      <c r="P262" t="n">
        <v>1</v>
      </c>
      <c r="Q262" t="n">
        <v>1</v>
      </c>
      <c r="R262" s="2" t="inlineStr">
        <is>
          <t>Knärot</t>
        </is>
      </c>
      <c r="S262">
        <f>HYPERLINK("https://klasma.github.io/Logging_0883/artfynd/A 25447-2021 artfynd.xlsx", "A 25447-2021")</f>
        <v/>
      </c>
      <c r="T262">
        <f>HYPERLINK("https://klasma.github.io/Logging_0883/kartor/A 25447-2021 karta.png", "A 25447-2021")</f>
        <v/>
      </c>
      <c r="U262">
        <f>HYPERLINK("https://klasma.github.io/Logging_0883/knärot/A 25447-2021 karta knärot.png", "A 25447-2021")</f>
        <v/>
      </c>
      <c r="V262">
        <f>HYPERLINK("https://klasma.github.io/Logging_0883/klagomål/A 25447-2021 FSC-klagomål.docx", "A 25447-2021")</f>
        <v/>
      </c>
      <c r="W262">
        <f>HYPERLINK("https://klasma.github.io/Logging_0883/klagomålsmail/A 25447-2021 FSC-klagomål mail.docx", "A 25447-2021")</f>
        <v/>
      </c>
      <c r="X262">
        <f>HYPERLINK("https://klasma.github.io/Logging_0883/tillsyn/A 25447-2021 tillsynsbegäran.docx", "A 25447-2021")</f>
        <v/>
      </c>
      <c r="Y262">
        <f>HYPERLINK("https://klasma.github.io/Logging_0883/tillsynsmail/A 25447-2021 tillsynsbegäran mail.docx", "A 25447-2021")</f>
        <v/>
      </c>
    </row>
    <row r="263" ht="15" customHeight="1">
      <c r="A263" t="inlineStr">
        <is>
          <t>A 25594-2021</t>
        </is>
      </c>
      <c r="B263" s="1" t="n">
        <v>44343</v>
      </c>
      <c r="C263" s="1" t="n">
        <v>45991</v>
      </c>
      <c r="D263" t="inlineStr">
        <is>
          <t>KALMAR LÄN</t>
        </is>
      </c>
      <c r="E263" t="inlineStr">
        <is>
          <t>VÄSTERVIK</t>
        </is>
      </c>
      <c r="F263" t="inlineStr">
        <is>
          <t>Holmen skog AB</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HYPERLINK("https://klasma.github.io/Logging_0883/artfynd/A 25594-2021 artfynd.xlsx", "A 25594-2021")</f>
        <v/>
      </c>
      <c r="T263">
        <f>HYPERLINK("https://klasma.github.io/Logging_0883/kartor/A 25594-2021 karta.png", "A 25594-2021")</f>
        <v/>
      </c>
      <c r="U263">
        <f>HYPERLINK("https://klasma.github.io/Logging_0883/knärot/A 25594-2021 karta knärot.png", "A 25594-2021")</f>
        <v/>
      </c>
      <c r="V263">
        <f>HYPERLINK("https://klasma.github.io/Logging_0883/klagomål/A 25594-2021 FSC-klagomål.docx", "A 25594-2021")</f>
        <v/>
      </c>
      <c r="W263">
        <f>HYPERLINK("https://klasma.github.io/Logging_0883/klagomålsmail/A 25594-2021 FSC-klagomål mail.docx", "A 25594-2021")</f>
        <v/>
      </c>
      <c r="X263">
        <f>HYPERLINK("https://klasma.github.io/Logging_0883/tillsyn/A 25594-2021 tillsynsbegäran.docx", "A 25594-2021")</f>
        <v/>
      </c>
      <c r="Y263">
        <f>HYPERLINK("https://klasma.github.io/Logging_0883/tillsynsmail/A 25594-2021 tillsynsbegäran mail.docx", "A 25594-2021")</f>
        <v/>
      </c>
    </row>
    <row r="264" ht="15" customHeight="1">
      <c r="A264" t="inlineStr">
        <is>
          <t>A 46722-2023</t>
        </is>
      </c>
      <c r="B264" s="1" t="n">
        <v>45194</v>
      </c>
      <c r="C264" s="1" t="n">
        <v>45991</v>
      </c>
      <c r="D264" t="inlineStr">
        <is>
          <t>KALMAR LÄN</t>
        </is>
      </c>
      <c r="E264" t="inlineStr">
        <is>
          <t>VÄSTERVIK</t>
        </is>
      </c>
      <c r="G264" t="n">
        <v>0.9</v>
      </c>
      <c r="H264" t="n">
        <v>1</v>
      </c>
      <c r="I264" t="n">
        <v>0</v>
      </c>
      <c r="J264" t="n">
        <v>0</v>
      </c>
      <c r="K264" t="n">
        <v>1</v>
      </c>
      <c r="L264" t="n">
        <v>0</v>
      </c>
      <c r="M264" t="n">
        <v>0</v>
      </c>
      <c r="N264" t="n">
        <v>0</v>
      </c>
      <c r="O264" t="n">
        <v>1</v>
      </c>
      <c r="P264" t="n">
        <v>1</v>
      </c>
      <c r="Q264" t="n">
        <v>1</v>
      </c>
      <c r="R264" s="2" t="inlineStr">
        <is>
          <t>Knärot</t>
        </is>
      </c>
      <c r="S264">
        <f>HYPERLINK("https://klasma.github.io/Logging_0883/artfynd/A 46722-2023 artfynd.xlsx", "A 46722-2023")</f>
        <v/>
      </c>
      <c r="T264">
        <f>HYPERLINK("https://klasma.github.io/Logging_0883/kartor/A 46722-2023 karta.png", "A 46722-2023")</f>
        <v/>
      </c>
      <c r="U264">
        <f>HYPERLINK("https://klasma.github.io/Logging_0883/knärot/A 46722-2023 karta knärot.png", "A 46722-2023")</f>
        <v/>
      </c>
      <c r="V264">
        <f>HYPERLINK("https://klasma.github.io/Logging_0883/klagomål/A 46722-2023 FSC-klagomål.docx", "A 46722-2023")</f>
        <v/>
      </c>
      <c r="W264">
        <f>HYPERLINK("https://klasma.github.io/Logging_0883/klagomålsmail/A 46722-2023 FSC-klagomål mail.docx", "A 46722-2023")</f>
        <v/>
      </c>
      <c r="X264">
        <f>HYPERLINK("https://klasma.github.io/Logging_0883/tillsyn/A 46722-2023 tillsynsbegäran.docx", "A 46722-2023")</f>
        <v/>
      </c>
      <c r="Y264">
        <f>HYPERLINK("https://klasma.github.io/Logging_0883/tillsynsmail/A 46722-2023 tillsynsbegäran mail.docx", "A 46722-2023")</f>
        <v/>
      </c>
    </row>
    <row r="265" ht="15" customHeight="1">
      <c r="A265" t="inlineStr">
        <is>
          <t>A 51514-2024</t>
        </is>
      </c>
      <c r="B265" s="1" t="n">
        <v>45604.5640625</v>
      </c>
      <c r="C265" s="1" t="n">
        <v>45991</v>
      </c>
      <c r="D265" t="inlineStr">
        <is>
          <t>KALMAR LÄN</t>
        </is>
      </c>
      <c r="E265" t="inlineStr">
        <is>
          <t>VÄSTERVIK</t>
        </is>
      </c>
      <c r="F265" t="inlineStr">
        <is>
          <t>Övriga Aktiebolag</t>
        </is>
      </c>
      <c r="G265" t="n">
        <v>2.4</v>
      </c>
      <c r="H265" t="n">
        <v>1</v>
      </c>
      <c r="I265" t="n">
        <v>0</v>
      </c>
      <c r="J265" t="n">
        <v>1</v>
      </c>
      <c r="K265" t="n">
        <v>0</v>
      </c>
      <c r="L265" t="n">
        <v>0</v>
      </c>
      <c r="M265" t="n">
        <v>0</v>
      </c>
      <c r="N265" t="n">
        <v>0</v>
      </c>
      <c r="O265" t="n">
        <v>1</v>
      </c>
      <c r="P265" t="n">
        <v>0</v>
      </c>
      <c r="Q265" t="n">
        <v>1</v>
      </c>
      <c r="R265" s="2" t="inlineStr">
        <is>
          <t>Havsörn</t>
        </is>
      </c>
      <c r="S265">
        <f>HYPERLINK("https://klasma.github.io/Logging_0883/artfynd/A 51514-2024 artfynd.xlsx", "A 51514-2024")</f>
        <v/>
      </c>
      <c r="T265">
        <f>HYPERLINK("https://klasma.github.io/Logging_0883/kartor/A 51514-2024 karta.png", "A 51514-2024")</f>
        <v/>
      </c>
      <c r="V265">
        <f>HYPERLINK("https://klasma.github.io/Logging_0883/klagomål/A 51514-2024 FSC-klagomål.docx", "A 51514-2024")</f>
        <v/>
      </c>
      <c r="W265">
        <f>HYPERLINK("https://klasma.github.io/Logging_0883/klagomålsmail/A 51514-2024 FSC-klagomål mail.docx", "A 51514-2024")</f>
        <v/>
      </c>
      <c r="X265">
        <f>HYPERLINK("https://klasma.github.io/Logging_0883/tillsyn/A 51514-2024 tillsynsbegäran.docx", "A 51514-2024")</f>
        <v/>
      </c>
      <c r="Y265">
        <f>HYPERLINK("https://klasma.github.io/Logging_0883/tillsynsmail/A 51514-2024 tillsynsbegäran mail.docx", "A 51514-2024")</f>
        <v/>
      </c>
      <c r="Z265">
        <f>HYPERLINK("https://klasma.github.io/Logging_0883/fåglar/A 51514-2024 prioriterade fågelarter.docx", "A 51514-2024")</f>
        <v/>
      </c>
    </row>
    <row r="266" ht="15" customHeight="1">
      <c r="A266" t="inlineStr">
        <is>
          <t>A 14131-2025</t>
        </is>
      </c>
      <c r="B266" s="1" t="n">
        <v>45740.47480324074</v>
      </c>
      <c r="C266" s="1" t="n">
        <v>45991</v>
      </c>
      <c r="D266" t="inlineStr">
        <is>
          <t>KALMAR LÄN</t>
        </is>
      </c>
      <c r="E266" t="inlineStr">
        <is>
          <t>VÄSTERVIK</t>
        </is>
      </c>
      <c r="F266" t="inlineStr">
        <is>
          <t>Sveaskog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HYPERLINK("https://klasma.github.io/Logging_0883/artfynd/A 14131-2025 artfynd.xlsx", "A 14131-2025")</f>
        <v/>
      </c>
      <c r="T266">
        <f>HYPERLINK("https://klasma.github.io/Logging_0883/kartor/A 14131-2025 karta.png", "A 14131-2025")</f>
        <v/>
      </c>
      <c r="V266">
        <f>HYPERLINK("https://klasma.github.io/Logging_0883/klagomål/A 14131-2025 FSC-klagomål.docx", "A 14131-2025")</f>
        <v/>
      </c>
      <c r="W266">
        <f>HYPERLINK("https://klasma.github.io/Logging_0883/klagomålsmail/A 14131-2025 FSC-klagomål mail.docx", "A 14131-2025")</f>
        <v/>
      </c>
      <c r="X266">
        <f>HYPERLINK("https://klasma.github.io/Logging_0883/tillsyn/A 14131-2025 tillsynsbegäran.docx", "A 14131-2025")</f>
        <v/>
      </c>
      <c r="Y266">
        <f>HYPERLINK("https://klasma.github.io/Logging_0883/tillsynsmail/A 14131-2025 tillsynsbegäran mail.docx", "A 14131-2025")</f>
        <v/>
      </c>
    </row>
    <row r="267" ht="15" customHeight="1">
      <c r="A267" t="inlineStr">
        <is>
          <t>A 3600-2025</t>
        </is>
      </c>
      <c r="B267" s="1" t="n">
        <v>45681.34420138889</v>
      </c>
      <c r="C267" s="1" t="n">
        <v>45991</v>
      </c>
      <c r="D267" t="inlineStr">
        <is>
          <t>KALMAR LÄN</t>
        </is>
      </c>
      <c r="E267" t="inlineStr">
        <is>
          <t>VÄSTERVIK</t>
        </is>
      </c>
      <c r="G267" t="n">
        <v>1</v>
      </c>
      <c r="H267" t="n">
        <v>1</v>
      </c>
      <c r="I267" t="n">
        <v>0</v>
      </c>
      <c r="J267" t="n">
        <v>1</v>
      </c>
      <c r="K267" t="n">
        <v>0</v>
      </c>
      <c r="L267" t="n">
        <v>0</v>
      </c>
      <c r="M267" t="n">
        <v>0</v>
      </c>
      <c r="N267" t="n">
        <v>0</v>
      </c>
      <c r="O267" t="n">
        <v>1</v>
      </c>
      <c r="P267" t="n">
        <v>0</v>
      </c>
      <c r="Q267" t="n">
        <v>1</v>
      </c>
      <c r="R267" s="2" t="inlineStr">
        <is>
          <t>Spillkråka</t>
        </is>
      </c>
      <c r="S267">
        <f>HYPERLINK("https://klasma.github.io/Logging_0883/artfynd/A 3600-2025 artfynd.xlsx", "A 3600-2025")</f>
        <v/>
      </c>
      <c r="T267">
        <f>HYPERLINK("https://klasma.github.io/Logging_0883/kartor/A 3600-2025 karta.png", "A 3600-2025")</f>
        <v/>
      </c>
      <c r="V267">
        <f>HYPERLINK("https://klasma.github.io/Logging_0883/klagomål/A 3600-2025 FSC-klagomål.docx", "A 3600-2025")</f>
        <v/>
      </c>
      <c r="W267">
        <f>HYPERLINK("https://klasma.github.io/Logging_0883/klagomålsmail/A 3600-2025 FSC-klagomål mail.docx", "A 3600-2025")</f>
        <v/>
      </c>
      <c r="X267">
        <f>HYPERLINK("https://klasma.github.io/Logging_0883/tillsyn/A 3600-2025 tillsynsbegäran.docx", "A 3600-2025")</f>
        <v/>
      </c>
      <c r="Y267">
        <f>HYPERLINK("https://klasma.github.io/Logging_0883/tillsynsmail/A 3600-2025 tillsynsbegäran mail.docx", "A 3600-2025")</f>
        <v/>
      </c>
      <c r="Z267">
        <f>HYPERLINK("https://klasma.github.io/Logging_0883/fåglar/A 3600-2025 prioriterade fågelarter.docx", "A 3600-2025")</f>
        <v/>
      </c>
    </row>
    <row r="268" ht="15" customHeight="1">
      <c r="A268" t="inlineStr">
        <is>
          <t>A 56439-2024</t>
        </is>
      </c>
      <c r="B268" s="1" t="n">
        <v>45625.4175</v>
      </c>
      <c r="C268" s="1" t="n">
        <v>45991</v>
      </c>
      <c r="D268" t="inlineStr">
        <is>
          <t>KALMAR LÄN</t>
        </is>
      </c>
      <c r="E268" t="inlineStr">
        <is>
          <t>VÄSTERVIK</t>
        </is>
      </c>
      <c r="F268" t="inlineStr">
        <is>
          <t>Övriga Aktiebolag</t>
        </is>
      </c>
      <c r="G268" t="n">
        <v>3.3</v>
      </c>
      <c r="H268" t="n">
        <v>0</v>
      </c>
      <c r="I268" t="n">
        <v>1</v>
      </c>
      <c r="J268" t="n">
        <v>0</v>
      </c>
      <c r="K268" t="n">
        <v>0</v>
      </c>
      <c r="L268" t="n">
        <v>0</v>
      </c>
      <c r="M268" t="n">
        <v>0</v>
      </c>
      <c r="N268" t="n">
        <v>0</v>
      </c>
      <c r="O268" t="n">
        <v>0</v>
      </c>
      <c r="P268" t="n">
        <v>0</v>
      </c>
      <c r="Q268" t="n">
        <v>1</v>
      </c>
      <c r="R268" s="2" t="inlineStr">
        <is>
          <t>Hasselticka</t>
        </is>
      </c>
      <c r="S268">
        <f>HYPERLINK("https://klasma.github.io/Logging_0883/artfynd/A 56439-2024 artfynd.xlsx", "A 56439-2024")</f>
        <v/>
      </c>
      <c r="T268">
        <f>HYPERLINK("https://klasma.github.io/Logging_0883/kartor/A 56439-2024 karta.png", "A 56439-2024")</f>
        <v/>
      </c>
      <c r="V268">
        <f>HYPERLINK("https://klasma.github.io/Logging_0883/klagomål/A 56439-2024 FSC-klagomål.docx", "A 56439-2024")</f>
        <v/>
      </c>
      <c r="W268">
        <f>HYPERLINK("https://klasma.github.io/Logging_0883/klagomålsmail/A 56439-2024 FSC-klagomål mail.docx", "A 56439-2024")</f>
        <v/>
      </c>
      <c r="X268">
        <f>HYPERLINK("https://klasma.github.io/Logging_0883/tillsyn/A 56439-2024 tillsynsbegäran.docx", "A 56439-2024")</f>
        <v/>
      </c>
      <c r="Y268">
        <f>HYPERLINK("https://klasma.github.io/Logging_0883/tillsynsmail/A 56439-2024 tillsynsbegäran mail.docx", "A 56439-2024")</f>
        <v/>
      </c>
    </row>
    <row r="269" ht="15" customHeight="1">
      <c r="A269" t="inlineStr">
        <is>
          <t>A 11609-2022</t>
        </is>
      </c>
      <c r="B269" s="1" t="n">
        <v>44631</v>
      </c>
      <c r="C269" s="1" t="n">
        <v>45991</v>
      </c>
      <c r="D269" t="inlineStr">
        <is>
          <t>KALMAR LÄN</t>
        </is>
      </c>
      <c r="E269" t="inlineStr">
        <is>
          <t>VÄSTERVIK</t>
        </is>
      </c>
      <c r="F269" t="inlineStr">
        <is>
          <t>Holmen skog AB</t>
        </is>
      </c>
      <c r="G269" t="n">
        <v>3.2</v>
      </c>
      <c r="H269" t="n">
        <v>0</v>
      </c>
      <c r="I269" t="n">
        <v>0</v>
      </c>
      <c r="J269" t="n">
        <v>1</v>
      </c>
      <c r="K269" t="n">
        <v>0</v>
      </c>
      <c r="L269" t="n">
        <v>0</v>
      </c>
      <c r="M269" t="n">
        <v>0</v>
      </c>
      <c r="N269" t="n">
        <v>0</v>
      </c>
      <c r="O269" t="n">
        <v>1</v>
      </c>
      <c r="P269" t="n">
        <v>0</v>
      </c>
      <c r="Q269" t="n">
        <v>1</v>
      </c>
      <c r="R269" s="2" t="inlineStr">
        <is>
          <t>Tallticka</t>
        </is>
      </c>
      <c r="S269">
        <f>HYPERLINK("https://klasma.github.io/Logging_0883/artfynd/A 11609-2022 artfynd.xlsx", "A 11609-2022")</f>
        <v/>
      </c>
      <c r="T269">
        <f>HYPERLINK("https://klasma.github.io/Logging_0883/kartor/A 11609-2022 karta.png", "A 11609-2022")</f>
        <v/>
      </c>
      <c r="U269">
        <f>HYPERLINK("https://klasma.github.io/Logging_0883/knärot/A 11609-2022 karta knärot.png", "A 11609-2022")</f>
        <v/>
      </c>
      <c r="V269">
        <f>HYPERLINK("https://klasma.github.io/Logging_0883/klagomål/A 11609-2022 FSC-klagomål.docx", "A 11609-2022")</f>
        <v/>
      </c>
      <c r="W269">
        <f>HYPERLINK("https://klasma.github.io/Logging_0883/klagomålsmail/A 11609-2022 FSC-klagomål mail.docx", "A 11609-2022")</f>
        <v/>
      </c>
      <c r="X269">
        <f>HYPERLINK("https://klasma.github.io/Logging_0883/tillsyn/A 11609-2022 tillsynsbegäran.docx", "A 11609-2022")</f>
        <v/>
      </c>
      <c r="Y269">
        <f>HYPERLINK("https://klasma.github.io/Logging_0883/tillsynsmail/A 11609-2022 tillsynsbegäran mail.docx", "A 11609-2022")</f>
        <v/>
      </c>
    </row>
    <row r="270" ht="15" customHeight="1">
      <c r="A270" t="inlineStr">
        <is>
          <t>A 47112-2023</t>
        </is>
      </c>
      <c r="B270" s="1" t="n">
        <v>45201</v>
      </c>
      <c r="C270" s="1" t="n">
        <v>45991</v>
      </c>
      <c r="D270" t="inlineStr">
        <is>
          <t>KALMAR LÄN</t>
        </is>
      </c>
      <c r="E270" t="inlineStr">
        <is>
          <t>VÄSTERVIK</t>
        </is>
      </c>
      <c r="G270" t="n">
        <v>1</v>
      </c>
      <c r="H270" t="n">
        <v>0</v>
      </c>
      <c r="I270" t="n">
        <v>0</v>
      </c>
      <c r="J270" t="n">
        <v>1</v>
      </c>
      <c r="K270" t="n">
        <v>0</v>
      </c>
      <c r="L270" t="n">
        <v>0</v>
      </c>
      <c r="M270" t="n">
        <v>0</v>
      </c>
      <c r="N270" t="n">
        <v>0</v>
      </c>
      <c r="O270" t="n">
        <v>1</v>
      </c>
      <c r="P270" t="n">
        <v>0</v>
      </c>
      <c r="Q270" t="n">
        <v>1</v>
      </c>
      <c r="R270" s="2" t="inlineStr">
        <is>
          <t>Tallticka</t>
        </is>
      </c>
      <c r="S270">
        <f>HYPERLINK("https://klasma.github.io/Logging_0883/artfynd/A 47112-2023 artfynd.xlsx", "A 47112-2023")</f>
        <v/>
      </c>
      <c r="T270">
        <f>HYPERLINK("https://klasma.github.io/Logging_0883/kartor/A 47112-2023 karta.png", "A 47112-2023")</f>
        <v/>
      </c>
      <c r="V270">
        <f>HYPERLINK("https://klasma.github.io/Logging_0883/klagomål/A 47112-2023 FSC-klagomål.docx", "A 47112-2023")</f>
        <v/>
      </c>
      <c r="W270">
        <f>HYPERLINK("https://klasma.github.io/Logging_0883/klagomålsmail/A 47112-2023 FSC-klagomål mail.docx", "A 47112-2023")</f>
        <v/>
      </c>
      <c r="X270">
        <f>HYPERLINK("https://klasma.github.io/Logging_0883/tillsyn/A 47112-2023 tillsynsbegäran.docx", "A 47112-2023")</f>
        <v/>
      </c>
      <c r="Y270">
        <f>HYPERLINK("https://klasma.github.io/Logging_0883/tillsynsmail/A 47112-2023 tillsynsbegäran mail.docx", "A 47112-2023")</f>
        <v/>
      </c>
    </row>
    <row r="271" ht="15" customHeight="1">
      <c r="A271" t="inlineStr">
        <is>
          <t>A 46556-2022</t>
        </is>
      </c>
      <c r="B271" s="1" t="n">
        <v>44848</v>
      </c>
      <c r="C271" s="1" t="n">
        <v>45991</v>
      </c>
      <c r="D271" t="inlineStr">
        <is>
          <t>KALMAR LÄN</t>
        </is>
      </c>
      <c r="E271" t="inlineStr">
        <is>
          <t>VÄSTERVIK</t>
        </is>
      </c>
      <c r="F271" t="inlineStr">
        <is>
          <t>Sveaskog</t>
        </is>
      </c>
      <c r="G271" t="n">
        <v>1.5</v>
      </c>
      <c r="H271" t="n">
        <v>0</v>
      </c>
      <c r="I271" t="n">
        <v>1</v>
      </c>
      <c r="J271" t="n">
        <v>0</v>
      </c>
      <c r="K271" t="n">
        <v>0</v>
      </c>
      <c r="L271" t="n">
        <v>0</v>
      </c>
      <c r="M271" t="n">
        <v>0</v>
      </c>
      <c r="N271" t="n">
        <v>0</v>
      </c>
      <c r="O271" t="n">
        <v>0</v>
      </c>
      <c r="P271" t="n">
        <v>0</v>
      </c>
      <c r="Q271" t="n">
        <v>1</v>
      </c>
      <c r="R271" s="2" t="inlineStr">
        <is>
          <t>Fjällig taggsvamp s.str.</t>
        </is>
      </c>
      <c r="S271">
        <f>HYPERLINK("https://klasma.github.io/Logging_0883/artfynd/A 46556-2022 artfynd.xlsx", "A 46556-2022")</f>
        <v/>
      </c>
      <c r="T271">
        <f>HYPERLINK("https://klasma.github.io/Logging_0883/kartor/A 46556-2022 karta.png", "A 46556-2022")</f>
        <v/>
      </c>
      <c r="V271">
        <f>HYPERLINK("https://klasma.github.io/Logging_0883/klagomål/A 46556-2022 FSC-klagomål.docx", "A 46556-2022")</f>
        <v/>
      </c>
      <c r="W271">
        <f>HYPERLINK("https://klasma.github.io/Logging_0883/klagomålsmail/A 46556-2022 FSC-klagomål mail.docx", "A 46556-2022")</f>
        <v/>
      </c>
      <c r="X271">
        <f>HYPERLINK("https://klasma.github.io/Logging_0883/tillsyn/A 46556-2022 tillsynsbegäran.docx", "A 46556-2022")</f>
        <v/>
      </c>
      <c r="Y271">
        <f>HYPERLINK("https://klasma.github.io/Logging_0883/tillsynsmail/A 46556-2022 tillsynsbegäran mail.docx", "A 46556-2022")</f>
        <v/>
      </c>
    </row>
    <row r="272" ht="15" customHeight="1">
      <c r="A272" t="inlineStr">
        <is>
          <t>A 31315-2021</t>
        </is>
      </c>
      <c r="B272" s="1" t="n">
        <v>44368</v>
      </c>
      <c r="C272" s="1" t="n">
        <v>45991</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43788-2023</t>
        </is>
      </c>
      <c r="B273" s="1" t="n">
        <v>45187.53707175926</v>
      </c>
      <c r="C273" s="1" t="n">
        <v>45991</v>
      </c>
      <c r="D273" t="inlineStr">
        <is>
          <t>KALMAR LÄN</t>
        </is>
      </c>
      <c r="E273" t="inlineStr">
        <is>
          <t>VÄSTERVIK</t>
        </is>
      </c>
      <c r="G273" t="n">
        <v>4.5</v>
      </c>
      <c r="H273" t="n">
        <v>0</v>
      </c>
      <c r="I273" t="n">
        <v>0</v>
      </c>
      <c r="J273" t="n">
        <v>1</v>
      </c>
      <c r="K273" t="n">
        <v>0</v>
      </c>
      <c r="L273" t="n">
        <v>0</v>
      </c>
      <c r="M273" t="n">
        <v>0</v>
      </c>
      <c r="N273" t="n">
        <v>0</v>
      </c>
      <c r="O273" t="n">
        <v>1</v>
      </c>
      <c r="P273" t="n">
        <v>0</v>
      </c>
      <c r="Q273" t="n">
        <v>1</v>
      </c>
      <c r="R273" s="2" t="inlineStr">
        <is>
          <t>Motaggsvamp</t>
        </is>
      </c>
      <c r="S273">
        <f>HYPERLINK("https://klasma.github.io/Logging_0883/artfynd/A 43788-2023 artfynd.xlsx", "A 43788-2023")</f>
        <v/>
      </c>
      <c r="T273">
        <f>HYPERLINK("https://klasma.github.io/Logging_0883/kartor/A 43788-2023 karta.png", "A 43788-2023")</f>
        <v/>
      </c>
      <c r="V273">
        <f>HYPERLINK("https://klasma.github.io/Logging_0883/klagomål/A 43788-2023 FSC-klagomål.docx", "A 43788-2023")</f>
        <v/>
      </c>
      <c r="W273">
        <f>HYPERLINK("https://klasma.github.io/Logging_0883/klagomålsmail/A 43788-2023 FSC-klagomål mail.docx", "A 43788-2023")</f>
        <v/>
      </c>
      <c r="X273">
        <f>HYPERLINK("https://klasma.github.io/Logging_0883/tillsyn/A 43788-2023 tillsynsbegäran.docx", "A 43788-2023")</f>
        <v/>
      </c>
      <c r="Y273">
        <f>HYPERLINK("https://klasma.github.io/Logging_0883/tillsynsmail/A 43788-2023 tillsynsbegäran mail.docx", "A 43788-2023")</f>
        <v/>
      </c>
    </row>
    <row r="274" ht="15" customHeight="1">
      <c r="A274" t="inlineStr">
        <is>
          <t>A 34563-2023</t>
        </is>
      </c>
      <c r="B274" s="1" t="n">
        <v>45140.52086805556</v>
      </c>
      <c r="C274" s="1" t="n">
        <v>45991</v>
      </c>
      <c r="D274" t="inlineStr">
        <is>
          <t>KALMAR LÄN</t>
        </is>
      </c>
      <c r="E274" t="inlineStr">
        <is>
          <t>VÄSTERVIK</t>
        </is>
      </c>
      <c r="G274" t="n">
        <v>1.4</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34563-2023 artfynd.xlsx", "A 34563-2023")</f>
        <v/>
      </c>
      <c r="T274">
        <f>HYPERLINK("https://klasma.github.io/Logging_0883/kartor/A 34563-2023 karta.png", "A 34563-2023")</f>
        <v/>
      </c>
      <c r="U274">
        <f>HYPERLINK("https://klasma.github.io/Logging_0883/knärot/A 34563-2023 karta knärot.png", "A 34563-2023")</f>
        <v/>
      </c>
      <c r="V274">
        <f>HYPERLINK("https://klasma.github.io/Logging_0883/klagomål/A 34563-2023 FSC-klagomål.docx", "A 34563-2023")</f>
        <v/>
      </c>
      <c r="W274">
        <f>HYPERLINK("https://klasma.github.io/Logging_0883/klagomålsmail/A 34563-2023 FSC-klagomål mail.docx", "A 34563-2023")</f>
        <v/>
      </c>
      <c r="X274">
        <f>HYPERLINK("https://klasma.github.io/Logging_0883/tillsyn/A 34563-2023 tillsynsbegäran.docx", "A 34563-2023")</f>
        <v/>
      </c>
      <c r="Y274">
        <f>HYPERLINK("https://klasma.github.io/Logging_0883/tillsynsmail/A 34563-2023 tillsynsbegäran mail.docx", "A 34563-2023")</f>
        <v/>
      </c>
    </row>
    <row r="275" ht="15" customHeight="1">
      <c r="A275" t="inlineStr">
        <is>
          <t>A 51024-2022</t>
        </is>
      </c>
      <c r="B275" s="1" t="n">
        <v>44867</v>
      </c>
      <c r="C275" s="1" t="n">
        <v>45991</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25436-2023</t>
        </is>
      </c>
      <c r="B276" s="1" t="n">
        <v>45089</v>
      </c>
      <c r="C276" s="1" t="n">
        <v>45991</v>
      </c>
      <c r="D276" t="inlineStr">
        <is>
          <t>KALMAR LÄN</t>
        </is>
      </c>
      <c r="E276" t="inlineStr">
        <is>
          <t>VÄSTERVIK</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HYPERLINK("https://klasma.github.io/Logging_0883/artfynd/A 25436-2023 artfynd.xlsx", "A 25436-2023")</f>
        <v/>
      </c>
      <c r="T276">
        <f>HYPERLINK("https://klasma.github.io/Logging_0883/kartor/A 25436-2023 karta.png", "A 25436-2023")</f>
        <v/>
      </c>
      <c r="U276">
        <f>HYPERLINK("https://klasma.github.io/Logging_0883/knärot/A 25436-2023 karta knärot.png", "A 25436-2023")</f>
        <v/>
      </c>
      <c r="V276">
        <f>HYPERLINK("https://klasma.github.io/Logging_0883/klagomål/A 25436-2023 FSC-klagomål.docx", "A 25436-2023")</f>
        <v/>
      </c>
      <c r="W276">
        <f>HYPERLINK("https://klasma.github.io/Logging_0883/klagomålsmail/A 25436-2023 FSC-klagomål mail.docx", "A 25436-2023")</f>
        <v/>
      </c>
      <c r="X276">
        <f>HYPERLINK("https://klasma.github.io/Logging_0883/tillsyn/A 25436-2023 tillsynsbegäran.docx", "A 25436-2023")</f>
        <v/>
      </c>
      <c r="Y276">
        <f>HYPERLINK("https://klasma.github.io/Logging_0883/tillsynsmail/A 25436-2023 tillsynsbegäran mail.docx", "A 25436-2023")</f>
        <v/>
      </c>
    </row>
    <row r="277" ht="15" customHeight="1">
      <c r="A277" t="inlineStr">
        <is>
          <t>A 21409-2025</t>
        </is>
      </c>
      <c r="B277" s="1" t="n">
        <v>45782</v>
      </c>
      <c r="C277" s="1" t="n">
        <v>45991</v>
      </c>
      <c r="D277" t="inlineStr">
        <is>
          <t>KALMAR LÄN</t>
        </is>
      </c>
      <c r="E277" t="inlineStr">
        <is>
          <t>VÄSTERVIK</t>
        </is>
      </c>
      <c r="G277" t="n">
        <v>2.5</v>
      </c>
      <c r="H277" t="n">
        <v>1</v>
      </c>
      <c r="I277" t="n">
        <v>0</v>
      </c>
      <c r="J277" t="n">
        <v>0</v>
      </c>
      <c r="K277" t="n">
        <v>0</v>
      </c>
      <c r="L277" t="n">
        <v>0</v>
      </c>
      <c r="M277" t="n">
        <v>0</v>
      </c>
      <c r="N277" t="n">
        <v>0</v>
      </c>
      <c r="O277" t="n">
        <v>0</v>
      </c>
      <c r="P277" t="n">
        <v>0</v>
      </c>
      <c r="Q277" t="n">
        <v>1</v>
      </c>
      <c r="R277" s="2" t="inlineStr">
        <is>
          <t>Grönvit nattviol</t>
        </is>
      </c>
      <c r="S277">
        <f>HYPERLINK("https://klasma.github.io/Logging_0883/artfynd/A 21409-2025 artfynd.xlsx", "A 21409-2025")</f>
        <v/>
      </c>
      <c r="T277">
        <f>HYPERLINK("https://klasma.github.io/Logging_0883/kartor/A 21409-2025 karta.png", "A 21409-2025")</f>
        <v/>
      </c>
      <c r="V277">
        <f>HYPERLINK("https://klasma.github.io/Logging_0883/klagomål/A 21409-2025 FSC-klagomål.docx", "A 21409-2025")</f>
        <v/>
      </c>
      <c r="W277">
        <f>HYPERLINK("https://klasma.github.io/Logging_0883/klagomålsmail/A 21409-2025 FSC-klagomål mail.docx", "A 21409-2025")</f>
        <v/>
      </c>
      <c r="X277">
        <f>HYPERLINK("https://klasma.github.io/Logging_0883/tillsyn/A 21409-2025 tillsynsbegäran.docx", "A 21409-2025")</f>
        <v/>
      </c>
      <c r="Y277">
        <f>HYPERLINK("https://klasma.github.io/Logging_0883/tillsynsmail/A 21409-2025 tillsynsbegäran mail.docx", "A 21409-2025")</f>
        <v/>
      </c>
    </row>
    <row r="278" ht="15" customHeight="1">
      <c r="A278" t="inlineStr">
        <is>
          <t>A 21653-2025</t>
        </is>
      </c>
      <c r="B278" s="1" t="n">
        <v>45783.45039351852</v>
      </c>
      <c r="C278" s="1" t="n">
        <v>45991</v>
      </c>
      <c r="D278" t="inlineStr">
        <is>
          <t>KALMAR LÄN</t>
        </is>
      </c>
      <c r="E278" t="inlineStr">
        <is>
          <t>VÄSTERVIK</t>
        </is>
      </c>
      <c r="F278" t="inlineStr">
        <is>
          <t>Sveaskog</t>
        </is>
      </c>
      <c r="G278" t="n">
        <v>2.8</v>
      </c>
      <c r="H278" t="n">
        <v>1</v>
      </c>
      <c r="I278" t="n">
        <v>0</v>
      </c>
      <c r="J278" t="n">
        <v>1</v>
      </c>
      <c r="K278" t="n">
        <v>0</v>
      </c>
      <c r="L278" t="n">
        <v>0</v>
      </c>
      <c r="M278" t="n">
        <v>0</v>
      </c>
      <c r="N278" t="n">
        <v>0</v>
      </c>
      <c r="O278" t="n">
        <v>1</v>
      </c>
      <c r="P278" t="n">
        <v>0</v>
      </c>
      <c r="Q278" t="n">
        <v>1</v>
      </c>
      <c r="R278" s="2" t="inlineStr">
        <is>
          <t>Entita</t>
        </is>
      </c>
      <c r="S278">
        <f>HYPERLINK("https://klasma.github.io/Logging_0883/artfynd/A 21653-2025 artfynd.xlsx", "A 21653-2025")</f>
        <v/>
      </c>
      <c r="T278">
        <f>HYPERLINK("https://klasma.github.io/Logging_0883/kartor/A 21653-2025 karta.png", "A 21653-2025")</f>
        <v/>
      </c>
      <c r="V278">
        <f>HYPERLINK("https://klasma.github.io/Logging_0883/klagomål/A 21653-2025 FSC-klagomål.docx", "A 21653-2025")</f>
        <v/>
      </c>
      <c r="W278">
        <f>HYPERLINK("https://klasma.github.io/Logging_0883/klagomålsmail/A 21653-2025 FSC-klagomål mail.docx", "A 21653-2025")</f>
        <v/>
      </c>
      <c r="X278">
        <f>HYPERLINK("https://klasma.github.io/Logging_0883/tillsyn/A 21653-2025 tillsynsbegäran.docx", "A 21653-2025")</f>
        <v/>
      </c>
      <c r="Y278">
        <f>HYPERLINK("https://klasma.github.io/Logging_0883/tillsynsmail/A 21653-2025 tillsynsbegäran mail.docx", "A 21653-2025")</f>
        <v/>
      </c>
      <c r="Z278">
        <f>HYPERLINK("https://klasma.github.io/Logging_0883/fåglar/A 21653-2025 prioriterade fågelarter.docx", "A 21653-2025")</f>
        <v/>
      </c>
    </row>
    <row r="279" ht="15" customHeight="1">
      <c r="A279" t="inlineStr">
        <is>
          <t>A 11729-2023</t>
        </is>
      </c>
      <c r="B279" s="1" t="n">
        <v>44994</v>
      </c>
      <c r="C279" s="1" t="n">
        <v>45991</v>
      </c>
      <c r="D279" t="inlineStr">
        <is>
          <t>KALMAR LÄN</t>
        </is>
      </c>
      <c r="E279" t="inlineStr">
        <is>
          <t>VÄSTERVIK</t>
        </is>
      </c>
      <c r="F279" t="inlineStr">
        <is>
          <t>Sveaskog</t>
        </is>
      </c>
      <c r="G279" t="n">
        <v>4.1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11729-2023 artfynd.xlsx", "A 11729-2023")</f>
        <v/>
      </c>
      <c r="T279">
        <f>HYPERLINK("https://klasma.github.io/Logging_0883/kartor/A 11729-2023 karta.png", "A 11729-2023")</f>
        <v/>
      </c>
      <c r="V279">
        <f>HYPERLINK("https://klasma.github.io/Logging_0883/klagomål/A 11729-2023 FSC-klagomål.docx", "A 11729-2023")</f>
        <v/>
      </c>
      <c r="W279">
        <f>HYPERLINK("https://klasma.github.io/Logging_0883/klagomålsmail/A 11729-2023 FSC-klagomål mail.docx", "A 11729-2023")</f>
        <v/>
      </c>
      <c r="X279">
        <f>HYPERLINK("https://klasma.github.io/Logging_0883/tillsyn/A 11729-2023 tillsynsbegäran.docx", "A 11729-2023")</f>
        <v/>
      </c>
      <c r="Y279">
        <f>HYPERLINK("https://klasma.github.io/Logging_0883/tillsynsmail/A 11729-2023 tillsynsbegäran mail.docx", "A 11729-2023")</f>
        <v/>
      </c>
    </row>
    <row r="280" ht="15" customHeight="1">
      <c r="A280" t="inlineStr">
        <is>
          <t>A 23186-2025</t>
        </is>
      </c>
      <c r="B280" s="1" t="n">
        <v>45791.44415509259</v>
      </c>
      <c r="C280" s="1" t="n">
        <v>45991</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Krusfrö</t>
        </is>
      </c>
      <c r="S280">
        <f>HYPERLINK("https://klasma.github.io/Logging_0883/artfynd/A 23186-2025 artfynd.xlsx", "A 23186-2025")</f>
        <v/>
      </c>
      <c r="T280">
        <f>HYPERLINK("https://klasma.github.io/Logging_0883/kartor/A 23186-2025 karta.png", "A 23186-2025")</f>
        <v/>
      </c>
      <c r="V280">
        <f>HYPERLINK("https://klasma.github.io/Logging_0883/klagomål/A 23186-2025 FSC-klagomål.docx", "A 23186-2025")</f>
        <v/>
      </c>
      <c r="W280">
        <f>HYPERLINK("https://klasma.github.io/Logging_0883/klagomålsmail/A 23186-2025 FSC-klagomål mail.docx", "A 23186-2025")</f>
        <v/>
      </c>
      <c r="X280">
        <f>HYPERLINK("https://klasma.github.io/Logging_0883/tillsyn/A 23186-2025 tillsynsbegäran.docx", "A 23186-2025")</f>
        <v/>
      </c>
      <c r="Y280">
        <f>HYPERLINK("https://klasma.github.io/Logging_0883/tillsynsmail/A 23186-2025 tillsynsbegäran mail.docx", "A 23186-2025")</f>
        <v/>
      </c>
    </row>
    <row r="281" ht="15" customHeight="1">
      <c r="A281" t="inlineStr">
        <is>
          <t>A 23192-2025</t>
        </is>
      </c>
      <c r="B281" s="1" t="n">
        <v>45791.45371527778</v>
      </c>
      <c r="C281" s="1" t="n">
        <v>45991</v>
      </c>
      <c r="D281" t="inlineStr">
        <is>
          <t>KALMAR LÄN</t>
        </is>
      </c>
      <c r="E281" t="inlineStr">
        <is>
          <t>VÄSTERVIK</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HYPERLINK("https://klasma.github.io/Logging_0883/artfynd/A 23192-2025 artfynd.xlsx", "A 23192-2025")</f>
        <v/>
      </c>
      <c r="T281">
        <f>HYPERLINK("https://klasma.github.io/Logging_0883/kartor/A 23192-2025 karta.png", "A 23192-2025")</f>
        <v/>
      </c>
      <c r="V281">
        <f>HYPERLINK("https://klasma.github.io/Logging_0883/klagomål/A 23192-2025 FSC-klagomål.docx", "A 23192-2025")</f>
        <v/>
      </c>
      <c r="W281">
        <f>HYPERLINK("https://klasma.github.io/Logging_0883/klagomålsmail/A 23192-2025 FSC-klagomål mail.docx", "A 23192-2025")</f>
        <v/>
      </c>
      <c r="X281">
        <f>HYPERLINK("https://klasma.github.io/Logging_0883/tillsyn/A 23192-2025 tillsynsbegäran.docx", "A 23192-2025")</f>
        <v/>
      </c>
      <c r="Y281">
        <f>HYPERLINK("https://klasma.github.io/Logging_0883/tillsynsmail/A 23192-2025 tillsynsbegäran mail.docx", "A 23192-2025")</f>
        <v/>
      </c>
      <c r="Z281">
        <f>HYPERLINK("https://klasma.github.io/Logging_0883/fåglar/A 23192-2025 prioriterade fågelarter.docx", "A 23192-2025")</f>
        <v/>
      </c>
    </row>
    <row r="282" ht="15" customHeight="1">
      <c r="A282" t="inlineStr">
        <is>
          <t>A 23199-2025</t>
        </is>
      </c>
      <c r="B282" s="1" t="n">
        <v>45791.45887731481</v>
      </c>
      <c r="C282" s="1" t="n">
        <v>45991</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23199-2025 artfynd.xlsx", "A 23199-2025")</f>
        <v/>
      </c>
      <c r="T282">
        <f>HYPERLINK("https://klasma.github.io/Logging_0883/kartor/A 23199-2025 karta.png", "A 23199-2025")</f>
        <v/>
      </c>
      <c r="V282">
        <f>HYPERLINK("https://klasma.github.io/Logging_0883/klagomål/A 23199-2025 FSC-klagomål.docx", "A 23199-2025")</f>
        <v/>
      </c>
      <c r="W282">
        <f>HYPERLINK("https://klasma.github.io/Logging_0883/klagomålsmail/A 23199-2025 FSC-klagomål mail.docx", "A 23199-2025")</f>
        <v/>
      </c>
      <c r="X282">
        <f>HYPERLINK("https://klasma.github.io/Logging_0883/tillsyn/A 23199-2025 tillsynsbegäran.docx", "A 23199-2025")</f>
        <v/>
      </c>
      <c r="Y282">
        <f>HYPERLINK("https://klasma.github.io/Logging_0883/tillsynsmail/A 23199-2025 tillsynsbegäran mail.docx", "A 23199-2025")</f>
        <v/>
      </c>
    </row>
    <row r="283" ht="15" customHeight="1">
      <c r="A283" t="inlineStr">
        <is>
          <t>A 1959-2021</t>
        </is>
      </c>
      <c r="B283" s="1" t="n">
        <v>44210.65167824074</v>
      </c>
      <c r="C283" s="1" t="n">
        <v>45991</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8074-2021</t>
        </is>
      </c>
      <c r="B284" s="1" t="n">
        <v>44243.6503125</v>
      </c>
      <c r="C284" s="1" t="n">
        <v>45991</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16697-2021</t>
        </is>
      </c>
      <c r="B285" s="1" t="n">
        <v>44294</v>
      </c>
      <c r="C285" s="1" t="n">
        <v>45991</v>
      </c>
      <c r="D285" t="inlineStr">
        <is>
          <t>KALMAR LÄN</t>
        </is>
      </c>
      <c r="E285" t="inlineStr">
        <is>
          <t>VÄSTERVIK</t>
        </is>
      </c>
      <c r="G285" t="n">
        <v>1.5</v>
      </c>
      <c r="H285" t="n">
        <v>0</v>
      </c>
      <c r="I285" t="n">
        <v>0</v>
      </c>
      <c r="J285" t="n">
        <v>0</v>
      </c>
      <c r="K285" t="n">
        <v>0</v>
      </c>
      <c r="L285" t="n">
        <v>0</v>
      </c>
      <c r="M285" t="n">
        <v>0</v>
      </c>
      <c r="N285" t="n">
        <v>0</v>
      </c>
      <c r="O285" t="n">
        <v>0</v>
      </c>
      <c r="P285" t="n">
        <v>0</v>
      </c>
      <c r="Q285" t="n">
        <v>0</v>
      </c>
      <c r="R285" s="2" t="inlineStr"/>
    </row>
    <row r="286" ht="15" customHeight="1">
      <c r="A286" t="inlineStr">
        <is>
          <t>A 14317-2021</t>
        </is>
      </c>
      <c r="B286" s="1" t="n">
        <v>44278</v>
      </c>
      <c r="C286" s="1" t="n">
        <v>45991</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23626-2021</t>
        </is>
      </c>
      <c r="B287" s="1" t="n">
        <v>44334</v>
      </c>
      <c r="C287" s="1" t="n">
        <v>45991</v>
      </c>
      <c r="D287" t="inlineStr">
        <is>
          <t>KALMAR LÄN</t>
        </is>
      </c>
      <c r="E287" t="inlineStr">
        <is>
          <t>VÄSTERVIK</t>
        </is>
      </c>
      <c r="G287" t="n">
        <v>9</v>
      </c>
      <c r="H287" t="n">
        <v>0</v>
      </c>
      <c r="I287" t="n">
        <v>0</v>
      </c>
      <c r="J287" t="n">
        <v>0</v>
      </c>
      <c r="K287" t="n">
        <v>0</v>
      </c>
      <c r="L287" t="n">
        <v>0</v>
      </c>
      <c r="M287" t="n">
        <v>0</v>
      </c>
      <c r="N287" t="n">
        <v>0</v>
      </c>
      <c r="O287" t="n">
        <v>0</v>
      </c>
      <c r="P287" t="n">
        <v>0</v>
      </c>
      <c r="Q287" t="n">
        <v>0</v>
      </c>
      <c r="R287" s="2" t="inlineStr"/>
    </row>
    <row r="288" ht="15" customHeight="1">
      <c r="A288" t="inlineStr">
        <is>
          <t>A 19219-2021</t>
        </is>
      </c>
      <c r="B288" s="1" t="n">
        <v>44309</v>
      </c>
      <c r="C288" s="1" t="n">
        <v>45991</v>
      </c>
      <c r="D288" t="inlineStr">
        <is>
          <t>KALMAR LÄN</t>
        </is>
      </c>
      <c r="E288" t="inlineStr">
        <is>
          <t>VÄSTERVIK</t>
        </is>
      </c>
      <c r="G288" t="n">
        <v>0.9</v>
      </c>
      <c r="H288" t="n">
        <v>0</v>
      </c>
      <c r="I288" t="n">
        <v>0</v>
      </c>
      <c r="J288" t="n">
        <v>0</v>
      </c>
      <c r="K288" t="n">
        <v>0</v>
      </c>
      <c r="L288" t="n">
        <v>0</v>
      </c>
      <c r="M288" t="n">
        <v>0</v>
      </c>
      <c r="N288" t="n">
        <v>0</v>
      </c>
      <c r="O288" t="n">
        <v>0</v>
      </c>
      <c r="P288" t="n">
        <v>0</v>
      </c>
      <c r="Q288" t="n">
        <v>0</v>
      </c>
      <c r="R288" s="2" t="inlineStr"/>
    </row>
    <row r="289" ht="15" customHeight="1">
      <c r="A289" t="inlineStr">
        <is>
          <t>A 16728-2021</t>
        </is>
      </c>
      <c r="B289" s="1" t="n">
        <v>44294.68079861111</v>
      </c>
      <c r="C289" s="1" t="n">
        <v>45991</v>
      </c>
      <c r="D289" t="inlineStr">
        <is>
          <t>KALMAR LÄN</t>
        </is>
      </c>
      <c r="E289" t="inlineStr">
        <is>
          <t>VÄSTERVIK</t>
        </is>
      </c>
      <c r="G289" t="n">
        <v>3.1</v>
      </c>
      <c r="H289" t="n">
        <v>0</v>
      </c>
      <c r="I289" t="n">
        <v>0</v>
      </c>
      <c r="J289" t="n">
        <v>0</v>
      </c>
      <c r="K289" t="n">
        <v>0</v>
      </c>
      <c r="L289" t="n">
        <v>0</v>
      </c>
      <c r="M289" t="n">
        <v>0</v>
      </c>
      <c r="N289" t="n">
        <v>0</v>
      </c>
      <c r="O289" t="n">
        <v>0</v>
      </c>
      <c r="P289" t="n">
        <v>0</v>
      </c>
      <c r="Q289" t="n">
        <v>0</v>
      </c>
      <c r="R289" s="2" t="inlineStr"/>
    </row>
    <row r="290" ht="15" customHeight="1">
      <c r="A290" t="inlineStr">
        <is>
          <t>A 37748-2021</t>
        </is>
      </c>
      <c r="B290" s="1" t="n">
        <v>44400.63459490741</v>
      </c>
      <c r="C290" s="1" t="n">
        <v>45991</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8196-2021</t>
        </is>
      </c>
      <c r="B291" s="1" t="n">
        <v>44244</v>
      </c>
      <c r="C291" s="1" t="n">
        <v>45991</v>
      </c>
      <c r="D291" t="inlineStr">
        <is>
          <t>KALMAR LÄN</t>
        </is>
      </c>
      <c r="E291" t="inlineStr">
        <is>
          <t>VÄSTERVIK</t>
        </is>
      </c>
      <c r="G291" t="n">
        <v>3.5</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44582.5518287037</v>
      </c>
      <c r="C292" s="1" t="n">
        <v>45991</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45991</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44683.64341435185</v>
      </c>
      <c r="C294" s="1" t="n">
        <v>45991</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45991</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42164-2021</t>
        </is>
      </c>
      <c r="B296" s="1" t="n">
        <v>44426</v>
      </c>
      <c r="C296" s="1" t="n">
        <v>45991</v>
      </c>
      <c r="D296" t="inlineStr">
        <is>
          <t>KALMAR LÄN</t>
        </is>
      </c>
      <c r="E296" t="inlineStr">
        <is>
          <t>VÄSTERVIK</t>
        </is>
      </c>
      <c r="G296" t="n">
        <v>5.5</v>
      </c>
      <c r="H296" t="n">
        <v>0</v>
      </c>
      <c r="I296" t="n">
        <v>0</v>
      </c>
      <c r="J296" t="n">
        <v>0</v>
      </c>
      <c r="K296" t="n">
        <v>0</v>
      </c>
      <c r="L296" t="n">
        <v>0</v>
      </c>
      <c r="M296" t="n">
        <v>0</v>
      </c>
      <c r="N296" t="n">
        <v>0</v>
      </c>
      <c r="O296" t="n">
        <v>0</v>
      </c>
      <c r="P296" t="n">
        <v>0</v>
      </c>
      <c r="Q296" t="n">
        <v>0</v>
      </c>
      <c r="R296" s="2" t="inlineStr"/>
      <c r="U296">
        <f>HYPERLINK("https://klasma.github.io/Logging_0883/knärot/A 42164-2021 karta knärot.png", "A 42164-2021")</f>
        <v/>
      </c>
      <c r="V296">
        <f>HYPERLINK("https://klasma.github.io/Logging_0883/klagomål/A 42164-2021 FSC-klagomål.docx", "A 42164-2021")</f>
        <v/>
      </c>
      <c r="W296">
        <f>HYPERLINK("https://klasma.github.io/Logging_0883/klagomålsmail/A 42164-2021 FSC-klagomål mail.docx", "A 42164-2021")</f>
        <v/>
      </c>
      <c r="X296">
        <f>HYPERLINK("https://klasma.github.io/Logging_0883/tillsyn/A 42164-2021 tillsynsbegäran.docx", "A 42164-2021")</f>
        <v/>
      </c>
      <c r="Y296">
        <f>HYPERLINK("https://klasma.github.io/Logging_0883/tillsynsmail/A 42164-2021 tillsynsbegäran mail.docx", "A 42164-2021")</f>
        <v/>
      </c>
    </row>
    <row r="297" ht="15" customHeight="1">
      <c r="A297" t="inlineStr">
        <is>
          <t>A 52289-2022</t>
        </is>
      </c>
      <c r="B297" s="1" t="n">
        <v>44873.67061342593</v>
      </c>
      <c r="C297" s="1" t="n">
        <v>45991</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40062-2022</t>
        </is>
      </c>
      <c r="B298" s="1" t="n">
        <v>44820</v>
      </c>
      <c r="C298" s="1" t="n">
        <v>45991</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37036-2021</t>
        </is>
      </c>
      <c r="B299" s="1" t="n">
        <v>44393</v>
      </c>
      <c r="C299" s="1" t="n">
        <v>45991</v>
      </c>
      <c r="D299" t="inlineStr">
        <is>
          <t>KALMAR LÄN</t>
        </is>
      </c>
      <c r="E299" t="inlineStr">
        <is>
          <t>VÄSTERVIK</t>
        </is>
      </c>
      <c r="G299" t="n">
        <v>16.1</v>
      </c>
      <c r="H299" t="n">
        <v>0</v>
      </c>
      <c r="I299" t="n">
        <v>0</v>
      </c>
      <c r="J299" t="n">
        <v>0</v>
      </c>
      <c r="K299" t="n">
        <v>0</v>
      </c>
      <c r="L299" t="n">
        <v>0</v>
      </c>
      <c r="M299" t="n">
        <v>0</v>
      </c>
      <c r="N299" t="n">
        <v>0</v>
      </c>
      <c r="O299" t="n">
        <v>0</v>
      </c>
      <c r="P299" t="n">
        <v>0</v>
      </c>
      <c r="Q299" t="n">
        <v>0</v>
      </c>
      <c r="R299" s="2" t="inlineStr"/>
    </row>
    <row r="300" ht="15" customHeight="1">
      <c r="A300" t="inlineStr">
        <is>
          <t>A 14038-2022</t>
        </is>
      </c>
      <c r="B300" s="1" t="n">
        <v>44650</v>
      </c>
      <c r="C300" s="1" t="n">
        <v>45991</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64822-2021</t>
        </is>
      </c>
      <c r="B301" s="1" t="n">
        <v>44512</v>
      </c>
      <c r="C301" s="1" t="n">
        <v>45991</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64399-2020</t>
        </is>
      </c>
      <c r="B302" s="1" t="n">
        <v>44168.64150462963</v>
      </c>
      <c r="C302" s="1" t="n">
        <v>45991</v>
      </c>
      <c r="D302" t="inlineStr">
        <is>
          <t>KALMAR LÄN</t>
        </is>
      </c>
      <c r="E302" t="inlineStr">
        <is>
          <t>VÄSTERVIK</t>
        </is>
      </c>
      <c r="G302" t="n">
        <v>1.1</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45991</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45991</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45991</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45991</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45991</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45991</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23995-2021</t>
        </is>
      </c>
      <c r="B309" s="1" t="n">
        <v>44335.88846064815</v>
      </c>
      <c r="C309" s="1" t="n">
        <v>45991</v>
      </c>
      <c r="D309" t="inlineStr">
        <is>
          <t>KALMAR LÄN</t>
        </is>
      </c>
      <c r="E309" t="inlineStr">
        <is>
          <t>VÄSTERVIK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45991</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45991</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45991</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45991</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45991</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45991</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45991</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45991</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45991</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45991</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45991</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45991</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45991</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45991</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45991</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10117-2022</t>
        </is>
      </c>
      <c r="B325" s="1" t="n">
        <v>44621.90621527778</v>
      </c>
      <c r="C325" s="1" t="n">
        <v>45991</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45991</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45991</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45991</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45991</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45991</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66292-2020</t>
        </is>
      </c>
      <c r="B331" s="1" t="n">
        <v>44176</v>
      </c>
      <c r="C331" s="1" t="n">
        <v>45991</v>
      </c>
      <c r="D331" t="inlineStr">
        <is>
          <t>KALMAR LÄN</t>
        </is>
      </c>
      <c r="E331" t="inlineStr">
        <is>
          <t>VÄSTERVIK</t>
        </is>
      </c>
      <c r="G331" t="n">
        <v>0.8</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45991</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16765-2022</t>
        </is>
      </c>
      <c r="B333" s="1" t="n">
        <v>44673.48178240741</v>
      </c>
      <c r="C333" s="1" t="n">
        <v>45991</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65647-2020</t>
        </is>
      </c>
      <c r="B334" s="1" t="n">
        <v>44174.32638888889</v>
      </c>
      <c r="C334" s="1" t="n">
        <v>45991</v>
      </c>
      <c r="D334" t="inlineStr">
        <is>
          <t>KALMAR LÄN</t>
        </is>
      </c>
      <c r="E334" t="inlineStr">
        <is>
          <t>VÄSTERVIK</t>
        </is>
      </c>
      <c r="G334" t="n">
        <v>1.1</v>
      </c>
      <c r="H334" t="n">
        <v>0</v>
      </c>
      <c r="I334" t="n">
        <v>0</v>
      </c>
      <c r="J334" t="n">
        <v>0</v>
      </c>
      <c r="K334" t="n">
        <v>0</v>
      </c>
      <c r="L334" t="n">
        <v>0</v>
      </c>
      <c r="M334" t="n">
        <v>0</v>
      </c>
      <c r="N334" t="n">
        <v>0</v>
      </c>
      <c r="O334" t="n">
        <v>0</v>
      </c>
      <c r="P334" t="n">
        <v>0</v>
      </c>
      <c r="Q334" t="n">
        <v>0</v>
      </c>
      <c r="R334" s="2" t="inlineStr"/>
    </row>
    <row r="335" ht="15" customHeight="1">
      <c r="A335" t="inlineStr">
        <is>
          <t>A 33206-2022</t>
        </is>
      </c>
      <c r="B335" s="1" t="n">
        <v>44785</v>
      </c>
      <c r="C335" s="1" t="n">
        <v>45991</v>
      </c>
      <c r="D335" t="inlineStr">
        <is>
          <t>KALMAR LÄN</t>
        </is>
      </c>
      <c r="E335" t="inlineStr">
        <is>
          <t>VÄSTERVIK</t>
        </is>
      </c>
      <c r="G335" t="n">
        <v>1.8</v>
      </c>
      <c r="H335" t="n">
        <v>0</v>
      </c>
      <c r="I335" t="n">
        <v>0</v>
      </c>
      <c r="J335" t="n">
        <v>0</v>
      </c>
      <c r="K335" t="n">
        <v>0</v>
      </c>
      <c r="L335" t="n">
        <v>0</v>
      </c>
      <c r="M335" t="n">
        <v>0</v>
      </c>
      <c r="N335" t="n">
        <v>0</v>
      </c>
      <c r="O335" t="n">
        <v>0</v>
      </c>
      <c r="P335" t="n">
        <v>0</v>
      </c>
      <c r="Q335" t="n">
        <v>0</v>
      </c>
      <c r="R335" s="2" t="inlineStr"/>
    </row>
    <row r="336" ht="15" customHeight="1">
      <c r="A336" t="inlineStr">
        <is>
          <t>A 46783-2022</t>
        </is>
      </c>
      <c r="B336" s="1" t="n">
        <v>44851.50041666667</v>
      </c>
      <c r="C336" s="1" t="n">
        <v>45991</v>
      </c>
      <c r="D336" t="inlineStr">
        <is>
          <t>KALMAR LÄN</t>
        </is>
      </c>
      <c r="E336" t="inlineStr">
        <is>
          <t>VÄSTERVIK</t>
        </is>
      </c>
      <c r="G336" t="n">
        <v>2</v>
      </c>
      <c r="H336" t="n">
        <v>0</v>
      </c>
      <c r="I336" t="n">
        <v>0</v>
      </c>
      <c r="J336" t="n">
        <v>0</v>
      </c>
      <c r="K336" t="n">
        <v>0</v>
      </c>
      <c r="L336" t="n">
        <v>0</v>
      </c>
      <c r="M336" t="n">
        <v>0</v>
      </c>
      <c r="N336" t="n">
        <v>0</v>
      </c>
      <c r="O336" t="n">
        <v>0</v>
      </c>
      <c r="P336" t="n">
        <v>0</v>
      </c>
      <c r="Q336" t="n">
        <v>0</v>
      </c>
      <c r="R336" s="2" t="inlineStr"/>
    </row>
    <row r="337" ht="15" customHeight="1">
      <c r="A337" t="inlineStr">
        <is>
          <t>A 53108-2022</t>
        </is>
      </c>
      <c r="B337" s="1" t="n">
        <v>44876.43712962963</v>
      </c>
      <c r="C337" s="1" t="n">
        <v>45991</v>
      </c>
      <c r="D337" t="inlineStr">
        <is>
          <t>KALMAR LÄN</t>
        </is>
      </c>
      <c r="E337" t="inlineStr">
        <is>
          <t>VÄSTERVIK</t>
        </is>
      </c>
      <c r="G337" t="n">
        <v>1</v>
      </c>
      <c r="H337" t="n">
        <v>0</v>
      </c>
      <c r="I337" t="n">
        <v>0</v>
      </c>
      <c r="J337" t="n">
        <v>0</v>
      </c>
      <c r="K337" t="n">
        <v>0</v>
      </c>
      <c r="L337" t="n">
        <v>0</v>
      </c>
      <c r="M337" t="n">
        <v>0</v>
      </c>
      <c r="N337" t="n">
        <v>0</v>
      </c>
      <c r="O337" t="n">
        <v>0</v>
      </c>
      <c r="P337" t="n">
        <v>0</v>
      </c>
      <c r="Q337" t="n">
        <v>0</v>
      </c>
      <c r="R337" s="2" t="inlineStr"/>
    </row>
    <row r="338" ht="15" customHeight="1">
      <c r="A338" t="inlineStr">
        <is>
          <t>A 62930-2021</t>
        </is>
      </c>
      <c r="B338" s="1" t="n">
        <v>44504</v>
      </c>
      <c r="C338" s="1" t="n">
        <v>45991</v>
      </c>
      <c r="D338" t="inlineStr">
        <is>
          <t>KALMAR LÄN</t>
        </is>
      </c>
      <c r="E338" t="inlineStr">
        <is>
          <t>VÄSTERVIK</t>
        </is>
      </c>
      <c r="G338" t="n">
        <v>1.3</v>
      </c>
      <c r="H338" t="n">
        <v>0</v>
      </c>
      <c r="I338" t="n">
        <v>0</v>
      </c>
      <c r="J338" t="n">
        <v>0</v>
      </c>
      <c r="K338" t="n">
        <v>0</v>
      </c>
      <c r="L338" t="n">
        <v>0</v>
      </c>
      <c r="M338" t="n">
        <v>0</v>
      </c>
      <c r="N338" t="n">
        <v>0</v>
      </c>
      <c r="O338" t="n">
        <v>0</v>
      </c>
      <c r="P338" t="n">
        <v>0</v>
      </c>
      <c r="Q338" t="n">
        <v>0</v>
      </c>
      <c r="R338" s="2" t="inlineStr"/>
    </row>
    <row r="339" ht="15" customHeight="1">
      <c r="A339" t="inlineStr">
        <is>
          <t>A 15598-2021</t>
        </is>
      </c>
      <c r="B339" s="1" t="n">
        <v>44285.67078703704</v>
      </c>
      <c r="C339" s="1" t="n">
        <v>45991</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32583-2021</t>
        </is>
      </c>
      <c r="B340" s="1" t="n">
        <v>44375</v>
      </c>
      <c r="C340" s="1" t="n">
        <v>45991</v>
      </c>
      <c r="D340" t="inlineStr">
        <is>
          <t>KALMAR LÄN</t>
        </is>
      </c>
      <c r="E340" t="inlineStr">
        <is>
          <t>VÄSTERVIK</t>
        </is>
      </c>
      <c r="G340" t="n">
        <v>2.2</v>
      </c>
      <c r="H340" t="n">
        <v>0</v>
      </c>
      <c r="I340" t="n">
        <v>0</v>
      </c>
      <c r="J340" t="n">
        <v>0</v>
      </c>
      <c r="K340" t="n">
        <v>0</v>
      </c>
      <c r="L340" t="n">
        <v>0</v>
      </c>
      <c r="M340" t="n">
        <v>0</v>
      </c>
      <c r="N340" t="n">
        <v>0</v>
      </c>
      <c r="O340" t="n">
        <v>0</v>
      </c>
      <c r="P340" t="n">
        <v>0</v>
      </c>
      <c r="Q340" t="n">
        <v>0</v>
      </c>
      <c r="R340" s="2" t="inlineStr"/>
    </row>
    <row r="341" ht="15" customHeight="1">
      <c r="A341" t="inlineStr">
        <is>
          <t>A 13761-2021</t>
        </is>
      </c>
      <c r="B341" s="1" t="n">
        <v>44274.71607638889</v>
      </c>
      <c r="C341" s="1" t="n">
        <v>45991</v>
      </c>
      <c r="D341" t="inlineStr">
        <is>
          <t>KALMAR LÄN</t>
        </is>
      </c>
      <c r="E341" t="inlineStr">
        <is>
          <t>VÄSTERVIK</t>
        </is>
      </c>
      <c r="G341" t="n">
        <v>0.6</v>
      </c>
      <c r="H341" t="n">
        <v>0</v>
      </c>
      <c r="I341" t="n">
        <v>0</v>
      </c>
      <c r="J341" t="n">
        <v>0</v>
      </c>
      <c r="K341" t="n">
        <v>0</v>
      </c>
      <c r="L341" t="n">
        <v>0</v>
      </c>
      <c r="M341" t="n">
        <v>0</v>
      </c>
      <c r="N341" t="n">
        <v>0</v>
      </c>
      <c r="O341" t="n">
        <v>0</v>
      </c>
      <c r="P341" t="n">
        <v>0</v>
      </c>
      <c r="Q341" t="n">
        <v>0</v>
      </c>
      <c r="R341" s="2" t="inlineStr"/>
    </row>
    <row r="342" ht="15" customHeight="1">
      <c r="A342" t="inlineStr">
        <is>
          <t>A 31545-2021</t>
        </is>
      </c>
      <c r="B342" s="1" t="n">
        <v>44369</v>
      </c>
      <c r="C342" s="1" t="n">
        <v>45991</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45991</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18013-2021</t>
        </is>
      </c>
      <c r="B344" s="1" t="n">
        <v>44302</v>
      </c>
      <c r="C344" s="1" t="n">
        <v>45991</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55382-2022</t>
        </is>
      </c>
      <c r="B345" s="1" t="n">
        <v>44887</v>
      </c>
      <c r="C345" s="1" t="n">
        <v>45991</v>
      </c>
      <c r="D345" t="inlineStr">
        <is>
          <t>KALMAR LÄN</t>
        </is>
      </c>
      <c r="E345" t="inlineStr">
        <is>
          <t>VÄSTERVIK</t>
        </is>
      </c>
      <c r="G345" t="n">
        <v>3.2</v>
      </c>
      <c r="H345" t="n">
        <v>0</v>
      </c>
      <c r="I345" t="n">
        <v>0</v>
      </c>
      <c r="J345" t="n">
        <v>0</v>
      </c>
      <c r="K345" t="n">
        <v>0</v>
      </c>
      <c r="L345" t="n">
        <v>0</v>
      </c>
      <c r="M345" t="n">
        <v>0</v>
      </c>
      <c r="N345" t="n">
        <v>0</v>
      </c>
      <c r="O345" t="n">
        <v>0</v>
      </c>
      <c r="P345" t="n">
        <v>0</v>
      </c>
      <c r="Q345" t="n">
        <v>0</v>
      </c>
      <c r="R345" s="2" t="inlineStr"/>
    </row>
    <row r="346" ht="15" customHeight="1">
      <c r="A346" t="inlineStr">
        <is>
          <t>A 3669-2021</t>
        </is>
      </c>
      <c r="B346" s="1" t="n">
        <v>44221</v>
      </c>
      <c r="C346" s="1" t="n">
        <v>45991</v>
      </c>
      <c r="D346" t="inlineStr">
        <is>
          <t>KALMAR LÄN</t>
        </is>
      </c>
      <c r="E346" t="inlineStr">
        <is>
          <t>VÄSTERVIK</t>
        </is>
      </c>
      <c r="G346" t="n">
        <v>2.7</v>
      </c>
      <c r="H346" t="n">
        <v>0</v>
      </c>
      <c r="I346" t="n">
        <v>0</v>
      </c>
      <c r="J346" t="n">
        <v>0</v>
      </c>
      <c r="K346" t="n">
        <v>0</v>
      </c>
      <c r="L346" t="n">
        <v>0</v>
      </c>
      <c r="M346" t="n">
        <v>0</v>
      </c>
      <c r="N346" t="n">
        <v>0</v>
      </c>
      <c r="O346" t="n">
        <v>0</v>
      </c>
      <c r="P346" t="n">
        <v>0</v>
      </c>
      <c r="Q346" t="n">
        <v>0</v>
      </c>
      <c r="R346" s="2" t="inlineStr"/>
    </row>
    <row r="347" ht="15" customHeight="1">
      <c r="A347" t="inlineStr">
        <is>
          <t>A 3718-2022</t>
        </is>
      </c>
      <c r="B347" s="1" t="n">
        <v>44586</v>
      </c>
      <c r="C347" s="1" t="n">
        <v>45991</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809-2021</t>
        </is>
      </c>
      <c r="B348" s="1" t="n">
        <v>44204</v>
      </c>
      <c r="C348" s="1" t="n">
        <v>45991</v>
      </c>
      <c r="D348" t="inlineStr">
        <is>
          <t>KALMAR LÄN</t>
        </is>
      </c>
      <c r="E348" t="inlineStr">
        <is>
          <t>VÄSTERVIK</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49377-2022</t>
        </is>
      </c>
      <c r="B349" s="1" t="n">
        <v>44861.60849537037</v>
      </c>
      <c r="C349" s="1" t="n">
        <v>45991</v>
      </c>
      <c r="D349" t="inlineStr">
        <is>
          <t>KALMAR LÄN</t>
        </is>
      </c>
      <c r="E349" t="inlineStr">
        <is>
          <t>VÄSTERVIK</t>
        </is>
      </c>
      <c r="G349" t="n">
        <v>1.1</v>
      </c>
      <c r="H349" t="n">
        <v>0</v>
      </c>
      <c r="I349" t="n">
        <v>0</v>
      </c>
      <c r="J349" t="n">
        <v>0</v>
      </c>
      <c r="K349" t="n">
        <v>0</v>
      </c>
      <c r="L349" t="n">
        <v>0</v>
      </c>
      <c r="M349" t="n">
        <v>0</v>
      </c>
      <c r="N349" t="n">
        <v>0</v>
      </c>
      <c r="O349" t="n">
        <v>0</v>
      </c>
      <c r="P349" t="n">
        <v>0</v>
      </c>
      <c r="Q349" t="n">
        <v>0</v>
      </c>
      <c r="R349" s="2" t="inlineStr"/>
    </row>
    <row r="350" ht="15" customHeight="1">
      <c r="A350" t="inlineStr">
        <is>
          <t>A 578-2021</t>
        </is>
      </c>
      <c r="B350" s="1" t="n">
        <v>44203</v>
      </c>
      <c r="C350" s="1" t="n">
        <v>45991</v>
      </c>
      <c r="D350" t="inlineStr">
        <is>
          <t>KALMAR LÄN</t>
        </is>
      </c>
      <c r="E350" t="inlineStr">
        <is>
          <t>VÄSTERVIK</t>
        </is>
      </c>
      <c r="G350" t="n">
        <v>3.5</v>
      </c>
      <c r="H350" t="n">
        <v>0</v>
      </c>
      <c r="I350" t="n">
        <v>0</v>
      </c>
      <c r="J350" t="n">
        <v>0</v>
      </c>
      <c r="K350" t="n">
        <v>0</v>
      </c>
      <c r="L350" t="n">
        <v>0</v>
      </c>
      <c r="M350" t="n">
        <v>0</v>
      </c>
      <c r="N350" t="n">
        <v>0</v>
      </c>
      <c r="O350" t="n">
        <v>0</v>
      </c>
      <c r="P350" t="n">
        <v>0</v>
      </c>
      <c r="Q350" t="n">
        <v>0</v>
      </c>
      <c r="R350" s="2" t="inlineStr"/>
    </row>
    <row r="351" ht="15" customHeight="1">
      <c r="A351" t="inlineStr">
        <is>
          <t>A 12123-2021</t>
        </is>
      </c>
      <c r="B351" s="1" t="n">
        <v>44266.55212962963</v>
      </c>
      <c r="C351" s="1" t="n">
        <v>45991</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4057-2022</t>
        </is>
      </c>
      <c r="B352" s="1" t="n">
        <v>44588</v>
      </c>
      <c r="C352" s="1" t="n">
        <v>45991</v>
      </c>
      <c r="D352" t="inlineStr">
        <is>
          <t>KALMAR LÄN</t>
        </is>
      </c>
      <c r="E352" t="inlineStr">
        <is>
          <t>VÄSTERVIK</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66748-2020</t>
        </is>
      </c>
      <c r="B353" s="1" t="n">
        <v>44175</v>
      </c>
      <c r="C353" s="1" t="n">
        <v>45991</v>
      </c>
      <c r="D353" t="inlineStr">
        <is>
          <t>KALMAR LÄN</t>
        </is>
      </c>
      <c r="E353" t="inlineStr">
        <is>
          <t>VÄSTERVIK</t>
        </is>
      </c>
      <c r="G353" t="n">
        <v>2.2</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45991</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45991</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45991</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45991</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45991</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45991</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45991</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45991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45991</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45991</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45991</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66888-2020</t>
        </is>
      </c>
      <c r="B365" s="1" t="n">
        <v>44179</v>
      </c>
      <c r="C365" s="1" t="n">
        <v>45991</v>
      </c>
      <c r="D365" t="inlineStr">
        <is>
          <t>KALMAR LÄN</t>
        </is>
      </c>
      <c r="E365" t="inlineStr">
        <is>
          <t>VÄSTERVIK</t>
        </is>
      </c>
      <c r="G365" t="n">
        <v>0.3</v>
      </c>
      <c r="H365" t="n">
        <v>0</v>
      </c>
      <c r="I365" t="n">
        <v>0</v>
      </c>
      <c r="J365" t="n">
        <v>0</v>
      </c>
      <c r="K365" t="n">
        <v>0</v>
      </c>
      <c r="L365" t="n">
        <v>0</v>
      </c>
      <c r="M365" t="n">
        <v>0</v>
      </c>
      <c r="N365" t="n">
        <v>0</v>
      </c>
      <c r="O365" t="n">
        <v>0</v>
      </c>
      <c r="P365" t="n">
        <v>0</v>
      </c>
      <c r="Q365" t="n">
        <v>0</v>
      </c>
      <c r="R365" s="2" t="inlineStr"/>
    </row>
    <row r="366" ht="15" customHeight="1">
      <c r="A366" t="inlineStr">
        <is>
          <t>A 410-2021</t>
        </is>
      </c>
      <c r="B366" s="1" t="n">
        <v>44201.63928240741</v>
      </c>
      <c r="C366" s="1" t="n">
        <v>45991</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45991</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45991</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45991</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45991</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45991</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45991</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45991</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6974-2021</t>
        </is>
      </c>
      <c r="B374" s="1" t="n">
        <v>44237</v>
      </c>
      <c r="C374" s="1" t="n">
        <v>45991</v>
      </c>
      <c r="D374" t="inlineStr">
        <is>
          <t>KALMAR LÄN</t>
        </is>
      </c>
      <c r="E374" t="inlineStr">
        <is>
          <t>VÄSTERVIK</t>
        </is>
      </c>
      <c r="G374" t="n">
        <v>2.2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45991</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66149-2020</t>
        </is>
      </c>
      <c r="B376" s="1" t="n">
        <v>44173</v>
      </c>
      <c r="C376" s="1" t="n">
        <v>45991</v>
      </c>
      <c r="D376" t="inlineStr">
        <is>
          <t>KALMAR LÄN</t>
        </is>
      </c>
      <c r="E376" t="inlineStr">
        <is>
          <t>VÄSTERVIK</t>
        </is>
      </c>
      <c r="G376" t="n">
        <v>1.1</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45991</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45991</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45991</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45991</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45991</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45991</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45991</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45991</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45991</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45991</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45991</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45991</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2106-2021</t>
        </is>
      </c>
      <c r="B389" s="1" t="n">
        <v>44211</v>
      </c>
      <c r="C389" s="1" t="n">
        <v>45991</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45991</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45991</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45991</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789-2021</t>
        </is>
      </c>
      <c r="B393" s="1" t="n">
        <v>44204</v>
      </c>
      <c r="C393" s="1" t="n">
        <v>45991</v>
      </c>
      <c r="D393" t="inlineStr">
        <is>
          <t>KALMAR LÄN</t>
        </is>
      </c>
      <c r="E393" t="inlineStr">
        <is>
          <t>VÄSTERVIK</t>
        </is>
      </c>
      <c r="G393" t="n">
        <v>1.8</v>
      </c>
      <c r="H393" t="n">
        <v>0</v>
      </c>
      <c r="I393" t="n">
        <v>0</v>
      </c>
      <c r="J393" t="n">
        <v>0</v>
      </c>
      <c r="K393" t="n">
        <v>0</v>
      </c>
      <c r="L393" t="n">
        <v>0</v>
      </c>
      <c r="M393" t="n">
        <v>0</v>
      </c>
      <c r="N393" t="n">
        <v>0</v>
      </c>
      <c r="O393" t="n">
        <v>0</v>
      </c>
      <c r="P393" t="n">
        <v>0</v>
      </c>
      <c r="Q393" t="n">
        <v>0</v>
      </c>
      <c r="R393" s="2" t="inlineStr"/>
    </row>
    <row r="394" ht="15" customHeight="1">
      <c r="A394" t="inlineStr">
        <is>
          <t>A 43807-2021</t>
        </is>
      </c>
      <c r="B394" s="1" t="n">
        <v>44433</v>
      </c>
      <c r="C394" s="1" t="n">
        <v>45991</v>
      </c>
      <c r="D394" t="inlineStr">
        <is>
          <t>KALMAR LÄN</t>
        </is>
      </c>
      <c r="E394" t="inlineStr">
        <is>
          <t>VÄSTERVIK</t>
        </is>
      </c>
      <c r="G394" t="n">
        <v>3.2</v>
      </c>
      <c r="H394" t="n">
        <v>0</v>
      </c>
      <c r="I394" t="n">
        <v>0</v>
      </c>
      <c r="J394" t="n">
        <v>0</v>
      </c>
      <c r="K394" t="n">
        <v>0</v>
      </c>
      <c r="L394" t="n">
        <v>0</v>
      </c>
      <c r="M394" t="n">
        <v>0</v>
      </c>
      <c r="N394" t="n">
        <v>0</v>
      </c>
      <c r="O394" t="n">
        <v>0</v>
      </c>
      <c r="P394" t="n">
        <v>0</v>
      </c>
      <c r="Q394" t="n">
        <v>0</v>
      </c>
      <c r="R394" s="2" t="inlineStr"/>
    </row>
    <row r="395" ht="15" customHeight="1">
      <c r="A395" t="inlineStr">
        <is>
          <t>A 40920-2022</t>
        </is>
      </c>
      <c r="B395" s="1" t="n">
        <v>44825.40943287037</v>
      </c>
      <c r="C395" s="1" t="n">
        <v>45991</v>
      </c>
      <c r="D395" t="inlineStr">
        <is>
          <t>KALMAR LÄN</t>
        </is>
      </c>
      <c r="E395" t="inlineStr">
        <is>
          <t>VÄSTERVIK</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45991</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45991</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19660-2021</t>
        </is>
      </c>
      <c r="B398" s="1" t="n">
        <v>44312</v>
      </c>
      <c r="C398" s="1" t="n">
        <v>45991</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66757-2020</t>
        </is>
      </c>
      <c r="B399" s="1" t="n">
        <v>44175</v>
      </c>
      <c r="C399" s="1" t="n">
        <v>45991</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959-2022</t>
        </is>
      </c>
      <c r="B400" s="1" t="n">
        <v>44571</v>
      </c>
      <c r="C400" s="1" t="n">
        <v>45991</v>
      </c>
      <c r="D400" t="inlineStr">
        <is>
          <t>KALMAR LÄN</t>
        </is>
      </c>
      <c r="E400" t="inlineStr">
        <is>
          <t>VÄSTERVIK</t>
        </is>
      </c>
      <c r="G400" t="n">
        <v>2.5</v>
      </c>
      <c r="H400" t="n">
        <v>0</v>
      </c>
      <c r="I400" t="n">
        <v>0</v>
      </c>
      <c r="J400" t="n">
        <v>0</v>
      </c>
      <c r="K400" t="n">
        <v>0</v>
      </c>
      <c r="L400" t="n">
        <v>0</v>
      </c>
      <c r="M400" t="n">
        <v>0</v>
      </c>
      <c r="N400" t="n">
        <v>0</v>
      </c>
      <c r="O400" t="n">
        <v>0</v>
      </c>
      <c r="P400" t="n">
        <v>0</v>
      </c>
      <c r="Q400" t="n">
        <v>0</v>
      </c>
      <c r="R400" s="2" t="inlineStr"/>
    </row>
    <row r="401" ht="15" customHeight="1">
      <c r="A401" t="inlineStr">
        <is>
          <t>A 34118-2021</t>
        </is>
      </c>
      <c r="B401" s="1" t="n">
        <v>44379.45400462963</v>
      </c>
      <c r="C401" s="1" t="n">
        <v>45991</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34125-2021</t>
        </is>
      </c>
      <c r="B402" s="1" t="n">
        <v>44379.4646875</v>
      </c>
      <c r="C402" s="1" t="n">
        <v>45991</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34493-2021</t>
        </is>
      </c>
      <c r="B403" s="1" t="n">
        <v>44382</v>
      </c>
      <c r="C403" s="1" t="n">
        <v>45991</v>
      </c>
      <c r="D403" t="inlineStr">
        <is>
          <t>KALMAR LÄN</t>
        </is>
      </c>
      <c r="E403" t="inlineStr">
        <is>
          <t>VÄSTERVIK</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31319-2021</t>
        </is>
      </c>
      <c r="B404" s="1" t="n">
        <v>44368.91321759259</v>
      </c>
      <c r="C404" s="1" t="n">
        <v>45991</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19644-2021</t>
        </is>
      </c>
      <c r="B405" s="1" t="n">
        <v>44312</v>
      </c>
      <c r="C405" s="1" t="n">
        <v>45991</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18470-2021</t>
        </is>
      </c>
      <c r="B406" s="1" t="n">
        <v>44306.31681712963</v>
      </c>
      <c r="C406" s="1" t="n">
        <v>45991</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23996-2021</t>
        </is>
      </c>
      <c r="B407" s="1" t="n">
        <v>44335.88916666667</v>
      </c>
      <c r="C407" s="1" t="n">
        <v>45991</v>
      </c>
      <c r="D407" t="inlineStr">
        <is>
          <t>KALMAR LÄN</t>
        </is>
      </c>
      <c r="E407" t="inlineStr">
        <is>
          <t>VÄSTERVIK</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61317-2021</t>
        </is>
      </c>
      <c r="B408" s="1" t="n">
        <v>44498.65975694444</v>
      </c>
      <c r="C408" s="1" t="n">
        <v>45991</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49404-2021</t>
        </is>
      </c>
      <c r="B409" s="1" t="n">
        <v>44454.63494212963</v>
      </c>
      <c r="C409" s="1" t="n">
        <v>45991</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49407-2021</t>
        </is>
      </c>
      <c r="B410" s="1" t="n">
        <v>44454.63644675926</v>
      </c>
      <c r="C410" s="1" t="n">
        <v>45991</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68811-2020</t>
        </is>
      </c>
      <c r="B411" s="1" t="n">
        <v>44187</v>
      </c>
      <c r="C411" s="1" t="n">
        <v>45991</v>
      </c>
      <c r="D411" t="inlineStr">
        <is>
          <t>KALMAR LÄN</t>
        </is>
      </c>
      <c r="E411" t="inlineStr">
        <is>
          <t>VÄSTERVIK</t>
        </is>
      </c>
      <c r="G411" t="n">
        <v>2.3</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45991</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45991</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24584-2024</t>
        </is>
      </c>
      <c r="B414" s="1" t="n">
        <v>45460</v>
      </c>
      <c r="C414" s="1" t="n">
        <v>45991</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41342-2023</t>
        </is>
      </c>
      <c r="B415" s="1" t="n">
        <v>45174.72416666667</v>
      </c>
      <c r="C415" s="1" t="n">
        <v>45991</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31952-2021</t>
        </is>
      </c>
      <c r="B416" s="1" t="n">
        <v>44370</v>
      </c>
      <c r="C416" s="1" t="n">
        <v>45991</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35662-2023</t>
        </is>
      </c>
      <c r="B417" s="1" t="n">
        <v>45147</v>
      </c>
      <c r="C417" s="1" t="n">
        <v>45991</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46121-2023</t>
        </is>
      </c>
      <c r="B418" s="1" t="n">
        <v>45196.55392361111</v>
      </c>
      <c r="C418" s="1" t="n">
        <v>45991</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45991</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11848-2024</t>
        </is>
      </c>
      <c r="B420" s="1" t="n">
        <v>45376.41653935185</v>
      </c>
      <c r="C420" s="1" t="n">
        <v>45991</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58703-2023</t>
        </is>
      </c>
      <c r="B421" s="1" t="n">
        <v>45251</v>
      </c>
      <c r="C421" s="1" t="n">
        <v>45991</v>
      </c>
      <c r="D421" t="inlineStr">
        <is>
          <t>KALMAR LÄN</t>
        </is>
      </c>
      <c r="E421" t="inlineStr">
        <is>
          <t>VÄSTERVIK</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34420-2024</t>
        </is>
      </c>
      <c r="B422" s="1" t="n">
        <v>45525.49710648148</v>
      </c>
      <c r="C422" s="1" t="n">
        <v>45991</v>
      </c>
      <c r="D422" t="inlineStr">
        <is>
          <t>KALMAR LÄN</t>
        </is>
      </c>
      <c r="E422" t="inlineStr">
        <is>
          <t>VÄSTERVIK</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14385-2023</t>
        </is>
      </c>
      <c r="B423" s="1" t="n">
        <v>45012</v>
      </c>
      <c r="C423" s="1" t="n">
        <v>45991</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16834-2023</t>
        </is>
      </c>
      <c r="B424" s="1" t="n">
        <v>45033</v>
      </c>
      <c r="C424" s="1" t="n">
        <v>45991</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15765-2023</t>
        </is>
      </c>
      <c r="B425" s="1" t="n">
        <v>45021</v>
      </c>
      <c r="C425" s="1" t="n">
        <v>45991</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63890-2023</t>
        </is>
      </c>
      <c r="B426" s="1" t="n">
        <v>45278</v>
      </c>
      <c r="C426" s="1" t="n">
        <v>45991</v>
      </c>
      <c r="D426" t="inlineStr">
        <is>
          <t>KALMAR LÄN</t>
        </is>
      </c>
      <c r="E426" t="inlineStr">
        <is>
          <t>VÄSTERVIK</t>
        </is>
      </c>
      <c r="G426" t="n">
        <v>2.3</v>
      </c>
      <c r="H426" t="n">
        <v>0</v>
      </c>
      <c r="I426" t="n">
        <v>0</v>
      </c>
      <c r="J426" t="n">
        <v>0</v>
      </c>
      <c r="K426" t="n">
        <v>0</v>
      </c>
      <c r="L426" t="n">
        <v>0</v>
      </c>
      <c r="M426" t="n">
        <v>0</v>
      </c>
      <c r="N426" t="n">
        <v>0</v>
      </c>
      <c r="O426" t="n">
        <v>0</v>
      </c>
      <c r="P426" t="n">
        <v>0</v>
      </c>
      <c r="Q426" t="n">
        <v>0</v>
      </c>
      <c r="R426" s="2" t="inlineStr"/>
    </row>
    <row r="427" ht="15" customHeight="1">
      <c r="A427" t="inlineStr">
        <is>
          <t>A 60634-2023</t>
        </is>
      </c>
      <c r="B427" s="1" t="n">
        <v>45260.40186342593</v>
      </c>
      <c r="C427" s="1" t="n">
        <v>45991</v>
      </c>
      <c r="D427" t="inlineStr">
        <is>
          <t>KALMAR LÄN</t>
        </is>
      </c>
      <c r="E427" t="inlineStr">
        <is>
          <t>VÄSTERVIK</t>
        </is>
      </c>
      <c r="G427" t="n">
        <v>2</v>
      </c>
      <c r="H427" t="n">
        <v>0</v>
      </c>
      <c r="I427" t="n">
        <v>0</v>
      </c>
      <c r="J427" t="n">
        <v>0</v>
      </c>
      <c r="K427" t="n">
        <v>0</v>
      </c>
      <c r="L427" t="n">
        <v>0</v>
      </c>
      <c r="M427" t="n">
        <v>0</v>
      </c>
      <c r="N427" t="n">
        <v>0</v>
      </c>
      <c r="O427" t="n">
        <v>0</v>
      </c>
      <c r="P427" t="n">
        <v>0</v>
      </c>
      <c r="Q427" t="n">
        <v>0</v>
      </c>
      <c r="R427" s="2" t="inlineStr"/>
    </row>
    <row r="428" ht="15" customHeight="1">
      <c r="A428" t="inlineStr">
        <is>
          <t>A 35456-2024</t>
        </is>
      </c>
      <c r="B428" s="1" t="n">
        <v>45531</v>
      </c>
      <c r="C428" s="1" t="n">
        <v>45991</v>
      </c>
      <c r="D428" t="inlineStr">
        <is>
          <t>KALMAR LÄN</t>
        </is>
      </c>
      <c r="E428" t="inlineStr">
        <is>
          <t>VÄSTERVIK</t>
        </is>
      </c>
      <c r="G428" t="n">
        <v>5.8</v>
      </c>
      <c r="H428" t="n">
        <v>0</v>
      </c>
      <c r="I428" t="n">
        <v>0</v>
      </c>
      <c r="J428" t="n">
        <v>0</v>
      </c>
      <c r="K428" t="n">
        <v>0</v>
      </c>
      <c r="L428" t="n">
        <v>0</v>
      </c>
      <c r="M428" t="n">
        <v>0</v>
      </c>
      <c r="N428" t="n">
        <v>0</v>
      </c>
      <c r="O428" t="n">
        <v>0</v>
      </c>
      <c r="P428" t="n">
        <v>0</v>
      </c>
      <c r="Q428" t="n">
        <v>0</v>
      </c>
      <c r="R428" s="2" t="inlineStr"/>
    </row>
    <row r="429" ht="15" customHeight="1">
      <c r="A429" t="inlineStr">
        <is>
          <t>A 10774-2025</t>
        </is>
      </c>
      <c r="B429" s="1" t="n">
        <v>45722.47424768518</v>
      </c>
      <c r="C429" s="1" t="n">
        <v>45991</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60147-2024</t>
        </is>
      </c>
      <c r="B430" s="1" t="n">
        <v>45642.61109953704</v>
      </c>
      <c r="C430" s="1" t="n">
        <v>45991</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49452-2023</t>
        </is>
      </c>
      <c r="B431" s="1" t="n">
        <v>45211.49424768519</v>
      </c>
      <c r="C431" s="1" t="n">
        <v>45991</v>
      </c>
      <c r="D431" t="inlineStr">
        <is>
          <t>KALMAR LÄN</t>
        </is>
      </c>
      <c r="E431" t="inlineStr">
        <is>
          <t>VÄSTERVIK</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49507-2023</t>
        </is>
      </c>
      <c r="B432" s="1" t="n">
        <v>45211.5790625</v>
      </c>
      <c r="C432" s="1" t="n">
        <v>45991</v>
      </c>
      <c r="D432" t="inlineStr">
        <is>
          <t>KALMAR LÄN</t>
        </is>
      </c>
      <c r="E432" t="inlineStr">
        <is>
          <t>VÄSTERVIK</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69753-2021</t>
        </is>
      </c>
      <c r="B433" s="1" t="n">
        <v>44532.56175925926</v>
      </c>
      <c r="C433" s="1" t="n">
        <v>45991</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45991</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11741-2023</t>
        </is>
      </c>
      <c r="B435" s="1" t="n">
        <v>44994.58689814815</v>
      </c>
      <c r="C435" s="1" t="n">
        <v>45991</v>
      </c>
      <c r="D435" t="inlineStr">
        <is>
          <t>KALMAR LÄN</t>
        </is>
      </c>
      <c r="E435" t="inlineStr">
        <is>
          <t>VÄSTERVIK</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3190-2023</t>
        </is>
      </c>
      <c r="B436" s="1" t="n">
        <v>44946.61086805556</v>
      </c>
      <c r="C436" s="1" t="n">
        <v>45991</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45991</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45991</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5450-2022</t>
        </is>
      </c>
      <c r="B439" s="1" t="n">
        <v>44595</v>
      </c>
      <c r="C439" s="1" t="n">
        <v>45991</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1568-2023</t>
        </is>
      </c>
      <c r="B440" s="1" t="n">
        <v>44937</v>
      </c>
      <c r="C440" s="1" t="n">
        <v>45991</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25403-2023</t>
        </is>
      </c>
      <c r="B441" s="1" t="n">
        <v>45079</v>
      </c>
      <c r="C441" s="1" t="n">
        <v>45991</v>
      </c>
      <c r="D441" t="inlineStr">
        <is>
          <t>KALMAR LÄN</t>
        </is>
      </c>
      <c r="E441" t="inlineStr">
        <is>
          <t>VÄSTERVIK</t>
        </is>
      </c>
      <c r="G441" t="n">
        <v>4.3</v>
      </c>
      <c r="H441" t="n">
        <v>0</v>
      </c>
      <c r="I441" t="n">
        <v>0</v>
      </c>
      <c r="J441" t="n">
        <v>0</v>
      </c>
      <c r="K441" t="n">
        <v>0</v>
      </c>
      <c r="L441" t="n">
        <v>0</v>
      </c>
      <c r="M441" t="n">
        <v>0</v>
      </c>
      <c r="N441" t="n">
        <v>0</v>
      </c>
      <c r="O441" t="n">
        <v>0</v>
      </c>
      <c r="P441" t="n">
        <v>0</v>
      </c>
      <c r="Q441" t="n">
        <v>0</v>
      </c>
      <c r="R441" s="2" t="inlineStr"/>
    </row>
    <row r="442" ht="15" customHeight="1">
      <c r="A442" t="inlineStr">
        <is>
          <t>A 12643-2024</t>
        </is>
      </c>
      <c r="B442" s="1" t="n">
        <v>45379</v>
      </c>
      <c r="C442" s="1" t="n">
        <v>45991</v>
      </c>
      <c r="D442" t="inlineStr">
        <is>
          <t>KALMAR LÄN</t>
        </is>
      </c>
      <c r="E442" t="inlineStr">
        <is>
          <t>VÄSTERVIK</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6312-2024</t>
        </is>
      </c>
      <c r="B443" s="1" t="n">
        <v>45338</v>
      </c>
      <c r="C443" s="1" t="n">
        <v>45991</v>
      </c>
      <c r="D443" t="inlineStr">
        <is>
          <t>KALMAR LÄN</t>
        </is>
      </c>
      <c r="E443" t="inlineStr">
        <is>
          <t>VÄSTERVIK</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12455-2025</t>
        </is>
      </c>
      <c r="B444" s="1" t="n">
        <v>45730</v>
      </c>
      <c r="C444" s="1" t="n">
        <v>45991</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45202-2023</t>
        </is>
      </c>
      <c r="B445" s="1" t="n">
        <v>45191</v>
      </c>
      <c r="C445" s="1" t="n">
        <v>45991</v>
      </c>
      <c r="D445" t="inlineStr">
        <is>
          <t>KALMAR LÄN</t>
        </is>
      </c>
      <c r="E445" t="inlineStr">
        <is>
          <t>VÄSTERVIK</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14151-2021</t>
        </is>
      </c>
      <c r="B446" s="1" t="n">
        <v>44278.41052083333</v>
      </c>
      <c r="C446" s="1" t="n">
        <v>45991</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55053-2024</t>
        </is>
      </c>
      <c r="B447" s="1" t="n">
        <v>45621.39938657408</v>
      </c>
      <c r="C447" s="1" t="n">
        <v>45991</v>
      </c>
      <c r="D447" t="inlineStr">
        <is>
          <t>KALMAR LÄN</t>
        </is>
      </c>
      <c r="E447" t="inlineStr">
        <is>
          <t>VÄSTERVIK</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13840-2024</t>
        </is>
      </c>
      <c r="B448" s="1" t="n">
        <v>45391.44885416667</v>
      </c>
      <c r="C448" s="1" t="n">
        <v>45991</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20204-2021</t>
        </is>
      </c>
      <c r="B449" s="1" t="n">
        <v>44314</v>
      </c>
      <c r="C449" s="1" t="n">
        <v>45991</v>
      </c>
      <c r="D449" t="inlineStr">
        <is>
          <t>KALMAR LÄN</t>
        </is>
      </c>
      <c r="E449" t="inlineStr">
        <is>
          <t>VÄSTERVIK</t>
        </is>
      </c>
      <c r="F449" t="inlineStr">
        <is>
          <t>Holmen skog AB</t>
        </is>
      </c>
      <c r="G449" t="n">
        <v>12.1</v>
      </c>
      <c r="H449" t="n">
        <v>0</v>
      </c>
      <c r="I449" t="n">
        <v>0</v>
      </c>
      <c r="J449" t="n">
        <v>0</v>
      </c>
      <c r="K449" t="n">
        <v>0</v>
      </c>
      <c r="L449" t="n">
        <v>0</v>
      </c>
      <c r="M449" t="n">
        <v>0</v>
      </c>
      <c r="N449" t="n">
        <v>0</v>
      </c>
      <c r="O449" t="n">
        <v>0</v>
      </c>
      <c r="P449" t="n">
        <v>0</v>
      </c>
      <c r="Q449" t="n">
        <v>0</v>
      </c>
      <c r="R449" s="2" t="inlineStr"/>
    </row>
    <row r="450" ht="15" customHeight="1">
      <c r="A450" t="inlineStr">
        <is>
          <t>A 8007-2023</t>
        </is>
      </c>
      <c r="B450" s="1" t="n">
        <v>44973.88759259259</v>
      </c>
      <c r="C450" s="1" t="n">
        <v>45991</v>
      </c>
      <c r="D450" t="inlineStr">
        <is>
          <t>KALMAR LÄN</t>
        </is>
      </c>
      <c r="E450" t="inlineStr">
        <is>
          <t>VÄSTERVIK</t>
        </is>
      </c>
      <c r="G450" t="n">
        <v>4.5</v>
      </c>
      <c r="H450" t="n">
        <v>0</v>
      </c>
      <c r="I450" t="n">
        <v>0</v>
      </c>
      <c r="J450" t="n">
        <v>0</v>
      </c>
      <c r="K450" t="n">
        <v>0</v>
      </c>
      <c r="L450" t="n">
        <v>0</v>
      </c>
      <c r="M450" t="n">
        <v>0</v>
      </c>
      <c r="N450" t="n">
        <v>0</v>
      </c>
      <c r="O450" t="n">
        <v>0</v>
      </c>
      <c r="P450" t="n">
        <v>0</v>
      </c>
      <c r="Q450" t="n">
        <v>0</v>
      </c>
      <c r="R450" s="2" t="inlineStr"/>
    </row>
    <row r="451" ht="15" customHeight="1">
      <c r="A451" t="inlineStr">
        <is>
          <t>A 42130-2022</t>
        </is>
      </c>
      <c r="B451" s="1" t="n">
        <v>44830</v>
      </c>
      <c r="C451" s="1" t="n">
        <v>45991</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33277-2023</t>
        </is>
      </c>
      <c r="B452" s="1" t="n">
        <v>45114</v>
      </c>
      <c r="C452" s="1" t="n">
        <v>45991</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6940-2025</t>
        </is>
      </c>
      <c r="B453" s="1" t="n">
        <v>45701.46581018518</v>
      </c>
      <c r="C453" s="1" t="n">
        <v>45991</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64762-2023</t>
        </is>
      </c>
      <c r="B454" s="1" t="n">
        <v>45282.27841435185</v>
      </c>
      <c r="C454" s="1" t="n">
        <v>45991</v>
      </c>
      <c r="D454" t="inlineStr">
        <is>
          <t>KALMAR LÄN</t>
        </is>
      </c>
      <c r="E454" t="inlineStr">
        <is>
          <t>VÄSTERVIK</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64763-2023</t>
        </is>
      </c>
      <c r="B455" s="1" t="n">
        <v>45282.28041666667</v>
      </c>
      <c r="C455" s="1" t="n">
        <v>45991</v>
      </c>
      <c r="D455" t="inlineStr">
        <is>
          <t>KALMAR LÄN</t>
        </is>
      </c>
      <c r="E455" t="inlineStr">
        <is>
          <t>VÄSTERVIK</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26770-2023</t>
        </is>
      </c>
      <c r="B456" s="1" t="n">
        <v>45093</v>
      </c>
      <c r="C456" s="1" t="n">
        <v>45991</v>
      </c>
      <c r="D456" t="inlineStr">
        <is>
          <t>KALMAR LÄN</t>
        </is>
      </c>
      <c r="E456" t="inlineStr">
        <is>
          <t>VÄSTERVIK</t>
        </is>
      </c>
      <c r="G456" t="n">
        <v>2.6</v>
      </c>
      <c r="H456" t="n">
        <v>0</v>
      </c>
      <c r="I456" t="n">
        <v>0</v>
      </c>
      <c r="J456" t="n">
        <v>0</v>
      </c>
      <c r="K456" t="n">
        <v>0</v>
      </c>
      <c r="L456" t="n">
        <v>0</v>
      </c>
      <c r="M456" t="n">
        <v>0</v>
      </c>
      <c r="N456" t="n">
        <v>0</v>
      </c>
      <c r="O456" t="n">
        <v>0</v>
      </c>
      <c r="P456" t="n">
        <v>0</v>
      </c>
      <c r="Q456" t="n">
        <v>0</v>
      </c>
      <c r="R456" s="2" t="inlineStr"/>
    </row>
    <row r="457" ht="15" customHeight="1">
      <c r="A457" t="inlineStr">
        <is>
          <t>A 26772-2023</t>
        </is>
      </c>
      <c r="B457" s="1" t="n">
        <v>45093</v>
      </c>
      <c r="C457" s="1" t="n">
        <v>45991</v>
      </c>
      <c r="D457" t="inlineStr">
        <is>
          <t>KALMAR LÄN</t>
        </is>
      </c>
      <c r="E457" t="inlineStr">
        <is>
          <t>VÄSTERVIK</t>
        </is>
      </c>
      <c r="G457" t="n">
        <v>2</v>
      </c>
      <c r="H457" t="n">
        <v>0</v>
      </c>
      <c r="I457" t="n">
        <v>0</v>
      </c>
      <c r="J457" t="n">
        <v>0</v>
      </c>
      <c r="K457" t="n">
        <v>0</v>
      </c>
      <c r="L457" t="n">
        <v>0</v>
      </c>
      <c r="M457" t="n">
        <v>0</v>
      </c>
      <c r="N457" t="n">
        <v>0</v>
      </c>
      <c r="O457" t="n">
        <v>0</v>
      </c>
      <c r="P457" t="n">
        <v>0</v>
      </c>
      <c r="Q457" t="n">
        <v>0</v>
      </c>
      <c r="R457" s="2" t="inlineStr"/>
    </row>
    <row r="458" ht="15" customHeight="1">
      <c r="A458" t="inlineStr">
        <is>
          <t>A 26773-2023</t>
        </is>
      </c>
      <c r="B458" s="1" t="n">
        <v>45093</v>
      </c>
      <c r="C458" s="1" t="n">
        <v>45991</v>
      </c>
      <c r="D458" t="inlineStr">
        <is>
          <t>KALMAR LÄN</t>
        </is>
      </c>
      <c r="E458" t="inlineStr">
        <is>
          <t>VÄSTERVIK</t>
        </is>
      </c>
      <c r="G458" t="n">
        <v>2.2</v>
      </c>
      <c r="H458" t="n">
        <v>0</v>
      </c>
      <c r="I458" t="n">
        <v>0</v>
      </c>
      <c r="J458" t="n">
        <v>0</v>
      </c>
      <c r="K458" t="n">
        <v>0</v>
      </c>
      <c r="L458" t="n">
        <v>0</v>
      </c>
      <c r="M458" t="n">
        <v>0</v>
      </c>
      <c r="N458" t="n">
        <v>0</v>
      </c>
      <c r="O458" t="n">
        <v>0</v>
      </c>
      <c r="P458" t="n">
        <v>0</v>
      </c>
      <c r="Q458" t="n">
        <v>0</v>
      </c>
      <c r="R458" s="2" t="inlineStr"/>
    </row>
    <row r="459" ht="15" customHeight="1">
      <c r="A459" t="inlineStr">
        <is>
          <t>A 10406-2022</t>
        </is>
      </c>
      <c r="B459" s="1" t="n">
        <v>44623</v>
      </c>
      <c r="C459" s="1" t="n">
        <v>45991</v>
      </c>
      <c r="D459" t="inlineStr">
        <is>
          <t>KALMAR LÄN</t>
        </is>
      </c>
      <c r="E459" t="inlineStr">
        <is>
          <t>VÄSTERVIK</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32763-2022</t>
        </is>
      </c>
      <c r="B460" s="1" t="n">
        <v>44783</v>
      </c>
      <c r="C460" s="1" t="n">
        <v>45991</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55287-2023</t>
        </is>
      </c>
      <c r="B461" s="1" t="n">
        <v>45237.75578703704</v>
      </c>
      <c r="C461" s="1" t="n">
        <v>45991</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55958-2023</t>
        </is>
      </c>
      <c r="B462" s="1" t="n">
        <v>45240.34900462963</v>
      </c>
      <c r="C462" s="1" t="n">
        <v>45991</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49706-2024</t>
        </is>
      </c>
      <c r="B463" s="1" t="n">
        <v>45596.69706018519</v>
      </c>
      <c r="C463" s="1" t="n">
        <v>45991</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59221-2022</t>
        </is>
      </c>
      <c r="B464" s="1" t="n">
        <v>44904.53858796296</v>
      </c>
      <c r="C464" s="1" t="n">
        <v>45991</v>
      </c>
      <c r="D464" t="inlineStr">
        <is>
          <t>KALMAR LÄN</t>
        </is>
      </c>
      <c r="E464" t="inlineStr">
        <is>
          <t>VÄSTERVIK</t>
        </is>
      </c>
      <c r="G464" t="n">
        <v>6.1</v>
      </c>
      <c r="H464" t="n">
        <v>0</v>
      </c>
      <c r="I464" t="n">
        <v>0</v>
      </c>
      <c r="J464" t="n">
        <v>0</v>
      </c>
      <c r="K464" t="n">
        <v>0</v>
      </c>
      <c r="L464" t="n">
        <v>0</v>
      </c>
      <c r="M464" t="n">
        <v>0</v>
      </c>
      <c r="N464" t="n">
        <v>0</v>
      </c>
      <c r="O464" t="n">
        <v>0</v>
      </c>
      <c r="P464" t="n">
        <v>0</v>
      </c>
      <c r="Q464" t="n">
        <v>0</v>
      </c>
      <c r="R464" s="2" t="inlineStr"/>
    </row>
    <row r="465" ht="15" customHeight="1">
      <c r="A465" t="inlineStr">
        <is>
          <t>A 36050-2024</t>
        </is>
      </c>
      <c r="B465" s="1" t="n">
        <v>45533.620625</v>
      </c>
      <c r="C465" s="1" t="n">
        <v>45991</v>
      </c>
      <c r="D465" t="inlineStr">
        <is>
          <t>KALMAR LÄN</t>
        </is>
      </c>
      <c r="E465" t="inlineStr">
        <is>
          <t>VÄSTERVIK</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2168-2024</t>
        </is>
      </c>
      <c r="B466" s="1" t="n">
        <v>45309.61756944445</v>
      </c>
      <c r="C466" s="1" t="n">
        <v>45991</v>
      </c>
      <c r="D466" t="inlineStr">
        <is>
          <t>KALMAR LÄN</t>
        </is>
      </c>
      <c r="E466" t="inlineStr">
        <is>
          <t>VÄSTERVIK</t>
        </is>
      </c>
      <c r="G466" t="n">
        <v>2</v>
      </c>
      <c r="H466" t="n">
        <v>0</v>
      </c>
      <c r="I466" t="n">
        <v>0</v>
      </c>
      <c r="J466" t="n">
        <v>0</v>
      </c>
      <c r="K466" t="n">
        <v>0</v>
      </c>
      <c r="L466" t="n">
        <v>0</v>
      </c>
      <c r="M466" t="n">
        <v>0</v>
      </c>
      <c r="N466" t="n">
        <v>0</v>
      </c>
      <c r="O466" t="n">
        <v>0</v>
      </c>
      <c r="P466" t="n">
        <v>0</v>
      </c>
      <c r="Q466" t="n">
        <v>0</v>
      </c>
      <c r="R466" s="2" t="inlineStr"/>
    </row>
    <row r="467" ht="15" customHeight="1">
      <c r="A467" t="inlineStr">
        <is>
          <t>A 15106-2023</t>
        </is>
      </c>
      <c r="B467" s="1" t="n">
        <v>45016.41767361111</v>
      </c>
      <c r="C467" s="1" t="n">
        <v>45991</v>
      </c>
      <c r="D467" t="inlineStr">
        <is>
          <t>KALMAR LÄN</t>
        </is>
      </c>
      <c r="E467" t="inlineStr">
        <is>
          <t>VÄSTERVIK</t>
        </is>
      </c>
      <c r="G467" t="n">
        <v>0.4</v>
      </c>
      <c r="H467" t="n">
        <v>0</v>
      </c>
      <c r="I467" t="n">
        <v>0</v>
      </c>
      <c r="J467" t="n">
        <v>0</v>
      </c>
      <c r="K467" t="n">
        <v>0</v>
      </c>
      <c r="L467" t="n">
        <v>0</v>
      </c>
      <c r="M467" t="n">
        <v>0</v>
      </c>
      <c r="N467" t="n">
        <v>0</v>
      </c>
      <c r="O467" t="n">
        <v>0</v>
      </c>
      <c r="P467" t="n">
        <v>0</v>
      </c>
      <c r="Q467" t="n">
        <v>0</v>
      </c>
      <c r="R467" s="2" t="inlineStr"/>
    </row>
    <row r="468" ht="15" customHeight="1">
      <c r="A468" t="inlineStr">
        <is>
          <t>A 56042-2023</t>
        </is>
      </c>
      <c r="B468" s="1" t="n">
        <v>45240.44670138889</v>
      </c>
      <c r="C468" s="1" t="n">
        <v>45991</v>
      </c>
      <c r="D468" t="inlineStr">
        <is>
          <t>KALMAR LÄN</t>
        </is>
      </c>
      <c r="E468" t="inlineStr">
        <is>
          <t>VÄSTERVIK</t>
        </is>
      </c>
      <c r="G468" t="n">
        <v>0.7</v>
      </c>
      <c r="H468" t="n">
        <v>0</v>
      </c>
      <c r="I468" t="n">
        <v>0</v>
      </c>
      <c r="J468" t="n">
        <v>0</v>
      </c>
      <c r="K468" t="n">
        <v>0</v>
      </c>
      <c r="L468" t="n">
        <v>0</v>
      </c>
      <c r="M468" t="n">
        <v>0</v>
      </c>
      <c r="N468" t="n">
        <v>0</v>
      </c>
      <c r="O468" t="n">
        <v>0</v>
      </c>
      <c r="P468" t="n">
        <v>0</v>
      </c>
      <c r="Q468" t="n">
        <v>0</v>
      </c>
      <c r="R468" s="2" t="inlineStr"/>
    </row>
    <row r="469" ht="15" customHeight="1">
      <c r="A469" t="inlineStr">
        <is>
          <t>A 13957-2025</t>
        </is>
      </c>
      <c r="B469" s="1" t="n">
        <v>45737.85231481482</v>
      </c>
      <c r="C469" s="1" t="n">
        <v>45991</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34655-2023</t>
        </is>
      </c>
      <c r="B470" s="1" t="n">
        <v>45140</v>
      </c>
      <c r="C470" s="1" t="n">
        <v>45991</v>
      </c>
      <c r="D470" t="inlineStr">
        <is>
          <t>KALMAR LÄN</t>
        </is>
      </c>
      <c r="E470" t="inlineStr">
        <is>
          <t>VÄSTERVIK</t>
        </is>
      </c>
      <c r="G470" t="n">
        <v>3.6</v>
      </c>
      <c r="H470" t="n">
        <v>0</v>
      </c>
      <c r="I470" t="n">
        <v>0</v>
      </c>
      <c r="J470" t="n">
        <v>0</v>
      </c>
      <c r="K470" t="n">
        <v>0</v>
      </c>
      <c r="L470" t="n">
        <v>0</v>
      </c>
      <c r="M470" t="n">
        <v>0</v>
      </c>
      <c r="N470" t="n">
        <v>0</v>
      </c>
      <c r="O470" t="n">
        <v>0</v>
      </c>
      <c r="P470" t="n">
        <v>0</v>
      </c>
      <c r="Q470" t="n">
        <v>0</v>
      </c>
      <c r="R470" s="2" t="inlineStr"/>
    </row>
    <row r="471" ht="15" customHeight="1">
      <c r="A471" t="inlineStr">
        <is>
          <t>A 57019-2023</t>
        </is>
      </c>
      <c r="B471" s="1" t="n">
        <v>45244</v>
      </c>
      <c r="C471" s="1" t="n">
        <v>45991</v>
      </c>
      <c r="D471" t="inlineStr">
        <is>
          <t>KALMAR LÄN</t>
        </is>
      </c>
      <c r="E471" t="inlineStr">
        <is>
          <t>VÄSTERVIK</t>
        </is>
      </c>
      <c r="G471" t="n">
        <v>2.2</v>
      </c>
      <c r="H471" t="n">
        <v>0</v>
      </c>
      <c r="I471" t="n">
        <v>0</v>
      </c>
      <c r="J471" t="n">
        <v>0</v>
      </c>
      <c r="K471" t="n">
        <v>0</v>
      </c>
      <c r="L471" t="n">
        <v>0</v>
      </c>
      <c r="M471" t="n">
        <v>0</v>
      </c>
      <c r="N471" t="n">
        <v>0</v>
      </c>
      <c r="O471" t="n">
        <v>0</v>
      </c>
      <c r="P471" t="n">
        <v>0</v>
      </c>
      <c r="Q471" t="n">
        <v>0</v>
      </c>
      <c r="R471" s="2" t="inlineStr"/>
    </row>
    <row r="472" ht="15" customHeight="1">
      <c r="A472" t="inlineStr">
        <is>
          <t>A 39193-2024</t>
        </is>
      </c>
      <c r="B472" s="1" t="n">
        <v>45548.68</v>
      </c>
      <c r="C472" s="1" t="n">
        <v>45991</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57924-2024</t>
        </is>
      </c>
      <c r="B473" s="1" t="n">
        <v>45631.51325231481</v>
      </c>
      <c r="C473" s="1" t="n">
        <v>45991</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58209-2022</t>
        </is>
      </c>
      <c r="B474" s="1" t="n">
        <v>44901</v>
      </c>
      <c r="C474" s="1" t="n">
        <v>45991</v>
      </c>
      <c r="D474" t="inlineStr">
        <is>
          <t>KALMAR LÄN</t>
        </is>
      </c>
      <c r="E474" t="inlineStr">
        <is>
          <t>VÄSTERVIK</t>
        </is>
      </c>
      <c r="G474" t="n">
        <v>1.5</v>
      </c>
      <c r="H474" t="n">
        <v>0</v>
      </c>
      <c r="I474" t="n">
        <v>0</v>
      </c>
      <c r="J474" t="n">
        <v>0</v>
      </c>
      <c r="K474" t="n">
        <v>0</v>
      </c>
      <c r="L474" t="n">
        <v>0</v>
      </c>
      <c r="M474" t="n">
        <v>0</v>
      </c>
      <c r="N474" t="n">
        <v>0</v>
      </c>
      <c r="O474" t="n">
        <v>0</v>
      </c>
      <c r="P474" t="n">
        <v>0</v>
      </c>
      <c r="Q474" t="n">
        <v>0</v>
      </c>
      <c r="R474" s="2" t="inlineStr"/>
    </row>
    <row r="475" ht="15" customHeight="1">
      <c r="A475" t="inlineStr">
        <is>
          <t>A 22891-2025</t>
        </is>
      </c>
      <c r="B475" s="1" t="n">
        <v>45790.39267361111</v>
      </c>
      <c r="C475" s="1" t="n">
        <v>45991</v>
      </c>
      <c r="D475" t="inlineStr">
        <is>
          <t>KALMAR LÄN</t>
        </is>
      </c>
      <c r="E475" t="inlineStr">
        <is>
          <t>VÄSTERVIK</t>
        </is>
      </c>
      <c r="G475" t="n">
        <v>1.4</v>
      </c>
      <c r="H475" t="n">
        <v>0</v>
      </c>
      <c r="I475" t="n">
        <v>0</v>
      </c>
      <c r="J475" t="n">
        <v>0</v>
      </c>
      <c r="K475" t="n">
        <v>0</v>
      </c>
      <c r="L475" t="n">
        <v>0</v>
      </c>
      <c r="M475" t="n">
        <v>0</v>
      </c>
      <c r="N475" t="n">
        <v>0</v>
      </c>
      <c r="O475" t="n">
        <v>0</v>
      </c>
      <c r="P475" t="n">
        <v>0</v>
      </c>
      <c r="Q475" t="n">
        <v>0</v>
      </c>
      <c r="R475" s="2" t="inlineStr"/>
    </row>
    <row r="476" ht="15" customHeight="1">
      <c r="A476" t="inlineStr">
        <is>
          <t>A 5684-2023</t>
        </is>
      </c>
      <c r="B476" s="1" t="n">
        <v>44960.73170138889</v>
      </c>
      <c r="C476" s="1" t="n">
        <v>45991</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16080-2025</t>
        </is>
      </c>
      <c r="B477" s="1" t="n">
        <v>45749.72953703703</v>
      </c>
      <c r="C477" s="1" t="n">
        <v>45991</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32137-2024</t>
        </is>
      </c>
      <c r="B478" s="1" t="n">
        <v>45511</v>
      </c>
      <c r="C478" s="1" t="n">
        <v>45991</v>
      </c>
      <c r="D478" t="inlineStr">
        <is>
          <t>KALMAR LÄN</t>
        </is>
      </c>
      <c r="E478" t="inlineStr">
        <is>
          <t>VÄSTERVIK</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9249-2024</t>
        </is>
      </c>
      <c r="B479" s="1" t="n">
        <v>45358.59056712963</v>
      </c>
      <c r="C479" s="1" t="n">
        <v>45991</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61529-2022</t>
        </is>
      </c>
      <c r="B480" s="1" t="n">
        <v>44910</v>
      </c>
      <c r="C480" s="1" t="n">
        <v>45991</v>
      </c>
      <c r="D480" t="inlineStr">
        <is>
          <t>KALMAR LÄN</t>
        </is>
      </c>
      <c r="E480" t="inlineStr">
        <is>
          <t>VÄSTERVIK</t>
        </is>
      </c>
      <c r="G480" t="n">
        <v>6.5</v>
      </c>
      <c r="H480" t="n">
        <v>0</v>
      </c>
      <c r="I480" t="n">
        <v>0</v>
      </c>
      <c r="J480" t="n">
        <v>0</v>
      </c>
      <c r="K480" t="n">
        <v>0</v>
      </c>
      <c r="L480" t="n">
        <v>0</v>
      </c>
      <c r="M480" t="n">
        <v>0</v>
      </c>
      <c r="N480" t="n">
        <v>0</v>
      </c>
      <c r="O480" t="n">
        <v>0</v>
      </c>
      <c r="P480" t="n">
        <v>0</v>
      </c>
      <c r="Q480" t="n">
        <v>0</v>
      </c>
      <c r="R480" s="2" t="inlineStr"/>
    </row>
    <row r="481" ht="15" customHeight="1">
      <c r="A481" t="inlineStr">
        <is>
          <t>A 41926-2024</t>
        </is>
      </c>
      <c r="B481" s="1" t="n">
        <v>45561</v>
      </c>
      <c r="C481" s="1" t="n">
        <v>45991</v>
      </c>
      <c r="D481" t="inlineStr">
        <is>
          <t>KALMAR LÄN</t>
        </is>
      </c>
      <c r="E481" t="inlineStr">
        <is>
          <t>VÄSTERVIK</t>
        </is>
      </c>
      <c r="F481" t="inlineStr">
        <is>
          <t>Kyrkan</t>
        </is>
      </c>
      <c r="G481" t="n">
        <v>10</v>
      </c>
      <c r="H481" t="n">
        <v>0</v>
      </c>
      <c r="I481" t="n">
        <v>0</v>
      </c>
      <c r="J481" t="n">
        <v>0</v>
      </c>
      <c r="K481" t="n">
        <v>0</v>
      </c>
      <c r="L481" t="n">
        <v>0</v>
      </c>
      <c r="M481" t="n">
        <v>0</v>
      </c>
      <c r="N481" t="n">
        <v>0</v>
      </c>
      <c r="O481" t="n">
        <v>0</v>
      </c>
      <c r="P481" t="n">
        <v>0</v>
      </c>
      <c r="Q481" t="n">
        <v>0</v>
      </c>
      <c r="R481" s="2" t="inlineStr"/>
    </row>
    <row r="482" ht="15" customHeight="1">
      <c r="A482" t="inlineStr">
        <is>
          <t>A 24819-2025</t>
        </is>
      </c>
      <c r="B482" s="1" t="n">
        <v>45799.45109953704</v>
      </c>
      <c r="C482" s="1" t="n">
        <v>45991</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52645-2021</t>
        </is>
      </c>
      <c r="B483" s="1" t="n">
        <v>44466</v>
      </c>
      <c r="C483" s="1" t="n">
        <v>45991</v>
      </c>
      <c r="D483" t="inlineStr">
        <is>
          <t>KALMAR LÄN</t>
        </is>
      </c>
      <c r="E483" t="inlineStr">
        <is>
          <t>VÄSTERVIK</t>
        </is>
      </c>
      <c r="G483" t="n">
        <v>5</v>
      </c>
      <c r="H483" t="n">
        <v>0</v>
      </c>
      <c r="I483" t="n">
        <v>0</v>
      </c>
      <c r="J483" t="n">
        <v>0</v>
      </c>
      <c r="K483" t="n">
        <v>0</v>
      </c>
      <c r="L483" t="n">
        <v>0</v>
      </c>
      <c r="M483" t="n">
        <v>0</v>
      </c>
      <c r="N483" t="n">
        <v>0</v>
      </c>
      <c r="O483" t="n">
        <v>0</v>
      </c>
      <c r="P483" t="n">
        <v>0</v>
      </c>
      <c r="Q483" t="n">
        <v>0</v>
      </c>
      <c r="R483" s="2" t="inlineStr"/>
    </row>
    <row r="484" ht="15" customHeight="1">
      <c r="A484" t="inlineStr">
        <is>
          <t>A 43199-2024</t>
        </is>
      </c>
      <c r="B484" s="1" t="n">
        <v>45567.68774305555</v>
      </c>
      <c r="C484" s="1" t="n">
        <v>45991</v>
      </c>
      <c r="D484" t="inlineStr">
        <is>
          <t>KALMAR LÄN</t>
        </is>
      </c>
      <c r="E484" t="inlineStr">
        <is>
          <t>VÄSTERVIK</t>
        </is>
      </c>
      <c r="G484" t="n">
        <v>1.8</v>
      </c>
      <c r="H484" t="n">
        <v>0</v>
      </c>
      <c r="I484" t="n">
        <v>0</v>
      </c>
      <c r="J484" t="n">
        <v>0</v>
      </c>
      <c r="K484" t="n">
        <v>0</v>
      </c>
      <c r="L484" t="n">
        <v>0</v>
      </c>
      <c r="M484" t="n">
        <v>0</v>
      </c>
      <c r="N484" t="n">
        <v>0</v>
      </c>
      <c r="O484" t="n">
        <v>0</v>
      </c>
      <c r="P484" t="n">
        <v>0</v>
      </c>
      <c r="Q484" t="n">
        <v>0</v>
      </c>
      <c r="R484" s="2" t="inlineStr"/>
    </row>
    <row r="485" ht="15" customHeight="1">
      <c r="A485" t="inlineStr">
        <is>
          <t>A 7840-2025</t>
        </is>
      </c>
      <c r="B485" s="1" t="n">
        <v>45706.65895833333</v>
      </c>
      <c r="C485" s="1" t="n">
        <v>45991</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14237-2024</t>
        </is>
      </c>
      <c r="B486" s="1" t="n">
        <v>45393.47158564815</v>
      </c>
      <c r="C486" s="1" t="n">
        <v>45991</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65059-2023</t>
        </is>
      </c>
      <c r="B487" s="1" t="n">
        <v>45287</v>
      </c>
      <c r="C487" s="1" t="n">
        <v>45991</v>
      </c>
      <c r="D487" t="inlineStr">
        <is>
          <t>KALMAR LÄN</t>
        </is>
      </c>
      <c r="E487" t="inlineStr">
        <is>
          <t>VÄSTERVIK</t>
        </is>
      </c>
      <c r="F487" t="inlineStr">
        <is>
          <t>Holmen skog AB</t>
        </is>
      </c>
      <c r="G487" t="n">
        <v>4.9</v>
      </c>
      <c r="H487" t="n">
        <v>0</v>
      </c>
      <c r="I487" t="n">
        <v>0</v>
      </c>
      <c r="J487" t="n">
        <v>0</v>
      </c>
      <c r="K487" t="n">
        <v>0</v>
      </c>
      <c r="L487" t="n">
        <v>0</v>
      </c>
      <c r="M487" t="n">
        <v>0</v>
      </c>
      <c r="N487" t="n">
        <v>0</v>
      </c>
      <c r="O487" t="n">
        <v>0</v>
      </c>
      <c r="P487" t="n">
        <v>0</v>
      </c>
      <c r="Q487" t="n">
        <v>0</v>
      </c>
      <c r="R487" s="2" t="inlineStr"/>
    </row>
    <row r="488" ht="15" customHeight="1">
      <c r="A488" t="inlineStr">
        <is>
          <t>A 2830-2025</t>
        </is>
      </c>
      <c r="B488" s="1" t="n">
        <v>45677.62704861111</v>
      </c>
      <c r="C488" s="1" t="n">
        <v>45991</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59170-2022</t>
        </is>
      </c>
      <c r="B489" s="1" t="n">
        <v>44904.48152777777</v>
      </c>
      <c r="C489" s="1" t="n">
        <v>45991</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4579-2023</t>
        </is>
      </c>
      <c r="B490" s="1" t="n">
        <v>44956.72383101852</v>
      </c>
      <c r="C490" s="1" t="n">
        <v>45991</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26285-2024</t>
        </is>
      </c>
      <c r="B491" s="1" t="n">
        <v>45468.70357638889</v>
      </c>
      <c r="C491" s="1" t="n">
        <v>45991</v>
      </c>
      <c r="D491" t="inlineStr">
        <is>
          <t>KALMAR LÄN</t>
        </is>
      </c>
      <c r="E491" t="inlineStr">
        <is>
          <t>VÄSTERVIK</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39442-2025</t>
        </is>
      </c>
      <c r="B492" s="1" t="n">
        <v>45889.6947337963</v>
      </c>
      <c r="C492" s="1" t="n">
        <v>45991</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25819-2025</t>
        </is>
      </c>
      <c r="B493" s="1" t="n">
        <v>45804.43547453704</v>
      </c>
      <c r="C493" s="1" t="n">
        <v>45991</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25827-2025</t>
        </is>
      </c>
      <c r="B494" s="1" t="n">
        <v>45804.443125</v>
      </c>
      <c r="C494" s="1" t="n">
        <v>45991</v>
      </c>
      <c r="D494" t="inlineStr">
        <is>
          <t>KALMAR LÄN</t>
        </is>
      </c>
      <c r="E494" t="inlineStr">
        <is>
          <t>VÄSTERVIK</t>
        </is>
      </c>
      <c r="G494" t="n">
        <v>1.8</v>
      </c>
      <c r="H494" t="n">
        <v>0</v>
      </c>
      <c r="I494" t="n">
        <v>0</v>
      </c>
      <c r="J494" t="n">
        <v>0</v>
      </c>
      <c r="K494" t="n">
        <v>0</v>
      </c>
      <c r="L494" t="n">
        <v>0</v>
      </c>
      <c r="M494" t="n">
        <v>0</v>
      </c>
      <c r="N494" t="n">
        <v>0</v>
      </c>
      <c r="O494" t="n">
        <v>0</v>
      </c>
      <c r="P494" t="n">
        <v>0</v>
      </c>
      <c r="Q494" t="n">
        <v>0</v>
      </c>
      <c r="R494" s="2" t="inlineStr"/>
    </row>
    <row r="495" ht="15" customHeight="1">
      <c r="A495" t="inlineStr">
        <is>
          <t>A 39428-2025</t>
        </is>
      </c>
      <c r="B495" s="1" t="n">
        <v>45889.67436342593</v>
      </c>
      <c r="C495" s="1" t="n">
        <v>45991</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39430-2025</t>
        </is>
      </c>
      <c r="B496" s="1" t="n">
        <v>45889.67606481481</v>
      </c>
      <c r="C496" s="1" t="n">
        <v>45991</v>
      </c>
      <c r="D496" t="inlineStr">
        <is>
          <t>KALMAR LÄN</t>
        </is>
      </c>
      <c r="E496" t="inlineStr">
        <is>
          <t>VÄSTERVIK</t>
        </is>
      </c>
      <c r="G496" t="n">
        <v>2.7</v>
      </c>
      <c r="H496" t="n">
        <v>0</v>
      </c>
      <c r="I496" t="n">
        <v>0</v>
      </c>
      <c r="J496" t="n">
        <v>0</v>
      </c>
      <c r="K496" t="n">
        <v>0</v>
      </c>
      <c r="L496" t="n">
        <v>0</v>
      </c>
      <c r="M496" t="n">
        <v>0</v>
      </c>
      <c r="N496" t="n">
        <v>0</v>
      </c>
      <c r="O496" t="n">
        <v>0</v>
      </c>
      <c r="P496" t="n">
        <v>0</v>
      </c>
      <c r="Q496" t="n">
        <v>0</v>
      </c>
      <c r="R496" s="2" t="inlineStr"/>
    </row>
    <row r="497" ht="15" customHeight="1">
      <c r="A497" t="inlineStr">
        <is>
          <t>A 59696-2023</t>
        </is>
      </c>
      <c r="B497" s="1" t="n">
        <v>45256.85211805555</v>
      </c>
      <c r="C497" s="1" t="n">
        <v>45991</v>
      </c>
      <c r="D497" t="inlineStr">
        <is>
          <t>KALMAR LÄN</t>
        </is>
      </c>
      <c r="E497" t="inlineStr">
        <is>
          <t>VÄSTERVIK</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808-2023</t>
        </is>
      </c>
      <c r="B498" s="1" t="n">
        <v>44931</v>
      </c>
      <c r="C498" s="1" t="n">
        <v>45991</v>
      </c>
      <c r="D498" t="inlineStr">
        <is>
          <t>KALMAR LÄN</t>
        </is>
      </c>
      <c r="E498" t="inlineStr">
        <is>
          <t>VÄSTERVIK</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39425-2025</t>
        </is>
      </c>
      <c r="B499" s="1" t="n">
        <v>45889.67297453704</v>
      </c>
      <c r="C499" s="1" t="n">
        <v>45991</v>
      </c>
      <c r="D499" t="inlineStr">
        <is>
          <t>KALMAR LÄN</t>
        </is>
      </c>
      <c r="E499" t="inlineStr">
        <is>
          <t>VÄSTERVIK</t>
        </is>
      </c>
      <c r="G499" t="n">
        <v>6.7</v>
      </c>
      <c r="H499" t="n">
        <v>0</v>
      </c>
      <c r="I499" t="n">
        <v>0</v>
      </c>
      <c r="J499" t="n">
        <v>0</v>
      </c>
      <c r="K499" t="n">
        <v>0</v>
      </c>
      <c r="L499" t="n">
        <v>0</v>
      </c>
      <c r="M499" t="n">
        <v>0</v>
      </c>
      <c r="N499" t="n">
        <v>0</v>
      </c>
      <c r="O499" t="n">
        <v>0</v>
      </c>
      <c r="P499" t="n">
        <v>0</v>
      </c>
      <c r="Q499" t="n">
        <v>0</v>
      </c>
      <c r="R499" s="2" t="inlineStr"/>
    </row>
    <row r="500" ht="15" customHeight="1">
      <c r="A500" t="inlineStr">
        <is>
          <t>A 26568-2025</t>
        </is>
      </c>
      <c r="B500" s="1" t="n">
        <v>45807.67447916666</v>
      </c>
      <c r="C500" s="1" t="n">
        <v>45991</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26571-2025</t>
        </is>
      </c>
      <c r="B501" s="1" t="n">
        <v>45807.6794212963</v>
      </c>
      <c r="C501" s="1" t="n">
        <v>45991</v>
      </c>
      <c r="D501" t="inlineStr">
        <is>
          <t>KALMAR LÄN</t>
        </is>
      </c>
      <c r="E501" t="inlineStr">
        <is>
          <t>VÄSTERVIK</t>
        </is>
      </c>
      <c r="G501" t="n">
        <v>2.8</v>
      </c>
      <c r="H501" t="n">
        <v>0</v>
      </c>
      <c r="I501" t="n">
        <v>0</v>
      </c>
      <c r="J501" t="n">
        <v>0</v>
      </c>
      <c r="K501" t="n">
        <v>0</v>
      </c>
      <c r="L501" t="n">
        <v>0</v>
      </c>
      <c r="M501" t="n">
        <v>0</v>
      </c>
      <c r="N501" t="n">
        <v>0</v>
      </c>
      <c r="O501" t="n">
        <v>0</v>
      </c>
      <c r="P501" t="n">
        <v>0</v>
      </c>
      <c r="Q501" t="n">
        <v>0</v>
      </c>
      <c r="R501" s="2" t="inlineStr"/>
    </row>
    <row r="502" ht="15" customHeight="1">
      <c r="A502" t="inlineStr">
        <is>
          <t>A 55361-2024</t>
        </is>
      </c>
      <c r="B502" s="1" t="n">
        <v>45621.83300925926</v>
      </c>
      <c r="C502" s="1" t="n">
        <v>45991</v>
      </c>
      <c r="D502" t="inlineStr">
        <is>
          <t>KALMAR LÄN</t>
        </is>
      </c>
      <c r="E502" t="inlineStr">
        <is>
          <t>VÄSTERVIK</t>
        </is>
      </c>
      <c r="F502" t="inlineStr">
        <is>
          <t>Sveaskog</t>
        </is>
      </c>
      <c r="G502" t="n">
        <v>2.4</v>
      </c>
      <c r="H502" t="n">
        <v>0</v>
      </c>
      <c r="I502" t="n">
        <v>0</v>
      </c>
      <c r="J502" t="n">
        <v>0</v>
      </c>
      <c r="K502" t="n">
        <v>0</v>
      </c>
      <c r="L502" t="n">
        <v>0</v>
      </c>
      <c r="M502" t="n">
        <v>0</v>
      </c>
      <c r="N502" t="n">
        <v>0</v>
      </c>
      <c r="O502" t="n">
        <v>0</v>
      </c>
      <c r="P502" t="n">
        <v>0</v>
      </c>
      <c r="Q502" t="n">
        <v>0</v>
      </c>
      <c r="R502" s="2" t="inlineStr"/>
    </row>
    <row r="503" ht="15" customHeight="1">
      <c r="A503" t="inlineStr">
        <is>
          <t>A 26566-2025</t>
        </is>
      </c>
      <c r="B503" s="1" t="n">
        <v>45807.66685185185</v>
      </c>
      <c r="C503" s="1" t="n">
        <v>45991</v>
      </c>
      <c r="D503" t="inlineStr">
        <is>
          <t>KALMAR LÄN</t>
        </is>
      </c>
      <c r="E503" t="inlineStr">
        <is>
          <t>VÄSTERVIK</t>
        </is>
      </c>
      <c r="G503" t="n">
        <v>2.5</v>
      </c>
      <c r="H503" t="n">
        <v>0</v>
      </c>
      <c r="I503" t="n">
        <v>0</v>
      </c>
      <c r="J503" t="n">
        <v>0</v>
      </c>
      <c r="K503" t="n">
        <v>0</v>
      </c>
      <c r="L503" t="n">
        <v>0</v>
      </c>
      <c r="M503" t="n">
        <v>0</v>
      </c>
      <c r="N503" t="n">
        <v>0</v>
      </c>
      <c r="O503" t="n">
        <v>0</v>
      </c>
      <c r="P503" t="n">
        <v>0</v>
      </c>
      <c r="Q503" t="n">
        <v>0</v>
      </c>
      <c r="R503" s="2" t="inlineStr"/>
    </row>
    <row r="504" ht="15" customHeight="1">
      <c r="A504" t="inlineStr">
        <is>
          <t>A 26569-2025</t>
        </is>
      </c>
      <c r="B504" s="1" t="n">
        <v>45807.67638888889</v>
      </c>
      <c r="C504" s="1" t="n">
        <v>45991</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26572-2025</t>
        </is>
      </c>
      <c r="B505" s="1" t="n">
        <v>45807.68232638889</v>
      </c>
      <c r="C505" s="1" t="n">
        <v>45991</v>
      </c>
      <c r="D505" t="inlineStr">
        <is>
          <t>KALMAR LÄN</t>
        </is>
      </c>
      <c r="E505" t="inlineStr">
        <is>
          <t>VÄSTERVIK</t>
        </is>
      </c>
      <c r="G505" t="n">
        <v>2.9</v>
      </c>
      <c r="H505" t="n">
        <v>0</v>
      </c>
      <c r="I505" t="n">
        <v>0</v>
      </c>
      <c r="J505" t="n">
        <v>0</v>
      </c>
      <c r="K505" t="n">
        <v>0</v>
      </c>
      <c r="L505" t="n">
        <v>0</v>
      </c>
      <c r="M505" t="n">
        <v>0</v>
      </c>
      <c r="N505" t="n">
        <v>0</v>
      </c>
      <c r="O505" t="n">
        <v>0</v>
      </c>
      <c r="P505" t="n">
        <v>0</v>
      </c>
      <c r="Q505" t="n">
        <v>0</v>
      </c>
      <c r="R505" s="2" t="inlineStr"/>
    </row>
    <row r="506" ht="15" customHeight="1">
      <c r="A506" t="inlineStr">
        <is>
          <t>A 55362-2024</t>
        </is>
      </c>
      <c r="B506" s="1" t="n">
        <v>45621.83461805555</v>
      </c>
      <c r="C506" s="1" t="n">
        <v>45991</v>
      </c>
      <c r="D506" t="inlineStr">
        <is>
          <t>KALMAR LÄN</t>
        </is>
      </c>
      <c r="E506" t="inlineStr">
        <is>
          <t>VÄSTERVIK</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57367-2023</t>
        </is>
      </c>
      <c r="B507" s="1" t="n">
        <v>45245</v>
      </c>
      <c r="C507" s="1" t="n">
        <v>45991</v>
      </c>
      <c r="D507" t="inlineStr">
        <is>
          <t>KALMAR LÄN</t>
        </is>
      </c>
      <c r="E507" t="inlineStr">
        <is>
          <t>VÄSTERVIK</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51645-2023</t>
        </is>
      </c>
      <c r="B508" s="1" t="n">
        <v>45222.55333333334</v>
      </c>
      <c r="C508" s="1" t="n">
        <v>45991</v>
      </c>
      <c r="D508" t="inlineStr">
        <is>
          <t>KALMAR LÄN</t>
        </is>
      </c>
      <c r="E508" t="inlineStr">
        <is>
          <t>VÄSTERVIK</t>
        </is>
      </c>
      <c r="G508" t="n">
        <v>3.7</v>
      </c>
      <c r="H508" t="n">
        <v>0</v>
      </c>
      <c r="I508" t="n">
        <v>0</v>
      </c>
      <c r="J508" t="n">
        <v>0</v>
      </c>
      <c r="K508" t="n">
        <v>0</v>
      </c>
      <c r="L508" t="n">
        <v>0</v>
      </c>
      <c r="M508" t="n">
        <v>0</v>
      </c>
      <c r="N508" t="n">
        <v>0</v>
      </c>
      <c r="O508" t="n">
        <v>0</v>
      </c>
      <c r="P508" t="n">
        <v>0</v>
      </c>
      <c r="Q508" t="n">
        <v>0</v>
      </c>
      <c r="R508" s="2" t="inlineStr"/>
    </row>
    <row r="509" ht="15" customHeight="1">
      <c r="A509" t="inlineStr">
        <is>
          <t>A 40168-2025</t>
        </is>
      </c>
      <c r="B509" s="1" t="n">
        <v>45894.62775462963</v>
      </c>
      <c r="C509" s="1" t="n">
        <v>45991</v>
      </c>
      <c r="D509" t="inlineStr">
        <is>
          <t>KALMAR LÄN</t>
        </is>
      </c>
      <c r="E509" t="inlineStr">
        <is>
          <t>VÄSTERVIK</t>
        </is>
      </c>
      <c r="G509" t="n">
        <v>0.3</v>
      </c>
      <c r="H509" t="n">
        <v>0</v>
      </c>
      <c r="I509" t="n">
        <v>0</v>
      </c>
      <c r="J509" t="n">
        <v>0</v>
      </c>
      <c r="K509" t="n">
        <v>0</v>
      </c>
      <c r="L509" t="n">
        <v>0</v>
      </c>
      <c r="M509" t="n">
        <v>0</v>
      </c>
      <c r="N509" t="n">
        <v>0</v>
      </c>
      <c r="O509" t="n">
        <v>0</v>
      </c>
      <c r="P509" t="n">
        <v>0</v>
      </c>
      <c r="Q509" t="n">
        <v>0</v>
      </c>
      <c r="R509" s="2" t="inlineStr"/>
    </row>
    <row r="510" ht="15" customHeight="1">
      <c r="A510" t="inlineStr">
        <is>
          <t>A 35655-2023</t>
        </is>
      </c>
      <c r="B510" s="1" t="n">
        <v>45147.59408564815</v>
      </c>
      <c r="C510" s="1" t="n">
        <v>45991</v>
      </c>
      <c r="D510" t="inlineStr">
        <is>
          <t>KALMAR LÄN</t>
        </is>
      </c>
      <c r="E510" t="inlineStr">
        <is>
          <t>VÄSTERVIK</t>
        </is>
      </c>
      <c r="G510" t="n">
        <v>3.3</v>
      </c>
      <c r="H510" t="n">
        <v>0</v>
      </c>
      <c r="I510" t="n">
        <v>0</v>
      </c>
      <c r="J510" t="n">
        <v>0</v>
      </c>
      <c r="K510" t="n">
        <v>0</v>
      </c>
      <c r="L510" t="n">
        <v>0</v>
      </c>
      <c r="M510" t="n">
        <v>0</v>
      </c>
      <c r="N510" t="n">
        <v>0</v>
      </c>
      <c r="O510" t="n">
        <v>0</v>
      </c>
      <c r="P510" t="n">
        <v>0</v>
      </c>
      <c r="Q510" t="n">
        <v>0</v>
      </c>
      <c r="R510" s="2" t="inlineStr"/>
    </row>
    <row r="511" ht="15" customHeight="1">
      <c r="A511" t="inlineStr">
        <is>
          <t>A 40038-2025</t>
        </is>
      </c>
      <c r="B511" s="1" t="n">
        <v>45894.39395833333</v>
      </c>
      <c r="C511" s="1" t="n">
        <v>45991</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40165-2025</t>
        </is>
      </c>
      <c r="B512" s="1" t="n">
        <v>45894.62219907407</v>
      </c>
      <c r="C512" s="1" t="n">
        <v>45991</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8597-2023</t>
        </is>
      </c>
      <c r="B513" s="1" t="n">
        <v>44977</v>
      </c>
      <c r="C513" s="1" t="n">
        <v>45991</v>
      </c>
      <c r="D513" t="inlineStr">
        <is>
          <t>KALMAR LÄN</t>
        </is>
      </c>
      <c r="E513" t="inlineStr">
        <is>
          <t>VÄSTERVIK</t>
        </is>
      </c>
      <c r="G513" t="n">
        <v>0.2</v>
      </c>
      <c r="H513" t="n">
        <v>0</v>
      </c>
      <c r="I513" t="n">
        <v>0</v>
      </c>
      <c r="J513" t="n">
        <v>0</v>
      </c>
      <c r="K513" t="n">
        <v>0</v>
      </c>
      <c r="L513" t="n">
        <v>0</v>
      </c>
      <c r="M513" t="n">
        <v>0</v>
      </c>
      <c r="N513" t="n">
        <v>0</v>
      </c>
      <c r="O513" t="n">
        <v>0</v>
      </c>
      <c r="P513" t="n">
        <v>0</v>
      </c>
      <c r="Q513" t="n">
        <v>0</v>
      </c>
      <c r="R513" s="2" t="inlineStr"/>
    </row>
    <row r="514" ht="15" customHeight="1">
      <c r="A514" t="inlineStr">
        <is>
          <t>A 10725-2023</t>
        </is>
      </c>
      <c r="B514" s="1" t="n">
        <v>44988.66966435185</v>
      </c>
      <c r="C514" s="1" t="n">
        <v>45991</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45463-2024</t>
        </is>
      </c>
      <c r="B515" s="1" t="n">
        <v>45576.69753472223</v>
      </c>
      <c r="C515" s="1" t="n">
        <v>45991</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26633-2025</t>
        </is>
      </c>
      <c r="B516" s="1" t="n">
        <v>45810.35262731482</v>
      </c>
      <c r="C516" s="1" t="n">
        <v>45991</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24562-2024</t>
        </is>
      </c>
      <c r="B517" s="1" t="n">
        <v>45460</v>
      </c>
      <c r="C517" s="1" t="n">
        <v>45991</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24578-2024</t>
        </is>
      </c>
      <c r="B518" s="1" t="n">
        <v>45460</v>
      </c>
      <c r="C518" s="1" t="n">
        <v>45991</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55042-2024</t>
        </is>
      </c>
      <c r="B519" s="1" t="n">
        <v>45621.39081018518</v>
      </c>
      <c r="C519" s="1" t="n">
        <v>45991</v>
      </c>
      <c r="D519" t="inlineStr">
        <is>
          <t>KALMAR LÄN</t>
        </is>
      </c>
      <c r="E519" t="inlineStr">
        <is>
          <t>VÄSTERVIK</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27446-2025</t>
        </is>
      </c>
      <c r="B520" s="1" t="n">
        <v>45813.32667824074</v>
      </c>
      <c r="C520" s="1" t="n">
        <v>45991</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27980-2025</t>
        </is>
      </c>
      <c r="B521" s="1" t="n">
        <v>45817.57395833333</v>
      </c>
      <c r="C521" s="1" t="n">
        <v>45991</v>
      </c>
      <c r="D521" t="inlineStr">
        <is>
          <t>KALMAR LÄN</t>
        </is>
      </c>
      <c r="E521" t="inlineStr">
        <is>
          <t>VÄSTERVIK</t>
        </is>
      </c>
      <c r="F521" t="inlineStr">
        <is>
          <t>Sveaskog</t>
        </is>
      </c>
      <c r="G521" t="n">
        <v>7.2</v>
      </c>
      <c r="H521" t="n">
        <v>0</v>
      </c>
      <c r="I521" t="n">
        <v>0</v>
      </c>
      <c r="J521" t="n">
        <v>0</v>
      </c>
      <c r="K521" t="n">
        <v>0</v>
      </c>
      <c r="L521" t="n">
        <v>0</v>
      </c>
      <c r="M521" t="n">
        <v>0</v>
      </c>
      <c r="N521" t="n">
        <v>0</v>
      </c>
      <c r="O521" t="n">
        <v>0</v>
      </c>
      <c r="P521" t="n">
        <v>0</v>
      </c>
      <c r="Q521" t="n">
        <v>0</v>
      </c>
      <c r="R521" s="2" t="inlineStr"/>
    </row>
    <row r="522" ht="15" customHeight="1">
      <c r="A522" t="inlineStr">
        <is>
          <t>A 27974-2025</t>
        </is>
      </c>
      <c r="B522" s="1" t="n">
        <v>45817.56891203704</v>
      </c>
      <c r="C522" s="1" t="n">
        <v>45991</v>
      </c>
      <c r="D522" t="inlineStr">
        <is>
          <t>KALMAR LÄN</t>
        </is>
      </c>
      <c r="E522" t="inlineStr">
        <is>
          <t>VÄSTERVIK</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27978-2025</t>
        </is>
      </c>
      <c r="B523" s="1" t="n">
        <v>45817.57153935185</v>
      </c>
      <c r="C523" s="1" t="n">
        <v>45991</v>
      </c>
      <c r="D523" t="inlineStr">
        <is>
          <t>KALMAR LÄN</t>
        </is>
      </c>
      <c r="E523" t="inlineStr">
        <is>
          <t>VÄSTERVIK</t>
        </is>
      </c>
      <c r="F523" t="inlineStr">
        <is>
          <t>Sveaskog</t>
        </is>
      </c>
      <c r="G523" t="n">
        <v>10.8</v>
      </c>
      <c r="H523" t="n">
        <v>0</v>
      </c>
      <c r="I523" t="n">
        <v>0</v>
      </c>
      <c r="J523" t="n">
        <v>0</v>
      </c>
      <c r="K523" t="n">
        <v>0</v>
      </c>
      <c r="L523" t="n">
        <v>0</v>
      </c>
      <c r="M523" t="n">
        <v>0</v>
      </c>
      <c r="N523" t="n">
        <v>0</v>
      </c>
      <c r="O523" t="n">
        <v>0</v>
      </c>
      <c r="P523" t="n">
        <v>0</v>
      </c>
      <c r="Q523" t="n">
        <v>0</v>
      </c>
      <c r="R523" s="2" t="inlineStr"/>
    </row>
    <row r="524" ht="15" customHeight="1">
      <c r="A524" t="inlineStr">
        <is>
          <t>A 19694-2025</t>
        </is>
      </c>
      <c r="B524" s="1" t="n">
        <v>45771.30550925926</v>
      </c>
      <c r="C524" s="1" t="n">
        <v>45991</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27094-2024</t>
        </is>
      </c>
      <c r="B525" s="1" t="n">
        <v>45471</v>
      </c>
      <c r="C525" s="1" t="n">
        <v>45991</v>
      </c>
      <c r="D525" t="inlineStr">
        <is>
          <t>KALMAR LÄN</t>
        </is>
      </c>
      <c r="E525" t="inlineStr">
        <is>
          <t>VÄSTERVIK</t>
        </is>
      </c>
      <c r="F525" t="inlineStr">
        <is>
          <t>Holmen skog AB</t>
        </is>
      </c>
      <c r="G525" t="n">
        <v>2.4</v>
      </c>
      <c r="H525" t="n">
        <v>0</v>
      </c>
      <c r="I525" t="n">
        <v>0</v>
      </c>
      <c r="J525" t="n">
        <v>0</v>
      </c>
      <c r="K525" t="n">
        <v>0</v>
      </c>
      <c r="L525" t="n">
        <v>0</v>
      </c>
      <c r="M525" t="n">
        <v>0</v>
      </c>
      <c r="N525" t="n">
        <v>0</v>
      </c>
      <c r="O525" t="n">
        <v>0</v>
      </c>
      <c r="P525" t="n">
        <v>0</v>
      </c>
      <c r="Q525" t="n">
        <v>0</v>
      </c>
      <c r="R525" s="2" t="inlineStr"/>
      <c r="U525">
        <f>HYPERLINK("https://klasma.github.io/Logging_0883/knärot/A 27094-2024 karta knärot.png", "A 27094-2024")</f>
        <v/>
      </c>
      <c r="V525">
        <f>HYPERLINK("https://klasma.github.io/Logging_0883/klagomål/A 27094-2024 FSC-klagomål.docx", "A 27094-2024")</f>
        <v/>
      </c>
      <c r="W525">
        <f>HYPERLINK("https://klasma.github.io/Logging_0883/klagomålsmail/A 27094-2024 FSC-klagomål mail.docx", "A 27094-2024")</f>
        <v/>
      </c>
      <c r="X525">
        <f>HYPERLINK("https://klasma.github.io/Logging_0883/tillsyn/A 27094-2024 tillsynsbegäran.docx", "A 27094-2024")</f>
        <v/>
      </c>
      <c r="Y525">
        <f>HYPERLINK("https://klasma.github.io/Logging_0883/tillsynsmail/A 27094-2024 tillsynsbegäran mail.docx", "A 27094-2024")</f>
        <v/>
      </c>
    </row>
    <row r="526" ht="15" customHeight="1">
      <c r="A526" t="inlineStr">
        <is>
          <t>A 28203-2025</t>
        </is>
      </c>
      <c r="B526" s="1" t="n">
        <v>45818.44662037037</v>
      </c>
      <c r="C526" s="1" t="n">
        <v>45991</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58217-2022</t>
        </is>
      </c>
      <c r="B527" s="1" t="n">
        <v>44901.36453703704</v>
      </c>
      <c r="C527" s="1" t="n">
        <v>45991</v>
      </c>
      <c r="D527" t="inlineStr">
        <is>
          <t>KALMAR LÄN</t>
        </is>
      </c>
      <c r="E527" t="inlineStr">
        <is>
          <t>VÄSTERVIK</t>
        </is>
      </c>
      <c r="G527" t="n">
        <v>0.8</v>
      </c>
      <c r="H527" t="n">
        <v>0</v>
      </c>
      <c r="I527" t="n">
        <v>0</v>
      </c>
      <c r="J527" t="n">
        <v>0</v>
      </c>
      <c r="K527" t="n">
        <v>0</v>
      </c>
      <c r="L527" t="n">
        <v>0</v>
      </c>
      <c r="M527" t="n">
        <v>0</v>
      </c>
      <c r="N527" t="n">
        <v>0</v>
      </c>
      <c r="O527" t="n">
        <v>0</v>
      </c>
      <c r="P527" t="n">
        <v>0</v>
      </c>
      <c r="Q527" t="n">
        <v>0</v>
      </c>
      <c r="R527" s="2" t="inlineStr"/>
    </row>
    <row r="528" ht="15" customHeight="1">
      <c r="A528" t="inlineStr">
        <is>
          <t>A 28096-2025</t>
        </is>
      </c>
      <c r="B528" s="1" t="n">
        <v>45817.81831018518</v>
      </c>
      <c r="C528" s="1" t="n">
        <v>45991</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27568-2024</t>
        </is>
      </c>
      <c r="B529" s="1" t="n">
        <v>45474</v>
      </c>
      <c r="C529" s="1" t="n">
        <v>45991</v>
      </c>
      <c r="D529" t="inlineStr">
        <is>
          <t>KALMAR LÄN</t>
        </is>
      </c>
      <c r="E529" t="inlineStr">
        <is>
          <t>VÄSTERVIK</t>
        </is>
      </c>
      <c r="G529" t="n">
        <v>7.7</v>
      </c>
      <c r="H529" t="n">
        <v>0</v>
      </c>
      <c r="I529" t="n">
        <v>0</v>
      </c>
      <c r="J529" t="n">
        <v>0</v>
      </c>
      <c r="K529" t="n">
        <v>0</v>
      </c>
      <c r="L529" t="n">
        <v>0</v>
      </c>
      <c r="M529" t="n">
        <v>0</v>
      </c>
      <c r="N529" t="n">
        <v>0</v>
      </c>
      <c r="O529" t="n">
        <v>0</v>
      </c>
      <c r="P529" t="n">
        <v>0</v>
      </c>
      <c r="Q529" t="n">
        <v>0</v>
      </c>
      <c r="R529" s="2" t="inlineStr"/>
    </row>
    <row r="530" ht="15" customHeight="1">
      <c r="A530" t="inlineStr">
        <is>
          <t>A 28390-2024</t>
        </is>
      </c>
      <c r="B530" s="1" t="n">
        <v>45477</v>
      </c>
      <c r="C530" s="1" t="n">
        <v>45991</v>
      </c>
      <c r="D530" t="inlineStr">
        <is>
          <t>KALMAR LÄN</t>
        </is>
      </c>
      <c r="E530" t="inlineStr">
        <is>
          <t>VÄSTERVIK</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6941-2025</t>
        </is>
      </c>
      <c r="B531" s="1" t="n">
        <v>45701.46835648148</v>
      </c>
      <c r="C531" s="1" t="n">
        <v>45991</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28696-2025</t>
        </is>
      </c>
      <c r="B532" s="1" t="n">
        <v>45819.91342592592</v>
      </c>
      <c r="C532" s="1" t="n">
        <v>45991</v>
      </c>
      <c r="D532" t="inlineStr">
        <is>
          <t>KALMAR LÄN</t>
        </is>
      </c>
      <c r="E532" t="inlineStr">
        <is>
          <t>VÄSTERVIK</t>
        </is>
      </c>
      <c r="G532" t="n">
        <v>2.8</v>
      </c>
      <c r="H532" t="n">
        <v>0</v>
      </c>
      <c r="I532" t="n">
        <v>0</v>
      </c>
      <c r="J532" t="n">
        <v>0</v>
      </c>
      <c r="K532" t="n">
        <v>0</v>
      </c>
      <c r="L532" t="n">
        <v>0</v>
      </c>
      <c r="M532" t="n">
        <v>0</v>
      </c>
      <c r="N532" t="n">
        <v>0</v>
      </c>
      <c r="O532" t="n">
        <v>0</v>
      </c>
      <c r="P532" t="n">
        <v>0</v>
      </c>
      <c r="Q532" t="n">
        <v>0</v>
      </c>
      <c r="R532" s="2" t="inlineStr"/>
    </row>
    <row r="533" ht="15" customHeight="1">
      <c r="A533" t="inlineStr">
        <is>
          <t>A 1787-2025</t>
        </is>
      </c>
      <c r="B533" s="1" t="n">
        <v>45671.45357638889</v>
      </c>
      <c r="C533" s="1" t="n">
        <v>45991</v>
      </c>
      <c r="D533" t="inlineStr">
        <is>
          <t>KALMAR LÄN</t>
        </is>
      </c>
      <c r="E533" t="inlineStr">
        <is>
          <t>VÄSTERVIK</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33907-2025</t>
        </is>
      </c>
      <c r="B534" s="1" t="n">
        <v>45842.59880787037</v>
      </c>
      <c r="C534" s="1" t="n">
        <v>45991</v>
      </c>
      <c r="D534" t="inlineStr">
        <is>
          <t>KALMAR LÄN</t>
        </is>
      </c>
      <c r="E534" t="inlineStr">
        <is>
          <t>VÄSTERVIK</t>
        </is>
      </c>
      <c r="G534" t="n">
        <v>3.1</v>
      </c>
      <c r="H534" t="n">
        <v>0</v>
      </c>
      <c r="I534" t="n">
        <v>0</v>
      </c>
      <c r="J534" t="n">
        <v>0</v>
      </c>
      <c r="K534" t="n">
        <v>0</v>
      </c>
      <c r="L534" t="n">
        <v>0</v>
      </c>
      <c r="M534" t="n">
        <v>0</v>
      </c>
      <c r="N534" t="n">
        <v>0</v>
      </c>
      <c r="O534" t="n">
        <v>0</v>
      </c>
      <c r="P534" t="n">
        <v>0</v>
      </c>
      <c r="Q534" t="n">
        <v>0</v>
      </c>
      <c r="R534" s="2" t="inlineStr"/>
    </row>
    <row r="535" ht="15" customHeight="1">
      <c r="A535" t="inlineStr">
        <is>
          <t>A 29784-2024</t>
        </is>
      </c>
      <c r="B535" s="1" t="n">
        <v>45485.46129629629</v>
      </c>
      <c r="C535" s="1" t="n">
        <v>45991</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41993-2025</t>
        </is>
      </c>
      <c r="B536" s="1" t="n">
        <v>45903.54821759259</v>
      </c>
      <c r="C536" s="1" t="n">
        <v>45991</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29678-2025</t>
        </is>
      </c>
      <c r="B537" s="1" t="n">
        <v>45825.50804398148</v>
      </c>
      <c r="C537" s="1" t="n">
        <v>45991</v>
      </c>
      <c r="D537" t="inlineStr">
        <is>
          <t>KALMAR LÄN</t>
        </is>
      </c>
      <c r="E537" t="inlineStr">
        <is>
          <t>VÄSTERVIK</t>
        </is>
      </c>
      <c r="G537" t="n">
        <v>1.6</v>
      </c>
      <c r="H537" t="n">
        <v>0</v>
      </c>
      <c r="I537" t="n">
        <v>0</v>
      </c>
      <c r="J537" t="n">
        <v>0</v>
      </c>
      <c r="K537" t="n">
        <v>0</v>
      </c>
      <c r="L537" t="n">
        <v>0</v>
      </c>
      <c r="M537" t="n">
        <v>0</v>
      </c>
      <c r="N537" t="n">
        <v>0</v>
      </c>
      <c r="O537" t="n">
        <v>0</v>
      </c>
      <c r="P537" t="n">
        <v>0</v>
      </c>
      <c r="Q537" t="n">
        <v>0</v>
      </c>
      <c r="R537" s="2" t="inlineStr"/>
    </row>
    <row r="538" ht="15" customHeight="1">
      <c r="A538" t="inlineStr">
        <is>
          <t>A 54784-2023</t>
        </is>
      </c>
      <c r="B538" s="1" t="n">
        <v>45236.4803587963</v>
      </c>
      <c r="C538" s="1" t="n">
        <v>45991</v>
      </c>
      <c r="D538" t="inlineStr">
        <is>
          <t>KALMAR LÄN</t>
        </is>
      </c>
      <c r="E538" t="inlineStr">
        <is>
          <t>VÄSTERVIK</t>
        </is>
      </c>
      <c r="G538" t="n">
        <v>1.3</v>
      </c>
      <c r="H538" t="n">
        <v>0</v>
      </c>
      <c r="I538" t="n">
        <v>0</v>
      </c>
      <c r="J538" t="n">
        <v>0</v>
      </c>
      <c r="K538" t="n">
        <v>0</v>
      </c>
      <c r="L538" t="n">
        <v>0</v>
      </c>
      <c r="M538" t="n">
        <v>0</v>
      </c>
      <c r="N538" t="n">
        <v>0</v>
      </c>
      <c r="O538" t="n">
        <v>0</v>
      </c>
      <c r="P538" t="n">
        <v>0</v>
      </c>
      <c r="Q538" t="n">
        <v>0</v>
      </c>
      <c r="R538" s="2" t="inlineStr"/>
    </row>
    <row r="539" ht="15" customHeight="1">
      <c r="A539" t="inlineStr">
        <is>
          <t>A 9760-2024</t>
        </is>
      </c>
      <c r="B539" s="1" t="n">
        <v>45362</v>
      </c>
      <c r="C539" s="1" t="n">
        <v>45991</v>
      </c>
      <c r="D539" t="inlineStr">
        <is>
          <t>KALMAR LÄN</t>
        </is>
      </c>
      <c r="E539" t="inlineStr">
        <is>
          <t>VÄSTERVIK</t>
        </is>
      </c>
      <c r="G539" t="n">
        <v>2.1</v>
      </c>
      <c r="H539" t="n">
        <v>0</v>
      </c>
      <c r="I539" t="n">
        <v>0</v>
      </c>
      <c r="J539" t="n">
        <v>0</v>
      </c>
      <c r="K539" t="n">
        <v>0</v>
      </c>
      <c r="L539" t="n">
        <v>0</v>
      </c>
      <c r="M539" t="n">
        <v>0</v>
      </c>
      <c r="N539" t="n">
        <v>0</v>
      </c>
      <c r="O539" t="n">
        <v>0</v>
      </c>
      <c r="P539" t="n">
        <v>0</v>
      </c>
      <c r="Q539" t="n">
        <v>0</v>
      </c>
      <c r="R539" s="2" t="inlineStr"/>
    </row>
    <row r="540" ht="15" customHeight="1">
      <c r="A540" t="inlineStr">
        <is>
          <t>A 11856-2024</t>
        </is>
      </c>
      <c r="B540" s="1" t="n">
        <v>45376.43302083333</v>
      </c>
      <c r="C540" s="1" t="n">
        <v>45991</v>
      </c>
      <c r="D540" t="inlineStr">
        <is>
          <t>KALMAR LÄN</t>
        </is>
      </c>
      <c r="E540" t="inlineStr">
        <is>
          <t>VÄSTERVIK</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55866-2023</t>
        </is>
      </c>
      <c r="B541" s="1" t="n">
        <v>45239</v>
      </c>
      <c r="C541" s="1" t="n">
        <v>45991</v>
      </c>
      <c r="D541" t="inlineStr">
        <is>
          <t>KALMAR LÄN</t>
        </is>
      </c>
      <c r="E541" t="inlineStr">
        <is>
          <t>VÄSTERVIK</t>
        </is>
      </c>
      <c r="G541" t="n">
        <v>1.3</v>
      </c>
      <c r="H541" t="n">
        <v>0</v>
      </c>
      <c r="I541" t="n">
        <v>0</v>
      </c>
      <c r="J541" t="n">
        <v>0</v>
      </c>
      <c r="K541" t="n">
        <v>0</v>
      </c>
      <c r="L541" t="n">
        <v>0</v>
      </c>
      <c r="M541" t="n">
        <v>0</v>
      </c>
      <c r="N541" t="n">
        <v>0</v>
      </c>
      <c r="O541" t="n">
        <v>0</v>
      </c>
      <c r="P541" t="n">
        <v>0</v>
      </c>
      <c r="Q541" t="n">
        <v>0</v>
      </c>
      <c r="R541" s="2" t="inlineStr"/>
    </row>
    <row r="542" ht="15" customHeight="1">
      <c r="A542" t="inlineStr">
        <is>
          <t>A 58707-2022</t>
        </is>
      </c>
      <c r="B542" s="1" t="n">
        <v>44902.80462962963</v>
      </c>
      <c r="C542" s="1" t="n">
        <v>45991</v>
      </c>
      <c r="D542" t="inlineStr">
        <is>
          <t>KALMAR LÄN</t>
        </is>
      </c>
      <c r="E542" t="inlineStr">
        <is>
          <t>VÄSTERVIK</t>
        </is>
      </c>
      <c r="G542" t="n">
        <v>2.3</v>
      </c>
      <c r="H542" t="n">
        <v>0</v>
      </c>
      <c r="I542" t="n">
        <v>0</v>
      </c>
      <c r="J542" t="n">
        <v>0</v>
      </c>
      <c r="K542" t="n">
        <v>0</v>
      </c>
      <c r="L542" t="n">
        <v>0</v>
      </c>
      <c r="M542" t="n">
        <v>0</v>
      </c>
      <c r="N542" t="n">
        <v>0</v>
      </c>
      <c r="O542" t="n">
        <v>0</v>
      </c>
      <c r="P542" t="n">
        <v>0</v>
      </c>
      <c r="Q542" t="n">
        <v>0</v>
      </c>
      <c r="R542" s="2" t="inlineStr"/>
    </row>
    <row r="543" ht="15" customHeight="1">
      <c r="A543" t="inlineStr">
        <is>
          <t>A 37858-2023</t>
        </is>
      </c>
      <c r="B543" s="1" t="n">
        <v>45160.40577546296</v>
      </c>
      <c r="C543" s="1" t="n">
        <v>45991</v>
      </c>
      <c r="D543" t="inlineStr">
        <is>
          <t>KALMAR LÄN</t>
        </is>
      </c>
      <c r="E543" t="inlineStr">
        <is>
          <t>VÄSTERVIK</t>
        </is>
      </c>
      <c r="G543" t="n">
        <v>3</v>
      </c>
      <c r="H543" t="n">
        <v>0</v>
      </c>
      <c r="I543" t="n">
        <v>0</v>
      </c>
      <c r="J543" t="n">
        <v>0</v>
      </c>
      <c r="K543" t="n">
        <v>0</v>
      </c>
      <c r="L543" t="n">
        <v>0</v>
      </c>
      <c r="M543" t="n">
        <v>0</v>
      </c>
      <c r="N543" t="n">
        <v>0</v>
      </c>
      <c r="O543" t="n">
        <v>0</v>
      </c>
      <c r="P543" t="n">
        <v>0</v>
      </c>
      <c r="Q543" t="n">
        <v>0</v>
      </c>
      <c r="R543" s="2" t="inlineStr"/>
    </row>
    <row r="544" ht="15" customHeight="1">
      <c r="A544" t="inlineStr">
        <is>
          <t>A 35667-2023</t>
        </is>
      </c>
      <c r="B544" s="1" t="n">
        <v>45147.60667824074</v>
      </c>
      <c r="C544" s="1" t="n">
        <v>45991</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19608-2025</t>
        </is>
      </c>
      <c r="B545" s="1" t="n">
        <v>45770.60177083333</v>
      </c>
      <c r="C545" s="1" t="n">
        <v>45991</v>
      </c>
      <c r="D545" t="inlineStr">
        <is>
          <t>KALMAR LÄN</t>
        </is>
      </c>
      <c r="E545" t="inlineStr">
        <is>
          <t>VÄSTERVIK</t>
        </is>
      </c>
      <c r="G545" t="n">
        <v>3.5</v>
      </c>
      <c r="H545" t="n">
        <v>0</v>
      </c>
      <c r="I545" t="n">
        <v>0</v>
      </c>
      <c r="J545" t="n">
        <v>0</v>
      </c>
      <c r="K545" t="n">
        <v>0</v>
      </c>
      <c r="L545" t="n">
        <v>0</v>
      </c>
      <c r="M545" t="n">
        <v>0</v>
      </c>
      <c r="N545" t="n">
        <v>0</v>
      </c>
      <c r="O545" t="n">
        <v>0</v>
      </c>
      <c r="P545" t="n">
        <v>0</v>
      </c>
      <c r="Q545" t="n">
        <v>0</v>
      </c>
      <c r="R545" s="2" t="inlineStr"/>
    </row>
    <row r="546" ht="15" customHeight="1">
      <c r="A546" t="inlineStr">
        <is>
          <t>A 3041-2025</t>
        </is>
      </c>
      <c r="B546" s="1" t="n">
        <v>45678.60493055556</v>
      </c>
      <c r="C546" s="1" t="n">
        <v>45991</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c r="U546">
        <f>HYPERLINK("https://klasma.github.io/Logging_0883/knärot/A 3041-2025 karta knärot.png", "A 3041-2025")</f>
        <v/>
      </c>
      <c r="V546">
        <f>HYPERLINK("https://klasma.github.io/Logging_0883/klagomål/A 3041-2025 FSC-klagomål.docx", "A 3041-2025")</f>
        <v/>
      </c>
      <c r="W546">
        <f>HYPERLINK("https://klasma.github.io/Logging_0883/klagomålsmail/A 3041-2025 FSC-klagomål mail.docx", "A 3041-2025")</f>
        <v/>
      </c>
      <c r="X546">
        <f>HYPERLINK("https://klasma.github.io/Logging_0883/tillsyn/A 3041-2025 tillsynsbegäran.docx", "A 3041-2025")</f>
        <v/>
      </c>
      <c r="Y546">
        <f>HYPERLINK("https://klasma.github.io/Logging_0883/tillsynsmail/A 3041-2025 tillsynsbegäran mail.docx", "A 3041-2025")</f>
        <v/>
      </c>
    </row>
    <row r="547" ht="15" customHeight="1">
      <c r="A547" t="inlineStr">
        <is>
          <t>A 51515-2025</t>
        </is>
      </c>
      <c r="B547" s="1" t="n">
        <v>45950.65560185185</v>
      </c>
      <c r="C547" s="1" t="n">
        <v>45991</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52845-2023</t>
        </is>
      </c>
      <c r="B548" s="1" t="n">
        <v>45226.43667824074</v>
      </c>
      <c r="C548" s="1" t="n">
        <v>45991</v>
      </c>
      <c r="D548" t="inlineStr">
        <is>
          <t>KALMAR LÄN</t>
        </is>
      </c>
      <c r="E548" t="inlineStr">
        <is>
          <t>VÄSTERVIK</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51437-2025</t>
        </is>
      </c>
      <c r="B549" s="1" t="n">
        <v>45950.56834490741</v>
      </c>
      <c r="C549" s="1" t="n">
        <v>45991</v>
      </c>
      <c r="D549" t="inlineStr">
        <is>
          <t>KALMAR LÄN</t>
        </is>
      </c>
      <c r="E549" t="inlineStr">
        <is>
          <t>VÄSTERVIK</t>
        </is>
      </c>
      <c r="G549" t="n">
        <v>3.1</v>
      </c>
      <c r="H549" t="n">
        <v>0</v>
      </c>
      <c r="I549" t="n">
        <v>0</v>
      </c>
      <c r="J549" t="n">
        <v>0</v>
      </c>
      <c r="K549" t="n">
        <v>0</v>
      </c>
      <c r="L549" t="n">
        <v>0</v>
      </c>
      <c r="M549" t="n">
        <v>0</v>
      </c>
      <c r="N549" t="n">
        <v>0</v>
      </c>
      <c r="O549" t="n">
        <v>0</v>
      </c>
      <c r="P549" t="n">
        <v>0</v>
      </c>
      <c r="Q549" t="n">
        <v>0</v>
      </c>
      <c r="R549" s="2" t="inlineStr"/>
    </row>
    <row r="550" ht="15" customHeight="1">
      <c r="A550" t="inlineStr">
        <is>
          <t>A 51439-2025</t>
        </is>
      </c>
      <c r="B550" s="1" t="n">
        <v>45950.57254629629</v>
      </c>
      <c r="C550" s="1" t="n">
        <v>45991</v>
      </c>
      <c r="D550" t="inlineStr">
        <is>
          <t>KALMAR LÄN</t>
        </is>
      </c>
      <c r="E550" t="inlineStr">
        <is>
          <t>VÄSTERVIK</t>
        </is>
      </c>
      <c r="G550" t="n">
        <v>1.4</v>
      </c>
      <c r="H550" t="n">
        <v>0</v>
      </c>
      <c r="I550" t="n">
        <v>0</v>
      </c>
      <c r="J550" t="n">
        <v>0</v>
      </c>
      <c r="K550" t="n">
        <v>0</v>
      </c>
      <c r="L550" t="n">
        <v>0</v>
      </c>
      <c r="M550" t="n">
        <v>0</v>
      </c>
      <c r="N550" t="n">
        <v>0</v>
      </c>
      <c r="O550" t="n">
        <v>0</v>
      </c>
      <c r="P550" t="n">
        <v>0</v>
      </c>
      <c r="Q550" t="n">
        <v>0</v>
      </c>
      <c r="R550" s="2" t="inlineStr"/>
    </row>
    <row r="551" ht="15" customHeight="1">
      <c r="A551" t="inlineStr">
        <is>
          <t>A 51566-2025</t>
        </is>
      </c>
      <c r="B551" s="1" t="n">
        <v>45951.30868055556</v>
      </c>
      <c r="C551" s="1" t="n">
        <v>45991</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30648-2025</t>
        </is>
      </c>
      <c r="B552" s="1" t="n">
        <v>45831</v>
      </c>
      <c r="C552" s="1" t="n">
        <v>45991</v>
      </c>
      <c r="D552" t="inlineStr">
        <is>
          <t>KALMAR LÄN</t>
        </is>
      </c>
      <c r="E552" t="inlineStr">
        <is>
          <t>VÄSTERVIK</t>
        </is>
      </c>
      <c r="G552" t="n">
        <v>3</v>
      </c>
      <c r="H552" t="n">
        <v>0</v>
      </c>
      <c r="I552" t="n">
        <v>0</v>
      </c>
      <c r="J552" t="n">
        <v>0</v>
      </c>
      <c r="K552" t="n">
        <v>0</v>
      </c>
      <c r="L552" t="n">
        <v>0</v>
      </c>
      <c r="M552" t="n">
        <v>0</v>
      </c>
      <c r="N552" t="n">
        <v>0</v>
      </c>
      <c r="O552" t="n">
        <v>0</v>
      </c>
      <c r="P552" t="n">
        <v>0</v>
      </c>
      <c r="Q552" t="n">
        <v>0</v>
      </c>
      <c r="R552" s="2" t="inlineStr"/>
    </row>
    <row r="553" ht="15" customHeight="1">
      <c r="A553" t="inlineStr">
        <is>
          <t>A 51769-2025</t>
        </is>
      </c>
      <c r="B553" s="1" t="n">
        <v>45951.64155092592</v>
      </c>
      <c r="C553" s="1" t="n">
        <v>45991</v>
      </c>
      <c r="D553" t="inlineStr">
        <is>
          <t>KALMAR LÄN</t>
        </is>
      </c>
      <c r="E553" t="inlineStr">
        <is>
          <t>VÄSTERVIK</t>
        </is>
      </c>
      <c r="G553" t="n">
        <v>3.6</v>
      </c>
      <c r="H553" t="n">
        <v>0</v>
      </c>
      <c r="I553" t="n">
        <v>0</v>
      </c>
      <c r="J553" t="n">
        <v>0</v>
      </c>
      <c r="K553" t="n">
        <v>0</v>
      </c>
      <c r="L553" t="n">
        <v>0</v>
      </c>
      <c r="M553" t="n">
        <v>0</v>
      </c>
      <c r="N553" t="n">
        <v>0</v>
      </c>
      <c r="O553" t="n">
        <v>0</v>
      </c>
      <c r="P553" t="n">
        <v>0</v>
      </c>
      <c r="Q553" t="n">
        <v>0</v>
      </c>
      <c r="R553" s="2" t="inlineStr"/>
    </row>
    <row r="554" ht="15" customHeight="1">
      <c r="A554" t="inlineStr">
        <is>
          <t>A 2360-2025</t>
        </is>
      </c>
      <c r="B554" s="1" t="n">
        <v>45673.69037037037</v>
      </c>
      <c r="C554" s="1" t="n">
        <v>45991</v>
      </c>
      <c r="D554" t="inlineStr">
        <is>
          <t>KALMAR LÄN</t>
        </is>
      </c>
      <c r="E554" t="inlineStr">
        <is>
          <t>VÄSTERVIK</t>
        </is>
      </c>
      <c r="G554" t="n">
        <v>3</v>
      </c>
      <c r="H554" t="n">
        <v>0</v>
      </c>
      <c r="I554" t="n">
        <v>0</v>
      </c>
      <c r="J554" t="n">
        <v>0</v>
      </c>
      <c r="K554" t="n">
        <v>0</v>
      </c>
      <c r="L554" t="n">
        <v>0</v>
      </c>
      <c r="M554" t="n">
        <v>0</v>
      </c>
      <c r="N554" t="n">
        <v>0</v>
      </c>
      <c r="O554" t="n">
        <v>0</v>
      </c>
      <c r="P554" t="n">
        <v>0</v>
      </c>
      <c r="Q554" t="n">
        <v>0</v>
      </c>
      <c r="R554" s="2" t="inlineStr"/>
    </row>
    <row r="555" ht="15" customHeight="1">
      <c r="A555" t="inlineStr">
        <is>
          <t>A 30644-2025</t>
        </is>
      </c>
      <c r="B555" s="1" t="n">
        <v>45831</v>
      </c>
      <c r="C555" s="1" t="n">
        <v>45991</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30800-2025</t>
        </is>
      </c>
      <c r="B556" s="1" t="n">
        <v>45831.65177083333</v>
      </c>
      <c r="C556" s="1" t="n">
        <v>45991</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30690-2025</t>
        </is>
      </c>
      <c r="B557" s="1" t="n">
        <v>45831.53775462963</v>
      </c>
      <c r="C557" s="1" t="n">
        <v>45991</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30789-2025</t>
        </is>
      </c>
      <c r="B558" s="1" t="n">
        <v>45831.63174768518</v>
      </c>
      <c r="C558" s="1" t="n">
        <v>45991</v>
      </c>
      <c r="D558" t="inlineStr">
        <is>
          <t>KALMAR LÄN</t>
        </is>
      </c>
      <c r="E558" t="inlineStr">
        <is>
          <t>VÄSTERVIK</t>
        </is>
      </c>
      <c r="G558" t="n">
        <v>7</v>
      </c>
      <c r="H558" t="n">
        <v>0</v>
      </c>
      <c r="I558" t="n">
        <v>0</v>
      </c>
      <c r="J558" t="n">
        <v>0</v>
      </c>
      <c r="K558" t="n">
        <v>0</v>
      </c>
      <c r="L558" t="n">
        <v>0</v>
      </c>
      <c r="M558" t="n">
        <v>0</v>
      </c>
      <c r="N558" t="n">
        <v>0</v>
      </c>
      <c r="O558" t="n">
        <v>0</v>
      </c>
      <c r="P558" t="n">
        <v>0</v>
      </c>
      <c r="Q558" t="n">
        <v>0</v>
      </c>
      <c r="R558" s="2" t="inlineStr"/>
    </row>
    <row r="559" ht="15" customHeight="1">
      <c r="A559" t="inlineStr">
        <is>
          <t>A 46088-2023</t>
        </is>
      </c>
      <c r="B559" s="1" t="n">
        <v>45196.50065972222</v>
      </c>
      <c r="C559" s="1" t="n">
        <v>45991</v>
      </c>
      <c r="D559" t="inlineStr">
        <is>
          <t>KALMAR LÄN</t>
        </is>
      </c>
      <c r="E559" t="inlineStr">
        <is>
          <t>VÄSTERVIK</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30811-2025</t>
        </is>
      </c>
      <c r="B560" s="1" t="n">
        <v>45831.65712962963</v>
      </c>
      <c r="C560" s="1" t="n">
        <v>45991</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51426-2025</t>
        </is>
      </c>
      <c r="B561" s="1" t="n">
        <v>45950.53288194445</v>
      </c>
      <c r="C561" s="1" t="n">
        <v>45991</v>
      </c>
      <c r="D561" t="inlineStr">
        <is>
          <t>KALMAR LÄN</t>
        </is>
      </c>
      <c r="E561" t="inlineStr">
        <is>
          <t>VÄSTERVIK</t>
        </is>
      </c>
      <c r="G561" t="n">
        <v>3.8</v>
      </c>
      <c r="H561" t="n">
        <v>0</v>
      </c>
      <c r="I561" t="n">
        <v>0</v>
      </c>
      <c r="J561" t="n">
        <v>0</v>
      </c>
      <c r="K561" t="n">
        <v>0</v>
      </c>
      <c r="L561" t="n">
        <v>0</v>
      </c>
      <c r="M561" t="n">
        <v>0</v>
      </c>
      <c r="N561" t="n">
        <v>0</v>
      </c>
      <c r="O561" t="n">
        <v>0</v>
      </c>
      <c r="P561" t="n">
        <v>0</v>
      </c>
      <c r="Q561" t="n">
        <v>0</v>
      </c>
      <c r="R561" s="2" t="inlineStr"/>
    </row>
    <row r="562" ht="15" customHeight="1">
      <c r="A562" t="inlineStr">
        <is>
          <t>A 67133-2020</t>
        </is>
      </c>
      <c r="B562" s="1" t="n">
        <v>44180</v>
      </c>
      <c r="C562" s="1" t="n">
        <v>45991</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51520-2025</t>
        </is>
      </c>
      <c r="B563" s="1" t="n">
        <v>45950.65695601852</v>
      </c>
      <c r="C563" s="1" t="n">
        <v>45991</v>
      </c>
      <c r="D563" t="inlineStr">
        <is>
          <t>KALMAR LÄN</t>
        </is>
      </c>
      <c r="E563" t="inlineStr">
        <is>
          <t>VÄSTERVIK</t>
        </is>
      </c>
      <c r="G563" t="n">
        <v>3.6</v>
      </c>
      <c r="H563" t="n">
        <v>0</v>
      </c>
      <c r="I563" t="n">
        <v>0</v>
      </c>
      <c r="J563" t="n">
        <v>0</v>
      </c>
      <c r="K563" t="n">
        <v>0</v>
      </c>
      <c r="L563" t="n">
        <v>0</v>
      </c>
      <c r="M563" t="n">
        <v>0</v>
      </c>
      <c r="N563" t="n">
        <v>0</v>
      </c>
      <c r="O563" t="n">
        <v>0</v>
      </c>
      <c r="P563" t="n">
        <v>0</v>
      </c>
      <c r="Q563" t="n">
        <v>0</v>
      </c>
      <c r="R563" s="2" t="inlineStr"/>
    </row>
    <row r="564" ht="15" customHeight="1">
      <c r="A564" t="inlineStr">
        <is>
          <t>A 51441-2025</t>
        </is>
      </c>
      <c r="B564" s="1" t="n">
        <v>45950.57375</v>
      </c>
      <c r="C564" s="1" t="n">
        <v>45991</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7165-2025</t>
        </is>
      </c>
      <c r="B565" s="1" t="n">
        <v>45702.39491898148</v>
      </c>
      <c r="C565" s="1" t="n">
        <v>45991</v>
      </c>
      <c r="D565" t="inlineStr">
        <is>
          <t>KALMAR LÄN</t>
        </is>
      </c>
      <c r="E565" t="inlineStr">
        <is>
          <t>VÄSTERVIK</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51513-2025</t>
        </is>
      </c>
      <c r="B566" s="1" t="n">
        <v>45950.65234953703</v>
      </c>
      <c r="C566" s="1" t="n">
        <v>45991</v>
      </c>
      <c r="D566" t="inlineStr">
        <is>
          <t>KALMAR LÄN</t>
        </is>
      </c>
      <c r="E566" t="inlineStr">
        <is>
          <t>VÄSTERVIK</t>
        </is>
      </c>
      <c r="G566" t="n">
        <v>2.4</v>
      </c>
      <c r="H566" t="n">
        <v>0</v>
      </c>
      <c r="I566" t="n">
        <v>0</v>
      </c>
      <c r="J566" t="n">
        <v>0</v>
      </c>
      <c r="K566" t="n">
        <v>0</v>
      </c>
      <c r="L566" t="n">
        <v>0</v>
      </c>
      <c r="M566" t="n">
        <v>0</v>
      </c>
      <c r="N566" t="n">
        <v>0</v>
      </c>
      <c r="O566" t="n">
        <v>0</v>
      </c>
      <c r="P566" t="n">
        <v>0</v>
      </c>
      <c r="Q566" t="n">
        <v>0</v>
      </c>
      <c r="R566" s="2" t="inlineStr"/>
    </row>
    <row r="567" ht="15" customHeight="1">
      <c r="A567" t="inlineStr">
        <is>
          <t>A 31576-2025</t>
        </is>
      </c>
      <c r="B567" s="1" t="n">
        <v>45833.67266203704</v>
      </c>
      <c r="C567" s="1" t="n">
        <v>45991</v>
      </c>
      <c r="D567" t="inlineStr">
        <is>
          <t>KALMAR LÄN</t>
        </is>
      </c>
      <c r="E567" t="inlineStr">
        <is>
          <t>VÄSTERVIK</t>
        </is>
      </c>
      <c r="F567" t="inlineStr">
        <is>
          <t>Holmen skog AB</t>
        </is>
      </c>
      <c r="G567" t="n">
        <v>3.5</v>
      </c>
      <c r="H567" t="n">
        <v>0</v>
      </c>
      <c r="I567" t="n">
        <v>0</v>
      </c>
      <c r="J567" t="n">
        <v>0</v>
      </c>
      <c r="K567" t="n">
        <v>0</v>
      </c>
      <c r="L567" t="n">
        <v>0</v>
      </c>
      <c r="M567" t="n">
        <v>0</v>
      </c>
      <c r="N567" t="n">
        <v>0</v>
      </c>
      <c r="O567" t="n">
        <v>0</v>
      </c>
      <c r="P567" t="n">
        <v>0</v>
      </c>
      <c r="Q567" t="n">
        <v>0</v>
      </c>
      <c r="R567" s="2" t="inlineStr"/>
    </row>
    <row r="568" ht="15" customHeight="1">
      <c r="A568" t="inlineStr">
        <is>
          <t>A 31600-2025</t>
        </is>
      </c>
      <c r="B568" s="1" t="n">
        <v>45833.72505787037</v>
      </c>
      <c r="C568" s="1" t="n">
        <v>45991</v>
      </c>
      <c r="D568" t="inlineStr">
        <is>
          <t>KALMAR LÄN</t>
        </is>
      </c>
      <c r="E568" t="inlineStr">
        <is>
          <t>VÄSTERVIK</t>
        </is>
      </c>
      <c r="F568" t="inlineStr">
        <is>
          <t>Holmen skog AB</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31419-2025</t>
        </is>
      </c>
      <c r="B569" s="1" t="n">
        <v>45833.48370370371</v>
      </c>
      <c r="C569" s="1" t="n">
        <v>45991</v>
      </c>
      <c r="D569" t="inlineStr">
        <is>
          <t>KALMAR LÄN</t>
        </is>
      </c>
      <c r="E569" t="inlineStr">
        <is>
          <t>VÄSTERVIK</t>
        </is>
      </c>
      <c r="F569" t="inlineStr">
        <is>
          <t>Kommuner</t>
        </is>
      </c>
      <c r="G569" t="n">
        <v>1.1</v>
      </c>
      <c r="H569" t="n">
        <v>0</v>
      </c>
      <c r="I569" t="n">
        <v>0</v>
      </c>
      <c r="J569" t="n">
        <v>0</v>
      </c>
      <c r="K569" t="n">
        <v>0</v>
      </c>
      <c r="L569" t="n">
        <v>0</v>
      </c>
      <c r="M569" t="n">
        <v>0</v>
      </c>
      <c r="N569" t="n">
        <v>0</v>
      </c>
      <c r="O569" t="n">
        <v>0</v>
      </c>
      <c r="P569" t="n">
        <v>0</v>
      </c>
      <c r="Q569" t="n">
        <v>0</v>
      </c>
      <c r="R569" s="2" t="inlineStr"/>
    </row>
    <row r="570" ht="15" customHeight="1">
      <c r="A570" t="inlineStr">
        <is>
          <t>A 31886-2025</t>
        </is>
      </c>
      <c r="B570" s="1" t="n">
        <v>45834.65864583333</v>
      </c>
      <c r="C570" s="1" t="n">
        <v>45991</v>
      </c>
      <c r="D570" t="inlineStr">
        <is>
          <t>KALMAR LÄN</t>
        </is>
      </c>
      <c r="E570" t="inlineStr">
        <is>
          <t>VÄSTERVIK</t>
        </is>
      </c>
      <c r="F570" t="inlineStr">
        <is>
          <t>Holmen skog AB</t>
        </is>
      </c>
      <c r="G570" t="n">
        <v>4.1</v>
      </c>
      <c r="H570" t="n">
        <v>0</v>
      </c>
      <c r="I570" t="n">
        <v>0</v>
      </c>
      <c r="J570" t="n">
        <v>0</v>
      </c>
      <c r="K570" t="n">
        <v>0</v>
      </c>
      <c r="L570" t="n">
        <v>0</v>
      </c>
      <c r="M570" t="n">
        <v>0</v>
      </c>
      <c r="N570" t="n">
        <v>0</v>
      </c>
      <c r="O570" t="n">
        <v>0</v>
      </c>
      <c r="P570" t="n">
        <v>0</v>
      </c>
      <c r="Q570" t="n">
        <v>0</v>
      </c>
      <c r="R570" s="2" t="inlineStr"/>
    </row>
    <row r="571" ht="15" customHeight="1">
      <c r="A571" t="inlineStr">
        <is>
          <t>A 23706-2025</t>
        </is>
      </c>
      <c r="B571" s="1" t="n">
        <v>45793.36922453704</v>
      </c>
      <c r="C571" s="1" t="n">
        <v>45991</v>
      </c>
      <c r="D571" t="inlineStr">
        <is>
          <t>KALMAR LÄN</t>
        </is>
      </c>
      <c r="E571" t="inlineStr">
        <is>
          <t>VÄSTERVIK</t>
        </is>
      </c>
      <c r="G571" t="n">
        <v>2.2</v>
      </c>
      <c r="H571" t="n">
        <v>0</v>
      </c>
      <c r="I571" t="n">
        <v>0</v>
      </c>
      <c r="J571" t="n">
        <v>0</v>
      </c>
      <c r="K571" t="n">
        <v>0</v>
      </c>
      <c r="L571" t="n">
        <v>0</v>
      </c>
      <c r="M571" t="n">
        <v>0</v>
      </c>
      <c r="N571" t="n">
        <v>0</v>
      </c>
      <c r="O571" t="n">
        <v>0</v>
      </c>
      <c r="P571" t="n">
        <v>0</v>
      </c>
      <c r="Q571" t="n">
        <v>0</v>
      </c>
      <c r="R571" s="2" t="inlineStr"/>
    </row>
    <row r="572" ht="15" customHeight="1">
      <c r="A572" t="inlineStr">
        <is>
          <t>A 31843-2025</t>
        </is>
      </c>
      <c r="B572" s="1" t="n">
        <v>45834.5984375</v>
      </c>
      <c r="C572" s="1" t="n">
        <v>45991</v>
      </c>
      <c r="D572" t="inlineStr">
        <is>
          <t>KALMAR LÄN</t>
        </is>
      </c>
      <c r="E572" t="inlineStr">
        <is>
          <t>VÄSTERVIK</t>
        </is>
      </c>
      <c r="F572" t="inlineStr">
        <is>
          <t>Holmen skog AB</t>
        </is>
      </c>
      <c r="G572" t="n">
        <v>4.5</v>
      </c>
      <c r="H572" t="n">
        <v>0</v>
      </c>
      <c r="I572" t="n">
        <v>0</v>
      </c>
      <c r="J572" t="n">
        <v>0</v>
      </c>
      <c r="K572" t="n">
        <v>0</v>
      </c>
      <c r="L572" t="n">
        <v>0</v>
      </c>
      <c r="M572" t="n">
        <v>0</v>
      </c>
      <c r="N572" t="n">
        <v>0</v>
      </c>
      <c r="O572" t="n">
        <v>0</v>
      </c>
      <c r="P572" t="n">
        <v>0</v>
      </c>
      <c r="Q572" t="n">
        <v>0</v>
      </c>
      <c r="R572" s="2" t="inlineStr"/>
    </row>
    <row r="573" ht="15" customHeight="1">
      <c r="A573" t="inlineStr">
        <is>
          <t>A 31826-2025</t>
        </is>
      </c>
      <c r="B573" s="1" t="n">
        <v>45834.58306712963</v>
      </c>
      <c r="C573" s="1" t="n">
        <v>45991</v>
      </c>
      <c r="D573" t="inlineStr">
        <is>
          <t>KALMAR LÄN</t>
        </is>
      </c>
      <c r="E573" t="inlineStr">
        <is>
          <t>VÄSTERVIK</t>
        </is>
      </c>
      <c r="F573" t="inlineStr">
        <is>
          <t>Holmen skog AB</t>
        </is>
      </c>
      <c r="G573" t="n">
        <v>2.1</v>
      </c>
      <c r="H573" t="n">
        <v>0</v>
      </c>
      <c r="I573" t="n">
        <v>0</v>
      </c>
      <c r="J573" t="n">
        <v>0</v>
      </c>
      <c r="K573" t="n">
        <v>0</v>
      </c>
      <c r="L573" t="n">
        <v>0</v>
      </c>
      <c r="M573" t="n">
        <v>0</v>
      </c>
      <c r="N573" t="n">
        <v>0</v>
      </c>
      <c r="O573" t="n">
        <v>0</v>
      </c>
      <c r="P573" t="n">
        <v>0</v>
      </c>
      <c r="Q573" t="n">
        <v>0</v>
      </c>
      <c r="R573" s="2" t="inlineStr"/>
    </row>
    <row r="574" ht="15" customHeight="1">
      <c r="A574" t="inlineStr">
        <is>
          <t>A 23080-2023</t>
        </is>
      </c>
      <c r="B574" s="1" t="n">
        <v>45075</v>
      </c>
      <c r="C574" s="1" t="n">
        <v>45991</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52170-2025</t>
        </is>
      </c>
      <c r="B575" s="1" t="n">
        <v>45953.36766203704</v>
      </c>
      <c r="C575" s="1" t="n">
        <v>45991</v>
      </c>
      <c r="D575" t="inlineStr">
        <is>
          <t>KALMAR LÄN</t>
        </is>
      </c>
      <c r="E575" t="inlineStr">
        <is>
          <t>VÄSTERVIK</t>
        </is>
      </c>
      <c r="G575" t="n">
        <v>4.6</v>
      </c>
      <c r="H575" t="n">
        <v>0</v>
      </c>
      <c r="I575" t="n">
        <v>0</v>
      </c>
      <c r="J575" t="n">
        <v>0</v>
      </c>
      <c r="K575" t="n">
        <v>0</v>
      </c>
      <c r="L575" t="n">
        <v>0</v>
      </c>
      <c r="M575" t="n">
        <v>0</v>
      </c>
      <c r="N575" t="n">
        <v>0</v>
      </c>
      <c r="O575" t="n">
        <v>0</v>
      </c>
      <c r="P575" t="n">
        <v>0</v>
      </c>
      <c r="Q575" t="n">
        <v>0</v>
      </c>
      <c r="R575" s="2" t="inlineStr"/>
    </row>
    <row r="576" ht="15" customHeight="1">
      <c r="A576" t="inlineStr">
        <is>
          <t>A 26140-2024</t>
        </is>
      </c>
      <c r="B576" s="1" t="n">
        <v>45468</v>
      </c>
      <c r="C576" s="1" t="n">
        <v>45991</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13275-2023</t>
        </is>
      </c>
      <c r="B577" s="1" t="n">
        <v>45003</v>
      </c>
      <c r="C577" s="1" t="n">
        <v>45991</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c r="U577">
        <f>HYPERLINK("https://klasma.github.io/Logging_0883/knärot/A 13275-2023 karta knärot.png", "A 13275-2023")</f>
        <v/>
      </c>
      <c r="V577">
        <f>HYPERLINK("https://klasma.github.io/Logging_0883/klagomål/A 13275-2023 FSC-klagomål.docx", "A 13275-2023")</f>
        <v/>
      </c>
      <c r="W577">
        <f>HYPERLINK("https://klasma.github.io/Logging_0883/klagomålsmail/A 13275-2023 FSC-klagomål mail.docx", "A 13275-2023")</f>
        <v/>
      </c>
      <c r="X577">
        <f>HYPERLINK("https://klasma.github.io/Logging_0883/tillsyn/A 13275-2023 tillsynsbegäran.docx", "A 13275-2023")</f>
        <v/>
      </c>
      <c r="Y577">
        <f>HYPERLINK("https://klasma.github.io/Logging_0883/tillsynsmail/A 13275-2023 tillsynsbegäran mail.docx", "A 13275-2023")</f>
        <v/>
      </c>
    </row>
    <row r="578" ht="15" customHeight="1">
      <c r="A578" t="inlineStr">
        <is>
          <t>A 18880-2025</t>
        </is>
      </c>
      <c r="B578" s="1" t="n">
        <v>45764.43959490741</v>
      </c>
      <c r="C578" s="1" t="n">
        <v>45991</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17648-2023</t>
        </is>
      </c>
      <c r="B579" s="1" t="n">
        <v>45036</v>
      </c>
      <c r="C579" s="1" t="n">
        <v>45991</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12595-2023</t>
        </is>
      </c>
      <c r="B580" s="1" t="n">
        <v>45000.43240740741</v>
      </c>
      <c r="C580" s="1" t="n">
        <v>45991</v>
      </c>
      <c r="D580" t="inlineStr">
        <is>
          <t>KALMAR LÄN</t>
        </is>
      </c>
      <c r="E580" t="inlineStr">
        <is>
          <t>VÄSTERVIK</t>
        </is>
      </c>
      <c r="F580" t="inlineStr">
        <is>
          <t>Holmen skog AB</t>
        </is>
      </c>
      <c r="G580" t="n">
        <v>2.2</v>
      </c>
      <c r="H580" t="n">
        <v>0</v>
      </c>
      <c r="I580" t="n">
        <v>0</v>
      </c>
      <c r="J580" t="n">
        <v>0</v>
      </c>
      <c r="K580" t="n">
        <v>0</v>
      </c>
      <c r="L580" t="n">
        <v>0</v>
      </c>
      <c r="M580" t="n">
        <v>0</v>
      </c>
      <c r="N580" t="n">
        <v>0</v>
      </c>
      <c r="O580" t="n">
        <v>0</v>
      </c>
      <c r="P580" t="n">
        <v>0</v>
      </c>
      <c r="Q580" t="n">
        <v>0</v>
      </c>
      <c r="R580" s="2" t="inlineStr"/>
    </row>
    <row r="581" ht="15" customHeight="1">
      <c r="A581" t="inlineStr">
        <is>
          <t>A 31857-2025</t>
        </is>
      </c>
      <c r="B581" s="1" t="n">
        <v>45834.62629629629</v>
      </c>
      <c r="C581" s="1" t="n">
        <v>45991</v>
      </c>
      <c r="D581" t="inlineStr">
        <is>
          <t>KALMAR LÄN</t>
        </is>
      </c>
      <c r="E581" t="inlineStr">
        <is>
          <t>VÄSTERVIK</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45991</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51983-2025</t>
        </is>
      </c>
      <c r="B583" s="1" t="n">
        <v>45952.57481481481</v>
      </c>
      <c r="C583" s="1" t="n">
        <v>45991</v>
      </c>
      <c r="D583" t="inlineStr">
        <is>
          <t>KALMAR LÄN</t>
        </is>
      </c>
      <c r="E583" t="inlineStr">
        <is>
          <t>VÄSTERVIK</t>
        </is>
      </c>
      <c r="G583" t="n">
        <v>2.6</v>
      </c>
      <c r="H583" t="n">
        <v>0</v>
      </c>
      <c r="I583" t="n">
        <v>0</v>
      </c>
      <c r="J583" t="n">
        <v>0</v>
      </c>
      <c r="K583" t="n">
        <v>0</v>
      </c>
      <c r="L583" t="n">
        <v>0</v>
      </c>
      <c r="M583" t="n">
        <v>0</v>
      </c>
      <c r="N583" t="n">
        <v>0</v>
      </c>
      <c r="O583" t="n">
        <v>0</v>
      </c>
      <c r="P583" t="n">
        <v>0</v>
      </c>
      <c r="Q583" t="n">
        <v>0</v>
      </c>
      <c r="R583" s="2" t="inlineStr"/>
    </row>
    <row r="584" ht="15" customHeight="1">
      <c r="A584" t="inlineStr">
        <is>
          <t>A 52190-2025</t>
        </is>
      </c>
      <c r="B584" s="1" t="n">
        <v>45953.38814814815</v>
      </c>
      <c r="C584" s="1" t="n">
        <v>45991</v>
      </c>
      <c r="D584" t="inlineStr">
        <is>
          <t>KALMAR LÄN</t>
        </is>
      </c>
      <c r="E584" t="inlineStr">
        <is>
          <t>VÄSTERVIK</t>
        </is>
      </c>
      <c r="G584" t="n">
        <v>1.8</v>
      </c>
      <c r="H584" t="n">
        <v>0</v>
      </c>
      <c r="I584" t="n">
        <v>0</v>
      </c>
      <c r="J584" t="n">
        <v>0</v>
      </c>
      <c r="K584" t="n">
        <v>0</v>
      </c>
      <c r="L584" t="n">
        <v>0</v>
      </c>
      <c r="M584" t="n">
        <v>0</v>
      </c>
      <c r="N584" t="n">
        <v>0</v>
      </c>
      <c r="O584" t="n">
        <v>0</v>
      </c>
      <c r="P584" t="n">
        <v>0</v>
      </c>
      <c r="Q584" t="n">
        <v>0</v>
      </c>
      <c r="R584" s="2" t="inlineStr"/>
    </row>
    <row r="585" ht="15" customHeight="1">
      <c r="A585" t="inlineStr">
        <is>
          <t>A 37936-2022</t>
        </is>
      </c>
      <c r="B585" s="1" t="n">
        <v>44811.46958333333</v>
      </c>
      <c r="C585" s="1" t="n">
        <v>45991</v>
      </c>
      <c r="D585" t="inlineStr">
        <is>
          <t>KALMAR LÄN</t>
        </is>
      </c>
      <c r="E585" t="inlineStr">
        <is>
          <t>VÄSTERVIK</t>
        </is>
      </c>
      <c r="G585" t="n">
        <v>0.9</v>
      </c>
      <c r="H585" t="n">
        <v>0</v>
      </c>
      <c r="I585" t="n">
        <v>0</v>
      </c>
      <c r="J585" t="n">
        <v>0</v>
      </c>
      <c r="K585" t="n">
        <v>0</v>
      </c>
      <c r="L585" t="n">
        <v>0</v>
      </c>
      <c r="M585" t="n">
        <v>0</v>
      </c>
      <c r="N585" t="n">
        <v>0</v>
      </c>
      <c r="O585" t="n">
        <v>0</v>
      </c>
      <c r="P585" t="n">
        <v>0</v>
      </c>
      <c r="Q585" t="n">
        <v>0</v>
      </c>
      <c r="R585" s="2" t="inlineStr"/>
    </row>
    <row r="586" ht="15" customHeight="1">
      <c r="A586" t="inlineStr">
        <is>
          <t>A 32400-2025</t>
        </is>
      </c>
      <c r="B586" s="1" t="n">
        <v>45838.25818287037</v>
      </c>
      <c r="C586" s="1" t="n">
        <v>45991</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57804-2021</t>
        </is>
      </c>
      <c r="B587" s="1" t="n">
        <v>44484</v>
      </c>
      <c r="C587" s="1" t="n">
        <v>45991</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1788-2025</t>
        </is>
      </c>
      <c r="B588" s="1" t="n">
        <v>45671.45521990741</v>
      </c>
      <c r="C588" s="1" t="n">
        <v>45991</v>
      </c>
      <c r="D588" t="inlineStr">
        <is>
          <t>KALMAR LÄN</t>
        </is>
      </c>
      <c r="E588" t="inlineStr">
        <is>
          <t>VÄSTERVIK</t>
        </is>
      </c>
      <c r="F588" t="inlineStr">
        <is>
          <t>Sveaskog</t>
        </is>
      </c>
      <c r="G588" t="n">
        <v>2.7</v>
      </c>
      <c r="H588" t="n">
        <v>0</v>
      </c>
      <c r="I588" t="n">
        <v>0</v>
      </c>
      <c r="J588" t="n">
        <v>0</v>
      </c>
      <c r="K588" t="n">
        <v>0</v>
      </c>
      <c r="L588" t="n">
        <v>0</v>
      </c>
      <c r="M588" t="n">
        <v>0</v>
      </c>
      <c r="N588" t="n">
        <v>0</v>
      </c>
      <c r="O588" t="n">
        <v>0</v>
      </c>
      <c r="P588" t="n">
        <v>0</v>
      </c>
      <c r="Q588" t="n">
        <v>0</v>
      </c>
      <c r="R588" s="2" t="inlineStr"/>
    </row>
    <row r="589" ht="15" customHeight="1">
      <c r="A589" t="inlineStr">
        <is>
          <t>A 32778-2025</t>
        </is>
      </c>
      <c r="B589" s="1" t="n">
        <v>45839.46924768519</v>
      </c>
      <c r="C589" s="1" t="n">
        <v>45991</v>
      </c>
      <c r="D589" t="inlineStr">
        <is>
          <t>KALMAR LÄN</t>
        </is>
      </c>
      <c r="E589" t="inlineStr">
        <is>
          <t>VÄSTERVIK</t>
        </is>
      </c>
      <c r="G589" t="n">
        <v>2.2</v>
      </c>
      <c r="H589" t="n">
        <v>0</v>
      </c>
      <c r="I589" t="n">
        <v>0</v>
      </c>
      <c r="J589" t="n">
        <v>0</v>
      </c>
      <c r="K589" t="n">
        <v>0</v>
      </c>
      <c r="L589" t="n">
        <v>0</v>
      </c>
      <c r="M589" t="n">
        <v>0</v>
      </c>
      <c r="N589" t="n">
        <v>0</v>
      </c>
      <c r="O589" t="n">
        <v>0</v>
      </c>
      <c r="P589" t="n">
        <v>0</v>
      </c>
      <c r="Q589" t="n">
        <v>0</v>
      </c>
      <c r="R589" s="2" t="inlineStr"/>
    </row>
    <row r="590" ht="15" customHeight="1">
      <c r="A590" t="inlineStr">
        <is>
          <t>A 32495-2025</t>
        </is>
      </c>
      <c r="B590" s="1" t="n">
        <v>45838.4546875</v>
      </c>
      <c r="C590" s="1" t="n">
        <v>45991</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6346-2023</t>
        </is>
      </c>
      <c r="B591" s="1" t="n">
        <v>44960</v>
      </c>
      <c r="C591" s="1" t="n">
        <v>45991</v>
      </c>
      <c r="D591" t="inlineStr">
        <is>
          <t>KALMAR LÄN</t>
        </is>
      </c>
      <c r="E591" t="inlineStr">
        <is>
          <t>VÄSTERVIK</t>
        </is>
      </c>
      <c r="G591" t="n">
        <v>4.5</v>
      </c>
      <c r="H591" t="n">
        <v>0</v>
      </c>
      <c r="I591" t="n">
        <v>0</v>
      </c>
      <c r="J591" t="n">
        <v>0</v>
      </c>
      <c r="K591" t="n">
        <v>0</v>
      </c>
      <c r="L591" t="n">
        <v>0</v>
      </c>
      <c r="M591" t="n">
        <v>0</v>
      </c>
      <c r="N591" t="n">
        <v>0</v>
      </c>
      <c r="O591" t="n">
        <v>0</v>
      </c>
      <c r="P591" t="n">
        <v>0</v>
      </c>
      <c r="Q591" t="n">
        <v>0</v>
      </c>
      <c r="R591" s="2" t="inlineStr"/>
    </row>
    <row r="592" ht="15" customHeight="1">
      <c r="A592" t="inlineStr">
        <is>
          <t>A 52488-2025</t>
        </is>
      </c>
      <c r="B592" s="1" t="n">
        <v>45953</v>
      </c>
      <c r="C592" s="1" t="n">
        <v>45991</v>
      </c>
      <c r="D592" t="inlineStr">
        <is>
          <t>KALMAR LÄN</t>
        </is>
      </c>
      <c r="E592" t="inlineStr">
        <is>
          <t>VÄSTERVIK</t>
        </is>
      </c>
      <c r="G592" t="n">
        <v>0.5</v>
      </c>
      <c r="H592" t="n">
        <v>0</v>
      </c>
      <c r="I592" t="n">
        <v>0</v>
      </c>
      <c r="J592" t="n">
        <v>0</v>
      </c>
      <c r="K592" t="n">
        <v>0</v>
      </c>
      <c r="L592" t="n">
        <v>0</v>
      </c>
      <c r="M592" t="n">
        <v>0</v>
      </c>
      <c r="N592" t="n">
        <v>0</v>
      </c>
      <c r="O592" t="n">
        <v>0</v>
      </c>
      <c r="P592" t="n">
        <v>0</v>
      </c>
      <c r="Q592" t="n">
        <v>0</v>
      </c>
      <c r="R592" s="2" t="inlineStr"/>
    </row>
    <row r="593" ht="15" customHeight="1">
      <c r="A593" t="inlineStr">
        <is>
          <t>A 7163-2025</t>
        </is>
      </c>
      <c r="B593" s="1" t="n">
        <v>45702.3918287037</v>
      </c>
      <c r="C593" s="1" t="n">
        <v>45991</v>
      </c>
      <c r="D593" t="inlineStr">
        <is>
          <t>KALMAR LÄN</t>
        </is>
      </c>
      <c r="E593" t="inlineStr">
        <is>
          <t>VÄSTERVIK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42816-2024</t>
        </is>
      </c>
      <c r="B594" s="1" t="n">
        <v>45566</v>
      </c>
      <c r="C594" s="1" t="n">
        <v>45991</v>
      </c>
      <c r="D594" t="inlineStr">
        <is>
          <t>KALMAR LÄN</t>
        </is>
      </c>
      <c r="E594" t="inlineStr">
        <is>
          <t>VÄSTERVIK</t>
        </is>
      </c>
      <c r="G594" t="n">
        <v>0.1</v>
      </c>
      <c r="H594" t="n">
        <v>0</v>
      </c>
      <c r="I594" t="n">
        <v>0</v>
      </c>
      <c r="J594" t="n">
        <v>0</v>
      </c>
      <c r="K594" t="n">
        <v>0</v>
      </c>
      <c r="L594" t="n">
        <v>0</v>
      </c>
      <c r="M594" t="n">
        <v>0</v>
      </c>
      <c r="N594" t="n">
        <v>0</v>
      </c>
      <c r="O594" t="n">
        <v>0</v>
      </c>
      <c r="P594" t="n">
        <v>0</v>
      </c>
      <c r="Q594" t="n">
        <v>0</v>
      </c>
      <c r="R594" s="2" t="inlineStr"/>
    </row>
    <row r="595" ht="15" customHeight="1">
      <c r="A595" t="inlineStr">
        <is>
          <t>A 33208-2022</t>
        </is>
      </c>
      <c r="B595" s="1" t="n">
        <v>44785</v>
      </c>
      <c r="C595" s="1" t="n">
        <v>45991</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782-2024</t>
        </is>
      </c>
      <c r="B596" s="1" t="n">
        <v>45300.55188657407</v>
      </c>
      <c r="C596" s="1" t="n">
        <v>45991</v>
      </c>
      <c r="D596" t="inlineStr">
        <is>
          <t>KALMAR LÄN</t>
        </is>
      </c>
      <c r="E596" t="inlineStr">
        <is>
          <t>VÄSTERVIK</t>
        </is>
      </c>
      <c r="G596" t="n">
        <v>2.7</v>
      </c>
      <c r="H596" t="n">
        <v>0</v>
      </c>
      <c r="I596" t="n">
        <v>0</v>
      </c>
      <c r="J596" t="n">
        <v>0</v>
      </c>
      <c r="K596" t="n">
        <v>0</v>
      </c>
      <c r="L596" t="n">
        <v>0</v>
      </c>
      <c r="M596" t="n">
        <v>0</v>
      </c>
      <c r="N596" t="n">
        <v>0</v>
      </c>
      <c r="O596" t="n">
        <v>0</v>
      </c>
      <c r="P596" t="n">
        <v>0</v>
      </c>
      <c r="Q596" t="n">
        <v>0</v>
      </c>
      <c r="R596" s="2" t="inlineStr"/>
    </row>
    <row r="597" ht="15" customHeight="1">
      <c r="A597" t="inlineStr">
        <is>
          <t>A 1585-2022</t>
        </is>
      </c>
      <c r="B597" s="1" t="n">
        <v>44573</v>
      </c>
      <c r="C597" s="1" t="n">
        <v>45991</v>
      </c>
      <c r="D597" t="inlineStr">
        <is>
          <t>KALMAR LÄN</t>
        </is>
      </c>
      <c r="E597" t="inlineStr">
        <is>
          <t>VÄSTERVIK</t>
        </is>
      </c>
      <c r="F597" t="inlineStr">
        <is>
          <t>Holmen skog AB</t>
        </is>
      </c>
      <c r="G597" t="n">
        <v>2.4</v>
      </c>
      <c r="H597" t="n">
        <v>0</v>
      </c>
      <c r="I597" t="n">
        <v>0</v>
      </c>
      <c r="J597" t="n">
        <v>0</v>
      </c>
      <c r="K597" t="n">
        <v>0</v>
      </c>
      <c r="L597" t="n">
        <v>0</v>
      </c>
      <c r="M597" t="n">
        <v>0</v>
      </c>
      <c r="N597" t="n">
        <v>0</v>
      </c>
      <c r="O597" t="n">
        <v>0</v>
      </c>
      <c r="P597" t="n">
        <v>0</v>
      </c>
      <c r="Q597" t="n">
        <v>0</v>
      </c>
      <c r="R597" s="2" t="inlineStr"/>
    </row>
    <row r="598" ht="15" customHeight="1">
      <c r="A598" t="inlineStr">
        <is>
          <t>A 43651-2025</t>
        </is>
      </c>
      <c r="B598" s="1" t="n">
        <v>45912.32259259259</v>
      </c>
      <c r="C598" s="1" t="n">
        <v>45991</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58731-2024</t>
        </is>
      </c>
      <c r="B599" s="1" t="n">
        <v>45635.67120370371</v>
      </c>
      <c r="C599" s="1" t="n">
        <v>45991</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2872-2025</t>
        </is>
      </c>
      <c r="B600" s="1" t="n">
        <v>45677.68357638889</v>
      </c>
      <c r="C600" s="1" t="n">
        <v>45991</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7100-2023</t>
        </is>
      </c>
      <c r="B601" s="1" t="n">
        <v>44970.37244212963</v>
      </c>
      <c r="C601" s="1" t="n">
        <v>45991</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33924-2025</t>
        </is>
      </c>
      <c r="B602" s="1" t="n">
        <v>45842.62152777778</v>
      </c>
      <c r="C602" s="1" t="n">
        <v>45991</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34171-2025</t>
        </is>
      </c>
      <c r="B603" s="1" t="n">
        <v>45845.58966435185</v>
      </c>
      <c r="C603" s="1" t="n">
        <v>45991</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23024-2025</t>
        </is>
      </c>
      <c r="B604" s="1" t="n">
        <v>45790.65615740741</v>
      </c>
      <c r="C604" s="1" t="n">
        <v>45991</v>
      </c>
      <c r="D604" t="inlineStr">
        <is>
          <t>KALMAR LÄN</t>
        </is>
      </c>
      <c r="E604" t="inlineStr">
        <is>
          <t>VÄSTERVIK</t>
        </is>
      </c>
      <c r="G604" t="n">
        <v>1.7</v>
      </c>
      <c r="H604" t="n">
        <v>0</v>
      </c>
      <c r="I604" t="n">
        <v>0</v>
      </c>
      <c r="J604" t="n">
        <v>0</v>
      </c>
      <c r="K604" t="n">
        <v>0</v>
      </c>
      <c r="L604" t="n">
        <v>0</v>
      </c>
      <c r="M604" t="n">
        <v>0</v>
      </c>
      <c r="N604" t="n">
        <v>0</v>
      </c>
      <c r="O604" t="n">
        <v>0</v>
      </c>
      <c r="P604" t="n">
        <v>0</v>
      </c>
      <c r="Q604" t="n">
        <v>0</v>
      </c>
      <c r="R604" s="2" t="inlineStr"/>
    </row>
    <row r="605" ht="15" customHeight="1">
      <c r="A605" t="inlineStr">
        <is>
          <t>A 33921-2025</t>
        </is>
      </c>
      <c r="B605" s="1" t="n">
        <v>45842.61626157408</v>
      </c>
      <c r="C605" s="1" t="n">
        <v>45991</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31825-2022</t>
        </is>
      </c>
      <c r="B606" s="1" t="n">
        <v>44776.74908564815</v>
      </c>
      <c r="C606" s="1" t="n">
        <v>45991</v>
      </c>
      <c r="D606" t="inlineStr">
        <is>
          <t>KALMAR LÄN</t>
        </is>
      </c>
      <c r="E606" t="inlineStr">
        <is>
          <t>VÄSTERVIK</t>
        </is>
      </c>
      <c r="G606" t="n">
        <v>0.9</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45991</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45991</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52492-2025</t>
        </is>
      </c>
      <c r="B609" s="1" t="n">
        <v>45953</v>
      </c>
      <c r="C609" s="1" t="n">
        <v>45991</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15099-2023</t>
        </is>
      </c>
      <c r="B610" s="1" t="n">
        <v>45016.39048611111</v>
      </c>
      <c r="C610" s="1" t="n">
        <v>45991</v>
      </c>
      <c r="D610" t="inlineStr">
        <is>
          <t>KALMAR LÄN</t>
        </is>
      </c>
      <c r="E610" t="inlineStr">
        <is>
          <t>VÄSTERVIK</t>
        </is>
      </c>
      <c r="G610" t="n">
        <v>3</v>
      </c>
      <c r="H610" t="n">
        <v>0</v>
      </c>
      <c r="I610" t="n">
        <v>0</v>
      </c>
      <c r="J610" t="n">
        <v>0</v>
      </c>
      <c r="K610" t="n">
        <v>0</v>
      </c>
      <c r="L610" t="n">
        <v>0</v>
      </c>
      <c r="M610" t="n">
        <v>0</v>
      </c>
      <c r="N610" t="n">
        <v>0</v>
      </c>
      <c r="O610" t="n">
        <v>0</v>
      </c>
      <c r="P610" t="n">
        <v>0</v>
      </c>
      <c r="Q610" t="n">
        <v>0</v>
      </c>
      <c r="R610" s="2" t="inlineStr"/>
    </row>
    <row r="611" ht="15" customHeight="1">
      <c r="A611" t="inlineStr">
        <is>
          <t>A 33931-2025</t>
        </is>
      </c>
      <c r="B611" s="1" t="n">
        <v>45842.63288194445</v>
      </c>
      <c r="C611" s="1" t="n">
        <v>45991</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58927-2022</t>
        </is>
      </c>
      <c r="B612" s="1" t="n">
        <v>44896</v>
      </c>
      <c r="C612" s="1" t="n">
        <v>45991</v>
      </c>
      <c r="D612" t="inlineStr">
        <is>
          <t>KALMAR LÄN</t>
        </is>
      </c>
      <c r="E612" t="inlineStr">
        <is>
          <t>VÄSTERVIK</t>
        </is>
      </c>
      <c r="G612" t="n">
        <v>2.5</v>
      </c>
      <c r="H612" t="n">
        <v>0</v>
      </c>
      <c r="I612" t="n">
        <v>0</v>
      </c>
      <c r="J612" t="n">
        <v>0</v>
      </c>
      <c r="K612" t="n">
        <v>0</v>
      </c>
      <c r="L612" t="n">
        <v>0</v>
      </c>
      <c r="M612" t="n">
        <v>0</v>
      </c>
      <c r="N612" t="n">
        <v>0</v>
      </c>
      <c r="O612" t="n">
        <v>0</v>
      </c>
      <c r="P612" t="n">
        <v>0</v>
      </c>
      <c r="Q612" t="n">
        <v>0</v>
      </c>
      <c r="R612" s="2" t="inlineStr"/>
    </row>
    <row r="613" ht="15" customHeight="1">
      <c r="A613" t="inlineStr">
        <is>
          <t>A 47120-2023</t>
        </is>
      </c>
      <c r="B613" s="1" t="n">
        <v>45201</v>
      </c>
      <c r="C613" s="1" t="n">
        <v>45991</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47123-2023</t>
        </is>
      </c>
      <c r="B614" s="1" t="n">
        <v>45201.68075231482</v>
      </c>
      <c r="C614" s="1" t="n">
        <v>45991</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48121-2021</t>
        </is>
      </c>
      <c r="B615" s="1" t="n">
        <v>44449.46614583334</v>
      </c>
      <c r="C615" s="1" t="n">
        <v>45991</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34162-2025</t>
        </is>
      </c>
      <c r="B616" s="1" t="n">
        <v>45845.57983796296</v>
      </c>
      <c r="C616" s="1" t="n">
        <v>45991</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57802-2024</t>
        </is>
      </c>
      <c r="B617" s="1" t="n">
        <v>45631.34590277778</v>
      </c>
      <c r="C617" s="1" t="n">
        <v>45991</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34160-2025</t>
        </is>
      </c>
      <c r="B618" s="1" t="n">
        <v>45845.57701388889</v>
      </c>
      <c r="C618" s="1" t="n">
        <v>45991</v>
      </c>
      <c r="D618" t="inlineStr">
        <is>
          <t>KALMAR LÄN</t>
        </is>
      </c>
      <c r="E618" t="inlineStr">
        <is>
          <t>VÄSTERVIK</t>
        </is>
      </c>
      <c r="G618" t="n">
        <v>2.4</v>
      </c>
      <c r="H618" t="n">
        <v>0</v>
      </c>
      <c r="I618" t="n">
        <v>0</v>
      </c>
      <c r="J618" t="n">
        <v>0</v>
      </c>
      <c r="K618" t="n">
        <v>0</v>
      </c>
      <c r="L618" t="n">
        <v>0</v>
      </c>
      <c r="M618" t="n">
        <v>0</v>
      </c>
      <c r="N618" t="n">
        <v>0</v>
      </c>
      <c r="O618" t="n">
        <v>0</v>
      </c>
      <c r="P618" t="n">
        <v>0</v>
      </c>
      <c r="Q618" t="n">
        <v>0</v>
      </c>
      <c r="R618" s="2" t="inlineStr"/>
    </row>
    <row r="619" ht="15" customHeight="1">
      <c r="A619" t="inlineStr">
        <is>
          <t>A 1115-2025</t>
        </is>
      </c>
      <c r="B619" s="1" t="n">
        <v>45666.65664351852</v>
      </c>
      <c r="C619" s="1" t="n">
        <v>45991</v>
      </c>
      <c r="D619" t="inlineStr">
        <is>
          <t>KALMAR LÄN</t>
        </is>
      </c>
      <c r="E619" t="inlineStr">
        <is>
          <t>VÄSTERVIK</t>
        </is>
      </c>
      <c r="G619" t="n">
        <v>1.9</v>
      </c>
      <c r="H619" t="n">
        <v>0</v>
      </c>
      <c r="I619" t="n">
        <v>0</v>
      </c>
      <c r="J619" t="n">
        <v>0</v>
      </c>
      <c r="K619" t="n">
        <v>0</v>
      </c>
      <c r="L619" t="n">
        <v>0</v>
      </c>
      <c r="M619" t="n">
        <v>0</v>
      </c>
      <c r="N619" t="n">
        <v>0</v>
      </c>
      <c r="O619" t="n">
        <v>0</v>
      </c>
      <c r="P619" t="n">
        <v>0</v>
      </c>
      <c r="Q619" t="n">
        <v>0</v>
      </c>
      <c r="R619" s="2" t="inlineStr"/>
    </row>
    <row r="620" ht="15" customHeight="1">
      <c r="A620" t="inlineStr">
        <is>
          <t>A 29405-2024</t>
        </is>
      </c>
      <c r="B620" s="1" t="n">
        <v>45483</v>
      </c>
      <c r="C620" s="1" t="n">
        <v>45991</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34617-2025</t>
        </is>
      </c>
      <c r="B621" s="1" t="n">
        <v>45847</v>
      </c>
      <c r="C621" s="1" t="n">
        <v>45991</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34618-2025</t>
        </is>
      </c>
      <c r="B622" s="1" t="n">
        <v>45847</v>
      </c>
      <c r="C622" s="1" t="n">
        <v>45991</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34397-2025</t>
        </is>
      </c>
      <c r="B623" s="1" t="n">
        <v>45846.59813657407</v>
      </c>
      <c r="C623" s="1" t="n">
        <v>45991</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1867-2025</t>
        </is>
      </c>
      <c r="B624" s="1" t="n">
        <v>45671.61569444444</v>
      </c>
      <c r="C624" s="1" t="n">
        <v>45991</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44461-2025</t>
        </is>
      </c>
      <c r="B625" s="1" t="n">
        <v>45916.62190972222</v>
      </c>
      <c r="C625" s="1" t="n">
        <v>45991</v>
      </c>
      <c r="D625" t="inlineStr">
        <is>
          <t>KALMAR LÄN</t>
        </is>
      </c>
      <c r="E625" t="inlineStr">
        <is>
          <t>VÄSTERVIK</t>
        </is>
      </c>
      <c r="G625" t="n">
        <v>3.4</v>
      </c>
      <c r="H625" t="n">
        <v>0</v>
      </c>
      <c r="I625" t="n">
        <v>0</v>
      </c>
      <c r="J625" t="n">
        <v>0</v>
      </c>
      <c r="K625" t="n">
        <v>0</v>
      </c>
      <c r="L625" t="n">
        <v>0</v>
      </c>
      <c r="M625" t="n">
        <v>0</v>
      </c>
      <c r="N625" t="n">
        <v>0</v>
      </c>
      <c r="O625" t="n">
        <v>0</v>
      </c>
      <c r="P625" t="n">
        <v>0</v>
      </c>
      <c r="Q625" t="n">
        <v>0</v>
      </c>
      <c r="R625" s="2" t="inlineStr"/>
    </row>
    <row r="626" ht="15" customHeight="1">
      <c r="A626" t="inlineStr">
        <is>
          <t>A 9549-2024</t>
        </is>
      </c>
      <c r="B626" s="1" t="n">
        <v>45359.87989583334</v>
      </c>
      <c r="C626" s="1" t="n">
        <v>45991</v>
      </c>
      <c r="D626" t="inlineStr">
        <is>
          <t>KALMAR LÄN</t>
        </is>
      </c>
      <c r="E626" t="inlineStr">
        <is>
          <t>VÄSTERVIK</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9025-2022</t>
        </is>
      </c>
      <c r="B627" s="1" t="n">
        <v>44615</v>
      </c>
      <c r="C627" s="1" t="n">
        <v>45991</v>
      </c>
      <c r="D627" t="inlineStr">
        <is>
          <t>KALMAR LÄN</t>
        </is>
      </c>
      <c r="E627" t="inlineStr">
        <is>
          <t>VÄSTERVIK</t>
        </is>
      </c>
      <c r="G627" t="n">
        <v>0.6</v>
      </c>
      <c r="H627" t="n">
        <v>0</v>
      </c>
      <c r="I627" t="n">
        <v>0</v>
      </c>
      <c r="J627" t="n">
        <v>0</v>
      </c>
      <c r="K627" t="n">
        <v>0</v>
      </c>
      <c r="L627" t="n">
        <v>0</v>
      </c>
      <c r="M627" t="n">
        <v>0</v>
      </c>
      <c r="N627" t="n">
        <v>0</v>
      </c>
      <c r="O627" t="n">
        <v>0</v>
      </c>
      <c r="P627" t="n">
        <v>0</v>
      </c>
      <c r="Q627" t="n">
        <v>0</v>
      </c>
      <c r="R627" s="2" t="inlineStr"/>
    </row>
    <row r="628" ht="15" customHeight="1">
      <c r="A628" t="inlineStr">
        <is>
          <t>A 34619-2025</t>
        </is>
      </c>
      <c r="B628" s="1" t="n">
        <v>45847</v>
      </c>
      <c r="C628" s="1" t="n">
        <v>45991</v>
      </c>
      <c r="D628" t="inlineStr">
        <is>
          <t>KALMAR LÄN</t>
        </is>
      </c>
      <c r="E628" t="inlineStr">
        <is>
          <t>VÄSTERVIK</t>
        </is>
      </c>
      <c r="G628" t="n">
        <v>3</v>
      </c>
      <c r="H628" t="n">
        <v>0</v>
      </c>
      <c r="I628" t="n">
        <v>0</v>
      </c>
      <c r="J628" t="n">
        <v>0</v>
      </c>
      <c r="K628" t="n">
        <v>0</v>
      </c>
      <c r="L628" t="n">
        <v>0</v>
      </c>
      <c r="M628" t="n">
        <v>0</v>
      </c>
      <c r="N628" t="n">
        <v>0</v>
      </c>
      <c r="O628" t="n">
        <v>0</v>
      </c>
      <c r="P628" t="n">
        <v>0</v>
      </c>
      <c r="Q628" t="n">
        <v>0</v>
      </c>
      <c r="R628" s="2" t="inlineStr"/>
    </row>
    <row r="629" ht="15" customHeight="1">
      <c r="A629" t="inlineStr">
        <is>
          <t>A 34531-2025</t>
        </is>
      </c>
      <c r="B629" s="1" t="n">
        <v>45847.50152777778</v>
      </c>
      <c r="C629" s="1" t="n">
        <v>45991</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row>
    <row r="630" ht="15" customHeight="1">
      <c r="A630" t="inlineStr">
        <is>
          <t>A 53364-2025</t>
        </is>
      </c>
      <c r="B630" s="1" t="n">
        <v>45959.48401620371</v>
      </c>
      <c r="C630" s="1" t="n">
        <v>45991</v>
      </c>
      <c r="D630" t="inlineStr">
        <is>
          <t>KALMAR LÄN</t>
        </is>
      </c>
      <c r="E630" t="inlineStr">
        <is>
          <t>VÄSTERVIK</t>
        </is>
      </c>
      <c r="G630" t="n">
        <v>3.2</v>
      </c>
      <c r="H630" t="n">
        <v>0</v>
      </c>
      <c r="I630" t="n">
        <v>0</v>
      </c>
      <c r="J630" t="n">
        <v>0</v>
      </c>
      <c r="K630" t="n">
        <v>0</v>
      </c>
      <c r="L630" t="n">
        <v>0</v>
      </c>
      <c r="M630" t="n">
        <v>0</v>
      </c>
      <c r="N630" t="n">
        <v>0</v>
      </c>
      <c r="O630" t="n">
        <v>0</v>
      </c>
      <c r="P630" t="n">
        <v>0</v>
      </c>
      <c r="Q630" t="n">
        <v>0</v>
      </c>
      <c r="R630" s="2" t="inlineStr"/>
    </row>
    <row r="631" ht="15" customHeight="1">
      <c r="A631" t="inlineStr">
        <is>
          <t>A 53366-2025</t>
        </is>
      </c>
      <c r="B631" s="1" t="n">
        <v>45959.48521990741</v>
      </c>
      <c r="C631" s="1" t="n">
        <v>45991</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34289-2025</t>
        </is>
      </c>
      <c r="B632" s="1" t="n">
        <v>45846.334375</v>
      </c>
      <c r="C632" s="1" t="n">
        <v>45991</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34639-2025</t>
        </is>
      </c>
      <c r="B633" s="1" t="n">
        <v>45848</v>
      </c>
      <c r="C633" s="1" t="n">
        <v>45991</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2738-2023</t>
        </is>
      </c>
      <c r="B634" s="1" t="n">
        <v>44944</v>
      </c>
      <c r="C634" s="1" t="n">
        <v>45991</v>
      </c>
      <c r="D634" t="inlineStr">
        <is>
          <t>KALMAR LÄN</t>
        </is>
      </c>
      <c r="E634" t="inlineStr">
        <is>
          <t>VÄSTERVIK</t>
        </is>
      </c>
      <c r="G634" t="n">
        <v>3</v>
      </c>
      <c r="H634" t="n">
        <v>0</v>
      </c>
      <c r="I634" t="n">
        <v>0</v>
      </c>
      <c r="J634" t="n">
        <v>0</v>
      </c>
      <c r="K634" t="n">
        <v>0</v>
      </c>
      <c r="L634" t="n">
        <v>0</v>
      </c>
      <c r="M634" t="n">
        <v>0</v>
      </c>
      <c r="N634" t="n">
        <v>0</v>
      </c>
      <c r="O634" t="n">
        <v>0</v>
      </c>
      <c r="P634" t="n">
        <v>0</v>
      </c>
      <c r="Q634" t="n">
        <v>0</v>
      </c>
      <c r="R634" s="2" t="inlineStr"/>
    </row>
    <row r="635" ht="15" customHeight="1">
      <c r="A635" t="inlineStr">
        <is>
          <t>A 6021-2024</t>
        </is>
      </c>
      <c r="B635" s="1" t="n">
        <v>45336.62131944444</v>
      </c>
      <c r="C635" s="1" t="n">
        <v>45991</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53394-2025</t>
        </is>
      </c>
      <c r="B636" s="1" t="n">
        <v>45959.5534837963</v>
      </c>
      <c r="C636" s="1" t="n">
        <v>45991</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34643-2025</t>
        </is>
      </c>
      <c r="B637" s="1" t="n">
        <v>45848.32959490741</v>
      </c>
      <c r="C637" s="1" t="n">
        <v>45991</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11189-2024</t>
        </is>
      </c>
      <c r="B638" s="1" t="n">
        <v>45371</v>
      </c>
      <c r="C638" s="1" t="n">
        <v>45991</v>
      </c>
      <c r="D638" t="inlineStr">
        <is>
          <t>KALMAR LÄN</t>
        </is>
      </c>
      <c r="E638" t="inlineStr">
        <is>
          <t>VÄSTERVIK</t>
        </is>
      </c>
      <c r="G638" t="n">
        <v>5.2</v>
      </c>
      <c r="H638" t="n">
        <v>0</v>
      </c>
      <c r="I638" t="n">
        <v>0</v>
      </c>
      <c r="J638" t="n">
        <v>0</v>
      </c>
      <c r="K638" t="n">
        <v>0</v>
      </c>
      <c r="L638" t="n">
        <v>0</v>
      </c>
      <c r="M638" t="n">
        <v>0</v>
      </c>
      <c r="N638" t="n">
        <v>0</v>
      </c>
      <c r="O638" t="n">
        <v>0</v>
      </c>
      <c r="P638" t="n">
        <v>0</v>
      </c>
      <c r="Q638" t="n">
        <v>0</v>
      </c>
      <c r="R638" s="2" t="inlineStr"/>
    </row>
    <row r="639" ht="15" customHeight="1">
      <c r="A639" t="inlineStr">
        <is>
          <t>A 33207-2022</t>
        </is>
      </c>
      <c r="B639" s="1" t="n">
        <v>44785.72373842593</v>
      </c>
      <c r="C639" s="1" t="n">
        <v>45991</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56188-2023</t>
        </is>
      </c>
      <c r="B640" s="1" t="n">
        <v>45240.65173611111</v>
      </c>
      <c r="C640" s="1" t="n">
        <v>45991</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34916-2025</t>
        </is>
      </c>
      <c r="B641" s="1" t="n">
        <v>45849.54420138889</v>
      </c>
      <c r="C641" s="1" t="n">
        <v>45991</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27982-2025</t>
        </is>
      </c>
      <c r="B642" s="1" t="n">
        <v>45817.57549768518</v>
      </c>
      <c r="C642" s="1" t="n">
        <v>45991</v>
      </c>
      <c r="D642" t="inlineStr">
        <is>
          <t>KALMAR LÄN</t>
        </is>
      </c>
      <c r="E642" t="inlineStr">
        <is>
          <t>VÄSTERVIK</t>
        </is>
      </c>
      <c r="G642" t="n">
        <v>2.5</v>
      </c>
      <c r="H642" t="n">
        <v>0</v>
      </c>
      <c r="I642" t="n">
        <v>0</v>
      </c>
      <c r="J642" t="n">
        <v>0</v>
      </c>
      <c r="K642" t="n">
        <v>0</v>
      </c>
      <c r="L642" t="n">
        <v>0</v>
      </c>
      <c r="M642" t="n">
        <v>0</v>
      </c>
      <c r="N642" t="n">
        <v>0</v>
      </c>
      <c r="O642" t="n">
        <v>0</v>
      </c>
      <c r="P642" t="n">
        <v>0</v>
      </c>
      <c r="Q642" t="n">
        <v>0</v>
      </c>
      <c r="R642" s="2" t="inlineStr"/>
    </row>
    <row r="643" ht="15" customHeight="1">
      <c r="A643" t="inlineStr">
        <is>
          <t>A 53333-2025</t>
        </is>
      </c>
      <c r="B643" s="1" t="n">
        <v>45959.37754629629</v>
      </c>
      <c r="C643" s="1" t="n">
        <v>45991</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53334-2025</t>
        </is>
      </c>
      <c r="B644" s="1" t="n">
        <v>45959.38063657407</v>
      </c>
      <c r="C644" s="1" t="n">
        <v>45991</v>
      </c>
      <c r="D644" t="inlineStr">
        <is>
          <t>KALMAR LÄN</t>
        </is>
      </c>
      <c r="E644" t="inlineStr">
        <is>
          <t>VÄSTERVIK</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10012-2025</t>
        </is>
      </c>
      <c r="B645" s="1" t="n">
        <v>45719.46681712963</v>
      </c>
      <c r="C645" s="1" t="n">
        <v>45991</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35187-2025</t>
        </is>
      </c>
      <c r="B646" s="1" t="n">
        <v>45853.31940972222</v>
      </c>
      <c r="C646" s="1" t="n">
        <v>45991</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35108-2024</t>
        </is>
      </c>
      <c r="B647" s="1" t="n">
        <v>45529.64638888889</v>
      </c>
      <c r="C647" s="1" t="n">
        <v>45991</v>
      </c>
      <c r="D647" t="inlineStr">
        <is>
          <t>KALMAR LÄN</t>
        </is>
      </c>
      <c r="E647" t="inlineStr">
        <is>
          <t>VÄSTERVIK</t>
        </is>
      </c>
      <c r="G647" t="n">
        <v>10.5</v>
      </c>
      <c r="H647" t="n">
        <v>0</v>
      </c>
      <c r="I647" t="n">
        <v>0</v>
      </c>
      <c r="J647" t="n">
        <v>0</v>
      </c>
      <c r="K647" t="n">
        <v>0</v>
      </c>
      <c r="L647" t="n">
        <v>0</v>
      </c>
      <c r="M647" t="n">
        <v>0</v>
      </c>
      <c r="N647" t="n">
        <v>0</v>
      </c>
      <c r="O647" t="n">
        <v>0</v>
      </c>
      <c r="P647" t="n">
        <v>0</v>
      </c>
      <c r="Q647" t="n">
        <v>0</v>
      </c>
      <c r="R647" s="2" t="inlineStr"/>
    </row>
    <row r="648" ht="15" customHeight="1">
      <c r="A648" t="inlineStr">
        <is>
          <t>A 4461-2025</t>
        </is>
      </c>
      <c r="B648" s="1" t="n">
        <v>45686</v>
      </c>
      <c r="C648" s="1" t="n">
        <v>45991</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c r="U648">
        <f>HYPERLINK("https://klasma.github.io/Logging_0883/knärot/A 4461-2025 karta knärot.png", "A 4461-2025")</f>
        <v/>
      </c>
      <c r="V648">
        <f>HYPERLINK("https://klasma.github.io/Logging_0883/klagomål/A 4461-2025 FSC-klagomål.docx", "A 4461-2025")</f>
        <v/>
      </c>
      <c r="W648">
        <f>HYPERLINK("https://klasma.github.io/Logging_0883/klagomålsmail/A 4461-2025 FSC-klagomål mail.docx", "A 4461-2025")</f>
        <v/>
      </c>
      <c r="X648">
        <f>HYPERLINK("https://klasma.github.io/Logging_0883/tillsyn/A 4461-2025 tillsynsbegäran.docx", "A 4461-2025")</f>
        <v/>
      </c>
      <c r="Y648">
        <f>HYPERLINK("https://klasma.github.io/Logging_0883/tillsynsmail/A 4461-2025 tillsynsbegäran mail.docx", "A 4461-2025")</f>
        <v/>
      </c>
    </row>
    <row r="649" ht="15" customHeight="1">
      <c r="A649" t="inlineStr">
        <is>
          <t>A 35207-2025</t>
        </is>
      </c>
      <c r="B649" s="1" t="n">
        <v>45853.43320601852</v>
      </c>
      <c r="C649" s="1" t="n">
        <v>45991</v>
      </c>
      <c r="D649" t="inlineStr">
        <is>
          <t>KALMAR LÄN</t>
        </is>
      </c>
      <c r="E649" t="inlineStr">
        <is>
          <t>VÄSTERVIK</t>
        </is>
      </c>
      <c r="G649" t="n">
        <v>7</v>
      </c>
      <c r="H649" t="n">
        <v>0</v>
      </c>
      <c r="I649" t="n">
        <v>0</v>
      </c>
      <c r="J649" t="n">
        <v>0</v>
      </c>
      <c r="K649" t="n">
        <v>0</v>
      </c>
      <c r="L649" t="n">
        <v>0</v>
      </c>
      <c r="M649" t="n">
        <v>0</v>
      </c>
      <c r="N649" t="n">
        <v>0</v>
      </c>
      <c r="O649" t="n">
        <v>0</v>
      </c>
      <c r="P649" t="n">
        <v>0</v>
      </c>
      <c r="Q649" t="n">
        <v>0</v>
      </c>
      <c r="R649" s="2" t="inlineStr"/>
    </row>
    <row r="650" ht="15" customHeight="1">
      <c r="A650" t="inlineStr">
        <is>
          <t>A 9267-2025</t>
        </is>
      </c>
      <c r="B650" s="1" t="n">
        <v>45714.61418981481</v>
      </c>
      <c r="C650" s="1" t="n">
        <v>45991</v>
      </c>
      <c r="D650" t="inlineStr">
        <is>
          <t>KALMAR LÄN</t>
        </is>
      </c>
      <c r="E650" t="inlineStr">
        <is>
          <t>VÄSTERVIK</t>
        </is>
      </c>
      <c r="F650" t="inlineStr">
        <is>
          <t>Sveaskog</t>
        </is>
      </c>
      <c r="G650" t="n">
        <v>6.8</v>
      </c>
      <c r="H650" t="n">
        <v>0</v>
      </c>
      <c r="I650" t="n">
        <v>0</v>
      </c>
      <c r="J650" t="n">
        <v>0</v>
      </c>
      <c r="K650" t="n">
        <v>0</v>
      </c>
      <c r="L650" t="n">
        <v>0</v>
      </c>
      <c r="M650" t="n">
        <v>0</v>
      </c>
      <c r="N650" t="n">
        <v>0</v>
      </c>
      <c r="O650" t="n">
        <v>0</v>
      </c>
      <c r="P650" t="n">
        <v>0</v>
      </c>
      <c r="Q650" t="n">
        <v>0</v>
      </c>
      <c r="R650" s="2" t="inlineStr"/>
    </row>
    <row r="651" ht="15" customHeight="1">
      <c r="A651" t="inlineStr">
        <is>
          <t>A 53885-2025</t>
        </is>
      </c>
      <c r="B651" s="1" t="n">
        <v>45961.40505787037</v>
      </c>
      <c r="C651" s="1" t="n">
        <v>45991</v>
      </c>
      <c r="D651" t="inlineStr">
        <is>
          <t>KALMAR LÄN</t>
        </is>
      </c>
      <c r="E651" t="inlineStr">
        <is>
          <t>VÄSTERVIK</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17306-2023</t>
        </is>
      </c>
      <c r="B652" s="1" t="n">
        <v>45035</v>
      </c>
      <c r="C652" s="1" t="n">
        <v>45991</v>
      </c>
      <c r="D652" t="inlineStr">
        <is>
          <t>KALMAR LÄN</t>
        </is>
      </c>
      <c r="E652" t="inlineStr">
        <is>
          <t>VÄSTERVIK</t>
        </is>
      </c>
      <c r="G652" t="n">
        <v>4.3</v>
      </c>
      <c r="H652" t="n">
        <v>0</v>
      </c>
      <c r="I652" t="n">
        <v>0</v>
      </c>
      <c r="J652" t="n">
        <v>0</v>
      </c>
      <c r="K652" t="n">
        <v>0</v>
      </c>
      <c r="L652" t="n">
        <v>0</v>
      </c>
      <c r="M652" t="n">
        <v>0</v>
      </c>
      <c r="N652" t="n">
        <v>0</v>
      </c>
      <c r="O652" t="n">
        <v>0</v>
      </c>
      <c r="P652" t="n">
        <v>0</v>
      </c>
      <c r="Q652" t="n">
        <v>0</v>
      </c>
      <c r="R652" s="2" t="inlineStr"/>
    </row>
    <row r="653" ht="15" customHeight="1">
      <c r="A653" t="inlineStr">
        <is>
          <t>A 44848-2025</t>
        </is>
      </c>
      <c r="B653" s="1" t="n">
        <v>45918.44344907408</v>
      </c>
      <c r="C653" s="1" t="n">
        <v>45991</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44853-2025</t>
        </is>
      </c>
      <c r="B654" s="1" t="n">
        <v>45918.44818287037</v>
      </c>
      <c r="C654" s="1" t="n">
        <v>45991</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row>
    <row r="655" ht="15" customHeight="1">
      <c r="A655" t="inlineStr">
        <is>
          <t>A 44861-2025</t>
        </is>
      </c>
      <c r="B655" s="1" t="n">
        <v>45918.45793981481</v>
      </c>
      <c r="C655" s="1" t="n">
        <v>45991</v>
      </c>
      <c r="D655" t="inlineStr">
        <is>
          <t>KALMAR LÄN</t>
        </is>
      </c>
      <c r="E655" t="inlineStr">
        <is>
          <t>VÄSTERVIK</t>
        </is>
      </c>
      <c r="G655" t="n">
        <v>1.3</v>
      </c>
      <c r="H655" t="n">
        <v>0</v>
      </c>
      <c r="I655" t="n">
        <v>0</v>
      </c>
      <c r="J655" t="n">
        <v>0</v>
      </c>
      <c r="K655" t="n">
        <v>0</v>
      </c>
      <c r="L655" t="n">
        <v>0</v>
      </c>
      <c r="M655" t="n">
        <v>0</v>
      </c>
      <c r="N655" t="n">
        <v>0</v>
      </c>
      <c r="O655" t="n">
        <v>0</v>
      </c>
      <c r="P655" t="n">
        <v>0</v>
      </c>
      <c r="Q655" t="n">
        <v>0</v>
      </c>
      <c r="R655" s="2" t="inlineStr"/>
      <c r="U655">
        <f>HYPERLINK("https://klasma.github.io/Logging_0883/knärot/A 44861-2025 karta knärot.png", "A 44861-2025")</f>
        <v/>
      </c>
      <c r="V655">
        <f>HYPERLINK("https://klasma.github.io/Logging_0883/klagomål/A 44861-2025 FSC-klagomål.docx", "A 44861-2025")</f>
        <v/>
      </c>
      <c r="W655">
        <f>HYPERLINK("https://klasma.github.io/Logging_0883/klagomålsmail/A 44861-2025 FSC-klagomål mail.docx", "A 44861-2025")</f>
        <v/>
      </c>
      <c r="X655">
        <f>HYPERLINK("https://klasma.github.io/Logging_0883/tillsyn/A 44861-2025 tillsynsbegäran.docx", "A 44861-2025")</f>
        <v/>
      </c>
      <c r="Y655">
        <f>HYPERLINK("https://klasma.github.io/Logging_0883/tillsynsmail/A 44861-2025 tillsynsbegäran mail.docx", "A 44861-2025")</f>
        <v/>
      </c>
    </row>
    <row r="656" ht="15" customHeight="1">
      <c r="A656" t="inlineStr">
        <is>
          <t>A 53884-2025</t>
        </is>
      </c>
      <c r="B656" s="1" t="n">
        <v>45961.4030787037</v>
      </c>
      <c r="C656" s="1" t="n">
        <v>45991</v>
      </c>
      <c r="D656" t="inlineStr">
        <is>
          <t>KALMAR LÄN</t>
        </is>
      </c>
      <c r="E656" t="inlineStr">
        <is>
          <t>VÄSTERVIK</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45991</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44792-2025</t>
        </is>
      </c>
      <c r="B658" s="1" t="n">
        <v>45918.31287037037</v>
      </c>
      <c r="C658" s="1" t="n">
        <v>45991</v>
      </c>
      <c r="D658" t="inlineStr">
        <is>
          <t>KALMAR LÄN</t>
        </is>
      </c>
      <c r="E658" t="inlineStr">
        <is>
          <t>VÄSTERVIK</t>
        </is>
      </c>
      <c r="G658" t="n">
        <v>3.9</v>
      </c>
      <c r="H658" t="n">
        <v>0</v>
      </c>
      <c r="I658" t="n">
        <v>0</v>
      </c>
      <c r="J658" t="n">
        <v>0</v>
      </c>
      <c r="K658" t="n">
        <v>0</v>
      </c>
      <c r="L658" t="n">
        <v>0</v>
      </c>
      <c r="M658" t="n">
        <v>0</v>
      </c>
      <c r="N658" t="n">
        <v>0</v>
      </c>
      <c r="O658" t="n">
        <v>0</v>
      </c>
      <c r="P658" t="n">
        <v>0</v>
      </c>
      <c r="Q658" t="n">
        <v>0</v>
      </c>
      <c r="R658" s="2" t="inlineStr"/>
    </row>
    <row r="659" ht="15" customHeight="1">
      <c r="A659" t="inlineStr">
        <is>
          <t>A 53872-2025</t>
        </is>
      </c>
      <c r="B659" s="1" t="n">
        <v>45961.39266203704</v>
      </c>
      <c r="C659" s="1" t="n">
        <v>45991</v>
      </c>
      <c r="D659" t="inlineStr">
        <is>
          <t>KALMAR LÄN</t>
        </is>
      </c>
      <c r="E659" t="inlineStr">
        <is>
          <t>VÄSTERVIK</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53854-2025</t>
        </is>
      </c>
      <c r="B660" s="1" t="n">
        <v>45961.37491898148</v>
      </c>
      <c r="C660" s="1" t="n">
        <v>45991</v>
      </c>
      <c r="D660" t="inlineStr">
        <is>
          <t>KALMAR LÄN</t>
        </is>
      </c>
      <c r="E660" t="inlineStr">
        <is>
          <t>VÄSTERVIK</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69702-2021</t>
        </is>
      </c>
      <c r="B661" s="1" t="n">
        <v>44532.48237268518</v>
      </c>
      <c r="C661" s="1" t="n">
        <v>45991</v>
      </c>
      <c r="D661" t="inlineStr">
        <is>
          <t>KALMAR LÄN</t>
        </is>
      </c>
      <c r="E661" t="inlineStr">
        <is>
          <t>VÄSTERVIK</t>
        </is>
      </c>
      <c r="G661" t="n">
        <v>4.4</v>
      </c>
      <c r="H661" t="n">
        <v>0</v>
      </c>
      <c r="I661" t="n">
        <v>0</v>
      </c>
      <c r="J661" t="n">
        <v>0</v>
      </c>
      <c r="K661" t="n">
        <v>0</v>
      </c>
      <c r="L661" t="n">
        <v>0</v>
      </c>
      <c r="M661" t="n">
        <v>0</v>
      </c>
      <c r="N661" t="n">
        <v>0</v>
      </c>
      <c r="O661" t="n">
        <v>0</v>
      </c>
      <c r="P661" t="n">
        <v>0</v>
      </c>
      <c r="Q661" t="n">
        <v>0</v>
      </c>
      <c r="R661" s="2" t="inlineStr"/>
    </row>
    <row r="662" ht="15" customHeight="1">
      <c r="A662" t="inlineStr">
        <is>
          <t>A 52495-2025</t>
        </is>
      </c>
      <c r="B662" s="1" t="n">
        <v>45953</v>
      </c>
      <c r="C662" s="1" t="n">
        <v>45991</v>
      </c>
      <c r="D662" t="inlineStr">
        <is>
          <t>KALMAR LÄN</t>
        </is>
      </c>
      <c r="E662" t="inlineStr">
        <is>
          <t>VÄSTERVIK</t>
        </is>
      </c>
      <c r="G662" t="n">
        <v>1</v>
      </c>
      <c r="H662" t="n">
        <v>0</v>
      </c>
      <c r="I662" t="n">
        <v>0</v>
      </c>
      <c r="J662" t="n">
        <v>0</v>
      </c>
      <c r="K662" t="n">
        <v>0</v>
      </c>
      <c r="L662" t="n">
        <v>0</v>
      </c>
      <c r="M662" t="n">
        <v>0</v>
      </c>
      <c r="N662" t="n">
        <v>0</v>
      </c>
      <c r="O662" t="n">
        <v>0</v>
      </c>
      <c r="P662" t="n">
        <v>0</v>
      </c>
      <c r="Q662" t="n">
        <v>0</v>
      </c>
      <c r="R662" s="2" t="inlineStr"/>
    </row>
    <row r="663" ht="15" customHeight="1">
      <c r="A663" t="inlineStr">
        <is>
          <t>A 47363-2023</t>
        </is>
      </c>
      <c r="B663" s="1" t="n">
        <v>45202.59584490741</v>
      </c>
      <c r="C663" s="1" t="n">
        <v>45991</v>
      </c>
      <c r="D663" t="inlineStr">
        <is>
          <t>KALMAR LÄN</t>
        </is>
      </c>
      <c r="E663" t="inlineStr">
        <is>
          <t>VÄSTERVIK</t>
        </is>
      </c>
      <c r="G663" t="n">
        <v>2.5</v>
      </c>
      <c r="H663" t="n">
        <v>0</v>
      </c>
      <c r="I663" t="n">
        <v>0</v>
      </c>
      <c r="J663" t="n">
        <v>0</v>
      </c>
      <c r="K663" t="n">
        <v>0</v>
      </c>
      <c r="L663" t="n">
        <v>0</v>
      </c>
      <c r="M663" t="n">
        <v>0</v>
      </c>
      <c r="N663" t="n">
        <v>0</v>
      </c>
      <c r="O663" t="n">
        <v>0</v>
      </c>
      <c r="P663" t="n">
        <v>0</v>
      </c>
      <c r="Q663" t="n">
        <v>0</v>
      </c>
      <c r="R663" s="2" t="inlineStr"/>
    </row>
    <row r="664" ht="15" customHeight="1">
      <c r="A664" t="inlineStr">
        <is>
          <t>A 44849-2025</t>
        </is>
      </c>
      <c r="B664" s="1" t="n">
        <v>45918.44545138889</v>
      </c>
      <c r="C664" s="1" t="n">
        <v>45991</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37716-2023</t>
        </is>
      </c>
      <c r="B665" s="1" t="n">
        <v>45159</v>
      </c>
      <c r="C665" s="1" t="n">
        <v>45991</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5691-2025</t>
        </is>
      </c>
      <c r="B666" s="1" t="n">
        <v>45694.37447916667</v>
      </c>
      <c r="C666" s="1" t="n">
        <v>45991</v>
      </c>
      <c r="D666" t="inlineStr">
        <is>
          <t>KALMAR LÄN</t>
        </is>
      </c>
      <c r="E666" t="inlineStr">
        <is>
          <t>VÄSTERVIK</t>
        </is>
      </c>
      <c r="G666" t="n">
        <v>0.8</v>
      </c>
      <c r="H666" t="n">
        <v>0</v>
      </c>
      <c r="I666" t="n">
        <v>0</v>
      </c>
      <c r="J666" t="n">
        <v>0</v>
      </c>
      <c r="K666" t="n">
        <v>0</v>
      </c>
      <c r="L666" t="n">
        <v>0</v>
      </c>
      <c r="M666" t="n">
        <v>0</v>
      </c>
      <c r="N666" t="n">
        <v>0</v>
      </c>
      <c r="O666" t="n">
        <v>0</v>
      </c>
      <c r="P666" t="n">
        <v>0</v>
      </c>
      <c r="Q666" t="n">
        <v>0</v>
      </c>
      <c r="R666" s="2" t="inlineStr"/>
    </row>
    <row r="667" ht="15" customHeight="1">
      <c r="A667" t="inlineStr">
        <is>
          <t>A 44981-2025</t>
        </is>
      </c>
      <c r="B667" s="1" t="n">
        <v>45918.64869212963</v>
      </c>
      <c r="C667" s="1" t="n">
        <v>45991</v>
      </c>
      <c r="D667" t="inlineStr">
        <is>
          <t>KALMAR LÄN</t>
        </is>
      </c>
      <c r="E667" t="inlineStr">
        <is>
          <t>VÄSTERVIK</t>
        </is>
      </c>
      <c r="G667" t="n">
        <v>0.4</v>
      </c>
      <c r="H667" t="n">
        <v>0</v>
      </c>
      <c r="I667" t="n">
        <v>0</v>
      </c>
      <c r="J667" t="n">
        <v>0</v>
      </c>
      <c r="K667" t="n">
        <v>0</v>
      </c>
      <c r="L667" t="n">
        <v>0</v>
      </c>
      <c r="M667" t="n">
        <v>0</v>
      </c>
      <c r="N667" t="n">
        <v>0</v>
      </c>
      <c r="O667" t="n">
        <v>0</v>
      </c>
      <c r="P667" t="n">
        <v>0</v>
      </c>
      <c r="Q667" t="n">
        <v>0</v>
      </c>
      <c r="R667" s="2" t="inlineStr"/>
    </row>
    <row r="668" ht="15" customHeight="1">
      <c r="A668" t="inlineStr">
        <is>
          <t>A 5355-2024</t>
        </is>
      </c>
      <c r="B668" s="1" t="n">
        <v>45331</v>
      </c>
      <c r="C668" s="1" t="n">
        <v>45991</v>
      </c>
      <c r="D668" t="inlineStr">
        <is>
          <t>KALMAR LÄN</t>
        </is>
      </c>
      <c r="E668" t="inlineStr">
        <is>
          <t>VÄSTERVIK</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10778-2025</t>
        </is>
      </c>
      <c r="B669" s="1" t="n">
        <v>45722</v>
      </c>
      <c r="C669" s="1" t="n">
        <v>45991</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54190-2022</t>
        </is>
      </c>
      <c r="B670" s="1" t="n">
        <v>44881.68282407407</v>
      </c>
      <c r="C670" s="1" t="n">
        <v>45991</v>
      </c>
      <c r="D670" t="inlineStr">
        <is>
          <t>KALMAR LÄN</t>
        </is>
      </c>
      <c r="E670" t="inlineStr">
        <is>
          <t>VÄSTERVIK</t>
        </is>
      </c>
      <c r="G670" t="n">
        <v>7.4</v>
      </c>
      <c r="H670" t="n">
        <v>0</v>
      </c>
      <c r="I670" t="n">
        <v>0</v>
      </c>
      <c r="J670" t="n">
        <v>0</v>
      </c>
      <c r="K670" t="n">
        <v>0</v>
      </c>
      <c r="L670" t="n">
        <v>0</v>
      </c>
      <c r="M670" t="n">
        <v>0</v>
      </c>
      <c r="N670" t="n">
        <v>0</v>
      </c>
      <c r="O670" t="n">
        <v>0</v>
      </c>
      <c r="P670" t="n">
        <v>0</v>
      </c>
      <c r="Q670" t="n">
        <v>0</v>
      </c>
      <c r="R670" s="2" t="inlineStr"/>
    </row>
    <row r="671" ht="15" customHeight="1">
      <c r="A671" t="inlineStr">
        <is>
          <t>A 10766-2025</t>
        </is>
      </c>
      <c r="B671" s="1" t="n">
        <v>45722.4630787037</v>
      </c>
      <c r="C671" s="1" t="n">
        <v>45991</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35770-2023</t>
        </is>
      </c>
      <c r="B672" s="1" t="n">
        <v>45147</v>
      </c>
      <c r="C672" s="1" t="n">
        <v>45991</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45877-2025</t>
        </is>
      </c>
      <c r="B673" s="1" t="n">
        <v>45923.65804398148</v>
      </c>
      <c r="C673" s="1" t="n">
        <v>45991</v>
      </c>
      <c r="D673" t="inlineStr">
        <is>
          <t>KALMAR LÄN</t>
        </is>
      </c>
      <c r="E673" t="inlineStr">
        <is>
          <t>VÄSTERVIK</t>
        </is>
      </c>
      <c r="G673" t="n">
        <v>5.6</v>
      </c>
      <c r="H673" t="n">
        <v>0</v>
      </c>
      <c r="I673" t="n">
        <v>0</v>
      </c>
      <c r="J673" t="n">
        <v>0</v>
      </c>
      <c r="K673" t="n">
        <v>0</v>
      </c>
      <c r="L673" t="n">
        <v>0</v>
      </c>
      <c r="M673" t="n">
        <v>0</v>
      </c>
      <c r="N673" t="n">
        <v>0</v>
      </c>
      <c r="O673" t="n">
        <v>0</v>
      </c>
      <c r="P673" t="n">
        <v>0</v>
      </c>
      <c r="Q673" t="n">
        <v>0</v>
      </c>
      <c r="R673" s="2" t="inlineStr"/>
    </row>
    <row r="674" ht="15" customHeight="1">
      <c r="A674" t="inlineStr">
        <is>
          <t>A 21660-2025</t>
        </is>
      </c>
      <c r="B674" s="1" t="n">
        <v>45783.45542824074</v>
      </c>
      <c r="C674" s="1" t="n">
        <v>45991</v>
      </c>
      <c r="D674" t="inlineStr">
        <is>
          <t>KALMAR LÄN</t>
        </is>
      </c>
      <c r="E674" t="inlineStr">
        <is>
          <t>VÄSTERVIK</t>
        </is>
      </c>
      <c r="G674" t="n">
        <v>1.7</v>
      </c>
      <c r="H674" t="n">
        <v>0</v>
      </c>
      <c r="I674" t="n">
        <v>0</v>
      </c>
      <c r="J674" t="n">
        <v>0</v>
      </c>
      <c r="K674" t="n">
        <v>0</v>
      </c>
      <c r="L674" t="n">
        <v>0</v>
      </c>
      <c r="M674" t="n">
        <v>0</v>
      </c>
      <c r="N674" t="n">
        <v>0</v>
      </c>
      <c r="O674" t="n">
        <v>0</v>
      </c>
      <c r="P674" t="n">
        <v>0</v>
      </c>
      <c r="Q674" t="n">
        <v>0</v>
      </c>
      <c r="R674" s="2" t="inlineStr"/>
    </row>
    <row r="675" ht="15" customHeight="1">
      <c r="A675" t="inlineStr">
        <is>
          <t>A 38040-2023</t>
        </is>
      </c>
      <c r="B675" s="1" t="n">
        <v>45160.66336805555</v>
      </c>
      <c r="C675" s="1" t="n">
        <v>45991</v>
      </c>
      <c r="D675" t="inlineStr">
        <is>
          <t>KALMAR LÄN</t>
        </is>
      </c>
      <c r="E675" t="inlineStr">
        <is>
          <t>VÄSTERVIK</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54577-2025</t>
        </is>
      </c>
      <c r="B676" s="1" t="n">
        <v>45965.6815162037</v>
      </c>
      <c r="C676" s="1" t="n">
        <v>45991</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54292-2025</t>
        </is>
      </c>
      <c r="B677" s="1" t="n">
        <v>45964.82712962963</v>
      </c>
      <c r="C677" s="1" t="n">
        <v>45991</v>
      </c>
      <c r="D677" t="inlineStr">
        <is>
          <t>KALMAR LÄN</t>
        </is>
      </c>
      <c r="E677" t="inlineStr">
        <is>
          <t>VÄSTERVIK</t>
        </is>
      </c>
      <c r="F677" t="inlineStr">
        <is>
          <t>Holmen skog AB</t>
        </is>
      </c>
      <c r="G677" t="n">
        <v>3.6</v>
      </c>
      <c r="H677" t="n">
        <v>0</v>
      </c>
      <c r="I677" t="n">
        <v>0</v>
      </c>
      <c r="J677" t="n">
        <v>0</v>
      </c>
      <c r="K677" t="n">
        <v>0</v>
      </c>
      <c r="L677" t="n">
        <v>0</v>
      </c>
      <c r="M677" t="n">
        <v>0</v>
      </c>
      <c r="N677" t="n">
        <v>0</v>
      </c>
      <c r="O677" t="n">
        <v>0</v>
      </c>
      <c r="P677" t="n">
        <v>0</v>
      </c>
      <c r="Q677" t="n">
        <v>0</v>
      </c>
      <c r="R677" s="2" t="inlineStr"/>
    </row>
    <row r="678" ht="15" customHeight="1">
      <c r="A678" t="inlineStr">
        <is>
          <t>A 8593-2023</t>
        </is>
      </c>
      <c r="B678" s="1" t="n">
        <v>44977</v>
      </c>
      <c r="C678" s="1" t="n">
        <v>45991</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29722-2025</t>
        </is>
      </c>
      <c r="B679" s="1" t="n">
        <v>45825.57524305556</v>
      </c>
      <c r="C679" s="1" t="n">
        <v>45991</v>
      </c>
      <c r="D679" t="inlineStr">
        <is>
          <t>KALMAR LÄN</t>
        </is>
      </c>
      <c r="E679" t="inlineStr">
        <is>
          <t>VÄSTERVIK</t>
        </is>
      </c>
      <c r="G679" t="n">
        <v>2.9</v>
      </c>
      <c r="H679" t="n">
        <v>0</v>
      </c>
      <c r="I679" t="n">
        <v>0</v>
      </c>
      <c r="J679" t="n">
        <v>0</v>
      </c>
      <c r="K679" t="n">
        <v>0</v>
      </c>
      <c r="L679" t="n">
        <v>0</v>
      </c>
      <c r="M679" t="n">
        <v>0</v>
      </c>
      <c r="N679" t="n">
        <v>0</v>
      </c>
      <c r="O679" t="n">
        <v>0</v>
      </c>
      <c r="P679" t="n">
        <v>0</v>
      </c>
      <c r="Q679" t="n">
        <v>0</v>
      </c>
      <c r="R679" s="2" t="inlineStr"/>
    </row>
    <row r="680" ht="15" customHeight="1">
      <c r="A680" t="inlineStr">
        <is>
          <t>A 23148-2025</t>
        </is>
      </c>
      <c r="B680" s="1" t="n">
        <v>45791.40225694444</v>
      </c>
      <c r="C680" s="1" t="n">
        <v>45991</v>
      </c>
      <c r="D680" t="inlineStr">
        <is>
          <t>KALMAR LÄN</t>
        </is>
      </c>
      <c r="E680" t="inlineStr">
        <is>
          <t>VÄSTERVIK</t>
        </is>
      </c>
      <c r="G680" t="n">
        <v>1.5</v>
      </c>
      <c r="H680" t="n">
        <v>0</v>
      </c>
      <c r="I680" t="n">
        <v>0</v>
      </c>
      <c r="J680" t="n">
        <v>0</v>
      </c>
      <c r="K680" t="n">
        <v>0</v>
      </c>
      <c r="L680" t="n">
        <v>0</v>
      </c>
      <c r="M680" t="n">
        <v>0</v>
      </c>
      <c r="N680" t="n">
        <v>0</v>
      </c>
      <c r="O680" t="n">
        <v>0</v>
      </c>
      <c r="P680" t="n">
        <v>0</v>
      </c>
      <c r="Q680" t="n">
        <v>0</v>
      </c>
      <c r="R680" s="2" t="inlineStr"/>
    </row>
    <row r="681" ht="15" customHeight="1">
      <c r="A681" t="inlineStr">
        <is>
          <t>A 2746-2023</t>
        </is>
      </c>
      <c r="B681" s="1" t="n">
        <v>44944</v>
      </c>
      <c r="C681" s="1" t="n">
        <v>45991</v>
      </c>
      <c r="D681" t="inlineStr">
        <is>
          <t>KALMAR LÄN</t>
        </is>
      </c>
      <c r="E681" t="inlineStr">
        <is>
          <t>VÄSTERVIK</t>
        </is>
      </c>
      <c r="G681" t="n">
        <v>5.5</v>
      </c>
      <c r="H681" t="n">
        <v>0</v>
      </c>
      <c r="I681" t="n">
        <v>0</v>
      </c>
      <c r="J681" t="n">
        <v>0</v>
      </c>
      <c r="K681" t="n">
        <v>0</v>
      </c>
      <c r="L681" t="n">
        <v>0</v>
      </c>
      <c r="M681" t="n">
        <v>0</v>
      </c>
      <c r="N681" t="n">
        <v>0</v>
      </c>
      <c r="O681" t="n">
        <v>0</v>
      </c>
      <c r="P681" t="n">
        <v>0</v>
      </c>
      <c r="Q681" t="n">
        <v>0</v>
      </c>
      <c r="R681" s="2" t="inlineStr"/>
    </row>
    <row r="682" ht="15" customHeight="1">
      <c r="A682" t="inlineStr">
        <is>
          <t>A 54567-2025</t>
        </is>
      </c>
      <c r="B682" s="1" t="n">
        <v>45965.67274305555</v>
      </c>
      <c r="C682" s="1" t="n">
        <v>45991</v>
      </c>
      <c r="D682" t="inlineStr">
        <is>
          <t>KALMAR LÄN</t>
        </is>
      </c>
      <c r="E682" t="inlineStr">
        <is>
          <t>VÄSTERVIK</t>
        </is>
      </c>
      <c r="G682" t="n">
        <v>5.7</v>
      </c>
      <c r="H682" t="n">
        <v>0</v>
      </c>
      <c r="I682" t="n">
        <v>0</v>
      </c>
      <c r="J682" t="n">
        <v>0</v>
      </c>
      <c r="K682" t="n">
        <v>0</v>
      </c>
      <c r="L682" t="n">
        <v>0</v>
      </c>
      <c r="M682" t="n">
        <v>0</v>
      </c>
      <c r="N682" t="n">
        <v>0</v>
      </c>
      <c r="O682" t="n">
        <v>0</v>
      </c>
      <c r="P682" t="n">
        <v>0</v>
      </c>
      <c r="Q682" t="n">
        <v>0</v>
      </c>
      <c r="R682" s="2" t="inlineStr"/>
    </row>
    <row r="683" ht="15" customHeight="1">
      <c r="A683" t="inlineStr">
        <is>
          <t>A 31686-2023</t>
        </is>
      </c>
      <c r="B683" s="1" t="n">
        <v>45117</v>
      </c>
      <c r="C683" s="1" t="n">
        <v>45991</v>
      </c>
      <c r="D683" t="inlineStr">
        <is>
          <t>KALMAR LÄN</t>
        </is>
      </c>
      <c r="E683" t="inlineStr">
        <is>
          <t>VÄSTERVIK</t>
        </is>
      </c>
      <c r="G683" t="n">
        <v>1.7</v>
      </c>
      <c r="H683" t="n">
        <v>0</v>
      </c>
      <c r="I683" t="n">
        <v>0</v>
      </c>
      <c r="J683" t="n">
        <v>0</v>
      </c>
      <c r="K683" t="n">
        <v>0</v>
      </c>
      <c r="L683" t="n">
        <v>0</v>
      </c>
      <c r="M683" t="n">
        <v>0</v>
      </c>
      <c r="N683" t="n">
        <v>0</v>
      </c>
      <c r="O683" t="n">
        <v>0</v>
      </c>
      <c r="P683" t="n">
        <v>0</v>
      </c>
      <c r="Q683" t="n">
        <v>0</v>
      </c>
      <c r="R683" s="2" t="inlineStr"/>
    </row>
    <row r="684" ht="15" customHeight="1">
      <c r="A684" t="inlineStr">
        <is>
          <t>A 10688-2024</t>
        </is>
      </c>
      <c r="B684" s="1" t="n">
        <v>45369.39894675926</v>
      </c>
      <c r="C684" s="1" t="n">
        <v>45991</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54286-2025</t>
        </is>
      </c>
      <c r="B685" s="1" t="n">
        <v>45964.79894675926</v>
      </c>
      <c r="C685" s="1" t="n">
        <v>45991</v>
      </c>
      <c r="D685" t="inlineStr">
        <is>
          <t>KALMAR LÄN</t>
        </is>
      </c>
      <c r="E685" t="inlineStr">
        <is>
          <t>VÄSTERVIK</t>
        </is>
      </c>
      <c r="F685" t="inlineStr">
        <is>
          <t>Holmen skog AB</t>
        </is>
      </c>
      <c r="G685" t="n">
        <v>5.9</v>
      </c>
      <c r="H685" t="n">
        <v>0</v>
      </c>
      <c r="I685" t="n">
        <v>0</v>
      </c>
      <c r="J685" t="n">
        <v>0</v>
      </c>
      <c r="K685" t="n">
        <v>0</v>
      </c>
      <c r="L685" t="n">
        <v>0</v>
      </c>
      <c r="M685" t="n">
        <v>0</v>
      </c>
      <c r="N685" t="n">
        <v>0</v>
      </c>
      <c r="O685" t="n">
        <v>0</v>
      </c>
      <c r="P685" t="n">
        <v>0</v>
      </c>
      <c r="Q685" t="n">
        <v>0</v>
      </c>
      <c r="R685" s="2" t="inlineStr"/>
    </row>
    <row r="686" ht="15" customHeight="1">
      <c r="A686" t="inlineStr">
        <is>
          <t>A 54290-2025</t>
        </is>
      </c>
      <c r="B686" s="1" t="n">
        <v>45964.81896990741</v>
      </c>
      <c r="C686" s="1" t="n">
        <v>45991</v>
      </c>
      <c r="D686" t="inlineStr">
        <is>
          <t>KALMAR LÄN</t>
        </is>
      </c>
      <c r="E686" t="inlineStr">
        <is>
          <t>VÄSTERVIK</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37642-2023</t>
        </is>
      </c>
      <c r="B687" s="1" t="n">
        <v>45159.47940972223</v>
      </c>
      <c r="C687" s="1" t="n">
        <v>45991</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59871-2022</t>
        </is>
      </c>
      <c r="B688" s="1" t="n">
        <v>44908</v>
      </c>
      <c r="C688" s="1" t="n">
        <v>45991</v>
      </c>
      <c r="D688" t="inlineStr">
        <is>
          <t>KALMAR LÄN</t>
        </is>
      </c>
      <c r="E688" t="inlineStr">
        <is>
          <t>VÄSTERVIK</t>
        </is>
      </c>
      <c r="F688" t="inlineStr">
        <is>
          <t>Övriga Aktiebolag</t>
        </is>
      </c>
      <c r="G688" t="n">
        <v>0.4</v>
      </c>
      <c r="H688" t="n">
        <v>0</v>
      </c>
      <c r="I688" t="n">
        <v>0</v>
      </c>
      <c r="J688" t="n">
        <v>0</v>
      </c>
      <c r="K688" t="n">
        <v>0</v>
      </c>
      <c r="L688" t="n">
        <v>0</v>
      </c>
      <c r="M688" t="n">
        <v>0</v>
      </c>
      <c r="N688" t="n">
        <v>0</v>
      </c>
      <c r="O688" t="n">
        <v>0</v>
      </c>
      <c r="P688" t="n">
        <v>0</v>
      </c>
      <c r="Q688" t="n">
        <v>0</v>
      </c>
      <c r="R688" s="2" t="inlineStr"/>
    </row>
    <row r="689" ht="15" customHeight="1">
      <c r="A689" t="inlineStr">
        <is>
          <t>A 36757-2025</t>
        </is>
      </c>
      <c r="B689" s="1" t="n">
        <v>45873.56483796296</v>
      </c>
      <c r="C689" s="1" t="n">
        <v>45991</v>
      </c>
      <c r="D689" t="inlineStr">
        <is>
          <t>KALMAR LÄN</t>
        </is>
      </c>
      <c r="E689" t="inlineStr">
        <is>
          <t>VÄSTERVIK</t>
        </is>
      </c>
      <c r="G689" t="n">
        <v>2.3</v>
      </c>
      <c r="H689" t="n">
        <v>0</v>
      </c>
      <c r="I689" t="n">
        <v>0</v>
      </c>
      <c r="J689" t="n">
        <v>0</v>
      </c>
      <c r="K689" t="n">
        <v>0</v>
      </c>
      <c r="L689" t="n">
        <v>0</v>
      </c>
      <c r="M689" t="n">
        <v>0</v>
      </c>
      <c r="N689" t="n">
        <v>0</v>
      </c>
      <c r="O689" t="n">
        <v>0</v>
      </c>
      <c r="P689" t="n">
        <v>0</v>
      </c>
      <c r="Q689" t="n">
        <v>0</v>
      </c>
      <c r="R689" s="2" t="inlineStr"/>
    </row>
    <row r="690" ht="15" customHeight="1">
      <c r="A690" t="inlineStr">
        <is>
          <t>A 46158-2025</t>
        </is>
      </c>
      <c r="B690" s="1" t="n">
        <v>45924.63511574074</v>
      </c>
      <c r="C690" s="1" t="n">
        <v>45991</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46161-2025</t>
        </is>
      </c>
      <c r="B691" s="1" t="n">
        <v>45924.63733796297</v>
      </c>
      <c r="C691" s="1" t="n">
        <v>45991</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73640-2021</t>
        </is>
      </c>
      <c r="B692" s="1" t="n">
        <v>44552.43644675926</v>
      </c>
      <c r="C692" s="1" t="n">
        <v>45991</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63606-2023</t>
        </is>
      </c>
      <c r="B693" s="1" t="n">
        <v>45275</v>
      </c>
      <c r="C693" s="1" t="n">
        <v>45991</v>
      </c>
      <c r="D693" t="inlineStr">
        <is>
          <t>KALMAR LÄN</t>
        </is>
      </c>
      <c r="E693" t="inlineStr">
        <is>
          <t>VÄSTERVIK</t>
        </is>
      </c>
      <c r="G693" t="n">
        <v>2.9</v>
      </c>
      <c r="H693" t="n">
        <v>0</v>
      </c>
      <c r="I693" t="n">
        <v>0</v>
      </c>
      <c r="J693" t="n">
        <v>0</v>
      </c>
      <c r="K693" t="n">
        <v>0</v>
      </c>
      <c r="L693" t="n">
        <v>0</v>
      </c>
      <c r="M693" t="n">
        <v>0</v>
      </c>
      <c r="N693" t="n">
        <v>0</v>
      </c>
      <c r="O693" t="n">
        <v>0</v>
      </c>
      <c r="P693" t="n">
        <v>0</v>
      </c>
      <c r="Q693" t="n">
        <v>0</v>
      </c>
      <c r="R693" s="2" t="inlineStr"/>
    </row>
    <row r="694" ht="15" customHeight="1">
      <c r="A694" t="inlineStr">
        <is>
          <t>A 20483-2025</t>
        </is>
      </c>
      <c r="B694" s="1" t="n">
        <v>45775.55954861111</v>
      </c>
      <c r="C694" s="1" t="n">
        <v>45991</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28404-2024</t>
        </is>
      </c>
      <c r="B695" s="1" t="n">
        <v>45477.61552083334</v>
      </c>
      <c r="C695" s="1" t="n">
        <v>45991</v>
      </c>
      <c r="D695" t="inlineStr">
        <is>
          <t>KALMAR LÄN</t>
        </is>
      </c>
      <c r="E695" t="inlineStr">
        <is>
          <t>VÄSTERVIK</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28415-2024</t>
        </is>
      </c>
      <c r="B696" s="1" t="n">
        <v>45477.62924768519</v>
      </c>
      <c r="C696" s="1" t="n">
        <v>45991</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36754-2025</t>
        </is>
      </c>
      <c r="B697" s="1" t="n">
        <v>45873.5591087963</v>
      </c>
      <c r="C697" s="1" t="n">
        <v>45991</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47124-2023</t>
        </is>
      </c>
      <c r="B698" s="1" t="n">
        <v>45201</v>
      </c>
      <c r="C698" s="1" t="n">
        <v>45991</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35162-2024</t>
        </is>
      </c>
      <c r="B699" s="1" t="n">
        <v>45530.40025462963</v>
      </c>
      <c r="C699" s="1" t="n">
        <v>45991</v>
      </c>
      <c r="D699" t="inlineStr">
        <is>
          <t>KALMAR LÄN</t>
        </is>
      </c>
      <c r="E699" t="inlineStr">
        <is>
          <t>VÄSTERVIK</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11988-2022</t>
        </is>
      </c>
      <c r="B700" s="1" t="n">
        <v>44635.68771990741</v>
      </c>
      <c r="C700" s="1" t="n">
        <v>45991</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37523-2025</t>
        </is>
      </c>
      <c r="B701" s="1" t="n">
        <v>45877</v>
      </c>
      <c r="C701" s="1" t="n">
        <v>45991</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37526-2025</t>
        </is>
      </c>
      <c r="B702" s="1" t="n">
        <v>45877</v>
      </c>
      <c r="C702" s="1" t="n">
        <v>45991</v>
      </c>
      <c r="D702" t="inlineStr">
        <is>
          <t>KALMAR LÄN</t>
        </is>
      </c>
      <c r="E702" t="inlineStr">
        <is>
          <t>VÄSTERVIK</t>
        </is>
      </c>
      <c r="G702" t="n">
        <v>1.4</v>
      </c>
      <c r="H702" t="n">
        <v>0</v>
      </c>
      <c r="I702" t="n">
        <v>0</v>
      </c>
      <c r="J702" t="n">
        <v>0</v>
      </c>
      <c r="K702" t="n">
        <v>0</v>
      </c>
      <c r="L702" t="n">
        <v>0</v>
      </c>
      <c r="M702" t="n">
        <v>0</v>
      </c>
      <c r="N702" t="n">
        <v>0</v>
      </c>
      <c r="O702" t="n">
        <v>0</v>
      </c>
      <c r="P702" t="n">
        <v>0</v>
      </c>
      <c r="Q702" t="n">
        <v>0</v>
      </c>
      <c r="R702" s="2" t="inlineStr"/>
    </row>
    <row r="703" ht="15" customHeight="1">
      <c r="A703" t="inlineStr">
        <is>
          <t>A 1785-2025</t>
        </is>
      </c>
      <c r="B703" s="1" t="n">
        <v>45671.45061342593</v>
      </c>
      <c r="C703" s="1" t="n">
        <v>45991</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55184-2025</t>
        </is>
      </c>
      <c r="B704" s="1" t="n">
        <v>45968.53612268518</v>
      </c>
      <c r="C704" s="1" t="n">
        <v>45991</v>
      </c>
      <c r="D704" t="inlineStr">
        <is>
          <t>KALMAR LÄN</t>
        </is>
      </c>
      <c r="E704" t="inlineStr">
        <is>
          <t>VÄSTERVIK</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5510-2021</t>
        </is>
      </c>
      <c r="B705" s="1" t="n">
        <v>44230</v>
      </c>
      <c r="C705" s="1" t="n">
        <v>45991</v>
      </c>
      <c r="D705" t="inlineStr">
        <is>
          <t>KALMAR LÄN</t>
        </is>
      </c>
      <c r="E705" t="inlineStr">
        <is>
          <t>VÄSTERVIK</t>
        </is>
      </c>
      <c r="G705" t="n">
        <v>3.2</v>
      </c>
      <c r="H705" t="n">
        <v>0</v>
      </c>
      <c r="I705" t="n">
        <v>0</v>
      </c>
      <c r="J705" t="n">
        <v>0</v>
      </c>
      <c r="K705" t="n">
        <v>0</v>
      </c>
      <c r="L705" t="n">
        <v>0</v>
      </c>
      <c r="M705" t="n">
        <v>0</v>
      </c>
      <c r="N705" t="n">
        <v>0</v>
      </c>
      <c r="O705" t="n">
        <v>0</v>
      </c>
      <c r="P705" t="n">
        <v>0</v>
      </c>
      <c r="Q705" t="n">
        <v>0</v>
      </c>
      <c r="R705" s="2" t="inlineStr"/>
    </row>
    <row r="706" ht="15" customHeight="1">
      <c r="A706" t="inlineStr">
        <is>
          <t>A 35417-2022</t>
        </is>
      </c>
      <c r="B706" s="1" t="n">
        <v>44798</v>
      </c>
      <c r="C706" s="1" t="n">
        <v>45991</v>
      </c>
      <c r="D706" t="inlineStr">
        <is>
          <t>KALMAR LÄN</t>
        </is>
      </c>
      <c r="E706" t="inlineStr">
        <is>
          <t>VÄSTERVIK</t>
        </is>
      </c>
      <c r="G706" t="n">
        <v>5.2</v>
      </c>
      <c r="H706" t="n">
        <v>0</v>
      </c>
      <c r="I706" t="n">
        <v>0</v>
      </c>
      <c r="J706" t="n">
        <v>0</v>
      </c>
      <c r="K706" t="n">
        <v>0</v>
      </c>
      <c r="L706" t="n">
        <v>0</v>
      </c>
      <c r="M706" t="n">
        <v>0</v>
      </c>
      <c r="N706" t="n">
        <v>0</v>
      </c>
      <c r="O706" t="n">
        <v>0</v>
      </c>
      <c r="P706" t="n">
        <v>0</v>
      </c>
      <c r="Q706" t="n">
        <v>0</v>
      </c>
      <c r="R706" s="2" t="inlineStr"/>
    </row>
    <row r="707" ht="15" customHeight="1">
      <c r="A707" t="inlineStr">
        <is>
          <t>A 16207-2022</t>
        </is>
      </c>
      <c r="B707" s="1" t="n">
        <v>44669</v>
      </c>
      <c r="C707" s="1" t="n">
        <v>45991</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55557-2025</t>
        </is>
      </c>
      <c r="B708" s="1" t="n">
        <v>45971.6475</v>
      </c>
      <c r="C708" s="1" t="n">
        <v>45991</v>
      </c>
      <c r="D708" t="inlineStr">
        <is>
          <t>KALMAR LÄN</t>
        </is>
      </c>
      <c r="E708" t="inlineStr">
        <is>
          <t>VÄSTERVIK</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23626-2024</t>
        </is>
      </c>
      <c r="B709" s="1" t="n">
        <v>45454</v>
      </c>
      <c r="C709" s="1" t="n">
        <v>45991</v>
      </c>
      <c r="D709" t="inlineStr">
        <is>
          <t>KALMAR LÄN</t>
        </is>
      </c>
      <c r="E709" t="inlineStr">
        <is>
          <t>VÄSTERVIK</t>
        </is>
      </c>
      <c r="G709" t="n">
        <v>2.1</v>
      </c>
      <c r="H709" t="n">
        <v>0</v>
      </c>
      <c r="I709" t="n">
        <v>0</v>
      </c>
      <c r="J709" t="n">
        <v>0</v>
      </c>
      <c r="K709" t="n">
        <v>0</v>
      </c>
      <c r="L709" t="n">
        <v>0</v>
      </c>
      <c r="M709" t="n">
        <v>0</v>
      </c>
      <c r="N709" t="n">
        <v>0</v>
      </c>
      <c r="O709" t="n">
        <v>0</v>
      </c>
      <c r="P709" t="n">
        <v>0</v>
      </c>
      <c r="Q709" t="n">
        <v>0</v>
      </c>
      <c r="R709" s="2" t="inlineStr"/>
    </row>
    <row r="710" ht="15" customHeight="1">
      <c r="A710" t="inlineStr">
        <is>
          <t>A 46267-2022</t>
        </is>
      </c>
      <c r="B710" s="1" t="n">
        <v>44847</v>
      </c>
      <c r="C710" s="1" t="n">
        <v>45991</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55609-2024</t>
        </is>
      </c>
      <c r="B711" s="1" t="n">
        <v>45622.58350694444</v>
      </c>
      <c r="C711" s="1" t="n">
        <v>45991</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37774-2025</t>
        </is>
      </c>
      <c r="B712" s="1" t="n">
        <v>45880</v>
      </c>
      <c r="C712" s="1" t="n">
        <v>45991</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38048-2023</t>
        </is>
      </c>
      <c r="B713" s="1" t="n">
        <v>45160.67677083334</v>
      </c>
      <c r="C713" s="1" t="n">
        <v>45991</v>
      </c>
      <c r="D713" t="inlineStr">
        <is>
          <t>KALMAR LÄN</t>
        </is>
      </c>
      <c r="E713" t="inlineStr">
        <is>
          <t>VÄSTERVIK</t>
        </is>
      </c>
      <c r="F713" t="inlineStr">
        <is>
          <t>Sveaskog</t>
        </is>
      </c>
      <c r="G713" t="n">
        <v>3.3</v>
      </c>
      <c r="H713" t="n">
        <v>0</v>
      </c>
      <c r="I713" t="n">
        <v>0</v>
      </c>
      <c r="J713" t="n">
        <v>0</v>
      </c>
      <c r="K713" t="n">
        <v>0</v>
      </c>
      <c r="L713" t="n">
        <v>0</v>
      </c>
      <c r="M713" t="n">
        <v>0</v>
      </c>
      <c r="N713" t="n">
        <v>0</v>
      </c>
      <c r="O713" t="n">
        <v>0</v>
      </c>
      <c r="P713" t="n">
        <v>0</v>
      </c>
      <c r="Q713" t="n">
        <v>0</v>
      </c>
      <c r="R713" s="2" t="inlineStr"/>
    </row>
    <row r="714" ht="15" customHeight="1">
      <c r="A714" t="inlineStr">
        <is>
          <t>A 11584-2023</t>
        </is>
      </c>
      <c r="B714" s="1" t="n">
        <v>44994.35707175926</v>
      </c>
      <c r="C714" s="1" t="n">
        <v>45991</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55086-2025</t>
        </is>
      </c>
      <c r="B715" s="1" t="n">
        <v>45968.33027777778</v>
      </c>
      <c r="C715" s="1" t="n">
        <v>45991</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55152-2025</t>
        </is>
      </c>
      <c r="B716" s="1" t="n">
        <v>45968.4571412037</v>
      </c>
      <c r="C716" s="1" t="n">
        <v>45991</v>
      </c>
      <c r="D716" t="inlineStr">
        <is>
          <t>KALMAR LÄN</t>
        </is>
      </c>
      <c r="E716" t="inlineStr">
        <is>
          <t>VÄSTERVIK</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38442-2025</t>
        </is>
      </c>
      <c r="B717" s="1" t="n">
        <v>45883</v>
      </c>
      <c r="C717" s="1" t="n">
        <v>45991</v>
      </c>
      <c r="D717" t="inlineStr">
        <is>
          <t>KALMAR LÄN</t>
        </is>
      </c>
      <c r="E717" t="inlineStr">
        <is>
          <t>VÄSTERVIK</t>
        </is>
      </c>
      <c r="G717" t="n">
        <v>3.5</v>
      </c>
      <c r="H717" t="n">
        <v>0</v>
      </c>
      <c r="I717" t="n">
        <v>0</v>
      </c>
      <c r="J717" t="n">
        <v>0</v>
      </c>
      <c r="K717" t="n">
        <v>0</v>
      </c>
      <c r="L717" t="n">
        <v>0</v>
      </c>
      <c r="M717" t="n">
        <v>0</v>
      </c>
      <c r="N717" t="n">
        <v>0</v>
      </c>
      <c r="O717" t="n">
        <v>0</v>
      </c>
      <c r="P717" t="n">
        <v>0</v>
      </c>
      <c r="Q717" t="n">
        <v>0</v>
      </c>
      <c r="R717" s="2" t="inlineStr"/>
    </row>
    <row r="718" ht="15" customHeight="1">
      <c r="A718" t="inlineStr">
        <is>
          <t>A 18081-2023</t>
        </is>
      </c>
      <c r="B718" s="1" t="n">
        <v>45040</v>
      </c>
      <c r="C718" s="1" t="n">
        <v>45991</v>
      </c>
      <c r="D718" t="inlineStr">
        <is>
          <t>KALMAR LÄN</t>
        </is>
      </c>
      <c r="E718" t="inlineStr">
        <is>
          <t>VÄSTERVIK</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26776-2023</t>
        </is>
      </c>
      <c r="B719" s="1" t="n">
        <v>45093</v>
      </c>
      <c r="C719" s="1" t="n">
        <v>45991</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62304-2022</t>
        </is>
      </c>
      <c r="B720" s="1" t="n">
        <v>44923.46215277778</v>
      </c>
      <c r="C720" s="1" t="n">
        <v>45991</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62306-2022</t>
        </is>
      </c>
      <c r="B721" s="1" t="n">
        <v>44923</v>
      </c>
      <c r="C721" s="1" t="n">
        <v>45991</v>
      </c>
      <c r="D721" t="inlineStr">
        <is>
          <t>KALMAR LÄN</t>
        </is>
      </c>
      <c r="E721" t="inlineStr">
        <is>
          <t>VÄSTERVIK</t>
        </is>
      </c>
      <c r="G721" t="n">
        <v>1.5</v>
      </c>
      <c r="H721" t="n">
        <v>0</v>
      </c>
      <c r="I721" t="n">
        <v>0</v>
      </c>
      <c r="J721" t="n">
        <v>0</v>
      </c>
      <c r="K721" t="n">
        <v>0</v>
      </c>
      <c r="L721" t="n">
        <v>0</v>
      </c>
      <c r="M721" t="n">
        <v>0</v>
      </c>
      <c r="N721" t="n">
        <v>0</v>
      </c>
      <c r="O721" t="n">
        <v>0</v>
      </c>
      <c r="P721" t="n">
        <v>0</v>
      </c>
      <c r="Q721" t="n">
        <v>0</v>
      </c>
      <c r="R721" s="2" t="inlineStr"/>
    </row>
    <row r="722" ht="15" customHeight="1">
      <c r="A722" t="inlineStr">
        <is>
          <t>A 17307-2023</t>
        </is>
      </c>
      <c r="B722" s="1" t="n">
        <v>45035.53497685185</v>
      </c>
      <c r="C722" s="1" t="n">
        <v>45991</v>
      </c>
      <c r="D722" t="inlineStr">
        <is>
          <t>KALMAR LÄN</t>
        </is>
      </c>
      <c r="E722" t="inlineStr">
        <is>
          <t>VÄSTERVIK</t>
        </is>
      </c>
      <c r="G722" t="n">
        <v>0</v>
      </c>
      <c r="H722" t="n">
        <v>0</v>
      </c>
      <c r="I722" t="n">
        <v>0</v>
      </c>
      <c r="J722" t="n">
        <v>0</v>
      </c>
      <c r="K722" t="n">
        <v>0</v>
      </c>
      <c r="L722" t="n">
        <v>0</v>
      </c>
      <c r="M722" t="n">
        <v>0</v>
      </c>
      <c r="N722" t="n">
        <v>0</v>
      </c>
      <c r="O722" t="n">
        <v>0</v>
      </c>
      <c r="P722" t="n">
        <v>0</v>
      </c>
      <c r="Q722" t="n">
        <v>0</v>
      </c>
      <c r="R722" s="2" t="inlineStr"/>
    </row>
    <row r="723" ht="15" customHeight="1">
      <c r="A723" t="inlineStr">
        <is>
          <t>A 13489-2022</t>
        </is>
      </c>
      <c r="B723" s="1" t="n">
        <v>44646</v>
      </c>
      <c r="C723" s="1" t="n">
        <v>45991</v>
      </c>
      <c r="D723" t="inlineStr">
        <is>
          <t>KALMAR LÄN</t>
        </is>
      </c>
      <c r="E723" t="inlineStr">
        <is>
          <t>VÄSTERVIK</t>
        </is>
      </c>
      <c r="G723" t="n">
        <v>2.5</v>
      </c>
      <c r="H723" t="n">
        <v>0</v>
      </c>
      <c r="I723" t="n">
        <v>0</v>
      </c>
      <c r="J723" t="n">
        <v>0</v>
      </c>
      <c r="K723" t="n">
        <v>0</v>
      </c>
      <c r="L723" t="n">
        <v>0</v>
      </c>
      <c r="M723" t="n">
        <v>0</v>
      </c>
      <c r="N723" t="n">
        <v>0</v>
      </c>
      <c r="O723" t="n">
        <v>0</v>
      </c>
      <c r="P723" t="n">
        <v>0</v>
      </c>
      <c r="Q723" t="n">
        <v>0</v>
      </c>
      <c r="R723" s="2" t="inlineStr"/>
    </row>
    <row r="724" ht="15" customHeight="1">
      <c r="A724" t="inlineStr">
        <is>
          <t>A 33842-2025</t>
        </is>
      </c>
      <c r="B724" s="1" t="n">
        <v>45842.48217592593</v>
      </c>
      <c r="C724" s="1" t="n">
        <v>45991</v>
      </c>
      <c r="D724" t="inlineStr">
        <is>
          <t>KALMAR LÄN</t>
        </is>
      </c>
      <c r="E724" t="inlineStr">
        <is>
          <t>VÄSTERVIK</t>
        </is>
      </c>
      <c r="G724" t="n">
        <v>2</v>
      </c>
      <c r="H724" t="n">
        <v>0</v>
      </c>
      <c r="I724" t="n">
        <v>0</v>
      </c>
      <c r="J724" t="n">
        <v>0</v>
      </c>
      <c r="K724" t="n">
        <v>0</v>
      </c>
      <c r="L724" t="n">
        <v>0</v>
      </c>
      <c r="M724" t="n">
        <v>0</v>
      </c>
      <c r="N724" t="n">
        <v>0</v>
      </c>
      <c r="O724" t="n">
        <v>0</v>
      </c>
      <c r="P724" t="n">
        <v>0</v>
      </c>
      <c r="Q724" t="n">
        <v>0</v>
      </c>
      <c r="R724" s="2" t="inlineStr"/>
    </row>
    <row r="725" ht="15" customHeight="1">
      <c r="A725" t="inlineStr">
        <is>
          <t>A 47775-2025</t>
        </is>
      </c>
      <c r="B725" s="1" t="n">
        <v>45931.72548611111</v>
      </c>
      <c r="C725" s="1" t="n">
        <v>45991</v>
      </c>
      <c r="D725" t="inlineStr">
        <is>
          <t>KALMAR LÄN</t>
        </is>
      </c>
      <c r="E725" t="inlineStr">
        <is>
          <t>VÄSTERVIK</t>
        </is>
      </c>
      <c r="G725" t="n">
        <v>4.2</v>
      </c>
      <c r="H725" t="n">
        <v>0</v>
      </c>
      <c r="I725" t="n">
        <v>0</v>
      </c>
      <c r="J725" t="n">
        <v>0</v>
      </c>
      <c r="K725" t="n">
        <v>0</v>
      </c>
      <c r="L725" t="n">
        <v>0</v>
      </c>
      <c r="M725" t="n">
        <v>0</v>
      </c>
      <c r="N725" t="n">
        <v>0</v>
      </c>
      <c r="O725" t="n">
        <v>0</v>
      </c>
      <c r="P725" t="n">
        <v>0</v>
      </c>
      <c r="Q725" t="n">
        <v>0</v>
      </c>
      <c r="R725" s="2" t="inlineStr"/>
    </row>
    <row r="726" ht="15" customHeight="1">
      <c r="A726" t="inlineStr">
        <is>
          <t>A 47776-2025</t>
        </is>
      </c>
      <c r="B726" s="1" t="n">
        <v>45931.7262962963</v>
      </c>
      <c r="C726" s="1" t="n">
        <v>45991</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60713-2022</t>
        </is>
      </c>
      <c r="B727" s="1" t="n">
        <v>44912</v>
      </c>
      <c r="C727" s="1" t="n">
        <v>45991</v>
      </c>
      <c r="D727" t="inlineStr">
        <is>
          <t>KALMAR LÄN</t>
        </is>
      </c>
      <c r="E727" t="inlineStr">
        <is>
          <t>VÄSTERVIK</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16617-2023</t>
        </is>
      </c>
      <c r="B728" s="1" t="n">
        <v>45030</v>
      </c>
      <c r="C728" s="1" t="n">
        <v>45991</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55032-2024</t>
        </is>
      </c>
      <c r="B729" s="1" t="n">
        <v>45621.38190972222</v>
      </c>
      <c r="C729" s="1" t="n">
        <v>45991</v>
      </c>
      <c r="D729" t="inlineStr">
        <is>
          <t>KALMAR LÄN</t>
        </is>
      </c>
      <c r="E729" t="inlineStr">
        <is>
          <t>VÄSTERVIK</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55037-2024</t>
        </is>
      </c>
      <c r="B730" s="1" t="n">
        <v>45621.38459490741</v>
      </c>
      <c r="C730" s="1" t="n">
        <v>45991</v>
      </c>
      <c r="D730" t="inlineStr">
        <is>
          <t>KALMAR LÄN</t>
        </is>
      </c>
      <c r="E730" t="inlineStr">
        <is>
          <t>VÄSTERVIK</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928-2024</t>
        </is>
      </c>
      <c r="B731" s="1" t="n">
        <v>45301</v>
      </c>
      <c r="C731" s="1" t="n">
        <v>45991</v>
      </c>
      <c r="D731" t="inlineStr">
        <is>
          <t>KALMAR LÄN</t>
        </is>
      </c>
      <c r="E731" t="inlineStr">
        <is>
          <t>VÄSTERVIK</t>
        </is>
      </c>
      <c r="G731" t="n">
        <v>4.8</v>
      </c>
      <c r="H731" t="n">
        <v>0</v>
      </c>
      <c r="I731" t="n">
        <v>0</v>
      </c>
      <c r="J731" t="n">
        <v>0</v>
      </c>
      <c r="K731" t="n">
        <v>0</v>
      </c>
      <c r="L731" t="n">
        <v>0</v>
      </c>
      <c r="M731" t="n">
        <v>0</v>
      </c>
      <c r="N731" t="n">
        <v>0</v>
      </c>
      <c r="O731" t="n">
        <v>0</v>
      </c>
      <c r="P731" t="n">
        <v>0</v>
      </c>
      <c r="Q731" t="n">
        <v>0</v>
      </c>
      <c r="R731" s="2" t="inlineStr"/>
    </row>
    <row r="732" ht="15" customHeight="1">
      <c r="A732" t="inlineStr">
        <is>
          <t>A 63018-2023</t>
        </is>
      </c>
      <c r="B732" s="1" t="n">
        <v>45272</v>
      </c>
      <c r="C732" s="1" t="n">
        <v>45991</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45991</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16395-2024</t>
        </is>
      </c>
      <c r="B734" s="1" t="n">
        <v>45407.62733796296</v>
      </c>
      <c r="C734" s="1" t="n">
        <v>45991</v>
      </c>
      <c r="D734" t="inlineStr">
        <is>
          <t>KALMAR LÄN</t>
        </is>
      </c>
      <c r="E734" t="inlineStr">
        <is>
          <t>VÄSTERVIK</t>
        </is>
      </c>
      <c r="G734" t="n">
        <v>1.3</v>
      </c>
      <c r="H734" t="n">
        <v>0</v>
      </c>
      <c r="I734" t="n">
        <v>0</v>
      </c>
      <c r="J734" t="n">
        <v>0</v>
      </c>
      <c r="K734" t="n">
        <v>0</v>
      </c>
      <c r="L734" t="n">
        <v>0</v>
      </c>
      <c r="M734" t="n">
        <v>0</v>
      </c>
      <c r="N734" t="n">
        <v>0</v>
      </c>
      <c r="O734" t="n">
        <v>0</v>
      </c>
      <c r="P734" t="n">
        <v>0</v>
      </c>
      <c r="Q734" t="n">
        <v>0</v>
      </c>
      <c r="R734" s="2" t="inlineStr"/>
      <c r="U734">
        <f>HYPERLINK("https://klasma.github.io/Logging_0883/knärot/A 16395-2024 karta knärot.png", "A 16395-2024")</f>
        <v/>
      </c>
      <c r="V734">
        <f>HYPERLINK("https://klasma.github.io/Logging_0883/klagomål/A 16395-2024 FSC-klagomål.docx", "A 16395-2024")</f>
        <v/>
      </c>
      <c r="W734">
        <f>HYPERLINK("https://klasma.github.io/Logging_0883/klagomålsmail/A 16395-2024 FSC-klagomål mail.docx", "A 16395-2024")</f>
        <v/>
      </c>
      <c r="X734">
        <f>HYPERLINK("https://klasma.github.io/Logging_0883/tillsyn/A 16395-2024 tillsynsbegäran.docx", "A 16395-2024")</f>
        <v/>
      </c>
      <c r="Y734">
        <f>HYPERLINK("https://klasma.github.io/Logging_0883/tillsynsmail/A 16395-2024 tillsynsbegäran mail.docx", "A 16395-2024")</f>
        <v/>
      </c>
    </row>
    <row r="735" ht="15" customHeight="1">
      <c r="A735" t="inlineStr">
        <is>
          <t>A 55737-2025</t>
        </is>
      </c>
      <c r="B735" s="1" t="n">
        <v>45972.56077546296</v>
      </c>
      <c r="C735" s="1" t="n">
        <v>45991</v>
      </c>
      <c r="D735" t="inlineStr">
        <is>
          <t>KALMAR LÄN</t>
        </is>
      </c>
      <c r="E735" t="inlineStr">
        <is>
          <t>VÄSTERVIK</t>
        </is>
      </c>
      <c r="G735" t="n">
        <v>3.7</v>
      </c>
      <c r="H735" t="n">
        <v>0</v>
      </c>
      <c r="I735" t="n">
        <v>0</v>
      </c>
      <c r="J735" t="n">
        <v>0</v>
      </c>
      <c r="K735" t="n">
        <v>0</v>
      </c>
      <c r="L735" t="n">
        <v>0</v>
      </c>
      <c r="M735" t="n">
        <v>0</v>
      </c>
      <c r="N735" t="n">
        <v>0</v>
      </c>
      <c r="O735" t="n">
        <v>0</v>
      </c>
      <c r="P735" t="n">
        <v>0</v>
      </c>
      <c r="Q735" t="n">
        <v>0</v>
      </c>
      <c r="R735" s="2" t="inlineStr"/>
    </row>
    <row r="736" ht="15" customHeight="1">
      <c r="A736" t="inlineStr">
        <is>
          <t>A 6126-2023</t>
        </is>
      </c>
      <c r="B736" s="1" t="n">
        <v>44964.61592592593</v>
      </c>
      <c r="C736" s="1" t="n">
        <v>45991</v>
      </c>
      <c r="D736" t="inlineStr">
        <is>
          <t>KALMAR LÄN</t>
        </is>
      </c>
      <c r="E736" t="inlineStr">
        <is>
          <t>VÄSTERVIK</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47777-2025</t>
        </is>
      </c>
      <c r="B737" s="1" t="n">
        <v>45931.72782407407</v>
      </c>
      <c r="C737" s="1" t="n">
        <v>45991</v>
      </c>
      <c r="D737" t="inlineStr">
        <is>
          <t>KALMAR LÄN</t>
        </is>
      </c>
      <c r="E737" t="inlineStr">
        <is>
          <t>VÄSTERVIK</t>
        </is>
      </c>
      <c r="G737" t="n">
        <v>1.4</v>
      </c>
      <c r="H737" t="n">
        <v>0</v>
      </c>
      <c r="I737" t="n">
        <v>0</v>
      </c>
      <c r="J737" t="n">
        <v>0</v>
      </c>
      <c r="K737" t="n">
        <v>0</v>
      </c>
      <c r="L737" t="n">
        <v>0</v>
      </c>
      <c r="M737" t="n">
        <v>0</v>
      </c>
      <c r="N737" t="n">
        <v>0</v>
      </c>
      <c r="O737" t="n">
        <v>0</v>
      </c>
      <c r="P737" t="n">
        <v>0</v>
      </c>
      <c r="Q737" t="n">
        <v>0</v>
      </c>
      <c r="R737" s="2" t="inlineStr"/>
    </row>
    <row r="738" ht="15" customHeight="1">
      <c r="A738" t="inlineStr">
        <is>
          <t>A 28894-2023</t>
        </is>
      </c>
      <c r="B738" s="1" t="n">
        <v>45104.49659722222</v>
      </c>
      <c r="C738" s="1" t="n">
        <v>45991</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12333-2025</t>
        </is>
      </c>
      <c r="B739" s="1" t="n">
        <v>45730</v>
      </c>
      <c r="C739" s="1" t="n">
        <v>45991</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23317-2023</t>
        </is>
      </c>
      <c r="B740" s="1" t="n">
        <v>45076</v>
      </c>
      <c r="C740" s="1" t="n">
        <v>45991</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48039-2025</t>
        </is>
      </c>
      <c r="B741" s="1" t="n">
        <v>45932</v>
      </c>
      <c r="C741" s="1" t="n">
        <v>45991</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3679-2025</t>
        </is>
      </c>
      <c r="B742" s="1" t="n">
        <v>45681.44637731482</v>
      </c>
      <c r="C742" s="1" t="n">
        <v>45991</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53077-2024</t>
        </is>
      </c>
      <c r="B743" s="1" t="n">
        <v>45611.49178240741</v>
      </c>
      <c r="C743" s="1" t="n">
        <v>45991</v>
      </c>
      <c r="D743" t="inlineStr">
        <is>
          <t>KALMAR LÄN</t>
        </is>
      </c>
      <c r="E743" t="inlineStr">
        <is>
          <t>VÄSTERVIK</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69098-2020</t>
        </is>
      </c>
      <c r="B744" s="1" t="n">
        <v>44187</v>
      </c>
      <c r="C744" s="1" t="n">
        <v>45991</v>
      </c>
      <c r="D744" t="inlineStr">
        <is>
          <t>KALMAR LÄN</t>
        </is>
      </c>
      <c r="E744" t="inlineStr">
        <is>
          <t>VÄSTERVIK</t>
        </is>
      </c>
      <c r="G744" t="n">
        <v>1.9</v>
      </c>
      <c r="H744" t="n">
        <v>0</v>
      </c>
      <c r="I744" t="n">
        <v>0</v>
      </c>
      <c r="J744" t="n">
        <v>0</v>
      </c>
      <c r="K744" t="n">
        <v>0</v>
      </c>
      <c r="L744" t="n">
        <v>0</v>
      </c>
      <c r="M744" t="n">
        <v>0</v>
      </c>
      <c r="N744" t="n">
        <v>0</v>
      </c>
      <c r="O744" t="n">
        <v>0</v>
      </c>
      <c r="P744" t="n">
        <v>0</v>
      </c>
      <c r="Q744" t="n">
        <v>0</v>
      </c>
      <c r="R744" s="2" t="inlineStr"/>
    </row>
    <row r="745" ht="15" customHeight="1">
      <c r="A745" t="inlineStr">
        <is>
          <t>A 25434-2023</t>
        </is>
      </c>
      <c r="B745" s="1" t="n">
        <v>45089.41912037037</v>
      </c>
      <c r="C745" s="1" t="n">
        <v>45991</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30148-2024</t>
        </is>
      </c>
      <c r="B746" s="1" t="n">
        <v>45489.60528935185</v>
      </c>
      <c r="C746" s="1" t="n">
        <v>45991</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48024-2025</t>
        </is>
      </c>
      <c r="B747" s="1" t="n">
        <v>45932.65021990741</v>
      </c>
      <c r="C747" s="1" t="n">
        <v>45991</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48738-2025</t>
        </is>
      </c>
      <c r="B748" s="1" t="n">
        <v>45936.67061342593</v>
      </c>
      <c r="C748" s="1" t="n">
        <v>45991</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56857-2025</t>
        </is>
      </c>
      <c r="B749" s="1" t="n">
        <v>45978.49924768518</v>
      </c>
      <c r="C749" s="1" t="n">
        <v>45991</v>
      </c>
      <c r="D749" t="inlineStr">
        <is>
          <t>KALMAR LÄN</t>
        </is>
      </c>
      <c r="E749" t="inlineStr">
        <is>
          <t>VÄSTERVIK</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42868-2025</t>
        </is>
      </c>
      <c r="B750" s="1" t="n">
        <v>45908</v>
      </c>
      <c r="C750" s="1" t="n">
        <v>45991</v>
      </c>
      <c r="D750" t="inlineStr">
        <is>
          <t>KALMAR LÄN</t>
        </is>
      </c>
      <c r="E750" t="inlineStr">
        <is>
          <t>VÄSTERVIK</t>
        </is>
      </c>
      <c r="F750" t="inlineStr">
        <is>
          <t>Holmen skog AB</t>
        </is>
      </c>
      <c r="G750" t="n">
        <v>3.7</v>
      </c>
      <c r="H750" t="n">
        <v>0</v>
      </c>
      <c r="I750" t="n">
        <v>0</v>
      </c>
      <c r="J750" t="n">
        <v>0</v>
      </c>
      <c r="K750" t="n">
        <v>0</v>
      </c>
      <c r="L750" t="n">
        <v>0</v>
      </c>
      <c r="M750" t="n">
        <v>0</v>
      </c>
      <c r="N750" t="n">
        <v>0</v>
      </c>
      <c r="O750" t="n">
        <v>0</v>
      </c>
      <c r="P750" t="n">
        <v>0</v>
      </c>
      <c r="Q750" t="n">
        <v>0</v>
      </c>
      <c r="R750" s="2" t="inlineStr"/>
      <c r="U750">
        <f>HYPERLINK("https://klasma.github.io/Logging_0883/knärot/A 42868-2025 karta knärot.png", "A 42868-2025")</f>
        <v/>
      </c>
      <c r="V750">
        <f>HYPERLINK("https://klasma.github.io/Logging_0883/klagomål/A 42868-2025 FSC-klagomål.docx", "A 42868-2025")</f>
        <v/>
      </c>
      <c r="W750">
        <f>HYPERLINK("https://klasma.github.io/Logging_0883/klagomålsmail/A 42868-2025 FSC-klagomål mail.docx", "A 42868-2025")</f>
        <v/>
      </c>
      <c r="X750">
        <f>HYPERLINK("https://klasma.github.io/Logging_0883/tillsyn/A 42868-2025 tillsynsbegäran.docx", "A 42868-2025")</f>
        <v/>
      </c>
      <c r="Y750">
        <f>HYPERLINK("https://klasma.github.io/Logging_0883/tillsynsmail/A 42868-2025 tillsynsbegäran mail.docx", "A 42868-2025")</f>
        <v/>
      </c>
    </row>
    <row r="751" ht="15" customHeight="1">
      <c r="A751" t="inlineStr">
        <is>
          <t>A 14114-2025</t>
        </is>
      </c>
      <c r="B751" s="1" t="n">
        <v>45740.45964120371</v>
      </c>
      <c r="C751" s="1" t="n">
        <v>45991</v>
      </c>
      <c r="D751" t="inlineStr">
        <is>
          <t>KALMAR LÄN</t>
        </is>
      </c>
      <c r="E751" t="inlineStr">
        <is>
          <t>VÄSTERVIK</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56972-2025</t>
        </is>
      </c>
      <c r="B752" s="1" t="n">
        <v>45978.68155092592</v>
      </c>
      <c r="C752" s="1" t="n">
        <v>45991</v>
      </c>
      <c r="D752" t="inlineStr">
        <is>
          <t>KALMAR LÄN</t>
        </is>
      </c>
      <c r="E752" t="inlineStr">
        <is>
          <t>VÄSTERVIK</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56979-2025</t>
        </is>
      </c>
      <c r="B753" s="1" t="n">
        <v>45978.69274305556</v>
      </c>
      <c r="C753" s="1" t="n">
        <v>45991</v>
      </c>
      <c r="D753" t="inlineStr">
        <is>
          <t>KALMAR LÄN</t>
        </is>
      </c>
      <c r="E753" t="inlineStr">
        <is>
          <t>VÄSTERVIK</t>
        </is>
      </c>
      <c r="F753" t="inlineStr">
        <is>
          <t>Holmen skog AB</t>
        </is>
      </c>
      <c r="G753" t="n">
        <v>2.1</v>
      </c>
      <c r="H753" t="n">
        <v>0</v>
      </c>
      <c r="I753" t="n">
        <v>0</v>
      </c>
      <c r="J753" t="n">
        <v>0</v>
      </c>
      <c r="K753" t="n">
        <v>0</v>
      </c>
      <c r="L753" t="n">
        <v>0</v>
      </c>
      <c r="M753" t="n">
        <v>0</v>
      </c>
      <c r="N753" t="n">
        <v>0</v>
      </c>
      <c r="O753" t="n">
        <v>0</v>
      </c>
      <c r="P753" t="n">
        <v>0</v>
      </c>
      <c r="Q753" t="n">
        <v>0</v>
      </c>
      <c r="R753" s="2" t="inlineStr"/>
    </row>
    <row r="754" ht="15" customHeight="1">
      <c r="A754" t="inlineStr">
        <is>
          <t>A 57171-2025</t>
        </is>
      </c>
      <c r="B754" s="1" t="n">
        <v>45979.54754629629</v>
      </c>
      <c r="C754" s="1" t="n">
        <v>45991</v>
      </c>
      <c r="D754" t="inlineStr">
        <is>
          <t>KALMAR LÄN</t>
        </is>
      </c>
      <c r="E754" t="inlineStr">
        <is>
          <t>VÄSTERVIK</t>
        </is>
      </c>
      <c r="F754" t="inlineStr">
        <is>
          <t>Holmen skog AB</t>
        </is>
      </c>
      <c r="G754" t="n">
        <v>2.2</v>
      </c>
      <c r="H754" t="n">
        <v>0</v>
      </c>
      <c r="I754" t="n">
        <v>0</v>
      </c>
      <c r="J754" t="n">
        <v>0</v>
      </c>
      <c r="K754" t="n">
        <v>0</v>
      </c>
      <c r="L754" t="n">
        <v>0</v>
      </c>
      <c r="M754" t="n">
        <v>0</v>
      </c>
      <c r="N754" t="n">
        <v>0</v>
      </c>
      <c r="O754" t="n">
        <v>0</v>
      </c>
      <c r="P754" t="n">
        <v>0</v>
      </c>
      <c r="Q754" t="n">
        <v>0</v>
      </c>
      <c r="R754" s="2" t="inlineStr"/>
    </row>
    <row r="755" ht="15" customHeight="1">
      <c r="A755" t="inlineStr">
        <is>
          <t>A 17314-2023</t>
        </is>
      </c>
      <c r="B755" s="1" t="n">
        <v>45035</v>
      </c>
      <c r="C755" s="1" t="n">
        <v>45991</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56967-2025</t>
        </is>
      </c>
      <c r="B756" s="1" t="n">
        <v>45978.67582175926</v>
      </c>
      <c r="C756" s="1" t="n">
        <v>45991</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61649-2022</t>
        </is>
      </c>
      <c r="B757" s="1" t="n">
        <v>44916.90010416666</v>
      </c>
      <c r="C757" s="1" t="n">
        <v>45991</v>
      </c>
      <c r="D757" t="inlineStr">
        <is>
          <t>KALMAR LÄN</t>
        </is>
      </c>
      <c r="E757" t="inlineStr">
        <is>
          <t>VÄSTERVIK</t>
        </is>
      </c>
      <c r="F757" t="inlineStr">
        <is>
          <t>Holmen skog AB</t>
        </is>
      </c>
      <c r="G757" t="n">
        <v>0.7</v>
      </c>
      <c r="H757" t="n">
        <v>0</v>
      </c>
      <c r="I757" t="n">
        <v>0</v>
      </c>
      <c r="J757" t="n">
        <v>0</v>
      </c>
      <c r="K757" t="n">
        <v>0</v>
      </c>
      <c r="L757" t="n">
        <v>0</v>
      </c>
      <c r="M757" t="n">
        <v>0</v>
      </c>
      <c r="N757" t="n">
        <v>0</v>
      </c>
      <c r="O757" t="n">
        <v>0</v>
      </c>
      <c r="P757" t="n">
        <v>0</v>
      </c>
      <c r="Q757" t="n">
        <v>0</v>
      </c>
      <c r="R757" s="2" t="inlineStr"/>
    </row>
    <row r="758" ht="15" customHeight="1">
      <c r="A758" t="inlineStr">
        <is>
          <t>A 949-2024</t>
        </is>
      </c>
      <c r="B758" s="1" t="n">
        <v>45301</v>
      </c>
      <c r="C758" s="1" t="n">
        <v>45991</v>
      </c>
      <c r="D758" t="inlineStr">
        <is>
          <t>KALMAR LÄN</t>
        </is>
      </c>
      <c r="E758" t="inlineStr">
        <is>
          <t>VÄSTERVIK</t>
        </is>
      </c>
      <c r="G758" t="n">
        <v>2.3</v>
      </c>
      <c r="H758" t="n">
        <v>0</v>
      </c>
      <c r="I758" t="n">
        <v>0</v>
      </c>
      <c r="J758" t="n">
        <v>0</v>
      </c>
      <c r="K758" t="n">
        <v>0</v>
      </c>
      <c r="L758" t="n">
        <v>0</v>
      </c>
      <c r="M758" t="n">
        <v>0</v>
      </c>
      <c r="N758" t="n">
        <v>0</v>
      </c>
      <c r="O758" t="n">
        <v>0</v>
      </c>
      <c r="P758" t="n">
        <v>0</v>
      </c>
      <c r="Q758" t="n">
        <v>0</v>
      </c>
      <c r="R758" s="2" t="inlineStr"/>
    </row>
    <row r="759" ht="15" customHeight="1">
      <c r="A759" t="inlineStr">
        <is>
          <t>A 7360-2023</t>
        </is>
      </c>
      <c r="B759" s="1" t="n">
        <v>44971</v>
      </c>
      <c r="C759" s="1" t="n">
        <v>45991</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48887-2025</t>
        </is>
      </c>
      <c r="B760" s="1" t="n">
        <v>45937.46826388889</v>
      </c>
      <c r="C760" s="1" t="n">
        <v>45991</v>
      </c>
      <c r="D760" t="inlineStr">
        <is>
          <t>KALMAR LÄN</t>
        </is>
      </c>
      <c r="E760" t="inlineStr">
        <is>
          <t>VÄSTERVIK</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49004-2025</t>
        </is>
      </c>
      <c r="B761" s="1" t="n">
        <v>45937.59958333334</v>
      </c>
      <c r="C761" s="1" t="n">
        <v>45991</v>
      </c>
      <c r="D761" t="inlineStr">
        <is>
          <t>KALMAR LÄN</t>
        </is>
      </c>
      <c r="E761" t="inlineStr">
        <is>
          <t>VÄSTERVIK</t>
        </is>
      </c>
      <c r="F761" t="inlineStr">
        <is>
          <t>Holmen skog AB</t>
        </is>
      </c>
      <c r="G761" t="n">
        <v>4.8</v>
      </c>
      <c r="H761" t="n">
        <v>0</v>
      </c>
      <c r="I761" t="n">
        <v>0</v>
      </c>
      <c r="J761" t="n">
        <v>0</v>
      </c>
      <c r="K761" t="n">
        <v>0</v>
      </c>
      <c r="L761" t="n">
        <v>0</v>
      </c>
      <c r="M761" t="n">
        <v>0</v>
      </c>
      <c r="N761" t="n">
        <v>0</v>
      </c>
      <c r="O761" t="n">
        <v>0</v>
      </c>
      <c r="P761" t="n">
        <v>0</v>
      </c>
      <c r="Q761" t="n">
        <v>0</v>
      </c>
      <c r="R761" s="2" t="inlineStr"/>
    </row>
    <row r="762" ht="15" customHeight="1">
      <c r="A762" t="inlineStr">
        <is>
          <t>A 5079-2025</t>
        </is>
      </c>
      <c r="B762" s="1" t="n">
        <v>45691.50069444445</v>
      </c>
      <c r="C762" s="1" t="n">
        <v>45991</v>
      </c>
      <c r="D762" t="inlineStr">
        <is>
          <t>KALMAR LÄN</t>
        </is>
      </c>
      <c r="E762" t="inlineStr">
        <is>
          <t>VÄSTERVIK</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48873-2025</t>
        </is>
      </c>
      <c r="B763" s="1" t="n">
        <v>45937.45417824074</v>
      </c>
      <c r="C763" s="1" t="n">
        <v>45991</v>
      </c>
      <c r="D763" t="inlineStr">
        <is>
          <t>KALMAR LÄN</t>
        </is>
      </c>
      <c r="E763" t="inlineStr">
        <is>
          <t>VÄSTERVIK</t>
        </is>
      </c>
      <c r="F763" t="inlineStr">
        <is>
          <t>Sveaskog</t>
        </is>
      </c>
      <c r="G763" t="n">
        <v>2.7</v>
      </c>
      <c r="H763" t="n">
        <v>0</v>
      </c>
      <c r="I763" t="n">
        <v>0</v>
      </c>
      <c r="J763" t="n">
        <v>0</v>
      </c>
      <c r="K763" t="n">
        <v>0</v>
      </c>
      <c r="L763" t="n">
        <v>0</v>
      </c>
      <c r="M763" t="n">
        <v>0</v>
      </c>
      <c r="N763" t="n">
        <v>0</v>
      </c>
      <c r="O763" t="n">
        <v>0</v>
      </c>
      <c r="P763" t="n">
        <v>0</v>
      </c>
      <c r="Q763" t="n">
        <v>0</v>
      </c>
      <c r="R763" s="2" t="inlineStr"/>
    </row>
    <row r="764" ht="15" customHeight="1">
      <c r="A764" t="inlineStr">
        <is>
          <t>A 49409-2025</t>
        </is>
      </c>
      <c r="B764" s="1" t="n">
        <v>45938.678125</v>
      </c>
      <c r="C764" s="1" t="n">
        <v>45991</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49411-2025</t>
        </is>
      </c>
      <c r="B765" s="1" t="n">
        <v>45938.68115740741</v>
      </c>
      <c r="C765" s="1" t="n">
        <v>45991</v>
      </c>
      <c r="D765" t="inlineStr">
        <is>
          <t>KALMAR LÄN</t>
        </is>
      </c>
      <c r="E765" t="inlineStr">
        <is>
          <t>VÄSTERVIK</t>
        </is>
      </c>
      <c r="G765" t="n">
        <v>1.1</v>
      </c>
      <c r="H765" t="n">
        <v>0</v>
      </c>
      <c r="I765" t="n">
        <v>0</v>
      </c>
      <c r="J765" t="n">
        <v>0</v>
      </c>
      <c r="K765" t="n">
        <v>0</v>
      </c>
      <c r="L765" t="n">
        <v>0</v>
      </c>
      <c r="M765" t="n">
        <v>0</v>
      </c>
      <c r="N765" t="n">
        <v>0</v>
      </c>
      <c r="O765" t="n">
        <v>0</v>
      </c>
      <c r="P765" t="n">
        <v>0</v>
      </c>
      <c r="Q765" t="n">
        <v>0</v>
      </c>
      <c r="R765" s="2" t="inlineStr"/>
    </row>
    <row r="766" ht="15" customHeight="1">
      <c r="A766" t="inlineStr">
        <is>
          <t>A 49616-2025</t>
        </is>
      </c>
      <c r="B766" s="1" t="n">
        <v>45939.58503472222</v>
      </c>
      <c r="C766" s="1" t="n">
        <v>45991</v>
      </c>
      <c r="D766" t="inlineStr">
        <is>
          <t>KALMAR LÄN</t>
        </is>
      </c>
      <c r="E766" t="inlineStr">
        <is>
          <t>VÄSTERVIK</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59331-2023</t>
        </is>
      </c>
      <c r="B767" s="1" t="n">
        <v>45253</v>
      </c>
      <c r="C767" s="1" t="n">
        <v>45991</v>
      </c>
      <c r="D767" t="inlineStr">
        <is>
          <t>KALMAR LÄN</t>
        </is>
      </c>
      <c r="E767" t="inlineStr">
        <is>
          <t>VÄSTERVIK</t>
        </is>
      </c>
      <c r="G767" t="n">
        <v>3.9</v>
      </c>
      <c r="H767" t="n">
        <v>0</v>
      </c>
      <c r="I767" t="n">
        <v>0</v>
      </c>
      <c r="J767" t="n">
        <v>0</v>
      </c>
      <c r="K767" t="n">
        <v>0</v>
      </c>
      <c r="L767" t="n">
        <v>0</v>
      </c>
      <c r="M767" t="n">
        <v>0</v>
      </c>
      <c r="N767" t="n">
        <v>0</v>
      </c>
      <c r="O767" t="n">
        <v>0</v>
      </c>
      <c r="P767" t="n">
        <v>0</v>
      </c>
      <c r="Q767" t="n">
        <v>0</v>
      </c>
      <c r="R767" s="2" t="inlineStr"/>
    </row>
    <row r="768" ht="15" customHeight="1">
      <c r="A768" t="inlineStr">
        <is>
          <t>A 49525-2025</t>
        </is>
      </c>
      <c r="B768" s="1" t="n">
        <v>45939.4015625</v>
      </c>
      <c r="C768" s="1" t="n">
        <v>45991</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33969-2024</t>
        </is>
      </c>
      <c r="B769" s="1" t="n">
        <v>45523.49450231482</v>
      </c>
      <c r="C769" s="1" t="n">
        <v>45991</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13490-2022</t>
        </is>
      </c>
      <c r="B770" s="1" t="n">
        <v>44646</v>
      </c>
      <c r="C770" s="1" t="n">
        <v>45991</v>
      </c>
      <c r="D770" t="inlineStr">
        <is>
          <t>KALMAR LÄN</t>
        </is>
      </c>
      <c r="E770" t="inlineStr">
        <is>
          <t>VÄSTERVIK</t>
        </is>
      </c>
      <c r="G770" t="n">
        <v>2.4</v>
      </c>
      <c r="H770" t="n">
        <v>0</v>
      </c>
      <c r="I770" t="n">
        <v>0</v>
      </c>
      <c r="J770" t="n">
        <v>0</v>
      </c>
      <c r="K770" t="n">
        <v>0</v>
      </c>
      <c r="L770" t="n">
        <v>0</v>
      </c>
      <c r="M770" t="n">
        <v>0</v>
      </c>
      <c r="N770" t="n">
        <v>0</v>
      </c>
      <c r="O770" t="n">
        <v>0</v>
      </c>
      <c r="P770" t="n">
        <v>0</v>
      </c>
      <c r="Q770" t="n">
        <v>0</v>
      </c>
      <c r="R770" s="2" t="inlineStr"/>
    </row>
    <row r="771" ht="15" customHeight="1">
      <c r="A771" t="inlineStr">
        <is>
          <t>A 57452-2025</t>
        </is>
      </c>
      <c r="B771" s="1" t="n">
        <v>45980.50665509259</v>
      </c>
      <c r="C771" s="1" t="n">
        <v>45991</v>
      </c>
      <c r="D771" t="inlineStr">
        <is>
          <t>KALMAR LÄN</t>
        </is>
      </c>
      <c r="E771" t="inlineStr">
        <is>
          <t>VÄSTERVIK</t>
        </is>
      </c>
      <c r="G771" t="n">
        <v>1.2</v>
      </c>
      <c r="H771" t="n">
        <v>0</v>
      </c>
      <c r="I771" t="n">
        <v>0</v>
      </c>
      <c r="J771" t="n">
        <v>0</v>
      </c>
      <c r="K771" t="n">
        <v>0</v>
      </c>
      <c r="L771" t="n">
        <v>0</v>
      </c>
      <c r="M771" t="n">
        <v>0</v>
      </c>
      <c r="N771" t="n">
        <v>0</v>
      </c>
      <c r="O771" t="n">
        <v>0</v>
      </c>
      <c r="P771" t="n">
        <v>0</v>
      </c>
      <c r="Q771" t="n">
        <v>0</v>
      </c>
      <c r="R771" s="2" t="inlineStr"/>
    </row>
    <row r="772" ht="15" customHeight="1">
      <c r="A772" t="inlineStr">
        <is>
          <t>A 60478-2024</t>
        </is>
      </c>
      <c r="B772" s="1" t="n">
        <v>45643</v>
      </c>
      <c r="C772" s="1" t="n">
        <v>45991</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11198-2024</t>
        </is>
      </c>
      <c r="B773" s="1" t="n">
        <v>45371</v>
      </c>
      <c r="C773" s="1" t="n">
        <v>45991</v>
      </c>
      <c r="D773" t="inlineStr">
        <is>
          <t>KALMAR LÄN</t>
        </is>
      </c>
      <c r="E773" t="inlineStr">
        <is>
          <t>VÄSTERVIK</t>
        </is>
      </c>
      <c r="G773" t="n">
        <v>4.1</v>
      </c>
      <c r="H773" t="n">
        <v>0</v>
      </c>
      <c r="I773" t="n">
        <v>0</v>
      </c>
      <c r="J773" t="n">
        <v>0</v>
      </c>
      <c r="K773" t="n">
        <v>0</v>
      </c>
      <c r="L773" t="n">
        <v>0</v>
      </c>
      <c r="M773" t="n">
        <v>0</v>
      </c>
      <c r="N773" t="n">
        <v>0</v>
      </c>
      <c r="O773" t="n">
        <v>0</v>
      </c>
      <c r="P773" t="n">
        <v>0</v>
      </c>
      <c r="Q773" t="n">
        <v>0</v>
      </c>
      <c r="R773" s="2" t="inlineStr"/>
    </row>
    <row r="774" ht="15" customHeight="1">
      <c r="A774" t="inlineStr">
        <is>
          <t>A 46562-2022</t>
        </is>
      </c>
      <c r="B774" s="1" t="n">
        <v>44848</v>
      </c>
      <c r="C774" s="1" t="n">
        <v>45991</v>
      </c>
      <c r="D774" t="inlineStr">
        <is>
          <t>KALMAR LÄN</t>
        </is>
      </c>
      <c r="E774" t="inlineStr">
        <is>
          <t>VÄSTERVIK</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46596-2022</t>
        </is>
      </c>
      <c r="B775" s="1" t="n">
        <v>44848.8315625</v>
      </c>
      <c r="C775" s="1" t="n">
        <v>45991</v>
      </c>
      <c r="D775" t="inlineStr">
        <is>
          <t>KALMAR LÄN</t>
        </is>
      </c>
      <c r="E775" t="inlineStr">
        <is>
          <t>VÄSTERVIK</t>
        </is>
      </c>
      <c r="G775" t="n">
        <v>3.9</v>
      </c>
      <c r="H775" t="n">
        <v>0</v>
      </c>
      <c r="I775" t="n">
        <v>0</v>
      </c>
      <c r="J775" t="n">
        <v>0</v>
      </c>
      <c r="K775" t="n">
        <v>0</v>
      </c>
      <c r="L775" t="n">
        <v>0</v>
      </c>
      <c r="M775" t="n">
        <v>0</v>
      </c>
      <c r="N775" t="n">
        <v>0</v>
      </c>
      <c r="O775" t="n">
        <v>0</v>
      </c>
      <c r="P775" t="n">
        <v>0</v>
      </c>
      <c r="Q775" t="n">
        <v>0</v>
      </c>
      <c r="R775" s="2" t="inlineStr"/>
    </row>
    <row r="776" ht="15" customHeight="1">
      <c r="A776" t="inlineStr">
        <is>
          <t>A 56046-2023</t>
        </is>
      </c>
      <c r="B776" s="1" t="n">
        <v>45240.45217592592</v>
      </c>
      <c r="C776" s="1" t="n">
        <v>45991</v>
      </c>
      <c r="D776" t="inlineStr">
        <is>
          <t>KALMAR LÄN</t>
        </is>
      </c>
      <c r="E776" t="inlineStr">
        <is>
          <t>VÄSTERVIK</t>
        </is>
      </c>
      <c r="G776" t="n">
        <v>0.9</v>
      </c>
      <c r="H776" t="n">
        <v>0</v>
      </c>
      <c r="I776" t="n">
        <v>0</v>
      </c>
      <c r="J776" t="n">
        <v>0</v>
      </c>
      <c r="K776" t="n">
        <v>0</v>
      </c>
      <c r="L776" t="n">
        <v>0</v>
      </c>
      <c r="M776" t="n">
        <v>0</v>
      </c>
      <c r="N776" t="n">
        <v>0</v>
      </c>
      <c r="O776" t="n">
        <v>0</v>
      </c>
      <c r="P776" t="n">
        <v>0</v>
      </c>
      <c r="Q776" t="n">
        <v>0</v>
      </c>
      <c r="R776" s="2" t="inlineStr"/>
    </row>
    <row r="777" ht="15" customHeight="1">
      <c r="A777" t="inlineStr">
        <is>
          <t>A 17200-2021</t>
        </is>
      </c>
      <c r="B777" s="1" t="n">
        <v>44298.47847222222</v>
      </c>
      <c r="C777" s="1" t="n">
        <v>45991</v>
      </c>
      <c r="D777" t="inlineStr">
        <is>
          <t>KALMAR LÄN</t>
        </is>
      </c>
      <c r="E777" t="inlineStr">
        <is>
          <t>VÄSTERVIK</t>
        </is>
      </c>
      <c r="G777" t="n">
        <v>3.4</v>
      </c>
      <c r="H777" t="n">
        <v>0</v>
      </c>
      <c r="I777" t="n">
        <v>0</v>
      </c>
      <c r="J777" t="n">
        <v>0</v>
      </c>
      <c r="K777" t="n">
        <v>0</v>
      </c>
      <c r="L777" t="n">
        <v>0</v>
      </c>
      <c r="M777" t="n">
        <v>0</v>
      </c>
      <c r="N777" t="n">
        <v>0</v>
      </c>
      <c r="O777" t="n">
        <v>0</v>
      </c>
      <c r="P777" t="n">
        <v>0</v>
      </c>
      <c r="Q777" t="n">
        <v>0</v>
      </c>
      <c r="R777" s="2" t="inlineStr"/>
    </row>
    <row r="778" ht="15" customHeight="1">
      <c r="A778" t="inlineStr">
        <is>
          <t>A 49648-2025</t>
        </is>
      </c>
      <c r="B778" s="1" t="n">
        <v>45939.62111111111</v>
      </c>
      <c r="C778" s="1" t="n">
        <v>45991</v>
      </c>
      <c r="D778" t="inlineStr">
        <is>
          <t>KALMAR LÄN</t>
        </is>
      </c>
      <c r="E778" t="inlineStr">
        <is>
          <t>VÄSTERVIK</t>
        </is>
      </c>
      <c r="F778" t="inlineStr">
        <is>
          <t>Holmen skog AB</t>
        </is>
      </c>
      <c r="G778" t="n">
        <v>7.2</v>
      </c>
      <c r="H778" t="n">
        <v>0</v>
      </c>
      <c r="I778" t="n">
        <v>0</v>
      </c>
      <c r="J778" t="n">
        <v>0</v>
      </c>
      <c r="K778" t="n">
        <v>0</v>
      </c>
      <c r="L778" t="n">
        <v>0</v>
      </c>
      <c r="M778" t="n">
        <v>0</v>
      </c>
      <c r="N778" t="n">
        <v>0</v>
      </c>
      <c r="O778" t="n">
        <v>0</v>
      </c>
      <c r="P778" t="n">
        <v>0</v>
      </c>
      <c r="Q778" t="n">
        <v>0</v>
      </c>
      <c r="R778" s="2" t="inlineStr"/>
    </row>
    <row r="779" ht="15" customHeight="1">
      <c r="A779" t="inlineStr">
        <is>
          <t>A 1096-2024</t>
        </is>
      </c>
      <c r="B779" s="1" t="n">
        <v>45302</v>
      </c>
      <c r="C779" s="1" t="n">
        <v>45991</v>
      </c>
      <c r="D779" t="inlineStr">
        <is>
          <t>KALMAR LÄN</t>
        </is>
      </c>
      <c r="E779" t="inlineStr">
        <is>
          <t>VÄSTERVIK</t>
        </is>
      </c>
      <c r="G779" t="n">
        <v>2.6</v>
      </c>
      <c r="H779" t="n">
        <v>0</v>
      </c>
      <c r="I779" t="n">
        <v>0</v>
      </c>
      <c r="J779" t="n">
        <v>0</v>
      </c>
      <c r="K779" t="n">
        <v>0</v>
      </c>
      <c r="L779" t="n">
        <v>0</v>
      </c>
      <c r="M779" t="n">
        <v>0</v>
      </c>
      <c r="N779" t="n">
        <v>0</v>
      </c>
      <c r="O779" t="n">
        <v>0</v>
      </c>
      <c r="P779" t="n">
        <v>0</v>
      </c>
      <c r="Q779" t="n">
        <v>0</v>
      </c>
      <c r="R779" s="2" t="inlineStr"/>
    </row>
    <row r="780" ht="15" customHeight="1">
      <c r="A780" t="inlineStr">
        <is>
          <t>A 61450-2023</t>
        </is>
      </c>
      <c r="B780" s="1" t="n">
        <v>45264.8162037037</v>
      </c>
      <c r="C780" s="1" t="n">
        <v>45991</v>
      </c>
      <c r="D780" t="inlineStr">
        <is>
          <t>KALMAR LÄN</t>
        </is>
      </c>
      <c r="E780" t="inlineStr">
        <is>
          <t>VÄSTERVIK</t>
        </is>
      </c>
      <c r="F780" t="inlineStr">
        <is>
          <t>Sveaskog</t>
        </is>
      </c>
      <c r="G780" t="n">
        <v>2.5</v>
      </c>
      <c r="H780" t="n">
        <v>0</v>
      </c>
      <c r="I780" t="n">
        <v>0</v>
      </c>
      <c r="J780" t="n">
        <v>0</v>
      </c>
      <c r="K780" t="n">
        <v>0</v>
      </c>
      <c r="L780" t="n">
        <v>0</v>
      </c>
      <c r="M780" t="n">
        <v>0</v>
      </c>
      <c r="N780" t="n">
        <v>0</v>
      </c>
      <c r="O780" t="n">
        <v>0</v>
      </c>
      <c r="P780" t="n">
        <v>0</v>
      </c>
      <c r="Q780" t="n">
        <v>0</v>
      </c>
      <c r="R780" s="2" t="inlineStr"/>
    </row>
    <row r="781" ht="15" customHeight="1">
      <c r="A781" t="inlineStr">
        <is>
          <t>A 36906-2024</t>
        </is>
      </c>
      <c r="B781" s="1" t="n">
        <v>45538</v>
      </c>
      <c r="C781" s="1" t="n">
        <v>45991</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57451-2025</t>
        </is>
      </c>
      <c r="B782" s="1" t="n">
        <v>45980.50101851852</v>
      </c>
      <c r="C782" s="1" t="n">
        <v>45991</v>
      </c>
      <c r="D782" t="inlineStr">
        <is>
          <t>KALMAR LÄN</t>
        </is>
      </c>
      <c r="E782" t="inlineStr">
        <is>
          <t>VÄSTERVIK</t>
        </is>
      </c>
      <c r="G782" t="n">
        <v>2.3</v>
      </c>
      <c r="H782" t="n">
        <v>0</v>
      </c>
      <c r="I782" t="n">
        <v>0</v>
      </c>
      <c r="J782" t="n">
        <v>0</v>
      </c>
      <c r="K782" t="n">
        <v>0</v>
      </c>
      <c r="L782" t="n">
        <v>0</v>
      </c>
      <c r="M782" t="n">
        <v>0</v>
      </c>
      <c r="N782" t="n">
        <v>0</v>
      </c>
      <c r="O782" t="n">
        <v>0</v>
      </c>
      <c r="P782" t="n">
        <v>0</v>
      </c>
      <c r="Q782" t="n">
        <v>0</v>
      </c>
      <c r="R782" s="2" t="inlineStr"/>
    </row>
    <row r="783" ht="15" customHeight="1">
      <c r="A783" t="inlineStr">
        <is>
          <t>A 8513-2023</t>
        </is>
      </c>
      <c r="B783" s="1" t="n">
        <v>44977.56759259259</v>
      </c>
      <c r="C783" s="1" t="n">
        <v>45991</v>
      </c>
      <c r="D783" t="inlineStr">
        <is>
          <t>KALMAR LÄN</t>
        </is>
      </c>
      <c r="E783" t="inlineStr">
        <is>
          <t>VÄSTERVIK</t>
        </is>
      </c>
      <c r="G783" t="n">
        <v>2</v>
      </c>
      <c r="H783" t="n">
        <v>0</v>
      </c>
      <c r="I783" t="n">
        <v>0</v>
      </c>
      <c r="J783" t="n">
        <v>0</v>
      </c>
      <c r="K783" t="n">
        <v>0</v>
      </c>
      <c r="L783" t="n">
        <v>0</v>
      </c>
      <c r="M783" t="n">
        <v>0</v>
      </c>
      <c r="N783" t="n">
        <v>0</v>
      </c>
      <c r="O783" t="n">
        <v>0</v>
      </c>
      <c r="P783" t="n">
        <v>0</v>
      </c>
      <c r="Q783" t="n">
        <v>0</v>
      </c>
      <c r="R783" s="2" t="inlineStr"/>
    </row>
    <row r="784" ht="15" customHeight="1">
      <c r="A784" t="inlineStr">
        <is>
          <t>A 49539-2025</t>
        </is>
      </c>
      <c r="B784" s="1" t="n">
        <v>45939.42453703703</v>
      </c>
      <c r="C784" s="1" t="n">
        <v>45991</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49542-2025</t>
        </is>
      </c>
      <c r="B785" s="1" t="n">
        <v>45939.4284837963</v>
      </c>
      <c r="C785" s="1" t="n">
        <v>45991</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48881-2025</t>
        </is>
      </c>
      <c r="B786" s="1" t="n">
        <v>45937.46157407408</v>
      </c>
      <c r="C786" s="1" t="n">
        <v>45991</v>
      </c>
      <c r="D786" t="inlineStr">
        <is>
          <t>KALMAR LÄN</t>
        </is>
      </c>
      <c r="E786" t="inlineStr">
        <is>
          <t>VÄSTERVIK</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19551-2023</t>
        </is>
      </c>
      <c r="B787" s="1" t="n">
        <v>45049</v>
      </c>
      <c r="C787" s="1" t="n">
        <v>45991</v>
      </c>
      <c r="D787" t="inlineStr">
        <is>
          <t>KALMAR LÄN</t>
        </is>
      </c>
      <c r="E787" t="inlineStr">
        <is>
          <t>VÄSTERVIK</t>
        </is>
      </c>
      <c r="G787" t="n">
        <v>3.2</v>
      </c>
      <c r="H787" t="n">
        <v>0</v>
      </c>
      <c r="I787" t="n">
        <v>0</v>
      </c>
      <c r="J787" t="n">
        <v>0</v>
      </c>
      <c r="K787" t="n">
        <v>0</v>
      </c>
      <c r="L787" t="n">
        <v>0</v>
      </c>
      <c r="M787" t="n">
        <v>0</v>
      </c>
      <c r="N787" t="n">
        <v>0</v>
      </c>
      <c r="O787" t="n">
        <v>0</v>
      </c>
      <c r="P787" t="n">
        <v>0</v>
      </c>
      <c r="Q787" t="n">
        <v>0</v>
      </c>
      <c r="R787" s="2" t="inlineStr"/>
    </row>
    <row r="788" ht="15" customHeight="1">
      <c r="A788" t="inlineStr">
        <is>
          <t>A 9042-2023</t>
        </is>
      </c>
      <c r="B788" s="1" t="n">
        <v>44979</v>
      </c>
      <c r="C788" s="1" t="n">
        <v>45991</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48753-2025</t>
        </is>
      </c>
      <c r="B789" s="1" t="n">
        <v>45936</v>
      </c>
      <c r="C789" s="1" t="n">
        <v>45991</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c r="U789">
        <f>HYPERLINK("https://klasma.github.io/Logging_0883/knärot/A 48753-2025 karta knärot.png", "A 48753-2025")</f>
        <v/>
      </c>
      <c r="V789">
        <f>HYPERLINK("https://klasma.github.io/Logging_0883/klagomål/A 48753-2025 FSC-klagomål.docx", "A 48753-2025")</f>
        <v/>
      </c>
      <c r="W789">
        <f>HYPERLINK("https://klasma.github.io/Logging_0883/klagomålsmail/A 48753-2025 FSC-klagomål mail.docx", "A 48753-2025")</f>
        <v/>
      </c>
      <c r="X789">
        <f>HYPERLINK("https://klasma.github.io/Logging_0883/tillsyn/A 48753-2025 tillsynsbegäran.docx", "A 48753-2025")</f>
        <v/>
      </c>
      <c r="Y789">
        <f>HYPERLINK("https://klasma.github.io/Logging_0883/tillsynsmail/A 48753-2025 tillsynsbegäran mail.docx", "A 48753-2025")</f>
        <v/>
      </c>
    </row>
    <row r="790" ht="15" customHeight="1">
      <c r="A790" t="inlineStr">
        <is>
          <t>A 51883-2021</t>
        </is>
      </c>
      <c r="B790" s="1" t="n">
        <v>44462.80449074074</v>
      </c>
      <c r="C790" s="1" t="n">
        <v>45991</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51884-2021</t>
        </is>
      </c>
      <c r="B791" s="1" t="n">
        <v>44462.806875</v>
      </c>
      <c r="C791" s="1" t="n">
        <v>45991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55489-2025</t>
        </is>
      </c>
      <c r="B792" s="1" t="n">
        <v>45971</v>
      </c>
      <c r="C792" s="1" t="n">
        <v>45991</v>
      </c>
      <c r="D792" t="inlineStr">
        <is>
          <t>KALMAR LÄN</t>
        </is>
      </c>
      <c r="E792" t="inlineStr">
        <is>
          <t>VÄSTERVIK</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58378-2025</t>
        </is>
      </c>
      <c r="B793" s="1" t="n">
        <v>45985.53541666667</v>
      </c>
      <c r="C793" s="1" t="n">
        <v>45991</v>
      </c>
      <c r="D793" t="inlineStr">
        <is>
          <t>KALMAR LÄN</t>
        </is>
      </c>
      <c r="E793" t="inlineStr">
        <is>
          <t>VÄSTERVIK</t>
        </is>
      </c>
      <c r="G793" t="n">
        <v>4.1</v>
      </c>
      <c r="H793" t="n">
        <v>0</v>
      </c>
      <c r="I793" t="n">
        <v>0</v>
      </c>
      <c r="J793" t="n">
        <v>0</v>
      </c>
      <c r="K793" t="n">
        <v>0</v>
      </c>
      <c r="L793" t="n">
        <v>0</v>
      </c>
      <c r="M793" t="n">
        <v>0</v>
      </c>
      <c r="N793" t="n">
        <v>0</v>
      </c>
      <c r="O793" t="n">
        <v>0</v>
      </c>
      <c r="P793" t="n">
        <v>0</v>
      </c>
      <c r="Q793" t="n">
        <v>0</v>
      </c>
      <c r="R793" s="2" t="inlineStr"/>
    </row>
    <row r="794" ht="15" customHeight="1">
      <c r="A794" t="inlineStr">
        <is>
          <t>A 59202-2022</t>
        </is>
      </c>
      <c r="B794" s="1" t="n">
        <v>44904</v>
      </c>
      <c r="C794" s="1" t="n">
        <v>45991</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58170-2025</t>
        </is>
      </c>
      <c r="B795" s="1" t="n">
        <v>45982</v>
      </c>
      <c r="C795" s="1" t="n">
        <v>45991</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58343-2025</t>
        </is>
      </c>
      <c r="B796" s="1" t="n">
        <v>45985.49952546296</v>
      </c>
      <c r="C796" s="1" t="n">
        <v>45991</v>
      </c>
      <c r="D796" t="inlineStr">
        <is>
          <t>KALMAR LÄN</t>
        </is>
      </c>
      <c r="E796" t="inlineStr">
        <is>
          <t>VÄSTERVIK</t>
        </is>
      </c>
      <c r="G796" t="n">
        <v>5.2</v>
      </c>
      <c r="H796" t="n">
        <v>0</v>
      </c>
      <c r="I796" t="n">
        <v>0</v>
      </c>
      <c r="J796" t="n">
        <v>0</v>
      </c>
      <c r="K796" t="n">
        <v>0</v>
      </c>
      <c r="L796" t="n">
        <v>0</v>
      </c>
      <c r="M796" t="n">
        <v>0</v>
      </c>
      <c r="N796" t="n">
        <v>0</v>
      </c>
      <c r="O796" t="n">
        <v>0</v>
      </c>
      <c r="P796" t="n">
        <v>0</v>
      </c>
      <c r="Q796" t="n">
        <v>0</v>
      </c>
      <c r="R796" s="2" t="inlineStr"/>
    </row>
    <row r="797" ht="15" customHeight="1">
      <c r="A797" t="inlineStr">
        <is>
          <t>A 58348-2025</t>
        </is>
      </c>
      <c r="B797" s="1" t="n">
        <v>45985.50482638889</v>
      </c>
      <c r="C797" s="1" t="n">
        <v>45991</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14105-2025</t>
        </is>
      </c>
      <c r="B798" s="1" t="n">
        <v>45740.45425925926</v>
      </c>
      <c r="C798" s="1" t="n">
        <v>45991</v>
      </c>
      <c r="D798" t="inlineStr">
        <is>
          <t>KALMAR LÄN</t>
        </is>
      </c>
      <c r="E798" t="inlineStr">
        <is>
          <t>VÄSTERVIK</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14109-2025</t>
        </is>
      </c>
      <c r="B799" s="1" t="n">
        <v>45740.45748842593</v>
      </c>
      <c r="C799" s="1" t="n">
        <v>45991</v>
      </c>
      <c r="D799" t="inlineStr">
        <is>
          <t>KALMAR LÄN</t>
        </is>
      </c>
      <c r="E799" t="inlineStr">
        <is>
          <t>VÄSTERVIK</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58118-2025</t>
        </is>
      </c>
      <c r="B800" s="1" t="n">
        <v>45982.60695601852</v>
      </c>
      <c r="C800" s="1" t="n">
        <v>45991</v>
      </c>
      <c r="D800" t="inlineStr">
        <is>
          <t>KALMAR LÄN</t>
        </is>
      </c>
      <c r="E800" t="inlineStr">
        <is>
          <t>VÄSTERVIK</t>
        </is>
      </c>
      <c r="F800" t="inlineStr">
        <is>
          <t>Holmen skog AB</t>
        </is>
      </c>
      <c r="G800" t="n">
        <v>6.7</v>
      </c>
      <c r="H800" t="n">
        <v>0</v>
      </c>
      <c r="I800" t="n">
        <v>0</v>
      </c>
      <c r="J800" t="n">
        <v>0</v>
      </c>
      <c r="K800" t="n">
        <v>0</v>
      </c>
      <c r="L800" t="n">
        <v>0</v>
      </c>
      <c r="M800" t="n">
        <v>0</v>
      </c>
      <c r="N800" t="n">
        <v>0</v>
      </c>
      <c r="O800" t="n">
        <v>0</v>
      </c>
      <c r="P800" t="n">
        <v>0</v>
      </c>
      <c r="Q800" t="n">
        <v>0</v>
      </c>
      <c r="R800" s="2" t="inlineStr"/>
    </row>
    <row r="801" ht="15" customHeight="1">
      <c r="A801" t="inlineStr">
        <is>
          <t>A 58096-2025</t>
        </is>
      </c>
      <c r="B801" s="1" t="n">
        <v>45982.5784375</v>
      </c>
      <c r="C801" s="1" t="n">
        <v>45991</v>
      </c>
      <c r="D801" t="inlineStr">
        <is>
          <t>KALMAR LÄN</t>
        </is>
      </c>
      <c r="E801" t="inlineStr">
        <is>
          <t>VÄSTERVIK</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58221-2025</t>
        </is>
      </c>
      <c r="B802" s="1" t="n">
        <v>45985.36417824074</v>
      </c>
      <c r="C802" s="1" t="n">
        <v>45991</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58349-2025</t>
        </is>
      </c>
      <c r="B803" s="1" t="n">
        <v>45985.50574074074</v>
      </c>
      <c r="C803" s="1" t="n">
        <v>45991</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58377-2025</t>
        </is>
      </c>
      <c r="B804" s="1" t="n">
        <v>45985.53223379629</v>
      </c>
      <c r="C804" s="1" t="n">
        <v>45991</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36400-2024</t>
        </is>
      </c>
      <c r="B805" s="1" t="n">
        <v>45535.67180555555</v>
      </c>
      <c r="C805" s="1" t="n">
        <v>45991</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2866-2025</t>
        </is>
      </c>
      <c r="B806" s="1" t="n">
        <v>45677.67711805556</v>
      </c>
      <c r="C806" s="1" t="n">
        <v>45991</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12386-2025</t>
        </is>
      </c>
      <c r="B807" s="1" t="n">
        <v>45730</v>
      </c>
      <c r="C807" s="1" t="n">
        <v>45991</v>
      </c>
      <c r="D807" t="inlineStr">
        <is>
          <t>KALMAR LÄN</t>
        </is>
      </c>
      <c r="E807" t="inlineStr">
        <is>
          <t>VÄSTERVIK</t>
        </is>
      </c>
      <c r="G807" t="n">
        <v>4.4</v>
      </c>
      <c r="H807" t="n">
        <v>0</v>
      </c>
      <c r="I807" t="n">
        <v>0</v>
      </c>
      <c r="J807" t="n">
        <v>0</v>
      </c>
      <c r="K807" t="n">
        <v>0</v>
      </c>
      <c r="L807" t="n">
        <v>0</v>
      </c>
      <c r="M807" t="n">
        <v>0</v>
      </c>
      <c r="N807" t="n">
        <v>0</v>
      </c>
      <c r="O807" t="n">
        <v>0</v>
      </c>
      <c r="P807" t="n">
        <v>0</v>
      </c>
      <c r="Q807" t="n">
        <v>0</v>
      </c>
      <c r="R807" s="2" t="inlineStr"/>
    </row>
    <row r="808" ht="15" customHeight="1">
      <c r="A808" t="inlineStr">
        <is>
          <t>A 58338-2025</t>
        </is>
      </c>
      <c r="B808" s="1" t="n">
        <v>45985.48965277777</v>
      </c>
      <c r="C808" s="1" t="n">
        <v>45991</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5234-2024</t>
        </is>
      </c>
      <c r="B809" s="1" t="n">
        <v>45330.80729166666</v>
      </c>
      <c r="C809" s="1" t="n">
        <v>45991</v>
      </c>
      <c r="D809" t="inlineStr">
        <is>
          <t>KALMAR LÄN</t>
        </is>
      </c>
      <c r="E809" t="inlineStr">
        <is>
          <t>VÄSTERVIK</t>
        </is>
      </c>
      <c r="G809" t="n">
        <v>1.3</v>
      </c>
      <c r="H809" t="n">
        <v>0</v>
      </c>
      <c r="I809" t="n">
        <v>0</v>
      </c>
      <c r="J809" t="n">
        <v>0</v>
      </c>
      <c r="K809" t="n">
        <v>0</v>
      </c>
      <c r="L809" t="n">
        <v>0</v>
      </c>
      <c r="M809" t="n">
        <v>0</v>
      </c>
      <c r="N809" t="n">
        <v>0</v>
      </c>
      <c r="O809" t="n">
        <v>0</v>
      </c>
      <c r="P809" t="n">
        <v>0</v>
      </c>
      <c r="Q809" t="n">
        <v>0</v>
      </c>
      <c r="R809" s="2" t="inlineStr"/>
    </row>
    <row r="810" ht="15" customHeight="1">
      <c r="A810" t="inlineStr">
        <is>
          <t>A 48446-2024</t>
        </is>
      </c>
      <c r="B810" s="1" t="n">
        <v>45590.69163194444</v>
      </c>
      <c r="C810" s="1" t="n">
        <v>45991</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38174-2023</t>
        </is>
      </c>
      <c r="B811" s="1" t="n">
        <v>45161</v>
      </c>
      <c r="C811" s="1" t="n">
        <v>45991</v>
      </c>
      <c r="D811" t="inlineStr">
        <is>
          <t>KALMAR LÄN</t>
        </is>
      </c>
      <c r="E811" t="inlineStr">
        <is>
          <t>VÄSTERVIK</t>
        </is>
      </c>
      <c r="G811" t="n">
        <v>3.4</v>
      </c>
      <c r="H811" t="n">
        <v>0</v>
      </c>
      <c r="I811" t="n">
        <v>0</v>
      </c>
      <c r="J811" t="n">
        <v>0</v>
      </c>
      <c r="K811" t="n">
        <v>0</v>
      </c>
      <c r="L811" t="n">
        <v>0</v>
      </c>
      <c r="M811" t="n">
        <v>0</v>
      </c>
      <c r="N811" t="n">
        <v>0</v>
      </c>
      <c r="O811" t="n">
        <v>0</v>
      </c>
      <c r="P811" t="n">
        <v>0</v>
      </c>
      <c r="Q811" t="n">
        <v>0</v>
      </c>
      <c r="R811" s="2" t="inlineStr"/>
    </row>
    <row r="812" ht="15" customHeight="1">
      <c r="A812" t="inlineStr">
        <is>
          <t>A 17214-2024</t>
        </is>
      </c>
      <c r="B812" s="1" t="n">
        <v>45414</v>
      </c>
      <c r="C812" s="1" t="n">
        <v>45991</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2543-2024</t>
        </is>
      </c>
      <c r="B813" s="1" t="n">
        <v>45313</v>
      </c>
      <c r="C813" s="1" t="n">
        <v>45991</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60685-2024</t>
        </is>
      </c>
      <c r="B814" s="1" t="n">
        <v>45644.46804398148</v>
      </c>
      <c r="C814" s="1" t="n">
        <v>45991</v>
      </c>
      <c r="D814" t="inlineStr">
        <is>
          <t>KALMAR LÄN</t>
        </is>
      </c>
      <c r="E814" t="inlineStr">
        <is>
          <t>VÄSTERVIK</t>
        </is>
      </c>
      <c r="F814" t="inlineStr">
        <is>
          <t>Holmen skog AB</t>
        </is>
      </c>
      <c r="G814" t="n">
        <v>1</v>
      </c>
      <c r="H814" t="n">
        <v>0</v>
      </c>
      <c r="I814" t="n">
        <v>0</v>
      </c>
      <c r="J814" t="n">
        <v>0</v>
      </c>
      <c r="K814" t="n">
        <v>0</v>
      </c>
      <c r="L814" t="n">
        <v>0</v>
      </c>
      <c r="M814" t="n">
        <v>0</v>
      </c>
      <c r="N814" t="n">
        <v>0</v>
      </c>
      <c r="O814" t="n">
        <v>0</v>
      </c>
      <c r="P814" t="n">
        <v>0</v>
      </c>
      <c r="Q814" t="n">
        <v>0</v>
      </c>
      <c r="R814" s="2" t="inlineStr"/>
    </row>
    <row r="815" ht="15" customHeight="1">
      <c r="A815" t="inlineStr">
        <is>
          <t>A 9220-2023</t>
        </is>
      </c>
      <c r="B815" s="1" t="n">
        <v>44980.52182870371</v>
      </c>
      <c r="C815" s="1" t="n">
        <v>45991</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57977-2025</t>
        </is>
      </c>
      <c r="B816" s="1" t="n">
        <v>45982.39497685185</v>
      </c>
      <c r="C816" s="1" t="n">
        <v>45991</v>
      </c>
      <c r="D816" t="inlineStr">
        <is>
          <t>KALMAR LÄN</t>
        </is>
      </c>
      <c r="E816" t="inlineStr">
        <is>
          <t>VÄSTERVIK</t>
        </is>
      </c>
      <c r="F816" t="inlineStr">
        <is>
          <t>Holmen skog AB</t>
        </is>
      </c>
      <c r="G816" t="n">
        <v>6.5</v>
      </c>
      <c r="H816" t="n">
        <v>0</v>
      </c>
      <c r="I816" t="n">
        <v>0</v>
      </c>
      <c r="J816" t="n">
        <v>0</v>
      </c>
      <c r="K816" t="n">
        <v>0</v>
      </c>
      <c r="L816" t="n">
        <v>0</v>
      </c>
      <c r="M816" t="n">
        <v>0</v>
      </c>
      <c r="N816" t="n">
        <v>0</v>
      </c>
      <c r="O816" t="n">
        <v>0</v>
      </c>
      <c r="P816" t="n">
        <v>0</v>
      </c>
      <c r="Q816" t="n">
        <v>0</v>
      </c>
      <c r="R816" s="2" t="inlineStr"/>
    </row>
    <row r="817" ht="15" customHeight="1">
      <c r="A817" t="inlineStr">
        <is>
          <t>A 52155-2021</t>
        </is>
      </c>
      <c r="B817" s="1" t="n">
        <v>44463</v>
      </c>
      <c r="C817" s="1" t="n">
        <v>45991</v>
      </c>
      <c r="D817" t="inlineStr">
        <is>
          <t>KALMAR LÄN</t>
        </is>
      </c>
      <c r="E817" t="inlineStr">
        <is>
          <t>VÄSTERVIK</t>
        </is>
      </c>
      <c r="G817" t="n">
        <v>0.7</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45991</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58370-2025</t>
        </is>
      </c>
      <c r="B819" s="1" t="n">
        <v>45985.53002314815</v>
      </c>
      <c r="C819" s="1" t="n">
        <v>45991</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58360-2025</t>
        </is>
      </c>
      <c r="B820" s="1" t="n">
        <v>45985.51743055556</v>
      </c>
      <c r="C820" s="1" t="n">
        <v>45991</v>
      </c>
      <c r="D820" t="inlineStr">
        <is>
          <t>KALMAR LÄN</t>
        </is>
      </c>
      <c r="E820" t="inlineStr">
        <is>
          <t>VÄSTERVIK</t>
        </is>
      </c>
      <c r="G820" t="n">
        <v>0.5</v>
      </c>
      <c r="H820" t="n">
        <v>0</v>
      </c>
      <c r="I820" t="n">
        <v>0</v>
      </c>
      <c r="J820" t="n">
        <v>0</v>
      </c>
      <c r="K820" t="n">
        <v>0</v>
      </c>
      <c r="L820" t="n">
        <v>0</v>
      </c>
      <c r="M820" t="n">
        <v>0</v>
      </c>
      <c r="N820" t="n">
        <v>0</v>
      </c>
      <c r="O820" t="n">
        <v>0</v>
      </c>
      <c r="P820" t="n">
        <v>0</v>
      </c>
      <c r="Q820" t="n">
        <v>0</v>
      </c>
      <c r="R820" s="2" t="inlineStr"/>
    </row>
    <row r="821" ht="15" customHeight="1">
      <c r="A821" t="inlineStr">
        <is>
          <t>A 50651-2025</t>
        </is>
      </c>
      <c r="B821" s="1" t="n">
        <v>45945.66497685185</v>
      </c>
      <c r="C821" s="1" t="n">
        <v>45991</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39983-2024</t>
        </is>
      </c>
      <c r="B822" s="1" t="n">
        <v>45553.61674768518</v>
      </c>
      <c r="C822" s="1" t="n">
        <v>45991</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58771-2025</t>
        </is>
      </c>
      <c r="B823" s="1" t="n">
        <v>45986.68908564815</v>
      </c>
      <c r="C823" s="1" t="n">
        <v>45991</v>
      </c>
      <c r="D823" t="inlineStr">
        <is>
          <t>KALMAR LÄN</t>
        </is>
      </c>
      <c r="E823" t="inlineStr">
        <is>
          <t>VÄSTERVIK</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5060-2025</t>
        </is>
      </c>
      <c r="B824" s="1" t="n">
        <v>45691.47354166667</v>
      </c>
      <c r="C824" s="1" t="n">
        <v>45991</v>
      </c>
      <c r="D824" t="inlineStr">
        <is>
          <t>KALMAR LÄN</t>
        </is>
      </c>
      <c r="E824" t="inlineStr">
        <is>
          <t>VÄSTERVIK</t>
        </is>
      </c>
      <c r="F824" t="inlineStr">
        <is>
          <t>Holmen skog AB</t>
        </is>
      </c>
      <c r="G824" t="n">
        <v>2.9</v>
      </c>
      <c r="H824" t="n">
        <v>0</v>
      </c>
      <c r="I824" t="n">
        <v>0</v>
      </c>
      <c r="J824" t="n">
        <v>0</v>
      </c>
      <c r="K824" t="n">
        <v>0</v>
      </c>
      <c r="L824" t="n">
        <v>0</v>
      </c>
      <c r="M824" t="n">
        <v>0</v>
      </c>
      <c r="N824" t="n">
        <v>0</v>
      </c>
      <c r="O824" t="n">
        <v>0</v>
      </c>
      <c r="P824" t="n">
        <v>0</v>
      </c>
      <c r="Q824" t="n">
        <v>0</v>
      </c>
      <c r="R824" s="2" t="inlineStr"/>
    </row>
    <row r="825" ht="15" customHeight="1">
      <c r="A825" t="inlineStr">
        <is>
          <t>A 50086-2023</t>
        </is>
      </c>
      <c r="B825" s="1" t="n">
        <v>45215.59601851852</v>
      </c>
      <c r="C825" s="1" t="n">
        <v>45991</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2357-2025</t>
        </is>
      </c>
      <c r="B826" s="1" t="n">
        <v>45673.68859953704</v>
      </c>
      <c r="C826" s="1" t="n">
        <v>45991</v>
      </c>
      <c r="D826" t="inlineStr">
        <is>
          <t>KALMAR LÄN</t>
        </is>
      </c>
      <c r="E826" t="inlineStr">
        <is>
          <t>VÄSTERVIK</t>
        </is>
      </c>
      <c r="G826" t="n">
        <v>2.6</v>
      </c>
      <c r="H826" t="n">
        <v>0</v>
      </c>
      <c r="I826" t="n">
        <v>0</v>
      </c>
      <c r="J826" t="n">
        <v>0</v>
      </c>
      <c r="K826" t="n">
        <v>0</v>
      </c>
      <c r="L826" t="n">
        <v>0</v>
      </c>
      <c r="M826" t="n">
        <v>0</v>
      </c>
      <c r="N826" t="n">
        <v>0</v>
      </c>
      <c r="O826" t="n">
        <v>0</v>
      </c>
      <c r="P826" t="n">
        <v>0</v>
      </c>
      <c r="Q826" t="n">
        <v>0</v>
      </c>
      <c r="R826" s="2" t="inlineStr"/>
    </row>
    <row r="827" ht="15" customHeight="1">
      <c r="A827" t="inlineStr">
        <is>
          <t>A 4583-2023</t>
        </is>
      </c>
      <c r="B827" s="1" t="n">
        <v>44956</v>
      </c>
      <c r="C827" s="1" t="n">
        <v>45991</v>
      </c>
      <c r="D827" t="inlineStr">
        <is>
          <t>KALMAR LÄN</t>
        </is>
      </c>
      <c r="E827" t="inlineStr">
        <is>
          <t>VÄSTERVIK</t>
        </is>
      </c>
      <c r="G827" t="n">
        <v>2.2</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45991</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53145-2025</t>
        </is>
      </c>
      <c r="B829" s="1" t="n">
        <v>45958</v>
      </c>
      <c r="C829" s="1" t="n">
        <v>45991</v>
      </c>
      <c r="D829" t="inlineStr">
        <is>
          <t>KALMAR LÄN</t>
        </is>
      </c>
      <c r="E829" t="inlineStr">
        <is>
          <t>VÄSTERVIK</t>
        </is>
      </c>
      <c r="G829" t="n">
        <v>2.7</v>
      </c>
      <c r="H829" t="n">
        <v>0</v>
      </c>
      <c r="I829" t="n">
        <v>0</v>
      </c>
      <c r="J829" t="n">
        <v>0</v>
      </c>
      <c r="K829" t="n">
        <v>0</v>
      </c>
      <c r="L829" t="n">
        <v>0</v>
      </c>
      <c r="M829" t="n">
        <v>0</v>
      </c>
      <c r="N829" t="n">
        <v>0</v>
      </c>
      <c r="O829" t="n">
        <v>0</v>
      </c>
      <c r="P829" t="n">
        <v>0</v>
      </c>
      <c r="Q829" t="n">
        <v>0</v>
      </c>
      <c r="R829" s="2" t="inlineStr"/>
    </row>
    <row r="830" ht="15" customHeight="1">
      <c r="A830" t="inlineStr">
        <is>
          <t>A 58778-2025</t>
        </is>
      </c>
      <c r="B830" s="1" t="n">
        <v>45986.70459490741</v>
      </c>
      <c r="C830" s="1" t="n">
        <v>45991</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50539-2025</t>
        </is>
      </c>
      <c r="B831" s="1" t="n">
        <v>45945.49340277778</v>
      </c>
      <c r="C831" s="1" t="n">
        <v>45991</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40969-2025</t>
        </is>
      </c>
      <c r="B832" s="1" t="n">
        <v>45897</v>
      </c>
      <c r="C832" s="1" t="n">
        <v>45991</v>
      </c>
      <c r="D832" t="inlineStr">
        <is>
          <t>KALMAR LÄN</t>
        </is>
      </c>
      <c r="E832" t="inlineStr">
        <is>
          <t>VÄSTERVIK</t>
        </is>
      </c>
      <c r="G832" t="n">
        <v>2.5</v>
      </c>
      <c r="H832" t="n">
        <v>0</v>
      </c>
      <c r="I832" t="n">
        <v>0</v>
      </c>
      <c r="J832" t="n">
        <v>0</v>
      </c>
      <c r="K832" t="n">
        <v>0</v>
      </c>
      <c r="L832" t="n">
        <v>0</v>
      </c>
      <c r="M832" t="n">
        <v>0</v>
      </c>
      <c r="N832" t="n">
        <v>0</v>
      </c>
      <c r="O832" t="n">
        <v>0</v>
      </c>
      <c r="P832" t="n">
        <v>0</v>
      </c>
      <c r="Q832" t="n">
        <v>0</v>
      </c>
      <c r="R832" s="2" t="inlineStr"/>
    </row>
    <row r="833" ht="15" customHeight="1">
      <c r="A833" t="inlineStr">
        <is>
          <t>A 16692-2025</t>
        </is>
      </c>
      <c r="B833" s="1" t="n">
        <v>45754.4621412037</v>
      </c>
      <c r="C833" s="1" t="n">
        <v>45991</v>
      </c>
      <c r="D833" t="inlineStr">
        <is>
          <t>KALMAR LÄN</t>
        </is>
      </c>
      <c r="E833" t="inlineStr">
        <is>
          <t>VÄSTERVIK</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50290-2025</t>
        </is>
      </c>
      <c r="B834" s="1" t="n">
        <v>45944.40484953704</v>
      </c>
      <c r="C834" s="1" t="n">
        <v>45991</v>
      </c>
      <c r="D834" t="inlineStr">
        <is>
          <t>KALMAR LÄN</t>
        </is>
      </c>
      <c r="E834" t="inlineStr">
        <is>
          <t>VÄSTERVIK</t>
        </is>
      </c>
      <c r="F834" t="inlineStr">
        <is>
          <t>Övriga Aktiebolag</t>
        </is>
      </c>
      <c r="G834" t="n">
        <v>6.4</v>
      </c>
      <c r="H834" t="n">
        <v>0</v>
      </c>
      <c r="I834" t="n">
        <v>0</v>
      </c>
      <c r="J834" t="n">
        <v>0</v>
      </c>
      <c r="K834" t="n">
        <v>0</v>
      </c>
      <c r="L834" t="n">
        <v>0</v>
      </c>
      <c r="M834" t="n">
        <v>0</v>
      </c>
      <c r="N834" t="n">
        <v>0</v>
      </c>
      <c r="O834" t="n">
        <v>0</v>
      </c>
      <c r="P834" t="n">
        <v>0</v>
      </c>
      <c r="Q834" t="n">
        <v>0</v>
      </c>
      <c r="R834" s="2" t="inlineStr"/>
    </row>
    <row r="835" ht="15" customHeight="1">
      <c r="A835" t="inlineStr">
        <is>
          <t>A 57688-2024</t>
        </is>
      </c>
      <c r="B835" s="1" t="n">
        <v>45630.65180555556</v>
      </c>
      <c r="C835" s="1" t="n">
        <v>45991</v>
      </c>
      <c r="D835" t="inlineStr">
        <is>
          <t>KALMAR LÄN</t>
        </is>
      </c>
      <c r="E835" t="inlineStr">
        <is>
          <t>VÄSTERVIK</t>
        </is>
      </c>
      <c r="G835" t="n">
        <v>3.1</v>
      </c>
      <c r="H835" t="n">
        <v>0</v>
      </c>
      <c r="I835" t="n">
        <v>0</v>
      </c>
      <c r="J835" t="n">
        <v>0</v>
      </c>
      <c r="K835" t="n">
        <v>0</v>
      </c>
      <c r="L835" t="n">
        <v>0</v>
      </c>
      <c r="M835" t="n">
        <v>0</v>
      </c>
      <c r="N835" t="n">
        <v>0</v>
      </c>
      <c r="O835" t="n">
        <v>0</v>
      </c>
      <c r="P835" t="n">
        <v>0</v>
      </c>
      <c r="Q835" t="n">
        <v>0</v>
      </c>
      <c r="R835" s="2" t="inlineStr"/>
    </row>
    <row r="836" ht="15" customHeight="1">
      <c r="A836" t="inlineStr">
        <is>
          <t>A 58700-2025</t>
        </is>
      </c>
      <c r="B836" s="1" t="n">
        <v>45986.59064814815</v>
      </c>
      <c r="C836" s="1" t="n">
        <v>45991</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51510-2024</t>
        </is>
      </c>
      <c r="B837" s="1" t="n">
        <v>45604.55837962963</v>
      </c>
      <c r="C837" s="1" t="n">
        <v>45991</v>
      </c>
      <c r="D837" t="inlineStr">
        <is>
          <t>KALMAR LÄN</t>
        </is>
      </c>
      <c r="E837" t="inlineStr">
        <is>
          <t>VÄSTERVIK</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8440-2023</t>
        </is>
      </c>
      <c r="B838" s="1" t="n">
        <v>44977.46979166667</v>
      </c>
      <c r="C838" s="1" t="n">
        <v>45991</v>
      </c>
      <c r="D838" t="inlineStr">
        <is>
          <t>KALMAR LÄN</t>
        </is>
      </c>
      <c r="E838" t="inlineStr">
        <is>
          <t>VÄSTERVIK</t>
        </is>
      </c>
      <c r="G838" t="n">
        <v>5.5</v>
      </c>
      <c r="H838" t="n">
        <v>0</v>
      </c>
      <c r="I838" t="n">
        <v>0</v>
      </c>
      <c r="J838" t="n">
        <v>0</v>
      </c>
      <c r="K838" t="n">
        <v>0</v>
      </c>
      <c r="L838" t="n">
        <v>0</v>
      </c>
      <c r="M838" t="n">
        <v>0</v>
      </c>
      <c r="N838" t="n">
        <v>0</v>
      </c>
      <c r="O838" t="n">
        <v>0</v>
      </c>
      <c r="P838" t="n">
        <v>0</v>
      </c>
      <c r="Q838" t="n">
        <v>0</v>
      </c>
      <c r="R838" s="2" t="inlineStr"/>
    </row>
    <row r="839" ht="15" customHeight="1">
      <c r="A839" t="inlineStr">
        <is>
          <t>A 50127-2023</t>
        </is>
      </c>
      <c r="B839" s="1" t="n">
        <v>45215.65043981482</v>
      </c>
      <c r="C839" s="1" t="n">
        <v>45991</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10808-2025</t>
        </is>
      </c>
      <c r="B840" s="1" t="n">
        <v>45722.53427083333</v>
      </c>
      <c r="C840" s="1" t="n">
        <v>45991</v>
      </c>
      <c r="D840" t="inlineStr">
        <is>
          <t>KALMAR LÄN</t>
        </is>
      </c>
      <c r="E840" t="inlineStr">
        <is>
          <t>VÄSTERVIK</t>
        </is>
      </c>
      <c r="G840" t="n">
        <v>2.2</v>
      </c>
      <c r="H840" t="n">
        <v>0</v>
      </c>
      <c r="I840" t="n">
        <v>0</v>
      </c>
      <c r="J840" t="n">
        <v>0</v>
      </c>
      <c r="K840" t="n">
        <v>0</v>
      </c>
      <c r="L840" t="n">
        <v>0</v>
      </c>
      <c r="M840" t="n">
        <v>0</v>
      </c>
      <c r="N840" t="n">
        <v>0</v>
      </c>
      <c r="O840" t="n">
        <v>0</v>
      </c>
      <c r="P840" t="n">
        <v>0</v>
      </c>
      <c r="Q840" t="n">
        <v>0</v>
      </c>
      <c r="R840" s="2" t="inlineStr"/>
    </row>
    <row r="841" ht="15" customHeight="1">
      <c r="A841" t="inlineStr">
        <is>
          <t>A 12652-2022</t>
        </is>
      </c>
      <c r="B841" s="1" t="n">
        <v>44641</v>
      </c>
      <c r="C841" s="1" t="n">
        <v>45991</v>
      </c>
      <c r="D841" t="inlineStr">
        <is>
          <t>KALMAR LÄN</t>
        </is>
      </c>
      <c r="E841" t="inlineStr">
        <is>
          <t>VÄSTERVIK</t>
        </is>
      </c>
      <c r="F841" t="inlineStr">
        <is>
          <t>Holmen skog AB</t>
        </is>
      </c>
      <c r="G841" t="n">
        <v>1.1</v>
      </c>
      <c r="H841" t="n">
        <v>0</v>
      </c>
      <c r="I841" t="n">
        <v>0</v>
      </c>
      <c r="J841" t="n">
        <v>0</v>
      </c>
      <c r="K841" t="n">
        <v>0</v>
      </c>
      <c r="L841" t="n">
        <v>0</v>
      </c>
      <c r="M841" t="n">
        <v>0</v>
      </c>
      <c r="N841" t="n">
        <v>0</v>
      </c>
      <c r="O841" t="n">
        <v>0</v>
      </c>
      <c r="P841" t="n">
        <v>0</v>
      </c>
      <c r="Q841" t="n">
        <v>0</v>
      </c>
      <c r="R841" s="2" t="inlineStr"/>
    </row>
    <row r="842" ht="15" customHeight="1">
      <c r="A842" t="inlineStr">
        <is>
          <t>A 50692-2025</t>
        </is>
      </c>
      <c r="B842" s="1" t="n">
        <v>45945.8494212963</v>
      </c>
      <c r="C842" s="1" t="n">
        <v>45991</v>
      </c>
      <c r="D842" t="inlineStr">
        <is>
          <t>KALMAR LÄN</t>
        </is>
      </c>
      <c r="E842" t="inlineStr">
        <is>
          <t>VÄSTERVIK</t>
        </is>
      </c>
      <c r="F842" t="inlineStr">
        <is>
          <t>Övriga Aktiebolag</t>
        </is>
      </c>
      <c r="G842" t="n">
        <v>5</v>
      </c>
      <c r="H842" t="n">
        <v>0</v>
      </c>
      <c r="I842" t="n">
        <v>0</v>
      </c>
      <c r="J842" t="n">
        <v>0</v>
      </c>
      <c r="K842" t="n">
        <v>0</v>
      </c>
      <c r="L842" t="n">
        <v>0</v>
      </c>
      <c r="M842" t="n">
        <v>0</v>
      </c>
      <c r="N842" t="n">
        <v>0</v>
      </c>
      <c r="O842" t="n">
        <v>0</v>
      </c>
      <c r="P842" t="n">
        <v>0</v>
      </c>
      <c r="Q842" t="n">
        <v>0</v>
      </c>
      <c r="R842" s="2" t="inlineStr"/>
    </row>
    <row r="843" ht="15" customHeight="1">
      <c r="A843" t="inlineStr">
        <is>
          <t>A 55289-2023</t>
        </is>
      </c>
      <c r="B843" s="1" t="n">
        <v>45237.76106481482</v>
      </c>
      <c r="C843" s="1" t="n">
        <v>45991</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40050-2022</t>
        </is>
      </c>
      <c r="B844" s="1" t="n">
        <v>44820.44106481481</v>
      </c>
      <c r="C844" s="1" t="n">
        <v>45991</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50679-2025</t>
        </is>
      </c>
      <c r="B845" s="1" t="n">
        <v>45945.7796875</v>
      </c>
      <c r="C845" s="1" t="n">
        <v>45991</v>
      </c>
      <c r="D845" t="inlineStr">
        <is>
          <t>KALMAR LÄN</t>
        </is>
      </c>
      <c r="E845" t="inlineStr">
        <is>
          <t>VÄSTERVIK</t>
        </is>
      </c>
      <c r="F845" t="inlineStr">
        <is>
          <t>Övriga Aktiebolag</t>
        </is>
      </c>
      <c r="G845" t="n">
        <v>2.3</v>
      </c>
      <c r="H845" t="n">
        <v>0</v>
      </c>
      <c r="I845" t="n">
        <v>0</v>
      </c>
      <c r="J845" t="n">
        <v>0</v>
      </c>
      <c r="K845" t="n">
        <v>0</v>
      </c>
      <c r="L845" t="n">
        <v>0</v>
      </c>
      <c r="M845" t="n">
        <v>0</v>
      </c>
      <c r="N845" t="n">
        <v>0</v>
      </c>
      <c r="O845" t="n">
        <v>0</v>
      </c>
      <c r="P845" t="n">
        <v>0</v>
      </c>
      <c r="Q845" t="n">
        <v>0</v>
      </c>
      <c r="R845" s="2" t="inlineStr"/>
    </row>
    <row r="846" ht="15" customHeight="1">
      <c r="A846" t="inlineStr">
        <is>
          <t>A 51191-2025</t>
        </is>
      </c>
      <c r="B846" s="1" t="n">
        <v>45947.62629629629</v>
      </c>
      <c r="C846" s="1" t="n">
        <v>45991</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34672-2022</t>
        </is>
      </c>
      <c r="B847" s="1" t="n">
        <v>44795.48444444445</v>
      </c>
      <c r="C847" s="1" t="n">
        <v>45991</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46561-2022</t>
        </is>
      </c>
      <c r="B848" s="1" t="n">
        <v>44848</v>
      </c>
      <c r="C848" s="1" t="n">
        <v>45991</v>
      </c>
      <c r="D848" t="inlineStr">
        <is>
          <t>KALMAR LÄN</t>
        </is>
      </c>
      <c r="E848" t="inlineStr">
        <is>
          <t>VÄSTERVIK</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51181-2025</t>
        </is>
      </c>
      <c r="B849" s="1" t="n">
        <v>45947.61859953704</v>
      </c>
      <c r="C849" s="1" t="n">
        <v>45991</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51182-2025</t>
        </is>
      </c>
      <c r="B850" s="1" t="n">
        <v>45947.6204050926</v>
      </c>
      <c r="C850" s="1" t="n">
        <v>45991</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4520-2024</t>
        </is>
      </c>
      <c r="B851" s="1" t="n">
        <v>45327</v>
      </c>
      <c r="C851" s="1" t="n">
        <v>45991</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59093-2025</t>
        </is>
      </c>
      <c r="B852" s="1" t="n">
        <v>45988.44945601852</v>
      </c>
      <c r="C852" s="1" t="n">
        <v>45991</v>
      </c>
      <c r="D852" t="inlineStr">
        <is>
          <t>KALMAR LÄN</t>
        </is>
      </c>
      <c r="E852" t="inlineStr">
        <is>
          <t>VÄSTERVIK</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35960-2023</t>
        </is>
      </c>
      <c r="B853" s="1" t="n">
        <v>45148.84990740741</v>
      </c>
      <c r="C853" s="1" t="n">
        <v>45991</v>
      </c>
      <c r="D853" t="inlineStr">
        <is>
          <t>KALMAR LÄN</t>
        </is>
      </c>
      <c r="E853" t="inlineStr">
        <is>
          <t>VÄSTERVIK</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59187-2025</t>
        </is>
      </c>
      <c r="B854" s="1" t="n">
        <v>45988.58630787037</v>
      </c>
      <c r="C854" s="1" t="n">
        <v>45991</v>
      </c>
      <c r="D854" t="inlineStr">
        <is>
          <t>KALMAR LÄN</t>
        </is>
      </c>
      <c r="E854" t="inlineStr">
        <is>
          <t>VÄSTERVIK</t>
        </is>
      </c>
      <c r="G854" t="n">
        <v>1.6</v>
      </c>
      <c r="H854" t="n">
        <v>0</v>
      </c>
      <c r="I854" t="n">
        <v>0</v>
      </c>
      <c r="J854" t="n">
        <v>0</v>
      </c>
      <c r="K854" t="n">
        <v>0</v>
      </c>
      <c r="L854" t="n">
        <v>0</v>
      </c>
      <c r="M854" t="n">
        <v>0</v>
      </c>
      <c r="N854" t="n">
        <v>0</v>
      </c>
      <c r="O854" t="n">
        <v>0</v>
      </c>
      <c r="P854" t="n">
        <v>0</v>
      </c>
      <c r="Q854" t="n">
        <v>0</v>
      </c>
      <c r="R854" s="2" t="inlineStr"/>
    </row>
    <row r="855" ht="15" customHeight="1">
      <c r="A855" t="inlineStr">
        <is>
          <t>A 59045-2025</t>
        </is>
      </c>
      <c r="B855" s="1" t="n">
        <v>45988.37289351852</v>
      </c>
      <c r="C855" s="1" t="n">
        <v>45991</v>
      </c>
      <c r="D855" t="inlineStr">
        <is>
          <t>KALMAR LÄN</t>
        </is>
      </c>
      <c r="E855" t="inlineStr">
        <is>
          <t>VÄSTERVIK</t>
        </is>
      </c>
      <c r="F855" t="inlineStr">
        <is>
          <t>Kyrkan</t>
        </is>
      </c>
      <c r="G855" t="n">
        <v>6.9</v>
      </c>
      <c r="H855" t="n">
        <v>0</v>
      </c>
      <c r="I855" t="n">
        <v>0</v>
      </c>
      <c r="J855" t="n">
        <v>0</v>
      </c>
      <c r="K855" t="n">
        <v>0</v>
      </c>
      <c r="L855" t="n">
        <v>0</v>
      </c>
      <c r="M855" t="n">
        <v>0</v>
      </c>
      <c r="N855" t="n">
        <v>0</v>
      </c>
      <c r="O855" t="n">
        <v>0</v>
      </c>
      <c r="P855" t="n">
        <v>0</v>
      </c>
      <c r="Q855" t="n">
        <v>0</v>
      </c>
      <c r="R855" s="2" t="inlineStr"/>
    </row>
    <row r="856" ht="15" customHeight="1">
      <c r="A856" t="inlineStr">
        <is>
          <t>A 7090-2024</t>
        </is>
      </c>
      <c r="B856" s="1" t="n">
        <v>45343.80621527778</v>
      </c>
      <c r="C856" s="1" t="n">
        <v>45991</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59189-2025</t>
        </is>
      </c>
      <c r="B857" s="1" t="n">
        <v>45988.5893287037</v>
      </c>
      <c r="C857" s="1" t="n">
        <v>45991</v>
      </c>
      <c r="D857" t="inlineStr">
        <is>
          <t>KALMAR LÄN</t>
        </is>
      </c>
      <c r="E857" t="inlineStr">
        <is>
          <t>VÄSTERVIK</t>
        </is>
      </c>
      <c r="F857" t="inlineStr">
        <is>
          <t>Holmen skog AB</t>
        </is>
      </c>
      <c r="G857" t="n">
        <v>3.6</v>
      </c>
      <c r="H857" t="n">
        <v>0</v>
      </c>
      <c r="I857" t="n">
        <v>0</v>
      </c>
      <c r="J857" t="n">
        <v>0</v>
      </c>
      <c r="K857" t="n">
        <v>0</v>
      </c>
      <c r="L857" t="n">
        <v>0</v>
      </c>
      <c r="M857" t="n">
        <v>0</v>
      </c>
      <c r="N857" t="n">
        <v>0</v>
      </c>
      <c r="O857" t="n">
        <v>0</v>
      </c>
      <c r="P857" t="n">
        <v>0</v>
      </c>
      <c r="Q857" t="n">
        <v>0</v>
      </c>
      <c r="R857" s="2" t="inlineStr"/>
    </row>
    <row r="858" ht="15" customHeight="1">
      <c r="A858" t="inlineStr">
        <is>
          <t>A 59216-2025</t>
        </is>
      </c>
      <c r="B858" s="1" t="n">
        <v>45988.61649305555</v>
      </c>
      <c r="C858" s="1" t="n">
        <v>45991</v>
      </c>
      <c r="D858" t="inlineStr">
        <is>
          <t>KALMAR LÄN</t>
        </is>
      </c>
      <c r="E858" t="inlineStr">
        <is>
          <t>VÄSTERVIK</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40977-2023</t>
        </is>
      </c>
      <c r="B859" s="1" t="n">
        <v>45173</v>
      </c>
      <c r="C859" s="1" t="n">
        <v>45991</v>
      </c>
      <c r="D859" t="inlineStr">
        <is>
          <t>KALMAR LÄN</t>
        </is>
      </c>
      <c r="E859" t="inlineStr">
        <is>
          <t>VÄSTERVIK</t>
        </is>
      </c>
      <c r="F859" t="inlineStr">
        <is>
          <t>Holmen skog AB</t>
        </is>
      </c>
      <c r="G859" t="n">
        <v>1</v>
      </c>
      <c r="H859" t="n">
        <v>0</v>
      </c>
      <c r="I859" t="n">
        <v>0</v>
      </c>
      <c r="J859" t="n">
        <v>0</v>
      </c>
      <c r="K859" t="n">
        <v>0</v>
      </c>
      <c r="L859" t="n">
        <v>0</v>
      </c>
      <c r="M859" t="n">
        <v>0</v>
      </c>
      <c r="N859" t="n">
        <v>0</v>
      </c>
      <c r="O859" t="n">
        <v>0</v>
      </c>
      <c r="P859" t="n">
        <v>0</v>
      </c>
      <c r="Q859" t="n">
        <v>0</v>
      </c>
      <c r="R859" s="2" t="inlineStr"/>
    </row>
    <row r="860" ht="15" customHeight="1">
      <c r="A860" t="inlineStr">
        <is>
          <t>A 59241-2025</t>
        </is>
      </c>
      <c r="B860" s="1" t="n">
        <v>45988.63915509259</v>
      </c>
      <c r="C860" s="1" t="n">
        <v>45991</v>
      </c>
      <c r="D860" t="inlineStr">
        <is>
          <t>KALMAR LÄN</t>
        </is>
      </c>
      <c r="E860" t="inlineStr">
        <is>
          <t>VÄSTERVIK</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50690-2025</t>
        </is>
      </c>
      <c r="B861" s="1" t="n">
        <v>45945.84136574074</v>
      </c>
      <c r="C861" s="1" t="n">
        <v>45991</v>
      </c>
      <c r="D861" t="inlineStr">
        <is>
          <t>KALMAR LÄN</t>
        </is>
      </c>
      <c r="E861" t="inlineStr">
        <is>
          <t>VÄSTERVIK</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51050-2025</t>
        </is>
      </c>
      <c r="B862" s="1" t="n">
        <v>45947.43621527778</v>
      </c>
      <c r="C862" s="1" t="n">
        <v>45991</v>
      </c>
      <c r="D862" t="inlineStr">
        <is>
          <t>KALMAR LÄN</t>
        </is>
      </c>
      <c r="E862" t="inlineStr">
        <is>
          <t>VÄSTERVIK</t>
        </is>
      </c>
      <c r="G862" t="n">
        <v>2.8</v>
      </c>
      <c r="H862" t="n">
        <v>0</v>
      </c>
      <c r="I862" t="n">
        <v>0</v>
      </c>
      <c r="J862" t="n">
        <v>0</v>
      </c>
      <c r="K862" t="n">
        <v>0</v>
      </c>
      <c r="L862" t="n">
        <v>0</v>
      </c>
      <c r="M862" t="n">
        <v>0</v>
      </c>
      <c r="N862" t="n">
        <v>0</v>
      </c>
      <c r="O862" t="n">
        <v>0</v>
      </c>
      <c r="P862" t="n">
        <v>0</v>
      </c>
      <c r="Q862" t="n">
        <v>0</v>
      </c>
      <c r="R862" s="2" t="inlineStr"/>
    </row>
    <row r="863" ht="15" customHeight="1">
      <c r="A863" t="inlineStr">
        <is>
          <t>A 59198-2025</t>
        </is>
      </c>
      <c r="B863" s="1" t="n">
        <v>45988.60012731481</v>
      </c>
      <c r="C863" s="1" t="n">
        <v>45991</v>
      </c>
      <c r="D863" t="inlineStr">
        <is>
          <t>KALMAR LÄN</t>
        </is>
      </c>
      <c r="E863" t="inlineStr">
        <is>
          <t>VÄSTERVIK</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61448-2023</t>
        </is>
      </c>
      <c r="B864" s="1" t="n">
        <v>45264.81439814815</v>
      </c>
      <c r="C864" s="1" t="n">
        <v>45991</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61449-2023</t>
        </is>
      </c>
      <c r="B865" s="1" t="n">
        <v>45264.81490740741</v>
      </c>
      <c r="C865" s="1" t="n">
        <v>45991</v>
      </c>
      <c r="D865" t="inlineStr">
        <is>
          <t>KALMAR LÄN</t>
        </is>
      </c>
      <c r="E865" t="inlineStr">
        <is>
          <t>VÄSTERVIK</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55358-2024</t>
        </is>
      </c>
      <c r="B866" s="1" t="n">
        <v>45621.82039351852</v>
      </c>
      <c r="C866" s="1" t="n">
        <v>45991</v>
      </c>
      <c r="D866" t="inlineStr">
        <is>
          <t>KALMAR LÄN</t>
        </is>
      </c>
      <c r="E866" t="inlineStr">
        <is>
          <t>VÄSTERVIK</t>
        </is>
      </c>
      <c r="F866" t="inlineStr">
        <is>
          <t>Sveaskog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11167-2024</t>
        </is>
      </c>
      <c r="B867" s="1" t="n">
        <v>45371.4966087963</v>
      </c>
      <c r="C867" s="1" t="n">
        <v>45991</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1699-2023</t>
        </is>
      </c>
      <c r="B868" s="1" t="n">
        <v>44935</v>
      </c>
      <c r="C868" s="1" t="n">
        <v>45991</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7883-2025</t>
        </is>
      </c>
      <c r="B869" s="1" t="n">
        <v>45706.8156712963</v>
      </c>
      <c r="C869" s="1" t="n">
        <v>45991</v>
      </c>
      <c r="D869" t="inlineStr">
        <is>
          <t>KALMAR LÄN</t>
        </is>
      </c>
      <c r="E869" t="inlineStr">
        <is>
          <t>VÄSTERVIK</t>
        </is>
      </c>
      <c r="G869" t="n">
        <v>0.2</v>
      </c>
      <c r="H869" t="n">
        <v>0</v>
      </c>
      <c r="I869" t="n">
        <v>0</v>
      </c>
      <c r="J869" t="n">
        <v>0</v>
      </c>
      <c r="K869" t="n">
        <v>0</v>
      </c>
      <c r="L869" t="n">
        <v>0</v>
      </c>
      <c r="M869" t="n">
        <v>0</v>
      </c>
      <c r="N869" t="n">
        <v>0</v>
      </c>
      <c r="O869" t="n">
        <v>0</v>
      </c>
      <c r="P869" t="n">
        <v>0</v>
      </c>
      <c r="Q869" t="n">
        <v>0</v>
      </c>
      <c r="R869" s="2" t="inlineStr"/>
    </row>
    <row r="870" ht="15" customHeight="1">
      <c r="A870" t="inlineStr">
        <is>
          <t>A 934-2024</t>
        </is>
      </c>
      <c r="B870" s="1" t="n">
        <v>45301.51439814815</v>
      </c>
      <c r="C870" s="1" t="n">
        <v>45991</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936-2024</t>
        </is>
      </c>
      <c r="B871" s="1" t="n">
        <v>45301.51950231481</v>
      </c>
      <c r="C871" s="1" t="n">
        <v>45991</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8619-2024</t>
        </is>
      </c>
      <c r="B872" s="1" t="n">
        <v>45355.73599537037</v>
      </c>
      <c r="C872" s="1" t="n">
        <v>45991</v>
      </c>
      <c r="D872" t="inlineStr">
        <is>
          <t>KALMAR LÄN</t>
        </is>
      </c>
      <c r="E872" t="inlineStr">
        <is>
          <t>VÄSTERVIK</t>
        </is>
      </c>
      <c r="G872" t="n">
        <v>1.6</v>
      </c>
      <c r="H872" t="n">
        <v>0</v>
      </c>
      <c r="I872" t="n">
        <v>0</v>
      </c>
      <c r="J872" t="n">
        <v>0</v>
      </c>
      <c r="K872" t="n">
        <v>0</v>
      </c>
      <c r="L872" t="n">
        <v>0</v>
      </c>
      <c r="M872" t="n">
        <v>0</v>
      </c>
      <c r="N872" t="n">
        <v>0</v>
      </c>
      <c r="O872" t="n">
        <v>0</v>
      </c>
      <c r="P872" t="n">
        <v>0</v>
      </c>
      <c r="Q872" t="n">
        <v>0</v>
      </c>
      <c r="R872" s="2" t="inlineStr"/>
    </row>
    <row r="873" ht="15" customHeight="1">
      <c r="A873" t="inlineStr">
        <is>
          <t>A 4624-2023</t>
        </is>
      </c>
      <c r="B873" s="1" t="n">
        <v>44956</v>
      </c>
      <c r="C873" s="1" t="n">
        <v>45991</v>
      </c>
      <c r="D873" t="inlineStr">
        <is>
          <t>KALMAR LÄN</t>
        </is>
      </c>
      <c r="E873" t="inlineStr">
        <is>
          <t>VÄSTERVIK</t>
        </is>
      </c>
      <c r="F873" t="inlineStr">
        <is>
          <t>Holmen skog AB</t>
        </is>
      </c>
      <c r="G873" t="n">
        <v>7.1</v>
      </c>
      <c r="H873" t="n">
        <v>0</v>
      </c>
      <c r="I873" t="n">
        <v>0</v>
      </c>
      <c r="J873" t="n">
        <v>0</v>
      </c>
      <c r="K873" t="n">
        <v>0</v>
      </c>
      <c r="L873" t="n">
        <v>0</v>
      </c>
      <c r="M873" t="n">
        <v>0</v>
      </c>
      <c r="N873" t="n">
        <v>0</v>
      </c>
      <c r="O873" t="n">
        <v>0</v>
      </c>
      <c r="P873" t="n">
        <v>0</v>
      </c>
      <c r="Q873" t="n">
        <v>0</v>
      </c>
      <c r="R873" s="2" t="inlineStr"/>
    </row>
    <row r="874" ht="15" customHeight="1">
      <c r="A874" t="inlineStr">
        <is>
          <t>A 21824-2023</t>
        </is>
      </c>
      <c r="B874" s="1" t="n">
        <v>45068</v>
      </c>
      <c r="C874" s="1" t="n">
        <v>45991</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16691-2025</t>
        </is>
      </c>
      <c r="B875" s="1" t="n">
        <v>45754.46086805555</v>
      </c>
      <c r="C875" s="1" t="n">
        <v>45991</v>
      </c>
      <c r="D875" t="inlineStr">
        <is>
          <t>KALMAR LÄN</t>
        </is>
      </c>
      <c r="E875" t="inlineStr">
        <is>
          <t>VÄSTERVIK</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37986-2023</t>
        </is>
      </c>
      <c r="B876" s="1" t="n">
        <v>45160.60331018519</v>
      </c>
      <c r="C876" s="1" t="n">
        <v>45991</v>
      </c>
      <c r="D876" t="inlineStr">
        <is>
          <t>KALMAR LÄN</t>
        </is>
      </c>
      <c r="E876" t="inlineStr">
        <is>
          <t>VÄSTERVIK</t>
        </is>
      </c>
      <c r="F876" t="inlineStr">
        <is>
          <t>Sveaskog</t>
        </is>
      </c>
      <c r="G876" t="n">
        <v>4</v>
      </c>
      <c r="H876" t="n">
        <v>0</v>
      </c>
      <c r="I876" t="n">
        <v>0</v>
      </c>
      <c r="J876" t="n">
        <v>0</v>
      </c>
      <c r="K876" t="n">
        <v>0</v>
      </c>
      <c r="L876" t="n">
        <v>0</v>
      </c>
      <c r="M876" t="n">
        <v>0</v>
      </c>
      <c r="N876" t="n">
        <v>0</v>
      </c>
      <c r="O876" t="n">
        <v>0</v>
      </c>
      <c r="P876" t="n">
        <v>0</v>
      </c>
      <c r="Q876" t="n">
        <v>0</v>
      </c>
      <c r="R876" s="2" t="inlineStr"/>
    </row>
    <row r="877" ht="15" customHeight="1">
      <c r="A877" t="inlineStr">
        <is>
          <t>A 28657-2024</t>
        </is>
      </c>
      <c r="B877" s="1" t="n">
        <v>45478</v>
      </c>
      <c r="C877" s="1" t="n">
        <v>45991</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34650-2023</t>
        </is>
      </c>
      <c r="B878" s="1" t="n">
        <v>45140</v>
      </c>
      <c r="C878" s="1" t="n">
        <v>45991</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53259-2021</t>
        </is>
      </c>
      <c r="B879" s="1" t="n">
        <v>44468.47153935185</v>
      </c>
      <c r="C879" s="1" t="n">
        <v>45991</v>
      </c>
      <c r="D879" t="inlineStr">
        <is>
          <t>KALMAR LÄN</t>
        </is>
      </c>
      <c r="E879" t="inlineStr">
        <is>
          <t>VÄSTERVIK</t>
        </is>
      </c>
      <c r="G879" t="n">
        <v>2.8</v>
      </c>
      <c r="H879" t="n">
        <v>0</v>
      </c>
      <c r="I879" t="n">
        <v>0</v>
      </c>
      <c r="J879" t="n">
        <v>0</v>
      </c>
      <c r="K879" t="n">
        <v>0</v>
      </c>
      <c r="L879" t="n">
        <v>0</v>
      </c>
      <c r="M879" t="n">
        <v>0</v>
      </c>
      <c r="N879" t="n">
        <v>0</v>
      </c>
      <c r="O879" t="n">
        <v>0</v>
      </c>
      <c r="P879" t="n">
        <v>0</v>
      </c>
      <c r="Q879" t="n">
        <v>0</v>
      </c>
      <c r="R879" s="2" t="inlineStr"/>
    </row>
    <row r="880" ht="15" customHeight="1">
      <c r="A880" t="inlineStr">
        <is>
          <t>A 53266-2021</t>
        </is>
      </c>
      <c r="B880" s="1" t="n">
        <v>44468.48255787037</v>
      </c>
      <c r="C880" s="1" t="n">
        <v>45991</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36888-2024</t>
        </is>
      </c>
      <c r="B881" s="1" t="n">
        <v>45538</v>
      </c>
      <c r="C881" s="1" t="n">
        <v>45991</v>
      </c>
      <c r="D881" t="inlineStr">
        <is>
          <t>KALMAR LÄN</t>
        </is>
      </c>
      <c r="E881" t="inlineStr">
        <is>
          <t>VÄSTERVIK</t>
        </is>
      </c>
      <c r="G881" t="n">
        <v>1.5</v>
      </c>
      <c r="H881" t="n">
        <v>0</v>
      </c>
      <c r="I881" t="n">
        <v>0</v>
      </c>
      <c r="J881" t="n">
        <v>0</v>
      </c>
      <c r="K881" t="n">
        <v>0</v>
      </c>
      <c r="L881" t="n">
        <v>0</v>
      </c>
      <c r="M881" t="n">
        <v>0</v>
      </c>
      <c r="N881" t="n">
        <v>0</v>
      </c>
      <c r="O881" t="n">
        <v>0</v>
      </c>
      <c r="P881" t="n">
        <v>0</v>
      </c>
      <c r="Q881" t="n">
        <v>0</v>
      </c>
      <c r="R881" s="2" t="inlineStr"/>
    </row>
    <row r="882" ht="15" customHeight="1">
      <c r="A882" t="inlineStr">
        <is>
          <t>A 64741-2020</t>
        </is>
      </c>
      <c r="B882" s="1" t="n">
        <v>44169</v>
      </c>
      <c r="C882" s="1" t="n">
        <v>45991</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65-2023</t>
        </is>
      </c>
      <c r="B883" s="1" t="n">
        <v>44928.44431712963</v>
      </c>
      <c r="C883" s="1" t="n">
        <v>45991</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23873-2024</t>
        </is>
      </c>
      <c r="B884" s="1" t="n">
        <v>45455</v>
      </c>
      <c r="C884" s="1" t="n">
        <v>45991</v>
      </c>
      <c r="D884" t="inlineStr">
        <is>
          <t>KALMAR LÄN</t>
        </is>
      </c>
      <c r="E884" t="inlineStr">
        <is>
          <t>VÄSTERVIK</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14068-2025</t>
        </is>
      </c>
      <c r="B885" s="1" t="n">
        <v>45740.42127314815</v>
      </c>
      <c r="C885" s="1" t="n">
        <v>45991</v>
      </c>
      <c r="D885" t="inlineStr">
        <is>
          <t>KALMAR LÄN</t>
        </is>
      </c>
      <c r="E885" t="inlineStr">
        <is>
          <t>VÄSTERVIK</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14071-2025</t>
        </is>
      </c>
      <c r="B886" s="1" t="n">
        <v>45740.42738425926</v>
      </c>
      <c r="C886" s="1" t="n">
        <v>45991</v>
      </c>
      <c r="D886" t="inlineStr">
        <is>
          <t>KALMAR LÄN</t>
        </is>
      </c>
      <c r="E886" t="inlineStr">
        <is>
          <t>VÄSTERVIK</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14092-2025</t>
        </is>
      </c>
      <c r="B887" s="1" t="n">
        <v>45740.44686342592</v>
      </c>
      <c r="C887" s="1" t="n">
        <v>45991</v>
      </c>
      <c r="D887" t="inlineStr">
        <is>
          <t>KALMAR LÄN</t>
        </is>
      </c>
      <c r="E887" t="inlineStr">
        <is>
          <t>VÄSTERVIK</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61728-2023</t>
        </is>
      </c>
      <c r="B888" s="1" t="n">
        <v>45265</v>
      </c>
      <c r="C888" s="1" t="n">
        <v>45991</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36725-2024</t>
        </is>
      </c>
      <c r="B889" s="1" t="n">
        <v>45537.90300925926</v>
      </c>
      <c r="C889" s="1" t="n">
        <v>45991</v>
      </c>
      <c r="D889" t="inlineStr">
        <is>
          <t>KALMAR LÄN</t>
        </is>
      </c>
      <c r="E889" t="inlineStr">
        <is>
          <t>VÄSTERVIK</t>
        </is>
      </c>
      <c r="G889" t="n">
        <v>10.1</v>
      </c>
      <c r="H889" t="n">
        <v>0</v>
      </c>
      <c r="I889" t="n">
        <v>0</v>
      </c>
      <c r="J889" t="n">
        <v>0</v>
      </c>
      <c r="K889" t="n">
        <v>0</v>
      </c>
      <c r="L889" t="n">
        <v>0</v>
      </c>
      <c r="M889" t="n">
        <v>0</v>
      </c>
      <c r="N889" t="n">
        <v>0</v>
      </c>
      <c r="O889" t="n">
        <v>0</v>
      </c>
      <c r="P889" t="n">
        <v>0</v>
      </c>
      <c r="Q889" t="n">
        <v>0</v>
      </c>
      <c r="R889" s="2" t="inlineStr"/>
    </row>
    <row r="890" ht="15" customHeight="1">
      <c r="A890" t="inlineStr">
        <is>
          <t>A 55023-2021</t>
        </is>
      </c>
      <c r="B890" s="1" t="n">
        <v>44474</v>
      </c>
      <c r="C890" s="1" t="n">
        <v>45991</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19950-2025</t>
        </is>
      </c>
      <c r="B891" s="1" t="n">
        <v>45771.65724537037</v>
      </c>
      <c r="C891" s="1" t="n">
        <v>45991</v>
      </c>
      <c r="D891" t="inlineStr">
        <is>
          <t>KALMAR LÄN</t>
        </is>
      </c>
      <c r="E891" t="inlineStr">
        <is>
          <t>VÄSTERVIK</t>
        </is>
      </c>
      <c r="G891" t="n">
        <v>2.4</v>
      </c>
      <c r="H891" t="n">
        <v>0</v>
      </c>
      <c r="I891" t="n">
        <v>0</v>
      </c>
      <c r="J891" t="n">
        <v>0</v>
      </c>
      <c r="K891" t="n">
        <v>0</v>
      </c>
      <c r="L891" t="n">
        <v>0</v>
      </c>
      <c r="M891" t="n">
        <v>0</v>
      </c>
      <c r="N891" t="n">
        <v>0</v>
      </c>
      <c r="O891" t="n">
        <v>0</v>
      </c>
      <c r="P891" t="n">
        <v>0</v>
      </c>
      <c r="Q891" t="n">
        <v>0</v>
      </c>
      <c r="R891" s="2" t="inlineStr"/>
    </row>
    <row r="892" ht="15" customHeight="1">
      <c r="A892" t="inlineStr">
        <is>
          <t>A 56617-2021</t>
        </is>
      </c>
      <c r="B892" s="1" t="n">
        <v>44480</v>
      </c>
      <c r="C892" s="1" t="n">
        <v>45991</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7255-2023</t>
        </is>
      </c>
      <c r="B893" s="1" t="n">
        <v>44970</v>
      </c>
      <c r="C893" s="1" t="n">
        <v>45991</v>
      </c>
      <c r="D893" t="inlineStr">
        <is>
          <t>KALMAR LÄN</t>
        </is>
      </c>
      <c r="E893" t="inlineStr">
        <is>
          <t>VÄSTERVIK</t>
        </is>
      </c>
      <c r="F893" t="inlineStr">
        <is>
          <t>Naturvårdsverket</t>
        </is>
      </c>
      <c r="G893" t="n">
        <v>0.6</v>
      </c>
      <c r="H893" t="n">
        <v>0</v>
      </c>
      <c r="I893" t="n">
        <v>0</v>
      </c>
      <c r="J893" t="n">
        <v>0</v>
      </c>
      <c r="K893" t="n">
        <v>0</v>
      </c>
      <c r="L893" t="n">
        <v>0</v>
      </c>
      <c r="M893" t="n">
        <v>0</v>
      </c>
      <c r="N893" t="n">
        <v>0</v>
      </c>
      <c r="O893" t="n">
        <v>0</v>
      </c>
      <c r="P893" t="n">
        <v>0</v>
      </c>
      <c r="Q893" t="n">
        <v>0</v>
      </c>
      <c r="R893" s="2" t="inlineStr"/>
      <c r="U893">
        <f>HYPERLINK("https://klasma.github.io/Logging_0883/knärot/A 7255-2023 karta knärot.png", "A 7255-2023")</f>
        <v/>
      </c>
      <c r="V893">
        <f>HYPERLINK("https://klasma.github.io/Logging_0883/klagomål/A 7255-2023 FSC-klagomål.docx", "A 7255-2023")</f>
        <v/>
      </c>
      <c r="W893">
        <f>HYPERLINK("https://klasma.github.io/Logging_0883/klagomålsmail/A 7255-2023 FSC-klagomål mail.docx", "A 7255-2023")</f>
        <v/>
      </c>
      <c r="X893">
        <f>HYPERLINK("https://klasma.github.io/Logging_0883/tillsyn/A 7255-2023 tillsynsbegäran.docx", "A 7255-2023")</f>
        <v/>
      </c>
      <c r="Y893">
        <f>HYPERLINK("https://klasma.github.io/Logging_0883/tillsynsmail/A 7255-2023 tillsynsbegäran mail.docx", "A 7255-2023")</f>
        <v/>
      </c>
    </row>
    <row r="894" ht="15" customHeight="1">
      <c r="A894" t="inlineStr">
        <is>
          <t>A 42746-2024</t>
        </is>
      </c>
      <c r="B894" s="1" t="n">
        <v>45566.48361111111</v>
      </c>
      <c r="C894" s="1" t="n">
        <v>45991</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24829-2022</t>
        </is>
      </c>
      <c r="B895" s="1" t="n">
        <v>44728.45674768519</v>
      </c>
      <c r="C895" s="1" t="n">
        <v>45991</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2098-2023</t>
        </is>
      </c>
      <c r="B896" s="1" t="n">
        <v>44939</v>
      </c>
      <c r="C896" s="1" t="n">
        <v>45991</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7381-2025</t>
        </is>
      </c>
      <c r="B897" s="1" t="n">
        <v>45705.32234953704</v>
      </c>
      <c r="C897" s="1" t="n">
        <v>45991</v>
      </c>
      <c r="D897" t="inlineStr">
        <is>
          <t>KALMAR LÄN</t>
        </is>
      </c>
      <c r="E897" t="inlineStr">
        <is>
          <t>VÄSTERVIK</t>
        </is>
      </c>
      <c r="F897" t="inlineStr">
        <is>
          <t>Kyrkan</t>
        </is>
      </c>
      <c r="G897" t="n">
        <v>4.1</v>
      </c>
      <c r="H897" t="n">
        <v>0</v>
      </c>
      <c r="I897" t="n">
        <v>0</v>
      </c>
      <c r="J897" t="n">
        <v>0</v>
      </c>
      <c r="K897" t="n">
        <v>0</v>
      </c>
      <c r="L897" t="n">
        <v>0</v>
      </c>
      <c r="M897" t="n">
        <v>0</v>
      </c>
      <c r="N897" t="n">
        <v>0</v>
      </c>
      <c r="O897" t="n">
        <v>0</v>
      </c>
      <c r="P897" t="n">
        <v>0</v>
      </c>
      <c r="Q897" t="n">
        <v>0</v>
      </c>
      <c r="R897" s="2" t="inlineStr"/>
    </row>
    <row r="898" ht="15" customHeight="1">
      <c r="A898" t="inlineStr">
        <is>
          <t>A 562-2023</t>
        </is>
      </c>
      <c r="B898" s="1" t="n">
        <v>44930</v>
      </c>
      <c r="C898" s="1" t="n">
        <v>45991</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44705-2023</t>
        </is>
      </c>
      <c r="B899" s="1" t="n">
        <v>45190</v>
      </c>
      <c r="C899" s="1" t="n">
        <v>45991</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48035-2024</t>
        </is>
      </c>
      <c r="B900" s="1" t="n">
        <v>45589.49168981481</v>
      </c>
      <c r="C900" s="1" t="n">
        <v>45991</v>
      </c>
      <c r="D900" t="inlineStr">
        <is>
          <t>KALMAR LÄN</t>
        </is>
      </c>
      <c r="E900" t="inlineStr">
        <is>
          <t>VÄSTERVIK</t>
        </is>
      </c>
      <c r="G900" t="n">
        <v>2.1</v>
      </c>
      <c r="H900" t="n">
        <v>0</v>
      </c>
      <c r="I900" t="n">
        <v>0</v>
      </c>
      <c r="J900" t="n">
        <v>0</v>
      </c>
      <c r="K900" t="n">
        <v>0</v>
      </c>
      <c r="L900" t="n">
        <v>0</v>
      </c>
      <c r="M900" t="n">
        <v>0</v>
      </c>
      <c r="N900" t="n">
        <v>0</v>
      </c>
      <c r="O900" t="n">
        <v>0</v>
      </c>
      <c r="P900" t="n">
        <v>0</v>
      </c>
      <c r="Q900" t="n">
        <v>0</v>
      </c>
      <c r="R900" s="2" t="inlineStr"/>
    </row>
    <row r="901" ht="15" customHeight="1">
      <c r="A901" t="inlineStr">
        <is>
          <t>A 55359-2024</t>
        </is>
      </c>
      <c r="B901" s="1" t="n">
        <v>45621.82230324074</v>
      </c>
      <c r="C901" s="1" t="n">
        <v>45991</v>
      </c>
      <c r="D901" t="inlineStr">
        <is>
          <t>KALMAR LÄN</t>
        </is>
      </c>
      <c r="E901" t="inlineStr">
        <is>
          <t>VÄSTERVIK</t>
        </is>
      </c>
      <c r="F901" t="inlineStr">
        <is>
          <t>Sveaskog</t>
        </is>
      </c>
      <c r="G901" t="n">
        <v>6.8</v>
      </c>
      <c r="H901" t="n">
        <v>0</v>
      </c>
      <c r="I901" t="n">
        <v>0</v>
      </c>
      <c r="J901" t="n">
        <v>0</v>
      </c>
      <c r="K901" t="n">
        <v>0</v>
      </c>
      <c r="L901" t="n">
        <v>0</v>
      </c>
      <c r="M901" t="n">
        <v>0</v>
      </c>
      <c r="N901" t="n">
        <v>0</v>
      </c>
      <c r="O901" t="n">
        <v>0</v>
      </c>
      <c r="P901" t="n">
        <v>0</v>
      </c>
      <c r="Q901" t="n">
        <v>0</v>
      </c>
      <c r="R901" s="2" t="inlineStr"/>
    </row>
    <row r="902" ht="15" customHeight="1">
      <c r="A902" t="inlineStr">
        <is>
          <t>A 10116-2022</t>
        </is>
      </c>
      <c r="B902" s="1" t="n">
        <v>44621</v>
      </c>
      <c r="C902" s="1" t="n">
        <v>45991</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17652-2023</t>
        </is>
      </c>
      <c r="B903" s="1" t="n">
        <v>45036.70626157407</v>
      </c>
      <c r="C903" s="1" t="n">
        <v>45991</v>
      </c>
      <c r="D903" t="inlineStr">
        <is>
          <t>KALMAR LÄN</t>
        </is>
      </c>
      <c r="E903" t="inlineStr">
        <is>
          <t>VÄSTERVIK</t>
        </is>
      </c>
      <c r="G903" t="n">
        <v>0.2</v>
      </c>
      <c r="H903" t="n">
        <v>0</v>
      </c>
      <c r="I903" t="n">
        <v>0</v>
      </c>
      <c r="J903" t="n">
        <v>0</v>
      </c>
      <c r="K903" t="n">
        <v>0</v>
      </c>
      <c r="L903" t="n">
        <v>0</v>
      </c>
      <c r="M903" t="n">
        <v>0</v>
      </c>
      <c r="N903" t="n">
        <v>0</v>
      </c>
      <c r="O903" t="n">
        <v>0</v>
      </c>
      <c r="P903" t="n">
        <v>0</v>
      </c>
      <c r="Q903" t="n">
        <v>0</v>
      </c>
      <c r="R903" s="2" t="inlineStr"/>
    </row>
    <row r="904" ht="15" customHeight="1">
      <c r="A904" t="inlineStr">
        <is>
          <t>A 62921-2023</t>
        </is>
      </c>
      <c r="B904" s="1" t="n">
        <v>45272</v>
      </c>
      <c r="C904" s="1" t="n">
        <v>45991</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2951-2025</t>
        </is>
      </c>
      <c r="B905" s="1" t="n">
        <v>45678</v>
      </c>
      <c r="C905" s="1" t="n">
        <v>45991</v>
      </c>
      <c r="D905" t="inlineStr">
        <is>
          <t>KALMAR LÄN</t>
        </is>
      </c>
      <c r="E905" t="inlineStr">
        <is>
          <t>VÄSTERVIK</t>
        </is>
      </c>
      <c r="G905" t="n">
        <v>0.5</v>
      </c>
      <c r="H905" t="n">
        <v>0</v>
      </c>
      <c r="I905" t="n">
        <v>0</v>
      </c>
      <c r="J905" t="n">
        <v>0</v>
      </c>
      <c r="K905" t="n">
        <v>0</v>
      </c>
      <c r="L905" t="n">
        <v>0</v>
      </c>
      <c r="M905" t="n">
        <v>0</v>
      </c>
      <c r="N905" t="n">
        <v>0</v>
      </c>
      <c r="O905" t="n">
        <v>0</v>
      </c>
      <c r="P905" t="n">
        <v>0</v>
      </c>
      <c r="Q905" t="n">
        <v>0</v>
      </c>
      <c r="R905" s="2" t="inlineStr"/>
    </row>
    <row r="906" ht="15" customHeight="1">
      <c r="A906" t="inlineStr">
        <is>
          <t>A 47939-2023</t>
        </is>
      </c>
      <c r="B906" s="1" t="n">
        <v>45204.56195601852</v>
      </c>
      <c r="C906" s="1" t="n">
        <v>45991</v>
      </c>
      <c r="D906" t="inlineStr">
        <is>
          <t>KALMAR LÄN</t>
        </is>
      </c>
      <c r="E906" t="inlineStr">
        <is>
          <t>VÄSTERVIK</t>
        </is>
      </c>
      <c r="G906" t="n">
        <v>3.7</v>
      </c>
      <c r="H906" t="n">
        <v>0</v>
      </c>
      <c r="I906" t="n">
        <v>0</v>
      </c>
      <c r="J906" t="n">
        <v>0</v>
      </c>
      <c r="K906" t="n">
        <v>0</v>
      </c>
      <c r="L906" t="n">
        <v>0</v>
      </c>
      <c r="M906" t="n">
        <v>0</v>
      </c>
      <c r="N906" t="n">
        <v>0</v>
      </c>
      <c r="O906" t="n">
        <v>0</v>
      </c>
      <c r="P906" t="n">
        <v>0</v>
      </c>
      <c r="Q906" t="n">
        <v>0</v>
      </c>
      <c r="R906" s="2" t="inlineStr"/>
    </row>
    <row r="907" ht="15" customHeight="1">
      <c r="A907" t="inlineStr">
        <is>
          <t>A 14055-2025</t>
        </is>
      </c>
      <c r="B907" s="1" t="n">
        <v>45740.39541666667</v>
      </c>
      <c r="C907" s="1" t="n">
        <v>45991</v>
      </c>
      <c r="D907" t="inlineStr">
        <is>
          <t>KALMAR LÄN</t>
        </is>
      </c>
      <c r="E907" t="inlineStr">
        <is>
          <t>VÄSTERVIK</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46718-2023</t>
        </is>
      </c>
      <c r="B908" s="1" t="n">
        <v>45198</v>
      </c>
      <c r="C908" s="1" t="n">
        <v>45991</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13748-2024</t>
        </is>
      </c>
      <c r="B909" s="1" t="n">
        <v>45390</v>
      </c>
      <c r="C909" s="1" t="n">
        <v>45991</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1877-2025</t>
        </is>
      </c>
      <c r="B910" s="1" t="n">
        <v>45671.62141203704</v>
      </c>
      <c r="C910" s="1" t="n">
        <v>45991</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35962-2023</t>
        </is>
      </c>
      <c r="B911" s="1" t="n">
        <v>45148</v>
      </c>
      <c r="C911" s="1" t="n">
        <v>45991</v>
      </c>
      <c r="D911" t="inlineStr">
        <is>
          <t>KALMAR LÄN</t>
        </is>
      </c>
      <c r="E911" t="inlineStr">
        <is>
          <t>VÄSTERVIK</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29557-2024</t>
        </is>
      </c>
      <c r="B912" s="1" t="n">
        <v>45484.52023148148</v>
      </c>
      <c r="C912" s="1" t="n">
        <v>45991</v>
      </c>
      <c r="D912" t="inlineStr">
        <is>
          <t>KALMAR LÄN</t>
        </is>
      </c>
      <c r="E912" t="inlineStr">
        <is>
          <t>VÄSTERVIK</t>
        </is>
      </c>
      <c r="G912" t="n">
        <v>5.9</v>
      </c>
      <c r="H912" t="n">
        <v>0</v>
      </c>
      <c r="I912" t="n">
        <v>0</v>
      </c>
      <c r="J912" t="n">
        <v>0</v>
      </c>
      <c r="K912" t="n">
        <v>0</v>
      </c>
      <c r="L912" t="n">
        <v>0</v>
      </c>
      <c r="M912" t="n">
        <v>0</v>
      </c>
      <c r="N912" t="n">
        <v>0</v>
      </c>
      <c r="O912" t="n">
        <v>0</v>
      </c>
      <c r="P912" t="n">
        <v>0</v>
      </c>
      <c r="Q912" t="n">
        <v>0</v>
      </c>
      <c r="R912" s="2" t="inlineStr"/>
    </row>
    <row r="913" ht="15" customHeight="1">
      <c r="A913" t="inlineStr">
        <is>
          <t>A 13836-2024</t>
        </is>
      </c>
      <c r="B913" s="1" t="n">
        <v>45391.44385416667</v>
      </c>
      <c r="C913" s="1" t="n">
        <v>45991</v>
      </c>
      <c r="D913" t="inlineStr">
        <is>
          <t>KALMAR LÄN</t>
        </is>
      </c>
      <c r="E913" t="inlineStr">
        <is>
          <t>VÄSTERVIK</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4508-2023</t>
        </is>
      </c>
      <c r="B914" s="1" t="n">
        <v>44956</v>
      </c>
      <c r="C914" s="1" t="n">
        <v>45991</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24877-2023</t>
        </is>
      </c>
      <c r="B915" s="1" t="n">
        <v>45085.43271990741</v>
      </c>
      <c r="C915" s="1" t="n">
        <v>45991</v>
      </c>
      <c r="D915" t="inlineStr">
        <is>
          <t>KALMAR LÄN</t>
        </is>
      </c>
      <c r="E915" t="inlineStr">
        <is>
          <t>VÄSTERVIK</t>
        </is>
      </c>
      <c r="G915" t="n">
        <v>3.8</v>
      </c>
      <c r="H915" t="n">
        <v>0</v>
      </c>
      <c r="I915" t="n">
        <v>0</v>
      </c>
      <c r="J915" t="n">
        <v>0</v>
      </c>
      <c r="K915" t="n">
        <v>0</v>
      </c>
      <c r="L915" t="n">
        <v>0</v>
      </c>
      <c r="M915" t="n">
        <v>0</v>
      </c>
      <c r="N915" t="n">
        <v>0</v>
      </c>
      <c r="O915" t="n">
        <v>0</v>
      </c>
      <c r="P915" t="n">
        <v>0</v>
      </c>
      <c r="Q915" t="n">
        <v>0</v>
      </c>
      <c r="R915" s="2" t="inlineStr"/>
    </row>
    <row r="916" ht="15" customHeight="1">
      <c r="A916" t="inlineStr">
        <is>
          <t>A 25180-2023</t>
        </is>
      </c>
      <c r="B916" s="1" t="n">
        <v>45086</v>
      </c>
      <c r="C916" s="1" t="n">
        <v>45991</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5923-2024</t>
        </is>
      </c>
      <c r="B917" s="1" t="n">
        <v>45335</v>
      </c>
      <c r="C917" s="1" t="n">
        <v>45991</v>
      </c>
      <c r="D917" t="inlineStr">
        <is>
          <t>KALMAR LÄN</t>
        </is>
      </c>
      <c r="E917" t="inlineStr">
        <is>
          <t>VÄSTERVIK</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61556-2023</t>
        </is>
      </c>
      <c r="B918" s="1" t="n">
        <v>45261</v>
      </c>
      <c r="C918" s="1" t="n">
        <v>45991</v>
      </c>
      <c r="D918" t="inlineStr">
        <is>
          <t>KALMAR LÄN</t>
        </is>
      </c>
      <c r="E918" t="inlineStr">
        <is>
          <t>VÄSTERVIK</t>
        </is>
      </c>
      <c r="F918" t="inlineStr">
        <is>
          <t>Övriga Aktiebolag</t>
        </is>
      </c>
      <c r="G918" t="n">
        <v>13.9</v>
      </c>
      <c r="H918" t="n">
        <v>0</v>
      </c>
      <c r="I918" t="n">
        <v>0</v>
      </c>
      <c r="J918" t="n">
        <v>0</v>
      </c>
      <c r="K918" t="n">
        <v>0</v>
      </c>
      <c r="L918" t="n">
        <v>0</v>
      </c>
      <c r="M918" t="n">
        <v>0</v>
      </c>
      <c r="N918" t="n">
        <v>0</v>
      </c>
      <c r="O918" t="n">
        <v>0</v>
      </c>
      <c r="P918" t="n">
        <v>0</v>
      </c>
      <c r="Q918" t="n">
        <v>0</v>
      </c>
      <c r="R918" s="2" t="inlineStr"/>
    </row>
    <row r="919" ht="15" customHeight="1">
      <c r="A919" t="inlineStr">
        <is>
          <t>A 29404-2024</t>
        </is>
      </c>
      <c r="B919" s="1" t="n">
        <v>45483</v>
      </c>
      <c r="C919" s="1" t="n">
        <v>45991</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25561-2024</t>
        </is>
      </c>
      <c r="B920" s="1" t="n">
        <v>45463.58467592593</v>
      </c>
      <c r="C920" s="1" t="n">
        <v>45991</v>
      </c>
      <c r="D920" t="inlineStr">
        <is>
          <t>KALMAR LÄN</t>
        </is>
      </c>
      <c r="E920" t="inlineStr">
        <is>
          <t>VÄSTERVIK</t>
        </is>
      </c>
      <c r="F920" t="inlineStr">
        <is>
          <t>Holmen skog AB</t>
        </is>
      </c>
      <c r="G920" t="n">
        <v>7.2</v>
      </c>
      <c r="H920" t="n">
        <v>0</v>
      </c>
      <c r="I920" t="n">
        <v>0</v>
      </c>
      <c r="J920" t="n">
        <v>0</v>
      </c>
      <c r="K920" t="n">
        <v>0</v>
      </c>
      <c r="L920" t="n">
        <v>0</v>
      </c>
      <c r="M920" t="n">
        <v>0</v>
      </c>
      <c r="N920" t="n">
        <v>0</v>
      </c>
      <c r="O920" t="n">
        <v>0</v>
      </c>
      <c r="P920" t="n">
        <v>0</v>
      </c>
      <c r="Q920" t="n">
        <v>0</v>
      </c>
      <c r="R920" s="2" t="inlineStr"/>
    </row>
    <row r="921" ht="15" customHeight="1">
      <c r="A921" t="inlineStr">
        <is>
          <t>A 40674-2023</t>
        </is>
      </c>
      <c r="B921" s="1" t="n">
        <v>45170.59288194445</v>
      </c>
      <c r="C921" s="1" t="n">
        <v>45991</v>
      </c>
      <c r="D921" t="inlineStr">
        <is>
          <t>KALMAR LÄN</t>
        </is>
      </c>
      <c r="E921" t="inlineStr">
        <is>
          <t>VÄSTERVIK</t>
        </is>
      </c>
      <c r="G921" t="n">
        <v>4.2</v>
      </c>
      <c r="H921" t="n">
        <v>0</v>
      </c>
      <c r="I921" t="n">
        <v>0</v>
      </c>
      <c r="J921" t="n">
        <v>0</v>
      </c>
      <c r="K921" t="n">
        <v>0</v>
      </c>
      <c r="L921" t="n">
        <v>0</v>
      </c>
      <c r="M921" t="n">
        <v>0</v>
      </c>
      <c r="N921" t="n">
        <v>0</v>
      </c>
      <c r="O921" t="n">
        <v>0</v>
      </c>
      <c r="P921" t="n">
        <v>0</v>
      </c>
      <c r="Q921" t="n">
        <v>0</v>
      </c>
      <c r="R921" s="2" t="inlineStr"/>
    </row>
    <row r="922" ht="15" customHeight="1">
      <c r="A922" t="inlineStr">
        <is>
          <t>A 40677-2023</t>
        </is>
      </c>
      <c r="B922" s="1" t="n">
        <v>45170.59443287037</v>
      </c>
      <c r="C922" s="1" t="n">
        <v>45991</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32647-2023</t>
        </is>
      </c>
      <c r="B923" s="1" t="n">
        <v>45121</v>
      </c>
      <c r="C923" s="1" t="n">
        <v>45991</v>
      </c>
      <c r="D923" t="inlineStr">
        <is>
          <t>KALMAR LÄN</t>
        </is>
      </c>
      <c r="E923" t="inlineStr">
        <is>
          <t>VÄSTERVIK</t>
        </is>
      </c>
      <c r="G923" t="n">
        <v>0.9</v>
      </c>
      <c r="H923" t="n">
        <v>0</v>
      </c>
      <c r="I923" t="n">
        <v>0</v>
      </c>
      <c r="J923" t="n">
        <v>0</v>
      </c>
      <c r="K923" t="n">
        <v>0</v>
      </c>
      <c r="L923" t="n">
        <v>0</v>
      </c>
      <c r="M923" t="n">
        <v>0</v>
      </c>
      <c r="N923" t="n">
        <v>0</v>
      </c>
      <c r="O923" t="n">
        <v>0</v>
      </c>
      <c r="P923" t="n">
        <v>0</v>
      </c>
      <c r="Q923" t="n">
        <v>0</v>
      </c>
      <c r="R923" s="2" t="inlineStr"/>
    </row>
    <row r="924" ht="15" customHeight="1">
      <c r="A924" t="inlineStr">
        <is>
          <t>A 54629-2024</t>
        </is>
      </c>
      <c r="B924" s="1" t="n">
        <v>45617.85399305556</v>
      </c>
      <c r="C924" s="1" t="n">
        <v>45991</v>
      </c>
      <c r="D924" t="inlineStr">
        <is>
          <t>KALMAR LÄN</t>
        </is>
      </c>
      <c r="E924" t="inlineStr">
        <is>
          <t>VÄSTERVIK</t>
        </is>
      </c>
      <c r="F924" t="inlineStr">
        <is>
          <t>Sveaskog</t>
        </is>
      </c>
      <c r="G924" t="n">
        <v>6.7</v>
      </c>
      <c r="H924" t="n">
        <v>0</v>
      </c>
      <c r="I924" t="n">
        <v>0</v>
      </c>
      <c r="J924" t="n">
        <v>0</v>
      </c>
      <c r="K924" t="n">
        <v>0</v>
      </c>
      <c r="L924" t="n">
        <v>0</v>
      </c>
      <c r="M924" t="n">
        <v>0</v>
      </c>
      <c r="N924" t="n">
        <v>0</v>
      </c>
      <c r="O924" t="n">
        <v>0</v>
      </c>
      <c r="P924" t="n">
        <v>0</v>
      </c>
      <c r="Q924" t="n">
        <v>0</v>
      </c>
      <c r="R924" s="2" t="inlineStr"/>
    </row>
    <row r="925" ht="15" customHeight="1">
      <c r="A925" t="inlineStr">
        <is>
          <t>A 7164-2025</t>
        </is>
      </c>
      <c r="B925" s="1" t="n">
        <v>45702.39331018519</v>
      </c>
      <c r="C925" s="1" t="n">
        <v>45991</v>
      </c>
      <c r="D925" t="inlineStr">
        <is>
          <t>KALMAR LÄN</t>
        </is>
      </c>
      <c r="E925" t="inlineStr">
        <is>
          <t>VÄSTERVIK</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56610-2022</t>
        </is>
      </c>
      <c r="B926" s="1" t="n">
        <v>44893.5862037037</v>
      </c>
      <c r="C926" s="1" t="n">
        <v>45991</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2314-2023</t>
        </is>
      </c>
      <c r="B927" s="1" t="n">
        <v>44942</v>
      </c>
      <c r="C927" s="1" t="n">
        <v>45991</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13838-2024</t>
        </is>
      </c>
      <c r="B928" s="1" t="n">
        <v>45391.44646990741</v>
      </c>
      <c r="C928" s="1" t="n">
        <v>45991</v>
      </c>
      <c r="D928" t="inlineStr">
        <is>
          <t>KALMAR LÄN</t>
        </is>
      </c>
      <c r="E928" t="inlineStr">
        <is>
          <t>VÄSTERVIK</t>
        </is>
      </c>
      <c r="F928" t="inlineStr">
        <is>
          <t>Sveaskog</t>
        </is>
      </c>
      <c r="G928" t="n">
        <v>2</v>
      </c>
      <c r="H928" t="n">
        <v>0</v>
      </c>
      <c r="I928" t="n">
        <v>0</v>
      </c>
      <c r="J928" t="n">
        <v>0</v>
      </c>
      <c r="K928" t="n">
        <v>0</v>
      </c>
      <c r="L928" t="n">
        <v>0</v>
      </c>
      <c r="M928" t="n">
        <v>0</v>
      </c>
      <c r="N928" t="n">
        <v>0</v>
      </c>
      <c r="O928" t="n">
        <v>0</v>
      </c>
      <c r="P928" t="n">
        <v>0</v>
      </c>
      <c r="Q928" t="n">
        <v>0</v>
      </c>
      <c r="R928" s="2" t="inlineStr"/>
    </row>
    <row r="929" ht="15" customHeight="1">
      <c r="A929" t="inlineStr">
        <is>
          <t>A 47527-2021</t>
        </is>
      </c>
      <c r="B929" s="1" t="n">
        <v>44447</v>
      </c>
      <c r="C929" s="1" t="n">
        <v>45991</v>
      </c>
      <c r="D929" t="inlineStr">
        <is>
          <t>KALMAR LÄN</t>
        </is>
      </c>
      <c r="E929" t="inlineStr">
        <is>
          <t>VÄSTERVIK</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36418-2023</t>
        </is>
      </c>
      <c r="B930" s="1" t="n">
        <v>45152</v>
      </c>
      <c r="C930" s="1" t="n">
        <v>45991</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c r="U930">
        <f>HYPERLINK("https://klasma.github.io/Logging_0883/knärot/A 36418-2023 karta knärot.png", "A 36418-2023")</f>
        <v/>
      </c>
      <c r="V930">
        <f>HYPERLINK("https://klasma.github.io/Logging_0883/klagomål/A 36418-2023 FSC-klagomål.docx", "A 36418-2023")</f>
        <v/>
      </c>
      <c r="W930">
        <f>HYPERLINK("https://klasma.github.io/Logging_0883/klagomålsmail/A 36418-2023 FSC-klagomål mail.docx", "A 36418-2023")</f>
        <v/>
      </c>
      <c r="X930">
        <f>HYPERLINK("https://klasma.github.io/Logging_0883/tillsyn/A 36418-2023 tillsynsbegäran.docx", "A 36418-2023")</f>
        <v/>
      </c>
      <c r="Y930">
        <f>HYPERLINK("https://klasma.github.io/Logging_0883/tillsynsmail/A 36418-2023 tillsynsbegäran mail.docx", "A 36418-2023")</f>
        <v/>
      </c>
    </row>
    <row r="931" ht="15" customHeight="1">
      <c r="A931" t="inlineStr">
        <is>
          <t>A 35959-2023</t>
        </is>
      </c>
      <c r="B931" s="1" t="n">
        <v>45148.84875</v>
      </c>
      <c r="C931" s="1" t="n">
        <v>45991</v>
      </c>
      <c r="D931" t="inlineStr">
        <is>
          <t>KALMAR LÄN</t>
        </is>
      </c>
      <c r="E931" t="inlineStr">
        <is>
          <t>VÄSTERVIK</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7934-2023</t>
        </is>
      </c>
      <c r="B932" s="1" t="n">
        <v>44973.65422453704</v>
      </c>
      <c r="C932" s="1" t="n">
        <v>45991</v>
      </c>
      <c r="D932" t="inlineStr">
        <is>
          <t>KALMAR LÄN</t>
        </is>
      </c>
      <c r="E932" t="inlineStr">
        <is>
          <t>VÄSTERVIK</t>
        </is>
      </c>
      <c r="G932" t="n">
        <v>4.1</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45991</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45991</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8005-2023</t>
        </is>
      </c>
      <c r="B935" s="1" t="n">
        <v>44973.88452546296</v>
      </c>
      <c r="C935" s="1" t="n">
        <v>45991</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45721-2022</t>
        </is>
      </c>
      <c r="B936" s="1" t="n">
        <v>44845</v>
      </c>
      <c r="C936" s="1" t="n">
        <v>45991</v>
      </c>
      <c r="D936" t="inlineStr">
        <is>
          <t>KALMAR LÄN</t>
        </is>
      </c>
      <c r="E936" t="inlineStr">
        <is>
          <t>VÄSTERVIK</t>
        </is>
      </c>
      <c r="F936" t="inlineStr">
        <is>
          <t>Holmen skog AB</t>
        </is>
      </c>
      <c r="G936" t="n">
        <v>3.3</v>
      </c>
      <c r="H936" t="n">
        <v>0</v>
      </c>
      <c r="I936" t="n">
        <v>0</v>
      </c>
      <c r="J936" t="n">
        <v>0</v>
      </c>
      <c r="K936" t="n">
        <v>0</v>
      </c>
      <c r="L936" t="n">
        <v>0</v>
      </c>
      <c r="M936" t="n">
        <v>0</v>
      </c>
      <c r="N936" t="n">
        <v>0</v>
      </c>
      <c r="O936" t="n">
        <v>0</v>
      </c>
      <c r="P936" t="n">
        <v>0</v>
      </c>
      <c r="Q936" t="n">
        <v>0</v>
      </c>
      <c r="R936" s="2" t="inlineStr"/>
      <c r="U936">
        <f>HYPERLINK("https://klasma.github.io/Logging_0883/knärot/A 45721-2022 karta knärot.png", "A 45721-2022")</f>
        <v/>
      </c>
      <c r="V936">
        <f>HYPERLINK("https://klasma.github.io/Logging_0883/klagomål/A 45721-2022 FSC-klagomål.docx", "A 45721-2022")</f>
        <v/>
      </c>
      <c r="W936">
        <f>HYPERLINK("https://klasma.github.io/Logging_0883/klagomålsmail/A 45721-2022 FSC-klagomål mail.docx", "A 45721-2022")</f>
        <v/>
      </c>
      <c r="X936">
        <f>HYPERLINK("https://klasma.github.io/Logging_0883/tillsyn/A 45721-2022 tillsynsbegäran.docx", "A 45721-2022")</f>
        <v/>
      </c>
      <c r="Y936">
        <f>HYPERLINK("https://klasma.github.io/Logging_0883/tillsynsmail/A 45721-2022 tillsynsbegäran mail.docx", "A 45721-2022")</f>
        <v/>
      </c>
    </row>
    <row r="937" ht="15" customHeight="1">
      <c r="A937" t="inlineStr">
        <is>
          <t>A 47267-2023</t>
        </is>
      </c>
      <c r="B937" s="1" t="n">
        <v>45202.42667824074</v>
      </c>
      <c r="C937" s="1" t="n">
        <v>45991</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33814-2023</t>
        </is>
      </c>
      <c r="B938" s="1" t="n">
        <v>45133.59230324074</v>
      </c>
      <c r="C938" s="1" t="n">
        <v>45991</v>
      </c>
      <c r="D938" t="inlineStr">
        <is>
          <t>KALMAR LÄN</t>
        </is>
      </c>
      <c r="E938" t="inlineStr">
        <is>
          <t>VÄSTERVIK</t>
        </is>
      </c>
      <c r="G938" t="n">
        <v>3.9</v>
      </c>
      <c r="H938" t="n">
        <v>0</v>
      </c>
      <c r="I938" t="n">
        <v>0</v>
      </c>
      <c r="J938" t="n">
        <v>0</v>
      </c>
      <c r="K938" t="n">
        <v>0</v>
      </c>
      <c r="L938" t="n">
        <v>0</v>
      </c>
      <c r="M938" t="n">
        <v>0</v>
      </c>
      <c r="N938" t="n">
        <v>0</v>
      </c>
      <c r="O938" t="n">
        <v>0</v>
      </c>
      <c r="P938" t="n">
        <v>0</v>
      </c>
      <c r="Q938" t="n">
        <v>0</v>
      </c>
      <c r="R938" s="2" t="inlineStr"/>
    </row>
    <row r="939" ht="15" customHeight="1">
      <c r="A939" t="inlineStr">
        <is>
          <t>A 8382-2023</t>
        </is>
      </c>
      <c r="B939" s="1" t="n">
        <v>44977.40112268519</v>
      </c>
      <c r="C939" s="1" t="n">
        <v>45991</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55565-2024</t>
        </is>
      </c>
      <c r="B940" s="1" t="n">
        <v>45622.54515046296</v>
      </c>
      <c r="C940" s="1" t="n">
        <v>45991</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10515-2024</t>
        </is>
      </c>
      <c r="B941" s="1" t="n">
        <v>45366</v>
      </c>
      <c r="C941" s="1" t="n">
        <v>45991</v>
      </c>
      <c r="D941" t="inlineStr">
        <is>
          <t>KALMAR LÄN</t>
        </is>
      </c>
      <c r="E941" t="inlineStr">
        <is>
          <t>VÄSTERVIK</t>
        </is>
      </c>
      <c r="F941" t="inlineStr">
        <is>
          <t>Kyrkan</t>
        </is>
      </c>
      <c r="G941" t="n">
        <v>3.5</v>
      </c>
      <c r="H941" t="n">
        <v>0</v>
      </c>
      <c r="I941" t="n">
        <v>0</v>
      </c>
      <c r="J941" t="n">
        <v>0</v>
      </c>
      <c r="K941" t="n">
        <v>0</v>
      </c>
      <c r="L941" t="n">
        <v>0</v>
      </c>
      <c r="M941" t="n">
        <v>0</v>
      </c>
      <c r="N941" t="n">
        <v>0</v>
      </c>
      <c r="O941" t="n">
        <v>0</v>
      </c>
      <c r="P941" t="n">
        <v>0</v>
      </c>
      <c r="Q941" t="n">
        <v>0</v>
      </c>
      <c r="R941" s="2" t="inlineStr"/>
    </row>
    <row r="942" ht="15" customHeight="1">
      <c r="A942" t="inlineStr">
        <is>
          <t>A 29786-2024</t>
        </is>
      </c>
      <c r="B942" s="1" t="n">
        <v>45485.46388888889</v>
      </c>
      <c r="C942" s="1" t="n">
        <v>45991</v>
      </c>
      <c r="D942" t="inlineStr">
        <is>
          <t>KALMAR LÄN</t>
        </is>
      </c>
      <c r="E942" t="inlineStr">
        <is>
          <t>VÄSTERVIK</t>
        </is>
      </c>
      <c r="G942" t="n">
        <v>2.1</v>
      </c>
      <c r="H942" t="n">
        <v>0</v>
      </c>
      <c r="I942" t="n">
        <v>0</v>
      </c>
      <c r="J942" t="n">
        <v>0</v>
      </c>
      <c r="K942" t="n">
        <v>0</v>
      </c>
      <c r="L942" t="n">
        <v>0</v>
      </c>
      <c r="M942" t="n">
        <v>0</v>
      </c>
      <c r="N942" t="n">
        <v>0</v>
      </c>
      <c r="O942" t="n">
        <v>0</v>
      </c>
      <c r="P942" t="n">
        <v>0</v>
      </c>
      <c r="Q942" t="n">
        <v>0</v>
      </c>
      <c r="R942" s="2" t="inlineStr"/>
    </row>
    <row r="943" ht="15" customHeight="1">
      <c r="A943" t="inlineStr">
        <is>
          <t>A 2859-2025</t>
        </is>
      </c>
      <c r="B943" s="1" t="n">
        <v>45677.67003472222</v>
      </c>
      <c r="C943" s="1" t="n">
        <v>45991</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2870-2025</t>
        </is>
      </c>
      <c r="B944" s="1" t="n">
        <v>45677.68149305556</v>
      </c>
      <c r="C944" s="1" t="n">
        <v>45991</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60710-2022</t>
        </is>
      </c>
      <c r="B945" s="1" t="n">
        <v>44912</v>
      </c>
      <c r="C945" s="1" t="n">
        <v>45991</v>
      </c>
      <c r="D945" t="inlineStr">
        <is>
          <t>KALMAR LÄN</t>
        </is>
      </c>
      <c r="E945" t="inlineStr">
        <is>
          <t>VÄSTERVIK</t>
        </is>
      </c>
      <c r="F945" t="inlineStr">
        <is>
          <t>Övriga Aktiebolag</t>
        </is>
      </c>
      <c r="G945" t="n">
        <v>0.6</v>
      </c>
      <c r="H945" t="n">
        <v>0</v>
      </c>
      <c r="I945" t="n">
        <v>0</v>
      </c>
      <c r="J945" t="n">
        <v>0</v>
      </c>
      <c r="K945" t="n">
        <v>0</v>
      </c>
      <c r="L945" t="n">
        <v>0</v>
      </c>
      <c r="M945" t="n">
        <v>0</v>
      </c>
      <c r="N945" t="n">
        <v>0</v>
      </c>
      <c r="O945" t="n">
        <v>0</v>
      </c>
      <c r="P945" t="n">
        <v>0</v>
      </c>
      <c r="Q945" t="n">
        <v>0</v>
      </c>
      <c r="R945" s="2" t="inlineStr"/>
    </row>
    <row r="946" ht="15" customHeight="1">
      <c r="A946" t="inlineStr">
        <is>
          <t>A 55047-2024</t>
        </is>
      </c>
      <c r="B946" s="1" t="n">
        <v>45621.39516203704</v>
      </c>
      <c r="C946" s="1" t="n">
        <v>45991</v>
      </c>
      <c r="D946" t="inlineStr">
        <is>
          <t>KALMAR LÄN</t>
        </is>
      </c>
      <c r="E946" t="inlineStr">
        <is>
          <t>VÄSTERVIK</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5769-2023</t>
        </is>
      </c>
      <c r="B947" s="1" t="n">
        <v>44963.37194444444</v>
      </c>
      <c r="C947" s="1" t="n">
        <v>45991</v>
      </c>
      <c r="D947" t="inlineStr">
        <is>
          <t>KALMAR LÄN</t>
        </is>
      </c>
      <c r="E947" t="inlineStr">
        <is>
          <t>VÄSTERVIK</t>
        </is>
      </c>
      <c r="F947" t="inlineStr">
        <is>
          <t>Holmen skog AB</t>
        </is>
      </c>
      <c r="G947" t="n">
        <v>1.2</v>
      </c>
      <c r="H947" t="n">
        <v>0</v>
      </c>
      <c r="I947" t="n">
        <v>0</v>
      </c>
      <c r="J947" t="n">
        <v>0</v>
      </c>
      <c r="K947" t="n">
        <v>0</v>
      </c>
      <c r="L947" t="n">
        <v>0</v>
      </c>
      <c r="M947" t="n">
        <v>0</v>
      </c>
      <c r="N947" t="n">
        <v>0</v>
      </c>
      <c r="O947" t="n">
        <v>0</v>
      </c>
      <c r="P947" t="n">
        <v>0</v>
      </c>
      <c r="Q947" t="n">
        <v>0</v>
      </c>
      <c r="R947" s="2" t="inlineStr"/>
    </row>
    <row r="948" ht="15" customHeight="1">
      <c r="A948" t="inlineStr">
        <is>
          <t>A 34471-2024</t>
        </is>
      </c>
      <c r="B948" s="1" t="n">
        <v>45525.59111111111</v>
      </c>
      <c r="C948" s="1" t="n">
        <v>45991</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60263-2022</t>
        </is>
      </c>
      <c r="B949" s="1" t="n">
        <v>44910.48520833333</v>
      </c>
      <c r="C949" s="1" t="n">
        <v>45991</v>
      </c>
      <c r="D949" t="inlineStr">
        <is>
          <t>KALMAR LÄN</t>
        </is>
      </c>
      <c r="E949" t="inlineStr">
        <is>
          <t>VÄSTERVIK</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31691-2023</t>
        </is>
      </c>
      <c r="B950" s="1" t="n">
        <v>45117.72543981481</v>
      </c>
      <c r="C950" s="1" t="n">
        <v>45991</v>
      </c>
      <c r="D950" t="inlineStr">
        <is>
          <t>KALMAR LÄN</t>
        </is>
      </c>
      <c r="E950" t="inlineStr">
        <is>
          <t>VÄSTERVIK</t>
        </is>
      </c>
      <c r="G950" t="n">
        <v>0.6</v>
      </c>
      <c r="H950" t="n">
        <v>0</v>
      </c>
      <c r="I950" t="n">
        <v>0</v>
      </c>
      <c r="J950" t="n">
        <v>0</v>
      </c>
      <c r="K950" t="n">
        <v>0</v>
      </c>
      <c r="L950" t="n">
        <v>0</v>
      </c>
      <c r="M950" t="n">
        <v>0</v>
      </c>
      <c r="N950" t="n">
        <v>0</v>
      </c>
      <c r="O950" t="n">
        <v>0</v>
      </c>
      <c r="P950" t="n">
        <v>0</v>
      </c>
      <c r="Q950" t="n">
        <v>0</v>
      </c>
      <c r="R950" s="2" t="inlineStr"/>
    </row>
    <row r="951" ht="15" customHeight="1">
      <c r="A951" t="inlineStr">
        <is>
          <t>A 5348-2024</t>
        </is>
      </c>
      <c r="B951" s="1" t="n">
        <v>45331</v>
      </c>
      <c r="C951" s="1" t="n">
        <v>45991</v>
      </c>
      <c r="D951" t="inlineStr">
        <is>
          <t>KALMAR LÄN</t>
        </is>
      </c>
      <c r="E951" t="inlineStr">
        <is>
          <t>VÄSTERVIK</t>
        </is>
      </c>
      <c r="F951" t="inlineStr">
        <is>
          <t>Övriga Aktiebolag</t>
        </is>
      </c>
      <c r="G951" t="n">
        <v>0.8</v>
      </c>
      <c r="H951" t="n">
        <v>0</v>
      </c>
      <c r="I951" t="n">
        <v>0</v>
      </c>
      <c r="J951" t="n">
        <v>0</v>
      </c>
      <c r="K951" t="n">
        <v>0</v>
      </c>
      <c r="L951" t="n">
        <v>0</v>
      </c>
      <c r="M951" t="n">
        <v>0</v>
      </c>
      <c r="N951" t="n">
        <v>0</v>
      </c>
      <c r="O951" t="n">
        <v>0</v>
      </c>
      <c r="P951" t="n">
        <v>0</v>
      </c>
      <c r="Q951" t="n">
        <v>0</v>
      </c>
      <c r="R951" s="2" t="inlineStr"/>
    </row>
    <row r="952" ht="15" customHeight="1">
      <c r="A952" t="inlineStr">
        <is>
          <t>A 10807-2023</t>
        </is>
      </c>
      <c r="B952" s="1" t="n">
        <v>44989.64261574074</v>
      </c>
      <c r="C952" s="1" t="n">
        <v>45991</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30035-2023</t>
        </is>
      </c>
      <c r="B953" s="1" t="n">
        <v>45110</v>
      </c>
      <c r="C953" s="1" t="n">
        <v>45991</v>
      </c>
      <c r="D953" t="inlineStr">
        <is>
          <t>KALMAR LÄN</t>
        </is>
      </c>
      <c r="E953" t="inlineStr">
        <is>
          <t>VÄSTERVIK</t>
        </is>
      </c>
      <c r="F953" t="inlineStr">
        <is>
          <t>Holmen skog AB</t>
        </is>
      </c>
      <c r="G953" t="n">
        <v>1.1</v>
      </c>
      <c r="H953" t="n">
        <v>0</v>
      </c>
      <c r="I953" t="n">
        <v>0</v>
      </c>
      <c r="J953" t="n">
        <v>0</v>
      </c>
      <c r="K953" t="n">
        <v>0</v>
      </c>
      <c r="L953" t="n">
        <v>0</v>
      </c>
      <c r="M953" t="n">
        <v>0</v>
      </c>
      <c r="N953" t="n">
        <v>0</v>
      </c>
      <c r="O953" t="n">
        <v>0</v>
      </c>
      <c r="P953" t="n">
        <v>0</v>
      </c>
      <c r="Q953" t="n">
        <v>0</v>
      </c>
      <c r="R953" s="2" t="inlineStr"/>
    </row>
    <row r="954" ht="15" customHeight="1">
      <c r="A954" t="inlineStr">
        <is>
          <t>A 32822-2021</t>
        </is>
      </c>
      <c r="B954" s="1" t="n">
        <v>44375</v>
      </c>
      <c r="C954" s="1" t="n">
        <v>45991</v>
      </c>
      <c r="D954" t="inlineStr">
        <is>
          <t>KALMAR LÄN</t>
        </is>
      </c>
      <c r="E954" t="inlineStr">
        <is>
          <t>VÄSTERVIK</t>
        </is>
      </c>
      <c r="G954" t="n">
        <v>5.1</v>
      </c>
      <c r="H954" t="n">
        <v>0</v>
      </c>
      <c r="I954" t="n">
        <v>0</v>
      </c>
      <c r="J954" t="n">
        <v>0</v>
      </c>
      <c r="K954" t="n">
        <v>0</v>
      </c>
      <c r="L954" t="n">
        <v>0</v>
      </c>
      <c r="M954" t="n">
        <v>0</v>
      </c>
      <c r="N954" t="n">
        <v>0</v>
      </c>
      <c r="O954" t="n">
        <v>0</v>
      </c>
      <c r="P954" t="n">
        <v>0</v>
      </c>
      <c r="Q954" t="n">
        <v>0</v>
      </c>
      <c r="R954" s="2" t="inlineStr"/>
    </row>
    <row r="955" ht="15" customHeight="1">
      <c r="A955" t="inlineStr">
        <is>
          <t>A 61580-2022</t>
        </is>
      </c>
      <c r="B955" s="1" t="n">
        <v>44916.62880787037</v>
      </c>
      <c r="C955" s="1" t="n">
        <v>45991</v>
      </c>
      <c r="D955" t="inlineStr">
        <is>
          <t>KALMAR LÄN</t>
        </is>
      </c>
      <c r="E955" t="inlineStr">
        <is>
          <t>VÄSTERVIK</t>
        </is>
      </c>
      <c r="G955" t="n">
        <v>3.5</v>
      </c>
      <c r="H955" t="n">
        <v>0</v>
      </c>
      <c r="I955" t="n">
        <v>0</v>
      </c>
      <c r="J955" t="n">
        <v>0</v>
      </c>
      <c r="K955" t="n">
        <v>0</v>
      </c>
      <c r="L955" t="n">
        <v>0</v>
      </c>
      <c r="M955" t="n">
        <v>0</v>
      </c>
      <c r="N955" t="n">
        <v>0</v>
      </c>
      <c r="O955" t="n">
        <v>0</v>
      </c>
      <c r="P955" t="n">
        <v>0</v>
      </c>
      <c r="Q955" t="n">
        <v>0</v>
      </c>
      <c r="R955" s="2" t="inlineStr"/>
    </row>
    <row r="956" ht="15" customHeight="1">
      <c r="A956" t="inlineStr">
        <is>
          <t>A 21255-2021</t>
        </is>
      </c>
      <c r="B956" s="1" t="n">
        <v>44320.5672337963</v>
      </c>
      <c r="C956" s="1" t="n">
        <v>45991</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59695-2023</t>
        </is>
      </c>
      <c r="B957" s="1" t="n">
        <v>45256.85107638889</v>
      </c>
      <c r="C957" s="1" t="n">
        <v>45991</v>
      </c>
      <c r="D957" t="inlineStr">
        <is>
          <t>KALMAR LÄN</t>
        </is>
      </c>
      <c r="E957" t="inlineStr">
        <is>
          <t>VÄSTERVIK</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71114-2021</t>
        </is>
      </c>
      <c r="B958" s="1" t="n">
        <v>44539.37123842593</v>
      </c>
      <c r="C958" s="1" t="n">
        <v>45991</v>
      </c>
      <c r="D958" t="inlineStr">
        <is>
          <t>KALMAR LÄN</t>
        </is>
      </c>
      <c r="E958" t="inlineStr">
        <is>
          <t>VÄSTERVIK</t>
        </is>
      </c>
      <c r="G958" t="n">
        <v>1.9</v>
      </c>
      <c r="H958" t="n">
        <v>0</v>
      </c>
      <c r="I958" t="n">
        <v>0</v>
      </c>
      <c r="J958" t="n">
        <v>0</v>
      </c>
      <c r="K958" t="n">
        <v>0</v>
      </c>
      <c r="L958" t="n">
        <v>0</v>
      </c>
      <c r="M958" t="n">
        <v>0</v>
      </c>
      <c r="N958" t="n">
        <v>0</v>
      </c>
      <c r="O958" t="n">
        <v>0</v>
      </c>
      <c r="P958" t="n">
        <v>0</v>
      </c>
      <c r="Q958" t="n">
        <v>0</v>
      </c>
      <c r="R958" s="2" t="inlineStr"/>
    </row>
    <row r="959" ht="15" customHeight="1">
      <c r="A959" t="inlineStr">
        <is>
          <t>A 59212-2022</t>
        </is>
      </c>
      <c r="B959" s="1" t="n">
        <v>44904.52560185185</v>
      </c>
      <c r="C959" s="1" t="n">
        <v>45991</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59227-2022</t>
        </is>
      </c>
      <c r="B960" s="1" t="n">
        <v>44904</v>
      </c>
      <c r="C960" s="1" t="n">
        <v>45991</v>
      </c>
      <c r="D960" t="inlineStr">
        <is>
          <t>KALMAR LÄN</t>
        </is>
      </c>
      <c r="E960" t="inlineStr">
        <is>
          <t>VÄSTERVIK</t>
        </is>
      </c>
      <c r="G960" t="n">
        <v>6</v>
      </c>
      <c r="H960" t="n">
        <v>0</v>
      </c>
      <c r="I960" t="n">
        <v>0</v>
      </c>
      <c r="J960" t="n">
        <v>0</v>
      </c>
      <c r="K960" t="n">
        <v>0</v>
      </c>
      <c r="L960" t="n">
        <v>0</v>
      </c>
      <c r="M960" t="n">
        <v>0</v>
      </c>
      <c r="N960" t="n">
        <v>0</v>
      </c>
      <c r="O960" t="n">
        <v>0</v>
      </c>
      <c r="P960" t="n">
        <v>0</v>
      </c>
      <c r="Q960" t="n">
        <v>0</v>
      </c>
      <c r="R960" s="2" t="inlineStr"/>
    </row>
    <row r="961" ht="15" customHeight="1">
      <c r="A961" t="inlineStr">
        <is>
          <t>A 47945-2023</t>
        </is>
      </c>
      <c r="B961" s="1" t="n">
        <v>45204.5684837963</v>
      </c>
      <c r="C961" s="1" t="n">
        <v>45991</v>
      </c>
      <c r="D961" t="inlineStr">
        <is>
          <t>KALMAR LÄN</t>
        </is>
      </c>
      <c r="E961" t="inlineStr">
        <is>
          <t>VÄSTERVIK</t>
        </is>
      </c>
      <c r="G961" t="n">
        <v>2</v>
      </c>
      <c r="H961" t="n">
        <v>0</v>
      </c>
      <c r="I961" t="n">
        <v>0</v>
      </c>
      <c r="J961" t="n">
        <v>0</v>
      </c>
      <c r="K961" t="n">
        <v>0</v>
      </c>
      <c r="L961" t="n">
        <v>0</v>
      </c>
      <c r="M961" t="n">
        <v>0</v>
      </c>
      <c r="N961" t="n">
        <v>0</v>
      </c>
      <c r="O961" t="n">
        <v>0</v>
      </c>
      <c r="P961" t="n">
        <v>0</v>
      </c>
      <c r="Q961" t="n">
        <v>0</v>
      </c>
      <c r="R961" s="2" t="inlineStr"/>
    </row>
    <row r="962" ht="15" customHeight="1">
      <c r="A962" t="inlineStr">
        <is>
          <t>A 12520-2021</t>
        </is>
      </c>
      <c r="B962" s="1" t="n">
        <v>44269</v>
      </c>
      <c r="C962" s="1" t="n">
        <v>45991</v>
      </c>
      <c r="D962" t="inlineStr">
        <is>
          <t>KALMAR LÄN</t>
        </is>
      </c>
      <c r="E962" t="inlineStr">
        <is>
          <t>VÄSTERVIK</t>
        </is>
      </c>
      <c r="G962" t="n">
        <v>1.6</v>
      </c>
      <c r="H962" t="n">
        <v>0</v>
      </c>
      <c r="I962" t="n">
        <v>0</v>
      </c>
      <c r="J962" t="n">
        <v>0</v>
      </c>
      <c r="K962" t="n">
        <v>0</v>
      </c>
      <c r="L962" t="n">
        <v>0</v>
      </c>
      <c r="M962" t="n">
        <v>0</v>
      </c>
      <c r="N962" t="n">
        <v>0</v>
      </c>
      <c r="O962" t="n">
        <v>0</v>
      </c>
      <c r="P962" t="n">
        <v>0</v>
      </c>
      <c r="Q962" t="n">
        <v>0</v>
      </c>
      <c r="R962" s="2" t="inlineStr"/>
    </row>
    <row r="963" ht="15" customHeight="1">
      <c r="A963" t="inlineStr">
        <is>
          <t>A 35652-2023</t>
        </is>
      </c>
      <c r="B963" s="1" t="n">
        <v>45147.59215277778</v>
      </c>
      <c r="C963" s="1" t="n">
        <v>45991</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18068-2023</t>
        </is>
      </c>
      <c r="B964" s="1" t="n">
        <v>45040</v>
      </c>
      <c r="C964" s="1" t="n">
        <v>45991</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18143-2024</t>
        </is>
      </c>
      <c r="B965" s="1" t="n">
        <v>45420</v>
      </c>
      <c r="C965" s="1" t="n">
        <v>45991</v>
      </c>
      <c r="D965" t="inlineStr">
        <is>
          <t>KALMAR LÄN</t>
        </is>
      </c>
      <c r="E965" t="inlineStr">
        <is>
          <t>VÄSTERVIK</t>
        </is>
      </c>
      <c r="G965" t="n">
        <v>3</v>
      </c>
      <c r="H965" t="n">
        <v>0</v>
      </c>
      <c r="I965" t="n">
        <v>0</v>
      </c>
      <c r="J965" t="n">
        <v>0</v>
      </c>
      <c r="K965" t="n">
        <v>0</v>
      </c>
      <c r="L965" t="n">
        <v>0</v>
      </c>
      <c r="M965" t="n">
        <v>0</v>
      </c>
      <c r="N965" t="n">
        <v>0</v>
      </c>
      <c r="O965" t="n">
        <v>0</v>
      </c>
      <c r="P965" t="n">
        <v>0</v>
      </c>
      <c r="Q965" t="n">
        <v>0</v>
      </c>
      <c r="R965" s="2" t="inlineStr"/>
    </row>
    <row r="966" ht="15" customHeight="1">
      <c r="A966" t="inlineStr">
        <is>
          <t>A 21942-2023</t>
        </is>
      </c>
      <c r="B966" s="1" t="n">
        <v>45068</v>
      </c>
      <c r="C966" s="1" t="n">
        <v>45991</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58216-2022</t>
        </is>
      </c>
      <c r="B967" s="1" t="n">
        <v>44901.36292824074</v>
      </c>
      <c r="C967" s="1" t="n">
        <v>45991</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15379-2025</t>
        </is>
      </c>
      <c r="B968" s="1" t="n">
        <v>45747.40813657407</v>
      </c>
      <c r="C968" s="1" t="n">
        <v>45991</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11791-2024</t>
        </is>
      </c>
      <c r="B969" s="1" t="n">
        <v>45374.97038194445</v>
      </c>
      <c r="C969" s="1" t="n">
        <v>45991</v>
      </c>
      <c r="D969" t="inlineStr">
        <is>
          <t>KALMAR LÄN</t>
        </is>
      </c>
      <c r="E969" t="inlineStr">
        <is>
          <t>VÄSTERVIK</t>
        </is>
      </c>
      <c r="G969" t="n">
        <v>3.4</v>
      </c>
      <c r="H969" t="n">
        <v>0</v>
      </c>
      <c r="I969" t="n">
        <v>0</v>
      </c>
      <c r="J969" t="n">
        <v>0</v>
      </c>
      <c r="K969" t="n">
        <v>0</v>
      </c>
      <c r="L969" t="n">
        <v>0</v>
      </c>
      <c r="M969" t="n">
        <v>0</v>
      </c>
      <c r="N969" t="n">
        <v>0</v>
      </c>
      <c r="O969" t="n">
        <v>0</v>
      </c>
      <c r="P969" t="n">
        <v>0</v>
      </c>
      <c r="Q969" t="n">
        <v>0</v>
      </c>
      <c r="R969" s="2" t="inlineStr"/>
    </row>
    <row r="970" ht="15" customHeight="1">
      <c r="A970" t="inlineStr">
        <is>
          <t>A 6938-2025</t>
        </is>
      </c>
      <c r="B970" s="1" t="n">
        <v>45701.46288194445</v>
      </c>
      <c r="C970" s="1" t="n">
        <v>45991</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58764-2024</t>
        </is>
      </c>
      <c r="B971" s="1" t="n">
        <v>45635.72293981481</v>
      </c>
      <c r="C971" s="1" t="n">
        <v>45991</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925-2024</t>
        </is>
      </c>
      <c r="B972" s="1" t="n">
        <v>45301</v>
      </c>
      <c r="C972" s="1" t="n">
        <v>45991</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24881-2023</t>
        </is>
      </c>
      <c r="B973" s="1" t="n">
        <v>45085</v>
      </c>
      <c r="C973" s="1" t="n">
        <v>45991</v>
      </c>
      <c r="D973" t="inlineStr">
        <is>
          <t>KALMAR LÄN</t>
        </is>
      </c>
      <c r="E973" t="inlineStr">
        <is>
          <t>VÄSTERVIK</t>
        </is>
      </c>
      <c r="F973" t="inlineStr">
        <is>
          <t>Holmen skog AB</t>
        </is>
      </c>
      <c r="G973" t="n">
        <v>1.6</v>
      </c>
      <c r="H973" t="n">
        <v>0</v>
      </c>
      <c r="I973" t="n">
        <v>0</v>
      </c>
      <c r="J973" t="n">
        <v>0</v>
      </c>
      <c r="K973" t="n">
        <v>0</v>
      </c>
      <c r="L973" t="n">
        <v>0</v>
      </c>
      <c r="M973" t="n">
        <v>0</v>
      </c>
      <c r="N973" t="n">
        <v>0</v>
      </c>
      <c r="O973" t="n">
        <v>0</v>
      </c>
      <c r="P973" t="n">
        <v>0</v>
      </c>
      <c r="Q973" t="n">
        <v>0</v>
      </c>
      <c r="R973" s="2" t="inlineStr"/>
    </row>
    <row r="974" ht="15" customHeight="1">
      <c r="A974" t="inlineStr">
        <is>
          <t>A 39982-2024</t>
        </is>
      </c>
      <c r="B974" s="1" t="n">
        <v>45553.61355324074</v>
      </c>
      <c r="C974" s="1" t="n">
        <v>45991</v>
      </c>
      <c r="D974" t="inlineStr">
        <is>
          <t>KALMAR LÄN</t>
        </is>
      </c>
      <c r="E974" t="inlineStr">
        <is>
          <t>VÄSTERVIK</t>
        </is>
      </c>
      <c r="G974" t="n">
        <v>2.1</v>
      </c>
      <c r="H974" t="n">
        <v>0</v>
      </c>
      <c r="I974" t="n">
        <v>0</v>
      </c>
      <c r="J974" t="n">
        <v>0</v>
      </c>
      <c r="K974" t="n">
        <v>0</v>
      </c>
      <c r="L974" t="n">
        <v>0</v>
      </c>
      <c r="M974" t="n">
        <v>0</v>
      </c>
      <c r="N974" t="n">
        <v>0</v>
      </c>
      <c r="O974" t="n">
        <v>0</v>
      </c>
      <c r="P974" t="n">
        <v>0</v>
      </c>
      <c r="Q974" t="n">
        <v>0</v>
      </c>
      <c r="R974" s="2" t="inlineStr"/>
    </row>
    <row r="975" ht="15" customHeight="1">
      <c r="A975" t="inlineStr">
        <is>
          <t>A 28895-2023</t>
        </is>
      </c>
      <c r="B975" s="1" t="n">
        <v>45104</v>
      </c>
      <c r="C975" s="1" t="n">
        <v>45991</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25488-2023</t>
        </is>
      </c>
      <c r="B976" s="1" t="n">
        <v>45089</v>
      </c>
      <c r="C976" s="1" t="n">
        <v>45991</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15875-2023</t>
        </is>
      </c>
      <c r="B977" s="1" t="n">
        <v>45022.41916666667</v>
      </c>
      <c r="C977" s="1" t="n">
        <v>45991</v>
      </c>
      <c r="D977" t="inlineStr">
        <is>
          <t>KALMAR LÄN</t>
        </is>
      </c>
      <c r="E977" t="inlineStr">
        <is>
          <t>VÄSTERVIK</t>
        </is>
      </c>
      <c r="F977" t="inlineStr">
        <is>
          <t>Kyrkan</t>
        </is>
      </c>
      <c r="G977" t="n">
        <v>3.2</v>
      </c>
      <c r="H977" t="n">
        <v>0</v>
      </c>
      <c r="I977" t="n">
        <v>0</v>
      </c>
      <c r="J977" t="n">
        <v>0</v>
      </c>
      <c r="K977" t="n">
        <v>0</v>
      </c>
      <c r="L977" t="n">
        <v>0</v>
      </c>
      <c r="M977" t="n">
        <v>0</v>
      </c>
      <c r="N977" t="n">
        <v>0</v>
      </c>
      <c r="O977" t="n">
        <v>0</v>
      </c>
      <c r="P977" t="n">
        <v>0</v>
      </c>
      <c r="Q977" t="n">
        <v>0</v>
      </c>
      <c r="R977" s="2" t="inlineStr"/>
    </row>
    <row r="978" ht="15" customHeight="1">
      <c r="A978" t="inlineStr">
        <is>
          <t>A 58090-2021</t>
        </is>
      </c>
      <c r="B978" s="1" t="n">
        <v>44487.50277777778</v>
      </c>
      <c r="C978" s="1" t="n">
        <v>45991</v>
      </c>
      <c r="D978" t="inlineStr">
        <is>
          <t>KALMAR LÄN</t>
        </is>
      </c>
      <c r="E978" t="inlineStr">
        <is>
          <t>VÄSTERVIK</t>
        </is>
      </c>
      <c r="G978" t="n">
        <v>2.9</v>
      </c>
      <c r="H978" t="n">
        <v>0</v>
      </c>
      <c r="I978" t="n">
        <v>0</v>
      </c>
      <c r="J978" t="n">
        <v>0</v>
      </c>
      <c r="K978" t="n">
        <v>0</v>
      </c>
      <c r="L978" t="n">
        <v>0</v>
      </c>
      <c r="M978" t="n">
        <v>0</v>
      </c>
      <c r="N978" t="n">
        <v>0</v>
      </c>
      <c r="O978" t="n">
        <v>0</v>
      </c>
      <c r="P978" t="n">
        <v>0</v>
      </c>
      <c r="Q978" t="n">
        <v>0</v>
      </c>
      <c r="R978" s="2" t="inlineStr"/>
    </row>
    <row r="979" ht="15" customHeight="1">
      <c r="A979" t="inlineStr">
        <is>
          <t>A 17052-2025</t>
        </is>
      </c>
      <c r="B979" s="1" t="n">
        <v>45755.60236111111</v>
      </c>
      <c r="C979" s="1" t="n">
        <v>45991</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17054-2025</t>
        </is>
      </c>
      <c r="B980" s="1" t="n">
        <v>45755.60278935185</v>
      </c>
      <c r="C980" s="1" t="n">
        <v>45991</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23743-2022</t>
        </is>
      </c>
      <c r="B981" s="1" t="n">
        <v>44722.35611111111</v>
      </c>
      <c r="C981" s="1" t="n">
        <v>45991</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37326-2024</t>
        </is>
      </c>
      <c r="B982" s="1" t="n">
        <v>45540</v>
      </c>
      <c r="C982" s="1" t="n">
        <v>45991</v>
      </c>
      <c r="D982" t="inlineStr">
        <is>
          <t>KALMAR LÄN</t>
        </is>
      </c>
      <c r="E982" t="inlineStr">
        <is>
          <t>VÄSTERVIK</t>
        </is>
      </c>
      <c r="F982" t="inlineStr">
        <is>
          <t>Holmen skog AB</t>
        </is>
      </c>
      <c r="G982" t="n">
        <v>6</v>
      </c>
      <c r="H982" t="n">
        <v>0</v>
      </c>
      <c r="I982" t="n">
        <v>0</v>
      </c>
      <c r="J982" t="n">
        <v>0</v>
      </c>
      <c r="K982" t="n">
        <v>0</v>
      </c>
      <c r="L982" t="n">
        <v>0</v>
      </c>
      <c r="M982" t="n">
        <v>0</v>
      </c>
      <c r="N982" t="n">
        <v>0</v>
      </c>
      <c r="O982" t="n">
        <v>0</v>
      </c>
      <c r="P982" t="n">
        <v>0</v>
      </c>
      <c r="Q982" t="n">
        <v>0</v>
      </c>
      <c r="R982" s="2" t="inlineStr"/>
    </row>
    <row r="983" ht="15" customHeight="1">
      <c r="A983" t="inlineStr">
        <is>
          <t>A 29789-2024</t>
        </is>
      </c>
      <c r="B983" s="1" t="n">
        <v>45485.46721064814</v>
      </c>
      <c r="C983" s="1" t="n">
        <v>45991</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59675-2022</t>
        </is>
      </c>
      <c r="B984" s="1" t="n">
        <v>44908</v>
      </c>
      <c r="C984" s="1" t="n">
        <v>45991</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50911-2022</t>
        </is>
      </c>
      <c r="B985" s="1" t="n">
        <v>44867.62262731481</v>
      </c>
      <c r="C985" s="1" t="n">
        <v>45991</v>
      </c>
      <c r="D985" t="inlineStr">
        <is>
          <t>KALMAR LÄN</t>
        </is>
      </c>
      <c r="E985" t="inlineStr">
        <is>
          <t>VÄSTERVIK</t>
        </is>
      </c>
      <c r="F985" t="inlineStr">
        <is>
          <t>Sveaskog</t>
        </is>
      </c>
      <c r="G985" t="n">
        <v>3</v>
      </c>
      <c r="H985" t="n">
        <v>0</v>
      </c>
      <c r="I985" t="n">
        <v>0</v>
      </c>
      <c r="J985" t="n">
        <v>0</v>
      </c>
      <c r="K985" t="n">
        <v>0</v>
      </c>
      <c r="L985" t="n">
        <v>0</v>
      </c>
      <c r="M985" t="n">
        <v>0</v>
      </c>
      <c r="N985" t="n">
        <v>0</v>
      </c>
      <c r="O985" t="n">
        <v>0</v>
      </c>
      <c r="P985" t="n">
        <v>0</v>
      </c>
      <c r="Q985" t="n">
        <v>0</v>
      </c>
      <c r="R985" s="2" t="inlineStr"/>
    </row>
    <row r="986" ht="15" customHeight="1">
      <c r="A986" t="inlineStr">
        <is>
          <t>A 26061-2024</t>
        </is>
      </c>
      <c r="B986" s="1" t="n">
        <v>45468.35030092593</v>
      </c>
      <c r="C986" s="1" t="n">
        <v>45991</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26066-2024</t>
        </is>
      </c>
      <c r="B987" s="1" t="n">
        <v>45468.35390046296</v>
      </c>
      <c r="C987" s="1" t="n">
        <v>45991</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54951-2023</t>
        </is>
      </c>
      <c r="B988" s="1" t="n">
        <v>45236.82902777778</v>
      </c>
      <c r="C988" s="1" t="n">
        <v>45991</v>
      </c>
      <c r="D988" t="inlineStr">
        <is>
          <t>KALMAR LÄN</t>
        </is>
      </c>
      <c r="E988" t="inlineStr">
        <is>
          <t>VÄSTERVIK</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23411-2022</t>
        </is>
      </c>
      <c r="B989" s="1" t="n">
        <v>44720.70361111111</v>
      </c>
      <c r="C989" s="1" t="n">
        <v>45991</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14080-2025</t>
        </is>
      </c>
      <c r="B990" s="1" t="n">
        <v>45740.43785879629</v>
      </c>
      <c r="C990" s="1" t="n">
        <v>45991</v>
      </c>
      <c r="D990" t="inlineStr">
        <is>
          <t>KALMAR LÄN</t>
        </is>
      </c>
      <c r="E990" t="inlineStr">
        <is>
          <t>VÄSTERVIK</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4496-2022</t>
        </is>
      </c>
      <c r="B991" s="1" t="n">
        <v>44589.67060185185</v>
      </c>
      <c r="C991" s="1" t="n">
        <v>45991</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9037-2023</t>
        </is>
      </c>
      <c r="B992" s="1" t="n">
        <v>44979.65015046296</v>
      </c>
      <c r="C992" s="1" t="n">
        <v>45991</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1798-2023</t>
        </is>
      </c>
      <c r="B993" s="1" t="n">
        <v>44938</v>
      </c>
      <c r="C993" s="1" t="n">
        <v>45991</v>
      </c>
      <c r="D993" t="inlineStr">
        <is>
          <t>KALMAR LÄN</t>
        </is>
      </c>
      <c r="E993" t="inlineStr">
        <is>
          <t>VÄSTERVIK</t>
        </is>
      </c>
      <c r="G993" t="n">
        <v>3.9</v>
      </c>
      <c r="H993" t="n">
        <v>0</v>
      </c>
      <c r="I993" t="n">
        <v>0</v>
      </c>
      <c r="J993" t="n">
        <v>0</v>
      </c>
      <c r="K993" t="n">
        <v>0</v>
      </c>
      <c r="L993" t="n">
        <v>0</v>
      </c>
      <c r="M993" t="n">
        <v>0</v>
      </c>
      <c r="N993" t="n">
        <v>0</v>
      </c>
      <c r="O993" t="n">
        <v>0</v>
      </c>
      <c r="P993" t="n">
        <v>0</v>
      </c>
      <c r="Q993" t="n">
        <v>0</v>
      </c>
      <c r="R993" s="2" t="inlineStr"/>
    </row>
    <row r="994" ht="15" customHeight="1">
      <c r="A994" t="inlineStr">
        <is>
          <t>A 28291-2024</t>
        </is>
      </c>
      <c r="B994" s="1" t="n">
        <v>45477</v>
      </c>
      <c r="C994" s="1" t="n">
        <v>45991</v>
      </c>
      <c r="D994" t="inlineStr">
        <is>
          <t>KALMAR LÄN</t>
        </is>
      </c>
      <c r="E994" t="inlineStr">
        <is>
          <t>VÄSTERVIK</t>
        </is>
      </c>
      <c r="G994" t="n">
        <v>3.2</v>
      </c>
      <c r="H994" t="n">
        <v>0</v>
      </c>
      <c r="I994" t="n">
        <v>0</v>
      </c>
      <c r="J994" t="n">
        <v>0</v>
      </c>
      <c r="K994" t="n">
        <v>0</v>
      </c>
      <c r="L994" t="n">
        <v>0</v>
      </c>
      <c r="M994" t="n">
        <v>0</v>
      </c>
      <c r="N994" t="n">
        <v>0</v>
      </c>
      <c r="O994" t="n">
        <v>0</v>
      </c>
      <c r="P994" t="n">
        <v>0</v>
      </c>
      <c r="Q994" t="n">
        <v>0</v>
      </c>
      <c r="R994" s="2" t="inlineStr"/>
    </row>
    <row r="995" ht="15" customHeight="1">
      <c r="A995" t="inlineStr">
        <is>
          <t>A 56440-2024</t>
        </is>
      </c>
      <c r="B995" s="1" t="n">
        <v>45625.41949074074</v>
      </c>
      <c r="C995" s="1" t="n">
        <v>45991</v>
      </c>
      <c r="D995" t="inlineStr">
        <is>
          <t>KALMAR LÄN</t>
        </is>
      </c>
      <c r="E995" t="inlineStr">
        <is>
          <t>VÄSTERVIK</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28344-2024</t>
        </is>
      </c>
      <c r="B996" s="1" t="n">
        <v>45477.55280092593</v>
      </c>
      <c r="C996" s="1" t="n">
        <v>45991</v>
      </c>
      <c r="D996" t="inlineStr">
        <is>
          <t>KALMAR LÄN</t>
        </is>
      </c>
      <c r="E996" t="inlineStr">
        <is>
          <t>VÄSTERVIK</t>
        </is>
      </c>
      <c r="G996" t="n">
        <v>1.4</v>
      </c>
      <c r="H996" t="n">
        <v>0</v>
      </c>
      <c r="I996" t="n">
        <v>0</v>
      </c>
      <c r="J996" t="n">
        <v>0</v>
      </c>
      <c r="K996" t="n">
        <v>0</v>
      </c>
      <c r="L996" t="n">
        <v>0</v>
      </c>
      <c r="M996" t="n">
        <v>0</v>
      </c>
      <c r="N996" t="n">
        <v>0</v>
      </c>
      <c r="O996" t="n">
        <v>0</v>
      </c>
      <c r="P996" t="n">
        <v>0</v>
      </c>
      <c r="Q996" t="n">
        <v>0</v>
      </c>
      <c r="R996" s="2" t="inlineStr"/>
    </row>
    <row r="997" ht="15" customHeight="1">
      <c r="A997" t="inlineStr">
        <is>
          <t>A 9269-2025</t>
        </is>
      </c>
      <c r="B997" s="1" t="n">
        <v>45714.61543981481</v>
      </c>
      <c r="C997" s="1" t="n">
        <v>45991</v>
      </c>
      <c r="D997" t="inlineStr">
        <is>
          <t>KALMAR LÄN</t>
        </is>
      </c>
      <c r="E997" t="inlineStr">
        <is>
          <t>VÄSTERVIK</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12433-2024</t>
        </is>
      </c>
      <c r="B998" s="1" t="n">
        <v>45379.44450231481</v>
      </c>
      <c r="C998" s="1" t="n">
        <v>45991</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10441-2022</t>
        </is>
      </c>
      <c r="B999" s="1" t="n">
        <v>44623</v>
      </c>
      <c r="C999" s="1" t="n">
        <v>45991</v>
      </c>
      <c r="D999" t="inlineStr">
        <is>
          <t>KALMAR LÄN</t>
        </is>
      </c>
      <c r="E999" t="inlineStr">
        <is>
          <t>VÄSTERVIK</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16689-2025</t>
        </is>
      </c>
      <c r="B1000" s="1" t="n">
        <v>45754.45739583333</v>
      </c>
      <c r="C1000" s="1" t="n">
        <v>45991</v>
      </c>
      <c r="D1000" t="inlineStr">
        <is>
          <t>KALMAR LÄN</t>
        </is>
      </c>
      <c r="E1000" t="inlineStr">
        <is>
          <t>VÄSTERVIK</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16693-2025</t>
        </is>
      </c>
      <c r="B1001" s="1" t="n">
        <v>45754.4644675926</v>
      </c>
      <c r="C1001" s="1" t="n">
        <v>45991</v>
      </c>
      <c r="D1001" t="inlineStr">
        <is>
          <t>KALMAR LÄN</t>
        </is>
      </c>
      <c r="E1001" t="inlineStr">
        <is>
          <t>VÄSTERVIK</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46070-2023</t>
        </is>
      </c>
      <c r="B1002" s="1" t="n">
        <v>45196</v>
      </c>
      <c r="C1002" s="1" t="n">
        <v>45991</v>
      </c>
      <c r="D1002" t="inlineStr">
        <is>
          <t>KALMAR LÄN</t>
        </is>
      </c>
      <c r="E1002" t="inlineStr">
        <is>
          <t>VÄSTERVIK</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63361-2023</t>
        </is>
      </c>
      <c r="B1003" s="1" t="n">
        <v>45274.46324074074</v>
      </c>
      <c r="C1003" s="1" t="n">
        <v>45991</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35961-2023</t>
        </is>
      </c>
      <c r="B1004" s="1" t="n">
        <v>45148.85041666667</v>
      </c>
      <c r="C1004" s="1" t="n">
        <v>45991</v>
      </c>
      <c r="D1004" t="inlineStr">
        <is>
          <t>KALMAR LÄN</t>
        </is>
      </c>
      <c r="E1004" t="inlineStr">
        <is>
          <t>VÄSTERVIK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28952-2023</t>
        </is>
      </c>
      <c r="B1005" s="1" t="n">
        <v>45104</v>
      </c>
      <c r="C1005" s="1" t="n">
        <v>45991</v>
      </c>
      <c r="D1005" t="inlineStr">
        <is>
          <t>KALMAR LÄN</t>
        </is>
      </c>
      <c r="E1005" t="inlineStr">
        <is>
          <t>VÄSTERVIK</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23992-2021</t>
        </is>
      </c>
      <c r="B1006" s="1" t="n">
        <v>44335</v>
      </c>
      <c r="C1006" s="1" t="n">
        <v>45991</v>
      </c>
      <c r="D1006" t="inlineStr">
        <is>
          <t>KALMAR LÄN</t>
        </is>
      </c>
      <c r="E1006" t="inlineStr">
        <is>
          <t>VÄSTERVIK</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7925-2023</t>
        </is>
      </c>
      <c r="B1007" s="1" t="n">
        <v>44973.64606481481</v>
      </c>
      <c r="C1007" s="1" t="n">
        <v>45991</v>
      </c>
      <c r="D1007" t="inlineStr">
        <is>
          <t>KALMAR LÄN</t>
        </is>
      </c>
      <c r="E1007" t="inlineStr">
        <is>
          <t>VÄSTERVIK</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28222-2024</t>
        </is>
      </c>
      <c r="B1008" s="1" t="n">
        <v>45477.36993055556</v>
      </c>
      <c r="C1008" s="1" t="n">
        <v>45991</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15553-2024</t>
        </is>
      </c>
      <c r="B1009" s="1" t="n">
        <v>45401.63736111111</v>
      </c>
      <c r="C1009" s="1" t="n">
        <v>45991</v>
      </c>
      <c r="D1009" t="inlineStr">
        <is>
          <t>KALMAR LÄN</t>
        </is>
      </c>
      <c r="E1009" t="inlineStr">
        <is>
          <t>VÄSTERVIK</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3492-2021</t>
        </is>
      </c>
      <c r="B1010" s="1" t="n">
        <v>44218.60984953704</v>
      </c>
      <c r="C1010" s="1" t="n">
        <v>45991</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38045-2023</t>
        </is>
      </c>
      <c r="B1011" s="1" t="n">
        <v>45160.67251157408</v>
      </c>
      <c r="C1011" s="1" t="n">
        <v>45991</v>
      </c>
      <c r="D1011" t="inlineStr">
        <is>
          <t>KALMAR LÄN</t>
        </is>
      </c>
      <c r="E1011" t="inlineStr">
        <is>
          <t>VÄSTERVIK</t>
        </is>
      </c>
      <c r="F1011" t="inlineStr">
        <is>
          <t>Sveaskog</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6616-2021</t>
        </is>
      </c>
      <c r="B1012" s="1" t="n">
        <v>44236</v>
      </c>
      <c r="C1012" s="1" t="n">
        <v>45991</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9770-2023</t>
        </is>
      </c>
      <c r="B1013" s="1" t="n">
        <v>44984</v>
      </c>
      <c r="C1013" s="1" t="n">
        <v>45991</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62422-2022</t>
        </is>
      </c>
      <c r="B1014" s="1" t="n">
        <v>44924</v>
      </c>
      <c r="C1014" s="1" t="n">
        <v>45991</v>
      </c>
      <c r="D1014" t="inlineStr">
        <is>
          <t>KALMAR LÄN</t>
        </is>
      </c>
      <c r="E1014" t="inlineStr">
        <is>
          <t>VÄSTERVIK</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24567-2024</t>
        </is>
      </c>
      <c r="B1015" s="1" t="n">
        <v>45460.44732638889</v>
      </c>
      <c r="C1015" s="1" t="n">
        <v>45991</v>
      </c>
      <c r="D1015" t="inlineStr">
        <is>
          <t>KALMAR LÄN</t>
        </is>
      </c>
      <c r="E1015" t="inlineStr">
        <is>
          <t>VÄSTERVIK</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23316-2023</t>
        </is>
      </c>
      <c r="B1016" s="1" t="n">
        <v>45076.02563657407</v>
      </c>
      <c r="C1016" s="1" t="n">
        <v>45991</v>
      </c>
      <c r="D1016" t="inlineStr">
        <is>
          <t>KALMAR LÄN</t>
        </is>
      </c>
      <c r="E1016" t="inlineStr">
        <is>
          <t>VÄSTERVIK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16680-2025</t>
        </is>
      </c>
      <c r="B1017" s="1" t="n">
        <v>45754.44952546297</v>
      </c>
      <c r="C1017" s="1" t="n">
        <v>45991</v>
      </c>
      <c r="D1017" t="inlineStr">
        <is>
          <t>KALMAR LÄN</t>
        </is>
      </c>
      <c r="E1017" t="inlineStr">
        <is>
          <t>VÄSTERVIK</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16683-2025</t>
        </is>
      </c>
      <c r="B1018" s="1" t="n">
        <v>45754.45234953704</v>
      </c>
      <c r="C1018" s="1" t="n">
        <v>45991</v>
      </c>
      <c r="D1018" t="inlineStr">
        <is>
          <t>KALMAR LÄN</t>
        </is>
      </c>
      <c r="E1018" t="inlineStr">
        <is>
          <t>VÄSTERVIK</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16686-2025</t>
        </is>
      </c>
      <c r="B1019" s="1" t="n">
        <v>45754.45355324074</v>
      </c>
      <c r="C1019" s="1" t="n">
        <v>45991</v>
      </c>
      <c r="D1019" t="inlineStr">
        <is>
          <t>KALMAR LÄN</t>
        </is>
      </c>
      <c r="E1019" t="inlineStr">
        <is>
          <t>VÄSTERVIK</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46130-2023</t>
        </is>
      </c>
      <c r="B1020" s="1" t="n">
        <v>45196.55849537037</v>
      </c>
      <c r="C1020" s="1" t="n">
        <v>45991</v>
      </c>
      <c r="D1020" t="inlineStr">
        <is>
          <t>KALMAR LÄN</t>
        </is>
      </c>
      <c r="E1020" t="inlineStr">
        <is>
          <t>VÄSTERVIK</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56033-2023</t>
        </is>
      </c>
      <c r="B1021" s="1" t="n">
        <v>45240.43778935185</v>
      </c>
      <c r="C1021" s="1" t="n">
        <v>45991</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8594-2023</t>
        </is>
      </c>
      <c r="B1022" s="1" t="n">
        <v>44977</v>
      </c>
      <c r="C1022" s="1" t="n">
        <v>45991</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60056-2023</t>
        </is>
      </c>
      <c r="B1023" s="1" t="n">
        <v>45258</v>
      </c>
      <c r="C1023" s="1" t="n">
        <v>45991</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59196-2024</t>
        </is>
      </c>
      <c r="B1024" s="1" t="n">
        <v>45637.54589120371</v>
      </c>
      <c r="C1024" s="1" t="n">
        <v>45991</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944-2024</t>
        </is>
      </c>
      <c r="B1025" s="1" t="n">
        <v>45301.54230324074</v>
      </c>
      <c r="C1025" s="1" t="n">
        <v>45991</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946-2024</t>
        </is>
      </c>
      <c r="B1026" s="1" t="n">
        <v>45301.54412037037</v>
      </c>
      <c r="C1026" s="1" t="n">
        <v>45991</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5982-2023</t>
        </is>
      </c>
      <c r="B1027" s="1" t="n">
        <v>44964.35730324074</v>
      </c>
      <c r="C1027" s="1" t="n">
        <v>45991</v>
      </c>
      <c r="D1027" t="inlineStr">
        <is>
          <t>KALMAR LÄN</t>
        </is>
      </c>
      <c r="E1027" t="inlineStr">
        <is>
          <t>VÄSTERVIK</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39980-2024</t>
        </is>
      </c>
      <c r="B1028" s="1" t="n">
        <v>45553.61098379629</v>
      </c>
      <c r="C1028" s="1" t="n">
        <v>45991</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3467-2025</t>
        </is>
      </c>
      <c r="B1029" s="1" t="n">
        <v>45680.50885416667</v>
      </c>
      <c r="C1029" s="1" t="n">
        <v>45991</v>
      </c>
      <c r="D1029" t="inlineStr">
        <is>
          <t>KALMAR LÄN</t>
        </is>
      </c>
      <c r="E1029" t="inlineStr">
        <is>
          <t>VÄSTERVIK</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3776-2024</t>
        </is>
      </c>
      <c r="B1030" s="1" t="n">
        <v>45321.58569444445</v>
      </c>
      <c r="C1030" s="1" t="n">
        <v>45991</v>
      </c>
      <c r="D1030" t="inlineStr">
        <is>
          <t>KALMAR LÄN</t>
        </is>
      </c>
      <c r="E1030" t="inlineStr">
        <is>
          <t>VÄSTERVIK</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3828-2024</t>
        </is>
      </c>
      <c r="B1031" s="1" t="n">
        <v>45321</v>
      </c>
      <c r="C1031" s="1" t="n">
        <v>45991</v>
      </c>
      <c r="D1031" t="inlineStr">
        <is>
          <t>KALMAR LÄN</t>
        </is>
      </c>
      <c r="E1031" t="inlineStr">
        <is>
          <t>VÄSTERVIK</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13837-2024</t>
        </is>
      </c>
      <c r="B1032" s="1" t="n">
        <v>45391.4450462963</v>
      </c>
      <c r="C1032" s="1" t="n">
        <v>45991</v>
      </c>
      <c r="D1032" t="inlineStr">
        <is>
          <t>KALMAR LÄN</t>
        </is>
      </c>
      <c r="E1032" t="inlineStr">
        <is>
          <t>VÄSTERVIK</t>
        </is>
      </c>
      <c r="F1032" t="inlineStr">
        <is>
          <t>Sveaskog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13839-2024</t>
        </is>
      </c>
      <c r="B1033" s="1" t="n">
        <v>45391.44789351852</v>
      </c>
      <c r="C1033" s="1" t="n">
        <v>45991</v>
      </c>
      <c r="D1033" t="inlineStr">
        <is>
          <t>KALMAR LÄN</t>
        </is>
      </c>
      <c r="E1033" t="inlineStr">
        <is>
          <t>VÄSTERVIK</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13843-2024</t>
        </is>
      </c>
      <c r="B1034" s="1" t="n">
        <v>45391.45087962963</v>
      </c>
      <c r="C1034" s="1" t="n">
        <v>45991</v>
      </c>
      <c r="D1034" t="inlineStr">
        <is>
          <t>KALMAR LÄN</t>
        </is>
      </c>
      <c r="E1034" t="inlineStr">
        <is>
          <t>VÄSTERVIK</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25714-2023</t>
        </is>
      </c>
      <c r="B1035" s="1" t="n">
        <v>45089</v>
      </c>
      <c r="C1035" s="1" t="n">
        <v>45991</v>
      </c>
      <c r="D1035" t="inlineStr">
        <is>
          <t>KALMAR LÄN</t>
        </is>
      </c>
      <c r="E1035" t="inlineStr">
        <is>
          <t>VÄSTERVIK</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52035-2023</t>
        </is>
      </c>
      <c r="B1036" s="1" t="n">
        <v>45216</v>
      </c>
      <c r="C1036" s="1" t="n">
        <v>45991</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49708-2024</t>
        </is>
      </c>
      <c r="B1037" s="1" t="n">
        <v>45596.69846064815</v>
      </c>
      <c r="C1037" s="1" t="n">
        <v>45991</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10803-2025</t>
        </is>
      </c>
      <c r="B1038" s="1" t="n">
        <v>45722.52284722222</v>
      </c>
      <c r="C1038" s="1" t="n">
        <v>45991</v>
      </c>
      <c r="D1038" t="inlineStr">
        <is>
          <t>KALMAR LÄN</t>
        </is>
      </c>
      <c r="E1038" t="inlineStr">
        <is>
          <t>VÄSTERVIK</t>
        </is>
      </c>
      <c r="F1038" t="inlineStr">
        <is>
          <t>Övriga Aktiebolag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54569-2023</t>
        </is>
      </c>
      <c r="B1039" s="1" t="n">
        <v>45233.65532407408</v>
      </c>
      <c r="C1039" s="1" t="n">
        <v>45991</v>
      </c>
      <c r="D1039" t="inlineStr">
        <is>
          <t>KALMAR LÄN</t>
        </is>
      </c>
      <c r="E1039" t="inlineStr">
        <is>
          <t>VÄSTERVIK</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12435-2024</t>
        </is>
      </c>
      <c r="B1040" s="1" t="n">
        <v>45379.4459375</v>
      </c>
      <c r="C1040" s="1" t="n">
        <v>45991</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14529-2022</t>
        </is>
      </c>
      <c r="B1041" s="1" t="n">
        <v>44655</v>
      </c>
      <c r="C1041" s="1" t="n">
        <v>45991</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9792-2023</t>
        </is>
      </c>
      <c r="B1042" s="1" t="n">
        <v>44984.64269675926</v>
      </c>
      <c r="C1042" s="1" t="n">
        <v>45991</v>
      </c>
      <c r="D1042" t="inlineStr">
        <is>
          <t>KALMAR LÄN</t>
        </is>
      </c>
      <c r="E1042" t="inlineStr">
        <is>
          <t>VÄSTERVIK</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37033-2021</t>
        </is>
      </c>
      <c r="B1043" s="1" t="n">
        <v>44393</v>
      </c>
      <c r="C1043" s="1" t="n">
        <v>45991</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21831-2023</t>
        </is>
      </c>
      <c r="B1044" s="1" t="n">
        <v>45068</v>
      </c>
      <c r="C1044" s="1" t="n">
        <v>45991</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45991</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46560-2022</t>
        </is>
      </c>
      <c r="B1046" s="1" t="n">
        <v>44848</v>
      </c>
      <c r="C1046" s="1" t="n">
        <v>45991</v>
      </c>
      <c r="D1046" t="inlineStr">
        <is>
          <t>KALMAR LÄN</t>
        </is>
      </c>
      <c r="E1046" t="inlineStr">
        <is>
          <t>VÄSTERVIK</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170-2022</t>
        </is>
      </c>
      <c r="B1047" s="1" t="n">
        <v>44564.62540509259</v>
      </c>
      <c r="C1047" s="1" t="n">
        <v>45991</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174-2022</t>
        </is>
      </c>
      <c r="B1048" s="1" t="n">
        <v>44564.62763888889</v>
      </c>
      <c r="C1048" s="1" t="n">
        <v>45991</v>
      </c>
      <c r="D1048" t="inlineStr">
        <is>
          <t>KALMAR LÄN</t>
        </is>
      </c>
      <c r="E1048" t="inlineStr">
        <is>
          <t>VÄSTERVIK</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31318-2021</t>
        </is>
      </c>
      <c r="B1049" s="1" t="n">
        <v>44368</v>
      </c>
      <c r="C1049" s="1" t="n">
        <v>45991</v>
      </c>
      <c r="D1049" t="inlineStr">
        <is>
          <t>KALMAR LÄN</t>
        </is>
      </c>
      <c r="E1049" t="inlineStr">
        <is>
          <t>VÄSTERVIK</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14685-2025</t>
        </is>
      </c>
      <c r="B1050" s="1" t="n">
        <v>45742.57653935185</v>
      </c>
      <c r="C1050" s="1" t="n">
        <v>45991</v>
      </c>
      <c r="D1050" t="inlineStr">
        <is>
          <t>KALMAR LÄN</t>
        </is>
      </c>
      <c r="E1050" t="inlineStr">
        <is>
          <t>VÄSTERVIK</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19333-2023</t>
        </is>
      </c>
      <c r="B1051" s="1" t="n">
        <v>45049.566875</v>
      </c>
      <c r="C1051" s="1" t="n">
        <v>45991</v>
      </c>
      <c r="D1051" t="inlineStr">
        <is>
          <t>KALMAR LÄN</t>
        </is>
      </c>
      <c r="E1051" t="inlineStr">
        <is>
          <t>VÄSTERVIK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32388-2024</t>
        </is>
      </c>
      <c r="B1052" s="1" t="n">
        <v>45512.63465277778</v>
      </c>
      <c r="C1052" s="1" t="n">
        <v>45991</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32389-2024</t>
        </is>
      </c>
      <c r="B1053" s="1" t="n">
        <v>45512.63642361111</v>
      </c>
      <c r="C1053" s="1" t="n">
        <v>45991</v>
      </c>
      <c r="D1053" t="inlineStr">
        <is>
          <t>KALMAR LÄN</t>
        </is>
      </c>
      <c r="E1053" t="inlineStr">
        <is>
          <t>VÄSTERVIK</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17315-2023</t>
        </is>
      </c>
      <c r="B1054" s="1" t="n">
        <v>45035.54475694444</v>
      </c>
      <c r="C1054" s="1" t="n">
        <v>45991</v>
      </c>
      <c r="D1054" t="inlineStr">
        <is>
          <t>KALMAR LÄN</t>
        </is>
      </c>
      <c r="E1054" t="inlineStr">
        <is>
          <t>VÄSTERVIK</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9110-2023</t>
        </is>
      </c>
      <c r="B1055" s="1" t="n">
        <v>44979</v>
      </c>
      <c r="C1055" s="1" t="n">
        <v>45991</v>
      </c>
      <c r="D1055" t="inlineStr">
        <is>
          <t>KALMAR LÄN</t>
        </is>
      </c>
      <c r="E1055" t="inlineStr">
        <is>
          <t>VÄSTERVIK</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9112-2023</t>
        </is>
      </c>
      <c r="B1056" s="1" t="n">
        <v>44979</v>
      </c>
      <c r="C1056" s="1" t="n">
        <v>45991</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15021-2025</t>
        </is>
      </c>
      <c r="B1057" s="1" t="n">
        <v>45743.64482638889</v>
      </c>
      <c r="C1057" s="1" t="n">
        <v>45991</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52049-2023</t>
        </is>
      </c>
      <c r="B1058" s="1" t="n">
        <v>45216</v>
      </c>
      <c r="C1058" s="1" t="n">
        <v>45991</v>
      </c>
      <c r="D1058" t="inlineStr">
        <is>
          <t>KALMAR LÄN</t>
        </is>
      </c>
      <c r="E1058" t="inlineStr">
        <is>
          <t>VÄSTERVIK</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34646-2023</t>
        </is>
      </c>
      <c r="B1059" s="1" t="n">
        <v>45140</v>
      </c>
      <c r="C1059" s="1" t="n">
        <v>45991</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14212-2022</t>
        </is>
      </c>
      <c r="B1060" s="1" t="n">
        <v>44651</v>
      </c>
      <c r="C1060" s="1" t="n">
        <v>45991</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21752-2024</t>
        </is>
      </c>
      <c r="B1061" s="1" t="n">
        <v>45442.58048611111</v>
      </c>
      <c r="C1061" s="1" t="n">
        <v>45991</v>
      </c>
      <c r="D1061" t="inlineStr">
        <is>
          <t>KALMAR LÄN</t>
        </is>
      </c>
      <c r="E1061" t="inlineStr">
        <is>
          <t>VÄSTERVIK</t>
        </is>
      </c>
      <c r="F1061" t="inlineStr">
        <is>
          <t>Holmen skog AB</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33204-2022</t>
        </is>
      </c>
      <c r="B1062" s="1" t="n">
        <v>44785</v>
      </c>
      <c r="C1062" s="1" t="n">
        <v>45991</v>
      </c>
      <c r="D1062" t="inlineStr">
        <is>
          <t>KALMAR LÄN</t>
        </is>
      </c>
      <c r="E1062" t="inlineStr">
        <is>
          <t>VÄSTERVIK</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9263-2025</t>
        </is>
      </c>
      <c r="B1063" s="1" t="n">
        <v>45714.60927083333</v>
      </c>
      <c r="C1063" s="1" t="n">
        <v>45991</v>
      </c>
      <c r="D1063" t="inlineStr">
        <is>
          <t>KALMAR LÄN</t>
        </is>
      </c>
      <c r="E1063" t="inlineStr">
        <is>
          <t>VÄSTERVIK</t>
        </is>
      </c>
      <c r="F1063" t="inlineStr">
        <is>
          <t>Sveaskog</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33210-2022</t>
        </is>
      </c>
      <c r="B1064" s="1" t="n">
        <v>44785.74811342593</v>
      </c>
      <c r="C1064" s="1" t="n">
        <v>45991</v>
      </c>
      <c r="D1064" t="inlineStr">
        <is>
          <t>KALMAR LÄN</t>
        </is>
      </c>
      <c r="E1064" t="inlineStr">
        <is>
          <t>VÄSTERVIK</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352-2023</t>
        </is>
      </c>
      <c r="B1065" s="1" t="n">
        <v>44929.51619212963</v>
      </c>
      <c r="C1065" s="1" t="n">
        <v>45991</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25238-2021</t>
        </is>
      </c>
      <c r="B1066" s="1" t="n">
        <v>44342</v>
      </c>
      <c r="C1066" s="1" t="n">
        <v>45991</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63812-2021</t>
        </is>
      </c>
      <c r="B1067" s="1" t="n">
        <v>44509.56346064815</v>
      </c>
      <c r="C1067" s="1" t="n">
        <v>45991</v>
      </c>
      <c r="D1067" t="inlineStr">
        <is>
          <t>KALMAR LÄN</t>
        </is>
      </c>
      <c r="E1067" t="inlineStr">
        <is>
          <t>VÄSTERVIK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10771-2025</t>
        </is>
      </c>
      <c r="B1068" s="1" t="n">
        <v>45722.46953703704</v>
      </c>
      <c r="C1068" s="1" t="n">
        <v>45991</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14072-2025</t>
        </is>
      </c>
      <c r="B1069" s="1" t="n">
        <v>45740.42978009259</v>
      </c>
      <c r="C1069" s="1" t="n">
        <v>45991</v>
      </c>
      <c r="D1069" t="inlineStr">
        <is>
          <t>KALMAR LÄN</t>
        </is>
      </c>
      <c r="E1069" t="inlineStr">
        <is>
          <t>VÄSTERVIK</t>
        </is>
      </c>
      <c r="F1069" t="inlineStr">
        <is>
          <t>Sveaskog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14075-2025</t>
        </is>
      </c>
      <c r="B1070" s="1" t="n">
        <v>45740.43222222223</v>
      </c>
      <c r="C1070" s="1" t="n">
        <v>45991</v>
      </c>
      <c r="D1070" t="inlineStr">
        <is>
          <t>KALMAR LÄN</t>
        </is>
      </c>
      <c r="E1070" t="inlineStr">
        <is>
          <t>VÄSTERVIK</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15097-2023</t>
        </is>
      </c>
      <c r="B1071" s="1" t="n">
        <v>45016</v>
      </c>
      <c r="C1071" s="1" t="n">
        <v>45991</v>
      </c>
      <c r="D1071" t="inlineStr">
        <is>
          <t>KALMAR LÄN</t>
        </is>
      </c>
      <c r="E1071" t="inlineStr">
        <is>
          <t>VÄSTERVIK</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56077-2024</t>
        </is>
      </c>
      <c r="B1072" s="1" t="n">
        <v>45624.38690972222</v>
      </c>
      <c r="C1072" s="1" t="n">
        <v>45991</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29952-2022</t>
        </is>
      </c>
      <c r="B1073" s="1" t="n">
        <v>44756.62649305556</v>
      </c>
      <c r="C1073" s="1" t="n">
        <v>45991</v>
      </c>
      <c r="D1073" t="inlineStr">
        <is>
          <t>KALMAR LÄN</t>
        </is>
      </c>
      <c r="E1073" t="inlineStr">
        <is>
          <t>VÄSTERVIK</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22740-2024</t>
        </is>
      </c>
      <c r="B1074" s="1" t="n">
        <v>45448.39869212963</v>
      </c>
      <c r="C1074" s="1" t="n">
        <v>45991</v>
      </c>
      <c r="D1074" t="inlineStr">
        <is>
          <t>KALMAR LÄN</t>
        </is>
      </c>
      <c r="E1074" t="inlineStr">
        <is>
          <t>VÄSTERVIK</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1874-2025</t>
        </is>
      </c>
      <c r="B1075" s="1" t="n">
        <v>45671.61953703704</v>
      </c>
      <c r="C1075" s="1" t="n">
        <v>45991</v>
      </c>
      <c r="D1075" t="inlineStr">
        <is>
          <t>KALMAR LÄN</t>
        </is>
      </c>
      <c r="E1075" t="inlineStr">
        <is>
          <t>VÄSTERVIK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4463-2022</t>
        </is>
      </c>
      <c r="B1076" s="1" t="n">
        <v>44589</v>
      </c>
      <c r="C1076" s="1" t="n">
        <v>45991</v>
      </c>
      <c r="D1076" t="inlineStr">
        <is>
          <t>KALMAR LÄN</t>
        </is>
      </c>
      <c r="E1076" t="inlineStr">
        <is>
          <t>VÄSTERVIK</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46790-2022</t>
        </is>
      </c>
      <c r="B1077" s="1" t="n">
        <v>44851</v>
      </c>
      <c r="C1077" s="1" t="n">
        <v>45991</v>
      </c>
      <c r="D1077" t="inlineStr">
        <is>
          <t>KALMAR LÄN</t>
        </is>
      </c>
      <c r="E1077" t="inlineStr">
        <is>
          <t>VÄSTERVIK</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32764-2022</t>
        </is>
      </c>
      <c r="B1078" s="1" t="n">
        <v>44783</v>
      </c>
      <c r="C1078" s="1" t="n">
        <v>45991</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55828-2022</t>
        </is>
      </c>
      <c r="B1079" s="1" t="n">
        <v>44888</v>
      </c>
      <c r="C1079" s="1" t="n">
        <v>45991</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43759-2023</t>
        </is>
      </c>
      <c r="B1080" s="1" t="n">
        <v>45187</v>
      </c>
      <c r="C1080" s="1" t="n">
        <v>45991</v>
      </c>
      <c r="D1080" t="inlineStr">
        <is>
          <t>KALMAR LÄN</t>
        </is>
      </c>
      <c r="E1080" t="inlineStr">
        <is>
          <t>VÄSTERVIK</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28588-2022</t>
        </is>
      </c>
      <c r="B1081" s="1" t="n">
        <v>44748</v>
      </c>
      <c r="C1081" s="1" t="n">
        <v>45991</v>
      </c>
      <c r="D1081" t="inlineStr">
        <is>
          <t>KALMAR LÄN</t>
        </is>
      </c>
      <c r="E1081" t="inlineStr">
        <is>
          <t>VÄSTERVIK</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64920-2021</t>
        </is>
      </c>
      <c r="B1082" s="1" t="n">
        <v>44512</v>
      </c>
      <c r="C1082" s="1" t="n">
        <v>45991</v>
      </c>
      <c r="D1082" t="inlineStr">
        <is>
          <t>KALMAR LÄN</t>
        </is>
      </c>
      <c r="E1082" t="inlineStr">
        <is>
          <t>VÄSTERVIK</t>
        </is>
      </c>
      <c r="G1082" t="n">
        <v>1.2</v>
      </c>
      <c r="H1082" t="n">
        <v>0</v>
      </c>
      <c r="I1082" t="n">
        <v>0</v>
      </c>
      <c r="J1082" t="n">
        <v>0</v>
      </c>
      <c r="K1082" t="n">
        <v>0</v>
      </c>
      <c r="L1082" t="n">
        <v>0</v>
      </c>
      <c r="M1082" t="n">
        <v>0</v>
      </c>
      <c r="N1082" t="n">
        <v>0</v>
      </c>
      <c r="O1082" t="n">
        <v>0</v>
      </c>
      <c r="P1082" t="n">
        <v>0</v>
      </c>
      <c r="Q1082" t="n">
        <v>0</v>
      </c>
      <c r="R1082" s="2" t="inlineStr"/>
      <c r="U1082">
        <f>HYPERLINK("https://klasma.github.io/Logging_0883/knärot/A 64920-2021 karta knärot.png", "A 64920-2021")</f>
        <v/>
      </c>
      <c r="V1082">
        <f>HYPERLINK("https://klasma.github.io/Logging_0883/klagomål/A 64920-2021 FSC-klagomål.docx", "A 64920-2021")</f>
        <v/>
      </c>
      <c r="W1082">
        <f>HYPERLINK("https://klasma.github.io/Logging_0883/klagomålsmail/A 64920-2021 FSC-klagomål mail.docx", "A 64920-2021")</f>
        <v/>
      </c>
      <c r="X1082">
        <f>HYPERLINK("https://klasma.github.io/Logging_0883/tillsyn/A 64920-2021 tillsynsbegäran.docx", "A 64920-2021")</f>
        <v/>
      </c>
      <c r="Y1082">
        <f>HYPERLINK("https://klasma.github.io/Logging_0883/tillsynsmail/A 64920-2021 tillsynsbegäran mail.docx", "A 64920-2021")</f>
        <v/>
      </c>
    </row>
    <row r="1083" ht="15" customHeight="1">
      <c r="A1083" t="inlineStr">
        <is>
          <t>A 29420-2024</t>
        </is>
      </c>
      <c r="B1083" s="1" t="n">
        <v>45483</v>
      </c>
      <c r="C1083" s="1" t="n">
        <v>45991</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52774-2024</t>
        </is>
      </c>
      <c r="B1084" s="1" t="n">
        <v>45610.53413194444</v>
      </c>
      <c r="C1084" s="1" t="n">
        <v>45991</v>
      </c>
      <c r="D1084" t="inlineStr">
        <is>
          <t>KALMAR LÄN</t>
        </is>
      </c>
      <c r="E1084" t="inlineStr">
        <is>
          <t>VÄSTERVIK</t>
        </is>
      </c>
      <c r="F1084" t="inlineStr">
        <is>
          <t>Holmen skog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11120-2025</t>
        </is>
      </c>
      <c r="B1085" s="1" t="n">
        <v>45723.63655092593</v>
      </c>
      <c r="C1085" s="1" t="n">
        <v>45991</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11122-2025</t>
        </is>
      </c>
      <c r="B1086" s="1" t="n">
        <v>45723.63827546296</v>
      </c>
      <c r="C1086" s="1" t="n">
        <v>45991</v>
      </c>
      <c r="D1086" t="inlineStr">
        <is>
          <t>KALMAR LÄN</t>
        </is>
      </c>
      <c r="E1086" t="inlineStr">
        <is>
          <t>VÄSTERVIK</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6042-2023</t>
        </is>
      </c>
      <c r="B1087" s="1" t="n">
        <v>44964</v>
      </c>
      <c r="C1087" s="1" t="n">
        <v>45991</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36643-2023</t>
        </is>
      </c>
      <c r="B1088" s="1" t="n">
        <v>45153</v>
      </c>
      <c r="C1088" s="1" t="n">
        <v>45991</v>
      </c>
      <c r="D1088" t="inlineStr">
        <is>
          <t>KALMAR LÄN</t>
        </is>
      </c>
      <c r="E1088" t="inlineStr">
        <is>
          <t>VÄSTERVIK</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16586-2022</t>
        </is>
      </c>
      <c r="B1089" s="1" t="n">
        <v>44672.47105324074</v>
      </c>
      <c r="C1089" s="1" t="n">
        <v>45991</v>
      </c>
      <c r="D1089" t="inlineStr">
        <is>
          <t>KALMAR LÄN</t>
        </is>
      </c>
      <c r="E1089" t="inlineStr">
        <is>
          <t>VÄSTERVIK</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66328-2020</t>
        </is>
      </c>
      <c r="B1090" s="1" t="n">
        <v>44176</v>
      </c>
      <c r="C1090" s="1" t="n">
        <v>45991</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23580-2023</t>
        </is>
      </c>
      <c r="B1091" s="1" t="n">
        <v>45077</v>
      </c>
      <c r="C1091" s="1" t="n">
        <v>45991</v>
      </c>
      <c r="D1091" t="inlineStr">
        <is>
          <t>KALMAR LÄN</t>
        </is>
      </c>
      <c r="E1091" t="inlineStr">
        <is>
          <t>VÄSTERVIK</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1568-2024</t>
        </is>
      </c>
      <c r="B1092" s="1" t="n">
        <v>45306.53221064815</v>
      </c>
      <c r="C1092" s="1" t="n">
        <v>45991</v>
      </c>
      <c r="D1092" t="inlineStr">
        <is>
          <t>KALMAR LÄN</t>
        </is>
      </c>
      <c r="E1092" t="inlineStr">
        <is>
          <t>VÄSTERVIK</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1572-2024</t>
        </is>
      </c>
      <c r="B1093" s="1" t="n">
        <v>45306</v>
      </c>
      <c r="C1093" s="1" t="n">
        <v>45991</v>
      </c>
      <c r="D1093" t="inlineStr">
        <is>
          <t>KALMAR LÄN</t>
        </is>
      </c>
      <c r="E1093" t="inlineStr">
        <is>
          <t>VÄSTERVIK</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11183-2024</t>
        </is>
      </c>
      <c r="B1094" s="1" t="n">
        <v>45371.53141203704</v>
      </c>
      <c r="C1094" s="1" t="n">
        <v>45991</v>
      </c>
      <c r="D1094" t="inlineStr">
        <is>
          <t>KALMAR LÄN</t>
        </is>
      </c>
      <c r="E1094" t="inlineStr">
        <is>
          <t>VÄSTERVIK</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3185-2023</t>
        </is>
      </c>
      <c r="B1095" s="1" t="n">
        <v>44946.60753472222</v>
      </c>
      <c r="C1095" s="1" t="n">
        <v>45991</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3555-2021</t>
        </is>
      </c>
      <c r="B1096" s="1" t="n">
        <v>44218</v>
      </c>
      <c r="C1096" s="1" t="n">
        <v>45991</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36555-2024</t>
        </is>
      </c>
      <c r="B1097" s="1" t="n">
        <v>45537</v>
      </c>
      <c r="C1097" s="1" t="n">
        <v>45991</v>
      </c>
      <c r="D1097" t="inlineStr">
        <is>
          <t>KALMAR LÄN</t>
        </is>
      </c>
      <c r="E1097" t="inlineStr">
        <is>
          <t>VÄSTERVIK</t>
        </is>
      </c>
      <c r="F1097" t="inlineStr">
        <is>
          <t>Kommuner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32394-2021</t>
        </is>
      </c>
      <c r="B1098" s="1" t="n">
        <v>44371.63414351852</v>
      </c>
      <c r="C1098" s="1" t="n">
        <v>45991</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942-2024</t>
        </is>
      </c>
      <c r="B1099" s="1" t="n">
        <v>45301.53930555555</v>
      </c>
      <c r="C1099" s="1" t="n">
        <v>45991</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43828-2021</t>
        </is>
      </c>
      <c r="B1100" s="1" t="n">
        <v>44433</v>
      </c>
      <c r="C1100" s="1" t="n">
        <v>45991</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17650-2023</t>
        </is>
      </c>
      <c r="B1101" s="1" t="n">
        <v>45036.70215277778</v>
      </c>
      <c r="C1101" s="1" t="n">
        <v>45991</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59210-2022</t>
        </is>
      </c>
      <c r="B1102" s="1" t="n">
        <v>44904.51767361111</v>
      </c>
      <c r="C1102" s="1" t="n">
        <v>45991</v>
      </c>
      <c r="D1102" t="inlineStr">
        <is>
          <t>KALMAR LÄN</t>
        </is>
      </c>
      <c r="E1102" t="inlineStr">
        <is>
          <t>VÄSTERVIK</t>
        </is>
      </c>
      <c r="G1102" t="n">
        <v>21.2</v>
      </c>
      <c r="H1102" t="n">
        <v>0</v>
      </c>
      <c r="I1102" t="n">
        <v>0</v>
      </c>
      <c r="J1102" t="n">
        <v>0</v>
      </c>
      <c r="K1102" t="n">
        <v>0</v>
      </c>
      <c r="L1102" t="n">
        <v>0</v>
      </c>
      <c r="M1102" t="n">
        <v>0</v>
      </c>
      <c r="N1102" t="n">
        <v>0</v>
      </c>
      <c r="O1102" t="n">
        <v>0</v>
      </c>
      <c r="P1102" t="n">
        <v>0</v>
      </c>
      <c r="Q1102" t="n">
        <v>0</v>
      </c>
      <c r="R1102" s="2" t="inlineStr"/>
    </row>
    <row r="1103" ht="15" customHeight="1">
      <c r="A1103" t="inlineStr">
        <is>
          <t>A 59220-2022</t>
        </is>
      </c>
      <c r="B1103" s="1" t="n">
        <v>44904.53423611111</v>
      </c>
      <c r="C1103" s="1" t="n">
        <v>45991</v>
      </c>
      <c r="D1103" t="inlineStr">
        <is>
          <t>KALMAR LÄN</t>
        </is>
      </c>
      <c r="E1103" t="inlineStr">
        <is>
          <t>VÄSTERVIK</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45450-2023</t>
        </is>
      </c>
      <c r="B1104" s="1" t="n">
        <v>45194</v>
      </c>
      <c r="C1104" s="1" t="n">
        <v>45991</v>
      </c>
      <c r="D1104" t="inlineStr">
        <is>
          <t>KALMAR LÄN</t>
        </is>
      </c>
      <c r="E1104" t="inlineStr">
        <is>
          <t>VÄSTERVIK</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45474-2023</t>
        </is>
      </c>
      <c r="B1105" s="1" t="n">
        <v>45194</v>
      </c>
      <c r="C1105" s="1" t="n">
        <v>45991</v>
      </c>
      <c r="D1105" t="inlineStr">
        <is>
          <t>KALMAR LÄN</t>
        </is>
      </c>
      <c r="E1105" t="inlineStr">
        <is>
          <t>VÄSTERVIK</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21015-2025</t>
        </is>
      </c>
      <c r="B1106" s="1" t="n">
        <v>45777.50200231482</v>
      </c>
      <c r="C1106" s="1" t="n">
        <v>45991</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39278-2024</t>
        </is>
      </c>
      <c r="B1107" s="1" t="n">
        <v>45551.35216435185</v>
      </c>
      <c r="C1107" s="1" t="n">
        <v>45991</v>
      </c>
      <c r="D1107" t="inlineStr">
        <is>
          <t>KALMAR LÄN</t>
        </is>
      </c>
      <c r="E1107" t="inlineStr">
        <is>
          <t>VÄSTERVIK</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21503-2025</t>
        </is>
      </c>
      <c r="B1108" s="1" t="n">
        <v>45782.61456018518</v>
      </c>
      <c r="C1108" s="1" t="n">
        <v>45991</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21657-2025</t>
        </is>
      </c>
      <c r="B1109" s="1" t="n">
        <v>45783.45325231482</v>
      </c>
      <c r="C1109" s="1" t="n">
        <v>45991</v>
      </c>
      <c r="D1109" t="inlineStr">
        <is>
          <t>KALMAR LÄN</t>
        </is>
      </c>
      <c r="E1109" t="inlineStr">
        <is>
          <t>VÄSTERVIK</t>
        </is>
      </c>
      <c r="F1109" t="inlineStr">
        <is>
          <t>Sveaskog</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21991-2025</t>
        </is>
      </c>
      <c r="B1110" s="1" t="n">
        <v>45784.6615625</v>
      </c>
      <c r="C1110" s="1" t="n">
        <v>45991</v>
      </c>
      <c r="D1110" t="inlineStr">
        <is>
          <t>KALMAR LÄN</t>
        </is>
      </c>
      <c r="E1110" t="inlineStr">
        <is>
          <t>VÄSTERVIK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28037-2024</t>
        </is>
      </c>
      <c r="B1111" s="1" t="n">
        <v>45476</v>
      </c>
      <c r="C1111" s="1" t="n">
        <v>45991</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51496-2024</t>
        </is>
      </c>
      <c r="B1112" s="1" t="n">
        <v>45604.54060185186</v>
      </c>
      <c r="C1112" s="1" t="n">
        <v>45991</v>
      </c>
      <c r="D1112" t="inlineStr">
        <is>
          <t>KALMAR LÄN</t>
        </is>
      </c>
      <c r="E1112" t="inlineStr">
        <is>
          <t>VÄSTERVIK</t>
        </is>
      </c>
      <c r="F1112" t="inlineStr">
        <is>
          <t>Övriga Aktiebolag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6406-2024</t>
        </is>
      </c>
      <c r="B1113" s="1" t="n">
        <v>45338</v>
      </c>
      <c r="C1113" s="1" t="n">
        <v>45991</v>
      </c>
      <c r="D1113" t="inlineStr">
        <is>
          <t>KALMAR LÄN</t>
        </is>
      </c>
      <c r="E1113" t="inlineStr">
        <is>
          <t>VÄSTERVIK</t>
        </is>
      </c>
      <c r="G1113" t="n">
        <v>5.5</v>
      </c>
      <c r="H1113" t="n">
        <v>0</v>
      </c>
      <c r="I1113" t="n">
        <v>0</v>
      </c>
      <c r="J1113" t="n">
        <v>0</v>
      </c>
      <c r="K1113" t="n">
        <v>0</v>
      </c>
      <c r="L1113" t="n">
        <v>0</v>
      </c>
      <c r="M1113" t="n">
        <v>0</v>
      </c>
      <c r="N1113" t="n">
        <v>0</v>
      </c>
      <c r="O1113" t="n">
        <v>0</v>
      </c>
      <c r="P1113" t="n">
        <v>0</v>
      </c>
      <c r="Q1113" t="n">
        <v>0</v>
      </c>
      <c r="R1113" s="2" t="inlineStr"/>
      <c r="U1113">
        <f>HYPERLINK("https://klasma.github.io/Logging_0883/knärot/A 6406-2024 karta knärot.png", "A 6406-2024")</f>
        <v/>
      </c>
      <c r="V1113">
        <f>HYPERLINK("https://klasma.github.io/Logging_0883/klagomål/A 6406-2024 FSC-klagomål.docx", "A 6406-2024")</f>
        <v/>
      </c>
      <c r="W1113">
        <f>HYPERLINK("https://klasma.github.io/Logging_0883/klagomålsmail/A 6406-2024 FSC-klagomål mail.docx", "A 6406-2024")</f>
        <v/>
      </c>
      <c r="X1113">
        <f>HYPERLINK("https://klasma.github.io/Logging_0883/tillsyn/A 6406-2024 tillsynsbegäran.docx", "A 6406-2024")</f>
        <v/>
      </c>
      <c r="Y1113">
        <f>HYPERLINK("https://klasma.github.io/Logging_0883/tillsynsmail/A 6406-2024 tillsynsbegäran mail.docx", "A 6406-2024")</f>
        <v/>
      </c>
    </row>
    <row r="1114" ht="15" customHeight="1">
      <c r="A1114" t="inlineStr">
        <is>
          <t>A 6731-2024</t>
        </is>
      </c>
      <c r="B1114" s="1" t="n">
        <v>45342.38787037037</v>
      </c>
      <c r="C1114" s="1" t="n">
        <v>45991</v>
      </c>
      <c r="D1114" t="inlineStr">
        <is>
          <t>KALMAR LÄN</t>
        </is>
      </c>
      <c r="E1114" t="inlineStr">
        <is>
          <t>VÄSTERVIK</t>
        </is>
      </c>
      <c r="F1114" t="inlineStr">
        <is>
          <t>Holmen skog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56377-2024</t>
        </is>
      </c>
      <c r="B1115" s="1" t="n">
        <v>45625.33342592593</v>
      </c>
      <c r="C1115" s="1" t="n">
        <v>45991</v>
      </c>
      <c r="D1115" t="inlineStr">
        <is>
          <t>KALMAR LÄN</t>
        </is>
      </c>
      <c r="E1115" t="inlineStr">
        <is>
          <t>VÄSTERVIK</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8402-2025</t>
        </is>
      </c>
      <c r="B1116" s="1" t="n">
        <v>45709.38065972222</v>
      </c>
      <c r="C1116" s="1" t="n">
        <v>45991</v>
      </c>
      <c r="D1116" t="inlineStr">
        <is>
          <t>KALMAR LÄN</t>
        </is>
      </c>
      <c r="E1116" t="inlineStr">
        <is>
          <t>VÄSTERVIK</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23042-2025</t>
        </is>
      </c>
      <c r="B1117" s="1" t="n">
        <v>45790.67273148148</v>
      </c>
      <c r="C1117" s="1" t="n">
        <v>45991</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23745-2025</t>
        </is>
      </c>
      <c r="B1118" s="1" t="n">
        <v>45793.44484953704</v>
      </c>
      <c r="C1118" s="1" t="n">
        <v>45991</v>
      </c>
      <c r="D1118" t="inlineStr">
        <is>
          <t>KALMAR LÄN</t>
        </is>
      </c>
      <c r="E1118" t="inlineStr">
        <is>
          <t>VÄSTERVIK</t>
        </is>
      </c>
      <c r="F1118" t="inlineStr">
        <is>
          <t>Holmen skog AB</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23739-2025</t>
        </is>
      </c>
      <c r="B1119" s="1" t="n">
        <v>45793.42939814815</v>
      </c>
      <c r="C1119" s="1" t="n">
        <v>45991</v>
      </c>
      <c r="D1119" t="inlineStr">
        <is>
          <t>KALMAR LÄN</t>
        </is>
      </c>
      <c r="E1119" t="inlineStr">
        <is>
          <t>VÄSTERVIK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23859-2025</t>
        </is>
      </c>
      <c r="B1120" s="1" t="n">
        <v>45793.65996527778</v>
      </c>
      <c r="C1120" s="1" t="n">
        <v>45991</v>
      </c>
      <c r="D1120" t="inlineStr">
        <is>
          <t>KALMAR LÄN</t>
        </is>
      </c>
      <c r="E1120" t="inlineStr">
        <is>
          <t>VÄSTERVIK</t>
        </is>
      </c>
      <c r="F1120" t="inlineStr">
        <is>
          <t>Holmen skog AB</t>
        </is>
      </c>
      <c r="G1120" t="n">
        <v>17.7</v>
      </c>
      <c r="H1120" t="n">
        <v>0</v>
      </c>
      <c r="I1120" t="n">
        <v>0</v>
      </c>
      <c r="J1120" t="n">
        <v>0</v>
      </c>
      <c r="K1120" t="n">
        <v>0</v>
      </c>
      <c r="L1120" t="n">
        <v>0</v>
      </c>
      <c r="M1120" t="n">
        <v>0</v>
      </c>
      <c r="N1120" t="n">
        <v>0</v>
      </c>
      <c r="O1120" t="n">
        <v>0</v>
      </c>
      <c r="P1120" t="n">
        <v>0</v>
      </c>
      <c r="Q1120" t="n">
        <v>0</v>
      </c>
      <c r="R1120" s="2" t="inlineStr"/>
    </row>
    <row r="1121">
      <c r="A1121" t="inlineStr">
        <is>
          <t>A 23022-2025</t>
        </is>
      </c>
      <c r="B1121" s="1" t="n">
        <v>45790.65489583334</v>
      </c>
      <c r="C1121" s="1" t="n">
        <v>45991</v>
      </c>
      <c r="D1121" t="inlineStr">
        <is>
          <t>KALMAR LÄN</t>
        </is>
      </c>
      <c r="E1121" t="inlineStr">
        <is>
          <t>VÄSTERVIK</t>
        </is>
      </c>
      <c r="G1121" t="n">
        <v>3.3</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2025-11-30T10:24:21Z</dcterms:created>
  <dcterms:modified xmlns:dcterms="http://purl.org/dc/terms/" xmlns:xsi="http://www.w3.org/2001/XMLSchema-instance" xsi:type="dcterms:W3CDTF">2025-11-30T10:24:22Z</dcterms:modified>
</cp:coreProperties>
</file>